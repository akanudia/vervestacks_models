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\SuppXLS\"/>
    </mc:Choice>
  </mc:AlternateContent>
  <xr:revisionPtr revIDLastSave="0" documentId="8_{B95E9603-3C22-473A-A1C6-7742D5139163}" xr6:coauthVersionLast="47" xr6:coauthVersionMax="47" xr10:uidLastSave="{00000000-0000-0000-0000-000000000000}"/>
  <bookViews>
    <workbookView xWindow="-98" yWindow="-98" windowWidth="28996" windowHeight="17475" firstSheet="18" activeTab="18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s1p1v1_d" sheetId="7" r:id="rId6"/>
    <sheet name="s3p3v3_d" sheetId="8" r:id="rId7"/>
    <sheet name="s5p5v5_d" sheetId="9" r:id="rId8"/>
    <sheet name="s2_w" sheetId="10" r:id="rId9"/>
    <sheet name="s2_w_p2_d" sheetId="11" r:id="rId10"/>
    <sheet name="ts_012" sheetId="12" r:id="rId11"/>
    <sheet name="ts_024" sheetId="13" r:id="rId12"/>
    <sheet name="ts_048" sheetId="14" r:id="rId13"/>
    <sheet name="ts_064" sheetId="15" r:id="rId14"/>
    <sheet name="ts_096P50" sheetId="16" r:id="rId15"/>
    <sheet name="ts_096P10" sheetId="17" r:id="rId16"/>
    <sheet name="ts_096P90" sheetId="18" r:id="rId17"/>
    <sheet name="ts_annual" sheetId="19" r:id="rId18"/>
    <sheet name="ts_12t" sheetId="20" r:id="rId19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20" l="1"/>
  <c r="AG9" i="20"/>
  <c r="AC9" i="20"/>
  <c r="A10" i="6"/>
  <c r="X9" i="20"/>
  <c r="S9" i="20"/>
  <c r="N9" i="20"/>
  <c r="I9" i="20"/>
  <c r="A11" i="20"/>
  <c r="C9" i="20" s="1"/>
  <c r="AK9" i="19"/>
  <c r="AG9" i="19"/>
  <c r="AC9" i="19"/>
  <c r="X9" i="19"/>
  <c r="S9" i="19"/>
  <c r="N9" i="19"/>
  <c r="I9" i="19"/>
  <c r="A11" i="19"/>
  <c r="C9" i="19" s="1"/>
  <c r="AK9" i="18"/>
  <c r="AG9" i="18"/>
  <c r="AC9" i="18"/>
  <c r="X9" i="18"/>
  <c r="S9" i="18"/>
  <c r="N9" i="18"/>
  <c r="I9" i="18"/>
  <c r="A11" i="18"/>
  <c r="C9" i="18" s="1"/>
  <c r="AK9" i="17"/>
  <c r="AG9" i="17"/>
  <c r="AC9" i="17"/>
  <c r="X9" i="17"/>
  <c r="S9" i="17"/>
  <c r="N9" i="17"/>
  <c r="I9" i="17"/>
  <c r="A11" i="17"/>
  <c r="C9" i="17"/>
  <c r="AK9" i="16"/>
  <c r="AG9" i="16"/>
  <c r="AC9" i="16"/>
  <c r="X9" i="16"/>
  <c r="S9" i="16"/>
  <c r="N9" i="16"/>
  <c r="I9" i="16"/>
  <c r="A11" i="16"/>
  <c r="C9" i="16" s="1"/>
  <c r="AK9" i="15"/>
  <c r="AG9" i="15"/>
  <c r="AC9" i="15"/>
  <c r="X9" i="15"/>
  <c r="S9" i="15"/>
  <c r="N9" i="15"/>
  <c r="I9" i="15"/>
  <c r="A11" i="15"/>
  <c r="C9" i="15" s="1"/>
  <c r="AK9" i="14"/>
  <c r="AG9" i="14"/>
  <c r="AC9" i="14"/>
  <c r="X9" i="14"/>
  <c r="S9" i="14"/>
  <c r="N9" i="14"/>
  <c r="I9" i="14"/>
  <c r="A11" i="14"/>
  <c r="C9" i="14" s="1"/>
  <c r="AK9" i="13"/>
  <c r="AG9" i="13"/>
  <c r="AC9" i="13"/>
  <c r="X9" i="13"/>
  <c r="S9" i="13"/>
  <c r="N9" i="13"/>
  <c r="I9" i="13"/>
  <c r="A11" i="13"/>
  <c r="C9" i="13" s="1"/>
  <c r="AK9" i="12"/>
  <c r="AG9" i="12"/>
  <c r="AC9" i="12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K48" i="1" s="1"/>
  <c r="J37" i="1"/>
  <c r="J45" i="1" s="1"/>
  <c r="J40" i="1"/>
  <c r="J48" i="1" s="1"/>
  <c r="I47" i="1"/>
  <c r="L40" i="1"/>
  <c r="L48" i="1" s="1"/>
  <c r="M40" i="1"/>
  <c r="M48" i="1" s="1"/>
  <c r="N40" i="1"/>
  <c r="N48" i="1" s="1"/>
  <c r="M44" i="1"/>
  <c r="N44" i="1"/>
  <c r="O48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sharedStrings.xml><?xml version="1.0" encoding="utf-8"?>
<sst xmlns="http://schemas.openxmlformats.org/spreadsheetml/2006/main" count="43917" uniqueCount="2292">
  <si>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</si>
  <si>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</si>
  <si>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</si>
  <si>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</si>
  <si>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</si>
  <si>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</si>
  <si>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</si>
  <si>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</si>
  <si>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</si>
  <si>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</si>
  <si>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</si>
  <si>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</si>
  <si>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</si>
  <si>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</si>
  <si>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</si>
  <si>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</si>
  <si>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</si>
  <si>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</si>
  <si>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</si>
  <si>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</si>
  <si>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</si>
  <si>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</si>
  <si>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</si>
  <si>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</si>
  <si>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</si>
  <si>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</si>
  <si>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</si>
  <si>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</si>
  <si>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</si>
  <si>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</si>
  <si>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</si>
  <si>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</si>
  <si>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</si>
  <si>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</si>
  <si>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</si>
  <si>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</si>
  <si>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</si>
  <si>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</si>
  <si>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</si>
  <si>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</si>
  <si>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</si>
  <si>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</si>
  <si>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</si>
  <si>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</si>
  <si>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</si>
  <si>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</si>
  <si>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</si>
  <si>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</si>
  <si>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</si>
  <si>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</si>
  <si>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</si>
  <si>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</si>
  <si>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</si>
  <si>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</si>
  <si>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</si>
  <si>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</si>
  <si>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</si>
  <si>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</si>
  <si>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</si>
  <si>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</si>
  <si>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</si>
  <si>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</si>
  <si>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</si>
  <si>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</si>
  <si>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</si>
  <si>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</si>
  <si>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</si>
  <si>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</si>
  <si>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</si>
  <si>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</si>
  <si>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</si>
  <si>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</si>
  <si>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</si>
  <si>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</si>
  <si>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</si>
  <si>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</si>
  <si>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</si>
  <si>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</si>
  <si>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</si>
  <si>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</si>
  <si>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</si>
  <si>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</si>
  <si>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</si>
  <si>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</si>
  <si>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~TFM_INS-TS: attribute=flo_cost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</si>
  <si>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</si>
  <si>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</si>
  <si>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</si>
  <si>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</si>
  <si>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</si>
  <si>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</si>
  <si>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</si>
  <si>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</si>
  <si>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</si>
  <si>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</si>
  <si>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</si>
  <si>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</si>
  <si>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</si>
  <si>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</si>
  <si>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</si>
  <si>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</si>
  <si>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</si>
  <si>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</si>
  <si>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</si>
  <si>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</si>
  <si>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</si>
  <si>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</si>
  <si>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</si>
  <si>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</si>
  <si>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</si>
  <si>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</si>
  <si>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</si>
  <si>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</si>
  <si>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</si>
  <si>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</si>
  <si>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</si>
  <si>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</si>
  <si>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</si>
  <si>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</si>
  <si>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</si>
  <si>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</si>
  <si>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</si>
  <si>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</si>
  <si>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</si>
  <si>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</si>
  <si>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</si>
  <si>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</si>
  <si>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</si>
  <si>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</si>
  <si>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</si>
  <si>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</si>
  <si>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</si>
  <si>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</si>
  <si>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</si>
  <si>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</si>
  <si>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f97p50</t>
  </si>
  <si>
    <t>g64</t>
  </si>
  <si>
    <t>h48</t>
  </si>
  <si>
    <t>i24</t>
  </si>
  <si>
    <t>j12</t>
  </si>
  <si>
    <t>k12</t>
  </si>
  <si>
    <t>kAnn</t>
  </si>
  <si>
    <t>FRA</t>
  </si>
  <si>
    <t>R10EUROPE</t>
  </si>
  <si>
    <t>TTF-linked, forest resources</t>
  </si>
  <si>
    <t>1-70</t>
  </si>
  <si>
    <t>~tfm_ins-ts</t>
  </si>
  <si>
    <t>lo</t>
  </si>
  <si>
    <t>cap_bnd</t>
  </si>
  <si>
    <t>season</t>
  </si>
  <si>
    <t>weekly</t>
  </si>
  <si>
    <t>daynite</t>
  </si>
  <si>
    <t>wparent</t>
  </si>
  <si>
    <t>dparent</t>
  </si>
  <si>
    <t>S01</t>
  </si>
  <si>
    <t>a</t>
  </si>
  <si>
    <t>0130h01</t>
  </si>
  <si>
    <t>S01,S02,S03,S04,S05,S06,S07,S08,S09,S10,S11,S12</t>
  </si>
  <si>
    <t>b</t>
  </si>
  <si>
    <t>S02</t>
  </si>
  <si>
    <t>0130h02</t>
  </si>
  <si>
    <t>S03</t>
  </si>
  <si>
    <t>c</t>
  </si>
  <si>
    <t>0130h03</t>
  </si>
  <si>
    <t>S08</t>
  </si>
  <si>
    <t>S04</t>
  </si>
  <si>
    <t>d</t>
  </si>
  <si>
    <t>0130h04</t>
  </si>
  <si>
    <t>S09</t>
  </si>
  <si>
    <t>S05</t>
  </si>
  <si>
    <t>0130h05</t>
  </si>
  <si>
    <t>S06</t>
  </si>
  <si>
    <t>0130h06</t>
  </si>
  <si>
    <t>S07</t>
  </si>
  <si>
    <t>0130h07</t>
  </si>
  <si>
    <t>0130h08</t>
  </si>
  <si>
    <t>0130h09</t>
  </si>
  <si>
    <t>S10</t>
  </si>
  <si>
    <t>0130h10</t>
  </si>
  <si>
    <t>S11</t>
  </si>
  <si>
    <t>0130h11</t>
  </si>
  <si>
    <t>S12</t>
  </si>
  <si>
    <t>0130h12</t>
  </si>
  <si>
    <t>0130h13</t>
  </si>
  <si>
    <t>0130h14</t>
  </si>
  <si>
    <t>0130h15</t>
  </si>
  <si>
    <t>0130h16</t>
  </si>
  <si>
    <t>0130h17</t>
  </si>
  <si>
    <t>0130h18</t>
  </si>
  <si>
    <t>0130h19</t>
  </si>
  <si>
    <t>0130h20</t>
  </si>
  <si>
    <t>0130h21</t>
  </si>
  <si>
    <t>0130h22</t>
  </si>
  <si>
    <t>0130h23</t>
  </si>
  <si>
    <t>0130h24</t>
  </si>
  <si>
    <t>0801h01</t>
  </si>
  <si>
    <t>0801h02</t>
  </si>
  <si>
    <t>0801h03</t>
  </si>
  <si>
    <t>0801h04</t>
  </si>
  <si>
    <t>0801h05</t>
  </si>
  <si>
    <t>0801h06</t>
  </si>
  <si>
    <t>0801h07</t>
  </si>
  <si>
    <t>0801h08</t>
  </si>
  <si>
    <t>0801h09</t>
  </si>
  <si>
    <t>0801h10</t>
  </si>
  <si>
    <t>0801h11</t>
  </si>
  <si>
    <t>0801h12</t>
  </si>
  <si>
    <t>0801h13</t>
  </si>
  <si>
    <t>0801h14</t>
  </si>
  <si>
    <t>0801h15</t>
  </si>
  <si>
    <t>0801h16</t>
  </si>
  <si>
    <t>0801h17</t>
  </si>
  <si>
    <t>0801h18</t>
  </si>
  <si>
    <t>0801h19</t>
  </si>
  <si>
    <t>0801h20</t>
  </si>
  <si>
    <t>0801h21</t>
  </si>
  <si>
    <t>0801h22</t>
  </si>
  <si>
    <t>0801h23</t>
  </si>
  <si>
    <t>0801h24</t>
  </si>
  <si>
    <t>0930h01</t>
  </si>
  <si>
    <t>0930h02</t>
  </si>
  <si>
    <t>0930h03</t>
  </si>
  <si>
    <t>0930h04</t>
  </si>
  <si>
    <t>0930h05</t>
  </si>
  <si>
    <t>0930h06</t>
  </si>
  <si>
    <t>0930h07</t>
  </si>
  <si>
    <t>0930h08</t>
  </si>
  <si>
    <t>0930h09</t>
  </si>
  <si>
    <t>0930h10</t>
  </si>
  <si>
    <t>0930h11</t>
  </si>
  <si>
    <t>0930h12</t>
  </si>
  <si>
    <t>0930h13</t>
  </si>
  <si>
    <t>0930h14</t>
  </si>
  <si>
    <t>0930h15</t>
  </si>
  <si>
    <t>0930h16</t>
  </si>
  <si>
    <t>0930h17</t>
  </si>
  <si>
    <t>0930h18</t>
  </si>
  <si>
    <t>0930h19</t>
  </si>
  <si>
    <t>0930h20</t>
  </si>
  <si>
    <t>0930h21</t>
  </si>
  <si>
    <t>0930h22</t>
  </si>
  <si>
    <t>0930h23</t>
  </si>
  <si>
    <t>0930h24</t>
  </si>
  <si>
    <t>H01</t>
  </si>
  <si>
    <t>H02</t>
  </si>
  <si>
    <t>H03</t>
  </si>
  <si>
    <t>H04</t>
  </si>
  <si>
    <t>H05</t>
  </si>
  <si>
    <t>H06</t>
  </si>
  <si>
    <t>H07</t>
  </si>
  <si>
    <t>H08</t>
  </si>
  <si>
    <t>com_fr</t>
  </si>
  <si>
    <t>elc_spv-FRA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</si>
  <si>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</si>
  <si>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</si>
  <si>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</si>
  <si>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</si>
  <si>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</si>
  <si>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</si>
  <si>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</si>
  <si>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</si>
  <si>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</si>
  <si>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S01b0130h01</t>
  </si>
  <si>
    <t>S01b0130h02</t>
  </si>
  <si>
    <t>S01b0130h03</t>
  </si>
  <si>
    <t>S01b0130h04</t>
  </si>
  <si>
    <t>S01b0130h05</t>
  </si>
  <si>
    <t>S01b0130h06</t>
  </si>
  <si>
    <t>S01b0130h07</t>
  </si>
  <si>
    <t>S01b0130h08</t>
  </si>
  <si>
    <t>S01b0130h09</t>
  </si>
  <si>
    <t>S01b0130h10</t>
  </si>
  <si>
    <t>S01b0130h11</t>
  </si>
  <si>
    <t>S01b0130h12</t>
  </si>
  <si>
    <t>S01b0130h13</t>
  </si>
  <si>
    <t>S01b0130h14</t>
  </si>
  <si>
    <t>S01b0130h15</t>
  </si>
  <si>
    <t>S01b0130h16</t>
  </si>
  <si>
    <t>S01b0130h17</t>
  </si>
  <si>
    <t>S01b0130h18</t>
  </si>
  <si>
    <t>S01b0130h19</t>
  </si>
  <si>
    <t>S01b0130h20</t>
  </si>
  <si>
    <t>S01b0130h21</t>
  </si>
  <si>
    <t>S01b0130h22</t>
  </si>
  <si>
    <t>S01b0130h23</t>
  </si>
  <si>
    <t>S01b0130h24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</si>
  <si>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</si>
  <si>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</si>
  <si>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</si>
  <si>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</si>
  <si>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</si>
  <si>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</si>
  <si>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</si>
  <si>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</si>
  <si>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</si>
  <si>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</si>
  <si>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</si>
  <si>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</si>
  <si>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</si>
  <si>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</si>
  <si>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</si>
  <si>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</si>
  <si>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</si>
  <si>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</si>
  <si>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</si>
  <si>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</si>
  <si>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</si>
  <si>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</si>
  <si>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</si>
  <si>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</si>
  <si>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</si>
  <si>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</si>
  <si>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</si>
  <si>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</si>
  <si>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</si>
  <si>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</si>
  <si>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</si>
  <si>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</si>
  <si>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</si>
  <si>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</si>
  <si>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</si>
  <si>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</si>
  <si>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</si>
  <si>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</si>
  <si>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</si>
  <si>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</si>
  <si>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S07aH01</t>
  </si>
  <si>
    <t>S07aH02</t>
  </si>
  <si>
    <t>S07aH03</t>
  </si>
  <si>
    <t>S07aH04</t>
  </si>
  <si>
    <t>S07aH05</t>
  </si>
  <si>
    <t>S07aH06</t>
  </si>
  <si>
    <t>S07aH07</t>
  </si>
  <si>
    <t>S07aH08</t>
  </si>
  <si>
    <t>S08aH01</t>
  </si>
  <si>
    <t>S08aH02</t>
  </si>
  <si>
    <t>S08aH03</t>
  </si>
  <si>
    <t>S08aH04</t>
  </si>
  <si>
    <t>S08aH05</t>
  </si>
  <si>
    <t>S08aH06</t>
  </si>
  <si>
    <t>S08aH07</t>
  </si>
  <si>
    <t>S08aH08</t>
  </si>
  <si>
    <t>S08c0801h01</t>
  </si>
  <si>
    <t>S08c0801h02</t>
  </si>
  <si>
    <t>S08c0801h03</t>
  </si>
  <si>
    <t>S08c0801h04</t>
  </si>
  <si>
    <t>S08c0801h05</t>
  </si>
  <si>
    <t>S08c0801h06</t>
  </si>
  <si>
    <t>S08c0801h07</t>
  </si>
  <si>
    <t>S08c0801h08</t>
  </si>
  <si>
    <t>S08c0801h09</t>
  </si>
  <si>
    <t>S08c0801h10</t>
  </si>
  <si>
    <t>S08c0801h11</t>
  </si>
  <si>
    <t>S08c0801h12</t>
  </si>
  <si>
    <t>S08c0801h13</t>
  </si>
  <si>
    <t>S08c0801h14</t>
  </si>
  <si>
    <t>S08c0801h15</t>
  </si>
  <si>
    <t>S08c0801h16</t>
  </si>
  <si>
    <t>S08c0801h17</t>
  </si>
  <si>
    <t>S08c0801h18</t>
  </si>
  <si>
    <t>S08c0801h19</t>
  </si>
  <si>
    <t>S08c0801h20</t>
  </si>
  <si>
    <t>S08c0801h21</t>
  </si>
  <si>
    <t>S08c0801h22</t>
  </si>
  <si>
    <t>S08c0801h23</t>
  </si>
  <si>
    <t>S08c0801h24</t>
  </si>
  <si>
    <t>S09aH01</t>
  </si>
  <si>
    <t>S09aH02</t>
  </si>
  <si>
    <t>S09aH03</t>
  </si>
  <si>
    <t>S09aH04</t>
  </si>
  <si>
    <t>S09aH05</t>
  </si>
  <si>
    <t>S09aH06</t>
  </si>
  <si>
    <t>S09aH07</t>
  </si>
  <si>
    <t>S09aH08</t>
  </si>
  <si>
    <t>S09d0930h01</t>
  </si>
  <si>
    <t>S09d0930h02</t>
  </si>
  <si>
    <t>S09d0930h03</t>
  </si>
  <si>
    <t>S09d0930h04</t>
  </si>
  <si>
    <t>S09d0930h05</t>
  </si>
  <si>
    <t>S09d0930h06</t>
  </si>
  <si>
    <t>S09d0930h07</t>
  </si>
  <si>
    <t>S09d0930h08</t>
  </si>
  <si>
    <t>S09d0930h09</t>
  </si>
  <si>
    <t>S09d0930h10</t>
  </si>
  <si>
    <t>S09d0930h11</t>
  </si>
  <si>
    <t>S09d0930h12</t>
  </si>
  <si>
    <t>S09d0930h13</t>
  </si>
  <si>
    <t>S09d0930h14</t>
  </si>
  <si>
    <t>S09d0930h15</t>
  </si>
  <si>
    <t>S09d0930h16</t>
  </si>
  <si>
    <t>S09d0930h17</t>
  </si>
  <si>
    <t>S09d0930h18</t>
  </si>
  <si>
    <t>S09d0930h19</t>
  </si>
  <si>
    <t>S09d0930h20</t>
  </si>
  <si>
    <t>S09d0930h21</t>
  </si>
  <si>
    <t>S09d0930h22</t>
  </si>
  <si>
    <t>S09d0930h23</t>
  </si>
  <si>
    <t>S09d0930h24</t>
  </si>
  <si>
    <t>S10aH01</t>
  </si>
  <si>
    <t>S10aH02</t>
  </si>
  <si>
    <t>S10aH03</t>
  </si>
  <si>
    <t>S10aH04</t>
  </si>
  <si>
    <t>S10aH05</t>
  </si>
  <si>
    <t>S10aH06</t>
  </si>
  <si>
    <t>S10aH07</t>
  </si>
  <si>
    <t>S10aH08</t>
  </si>
  <si>
    <t>S11aH01</t>
  </si>
  <si>
    <t>S11aH02</t>
  </si>
  <si>
    <t>S11aH03</t>
  </si>
  <si>
    <t>S11aH04</t>
  </si>
  <si>
    <t>S11aH05</t>
  </si>
  <si>
    <t>S11aH06</t>
  </si>
  <si>
    <t>S11aH07</t>
  </si>
  <si>
    <t>S11aH08</t>
  </si>
  <si>
    <t>S12aH01</t>
  </si>
  <si>
    <t>S12aH02</t>
  </si>
  <si>
    <t>S12aH03</t>
  </si>
  <si>
    <t>S12aH04</t>
  </si>
  <si>
    <t>S12aH05</t>
  </si>
  <si>
    <t>S12aH06</t>
  </si>
  <si>
    <t>S12aH07</t>
  </si>
  <si>
    <t>S12aH08</t>
  </si>
  <si>
    <t>elc_won-FRA</t>
  </si>
  <si>
    <t>elc_wof-FRA</t>
  </si>
  <si>
    <t>g_yrfr</t>
  </si>
  <si>
    <t>day_night</t>
  </si>
  <si>
    <t>D</t>
  </si>
  <si>
    <t>S01aH04,S01aH07,S01b0130h16,S01b0130h17,S02aH07,S07aH02,S07aH06,S09d0930h10,S09d0930h17,S01aH03,S01b0130h13,S05aH02,S05aH03,S05aH06,S09d0930h16,S01aH06,S02aH03,S05aH07,S07aH03,S08aH06,S09d0930h12,S09d0930h18,S10aH07,S08aH02,S08c0801h07,S08c0801h10,S09aH06,S01b0130h15,S01b0130h18,S02aH02,S06aH06,S08c0801h16,S03aH02,S07aH05,S09d0930h15,S01aH05,S01b0130h14,S03aH06,S03aH07,S06aH05,S08c0801h13,S10aH02,S10aH06,S11aH06,S12aH04,S12aH05,S02aH04,S02aH05,S06aH07,S07aH07,S10aH03,S10aH05,S04aH02,S08aH07,S08c0801h12,S09aH02,S09aH03,S09d0930h07,S09d0930h09,S11aH03,S11aH04,S01aH02,S04aH04,S08c0801h08,S08c0801h17,S09d0930h11,S03aH04,S08aH05,S08c0801h18,S09aH07,S11aH05,S12aH03,S01b0130h09,S01b0130h12,S03aH03,S09aH05,S09d0930h14,S12aH07,S04aH06,S05aH04,S06aH02,S06aH03,S09d0930h13,S10aH04,S12aH06,S01b0130h07,S01b0130h08,S01b0130h11,S04aH05,S08c0801h09,S08c0801h15,S09d0930h08,S01b0130h10,S04aH03,S07aH04,S08aH03,S09aH04,S11aH07,S12aH02,S02aH06,S03aH05,S04aH07,S05aH05,S06aH04,S08aH04,S08c0801h11,S08c0801h14,S11aH02</t>
  </si>
  <si>
    <t>N</t>
  </si>
  <si>
    <t>S08aH01,S08c0801h19,S09d0930h03,S09d0930h23,S10aH01,S08c0801h03,S09aH01,S01aH01,S01b0130h04,S04aH01,S09aH08,S09d0930h05,S11aH01,S04aH08,S06aH01,S08c0801h02,S08c0801h04,S12aH08,S03aH01,S09d0930h04,S09d0930h06,S08c0801h22,S09d0930h20,S09d0930h21,S09d0930h24,S01b0130h05,S03aH08,S06aH08,S08c0801h24,S09d0930h19,S12aH01,S01b0130h21,S01b0130h22,S01b0130h23,S09d0930h01,S01aH08,S01b0130h19,S02aH08,S05aH01,S08c0801h21,S01b0130h01,S08c0801h01,S11aH08,S01b0130h20,S07aH01,S08c0801h05,S08c0801h06,S09d0930h22,S01b0130h06,S05aH08,S08c0801h23,S09d0930h02,S10aH08,S01b0130h02,S01b0130h03,S01b0130h24,S02aH01,S07aH08,S08aH08,S08c0801h20</t>
  </si>
  <si>
    <t>com_pkflx</t>
  </si>
  <si>
    <t>ncap_afs</t>
  </si>
  <si>
    <t>pset_ci</t>
  </si>
  <si>
    <t>0128h01</t>
  </si>
  <si>
    <t>0128h02</t>
  </si>
  <si>
    <t>0128h03</t>
  </si>
  <si>
    <t>0128h04</t>
  </si>
  <si>
    <t>e</t>
  </si>
  <si>
    <t>0128h05</t>
  </si>
  <si>
    <t>f</t>
  </si>
  <si>
    <t>0128h06</t>
  </si>
  <si>
    <t>g</t>
  </si>
  <si>
    <t>0128h07</t>
  </si>
  <si>
    <t>h</t>
  </si>
  <si>
    <t>0128h08</t>
  </si>
  <si>
    <t>i</t>
  </si>
  <si>
    <t>0128h09</t>
  </si>
  <si>
    <t>j</t>
  </si>
  <si>
    <t>0128h10</t>
  </si>
  <si>
    <t>0128h11</t>
  </si>
  <si>
    <t>0128h12</t>
  </si>
  <si>
    <t>0128h13</t>
  </si>
  <si>
    <t>0128h14</t>
  </si>
  <si>
    <t>0128h15</t>
  </si>
  <si>
    <t>0128h16</t>
  </si>
  <si>
    <t>0128h17</t>
  </si>
  <si>
    <t>0128h18</t>
  </si>
  <si>
    <t>0128h19</t>
  </si>
  <si>
    <t>0128h20</t>
  </si>
  <si>
    <t>0128h21</t>
  </si>
  <si>
    <t>0128h22</t>
  </si>
  <si>
    <t>0128h23</t>
  </si>
  <si>
    <t>0128h24</t>
  </si>
  <si>
    <t>0206h01</t>
  </si>
  <si>
    <t>0206h02</t>
  </si>
  <si>
    <t>0206h03</t>
  </si>
  <si>
    <t>0206h04</t>
  </si>
  <si>
    <t>0206h05</t>
  </si>
  <si>
    <t>0206h06</t>
  </si>
  <si>
    <t>0206h07</t>
  </si>
  <si>
    <t>0206h08</t>
  </si>
  <si>
    <t>0206h09</t>
  </si>
  <si>
    <t>0206h10</t>
  </si>
  <si>
    <t>0206h11</t>
  </si>
  <si>
    <t>0206h12</t>
  </si>
  <si>
    <t>0206h13</t>
  </si>
  <si>
    <t>0206h14</t>
  </si>
  <si>
    <t>0206h15</t>
  </si>
  <si>
    <t>0206h16</t>
  </si>
  <si>
    <t>0206h17</t>
  </si>
  <si>
    <t>0206h18</t>
  </si>
  <si>
    <t>0206h19</t>
  </si>
  <si>
    <t>0206h20</t>
  </si>
  <si>
    <t>0206h21</t>
  </si>
  <si>
    <t>0206h22</t>
  </si>
  <si>
    <t>0206h23</t>
  </si>
  <si>
    <t>0206h24</t>
  </si>
  <si>
    <t>0514h01</t>
  </si>
  <si>
    <t>0514h02</t>
  </si>
  <si>
    <t>0514h03</t>
  </si>
  <si>
    <t>0514h04</t>
  </si>
  <si>
    <t>0514h05</t>
  </si>
  <si>
    <t>0514h06</t>
  </si>
  <si>
    <t>0514h07</t>
  </si>
  <si>
    <t>0514h08</t>
  </si>
  <si>
    <t>0514h09</t>
  </si>
  <si>
    <t>0514h10</t>
  </si>
  <si>
    <t>0514h11</t>
  </si>
  <si>
    <t>0514h12</t>
  </si>
  <si>
    <t>0514h13</t>
  </si>
  <si>
    <t>0514h14</t>
  </si>
  <si>
    <t>0514h15</t>
  </si>
  <si>
    <t>0514h16</t>
  </si>
  <si>
    <t>0514h17</t>
  </si>
  <si>
    <t>0514h18</t>
  </si>
  <si>
    <t>0514h19</t>
  </si>
  <si>
    <t>0514h20</t>
  </si>
  <si>
    <t>0514h21</t>
  </si>
  <si>
    <t>0514h22</t>
  </si>
  <si>
    <t>0514h23</t>
  </si>
  <si>
    <t>0514h24</t>
  </si>
  <si>
    <t>0603h01</t>
  </si>
  <si>
    <t>0603h02</t>
  </si>
  <si>
    <t>0603h03</t>
  </si>
  <si>
    <t>0603h04</t>
  </si>
  <si>
    <t>0603h05</t>
  </si>
  <si>
    <t>0603h06</t>
  </si>
  <si>
    <t>0603h07</t>
  </si>
  <si>
    <t>0603h08</t>
  </si>
  <si>
    <t>0603h09</t>
  </si>
  <si>
    <t>0603h10</t>
  </si>
  <si>
    <t>0603h11</t>
  </si>
  <si>
    <t>0603h12</t>
  </si>
  <si>
    <t>0603h13</t>
  </si>
  <si>
    <t>0603h14</t>
  </si>
  <si>
    <t>0603h15</t>
  </si>
  <si>
    <t>0603h16</t>
  </si>
  <si>
    <t>0603h17</t>
  </si>
  <si>
    <t>0603h18</t>
  </si>
  <si>
    <t>0603h19</t>
  </si>
  <si>
    <t>0603h20</t>
  </si>
  <si>
    <t>0603h21</t>
  </si>
  <si>
    <t>0603h22</t>
  </si>
  <si>
    <t>0603h23</t>
  </si>
  <si>
    <t>0603h24</t>
  </si>
  <si>
    <t>0925h01</t>
  </si>
  <si>
    <t>0925h02</t>
  </si>
  <si>
    <t>0925h03</t>
  </si>
  <si>
    <t>0925h04</t>
  </si>
  <si>
    <t>0925h05</t>
  </si>
  <si>
    <t>0925h06</t>
  </si>
  <si>
    <t>0925h07</t>
  </si>
  <si>
    <t>0925h08</t>
  </si>
  <si>
    <t>0925h09</t>
  </si>
  <si>
    <t>0925h10</t>
  </si>
  <si>
    <t>0925h11</t>
  </si>
  <si>
    <t>0925h12</t>
  </si>
  <si>
    <t>0925h13</t>
  </si>
  <si>
    <t>0925h14</t>
  </si>
  <si>
    <t>0925h15</t>
  </si>
  <si>
    <t>0925h16</t>
  </si>
  <si>
    <t>0925h17</t>
  </si>
  <si>
    <t>0925h18</t>
  </si>
  <si>
    <t>0925h19</t>
  </si>
  <si>
    <t>0925h20</t>
  </si>
  <si>
    <t>0925h21</t>
  </si>
  <si>
    <t>0925h22</t>
  </si>
  <si>
    <t>0925h23</t>
  </si>
  <si>
    <t>0925h24</t>
  </si>
  <si>
    <t>1015h01</t>
  </si>
  <si>
    <t>1015h02</t>
  </si>
  <si>
    <t>1015h03</t>
  </si>
  <si>
    <t>1015h04</t>
  </si>
  <si>
    <t>1015h05</t>
  </si>
  <si>
    <t>1015h06</t>
  </si>
  <si>
    <t>1015h07</t>
  </si>
  <si>
    <t>1015h08</t>
  </si>
  <si>
    <t>1015h09</t>
  </si>
  <si>
    <t>1015h10</t>
  </si>
  <si>
    <t>1015h11</t>
  </si>
  <si>
    <t>1015h12</t>
  </si>
  <si>
    <t>1015h13</t>
  </si>
  <si>
    <t>1015h14</t>
  </si>
  <si>
    <t>1015h15</t>
  </si>
  <si>
    <t>1015h16</t>
  </si>
  <si>
    <t>1015h17</t>
  </si>
  <si>
    <t>1015h18</t>
  </si>
  <si>
    <t>1015h19</t>
  </si>
  <si>
    <t>1015h20</t>
  </si>
  <si>
    <t>1015h21</t>
  </si>
  <si>
    <t>1015h22</t>
  </si>
  <si>
    <t>1015h23</t>
  </si>
  <si>
    <t>1015h24</t>
  </si>
  <si>
    <t>S01b0128h01</t>
  </si>
  <si>
    <t>S01b0128h02</t>
  </si>
  <si>
    <t>S01b0128h03</t>
  </si>
  <si>
    <t>S01b0128h04</t>
  </si>
  <si>
    <t>S01b0128h05</t>
  </si>
  <si>
    <t>S01b0128h06</t>
  </si>
  <si>
    <t>S01b0128h07</t>
  </si>
  <si>
    <t>S01b0128h08</t>
  </si>
  <si>
    <t>S01b0128h09</t>
  </si>
  <si>
    <t>S01b0128h10</t>
  </si>
  <si>
    <t>S01b0128h11</t>
  </si>
  <si>
    <t>S01b0128h12</t>
  </si>
  <si>
    <t>S01b0128h13</t>
  </si>
  <si>
    <t>S01b0128h14</t>
  </si>
  <si>
    <t>S01b0128h15</t>
  </si>
  <si>
    <t>S01b0128h16</t>
  </si>
  <si>
    <t>S01b0128h17</t>
  </si>
  <si>
    <t>S01b0128h18</t>
  </si>
  <si>
    <t>S01b0128h19</t>
  </si>
  <si>
    <t>S01b0128h20</t>
  </si>
  <si>
    <t>S01b0128h21</t>
  </si>
  <si>
    <t>S01b0128h22</t>
  </si>
  <si>
    <t>S01b0128h23</t>
  </si>
  <si>
    <t>S01b0128h24</t>
  </si>
  <si>
    <t>S01c0130h01</t>
  </si>
  <si>
    <t>S01c0130h02</t>
  </si>
  <si>
    <t>S01c0130h03</t>
  </si>
  <si>
    <t>S01c0130h04</t>
  </si>
  <si>
    <t>S01c0130h05</t>
  </si>
  <si>
    <t>S01c0130h06</t>
  </si>
  <si>
    <t>S01c0130h07</t>
  </si>
  <si>
    <t>S01c0130h08</t>
  </si>
  <si>
    <t>S01c0130h09</t>
  </si>
  <si>
    <t>S01c0130h10</t>
  </si>
  <si>
    <t>S01c0130h11</t>
  </si>
  <si>
    <t>S01c0130h12</t>
  </si>
  <si>
    <t>S01c0130h13</t>
  </si>
  <si>
    <t>S01c0130h14</t>
  </si>
  <si>
    <t>S01c0130h15</t>
  </si>
  <si>
    <t>S01c0130h16</t>
  </si>
  <si>
    <t>S01c0130h17</t>
  </si>
  <si>
    <t>S01c0130h18</t>
  </si>
  <si>
    <t>S01c0130h19</t>
  </si>
  <si>
    <t>S01c0130h20</t>
  </si>
  <si>
    <t>S01c0130h21</t>
  </si>
  <si>
    <t>S01c0130h22</t>
  </si>
  <si>
    <t>S01c0130h23</t>
  </si>
  <si>
    <t>S01c0130h24</t>
  </si>
  <si>
    <t>S02d0206h01</t>
  </si>
  <si>
    <t>S02d0206h02</t>
  </si>
  <si>
    <t>S02d0206h03</t>
  </si>
  <si>
    <t>S02d0206h04</t>
  </si>
  <si>
    <t>S02d0206h05</t>
  </si>
  <si>
    <t>S02d0206h06</t>
  </si>
  <si>
    <t>S02d0206h07</t>
  </si>
  <si>
    <t>S02d0206h08</t>
  </si>
  <si>
    <t>S02d0206h09</t>
  </si>
  <si>
    <t>S02d0206h10</t>
  </si>
  <si>
    <t>S02d0206h11</t>
  </si>
  <si>
    <t>S02d0206h12</t>
  </si>
  <si>
    <t>S02d0206h13</t>
  </si>
  <si>
    <t>S02d0206h14</t>
  </si>
  <si>
    <t>S02d0206h15</t>
  </si>
  <si>
    <t>S02d0206h16</t>
  </si>
  <si>
    <t>S02d0206h17</t>
  </si>
  <si>
    <t>S02d0206h18</t>
  </si>
  <si>
    <t>S02d0206h19</t>
  </si>
  <si>
    <t>S02d0206h20</t>
  </si>
  <si>
    <t>S02d0206h21</t>
  </si>
  <si>
    <t>S02d0206h22</t>
  </si>
  <si>
    <t>S02d0206h23</t>
  </si>
  <si>
    <t>S02d0206h24</t>
  </si>
  <si>
    <t>S05e0514h01</t>
  </si>
  <si>
    <t>S05e0514h02</t>
  </si>
  <si>
    <t>S05e0514h03</t>
  </si>
  <si>
    <t>S05e0514h04</t>
  </si>
  <si>
    <t>S05e0514h05</t>
  </si>
  <si>
    <t>S05e0514h06</t>
  </si>
  <si>
    <t>S05e0514h07</t>
  </si>
  <si>
    <t>S05e0514h08</t>
  </si>
  <si>
    <t>S05e0514h09</t>
  </si>
  <si>
    <t>S05e0514h10</t>
  </si>
  <si>
    <t>S05e0514h11</t>
  </si>
  <si>
    <t>S05e0514h12</t>
  </si>
  <si>
    <t>S05e0514h13</t>
  </si>
  <si>
    <t>S05e0514h14</t>
  </si>
  <si>
    <t>S05e0514h15</t>
  </si>
  <si>
    <t>S05e0514h16</t>
  </si>
  <si>
    <t>S05e0514h17</t>
  </si>
  <si>
    <t>S05e0514h18</t>
  </si>
  <si>
    <t>S05e0514h19</t>
  </si>
  <si>
    <t>S05e0514h20</t>
  </si>
  <si>
    <t>S05e0514h21</t>
  </si>
  <si>
    <t>S05e0514h22</t>
  </si>
  <si>
    <t>S05e0514h23</t>
  </si>
  <si>
    <t>S05e0514h24</t>
  </si>
  <si>
    <t>S06f0603h01</t>
  </si>
  <si>
    <t>S06f0603h02</t>
  </si>
  <si>
    <t>S06f0603h03</t>
  </si>
  <si>
    <t>S06f0603h04</t>
  </si>
  <si>
    <t>S06f0603h05</t>
  </si>
  <si>
    <t>S06f0603h06</t>
  </si>
  <si>
    <t>S06f0603h07</t>
  </si>
  <si>
    <t>S06f0603h08</t>
  </si>
  <si>
    <t>S06f0603h09</t>
  </si>
  <si>
    <t>S06f0603h10</t>
  </si>
  <si>
    <t>S06f0603h11</t>
  </si>
  <si>
    <t>S06f0603h12</t>
  </si>
  <si>
    <t>S06f0603h13</t>
  </si>
  <si>
    <t>S06f0603h14</t>
  </si>
  <si>
    <t>S06f0603h15</t>
  </si>
  <si>
    <t>S06f0603h16</t>
  </si>
  <si>
    <t>S06f0603h17</t>
  </si>
  <si>
    <t>S06f0603h18</t>
  </si>
  <si>
    <t>S06f0603h19</t>
  </si>
  <si>
    <t>S06f0603h20</t>
  </si>
  <si>
    <t>S06f0603h21</t>
  </si>
  <si>
    <t>S06f0603h22</t>
  </si>
  <si>
    <t>S06f0603h23</t>
  </si>
  <si>
    <t>S06f0603h24</t>
  </si>
  <si>
    <t>S08g0801h01</t>
  </si>
  <si>
    <t>S08g0801h02</t>
  </si>
  <si>
    <t>S08g0801h03</t>
  </si>
  <si>
    <t>S08g0801h04</t>
  </si>
  <si>
    <t>S08g0801h05</t>
  </si>
  <si>
    <t>S08g0801h06</t>
  </si>
  <si>
    <t>S08g0801h07</t>
  </si>
  <si>
    <t>S08g0801h08</t>
  </si>
  <si>
    <t>S08g0801h09</t>
  </si>
  <si>
    <t>S08g0801h10</t>
  </si>
  <si>
    <t>S08g0801h11</t>
  </si>
  <si>
    <t>S08g0801h12</t>
  </si>
  <si>
    <t>S08g0801h13</t>
  </si>
  <si>
    <t>S08g0801h14</t>
  </si>
  <si>
    <t>S08g0801h15</t>
  </si>
  <si>
    <t>S08g0801h16</t>
  </si>
  <si>
    <t>S08g0801h17</t>
  </si>
  <si>
    <t>S08g0801h18</t>
  </si>
  <si>
    <t>S08g0801h19</t>
  </si>
  <si>
    <t>S08g0801h20</t>
  </si>
  <si>
    <t>S08g0801h21</t>
  </si>
  <si>
    <t>S08g0801h22</t>
  </si>
  <si>
    <t>S08g0801h23</t>
  </si>
  <si>
    <t>S08g0801h24</t>
  </si>
  <si>
    <t>S09h0925h01</t>
  </si>
  <si>
    <t>S09h0925h02</t>
  </si>
  <si>
    <t>S09h0925h03</t>
  </si>
  <si>
    <t>S09h0925h04</t>
  </si>
  <si>
    <t>S09h0925h05</t>
  </si>
  <si>
    <t>S09h0925h06</t>
  </si>
  <si>
    <t>S09h0925h07</t>
  </si>
  <si>
    <t>S09h0925h08</t>
  </si>
  <si>
    <t>S09h0925h09</t>
  </si>
  <si>
    <t>S09h0925h10</t>
  </si>
  <si>
    <t>S09h0925h11</t>
  </si>
  <si>
    <t>S09h0925h12</t>
  </si>
  <si>
    <t>S09h0925h13</t>
  </si>
  <si>
    <t>S09h0925h14</t>
  </si>
  <si>
    <t>S09h0925h15</t>
  </si>
  <si>
    <t>S09h0925h16</t>
  </si>
  <si>
    <t>S09h0925h17</t>
  </si>
  <si>
    <t>S09h0925h18</t>
  </si>
  <si>
    <t>S09h0925h19</t>
  </si>
  <si>
    <t>S09h0925h20</t>
  </si>
  <si>
    <t>S09h0925h21</t>
  </si>
  <si>
    <t>S09h0925h22</t>
  </si>
  <si>
    <t>S09h0925h23</t>
  </si>
  <si>
    <t>S09h0925h24</t>
  </si>
  <si>
    <t>S09i0930h01</t>
  </si>
  <si>
    <t>S09i0930h02</t>
  </si>
  <si>
    <t>S09i0930h03</t>
  </si>
  <si>
    <t>S09i0930h04</t>
  </si>
  <si>
    <t>S09i0930h05</t>
  </si>
  <si>
    <t>S09i0930h06</t>
  </si>
  <si>
    <t>S09i0930h07</t>
  </si>
  <si>
    <t>S09i0930h08</t>
  </si>
  <si>
    <t>S09i0930h09</t>
  </si>
  <si>
    <t>S09i0930h10</t>
  </si>
  <si>
    <t>S09i0930h11</t>
  </si>
  <si>
    <t>S09i0930h12</t>
  </si>
  <si>
    <t>S09i0930h13</t>
  </si>
  <si>
    <t>S09i0930h14</t>
  </si>
  <si>
    <t>S09i0930h15</t>
  </si>
  <si>
    <t>S09i0930h16</t>
  </si>
  <si>
    <t>S09i0930h17</t>
  </si>
  <si>
    <t>S09i0930h18</t>
  </si>
  <si>
    <t>S09i0930h19</t>
  </si>
  <si>
    <t>S09i0930h20</t>
  </si>
  <si>
    <t>S09i0930h21</t>
  </si>
  <si>
    <t>S09i0930h22</t>
  </si>
  <si>
    <t>S09i0930h23</t>
  </si>
  <si>
    <t>S09i0930h24</t>
  </si>
  <si>
    <t>S10j1015h01</t>
  </si>
  <si>
    <t>S10j1015h02</t>
  </si>
  <si>
    <t>S10j1015h03</t>
  </si>
  <si>
    <t>S10j1015h04</t>
  </si>
  <si>
    <t>S10j1015h05</t>
  </si>
  <si>
    <t>S10j1015h06</t>
  </si>
  <si>
    <t>S10j1015h07</t>
  </si>
  <si>
    <t>S10j1015h08</t>
  </si>
  <si>
    <t>S10j1015h09</t>
  </si>
  <si>
    <t>S10j1015h10</t>
  </si>
  <si>
    <t>S10j1015h11</t>
  </si>
  <si>
    <t>S10j1015h12</t>
  </si>
  <si>
    <t>S10j1015h13</t>
  </si>
  <si>
    <t>S10j1015h14</t>
  </si>
  <si>
    <t>S10j1015h15</t>
  </si>
  <si>
    <t>S10j1015h16</t>
  </si>
  <si>
    <t>S10j1015h17</t>
  </si>
  <si>
    <t>S10j1015h18</t>
  </si>
  <si>
    <t>S10j1015h19</t>
  </si>
  <si>
    <t>S10j1015h20</t>
  </si>
  <si>
    <t>S10j1015h21</t>
  </si>
  <si>
    <t>S10j1015h22</t>
  </si>
  <si>
    <t>S10j1015h23</t>
  </si>
  <si>
    <t>S10j1015h24</t>
  </si>
  <si>
    <t>S02d0206h10,S03aH04,S05e0514h07,S05e0514h08,S08aH05,S09aH07,S09h0925h09,S09h0925h10,S11aH05,S12aH03,S02d0206h07,S03aH03,S05e0514h12,S05e0514h14,S06f0603h18,S08g0801h11,S09aH05,S12aH07,S01b0128h16,S02d0206h14,S08aH02,S08g0801h16,S09aH06,S09h0925h08,S09h0925h18,S01aH05,S01b0128h07,S01b0128h18,S01c0130h08,S01c0130h09,S01c0130h15,S02d0206h09,S02d0206h17,S02d0206h18,S03aH06,S03aH07,S05e0514h10,S06aH05,S08g0801h12,S08g0801h14,S08g0801h15,S09i0930h08,S10aH02,S10aH06,S10j1015h16,S11aH06,S12aH04,S12aH05,S01b0128h09,S02aH04,S02aH05,S05e0514h13,S05e0514h17,S06aH07,S07aH07,S08g0801h07,S10aH03,S10aH05,S01aH06,S01c0130h11,S02aH03,S05aH07,S06f0603h14,S07aH03,S08aH06,S08g0801h13,S08g0801h17,S09h0925h17,S10aH07,S10j1015h15,S01b0128h13,S02d0206h15,S04aH06,S05aH04,S06aH02,S06aH03,S06f0603h09,S09i0930h11,S09i0930h15,S10aH04,S12aH06,S01b0128h17,S02d0206h16,S04aH05,S05e0514h09,S06f0603h08,S09i0930h12,S10j1015h18,S02aH06,S03aH05,S04aH07,S05aH05,S06aH04,S06f0603h11,S06f0603h16,S08aH04,S11aH02,S01c0130h07,S01c0130h13,S04aH03,S06f0603h17,S07aH04,S08aH03,S08g0801h08,S08g0801h09,S09aH04,S09i0930h13,S10j1015h10,S10j1015h12,S10j1015h17,S11aH07,S12aH02,S01b0128h14,S01c0130h10,S03aH02,S06f0603h10,S07aH05,S08g0801h18,S09h0925h13,S09i0930h16,S01aH04,S01aH07,S01c0130h16,S02aH07,S02d0206h08,S05e0514h16,S06f0603h13,S06f0603h15,S07aH02,S07aH06,S09h0925h07,S09i0930h17,S09i0930h18,S02aH02,S05e0514h15,S06aH06,S06f0603h12,S09h0925h11,S09h0925h12,S09i0930h07,S09i0930h09,S10j1015h09,S10j1015h11,S01b0128h10,S01c0130h12,S01c0130h14,S04aH02,S05e0514h11,S08aH07,S09aH02,S09aH03,S09h0925h14,S10j1015h13,S11aH03,S11aH04,S01aH02,S01b0128h11,S01b0128h12,S01b0128h15,S01c0130h17,S01c0130h18,S02d0206h11,S04aH04,S05e0514h18,S06f0603h07,S08g0801h10,S10j1015h07,S01aH03,S01b0128h08,S02d0206h12,S02d0206h13,S05aH02,S05aH03,S05aH06,S09h0925h15,S09h0925h16,S09i0930h10,S09i0930h14,S10j1015h08,S10j1015h14</t>
  </si>
  <si>
    <t>S05aH01,S05e0514h20,S08g0801h20,S10j1015h03,S10j1015h04,S10j1015h06,S01c0130h23,S02d0206h05,S06f0603h02,S08g0801h21,S09h0925h19,S09i0930h06,S10j1015h19,S11aH08,S01b0128h01,S01b0128h06,S01b0128h23,S01c0130h01,S04aH08,S05e0514h05,S06aH01,S06f0603h24,S09h0925h01,S09h0925h22,S09i0930h02,S12aH08,S01c0130h02,S01c0130h20,S01c0130h24,S02d0206h06,S08g0801h03,S08g0801h05,S03aH08,S06aH08,S08g0801h23,S09h0925h04,S09h0925h06,S10j1015h20,S12aH01,S01aH01,S01b0128h02,S04aH01,S05e0514h02,S05e0514h03,S05e0514h06,S06f0603h03,S06f0603h20,S06f0603h21,S08g0801h02,S09aH08,S09h0925h02,S09i0930h19,S10j1015h02,S10j1015h24,S11aH01,S05e0514h01,S05e0514h24,S07aH01,S08g0801h06,S09h0925h24,S02d0206h03,S02d0206h21,S02d0206h24,S05aH08,S05e0514h04,S05e0514h21,S09i0930h03,S10aH08,S10j1015h22,S06f0603h23,S07aH08,S08aH08,S01b0128h19,S01c0130h22,S02aH01,S02d0206h22,S05e0514h19,S08g0801h22,S09i0930h22,S01b0128h05,S01c0130h21,S02d0206h04,S06f0603h19,S08g0801h24,S09h0925h20,S09h0925h23,S01b0128h04,S01c0130h19,S02d0206h02,S02d0206h19,S06f0603h04,S06f0603h05,S06f0603h22,S08aH01,S09h0925h21,S09i0930h20,S10aH01,S01c0130h05,S02d0206h20,S03aH01,S05e0514h22,S06f0603h01,S09h0925h03,S10j1015h21,S10j1015h23,S08g0801h19,S09i0930h01,S09i0930h23,S09i0930h24,S10j1015h01,S10j1015h05,S01aH08,S01b0128h03,S01b0128h20,S01b0128h21,S01b0128h22,S01b0128h24,S02aH08,S02d0206h23,S09i0930h04,S09i0930h21,S01c0130h03,S01c0130h04,S01c0130h06,S02d0206h01,S05e0514h23,S06f0603h06,S08g0801h01,S08g0801h04,S09aH01,S09h0925h05,S09i0930h05</t>
  </si>
  <si>
    <t>k</t>
  </si>
  <si>
    <t>l</t>
  </si>
  <si>
    <t>m</t>
  </si>
  <si>
    <t>n</t>
  </si>
  <si>
    <t>o</t>
  </si>
  <si>
    <t>p</t>
  </si>
  <si>
    <t>0129h01</t>
  </si>
  <si>
    <t>0129h02</t>
  </si>
  <si>
    <t>0129h03</t>
  </si>
  <si>
    <t>0129h04</t>
  </si>
  <si>
    <t>0129h05</t>
  </si>
  <si>
    <t>0129h06</t>
  </si>
  <si>
    <t>0129h07</t>
  </si>
  <si>
    <t>0129h08</t>
  </si>
  <si>
    <t>0129h09</t>
  </si>
  <si>
    <t>0129h10</t>
  </si>
  <si>
    <t>0129h11</t>
  </si>
  <si>
    <t>0129h12</t>
  </si>
  <si>
    <t>0129h13</t>
  </si>
  <si>
    <t>0129h14</t>
  </si>
  <si>
    <t>0129h15</t>
  </si>
  <si>
    <t>0129h16</t>
  </si>
  <si>
    <t>0129h17</t>
  </si>
  <si>
    <t>0129h18</t>
  </si>
  <si>
    <t>0129h19</t>
  </si>
  <si>
    <t>0129h20</t>
  </si>
  <si>
    <t>0129h21</t>
  </si>
  <si>
    <t>0129h22</t>
  </si>
  <si>
    <t>0129h23</t>
  </si>
  <si>
    <t>0129h24</t>
  </si>
  <si>
    <t>0205h01</t>
  </si>
  <si>
    <t>0205h02</t>
  </si>
  <si>
    <t>0205h03</t>
  </si>
  <si>
    <t>0205h04</t>
  </si>
  <si>
    <t>0205h05</t>
  </si>
  <si>
    <t>0205h06</t>
  </si>
  <si>
    <t>0205h07</t>
  </si>
  <si>
    <t>0205h08</t>
  </si>
  <si>
    <t>0205h09</t>
  </si>
  <si>
    <t>0205h10</t>
  </si>
  <si>
    <t>0205h11</t>
  </si>
  <si>
    <t>0205h12</t>
  </si>
  <si>
    <t>0205h13</t>
  </si>
  <si>
    <t>0205h14</t>
  </si>
  <si>
    <t>0205h15</t>
  </si>
  <si>
    <t>0205h16</t>
  </si>
  <si>
    <t>0205h17</t>
  </si>
  <si>
    <t>0205h18</t>
  </si>
  <si>
    <t>0205h19</t>
  </si>
  <si>
    <t>0205h20</t>
  </si>
  <si>
    <t>0205h21</t>
  </si>
  <si>
    <t>0205h22</t>
  </si>
  <si>
    <t>0205h23</t>
  </si>
  <si>
    <t>0205h24</t>
  </si>
  <si>
    <t>0730h01</t>
  </si>
  <si>
    <t>0730h02</t>
  </si>
  <si>
    <t>0730h03</t>
  </si>
  <si>
    <t>0730h04</t>
  </si>
  <si>
    <t>0730h05</t>
  </si>
  <si>
    <t>0730h06</t>
  </si>
  <si>
    <t>0730h07</t>
  </si>
  <si>
    <t>0730h08</t>
  </si>
  <si>
    <t>0730h09</t>
  </si>
  <si>
    <t>0730h10</t>
  </si>
  <si>
    <t>0730h11</t>
  </si>
  <si>
    <t>0730h12</t>
  </si>
  <si>
    <t>0730h13</t>
  </si>
  <si>
    <t>0730h14</t>
  </si>
  <si>
    <t>0730h15</t>
  </si>
  <si>
    <t>0730h16</t>
  </si>
  <si>
    <t>0730h17</t>
  </si>
  <si>
    <t>0730h18</t>
  </si>
  <si>
    <t>0730h19</t>
  </si>
  <si>
    <t>0730h20</t>
  </si>
  <si>
    <t>0730h21</t>
  </si>
  <si>
    <t>0730h22</t>
  </si>
  <si>
    <t>0730h23</t>
  </si>
  <si>
    <t>0730h24</t>
  </si>
  <si>
    <t>0816h01</t>
  </si>
  <si>
    <t>0816h02</t>
  </si>
  <si>
    <t>0816h03</t>
  </si>
  <si>
    <t>0816h04</t>
  </si>
  <si>
    <t>0816h05</t>
  </si>
  <si>
    <t>0816h06</t>
  </si>
  <si>
    <t>0816h07</t>
  </si>
  <si>
    <t>0816h08</t>
  </si>
  <si>
    <t>0816h09</t>
  </si>
  <si>
    <t>0816h10</t>
  </si>
  <si>
    <t>0816h11</t>
  </si>
  <si>
    <t>0816h12</t>
  </si>
  <si>
    <t>0816h13</t>
  </si>
  <si>
    <t>0816h14</t>
  </si>
  <si>
    <t>0816h15</t>
  </si>
  <si>
    <t>0816h16</t>
  </si>
  <si>
    <t>0816h17</t>
  </si>
  <si>
    <t>0816h18</t>
  </si>
  <si>
    <t>0816h19</t>
  </si>
  <si>
    <t>0816h20</t>
  </si>
  <si>
    <t>0816h21</t>
  </si>
  <si>
    <t>0816h22</t>
  </si>
  <si>
    <t>0816h23</t>
  </si>
  <si>
    <t>0816h24</t>
  </si>
  <si>
    <t>0929h01</t>
  </si>
  <si>
    <t>0929h02</t>
  </si>
  <si>
    <t>0929h03</t>
  </si>
  <si>
    <t>0929h04</t>
  </si>
  <si>
    <t>0929h05</t>
  </si>
  <si>
    <t>0929h06</t>
  </si>
  <si>
    <t>0929h07</t>
  </si>
  <si>
    <t>0929h08</t>
  </si>
  <si>
    <t>0929h09</t>
  </si>
  <si>
    <t>0929h10</t>
  </si>
  <si>
    <t>0929h11</t>
  </si>
  <si>
    <t>0929h12</t>
  </si>
  <si>
    <t>0929h13</t>
  </si>
  <si>
    <t>0929h14</t>
  </si>
  <si>
    <t>0929h15</t>
  </si>
  <si>
    <t>0929h16</t>
  </si>
  <si>
    <t>0929h17</t>
  </si>
  <si>
    <t>0929h18</t>
  </si>
  <si>
    <t>0929h19</t>
  </si>
  <si>
    <t>0929h20</t>
  </si>
  <si>
    <t>0929h21</t>
  </si>
  <si>
    <t>0929h22</t>
  </si>
  <si>
    <t>0929h23</t>
  </si>
  <si>
    <t>0929h24</t>
  </si>
  <si>
    <t>1008h01</t>
  </si>
  <si>
    <t>1008h02</t>
  </si>
  <si>
    <t>1008h03</t>
  </si>
  <si>
    <t>1008h04</t>
  </si>
  <si>
    <t>1008h05</t>
  </si>
  <si>
    <t>1008h06</t>
  </si>
  <si>
    <t>1008h07</t>
  </si>
  <si>
    <t>1008h08</t>
  </si>
  <si>
    <t>1008h09</t>
  </si>
  <si>
    <t>1008h10</t>
  </si>
  <si>
    <t>1008h11</t>
  </si>
  <si>
    <t>1008h12</t>
  </si>
  <si>
    <t>1008h13</t>
  </si>
  <si>
    <t>1008h14</t>
  </si>
  <si>
    <t>1008h15</t>
  </si>
  <si>
    <t>1008h16</t>
  </si>
  <si>
    <t>1008h17</t>
  </si>
  <si>
    <t>1008h18</t>
  </si>
  <si>
    <t>1008h19</t>
  </si>
  <si>
    <t>1008h20</t>
  </si>
  <si>
    <t>1008h21</t>
  </si>
  <si>
    <t>1008h22</t>
  </si>
  <si>
    <t>1008h23</t>
  </si>
  <si>
    <t>1008h24</t>
  </si>
  <si>
    <t>S01c0129h01</t>
  </si>
  <si>
    <t>S01c0129h02</t>
  </si>
  <si>
    <t>S01c0129h03</t>
  </si>
  <si>
    <t>S01c0129h04</t>
  </si>
  <si>
    <t>S01c0129h05</t>
  </si>
  <si>
    <t>S01c0129h06</t>
  </si>
  <si>
    <t>S01c0129h07</t>
  </si>
  <si>
    <t>S01c0129h08</t>
  </si>
  <si>
    <t>S01c0129h09</t>
  </si>
  <si>
    <t>S01c0129h10</t>
  </si>
  <si>
    <t>S01c0129h11</t>
  </si>
  <si>
    <t>S01c0129h12</t>
  </si>
  <si>
    <t>S01c0129h13</t>
  </si>
  <si>
    <t>S01c0129h14</t>
  </si>
  <si>
    <t>S01c0129h15</t>
  </si>
  <si>
    <t>S01c0129h16</t>
  </si>
  <si>
    <t>S01c0129h17</t>
  </si>
  <si>
    <t>S01c0129h18</t>
  </si>
  <si>
    <t>S01c0129h19</t>
  </si>
  <si>
    <t>S01c0129h20</t>
  </si>
  <si>
    <t>S01c0129h21</t>
  </si>
  <si>
    <t>S01c0129h22</t>
  </si>
  <si>
    <t>S01c0129h23</t>
  </si>
  <si>
    <t>S01c0129h24</t>
  </si>
  <si>
    <t>S01d0130h01</t>
  </si>
  <si>
    <t>S01d0130h02</t>
  </si>
  <si>
    <t>S01d0130h03</t>
  </si>
  <si>
    <t>S01d0130h04</t>
  </si>
  <si>
    <t>S01d0130h05</t>
  </si>
  <si>
    <t>S01d0130h06</t>
  </si>
  <si>
    <t>S01d0130h07</t>
  </si>
  <si>
    <t>S01d0130h08</t>
  </si>
  <si>
    <t>S01d0130h09</t>
  </si>
  <si>
    <t>S01d0130h10</t>
  </si>
  <si>
    <t>S01d0130h11</t>
  </si>
  <si>
    <t>S01d0130h12</t>
  </si>
  <si>
    <t>S01d0130h13</t>
  </si>
  <si>
    <t>S01d0130h14</t>
  </si>
  <si>
    <t>S01d0130h15</t>
  </si>
  <si>
    <t>S01d0130h16</t>
  </si>
  <si>
    <t>S01d0130h17</t>
  </si>
  <si>
    <t>S01d0130h18</t>
  </si>
  <si>
    <t>S01d0130h19</t>
  </si>
  <si>
    <t>S01d0130h20</t>
  </si>
  <si>
    <t>S01d0130h21</t>
  </si>
  <si>
    <t>S01d0130h22</t>
  </si>
  <si>
    <t>S01d0130h23</t>
  </si>
  <si>
    <t>S01d0130h24</t>
  </si>
  <si>
    <t>S02e0205h01</t>
  </si>
  <si>
    <t>S02e0205h02</t>
  </si>
  <si>
    <t>S02e0205h03</t>
  </si>
  <si>
    <t>S02e0205h04</t>
  </si>
  <si>
    <t>S02e0205h05</t>
  </si>
  <si>
    <t>S02e0205h06</t>
  </si>
  <si>
    <t>S02e0205h07</t>
  </si>
  <si>
    <t>S02e0205h08</t>
  </si>
  <si>
    <t>S02e0205h09</t>
  </si>
  <si>
    <t>S02e0205h10</t>
  </si>
  <si>
    <t>S02e0205h11</t>
  </si>
  <si>
    <t>S02e0205h12</t>
  </si>
  <si>
    <t>S02e0205h13</t>
  </si>
  <si>
    <t>S02e0205h14</t>
  </si>
  <si>
    <t>S02e0205h15</t>
  </si>
  <si>
    <t>S02e0205h16</t>
  </si>
  <si>
    <t>S02e0205h17</t>
  </si>
  <si>
    <t>S02e0205h18</t>
  </si>
  <si>
    <t>S02e0205h19</t>
  </si>
  <si>
    <t>S02e0205h20</t>
  </si>
  <si>
    <t>S02e0205h21</t>
  </si>
  <si>
    <t>S02e0205h22</t>
  </si>
  <si>
    <t>S02e0205h23</t>
  </si>
  <si>
    <t>S02e0205h24</t>
  </si>
  <si>
    <t>S02f0206h01</t>
  </si>
  <si>
    <t>S02f0206h02</t>
  </si>
  <si>
    <t>S02f0206h03</t>
  </si>
  <si>
    <t>S02f0206h04</t>
  </si>
  <si>
    <t>S02f0206h05</t>
  </si>
  <si>
    <t>S02f0206h06</t>
  </si>
  <si>
    <t>S02f0206h07</t>
  </si>
  <si>
    <t>S02f0206h08</t>
  </si>
  <si>
    <t>S02f0206h09</t>
  </si>
  <si>
    <t>S02f0206h10</t>
  </si>
  <si>
    <t>S02f0206h11</t>
  </si>
  <si>
    <t>S02f0206h12</t>
  </si>
  <si>
    <t>S02f0206h13</t>
  </si>
  <si>
    <t>S02f0206h14</t>
  </si>
  <si>
    <t>S02f0206h15</t>
  </si>
  <si>
    <t>S02f0206h16</t>
  </si>
  <si>
    <t>S02f0206h17</t>
  </si>
  <si>
    <t>S02f0206h18</t>
  </si>
  <si>
    <t>S02f0206h19</t>
  </si>
  <si>
    <t>S02f0206h20</t>
  </si>
  <si>
    <t>S02f0206h21</t>
  </si>
  <si>
    <t>S02f0206h22</t>
  </si>
  <si>
    <t>S02f0206h23</t>
  </si>
  <si>
    <t>S02f0206h24</t>
  </si>
  <si>
    <t>S05g0514h01</t>
  </si>
  <si>
    <t>S05g0514h02</t>
  </si>
  <si>
    <t>S05g0514h03</t>
  </si>
  <si>
    <t>S05g0514h04</t>
  </si>
  <si>
    <t>S05g0514h05</t>
  </si>
  <si>
    <t>S05g0514h06</t>
  </si>
  <si>
    <t>S05g0514h07</t>
  </si>
  <si>
    <t>S05g0514h08</t>
  </si>
  <si>
    <t>S05g0514h09</t>
  </si>
  <si>
    <t>S05g0514h10</t>
  </si>
  <si>
    <t>S05g0514h11</t>
  </si>
  <si>
    <t>S05g0514h12</t>
  </si>
  <si>
    <t>S05g0514h13</t>
  </si>
  <si>
    <t>S05g0514h14</t>
  </si>
  <si>
    <t>S05g0514h15</t>
  </si>
  <si>
    <t>S05g0514h16</t>
  </si>
  <si>
    <t>S05g0514h17</t>
  </si>
  <si>
    <t>S05g0514h18</t>
  </si>
  <si>
    <t>S05g0514h19</t>
  </si>
  <si>
    <t>S05g0514h20</t>
  </si>
  <si>
    <t>S05g0514h21</t>
  </si>
  <si>
    <t>S05g0514h22</t>
  </si>
  <si>
    <t>S05g0514h23</t>
  </si>
  <si>
    <t>S05g0514h24</t>
  </si>
  <si>
    <t>S06h0603h01</t>
  </si>
  <si>
    <t>S06h0603h02</t>
  </si>
  <si>
    <t>S06h0603h03</t>
  </si>
  <si>
    <t>S06h0603h04</t>
  </si>
  <si>
    <t>S06h0603h05</t>
  </si>
  <si>
    <t>S06h0603h06</t>
  </si>
  <si>
    <t>S06h0603h07</t>
  </si>
  <si>
    <t>S06h0603h08</t>
  </si>
  <si>
    <t>S06h0603h09</t>
  </si>
  <si>
    <t>S06h0603h10</t>
  </si>
  <si>
    <t>S06h0603h11</t>
  </si>
  <si>
    <t>S06h0603h12</t>
  </si>
  <si>
    <t>S06h0603h13</t>
  </si>
  <si>
    <t>S06h0603h14</t>
  </si>
  <si>
    <t>S06h0603h15</t>
  </si>
  <si>
    <t>S06h0603h16</t>
  </si>
  <si>
    <t>S06h0603h17</t>
  </si>
  <si>
    <t>S06h0603h18</t>
  </si>
  <si>
    <t>S06h0603h19</t>
  </si>
  <si>
    <t>S06h0603h20</t>
  </si>
  <si>
    <t>S06h0603h21</t>
  </si>
  <si>
    <t>S06h0603h22</t>
  </si>
  <si>
    <t>S06h0603h23</t>
  </si>
  <si>
    <t>S06h0603h24</t>
  </si>
  <si>
    <t>S07i0730h01</t>
  </si>
  <si>
    <t>S07i0730h02</t>
  </si>
  <si>
    <t>S07i0730h03</t>
  </si>
  <si>
    <t>S07i0730h04</t>
  </si>
  <si>
    <t>S07i0730h05</t>
  </si>
  <si>
    <t>S07i0730h06</t>
  </si>
  <si>
    <t>S07i0730h07</t>
  </si>
  <si>
    <t>S07i0730h08</t>
  </si>
  <si>
    <t>S07i0730h09</t>
  </si>
  <si>
    <t>S07i0730h10</t>
  </si>
  <si>
    <t>S07i0730h11</t>
  </si>
  <si>
    <t>S07i0730h12</t>
  </si>
  <si>
    <t>S07i0730h13</t>
  </si>
  <si>
    <t>S07i0730h14</t>
  </si>
  <si>
    <t>S07i0730h15</t>
  </si>
  <si>
    <t>S07i0730h16</t>
  </si>
  <si>
    <t>S07i0730h17</t>
  </si>
  <si>
    <t>S07i0730h18</t>
  </si>
  <si>
    <t>S07i0730h19</t>
  </si>
  <si>
    <t>S07i0730h20</t>
  </si>
  <si>
    <t>S07i0730h21</t>
  </si>
  <si>
    <t>S07i0730h22</t>
  </si>
  <si>
    <t>S07i0730h23</t>
  </si>
  <si>
    <t>S07i0730h24</t>
  </si>
  <si>
    <t>S08j0801h01</t>
  </si>
  <si>
    <t>S08j0801h02</t>
  </si>
  <si>
    <t>S08j0801h03</t>
  </si>
  <si>
    <t>S08j0801h04</t>
  </si>
  <si>
    <t>S08j0801h05</t>
  </si>
  <si>
    <t>S08j0801h06</t>
  </si>
  <si>
    <t>S08j0801h07</t>
  </si>
  <si>
    <t>S08j0801h08</t>
  </si>
  <si>
    <t>S08j0801h09</t>
  </si>
  <si>
    <t>S08j0801h10</t>
  </si>
  <si>
    <t>S08j0801h11</t>
  </si>
  <si>
    <t>S08j0801h12</t>
  </si>
  <si>
    <t>S08j0801h13</t>
  </si>
  <si>
    <t>S08j0801h14</t>
  </si>
  <si>
    <t>S08j0801h15</t>
  </si>
  <si>
    <t>S08j0801h16</t>
  </si>
  <si>
    <t>S08j0801h17</t>
  </si>
  <si>
    <t>S08j0801h18</t>
  </si>
  <si>
    <t>S08j0801h19</t>
  </si>
  <si>
    <t>S08j0801h20</t>
  </si>
  <si>
    <t>S08j0801h21</t>
  </si>
  <si>
    <t>S08j0801h22</t>
  </si>
  <si>
    <t>S08j0801h23</t>
  </si>
  <si>
    <t>S08j0801h24</t>
  </si>
  <si>
    <t>S08k0816h01</t>
  </si>
  <si>
    <t>S08k0816h02</t>
  </si>
  <si>
    <t>S08k0816h03</t>
  </si>
  <si>
    <t>S08k0816h04</t>
  </si>
  <si>
    <t>S08k0816h05</t>
  </si>
  <si>
    <t>S08k0816h06</t>
  </si>
  <si>
    <t>S08k0816h07</t>
  </si>
  <si>
    <t>S08k0816h08</t>
  </si>
  <si>
    <t>S08k0816h09</t>
  </si>
  <si>
    <t>S08k0816h10</t>
  </si>
  <si>
    <t>S08k0816h11</t>
  </si>
  <si>
    <t>S08k0816h12</t>
  </si>
  <si>
    <t>S08k0816h13</t>
  </si>
  <si>
    <t>S08k0816h14</t>
  </si>
  <si>
    <t>S08k0816h15</t>
  </si>
  <si>
    <t>S08k0816h16</t>
  </si>
  <si>
    <t>S08k0816h17</t>
  </si>
  <si>
    <t>S08k0816h18</t>
  </si>
  <si>
    <t>S08k0816h19</t>
  </si>
  <si>
    <t>S08k0816h20</t>
  </si>
  <si>
    <t>S08k0816h21</t>
  </si>
  <si>
    <t>S08k0816h22</t>
  </si>
  <si>
    <t>S08k0816h23</t>
  </si>
  <si>
    <t>S08k0816h24</t>
  </si>
  <si>
    <t>S09l0925h01</t>
  </si>
  <si>
    <t>S09l0925h02</t>
  </si>
  <si>
    <t>S09l0925h03</t>
  </si>
  <si>
    <t>S09l0925h04</t>
  </si>
  <si>
    <t>S09l0925h05</t>
  </si>
  <si>
    <t>S09l0925h06</t>
  </si>
  <si>
    <t>S09l0925h07</t>
  </si>
  <si>
    <t>S09l0925h08</t>
  </si>
  <si>
    <t>S09l0925h09</t>
  </si>
  <si>
    <t>S09l0925h10</t>
  </si>
  <si>
    <t>S09l0925h11</t>
  </si>
  <si>
    <t>S09l0925h12</t>
  </si>
  <si>
    <t>S09l0925h13</t>
  </si>
  <si>
    <t>S09l0925h14</t>
  </si>
  <si>
    <t>S09l0925h15</t>
  </si>
  <si>
    <t>S09l0925h16</t>
  </si>
  <si>
    <t>S09l0925h17</t>
  </si>
  <si>
    <t>S09l0925h18</t>
  </si>
  <si>
    <t>S09l0925h19</t>
  </si>
  <si>
    <t>S09l0925h20</t>
  </si>
  <si>
    <t>S09l0925h21</t>
  </si>
  <si>
    <t>S09l0925h22</t>
  </si>
  <si>
    <t>S09l0925h23</t>
  </si>
  <si>
    <t>S09l0925h24</t>
  </si>
  <si>
    <t>S09m0929h01</t>
  </si>
  <si>
    <t>S09m0929h02</t>
  </si>
  <si>
    <t>S09m0929h03</t>
  </si>
  <si>
    <t>S09m0929h04</t>
  </si>
  <si>
    <t>S09m0929h05</t>
  </si>
  <si>
    <t>S09m0929h06</t>
  </si>
  <si>
    <t>S09m0929h07</t>
  </si>
  <si>
    <t>S09m0929h08</t>
  </si>
  <si>
    <t>S09m0929h09</t>
  </si>
  <si>
    <t>S09m0929h10</t>
  </si>
  <si>
    <t>S09m0929h11</t>
  </si>
  <si>
    <t>S09m0929h12</t>
  </si>
  <si>
    <t>S09m0929h13</t>
  </si>
  <si>
    <t>S09m0929h14</t>
  </si>
  <si>
    <t>S09m0929h15</t>
  </si>
  <si>
    <t>S09m0929h16</t>
  </si>
  <si>
    <t>S09m0929h17</t>
  </si>
  <si>
    <t>S09m0929h18</t>
  </si>
  <si>
    <t>S09m0929h19</t>
  </si>
  <si>
    <t>S09m0929h20</t>
  </si>
  <si>
    <t>S09m0929h21</t>
  </si>
  <si>
    <t>S09m0929h22</t>
  </si>
  <si>
    <t>S09m0929h23</t>
  </si>
  <si>
    <t>S09m0929h24</t>
  </si>
  <si>
    <t>S09n0930h01</t>
  </si>
  <si>
    <t>S09n0930h02</t>
  </si>
  <si>
    <t>S09n0930h03</t>
  </si>
  <si>
    <t>S09n0930h04</t>
  </si>
  <si>
    <t>S09n0930h05</t>
  </si>
  <si>
    <t>S09n0930h06</t>
  </si>
  <si>
    <t>S09n0930h07</t>
  </si>
  <si>
    <t>S09n0930h08</t>
  </si>
  <si>
    <t>S09n0930h09</t>
  </si>
  <si>
    <t>S09n0930h10</t>
  </si>
  <si>
    <t>S09n0930h11</t>
  </si>
  <si>
    <t>S09n0930h12</t>
  </si>
  <si>
    <t>S09n0930h13</t>
  </si>
  <si>
    <t>S09n0930h14</t>
  </si>
  <si>
    <t>S09n0930h15</t>
  </si>
  <si>
    <t>S09n0930h16</t>
  </si>
  <si>
    <t>S09n0930h17</t>
  </si>
  <si>
    <t>S09n0930h18</t>
  </si>
  <si>
    <t>S09n0930h19</t>
  </si>
  <si>
    <t>S09n0930h20</t>
  </si>
  <si>
    <t>S09n0930h21</t>
  </si>
  <si>
    <t>S09n0930h22</t>
  </si>
  <si>
    <t>S09n0930h23</t>
  </si>
  <si>
    <t>S09n0930h24</t>
  </si>
  <si>
    <t>S10o1008h01</t>
  </si>
  <si>
    <t>S10o1008h02</t>
  </si>
  <si>
    <t>S10o1008h03</t>
  </si>
  <si>
    <t>S10o1008h04</t>
  </si>
  <si>
    <t>S10o1008h05</t>
  </si>
  <si>
    <t>S10o1008h06</t>
  </si>
  <si>
    <t>S10o1008h07</t>
  </si>
  <si>
    <t>S10o1008h08</t>
  </si>
  <si>
    <t>S10o1008h09</t>
  </si>
  <si>
    <t>S10o1008h10</t>
  </si>
  <si>
    <t>S10o1008h11</t>
  </si>
  <si>
    <t>S10o1008h12</t>
  </si>
  <si>
    <t>S10o1008h13</t>
  </si>
  <si>
    <t>S10o1008h14</t>
  </si>
  <si>
    <t>S10o1008h15</t>
  </si>
  <si>
    <t>S10o1008h16</t>
  </si>
  <si>
    <t>S10o1008h17</t>
  </si>
  <si>
    <t>S10o1008h18</t>
  </si>
  <si>
    <t>S10o1008h19</t>
  </si>
  <si>
    <t>S10o1008h20</t>
  </si>
  <si>
    <t>S10o1008h21</t>
  </si>
  <si>
    <t>S10o1008h22</t>
  </si>
  <si>
    <t>S10o1008h23</t>
  </si>
  <si>
    <t>S10o1008h24</t>
  </si>
  <si>
    <t>S10p1015h01</t>
  </si>
  <si>
    <t>S10p1015h02</t>
  </si>
  <si>
    <t>S10p1015h03</t>
  </si>
  <si>
    <t>S10p1015h04</t>
  </si>
  <si>
    <t>S10p1015h05</t>
  </si>
  <si>
    <t>S10p1015h06</t>
  </si>
  <si>
    <t>S10p1015h07</t>
  </si>
  <si>
    <t>S10p1015h08</t>
  </si>
  <si>
    <t>S10p1015h09</t>
  </si>
  <si>
    <t>S10p1015h10</t>
  </si>
  <si>
    <t>S10p1015h11</t>
  </si>
  <si>
    <t>S10p1015h12</t>
  </si>
  <si>
    <t>S10p1015h13</t>
  </si>
  <si>
    <t>S10p1015h14</t>
  </si>
  <si>
    <t>S10p1015h15</t>
  </si>
  <si>
    <t>S10p1015h16</t>
  </si>
  <si>
    <t>S10p1015h17</t>
  </si>
  <si>
    <t>S10p1015h18</t>
  </si>
  <si>
    <t>S10p1015h19</t>
  </si>
  <si>
    <t>S10p1015h20</t>
  </si>
  <si>
    <t>S10p1015h21</t>
  </si>
  <si>
    <t>S10p1015h22</t>
  </si>
  <si>
    <t>S10p1015h23</t>
  </si>
  <si>
    <t>S10p1015h24</t>
  </si>
  <si>
    <t>S01aH03,S01b0128h08,S01c0129h08,S01c0129h14,S01d0130h08,S01d0130h09,S02e0205h08,S02f0206h16,S05aH02,S05aH03,S05aH06,S08j0801h12,S08k0816h11,S09m0929h12,S09m0929h14,S10o1008h08,S10p1015h17,S01d0130h17,S02aH06,S02f0206h10,S02f0206h11,S03aH05,S04aH07,S05aH05,S06aH04,S08aH04,S08j0801h18,S10o1008h11,S10o1008h12,S10p1015h07,S10p1015h16,S11aH02,S01c0129h17,S01d0130h15,S02aH02,S02e0205h17,S05g0514h09,S05g0514h14,S06aH06,S06h0603h09,S07i0730h13,S07i0730h15,S07i0730h16,S08j0801h07,S08j0801h08,S08j0801h09,S08j0801h17,S09m0929h13,S09m0929h18,S09n0930h12,S10p1015h08,S01b0128h10,S01c0129h09,S01d0130h07,S02e0205h10,S02f0206h14,S04aH02,S05g0514h18,S08aH07,S09aH02,S09aH03,S10p1015h11,S11aH03,S11aH04,S01b0128h17,S01d0130h14,S01d0130h18,S04aH05,S05g0514h13,S06h0603h10,S07i0730h11,S08j0801h13,S09l0925h15,S09m0929h15,S01b0128h09,S02aH04,S02aH05,S02e0205h14,S02f0206h12,S06aH07,S06h0603h11,S07aH07,S07i0730h09,S08k0816h18,S09m0929h17,S10aH03,S10aH05,S01b0128h16,S01c0129h16,S01d0130h11,S02f0206h08,S02f0206h13,S05g0514h12,S05g0514h15,S06h0603h15,S07i0730h10,S07i0730h18,S08aH02,S08j0801h10,S09aH06,S10p1015h09,S10p1015h13,S01aH02,S01b0128h11,S01b0128h12,S01b0128h15,S01c0129h07,S02e0205h18,S04aH04,S07i0730h07,S07i0730h08,S07i0730h17,S08k0816h08,S09m0929h07,S09m0929h11,S09n0930h13,S10p1015h12,S10p1015h15,S01aH06,S02aH03,S02e0205h11,S02f0206h18,S05aH07,S05g0514h11,S07aH03,S08aH06,S08k0816h10,S09l0925h07,S09l0925h08,S09l0925h13,S09n0930h14,S09n0930h16,S10aH07,S10o1008h07,S10o1008h18,S01d0130h10,S01d0130h12,S02e0205h09,S02e0205h12,S02e0205h13,S02f0206h07,S04aH03,S05g0514h08,S07aH04,S08aH03,S08j0801h11,S08j0801h15,S08j0801h16,S08k0816h09,S08k0816h12,S09aH04,S09l0925h11,S09l0925h17,S09l0925h18,S09n0930h17,S10o1008h10,S10o1008h17,S10p1015h10,S11aH07,S12aH02,S01aH04,S01aH07,S01c0129h12,S02aH07,S02e0205h07,S02f0206h15,S06h0603h14,S07aH02,S07aH06,S08k0816h15,S08k0816h16,S09m0929h08,S10o1008h09,S10o1008h16,S02f0206h09,S03aH03,S05g0514h07,S05g0514h17,S07i0730h12,S07i0730h14,S09aH05,S09l0925h10,S09l0925h12,S09m0929h10,S09n0930h15,S09n0930h18,S10o1008h14,S12aH07,S01b0128h14,S01c0129h10,S01c0129h13,S01c0129h18,S02e0205h16,S03aH02,S05g0514h16,S07aH05,S08j0801h14,S08k0816h13,S09l0925h14,S09l0925h16,S09m0929h16,S10p1015h14,S01c0129h11,S01c0129h15,S02e0205h15,S03aH04,S05g0514h10,S06h0603h12,S06h0603h13,S08aH05,S08k0816h07,S08k0816h14,S08k0816h17,S09aH07,S09m0929h09,S09n0930h08,S10o1008h13,S10p1015h18,S11aH05,S12aH03,S01b0128h13,S04aH06,S05aH04,S06aH02,S06aH03,S06h0603h07,S06h0603h16,S09n0930h07,S10aH04,S10o1008h15,S12aH06,S01aH05,S01b0128h07,S01b0128h18,S01d0130h13,S01d0130h16,S02f0206h17,S03aH06,S03aH07,S06aH05,S06h0603h08,S06h0603h17,S06h0603h18,S09l0925h09,S09n0930h09,S09n0930h10,S09n0930h11,S10aH02,S10aH06,S11aH06,S12aH04,S12aH05</t>
  </si>
  <si>
    <t>S01d0130h19,S01d0130h20,S02e0205h03,S02f0206h05,S05g0514h22,S07i0730h19,S09aH01,S09n0930h03,S09n0930h21,S10p1015h03,S10p1015h23,S01d0130h02,S02f0206h03,S06h0603h01,S07aH08,S08aH08,S08j0801h21,S08k0816h19,S10o1008h02,S10o1008h06,S10p1015h06,S01c0129h05,S02e0205h24,S03aH01,S08j0801h05,S09m0929h19,S09n0930h06,S10o1008h20,S10p1015h19,S02e0205h01,S02f0206h21,S05g0514h04,S05g0514h23,S06h0603h03,S06h0603h21,S07i0730h04,S08k0816h04,S09l0925h04,S09l0925h20,S09m0929h20,S01c0129h01,S01c0129h06,S05aH08,S05g0514h19,S05g0514h24,S06h0603h23,S07i0730h01,S07i0730h23,S08j0801h03,S08k0816h01,S08k0816h05,S09l0925h01,S09n0930h01,S10aH08,S01c0129h02,S01c0129h23,S02e0205h19,S02e0205h21,S02f0206h24,S03aH08,S06aH08,S06h0603h02,S07i0730h22,S08k0816h03,S09l0925h06,S09l0925h23,S09n0930h05,S10o1008h22,S12aH01,S01b0128h01,S01b0128h06,S01b0128h23,S01c0129h03,S02f0206h06,S04aH08,S05g0514h02,S06aH01,S07i0730h21,S08j0801h02,S08j0801h20,S08j0801h24,S09l0925h19,S09m0929h06,S09m0929h23,S09n0930h24,S10o1008h05,S10o1008h21,S10p1015h22,S12aH08,S01aH08,S01b0128h03,S01b0128h20,S01b0128h21,S01b0128h22,S01b0128h24,S01c0129h04,S02aH08,S02f0206h19,S08k0816h20,S08k0816h22,S09m0929h03,S09m0929h05,S01aH01,S01b0128h02,S02e0205h20,S02f0206h04,S04aH01,S05g0514h03,S05g0514h05,S05g0514h21,S06h0603h06,S06h0603h19,S06h0603h22,S08j0801h06,S09aH08,S09l0925h22,S09l0925h24,S09n0930h22,S09n0930h23,S10o1008h03,S10p1015h21,S11aH01,S01b0128h19,S02aH01,S02e0205h02,S02e0205h04,S02e0205h05,S02f0206h01,S05g0514h01,S05g0514h20,S06h0603h24,S08k0816h06,S09m0929h04,S09m0929h22,S09n0930h02,S10o1008h04,S01b0128h04,S01c0129h21,S01c0129h22,S01d0130h04,S02f0206h23,S08aH01,S08j0801h19,S08j0801h23,S08k0816h21,S10aH01,S01d0130h24,S02f0206h02,S06h0603h05,S07i0730h03,S07i0730h20,S08j0801h01,S08j0801h22,S08k0816h23,S11aH08,S01b0128h05,S01c0129h24,S01d0130h03,S02e0205h23,S09l0925h03,S09n0930h19,S10p1015h04,S10p1015h20,S01d0130h01,S01d0130h05,S01d0130h06,S05aH01,S07i0730h05,S08k0816h24,S09l0925h02,S09l0925h21,S10o1008h19,S10p1015h01,S10p1015h05,S01c0129h20,S02e0205h22,S02f0206h20,S05g0514h06,S06h0603h20,S07aH01,S07i0730h02,S07i0730h06,S08k0816h02,S09m0929h02,S09m0929h21,S09m0929h24,S09n0930h20,S10o1008h01,S10o1008h23,S01c0129h19,S01d0130h21,S01d0130h22,S01d0130h23,S02e0205h06,S02f0206h22,S06h0603h04,S07i0730h24,S08j0801h04,S09l0925h05,S09m0929h01,S09n0930h04,S10o1008h24,S10p1015h02,S10p1015h24</t>
  </si>
  <si>
    <t>0806h01</t>
  </si>
  <si>
    <t>0806h02</t>
  </si>
  <si>
    <t>0806h03</t>
  </si>
  <si>
    <t>0806h04</t>
  </si>
  <si>
    <t>0806h05</t>
  </si>
  <si>
    <t>0806h06</t>
  </si>
  <si>
    <t>0806h07</t>
  </si>
  <si>
    <t>0806h08</t>
  </si>
  <si>
    <t>0806h09</t>
  </si>
  <si>
    <t>0806h10</t>
  </si>
  <si>
    <t>0806h11</t>
  </si>
  <si>
    <t>0806h12</t>
  </si>
  <si>
    <t>0806h13</t>
  </si>
  <si>
    <t>0806h14</t>
  </si>
  <si>
    <t>0806h15</t>
  </si>
  <si>
    <t>0806h16</t>
  </si>
  <si>
    <t>0806h17</t>
  </si>
  <si>
    <t>0806h18</t>
  </si>
  <si>
    <t>0806h19</t>
  </si>
  <si>
    <t>0806h20</t>
  </si>
  <si>
    <t>0806h21</t>
  </si>
  <si>
    <t>0806h22</t>
  </si>
  <si>
    <t>0806h23</t>
  </si>
  <si>
    <t>0806h24</t>
  </si>
  <si>
    <t>0807h01</t>
  </si>
  <si>
    <t>0807h02</t>
  </si>
  <si>
    <t>0807h03</t>
  </si>
  <si>
    <t>0807h04</t>
  </si>
  <si>
    <t>0807h05</t>
  </si>
  <si>
    <t>0807h06</t>
  </si>
  <si>
    <t>0807h07</t>
  </si>
  <si>
    <t>0807h08</t>
  </si>
  <si>
    <t>0807h09</t>
  </si>
  <si>
    <t>0807h10</t>
  </si>
  <si>
    <t>0807h11</t>
  </si>
  <si>
    <t>0807h12</t>
  </si>
  <si>
    <t>0807h13</t>
  </si>
  <si>
    <t>0807h14</t>
  </si>
  <si>
    <t>0807h15</t>
  </si>
  <si>
    <t>0807h16</t>
  </si>
  <si>
    <t>0807h17</t>
  </si>
  <si>
    <t>0807h18</t>
  </si>
  <si>
    <t>0807h19</t>
  </si>
  <si>
    <t>0807h20</t>
  </si>
  <si>
    <t>0807h21</t>
  </si>
  <si>
    <t>0807h22</t>
  </si>
  <si>
    <t>0807h23</t>
  </si>
  <si>
    <t>0807h24</t>
  </si>
  <si>
    <t>0808h01</t>
  </si>
  <si>
    <t>0808h02</t>
  </si>
  <si>
    <t>0808h03</t>
  </si>
  <si>
    <t>0808h04</t>
  </si>
  <si>
    <t>0808h05</t>
  </si>
  <si>
    <t>0808h06</t>
  </si>
  <si>
    <t>0808h07</t>
  </si>
  <si>
    <t>0808h08</t>
  </si>
  <si>
    <t>0808h09</t>
  </si>
  <si>
    <t>0808h10</t>
  </si>
  <si>
    <t>0808h11</t>
  </si>
  <si>
    <t>0808h12</t>
  </si>
  <si>
    <t>0808h13</t>
  </si>
  <si>
    <t>0808h14</t>
  </si>
  <si>
    <t>0808h15</t>
  </si>
  <si>
    <t>0808h16</t>
  </si>
  <si>
    <t>0808h17</t>
  </si>
  <si>
    <t>0808h18</t>
  </si>
  <si>
    <t>0808h19</t>
  </si>
  <si>
    <t>0808h20</t>
  </si>
  <si>
    <t>0808h21</t>
  </si>
  <si>
    <t>0808h22</t>
  </si>
  <si>
    <t>0808h23</t>
  </si>
  <si>
    <t>0808h24</t>
  </si>
  <si>
    <t>0809h01</t>
  </si>
  <si>
    <t>0809h02</t>
  </si>
  <si>
    <t>0809h03</t>
  </si>
  <si>
    <t>0809h04</t>
  </si>
  <si>
    <t>0809h05</t>
  </si>
  <si>
    <t>0809h06</t>
  </si>
  <si>
    <t>0809h07</t>
  </si>
  <si>
    <t>0809h08</t>
  </si>
  <si>
    <t>0809h09</t>
  </si>
  <si>
    <t>0809h10</t>
  </si>
  <si>
    <t>0809h11</t>
  </si>
  <si>
    <t>0809h12</t>
  </si>
  <si>
    <t>0809h13</t>
  </si>
  <si>
    <t>0809h14</t>
  </si>
  <si>
    <t>0809h15</t>
  </si>
  <si>
    <t>0809h16</t>
  </si>
  <si>
    <t>0809h17</t>
  </si>
  <si>
    <t>0809h18</t>
  </si>
  <si>
    <t>0809h19</t>
  </si>
  <si>
    <t>0809h20</t>
  </si>
  <si>
    <t>0809h21</t>
  </si>
  <si>
    <t>0809h22</t>
  </si>
  <si>
    <t>0809h23</t>
  </si>
  <si>
    <t>0809h24</t>
  </si>
  <si>
    <t>0810h01</t>
  </si>
  <si>
    <t>0810h02</t>
  </si>
  <si>
    <t>0810h03</t>
  </si>
  <si>
    <t>0810h04</t>
  </si>
  <si>
    <t>0810h05</t>
  </si>
  <si>
    <t>0810h06</t>
  </si>
  <si>
    <t>0810h07</t>
  </si>
  <si>
    <t>0810h08</t>
  </si>
  <si>
    <t>0810h09</t>
  </si>
  <si>
    <t>0810h10</t>
  </si>
  <si>
    <t>0810h11</t>
  </si>
  <si>
    <t>0810h12</t>
  </si>
  <si>
    <t>0810h13</t>
  </si>
  <si>
    <t>0810h14</t>
  </si>
  <si>
    <t>0810h15</t>
  </si>
  <si>
    <t>0810h16</t>
  </si>
  <si>
    <t>0810h17</t>
  </si>
  <si>
    <t>0810h18</t>
  </si>
  <si>
    <t>0810h19</t>
  </si>
  <si>
    <t>0810h20</t>
  </si>
  <si>
    <t>0810h21</t>
  </si>
  <si>
    <t>0810h22</t>
  </si>
  <si>
    <t>0810h23</t>
  </si>
  <si>
    <t>0810h24</t>
  </si>
  <si>
    <t>0811h01</t>
  </si>
  <si>
    <t>0811h02</t>
  </si>
  <si>
    <t>0811h03</t>
  </si>
  <si>
    <t>0811h04</t>
  </si>
  <si>
    <t>0811h05</t>
  </si>
  <si>
    <t>0811h06</t>
  </si>
  <si>
    <t>0811h07</t>
  </si>
  <si>
    <t>0811h08</t>
  </si>
  <si>
    <t>0811h09</t>
  </si>
  <si>
    <t>0811h10</t>
  </si>
  <si>
    <t>0811h11</t>
  </si>
  <si>
    <t>0811h12</t>
  </si>
  <si>
    <t>0811h13</t>
  </si>
  <si>
    <t>0811h14</t>
  </si>
  <si>
    <t>0811h15</t>
  </si>
  <si>
    <t>0811h16</t>
  </si>
  <si>
    <t>0811h17</t>
  </si>
  <si>
    <t>0811h18</t>
  </si>
  <si>
    <t>0811h19</t>
  </si>
  <si>
    <t>0811h20</t>
  </si>
  <si>
    <t>0811h21</t>
  </si>
  <si>
    <t>0811h22</t>
  </si>
  <si>
    <t>0811h23</t>
  </si>
  <si>
    <t>0811h24</t>
  </si>
  <si>
    <t>0812h01</t>
  </si>
  <si>
    <t>0812h02</t>
  </si>
  <si>
    <t>0812h03</t>
  </si>
  <si>
    <t>0812h04</t>
  </si>
  <si>
    <t>0812h05</t>
  </si>
  <si>
    <t>0812h06</t>
  </si>
  <si>
    <t>0812h07</t>
  </si>
  <si>
    <t>0812h08</t>
  </si>
  <si>
    <t>0812h09</t>
  </si>
  <si>
    <t>0812h10</t>
  </si>
  <si>
    <t>0812h11</t>
  </si>
  <si>
    <t>0812h12</t>
  </si>
  <si>
    <t>0812h13</t>
  </si>
  <si>
    <t>0812h14</t>
  </si>
  <si>
    <t>0812h15</t>
  </si>
  <si>
    <t>0812h16</t>
  </si>
  <si>
    <t>0812h17</t>
  </si>
  <si>
    <t>0812h18</t>
  </si>
  <si>
    <t>0812h19</t>
  </si>
  <si>
    <t>0812h20</t>
  </si>
  <si>
    <t>0812h21</t>
  </si>
  <si>
    <t>0812h22</t>
  </si>
  <si>
    <t>0812h23</t>
  </si>
  <si>
    <t>0812h24</t>
  </si>
  <si>
    <t>0924h01</t>
  </si>
  <si>
    <t>0924h02</t>
  </si>
  <si>
    <t>0924h03</t>
  </si>
  <si>
    <t>0924h04</t>
  </si>
  <si>
    <t>0924h05</t>
  </si>
  <si>
    <t>0924h06</t>
  </si>
  <si>
    <t>0924h07</t>
  </si>
  <si>
    <t>0924h08</t>
  </si>
  <si>
    <t>0924h09</t>
  </si>
  <si>
    <t>0924h10</t>
  </si>
  <si>
    <t>0924h11</t>
  </si>
  <si>
    <t>0924h12</t>
  </si>
  <si>
    <t>0924h13</t>
  </si>
  <si>
    <t>0924h14</t>
  </si>
  <si>
    <t>0924h15</t>
  </si>
  <si>
    <t>0924h16</t>
  </si>
  <si>
    <t>0924h17</t>
  </si>
  <si>
    <t>0924h18</t>
  </si>
  <si>
    <t>0924h19</t>
  </si>
  <si>
    <t>0924h20</t>
  </si>
  <si>
    <t>0924h21</t>
  </si>
  <si>
    <t>0924h22</t>
  </si>
  <si>
    <t>0924h23</t>
  </si>
  <si>
    <t>0924h24</t>
  </si>
  <si>
    <t>0926h01</t>
  </si>
  <si>
    <t>0926h02</t>
  </si>
  <si>
    <t>0926h03</t>
  </si>
  <si>
    <t>0926h04</t>
  </si>
  <si>
    <t>0926h05</t>
  </si>
  <si>
    <t>0926h06</t>
  </si>
  <si>
    <t>0926h07</t>
  </si>
  <si>
    <t>0926h08</t>
  </si>
  <si>
    <t>0926h09</t>
  </si>
  <si>
    <t>0926h10</t>
  </si>
  <si>
    <t>0926h11</t>
  </si>
  <si>
    <t>0926h12</t>
  </si>
  <si>
    <t>0926h13</t>
  </si>
  <si>
    <t>0926h14</t>
  </si>
  <si>
    <t>0926h15</t>
  </si>
  <si>
    <t>0926h16</t>
  </si>
  <si>
    <t>0926h17</t>
  </si>
  <si>
    <t>0926h18</t>
  </si>
  <si>
    <t>0926h19</t>
  </si>
  <si>
    <t>0926h20</t>
  </si>
  <si>
    <t>0926h21</t>
  </si>
  <si>
    <t>0926h22</t>
  </si>
  <si>
    <t>0926h23</t>
  </si>
  <si>
    <t>0926h24</t>
  </si>
  <si>
    <t>0927h01</t>
  </si>
  <si>
    <t>0927h02</t>
  </si>
  <si>
    <t>0927h03</t>
  </si>
  <si>
    <t>0927h04</t>
  </si>
  <si>
    <t>0927h05</t>
  </si>
  <si>
    <t>0927h06</t>
  </si>
  <si>
    <t>0927h07</t>
  </si>
  <si>
    <t>0927h08</t>
  </si>
  <si>
    <t>0927h09</t>
  </si>
  <si>
    <t>0927h10</t>
  </si>
  <si>
    <t>0927h11</t>
  </si>
  <si>
    <t>0927h12</t>
  </si>
  <si>
    <t>0927h13</t>
  </si>
  <si>
    <t>0927h14</t>
  </si>
  <si>
    <t>0927h15</t>
  </si>
  <si>
    <t>0927h16</t>
  </si>
  <si>
    <t>0927h17</t>
  </si>
  <si>
    <t>0927h18</t>
  </si>
  <si>
    <t>0927h19</t>
  </si>
  <si>
    <t>0927h20</t>
  </si>
  <si>
    <t>0927h21</t>
  </si>
  <si>
    <t>0927h22</t>
  </si>
  <si>
    <t>0927h23</t>
  </si>
  <si>
    <t>0927h24</t>
  </si>
  <si>
    <t>0928h01</t>
  </si>
  <si>
    <t>0928h02</t>
  </si>
  <si>
    <t>0928h03</t>
  </si>
  <si>
    <t>0928h04</t>
  </si>
  <si>
    <t>0928h05</t>
  </si>
  <si>
    <t>0928h06</t>
  </si>
  <si>
    <t>0928h07</t>
  </si>
  <si>
    <t>0928h08</t>
  </si>
  <si>
    <t>0928h09</t>
  </si>
  <si>
    <t>0928h10</t>
  </si>
  <si>
    <t>0928h11</t>
  </si>
  <si>
    <t>0928h12</t>
  </si>
  <si>
    <t>0928h13</t>
  </si>
  <si>
    <t>0928h14</t>
  </si>
  <si>
    <t>0928h15</t>
  </si>
  <si>
    <t>0928h16</t>
  </si>
  <si>
    <t>0928h17</t>
  </si>
  <si>
    <t>0928h18</t>
  </si>
  <si>
    <t>0928h19</t>
  </si>
  <si>
    <t>0928h20</t>
  </si>
  <si>
    <t>0928h21</t>
  </si>
  <si>
    <t>0928h22</t>
  </si>
  <si>
    <t>0928h23</t>
  </si>
  <si>
    <t>0928h24</t>
  </si>
  <si>
    <t>S08b0806h01</t>
  </si>
  <si>
    <t>S08b0806h02</t>
  </si>
  <si>
    <t>S08b0806h03</t>
  </si>
  <si>
    <t>S08b0806h04</t>
  </si>
  <si>
    <t>S08b0806h05</t>
  </si>
  <si>
    <t>S08b0806h06</t>
  </si>
  <si>
    <t>S08b0806h07</t>
  </si>
  <si>
    <t>S08b0806h08</t>
  </si>
  <si>
    <t>S08b0806h09</t>
  </si>
  <si>
    <t>S08b0806h10</t>
  </si>
  <si>
    <t>S08b0806h11</t>
  </si>
  <si>
    <t>S08b0806h12</t>
  </si>
  <si>
    <t>S08b0806h13</t>
  </si>
  <si>
    <t>S08b0806h14</t>
  </si>
  <si>
    <t>S08b0806h15</t>
  </si>
  <si>
    <t>S08b0806h16</t>
  </si>
  <si>
    <t>S08b0806h17</t>
  </si>
  <si>
    <t>S08b0806h18</t>
  </si>
  <si>
    <t>S08b0806h19</t>
  </si>
  <si>
    <t>S08b0806h20</t>
  </si>
  <si>
    <t>S08b0806h21</t>
  </si>
  <si>
    <t>S08b0806h22</t>
  </si>
  <si>
    <t>S08b0806h23</t>
  </si>
  <si>
    <t>S08b0806h24</t>
  </si>
  <si>
    <t>S08b0807h01</t>
  </si>
  <si>
    <t>S08b0807h02</t>
  </si>
  <si>
    <t>S08b0807h03</t>
  </si>
  <si>
    <t>S08b0807h04</t>
  </si>
  <si>
    <t>S08b0807h05</t>
  </si>
  <si>
    <t>S08b0807h06</t>
  </si>
  <si>
    <t>S08b0807h07</t>
  </si>
  <si>
    <t>S08b0807h08</t>
  </si>
  <si>
    <t>S08b0807h09</t>
  </si>
  <si>
    <t>S08b0807h10</t>
  </si>
  <si>
    <t>S08b0807h11</t>
  </si>
  <si>
    <t>S08b0807h12</t>
  </si>
  <si>
    <t>S08b0807h13</t>
  </si>
  <si>
    <t>S08b0807h14</t>
  </si>
  <si>
    <t>S08b0807h15</t>
  </si>
  <si>
    <t>S08b0807h16</t>
  </si>
  <si>
    <t>S08b0807h17</t>
  </si>
  <si>
    <t>S08b0807h18</t>
  </si>
  <si>
    <t>S08b0807h19</t>
  </si>
  <si>
    <t>S08b0807h20</t>
  </si>
  <si>
    <t>S08b0807h21</t>
  </si>
  <si>
    <t>S08b0807h22</t>
  </si>
  <si>
    <t>S08b0807h23</t>
  </si>
  <si>
    <t>S08b0807h24</t>
  </si>
  <si>
    <t>S08b0808h01</t>
  </si>
  <si>
    <t>S08b0808h02</t>
  </si>
  <si>
    <t>S08b0808h03</t>
  </si>
  <si>
    <t>S08b0808h04</t>
  </si>
  <si>
    <t>S08b0808h05</t>
  </si>
  <si>
    <t>S08b0808h06</t>
  </si>
  <si>
    <t>S08b0808h07</t>
  </si>
  <si>
    <t>S08b0808h08</t>
  </si>
  <si>
    <t>S08b0808h09</t>
  </si>
  <si>
    <t>S08b0808h10</t>
  </si>
  <si>
    <t>S08b0808h11</t>
  </si>
  <si>
    <t>S08b0808h12</t>
  </si>
  <si>
    <t>S08b0808h13</t>
  </si>
  <si>
    <t>S08b0808h14</t>
  </si>
  <si>
    <t>S08b0808h15</t>
  </si>
  <si>
    <t>S08b0808h16</t>
  </si>
  <si>
    <t>S08b0808h17</t>
  </si>
  <si>
    <t>S08b0808h18</t>
  </si>
  <si>
    <t>S08b0808h19</t>
  </si>
  <si>
    <t>S08b0808h20</t>
  </si>
  <si>
    <t>S08b0808h21</t>
  </si>
  <si>
    <t>S08b0808h22</t>
  </si>
  <si>
    <t>S08b0808h23</t>
  </si>
  <si>
    <t>S08b0808h24</t>
  </si>
  <si>
    <t>S08b0809h01</t>
  </si>
  <si>
    <t>S08b0809h02</t>
  </si>
  <si>
    <t>S08b0809h03</t>
  </si>
  <si>
    <t>S08b0809h04</t>
  </si>
  <si>
    <t>S08b0809h05</t>
  </si>
  <si>
    <t>S08b0809h06</t>
  </si>
  <si>
    <t>S08b0809h07</t>
  </si>
  <si>
    <t>S08b0809h08</t>
  </si>
  <si>
    <t>S08b0809h09</t>
  </si>
  <si>
    <t>S08b0809h10</t>
  </si>
  <si>
    <t>S08b0809h11</t>
  </si>
  <si>
    <t>S08b0809h12</t>
  </si>
  <si>
    <t>S08b0809h13</t>
  </si>
  <si>
    <t>S08b0809h14</t>
  </si>
  <si>
    <t>S08b0809h15</t>
  </si>
  <si>
    <t>S08b0809h16</t>
  </si>
  <si>
    <t>S08b0809h17</t>
  </si>
  <si>
    <t>S08b0809h18</t>
  </si>
  <si>
    <t>S08b0809h19</t>
  </si>
  <si>
    <t>S08b0809h20</t>
  </si>
  <si>
    <t>S08b0809h21</t>
  </si>
  <si>
    <t>S08b0809h22</t>
  </si>
  <si>
    <t>S08b0809h23</t>
  </si>
  <si>
    <t>S08b0809h24</t>
  </si>
  <si>
    <t>S08b0810h01</t>
  </si>
  <si>
    <t>S08b0810h02</t>
  </si>
  <si>
    <t>S08b0810h03</t>
  </si>
  <si>
    <t>S08b0810h04</t>
  </si>
  <si>
    <t>S08b0810h05</t>
  </si>
  <si>
    <t>S08b0810h06</t>
  </si>
  <si>
    <t>S08b0810h07</t>
  </si>
  <si>
    <t>S08b0810h08</t>
  </si>
  <si>
    <t>S08b0810h09</t>
  </si>
  <si>
    <t>S08b0810h10</t>
  </si>
  <si>
    <t>S08b0810h11</t>
  </si>
  <si>
    <t>S08b0810h12</t>
  </si>
  <si>
    <t>S08b0810h13</t>
  </si>
  <si>
    <t>S08b0810h14</t>
  </si>
  <si>
    <t>S08b0810h15</t>
  </si>
  <si>
    <t>S08b0810h16</t>
  </si>
  <si>
    <t>S08b0810h17</t>
  </si>
  <si>
    <t>S08b0810h18</t>
  </si>
  <si>
    <t>S08b0810h19</t>
  </si>
  <si>
    <t>S08b0810h20</t>
  </si>
  <si>
    <t>S08b0810h21</t>
  </si>
  <si>
    <t>S08b0810h22</t>
  </si>
  <si>
    <t>S08b0810h23</t>
  </si>
  <si>
    <t>S08b0810h24</t>
  </si>
  <si>
    <t>S08b0811h01</t>
  </si>
  <si>
    <t>S08b0811h02</t>
  </si>
  <si>
    <t>S08b0811h03</t>
  </si>
  <si>
    <t>S08b0811h04</t>
  </si>
  <si>
    <t>S08b0811h05</t>
  </si>
  <si>
    <t>S08b0811h06</t>
  </si>
  <si>
    <t>S08b0811h07</t>
  </si>
  <si>
    <t>S08b0811h08</t>
  </si>
  <si>
    <t>S08b0811h09</t>
  </si>
  <si>
    <t>S08b0811h10</t>
  </si>
  <si>
    <t>S08b0811h11</t>
  </si>
  <si>
    <t>S08b0811h12</t>
  </si>
  <si>
    <t>S08b0811h13</t>
  </si>
  <si>
    <t>S08b0811h14</t>
  </si>
  <si>
    <t>S08b0811h15</t>
  </si>
  <si>
    <t>S08b0811h16</t>
  </si>
  <si>
    <t>S08b0811h17</t>
  </si>
  <si>
    <t>S08b0811h18</t>
  </si>
  <si>
    <t>S08b0811h19</t>
  </si>
  <si>
    <t>S08b0811h20</t>
  </si>
  <si>
    <t>S08b0811h21</t>
  </si>
  <si>
    <t>S08b0811h22</t>
  </si>
  <si>
    <t>S08b0811h23</t>
  </si>
  <si>
    <t>S08b0811h24</t>
  </si>
  <si>
    <t>S08b0812h01</t>
  </si>
  <si>
    <t>S08b0812h02</t>
  </si>
  <si>
    <t>S08b0812h03</t>
  </si>
  <si>
    <t>S08b0812h04</t>
  </si>
  <si>
    <t>S08b0812h05</t>
  </si>
  <si>
    <t>S08b0812h06</t>
  </si>
  <si>
    <t>S08b0812h07</t>
  </si>
  <si>
    <t>S08b0812h08</t>
  </si>
  <si>
    <t>S08b0812h09</t>
  </si>
  <si>
    <t>S08b0812h10</t>
  </si>
  <si>
    <t>S08b0812h11</t>
  </si>
  <si>
    <t>S08b0812h12</t>
  </si>
  <si>
    <t>S08b0812h13</t>
  </si>
  <si>
    <t>S08b0812h14</t>
  </si>
  <si>
    <t>S08b0812h15</t>
  </si>
  <si>
    <t>S08b0812h16</t>
  </si>
  <si>
    <t>S08b0812h17</t>
  </si>
  <si>
    <t>S08b0812h18</t>
  </si>
  <si>
    <t>S08b0812h19</t>
  </si>
  <si>
    <t>S08b0812h20</t>
  </si>
  <si>
    <t>S08b0812h21</t>
  </si>
  <si>
    <t>S08b0812h22</t>
  </si>
  <si>
    <t>S08b0812h23</t>
  </si>
  <si>
    <t>S08b0812h24</t>
  </si>
  <si>
    <t>S09c0924h01</t>
  </si>
  <si>
    <t>S09c0924h02</t>
  </si>
  <si>
    <t>S09c0924h03</t>
  </si>
  <si>
    <t>S09c0924h04</t>
  </si>
  <si>
    <t>S09c0924h05</t>
  </si>
  <si>
    <t>S09c0924h06</t>
  </si>
  <si>
    <t>S09c0924h07</t>
  </si>
  <si>
    <t>S09c0924h08</t>
  </si>
  <si>
    <t>S09c0924h09</t>
  </si>
  <si>
    <t>S09c0924h10</t>
  </si>
  <si>
    <t>S09c0924h11</t>
  </si>
  <si>
    <t>S09c0924h12</t>
  </si>
  <si>
    <t>S09c0924h13</t>
  </si>
  <si>
    <t>S09c0924h14</t>
  </si>
  <si>
    <t>S09c0924h15</t>
  </si>
  <si>
    <t>S09c0924h16</t>
  </si>
  <si>
    <t>S09c0924h17</t>
  </si>
  <si>
    <t>S09c0924h18</t>
  </si>
  <si>
    <t>S09c0924h19</t>
  </si>
  <si>
    <t>S09c0924h20</t>
  </si>
  <si>
    <t>S09c0924h21</t>
  </si>
  <si>
    <t>S09c0924h22</t>
  </si>
  <si>
    <t>S09c0924h23</t>
  </si>
  <si>
    <t>S09c0924h24</t>
  </si>
  <si>
    <t>S09c0925h01</t>
  </si>
  <si>
    <t>S09c0925h02</t>
  </si>
  <si>
    <t>S09c0925h03</t>
  </si>
  <si>
    <t>S09c0925h04</t>
  </si>
  <si>
    <t>S09c0925h05</t>
  </si>
  <si>
    <t>S09c0925h06</t>
  </si>
  <si>
    <t>S09c0925h07</t>
  </si>
  <si>
    <t>S09c0925h08</t>
  </si>
  <si>
    <t>S09c0925h09</t>
  </si>
  <si>
    <t>S09c0925h10</t>
  </si>
  <si>
    <t>S09c0925h11</t>
  </si>
  <si>
    <t>S09c0925h12</t>
  </si>
  <si>
    <t>S09c0925h13</t>
  </si>
  <si>
    <t>S09c0925h14</t>
  </si>
  <si>
    <t>S09c0925h15</t>
  </si>
  <si>
    <t>S09c0925h16</t>
  </si>
  <si>
    <t>S09c0925h17</t>
  </si>
  <si>
    <t>S09c0925h18</t>
  </si>
  <si>
    <t>S09c0925h19</t>
  </si>
  <si>
    <t>S09c0925h20</t>
  </si>
  <si>
    <t>S09c0925h21</t>
  </si>
  <si>
    <t>S09c0925h22</t>
  </si>
  <si>
    <t>S09c0925h23</t>
  </si>
  <si>
    <t>S09c0925h24</t>
  </si>
  <si>
    <t>S09c0926h01</t>
  </si>
  <si>
    <t>S09c0926h02</t>
  </si>
  <si>
    <t>S09c0926h03</t>
  </si>
  <si>
    <t>S09c0926h04</t>
  </si>
  <si>
    <t>S09c0926h05</t>
  </si>
  <si>
    <t>S09c0926h06</t>
  </si>
  <si>
    <t>S09c0926h07</t>
  </si>
  <si>
    <t>S09c0926h08</t>
  </si>
  <si>
    <t>S09c0926h09</t>
  </si>
  <si>
    <t>S09c0926h10</t>
  </si>
  <si>
    <t>S09c0926h11</t>
  </si>
  <si>
    <t>S09c0926h12</t>
  </si>
  <si>
    <t>S09c0926h13</t>
  </si>
  <si>
    <t>S09c0926h14</t>
  </si>
  <si>
    <t>S09c0926h15</t>
  </si>
  <si>
    <t>S09c0926h16</t>
  </si>
  <si>
    <t>S09c0926h17</t>
  </si>
  <si>
    <t>S09c0926h18</t>
  </si>
  <si>
    <t>S09c0926h19</t>
  </si>
  <si>
    <t>S09c0926h20</t>
  </si>
  <si>
    <t>S09c0926h21</t>
  </si>
  <si>
    <t>S09c0926h22</t>
  </si>
  <si>
    <t>S09c0926h23</t>
  </si>
  <si>
    <t>S09c0926h24</t>
  </si>
  <si>
    <t>S09c0927h01</t>
  </si>
  <si>
    <t>S09c0927h02</t>
  </si>
  <si>
    <t>S09c0927h03</t>
  </si>
  <si>
    <t>S09c0927h04</t>
  </si>
  <si>
    <t>S09c0927h05</t>
  </si>
  <si>
    <t>S09c0927h06</t>
  </si>
  <si>
    <t>S09c0927h07</t>
  </si>
  <si>
    <t>S09c0927h08</t>
  </si>
  <si>
    <t>S09c0927h09</t>
  </si>
  <si>
    <t>S09c0927h10</t>
  </si>
  <si>
    <t>S09c0927h11</t>
  </si>
  <si>
    <t>S09c0927h12</t>
  </si>
  <si>
    <t>S09c0927h13</t>
  </si>
  <si>
    <t>S09c0927h14</t>
  </si>
  <si>
    <t>S09c0927h15</t>
  </si>
  <si>
    <t>S09c0927h16</t>
  </si>
  <si>
    <t>S09c0927h17</t>
  </si>
  <si>
    <t>S09c0927h18</t>
  </si>
  <si>
    <t>S09c0927h19</t>
  </si>
  <si>
    <t>S09c0927h20</t>
  </si>
  <si>
    <t>S09c0927h21</t>
  </si>
  <si>
    <t>S09c0927h22</t>
  </si>
  <si>
    <t>S09c0927h23</t>
  </si>
  <si>
    <t>S09c0927h24</t>
  </si>
  <si>
    <t>S09c0928h01</t>
  </si>
  <si>
    <t>S09c0928h02</t>
  </si>
  <si>
    <t>S09c0928h03</t>
  </si>
  <si>
    <t>S09c0928h04</t>
  </si>
  <si>
    <t>S09c0928h05</t>
  </si>
  <si>
    <t>S09c0928h06</t>
  </si>
  <si>
    <t>S09c0928h07</t>
  </si>
  <si>
    <t>S09c0928h08</t>
  </si>
  <si>
    <t>S09c0928h09</t>
  </si>
  <si>
    <t>S09c0928h10</t>
  </si>
  <si>
    <t>S09c0928h11</t>
  </si>
  <si>
    <t>S09c0928h12</t>
  </si>
  <si>
    <t>S09c0928h13</t>
  </si>
  <si>
    <t>S09c0928h14</t>
  </si>
  <si>
    <t>S09c0928h15</t>
  </si>
  <si>
    <t>S09c0928h16</t>
  </si>
  <si>
    <t>S09c0928h17</t>
  </si>
  <si>
    <t>S09c0928h18</t>
  </si>
  <si>
    <t>S09c0928h19</t>
  </si>
  <si>
    <t>S09c0928h20</t>
  </si>
  <si>
    <t>S09c0928h21</t>
  </si>
  <si>
    <t>S09c0928h22</t>
  </si>
  <si>
    <t>S09c0928h23</t>
  </si>
  <si>
    <t>S09c0928h24</t>
  </si>
  <si>
    <t>S09c0929h01</t>
  </si>
  <si>
    <t>S09c0929h02</t>
  </si>
  <si>
    <t>S09c0929h03</t>
  </si>
  <si>
    <t>S09c0929h04</t>
  </si>
  <si>
    <t>S09c0929h05</t>
  </si>
  <si>
    <t>S09c0929h06</t>
  </si>
  <si>
    <t>S09c0929h07</t>
  </si>
  <si>
    <t>S09c0929h08</t>
  </si>
  <si>
    <t>S09c0929h09</t>
  </si>
  <si>
    <t>S09c0929h10</t>
  </si>
  <si>
    <t>S09c0929h11</t>
  </si>
  <si>
    <t>S09c0929h12</t>
  </si>
  <si>
    <t>S09c0929h13</t>
  </si>
  <si>
    <t>S09c0929h14</t>
  </si>
  <si>
    <t>S09c0929h15</t>
  </si>
  <si>
    <t>S09c0929h16</t>
  </si>
  <si>
    <t>S09c0929h17</t>
  </si>
  <si>
    <t>S09c0929h18</t>
  </si>
  <si>
    <t>S09c0929h19</t>
  </si>
  <si>
    <t>S09c0929h20</t>
  </si>
  <si>
    <t>S09c0929h21</t>
  </si>
  <si>
    <t>S09c0929h22</t>
  </si>
  <si>
    <t>S09c0929h23</t>
  </si>
  <si>
    <t>S09c0929h24</t>
  </si>
  <si>
    <t>S09c0930h01</t>
  </si>
  <si>
    <t>S09c0930h02</t>
  </si>
  <si>
    <t>S09c0930h03</t>
  </si>
  <si>
    <t>S09c0930h04</t>
  </si>
  <si>
    <t>S09c0930h05</t>
  </si>
  <si>
    <t>S09c0930h06</t>
  </si>
  <si>
    <t>S09c0930h07</t>
  </si>
  <si>
    <t>S09c0930h08</t>
  </si>
  <si>
    <t>S09c0930h09</t>
  </si>
  <si>
    <t>S09c0930h10</t>
  </si>
  <si>
    <t>S09c0930h11</t>
  </si>
  <si>
    <t>S09c0930h12</t>
  </si>
  <si>
    <t>S09c0930h13</t>
  </si>
  <si>
    <t>S09c0930h14</t>
  </si>
  <si>
    <t>S09c0930h15</t>
  </si>
  <si>
    <t>S09c0930h16</t>
  </si>
  <si>
    <t>S09c0930h17</t>
  </si>
  <si>
    <t>S09c0930h18</t>
  </si>
  <si>
    <t>S09c0930h19</t>
  </si>
  <si>
    <t>S09c0930h20</t>
  </si>
  <si>
    <t>S09c0930h21</t>
  </si>
  <si>
    <t>S09c0930h22</t>
  </si>
  <si>
    <t>S09c0930h23</t>
  </si>
  <si>
    <t>S09c0930h24</t>
  </si>
  <si>
    <t>S03aH04,S08aH05,S08b0806h09,S08b0806h15,S08b0806h16,S08b0809h13,S08b0810h09,S08b0810h11,S08b0810h13,S08b0811h14,S09aH07,S09c0924h10,S09c0926h10,S09c0926h15,S09c0927h10,S09c0927h13,S09c0927h16,S09c0928h07,S09c0928h15,S09c0930h10,S11aH05,S12aH03,S04aH02,S08aH07,S08b0810h07,S08b0810h14,S08b0811h15,S08b0812h10,S08b0812h16,S09aH02,S09aH03,S09c0924h12,S09c0925h09,S09c0926h09,S09c0926h16,S09c0927h18,S09c0928h18,S11aH03,S11aH04,S01aH03,S05aH02,S05aH03,S05aH06,S08b0806h10,S08b0806h13,S08b0807h10,S08b0809h12,S08b0810h17,S09c0924h17,S09c0926h14,S09c0928h10,S09c0928h11,S02aH06,S03aH05,S04aH07,S05aH05,S06aH04,S08aH04,S08b0807h13,S08b0808h17,S08b0811h16,S09c0926h07,S09c0926h17,S09c0927h12,S09c0929h14,S11aH02,S03aH03,S08b0807h11,S08b0808h13,S08b0810h12,S08b0811h08,S08b0812h14,S09aH05,S09c0924h18,S09c0925h15,S09c0929h11,S09c0930h13,S09c0930h17,S12aH07,S01aH05,S03aH06,S03aH07,S06aH05,S08b0806h11,S08b0806h12,S08b0807h15,S08b0807h17,S08b0808h07,S08b0810h16,S08b0811h10,S09c0924h09,S09c0924h11,S09c0924h13,S09c0928h08,S09c0929h12,S10aH02,S10aH06,S11aH06,S12aH04,S12aH05,S08aH02,S08b0807h08,S08b0809h11,S08b0810h15,S08b0811h11,S09aH06,S09c0925h07,S09c0925h13,S02aH02,S06aH06,S08b0808h14,S08b0809h15,S08b0812h12,S08b0812h15,S09c0924h16,S09c0925h11,S09c0927h11,S09c0928h13,S09c0929h07,S09c0930h15,S09c0930h16,S04aH06,S05aH04,S06aH02,S06aH03,S08b0809h07,S09c0929h08,S09c0930h11,S10aH04,S12aH06,S01aH04,S01aH07,S02aH07,S07aH02,S07aH06,S08b0806h14,S08b0808h09,S08b0808h11,S08b0808h12,S08b0809h09,S08b0812h17,S09c0924h14,S09c0927h08,S09c0927h15,S09c0927h17,S09c0928h12,S09c0929h16,S01aH06,S02aH03,S05aH07,S07aH03,S08aH06,S08b0807h12,S08b0810h18,S08b0811h09,S09c0924h08,S09c0924h15,S09c0925h17,S09c0928h09,S09c0929h10,S10aH07,S01aH02,S04aH04,S08b0806h07,S08b0806h18,S08b0807h07,S08b0807h14,S08b0808h08,S08b0808h18,S08b0811h12,S08b0811h17,S08b0812h08,S08b0812h18,S09c0926h08,S09c0928h14,S09c0929h18,S09c0930h08,S09c0930h12,S02aH04,S02aH05,S06aH07,S07aH07,S08b0807h09,S08b0808h10,S08b0808h15,S08b0809h17,S09c0925h18,S09c0927h07,S09c0929h09,S10aH03,S10aH05,S03aH02,S07aH05,S08b0806h08,S08b0807h18,S08b0808h16,S08b0809h08,S08b0809h10,S08b0811h18,S08b0812h09,S08b0812h11,S08b0812h13,S09c0924h07,S09c0926h12,S09c0926h13,S09c0928h17,S09c0930h07,S09c0930h18,S04aH03,S07aH04,S08aH03,S08b0806h17,S08b0809h14,S08b0810h10,S08b0811h07,S08b0811h13,S08b0812h07,S09aH04,S09c0925h12,S09c0926h11,S09c0926h18,S09c0927h14,S09c0929h13,S09c0929h15,S09c0930h09,S11aH07,S12aH02,S04aH05,S08b0807h16,S08b0809h16,S08b0809h18,S08b0810h08,S09c0925h08,S09c0925h10,S09c0925h14,S09c0925h16,S09c0927h09,S09c0928h16,S09c0929h17,S09c0930h14</t>
  </si>
  <si>
    <t>S05aH01,S08b0806h02,S08b0806h06,S08b0808h19,S08b0809h24,S08b0812h06,S09c0924h01,S09c0925h01,S09c0925h06,S09c0927h01,S09c0927h19,S09c0930h01,S09c0930h24,S08b0806h23,S08b0808h22,S08b0809h22,S08b0810h04,S08b0810h22,S08b0811h03,S08b0812h03,S09c0926h22,S09c0926h23,S09c0928h05,S09c0930h05,S09c0930h06,S08b0806h24,S08b0807h01,S08b0807h03,S08b0808h05,S08b0811h05,S09aH01,S09c0925h02,S09c0925h05,S09c0927h05,S09c0928h20,S07aH08,S08aH08,S08b0809h04,S08b0811h24,S08b0812h23,S09c0924h04,S09c0924h23,S09c0925h20,S09c0925h23,S09c0926h05,S09c0926h24,S09c0927h20,S09c0928h19,S09c0929h01,S09c0929h05,S09c0930h23,S08b0807h06,S08b0807h23,S08b0810h03,S09c0924h19,S09c0924h22,S09c0925h19,S09c0926h01,S09c0926h03,S09c0930h20,S11aH08,S08b0806h21,S08b0808h06,S08b0808h24,S08b0810h01,S08b0810h24,S08b0811h01,S08b0812h24,S09c0924h02,S09c0926h21,S04aH08,S06aH01,S08b0806h22,S08b0808h23,S08b0810h02,S09c0927h04,S12aH08,S03aH01,S08b0806h04,S08b0807h21,S08b0808h21,S08b0809h06,S08b0811h21,S08b0812h01,S09c0925h22,S09c0927h21,S09c0929h19,S09c0929h20,S09c0930h03,S07aH01,S08b0807h20,S08b0808h20,S08b0809h19,S08b0811h06,S08b0811h22,S08b0812h05,S09c0924h05,S09c0925h03,S09c0925h21,S09c0927h03,S09c0927h24,S09c0928h02,S09c0929h03,S08aH01,S08b0806h03,S08b0807h05,S08b0809h03,S08b0810h19,S08b0811h19,S08b0812h21,S09c0927h22,S09c0928h01,S10aH01,S01aH01,S04aH01,S08b0806h01,S08b0807h04,S08b0808h01,S08b0810h06,S08b0812h04,S09aH08,S09c0924h03,S09c0924h06,S09c0924h21,S09c0926h04,S09c0926h06,S09c0926h20,S09c0928h04,S09c0928h21,S09c0929h23,S09c0930h19,S11aH01,S01aH08,S02aH08,S08b0806h05,S08b0807h02,S08b0808h03,S08b0810h20,S08b0811h02,S08b0811h04,S08b0811h20,S09c0924h20,S09c0924h24,S09c0926h19,S09c0928h22,S09c0929h04,S09c0929h06,S09c0929h24,S09c0930h04,S03aH08,S06aH08,S08b0807h24,S08b0810h21,S08b0812h02,S09c0925h04,S09c0925h24,S09c0928h23,S09c0929h22,S09c0930h02,S12aH01,S08b0808h02,S08b0809h01,S08b0810h05,S08b0810h23,S09c0926h02,S09c0927h23,S09c0928h03,S09c0929h02,S09c0929h21,S02aH01,S08b0806h19,S08b0808h04,S08b0809h05,S08b0809h20,S08b0809h21,S08b0812h22,S09c0927h02,S09c0927h06,S09c0928h06,S09c0928h24,S05aH08,S08b0806h20,S08b0807h19,S08b0807h22,S08b0809h02,S08b0809h23,S08b0811h23,S08b0812h19,S08b0812h20,S09c0930h21,S09c0930h22,S10aH08</t>
  </si>
  <si>
    <t>S02c0206h01</t>
  </si>
  <si>
    <t>S02c0206h02</t>
  </si>
  <si>
    <t>S02c0206h03</t>
  </si>
  <si>
    <t>S02c0206h04</t>
  </si>
  <si>
    <t>S02c0206h05</t>
  </si>
  <si>
    <t>S02c0206h06</t>
  </si>
  <si>
    <t>S02c0206h07</t>
  </si>
  <si>
    <t>S02c0206h08</t>
  </si>
  <si>
    <t>S02c0206h09</t>
  </si>
  <si>
    <t>S02c0206h10</t>
  </si>
  <si>
    <t>S02c0206h11</t>
  </si>
  <si>
    <t>S02c0206h12</t>
  </si>
  <si>
    <t>S02c0206h13</t>
  </si>
  <si>
    <t>S02c0206h14</t>
  </si>
  <si>
    <t>S02c0206h15</t>
  </si>
  <si>
    <t>S02c0206h16</t>
  </si>
  <si>
    <t>S02c0206h17</t>
  </si>
  <si>
    <t>S02c0206h18</t>
  </si>
  <si>
    <t>S02c0206h19</t>
  </si>
  <si>
    <t>S02c0206h20</t>
  </si>
  <si>
    <t>S02c0206h21</t>
  </si>
  <si>
    <t>S02c0206h22</t>
  </si>
  <si>
    <t>S02c0206h23</t>
  </si>
  <si>
    <t>S02c0206h24</t>
  </si>
  <si>
    <t>S08d0806h01</t>
  </si>
  <si>
    <t>S08d0806h02</t>
  </si>
  <si>
    <t>S08d0806h03</t>
  </si>
  <si>
    <t>S08d0806h04</t>
  </si>
  <si>
    <t>S08d0806h05</t>
  </si>
  <si>
    <t>S08d0806h06</t>
  </si>
  <si>
    <t>S08d0806h07</t>
  </si>
  <si>
    <t>S08d0806h08</t>
  </si>
  <si>
    <t>S08d0806h09</t>
  </si>
  <si>
    <t>S08d0806h10</t>
  </si>
  <si>
    <t>S08d0806h11</t>
  </si>
  <si>
    <t>S08d0806h12</t>
  </si>
  <si>
    <t>S08d0806h13</t>
  </si>
  <si>
    <t>S08d0806h14</t>
  </si>
  <si>
    <t>S08d0806h15</t>
  </si>
  <si>
    <t>S08d0806h16</t>
  </si>
  <si>
    <t>S08d0806h17</t>
  </si>
  <si>
    <t>S08d0806h18</t>
  </si>
  <si>
    <t>S08d0806h19</t>
  </si>
  <si>
    <t>S08d0806h20</t>
  </si>
  <si>
    <t>S08d0806h21</t>
  </si>
  <si>
    <t>S08d0806h22</t>
  </si>
  <si>
    <t>S08d0806h23</t>
  </si>
  <si>
    <t>S08d0806h24</t>
  </si>
  <si>
    <t>S08d0807h01</t>
  </si>
  <si>
    <t>S08d0807h02</t>
  </si>
  <si>
    <t>S08d0807h03</t>
  </si>
  <si>
    <t>S08d0807h04</t>
  </si>
  <si>
    <t>S08d0807h05</t>
  </si>
  <si>
    <t>S08d0807h06</t>
  </si>
  <si>
    <t>S08d0807h07</t>
  </si>
  <si>
    <t>S08d0807h08</t>
  </si>
  <si>
    <t>S08d0807h09</t>
  </si>
  <si>
    <t>S08d0807h10</t>
  </si>
  <si>
    <t>S08d0807h11</t>
  </si>
  <si>
    <t>S08d0807h12</t>
  </si>
  <si>
    <t>S08d0807h13</t>
  </si>
  <si>
    <t>S08d0807h14</t>
  </si>
  <si>
    <t>S08d0807h15</t>
  </si>
  <si>
    <t>S08d0807h16</t>
  </si>
  <si>
    <t>S08d0807h17</t>
  </si>
  <si>
    <t>S08d0807h18</t>
  </si>
  <si>
    <t>S08d0807h19</t>
  </si>
  <si>
    <t>S08d0807h20</t>
  </si>
  <si>
    <t>S08d0807h21</t>
  </si>
  <si>
    <t>S08d0807h22</t>
  </si>
  <si>
    <t>S08d0807h23</t>
  </si>
  <si>
    <t>S08d0807h24</t>
  </si>
  <si>
    <t>S08d0808h01</t>
  </si>
  <si>
    <t>S08d0808h02</t>
  </si>
  <si>
    <t>S08d0808h03</t>
  </si>
  <si>
    <t>S08d0808h04</t>
  </si>
  <si>
    <t>S08d0808h05</t>
  </si>
  <si>
    <t>S08d0808h06</t>
  </si>
  <si>
    <t>S08d0808h07</t>
  </si>
  <si>
    <t>S08d0808h08</t>
  </si>
  <si>
    <t>S08d0808h09</t>
  </si>
  <si>
    <t>S08d0808h10</t>
  </si>
  <si>
    <t>S08d0808h11</t>
  </si>
  <si>
    <t>S08d0808h12</t>
  </si>
  <si>
    <t>S08d0808h13</t>
  </si>
  <si>
    <t>S08d0808h14</t>
  </si>
  <si>
    <t>S08d0808h15</t>
  </si>
  <si>
    <t>S08d0808h16</t>
  </si>
  <si>
    <t>S08d0808h17</t>
  </si>
  <si>
    <t>S08d0808h18</t>
  </si>
  <si>
    <t>S08d0808h19</t>
  </si>
  <si>
    <t>S08d0808h20</t>
  </si>
  <si>
    <t>S08d0808h21</t>
  </si>
  <si>
    <t>S08d0808h22</t>
  </si>
  <si>
    <t>S08d0808h23</t>
  </si>
  <si>
    <t>S08d0808h24</t>
  </si>
  <si>
    <t>S08d0809h01</t>
  </si>
  <si>
    <t>S08d0809h02</t>
  </si>
  <si>
    <t>S08d0809h03</t>
  </si>
  <si>
    <t>S08d0809h04</t>
  </si>
  <si>
    <t>S08d0809h05</t>
  </si>
  <si>
    <t>S08d0809h06</t>
  </si>
  <si>
    <t>S08d0809h07</t>
  </si>
  <si>
    <t>S08d0809h08</t>
  </si>
  <si>
    <t>S08d0809h09</t>
  </si>
  <si>
    <t>S08d0809h10</t>
  </si>
  <si>
    <t>S08d0809h11</t>
  </si>
  <si>
    <t>S08d0809h12</t>
  </si>
  <si>
    <t>S08d0809h13</t>
  </si>
  <si>
    <t>S08d0809h14</t>
  </si>
  <si>
    <t>S08d0809h15</t>
  </si>
  <si>
    <t>S08d0809h16</t>
  </si>
  <si>
    <t>S08d0809h17</t>
  </si>
  <si>
    <t>S08d0809h18</t>
  </si>
  <si>
    <t>S08d0809h19</t>
  </si>
  <si>
    <t>S08d0809h20</t>
  </si>
  <si>
    <t>S08d0809h21</t>
  </si>
  <si>
    <t>S08d0809h22</t>
  </si>
  <si>
    <t>S08d0809h23</t>
  </si>
  <si>
    <t>S08d0809h24</t>
  </si>
  <si>
    <t>S08d0810h01</t>
  </si>
  <si>
    <t>S08d0810h02</t>
  </si>
  <si>
    <t>S08d0810h03</t>
  </si>
  <si>
    <t>S08d0810h04</t>
  </si>
  <si>
    <t>S08d0810h05</t>
  </si>
  <si>
    <t>S08d0810h06</t>
  </si>
  <si>
    <t>S08d0810h07</t>
  </si>
  <si>
    <t>S08d0810h08</t>
  </si>
  <si>
    <t>S08d0810h09</t>
  </si>
  <si>
    <t>S08d0810h10</t>
  </si>
  <si>
    <t>S08d0810h11</t>
  </si>
  <si>
    <t>S08d0810h12</t>
  </si>
  <si>
    <t>S08d0810h13</t>
  </si>
  <si>
    <t>S08d0810h14</t>
  </si>
  <si>
    <t>S08d0810h15</t>
  </si>
  <si>
    <t>S08d0810h16</t>
  </si>
  <si>
    <t>S08d0810h17</t>
  </si>
  <si>
    <t>S08d0810h18</t>
  </si>
  <si>
    <t>S08d0810h19</t>
  </si>
  <si>
    <t>S08d0810h20</t>
  </si>
  <si>
    <t>S08d0810h21</t>
  </si>
  <si>
    <t>S08d0810h22</t>
  </si>
  <si>
    <t>S08d0810h23</t>
  </si>
  <si>
    <t>S08d0810h24</t>
  </si>
  <si>
    <t>S08d0811h01</t>
  </si>
  <si>
    <t>S08d0811h02</t>
  </si>
  <si>
    <t>S08d0811h03</t>
  </si>
  <si>
    <t>S08d0811h04</t>
  </si>
  <si>
    <t>S08d0811h05</t>
  </si>
  <si>
    <t>S08d0811h06</t>
  </si>
  <si>
    <t>S08d0811h07</t>
  </si>
  <si>
    <t>S08d0811h08</t>
  </si>
  <si>
    <t>S08d0811h09</t>
  </si>
  <si>
    <t>S08d0811h10</t>
  </si>
  <si>
    <t>S08d0811h11</t>
  </si>
  <si>
    <t>S08d0811h12</t>
  </si>
  <si>
    <t>S08d0811h13</t>
  </si>
  <si>
    <t>S08d0811h14</t>
  </si>
  <si>
    <t>S08d0811h15</t>
  </si>
  <si>
    <t>S08d0811h16</t>
  </si>
  <si>
    <t>S08d0811h17</t>
  </si>
  <si>
    <t>S08d0811h18</t>
  </si>
  <si>
    <t>S08d0811h19</t>
  </si>
  <si>
    <t>S08d0811h20</t>
  </si>
  <si>
    <t>S08d0811h21</t>
  </si>
  <si>
    <t>S08d0811h22</t>
  </si>
  <si>
    <t>S08d0811h23</t>
  </si>
  <si>
    <t>S08d0811h24</t>
  </si>
  <si>
    <t>S08d0812h01</t>
  </si>
  <si>
    <t>S08d0812h02</t>
  </si>
  <si>
    <t>S08d0812h03</t>
  </si>
  <si>
    <t>S08d0812h04</t>
  </si>
  <si>
    <t>S08d0812h05</t>
  </si>
  <si>
    <t>S08d0812h06</t>
  </si>
  <si>
    <t>S08d0812h07</t>
  </si>
  <si>
    <t>S08d0812h08</t>
  </si>
  <si>
    <t>S08d0812h09</t>
  </si>
  <si>
    <t>S08d0812h10</t>
  </si>
  <si>
    <t>S08d0812h11</t>
  </si>
  <si>
    <t>S08d0812h12</t>
  </si>
  <si>
    <t>S08d0812h13</t>
  </si>
  <si>
    <t>S08d0812h14</t>
  </si>
  <si>
    <t>S08d0812h15</t>
  </si>
  <si>
    <t>S08d0812h16</t>
  </si>
  <si>
    <t>S08d0812h17</t>
  </si>
  <si>
    <t>S08d0812h18</t>
  </si>
  <si>
    <t>S08d0812h19</t>
  </si>
  <si>
    <t>S08d0812h20</t>
  </si>
  <si>
    <t>S08d0812h21</t>
  </si>
  <si>
    <t>S08d0812h22</t>
  </si>
  <si>
    <t>S08d0812h23</t>
  </si>
  <si>
    <t>S08d0812h24</t>
  </si>
  <si>
    <t>S09e0924h01</t>
  </si>
  <si>
    <t>S09e0924h02</t>
  </si>
  <si>
    <t>S09e0924h03</t>
  </si>
  <si>
    <t>S09e0924h04</t>
  </si>
  <si>
    <t>S09e0924h05</t>
  </si>
  <si>
    <t>S09e0924h06</t>
  </si>
  <si>
    <t>S09e0924h07</t>
  </si>
  <si>
    <t>S09e0924h08</t>
  </si>
  <si>
    <t>S09e0924h09</t>
  </si>
  <si>
    <t>S09e0924h10</t>
  </si>
  <si>
    <t>S09e0924h11</t>
  </si>
  <si>
    <t>S09e0924h12</t>
  </si>
  <si>
    <t>S09e0924h13</t>
  </si>
  <si>
    <t>S09e0924h14</t>
  </si>
  <si>
    <t>S09e0924h15</t>
  </si>
  <si>
    <t>S09e0924h16</t>
  </si>
  <si>
    <t>S09e0924h17</t>
  </si>
  <si>
    <t>S09e0924h18</t>
  </si>
  <si>
    <t>S09e0924h19</t>
  </si>
  <si>
    <t>S09e0924h20</t>
  </si>
  <si>
    <t>S09e0924h21</t>
  </si>
  <si>
    <t>S09e0924h22</t>
  </si>
  <si>
    <t>S09e0924h23</t>
  </si>
  <si>
    <t>S09e0924h24</t>
  </si>
  <si>
    <t>S09e0925h01</t>
  </si>
  <si>
    <t>S09e0925h02</t>
  </si>
  <si>
    <t>S09e0925h03</t>
  </si>
  <si>
    <t>S09e0925h04</t>
  </si>
  <si>
    <t>S09e0925h05</t>
  </si>
  <si>
    <t>S09e0925h06</t>
  </si>
  <si>
    <t>S09e0925h07</t>
  </si>
  <si>
    <t>S09e0925h08</t>
  </si>
  <si>
    <t>S09e0925h09</t>
  </si>
  <si>
    <t>S09e0925h10</t>
  </si>
  <si>
    <t>S09e0925h11</t>
  </si>
  <si>
    <t>S09e0925h12</t>
  </si>
  <si>
    <t>S09e0925h13</t>
  </si>
  <si>
    <t>S09e0925h14</t>
  </si>
  <si>
    <t>S09e0925h15</t>
  </si>
  <si>
    <t>S09e0925h16</t>
  </si>
  <si>
    <t>S09e0925h17</t>
  </si>
  <si>
    <t>S09e0925h18</t>
  </si>
  <si>
    <t>S09e0925h19</t>
  </si>
  <si>
    <t>S09e0925h20</t>
  </si>
  <si>
    <t>S09e0925h21</t>
  </si>
  <si>
    <t>S09e0925h22</t>
  </si>
  <si>
    <t>S09e0925h23</t>
  </si>
  <si>
    <t>S09e0925h24</t>
  </si>
  <si>
    <t>S09e0926h01</t>
  </si>
  <si>
    <t>S09e0926h02</t>
  </si>
  <si>
    <t>S09e0926h03</t>
  </si>
  <si>
    <t>S09e0926h04</t>
  </si>
  <si>
    <t>S09e0926h05</t>
  </si>
  <si>
    <t>S09e0926h06</t>
  </si>
  <si>
    <t>S09e0926h07</t>
  </si>
  <si>
    <t>S09e0926h08</t>
  </si>
  <si>
    <t>S09e0926h09</t>
  </si>
  <si>
    <t>S09e0926h10</t>
  </si>
  <si>
    <t>S09e0926h11</t>
  </si>
  <si>
    <t>S09e0926h12</t>
  </si>
  <si>
    <t>S09e0926h13</t>
  </si>
  <si>
    <t>S09e0926h14</t>
  </si>
  <si>
    <t>S09e0926h15</t>
  </si>
  <si>
    <t>S09e0926h16</t>
  </si>
  <si>
    <t>S09e0926h17</t>
  </si>
  <si>
    <t>S09e0926h18</t>
  </si>
  <si>
    <t>S09e0926h19</t>
  </si>
  <si>
    <t>S09e0926h20</t>
  </si>
  <si>
    <t>S09e0926h21</t>
  </si>
  <si>
    <t>S09e0926h22</t>
  </si>
  <si>
    <t>S09e0926h23</t>
  </si>
  <si>
    <t>S09e0926h24</t>
  </si>
  <si>
    <t>S09e0927h01</t>
  </si>
  <si>
    <t>S09e0927h02</t>
  </si>
  <si>
    <t>S09e0927h03</t>
  </si>
  <si>
    <t>S09e0927h04</t>
  </si>
  <si>
    <t>S09e0927h05</t>
  </si>
  <si>
    <t>S09e0927h06</t>
  </si>
  <si>
    <t>S09e0927h07</t>
  </si>
  <si>
    <t>S09e0927h08</t>
  </si>
  <si>
    <t>S09e0927h09</t>
  </si>
  <si>
    <t>S09e0927h10</t>
  </si>
  <si>
    <t>S09e0927h11</t>
  </si>
  <si>
    <t>S09e0927h12</t>
  </si>
  <si>
    <t>S09e0927h13</t>
  </si>
  <si>
    <t>S09e0927h14</t>
  </si>
  <si>
    <t>S09e0927h15</t>
  </si>
  <si>
    <t>S09e0927h16</t>
  </si>
  <si>
    <t>S09e0927h17</t>
  </si>
  <si>
    <t>S09e0927h18</t>
  </si>
  <si>
    <t>S09e0927h19</t>
  </si>
  <si>
    <t>S09e0927h20</t>
  </si>
  <si>
    <t>S09e0927h21</t>
  </si>
  <si>
    <t>S09e0927h22</t>
  </si>
  <si>
    <t>S09e0927h23</t>
  </si>
  <si>
    <t>S09e0927h24</t>
  </si>
  <si>
    <t>S09e0928h01</t>
  </si>
  <si>
    <t>S09e0928h02</t>
  </si>
  <si>
    <t>S09e0928h03</t>
  </si>
  <si>
    <t>S09e0928h04</t>
  </si>
  <si>
    <t>S09e0928h05</t>
  </si>
  <si>
    <t>S09e0928h06</t>
  </si>
  <si>
    <t>S09e0928h07</t>
  </si>
  <si>
    <t>S09e0928h08</t>
  </si>
  <si>
    <t>S09e0928h09</t>
  </si>
  <si>
    <t>S09e0928h10</t>
  </si>
  <si>
    <t>S09e0928h11</t>
  </si>
  <si>
    <t>S09e0928h12</t>
  </si>
  <si>
    <t>S09e0928h13</t>
  </si>
  <si>
    <t>S09e0928h14</t>
  </si>
  <si>
    <t>S09e0928h15</t>
  </si>
  <si>
    <t>S09e0928h16</t>
  </si>
  <si>
    <t>S09e0928h17</t>
  </si>
  <si>
    <t>S09e0928h18</t>
  </si>
  <si>
    <t>S09e0928h19</t>
  </si>
  <si>
    <t>S09e0928h20</t>
  </si>
  <si>
    <t>S09e0928h21</t>
  </si>
  <si>
    <t>S09e0928h22</t>
  </si>
  <si>
    <t>S09e0928h23</t>
  </si>
  <si>
    <t>S09e0928h24</t>
  </si>
  <si>
    <t>S09e0929h01</t>
  </si>
  <si>
    <t>S09e0929h02</t>
  </si>
  <si>
    <t>S09e0929h03</t>
  </si>
  <si>
    <t>S09e0929h04</t>
  </si>
  <si>
    <t>S09e0929h05</t>
  </si>
  <si>
    <t>S09e0929h06</t>
  </si>
  <si>
    <t>S09e0929h07</t>
  </si>
  <si>
    <t>S09e0929h08</t>
  </si>
  <si>
    <t>S09e0929h09</t>
  </si>
  <si>
    <t>S09e0929h10</t>
  </si>
  <si>
    <t>S09e0929h11</t>
  </si>
  <si>
    <t>S09e0929h12</t>
  </si>
  <si>
    <t>S09e0929h13</t>
  </si>
  <si>
    <t>S09e0929h14</t>
  </si>
  <si>
    <t>S09e0929h15</t>
  </si>
  <si>
    <t>S09e0929h16</t>
  </si>
  <si>
    <t>S09e0929h17</t>
  </si>
  <si>
    <t>S09e0929h18</t>
  </si>
  <si>
    <t>S09e0929h19</t>
  </si>
  <si>
    <t>S09e0929h20</t>
  </si>
  <si>
    <t>S09e0929h21</t>
  </si>
  <si>
    <t>S09e0929h22</t>
  </si>
  <si>
    <t>S09e0929h23</t>
  </si>
  <si>
    <t>S09e0929h24</t>
  </si>
  <si>
    <t>S09e0930h01</t>
  </si>
  <si>
    <t>S09e0930h02</t>
  </si>
  <si>
    <t>S09e0930h03</t>
  </si>
  <si>
    <t>S09e0930h04</t>
  </si>
  <si>
    <t>S09e0930h05</t>
  </si>
  <si>
    <t>S09e0930h06</t>
  </si>
  <si>
    <t>S09e0930h07</t>
  </si>
  <si>
    <t>S09e0930h08</t>
  </si>
  <si>
    <t>S09e0930h09</t>
  </si>
  <si>
    <t>S09e0930h10</t>
  </si>
  <si>
    <t>S09e0930h11</t>
  </si>
  <si>
    <t>S09e0930h12</t>
  </si>
  <si>
    <t>S09e0930h13</t>
  </si>
  <si>
    <t>S09e0930h14</t>
  </si>
  <si>
    <t>S09e0930h15</t>
  </si>
  <si>
    <t>S09e0930h16</t>
  </si>
  <si>
    <t>S09e0930h17</t>
  </si>
  <si>
    <t>S09e0930h18</t>
  </si>
  <si>
    <t>S09e0930h19</t>
  </si>
  <si>
    <t>S09e0930h20</t>
  </si>
  <si>
    <t>S09e0930h21</t>
  </si>
  <si>
    <t>S09e0930h22</t>
  </si>
  <si>
    <t>S09e0930h23</t>
  </si>
  <si>
    <t>S09e0930h24</t>
  </si>
  <si>
    <t>S02aH04,S02aH05,S06aH07,S07aH07,S08d0806h14,S08d0807h08,S08d0808h10,S08d0808h13,S08d0810h08,S08d0812h10,S08d0812h12,S09e0924h09,S09e0924h11,S09e0925h09,S09e0926h08,S09e0926h16,S09e0927h12,S09e0928h07,S09e0929h13,S10aH03,S10aH05,S04aH02,S08aH07,S08d0808h09,S08d0808h11,S08d0809h13,S08d0810h10,S09aH02,S09aH03,S09e0924h14,S09e0924h16,S09e0930h09,S11aH03,S11aH04,S01aH05,S01b0130h14,S03aH06,S03aH07,S06aH05,S08d0809h07,S08d0809h16,S08d0809h17,S08d0810h13,S08d0810h16,S08d0811h17,S08d0812h17,S09e0924h07,S09e0924h08,S09e0929h12,S09e0930h13,S09e0930h18,S10aH02,S10aH06,S11aH06,S12aH04,S12aH05,S02c0206h17,S03aH04,S08aH05,S08d0806h13,S08d0807h07,S08d0807h13,S08d0810h12,S08d0811h10,S08d0811h11,S09aH07,S09e0924h10,S09e0925h08,S09e0925h18,S09e0927h15,S09e0928h16,S11aH05,S12aH03,S04aH06,S05aH04,S06aH02,S06aH03,S08d0806h16,S08d0809h11,S08d0812h07,S08d0812h15,S09e0926h09,S09e0926h11,S09e0927h11,S09e0928h12,S09e0928h13,S09e0929h17,S09e0929h18,S09e0930h17,S10aH04,S12aH06,S01b0130h15,S01b0130h18,S02aH02,S02c0206h10,S02c0206h12,S06aH06,S08d0809h09,S08d0809h12,S08d0810h07,S08d0811h12,S09e0924h15,S09e0925h10,S09e0927h18,S09e0929h08,S01aH03,S01b0130h13,S05aH02,S05aH03,S05aH06,S08d0807h09,S08d0807h16,S08d0808h15,S08d0810h17,S08d0811h14,S08d0811h16,S01aH02,S02c0206h14,S04aH04,S08d0806h07,S08d0806h17,S08d0807h10,S08d0807h11,S08d0807h15,S08d0807h17,S08d0810h11,S08d0812h18,S09e0925h07,S09e0925h13,S09e0926h14,S09e0926h18,S09e0930h15,S01b0130h10,S02c0206h07,S04aH03,S07aH04,S08aH03,S08d0807h12,S09aH04,S09e0926h10,S09e0927h16,S09e0930h07,S11aH07,S12aH02,S02c0206h18,S08aH02,S08d0806h12,S08d0807h18,S08d0808h08,S08d0811h15,S08d0812h14,S09aH06,S09e0925h15,S09e0927h09,S09e0929h10,S09e0929h16,S09e0930h08,S01aH04,S01aH07,S01b0130h16,S01b0130h17,S02aH07,S02c0206h15,S02c0206h16,S07aH02,S07aH06,S08d0808h07,S08d0808h14,S08d0809h10,S08d0809h18,S08d0810h14,S08d0810h15,S08d0810h18,S08d0811h13,S08d0811h18,S08d0812h13,S09e0924h13,S09e0926h17,S09e0928h10,S09e0930h14,S09e0930h16,S01aH06,S02aH03,S05aH07,S07aH03,S08aH06,S08d0806h09,S08d0806h11,S08d0808h12,S08d0808h18,S08d0812h09,S09e0925h16,S09e0928h09,S09e0928h14,S09e0929h09,S09e0929h11,S09e0930h10,S09e0930h12,S10aH07,S01b0130h07,S01b0130h08,S01b0130h11,S02c0206h08,S04aH05,S08d0806h18,S08d0808h16,S08d0810h09,S09e0924h17,S09e0925h17,S09e0927h10,S09e0927h14,S09e0927h17,S09e0928h08,S09e0928h11,S02aH06,S02c0206h11,S03aH05,S04aH07,S05aH05,S06aH04,S08aH04,S08d0806h15,S08d0808h17,S08d0811h08,S09e0924h18,S09e0925h14,S09e0926h07,S09e0927h13,S09e0928h17,S09e0928h18,S11aH02,S02c0206h09,S02c0206h13,S03aH02,S07aH05,S08d0809h14,S08d0809h15,S08d0812h11,S09e0925h11,S09e0927h07,S09e0929h14,S09e0929h15,S09e0930h11,S01b0130h09,S01b0130h12,S03aH03,S08d0806h08,S08d0806h10,S08d0807h14,S08d0809h08,S08d0811h07,S08d0811h09,S08d0812h08,S08d0812h16,S09aH05,S09e0924h12,S09e0925h12,S09e0926h12,S09e0926h13,S09e0926h15,S09e0927h08,S09e0928h15,S09e0929h07,S12aH07</t>
  </si>
  <si>
    <t>S01b0130h05,S02c0206h23,S03aH08,S06aH08,S08d0806h21,S08d0807h02,S08d0807h06,S08d0808h01,S08d0809h23,S08d0812h02,S09e0925h22,S09e0927h01,S09e0927h02,S09e0928h19,S09e0929h23,S09e0930h05,S09e0930h19,S12aH01,S01b0130h21,S01b0130h22,S01b0130h23,S02c0206h20,S08d0806h02,S08d0806h22,S08d0808h02,S08d0810h20,S08d0812h24,S09e0927h24,S09e0928h02,S09e0928h24,S09e0930h03,S08d0807h01,S08d0807h23,S08d0808h03,S08d0808h20,S08d0808h24,S08d0809h24,S08d0811h06,S08d0811h21,S08d0812h04,S08d0812h06,S09e0927h19,S09e0927h20,S09e0928h23,S09e0930h23,S02c0206h03,S05aH01,S08d0807h24,S08d0812h19,S08d0812h23,S09e0926h01,S09e0928h20,S09e0929h01,S01b0130h20,S02c0206h24,S07aH01,S08d0806h03,S08d0806h20,S08d0806h24,S08d0808h04,S08d0809h05,S08d0810h19,S08d0811h20,S08d0811h22,S09e0925h04,S09e0930h21,S02c0206h22,S03aH01,S08d0806h04,S08d0806h06,S08d0807h05,S08d0807h22,S08d0808h06,S08d0808h23,S08d0809h02,S08d0810h23,S09e0924h02,S09e0925h06,S09e0926h06,S09e0927h04,S08d0808h22,S09aH01,S09e0924h04,S09e0924h05,S09e0924h22,S09e0924h23,S09e0925h05,S09e0925h19,S09e0930h20,S01aH08,S01b0130h19,S02aH08,S08d0806h05,S08d0807h19,S08d0808h05,S08d0809h06,S08d0810h21,S08d0811h03,S09e0925h03,S09e0926h02,S09e0928h05,S09e0930h06,S01b0130h02,S01b0130h03,S01b0130h24,S02aH01,S02c0206h01,S02c0206h06,S08d0807h04,S08d0810h06,S08d0811h02,S09e0925h01,S09e0926h04,S09e0926h21,S09e0927h06,S09e0927h21,S09e0927h23,S09e0928h06,S09e0928h21,S09e0929h02,S09e0929h03,S02c0206h19,S04aH08,S06aH01,S08d0809h22,S08d0810h03,S08d0810h05,S08d0810h22,S08d0811h01,S08d0811h23,S09e0926h05,S09e0926h19,S09e0926h22,S09e0926h23,S09e0928h01,S09e0928h22,S09e0929h21,S12aH08,S08aH01,S08d0807h20,S08d0809h19,S08d0811h04,S08d0811h24,S09e0925h02,S09e0926h03,S09e0927h03,S09e0927h05,S09e0929h04,S09e0929h05,S09e0929h24,S10aH01,S01aH01,S01b0130h04,S04aH01,S08d0806h23,S08d0807h03,S08d0808h21,S08d0809h01,S08d0810h24,S08d0812h21,S08d0812h22,S09aH08,S09e0929h22,S09e0930h22,S11aH01,S01b0130h06,S02c0206h04,S02c0206h05,S02c0206h21,S05aH08,S08d0809h03,S08d0809h21,S08d0810h04,S09e0925h23,S09e0926h20,S09e0928h04,S09e0929h20,S10aH08,S07aH08,S08aH08,S08d0812h01,S08d0812h20,S09e0924h19,S09e0924h20,S09e0924h24,S09e0926h24,S09e0929h06,S09e0929h19,S09e0930h01,S09e0930h04,S08d0806h01,S08d0806h19,S08d0809h20,S08d0810h02,S08d0811h19,S08d0812h03,S08d0812h05,S09e0924h06,S09e0924h21,S09e0925h24,S09e0927h22,S09e0930h02,S01b0130h01,S02c0206h02,S08d0807h21,S08d0808h19,S08d0809h04,S08d0810h01,S08d0811h05,S09e0924h01,S09e0924h03,S09e0925h20,S09e0925h21,S09e0928h03,S09e0930h24,S11aH08</t>
  </si>
  <si>
    <t>S01,S02,S03</t>
  </si>
  <si>
    <t>S02aH02,S03aH02,S01aH02</t>
  </si>
  <si>
    <t>S02aH03,S03aH01,S03aH03,S01aH01,S01aH03,S02aH01</t>
  </si>
  <si>
    <t>S01aH04,S03aH02,S03aH05,S01aH03,S02aH04,S02aH05,S02aH03,S01aH02,S03aH04,S02aH02,S03aH03,S01aH05</t>
  </si>
  <si>
    <t>S02aH01,S01aH06,S02aH06,S01aH01,S03aH06,S03aH01</t>
  </si>
  <si>
    <t>S01,S02,S03,S04,S05,S06,S07</t>
  </si>
  <si>
    <t>S03aH02,S07aH05,S02aH03,S07aH03,S01aH03,S05aH02,S05aH03,S01aH05,S06aH05,S02aH02,S05aH04,S06aH02,S06aH03,S03aH04,S04aH02,S04aH03,S07aH04,S01aH04,S07aH02,S03aH03,S04aH05,S02aH04,S02aH05,S03aH05,S05aH05,S06aH04,S01aH02,S04aH04</t>
  </si>
  <si>
    <t>S01aH01,S04aH01,S04aH06,S03aH01,S01aH06,S07aH01,S05aH01,S07aH06,S02aH01,S05aH06,S06aH01,S06aH06,S02aH06,S03aH06</t>
  </si>
  <si>
    <t>S01aH03,S05aH02,S05aH03,S05aH06,S02aH02,S06aH06,S01aH02,S04aH04,S02aH06,S03aH05,S04aH07,S05aH05,S06aH04,S04aH02,S04aH05,S02aH04,S02aH05,S06aH07,S07aH07,S03aH03,S04aH03,S07aH04,S03aH02,S07aH05,S03aH04,S01aH06,S02aH03,S05aH07,S07aH03,S01aH05,S03aH06,S03aH07,S06aH05,S01aH04,S01aH07,S02aH07,S07aH02,S07aH06,S04aH06,S05aH04,S06aH02,S06aH03</t>
  </si>
  <si>
    <t>S03aH01,S01aH08,S02aH08,S07aH08,S05aH08,S03aH08,S06aH08,S04aH08,S06aH01,S02aH01,S05aH01,S01aH01,S04aH01,S07aH01</t>
  </si>
  <si>
    <t>S03aH03,S09aH05,S12aH07,S08aH02,S09aH06,S04aH03,S07aH04,S08aH03,S09aH04,S11aH07,S12aH02,S01aH05,S03aH06,S03aH07,S06aH05,S10aH02,S10aH06,S11aH06,S12aH04,S12aH05,S03aH02,S07aH05,S04aH05,S02aH02,S06aH06,S02aH04,S02aH05,S06aH07,S07aH07,S10aH03,S10aH05,S04aH06,S05aH04,S06aH02,S06aH03,S10aH04,S12aH06,S01aH06,S02aH03,S05aH07,S07aH03,S08aH06,S10aH07,S01aH04,S01aH07,S02aH07,S07aH02,S07aH06,S03aH04,S08aH05,S09aH07,S11aH05,S12aH03,S04aH02,S08aH07,S09aH02,S09aH03,S11aH03,S11aH04,S02aH06,S03aH05,S04aH07,S05aH05,S06aH04,S08aH04,S11aH02,S01aH03,S05aH02,S05aH03,S05aH06,S01aH02,S04aH04</t>
  </si>
  <si>
    <t>S11aH08,S04aH08,S06aH01,S12aH08,S02aH01,S05aH08,S10aH08,S03aH01,S03aH08,S06aH08,S12aH01,S07aH01,S01aH01,S04aH01,S09aH08,S11aH01,S08aH01,S10aH01,S05aH01,S07aH08,S08aH08,S09aH01,S01aH08,S02aH08</t>
  </si>
  <si>
    <t>S02aH02,S06aH06,S04aH02,S08aH07,S09aH02,S09aH03,S11aH03,S11aH04,S01aH04,S01aH07,S02aH07,S07aH02,S07aH06,S01aH06,S02aH03,S05aH07,S07aH03,S08aH06,S10aH07,S08aH02,S09aH06,S02aH04,S02aH05,S06aH07,S07aH07,S10aH03,S10aH05,S03aH04,S08aH05,S09aH07,S11aH05,S12aH03,S04aH06,S05aH04,S06aH02,S06aH03,S10aH04,S12aH06,S01aH05,S03aH06,S03aH07,S06aH05,S10aH02,S10aH06,S11aH06,S12aH04,S12aH05,S04aH03,S07aH04,S08aH03,S09aH04,S11aH07,S12aH02,S03aH03,S09aH05,S12aH07,S02aH06,S03aH05,S04aH07,S05aH05,S06aH04,S08aH04,S11aH02,S01aH03,S05aH02,S05aH03,S05aH06,S03aH02,S07aH05,S01aH02,S04aH04,S04aH05</t>
  </si>
  <si>
    <t>S03aH01,S08aH01,S10aH01,S01aH01,S04aH01,S09aH08,S11aH01,S04aH08,S06aH01,S12aH08,S03aH08,S06aH08,S12aH01,S05aH01,S07aH01,S02aH01,S11aH08,S07aH08,S08aH08,S09aH01,S01aH08,S02aH08,S05aH08,S10aH08</t>
  </si>
  <si>
    <t>S01aH04,S01aH07,S02aH07,S07aH02,S07aH06,S04aH06,S05aH04,S06aH02,S06aH03,S10aH04,S12aH06,S02aH04,S02aH05,S06aH07,S07aH07,S10aH03,S10aH05,S04aH05,S04aH03,S07aH04,S08aH03,S09aH04,S11aH07,S12aH02,S03aH02,S07aH05,S02aH02,S06aH06,S01aH05,S03aH06,S03aH07,S06aH05,S10aH02,S10aH06,S11aH06,S12aH04,S12aH05,S03aH04,S08aH05,S09aH07,S11aH05,S12aH03,S04aH02,S08aH07,S09aH02,S09aH03,S11aH03,S11aH04,S08aH02,S09aH06,S01aH06,S02aH03,S05aH07,S07aH03,S08aH06,S10aH07,S02aH06,S03aH05,S04aH07,S05aH05,S06aH04,S08aH04,S11aH02,S01aH03,S05aH02,S05aH03,S05aH06,S01aH02,S04aH04,S03aH03,S09aH05,S12aH07</t>
  </si>
  <si>
    <t>S08aH01,S10aH01,S07aH01,S03aH08,S06aH08,S12aH01,S05aH08,S10aH08,S02aH01,S03aH01,S05aH01,S04aH08,S06aH01,S12aH08,S01aH01,S04aH01,S09aH08,S11aH01,S07aH08,S08aH08,S09aH01,S01aH08,S02aH08,S11aH08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</si>
  <si>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</si>
  <si>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</si>
  <si>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</si>
  <si>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</si>
  <si>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</si>
  <si>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</si>
  <si>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</si>
  <si>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</si>
  <si>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</si>
  <si>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</si>
  <si>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</si>
  <si>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</si>
  <si>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</si>
  <si>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</si>
  <si>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</si>
  <si>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</si>
  <si>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</si>
  <si>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</si>
  <si>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</si>
  <si>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</si>
  <si>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</si>
  <si>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RaD,FaP,SaP,FaD,RaP,WaP,SaD,WaD</t>
  </si>
  <si>
    <t>SaN,WaN,WaP,RaP,RaN,FaP,SaP,FaN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</si>
</sst>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483.99</c:v>
                </c:pt>
                <c:pt idx="1">
                  <c:v>508.18950000000001</c:v>
                </c:pt>
                <c:pt idx="2">
                  <c:v>566.26829999999995</c:v>
                </c:pt>
                <c:pt idx="3">
                  <c:v>638.86680000000001</c:v>
                </c:pt>
                <c:pt idx="4">
                  <c:v>725.98500000000001</c:v>
                </c:pt>
                <c:pt idx="5">
                  <c:v>813.10320000000002</c:v>
                </c:pt>
                <c:pt idx="6">
                  <c:v>876.02190000000007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1"/>
  <sheetViews>
    <sheetView workbookViewId="0">
      <selection activeCell="A21" sqref="A21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8" x14ac:dyDescent="0.45">
      <c r="G1" s="18" t="s">
        <v>145</v>
      </c>
    </row>
    <row r="2" spans="1:38" x14ac:dyDescent="0.45">
      <c r="D2" s="1" t="str">
        <f>"~Inputcell: "&amp;_xlfn.TEXTJOIN(",",TRUE,G1:EE1)</f>
        <v>~Inputcell: 1-70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8" x14ac:dyDescent="0.45">
      <c r="D3" s="9">
        <v>3</v>
      </c>
    </row>
    <row r="5" spans="1:38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8" x14ac:dyDescent="0.45">
      <c r="B7" s="16" t="s">
        <v>119</v>
      </c>
    </row>
    <row r="8" spans="1:38" ht="14.65" thickBot="1" x14ac:dyDescent="0.5">
      <c r="A8" s="4" t="s">
        <v>124</v>
      </c>
      <c r="B8" s="4" t="s">
        <v>120</v>
      </c>
      <c r="C8" s="4" t="s">
        <v>121</v>
      </c>
      <c r="D8" s="4" t="s">
        <v>122</v>
      </c>
      <c r="E8" s="4" t="s">
        <v>123</v>
      </c>
    </row>
    <row r="9" spans="1:38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107</v>
      </c>
      <c r="AI9" t="s">
        <v>141</v>
      </c>
      <c r="AJ9" s="10">
        <v>1</v>
      </c>
      <c r="AK9" t="s">
        <v>0</v>
      </c>
      <c r="AL9" t="s">
        <v>110</v>
      </c>
    </row>
    <row r="10" spans="1:38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132</v>
      </c>
      <c r="AI10" t="s">
        <v>140</v>
      </c>
      <c r="AJ10" s="10">
        <v>1</v>
      </c>
      <c r="AK10" t="s">
        <v>2</v>
      </c>
      <c r="AL10" t="s">
        <v>112</v>
      </c>
    </row>
    <row r="11" spans="1:38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125</v>
      </c>
      <c r="AI11" t="s">
        <v>139</v>
      </c>
      <c r="AJ11" s="10">
        <v>1</v>
      </c>
      <c r="AK11" t="s">
        <v>5</v>
      </c>
      <c r="AL11" t="s">
        <v>114</v>
      </c>
    </row>
    <row r="12" spans="1:38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483.99</v>
      </c>
      <c r="T12" s="2" t="s">
        <v>57</v>
      </c>
      <c r="AG12">
        <v>4</v>
      </c>
      <c r="AH12" t="s">
        <v>126</v>
      </c>
      <c r="AI12" t="s">
        <v>138</v>
      </c>
      <c r="AJ12" s="10">
        <v>1</v>
      </c>
      <c r="AK12" t="s">
        <v>7</v>
      </c>
      <c r="AL12" t="s">
        <v>116</v>
      </c>
    </row>
    <row r="13" spans="1:38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127</v>
      </c>
      <c r="AI13" t="s">
        <v>137</v>
      </c>
      <c r="AJ13" s="10">
        <v>1</v>
      </c>
      <c r="AK13" t="s">
        <v>9</v>
      </c>
      <c r="AL13" t="s">
        <v>117</v>
      </c>
    </row>
    <row r="14" spans="1:38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483.99</v>
      </c>
      <c r="U14" s="8">
        <f t="shared" ref="U14:Z14" si="3">$S$12*J15</f>
        <v>508.18950000000001</v>
      </c>
      <c r="V14" s="8">
        <f t="shared" si="3"/>
        <v>566.26829999999995</v>
      </c>
      <c r="W14" s="8">
        <f t="shared" si="3"/>
        <v>638.86680000000001</v>
      </c>
      <c r="X14" s="8">
        <f t="shared" si="3"/>
        <v>725.98500000000001</v>
      </c>
      <c r="Y14" s="8">
        <f t="shared" si="3"/>
        <v>813.10320000000002</v>
      </c>
      <c r="Z14" s="8">
        <f t="shared" si="3"/>
        <v>876.02190000000007</v>
      </c>
      <c r="AG14">
        <v>6</v>
      </c>
      <c r="AH14" t="s">
        <v>128</v>
      </c>
      <c r="AI14" t="s">
        <v>136</v>
      </c>
      <c r="AJ14" s="10">
        <f>AJ9+1</f>
        <v>2</v>
      </c>
    </row>
    <row r="15" spans="1:38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1.05</v>
      </c>
      <c r="K15" s="11">
        <f>SUMIFS(ar6_r10!$F$2:$F$999,ar6_r10!$A$2:$A$999,Veda!$E$5,ar6_r10!$C$2:$C$999,Veda!K$17,ar6_r10!$M$2:$M$999,Veda!$G15)</f>
        <v>1.17</v>
      </c>
      <c r="L15" s="11">
        <f>SUMIFS(ar6_r10!$F$2:$F$999,ar6_r10!$A$2:$A$999,Veda!$E$5,ar6_r10!$C$2:$C$999,Veda!L$17,ar6_r10!$M$2:$M$999,Veda!$G15)</f>
        <v>1.32</v>
      </c>
      <c r="M15" s="11">
        <f>SUMIFS(ar6_r10!$F$2:$F$999,ar6_r10!$A$2:$A$999,Veda!$E$5,ar6_r10!$C$2:$C$999,Veda!M$17,ar6_r10!$M$2:$M$999,Veda!$G15)</f>
        <v>1.5</v>
      </c>
      <c r="N15" s="11">
        <f>SUMIFS(ar6_r10!$F$2:$F$999,ar6_r10!$A$2:$A$999,Veda!$E$5,ar6_r10!$C$2:$C$999,Veda!N$17,ar6_r10!$M$2:$M$999,Veda!$G15)</f>
        <v>1.68</v>
      </c>
      <c r="O15" s="11">
        <f>SUMIFS(ar6_r10!$F$2:$F$999,ar6_r10!$A$2:$A$999,Veda!$E$5,ar6_r10!$C$2:$C$999,Veda!O$17,ar6_r10!$M$2:$M$999,Veda!$G15)</f>
        <v>1.81</v>
      </c>
      <c r="AG15">
        <v>7</v>
      </c>
      <c r="AH15" t="s">
        <v>129</v>
      </c>
      <c r="AI15" t="s">
        <v>135</v>
      </c>
      <c r="AJ15" s="10">
        <f t="shared" ref="AJ15:AJ78" si="5">AJ10+1</f>
        <v>2</v>
      </c>
    </row>
    <row r="16" spans="1:38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130</v>
      </c>
      <c r="AI16" t="s">
        <v>134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131</v>
      </c>
      <c r="AI17" t="s">
        <v>133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5.6626829999999995</v>
      </c>
      <c r="W18" s="6">
        <f t="shared" si="7"/>
        <v>6.388668</v>
      </c>
      <c r="X18" s="6">
        <f t="shared" si="7"/>
        <v>7.2598500000000001</v>
      </c>
      <c r="Y18" s="6">
        <f t="shared" si="7"/>
        <v>16.262064000000002</v>
      </c>
      <c r="Z18" s="6">
        <f t="shared" si="7"/>
        <v>26.280657000000001</v>
      </c>
      <c r="AA18" t="s">
        <v>17</v>
      </c>
      <c r="AC18" s="2"/>
      <c r="AG18">
        <v>10</v>
      </c>
      <c r="AH18" t="s">
        <v>102</v>
      </c>
      <c r="AI18" t="s">
        <v>109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0.36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0.31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0.3</v>
      </c>
      <c r="S19" s="10" t="s">
        <v>19</v>
      </c>
      <c r="T19" s="6">
        <f t="shared" si="7"/>
        <v>174.2364</v>
      </c>
      <c r="U19" s="6">
        <f t="shared" si="7"/>
        <v>162.62064000000001</v>
      </c>
      <c r="V19" s="6">
        <f t="shared" si="7"/>
        <v>175.543173</v>
      </c>
      <c r="W19" s="6">
        <f t="shared" si="7"/>
        <v>185.27137199999999</v>
      </c>
      <c r="X19" s="6">
        <f t="shared" si="7"/>
        <v>210.53564999999998</v>
      </c>
      <c r="Y19" s="6">
        <f t="shared" si="7"/>
        <v>235.79992799999999</v>
      </c>
      <c r="Z19" s="6">
        <f t="shared" si="7"/>
        <v>262.80657000000002</v>
      </c>
      <c r="AA19" t="s">
        <v>17</v>
      </c>
      <c r="AG19">
        <v>11</v>
      </c>
      <c r="AH19" t="s">
        <v>103</v>
      </c>
      <c r="AI19" t="s">
        <v>111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0.6</v>
      </c>
      <c r="J20" s="11">
        <f>SUMIFS(ar6_r10!$F$2:$F$999,ar6_r10!$A$2:$A$999,Veda!$E$5,ar6_r10!$C$2:$C$999,Veda!J$17,ar6_r10!$M$2:$M$999,Veda!$G20)</f>
        <v>0.6</v>
      </c>
      <c r="K20" s="11">
        <f>SUMIFS(ar6_r10!$F$2:$F$999,ar6_r10!$A$2:$A$999,Veda!$E$5,ar6_r10!$C$2:$C$999,Veda!K$17,ar6_r10!$M$2:$M$999,Veda!$G20)</f>
        <v>0.6</v>
      </c>
      <c r="L20" s="11">
        <f>SUMIFS(ar6_r10!$F$2:$F$999,ar6_r10!$A$2:$A$999,Veda!$E$5,ar6_r10!$C$2:$C$999,Veda!L$17,ar6_r10!$M$2:$M$999,Veda!$G20)</f>
        <v>0.56999999999999995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0.52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7"/>
        <v>290.39400000000001</v>
      </c>
      <c r="U20" s="6">
        <f t="shared" si="7"/>
        <v>304.91370000000001</v>
      </c>
      <c r="V20" s="6">
        <f t="shared" si="7"/>
        <v>339.76097999999996</v>
      </c>
      <c r="W20" s="6">
        <f t="shared" si="7"/>
        <v>364.15407599999998</v>
      </c>
      <c r="X20" s="6">
        <f t="shared" si="7"/>
        <v>392.03190000000001</v>
      </c>
      <c r="Y20" s="6">
        <f t="shared" si="7"/>
        <v>422.81366400000002</v>
      </c>
      <c r="Z20" s="6">
        <f t="shared" si="7"/>
        <v>464.29160700000006</v>
      </c>
      <c r="AA20" t="s">
        <v>17</v>
      </c>
      <c r="AG20">
        <v>12</v>
      </c>
      <c r="AH20" t="s">
        <v>106</v>
      </c>
      <c r="AI20" t="s">
        <v>118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0.08</v>
      </c>
      <c r="L21" s="11">
        <f>SUMIFS(ar6_r10!$F$2:$F$999,ar6_r10!$A$2:$A$999,Veda!$E$5,ar6_r10!$C$2:$C$999,Veda!L$17,ar6_r10!$M$2:$M$999,Veda!$G21)</f>
        <v>0.11</v>
      </c>
      <c r="M21" s="11">
        <f>SUMIFS(ar6_r10!$F$2:$F$999,ar6_r10!$A$2:$A$999,Veda!$E$5,ar6_r10!$C$2:$C$999,Veda!M$17,ar6_r10!$M$2:$M$999,Veda!$G21)</f>
        <v>0.12</v>
      </c>
      <c r="N21" s="11">
        <f>SUMIFS(ar6_r10!$F$2:$F$999,ar6_r10!$A$2:$A$999,Veda!$E$5,ar6_r10!$C$2:$C$999,Veda!N$17,ar6_r10!$M$2:$M$999,Veda!$G21)</f>
        <v>0.18</v>
      </c>
      <c r="O21" s="11">
        <f>SUMIFS(ar6_r10!$F$2:$F$999,ar6_r10!$A$2:$A$999,Veda!$E$5,ar6_r10!$C$2:$C$999,Veda!O$17,ar6_r10!$M$2:$M$999,Veda!$G21)</f>
        <v>0.19</v>
      </c>
      <c r="S21" s="10" t="s">
        <v>24</v>
      </c>
      <c r="T21" s="6">
        <f>I21*T$14</f>
        <v>14.5197</v>
      </c>
      <c r="U21" s="6">
        <f t="shared" ref="U21:Z21" si="8">T21</f>
        <v>14.5197</v>
      </c>
      <c r="V21" s="6">
        <f t="shared" si="8"/>
        <v>14.5197</v>
      </c>
      <c r="W21" s="6">
        <f t="shared" si="8"/>
        <v>14.5197</v>
      </c>
      <c r="X21" s="6">
        <f t="shared" si="8"/>
        <v>14.5197</v>
      </c>
      <c r="Y21" s="6">
        <f t="shared" si="8"/>
        <v>14.5197</v>
      </c>
      <c r="Z21" s="6">
        <f t="shared" si="8"/>
        <v>14.5197</v>
      </c>
      <c r="AA21" t="s">
        <v>17</v>
      </c>
      <c r="AC21" s="2" t="s">
        <v>20</v>
      </c>
      <c r="AG21">
        <v>13</v>
      </c>
      <c r="AH21" t="s">
        <v>104</v>
      </c>
      <c r="AI21" t="s">
        <v>113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4.8399000000000001</v>
      </c>
      <c r="U22" s="6">
        <f t="shared" si="9"/>
        <v>26.135459999999966</v>
      </c>
      <c r="V22" s="6">
        <f t="shared" si="9"/>
        <v>36.444447000000082</v>
      </c>
      <c r="W22" s="6">
        <f t="shared" si="9"/>
        <v>74.921651999999995</v>
      </c>
      <c r="X22" s="6">
        <f t="shared" si="9"/>
        <v>108.89774999999997</v>
      </c>
      <c r="Y22" s="6">
        <f t="shared" si="9"/>
        <v>139.96990800000003</v>
      </c>
      <c r="Z22" s="6">
        <f t="shared" si="9"/>
        <v>134.40402299999994</v>
      </c>
      <c r="AA22" t="s">
        <v>17</v>
      </c>
      <c r="AG22">
        <v>14</v>
      </c>
      <c r="AH22" t="s">
        <v>105</v>
      </c>
      <c r="AI22" t="s">
        <v>115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71.48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7.1480000000000002E-2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52.44</v>
      </c>
      <c r="S28" t="s">
        <v>32</v>
      </c>
      <c r="T28" s="3">
        <f>Q28</f>
        <v>52.44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-37.49</v>
      </c>
      <c r="S29" t="s">
        <v>35</v>
      </c>
      <c r="T29" s="3">
        <f>-1*Q29</f>
        <v>37.49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OS.f97p50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OS.f97p50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(67%).f97p50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(50%).f97p50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deg.f97p50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84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108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35.1</v>
      </c>
      <c r="J45">
        <f t="shared" si="12"/>
        <v>37.557000000000002</v>
      </c>
      <c r="K45">
        <f t="shared" si="12"/>
        <v>43.524000000000001</v>
      </c>
      <c r="L45">
        <f t="shared" si="12"/>
        <v>40.365000000000002</v>
      </c>
      <c r="M45">
        <f t="shared" si="12"/>
        <v>43.875</v>
      </c>
      <c r="N45">
        <f t="shared" si="12"/>
        <v>41.067</v>
      </c>
      <c r="O45">
        <f t="shared" si="12"/>
        <v>47.034000000000006</v>
      </c>
      <c r="R45">
        <f>HLOOKUP($G45&amp;"_"&amp;R$44,fuel_prices!$B$10:$I$11,2,FALSE)</f>
        <v>29.1</v>
      </c>
      <c r="S45">
        <f>HLOOKUP($G45&amp;"_"&amp;S$44,fuel_prices!$B$10:$I$11,2,FALSE)</f>
        <v>41.1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15.2</v>
      </c>
      <c r="J46">
        <f t="shared" si="12"/>
        <v>15.504</v>
      </c>
      <c r="K46">
        <f t="shared" si="12"/>
        <v>16.111999999999998</v>
      </c>
      <c r="L46">
        <f t="shared" si="12"/>
        <v>16.263999999999999</v>
      </c>
      <c r="M46">
        <f t="shared" si="12"/>
        <v>16.416</v>
      </c>
      <c r="N46">
        <f t="shared" si="12"/>
        <v>16.72</v>
      </c>
      <c r="O46">
        <f t="shared" si="12"/>
        <v>17.024000000000001</v>
      </c>
      <c r="R46">
        <f>HLOOKUP($G46&amp;"_"&amp;R$44,fuel_prices!$B$10:$I$11,2,FALSE)</f>
        <v>13.7</v>
      </c>
      <c r="S46">
        <f>HLOOKUP($G46&amp;"_"&amp;S$44,fuel_prices!$B$10:$I$11,2,FALSE)</f>
        <v>16.7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53</v>
      </c>
      <c r="J47">
        <f t="shared" si="12"/>
        <v>53.53</v>
      </c>
      <c r="K47">
        <f t="shared" si="12"/>
        <v>58.830000000000005</v>
      </c>
      <c r="L47">
        <f t="shared" si="12"/>
        <v>53.53</v>
      </c>
      <c r="M47">
        <f t="shared" si="12"/>
        <v>53.53</v>
      </c>
      <c r="N47">
        <f t="shared" si="12"/>
        <v>55.120000000000005</v>
      </c>
      <c r="O47">
        <f t="shared" si="12"/>
        <v>60.419999999999995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28</v>
      </c>
      <c r="J48">
        <f t="shared" si="12"/>
        <v>26.88</v>
      </c>
      <c r="K48">
        <f t="shared" si="12"/>
        <v>29.12</v>
      </c>
      <c r="L48">
        <f t="shared" si="12"/>
        <v>29.12</v>
      </c>
      <c r="M48">
        <f t="shared" si="12"/>
        <v>27.439999999999998</v>
      </c>
      <c r="N48">
        <f t="shared" si="12"/>
        <v>27.72</v>
      </c>
      <c r="O48">
        <f t="shared" si="12"/>
        <v>28</v>
      </c>
      <c r="R48">
        <f>HLOOKUP($G48&amp;"_"&amp;R$44,fuel_prices!$B$10:$I$11,2,FALSE)</f>
        <v>24</v>
      </c>
      <c r="S48">
        <f>HLOOKUP($G48&amp;"_"&amp;S$44,fuel_prices!$B$10:$I$11,2,FALSE)</f>
        <v>32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 t="s">
        <v>146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  <row r="79" spans="1:36" x14ac:dyDescent="0.45">
      <c r="A79" t="s">
        <v>30</v>
      </c>
      <c r="B79" t="s">
        <v>31</v>
      </c>
      <c r="C79">
        <v>2024</v>
      </c>
      <c r="D79">
        <v>2030</v>
      </c>
      <c r="E79">
        <v>2040</v>
      </c>
      <c r="F79" t="s">
        <v>14</v>
      </c>
    </row>
    <row r="80" spans="1:36" x14ac:dyDescent="0.45">
      <c r="A80" t="s">
        <v>35</v>
      </c>
      <c r="B80" t="s">
        <v>147</v>
      </c>
      <c r="C80">
        <v>9.1</v>
      </c>
      <c r="D80">
        <v>11.285</v>
      </c>
      <c r="E80">
        <v>14.41</v>
      </c>
      <c r="F80" t="s">
        <v>148</v>
      </c>
    </row>
    <row r="81" spans="1:6" x14ac:dyDescent="0.45">
      <c r="A81" t="s">
        <v>32</v>
      </c>
      <c r="B81" t="s">
        <v>147</v>
      </c>
      <c r="C81">
        <v>7.25</v>
      </c>
      <c r="D81">
        <v>14.8</v>
      </c>
      <c r="E81">
        <v>17.3</v>
      </c>
      <c r="F81" t="s">
        <v>148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142</v>
      </c>
      <c r="B11">
        <v>29.1</v>
      </c>
      <c r="C11">
        <v>41.1</v>
      </c>
      <c r="D11">
        <v>13.7</v>
      </c>
      <c r="E11">
        <v>16.7</v>
      </c>
      <c r="F11">
        <v>48</v>
      </c>
      <c r="G11">
        <v>58</v>
      </c>
      <c r="H11">
        <v>24</v>
      </c>
      <c r="I11">
        <v>32</v>
      </c>
      <c r="J11" t="s">
        <v>144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142</v>
      </c>
      <c r="B11">
        <v>2000</v>
      </c>
      <c r="C11">
        <v>194.06</v>
      </c>
      <c r="D11">
        <v>237.76</v>
      </c>
      <c r="E11">
        <v>9.3800000000000008</v>
      </c>
      <c r="F11">
        <v>0</v>
      </c>
      <c r="G11">
        <v>3.69</v>
      </c>
      <c r="H11">
        <v>-73.17</v>
      </c>
      <c r="I11">
        <v>533.6</v>
      </c>
    </row>
    <row r="12" spans="1:9" x14ac:dyDescent="0.45">
      <c r="A12" t="s">
        <v>142</v>
      </c>
      <c r="B12">
        <v>2001</v>
      </c>
      <c r="C12">
        <v>194.58</v>
      </c>
      <c r="D12">
        <v>245.54</v>
      </c>
      <c r="E12">
        <v>9.5500000000000007</v>
      </c>
      <c r="F12">
        <v>0</v>
      </c>
      <c r="G12">
        <v>4.47</v>
      </c>
      <c r="H12">
        <v>-72.86</v>
      </c>
      <c r="I12">
        <v>543.64</v>
      </c>
    </row>
    <row r="13" spans="1:9" x14ac:dyDescent="0.45">
      <c r="A13" t="s">
        <v>142</v>
      </c>
      <c r="B13">
        <v>2002</v>
      </c>
      <c r="C13">
        <v>193.99</v>
      </c>
      <c r="D13">
        <v>244.71</v>
      </c>
      <c r="E13">
        <v>9.67</v>
      </c>
      <c r="F13">
        <v>0</v>
      </c>
      <c r="G13">
        <v>3.71</v>
      </c>
      <c r="H13">
        <v>-80.739999999999995</v>
      </c>
      <c r="I13">
        <v>552.11</v>
      </c>
    </row>
    <row r="14" spans="1:9" x14ac:dyDescent="0.45">
      <c r="A14" t="s">
        <v>142</v>
      </c>
      <c r="B14">
        <v>2003</v>
      </c>
      <c r="C14">
        <v>195.87</v>
      </c>
      <c r="D14">
        <v>261.02</v>
      </c>
      <c r="E14">
        <v>9.7899999999999991</v>
      </c>
      <c r="F14">
        <v>0</v>
      </c>
      <c r="G14">
        <v>6.96</v>
      </c>
      <c r="H14">
        <v>-73.37</v>
      </c>
      <c r="I14">
        <v>559.91</v>
      </c>
    </row>
    <row r="15" spans="1:9" x14ac:dyDescent="0.45">
      <c r="A15" t="s">
        <v>142</v>
      </c>
      <c r="B15">
        <v>2004</v>
      </c>
      <c r="C15">
        <v>198.37</v>
      </c>
      <c r="D15">
        <v>270.62</v>
      </c>
      <c r="E15">
        <v>10.02</v>
      </c>
      <c r="F15">
        <v>0</v>
      </c>
      <c r="G15">
        <v>6.57</v>
      </c>
      <c r="H15">
        <v>-68.48</v>
      </c>
      <c r="I15">
        <v>567.20000000000005</v>
      </c>
    </row>
    <row r="16" spans="1:9" x14ac:dyDescent="0.45">
      <c r="A16" t="s">
        <v>142</v>
      </c>
      <c r="B16">
        <v>2005</v>
      </c>
      <c r="C16">
        <v>202.39</v>
      </c>
      <c r="D16">
        <v>271</v>
      </c>
      <c r="E16">
        <v>9.86</v>
      </c>
      <c r="F16">
        <v>0</v>
      </c>
      <c r="G16">
        <v>8.06</v>
      </c>
      <c r="H16">
        <v>-68.39</v>
      </c>
      <c r="I16">
        <v>569.87</v>
      </c>
    </row>
    <row r="17" spans="1:9" x14ac:dyDescent="0.45">
      <c r="A17" t="s">
        <v>142</v>
      </c>
      <c r="B17">
        <v>2006</v>
      </c>
      <c r="C17">
        <v>196.17</v>
      </c>
      <c r="D17">
        <v>280.74</v>
      </c>
      <c r="E17">
        <v>9.98</v>
      </c>
      <c r="F17">
        <v>0</v>
      </c>
      <c r="G17">
        <v>8.52</v>
      </c>
      <c r="H17">
        <v>-71.86</v>
      </c>
      <c r="I17">
        <v>568.01</v>
      </c>
    </row>
    <row r="18" spans="1:9" x14ac:dyDescent="0.45">
      <c r="A18" t="s">
        <v>142</v>
      </c>
      <c r="B18">
        <v>2007</v>
      </c>
      <c r="C18">
        <v>193.97</v>
      </c>
      <c r="D18">
        <v>281.70999999999998</v>
      </c>
      <c r="E18">
        <v>10.029999999999999</v>
      </c>
      <c r="F18">
        <v>0</v>
      </c>
      <c r="G18">
        <v>10.78</v>
      </c>
      <c r="H18">
        <v>-67.59</v>
      </c>
      <c r="I18">
        <v>562.48</v>
      </c>
    </row>
    <row r="19" spans="1:9" x14ac:dyDescent="0.45">
      <c r="A19" t="s">
        <v>142</v>
      </c>
      <c r="B19">
        <v>2008</v>
      </c>
      <c r="C19">
        <v>192.61</v>
      </c>
      <c r="D19">
        <v>291.74</v>
      </c>
      <c r="E19">
        <v>10.42</v>
      </c>
      <c r="F19">
        <v>0</v>
      </c>
      <c r="G19">
        <v>10.75</v>
      </c>
      <c r="H19">
        <v>-58.74</v>
      </c>
      <c r="I19">
        <v>567.55999999999995</v>
      </c>
    </row>
    <row r="20" spans="1:9" x14ac:dyDescent="0.45">
      <c r="A20" t="s">
        <v>142</v>
      </c>
      <c r="B20">
        <v>2009</v>
      </c>
      <c r="C20">
        <v>175.21</v>
      </c>
      <c r="D20">
        <v>293.16000000000003</v>
      </c>
      <c r="E20">
        <v>10.08</v>
      </c>
      <c r="F20">
        <v>0</v>
      </c>
      <c r="G20">
        <v>18.52</v>
      </c>
      <c r="H20">
        <v>-44.45</v>
      </c>
      <c r="I20">
        <v>529.42999999999995</v>
      </c>
    </row>
    <row r="21" spans="1:9" x14ac:dyDescent="0.45">
      <c r="A21" t="s">
        <v>142</v>
      </c>
      <c r="B21">
        <v>2010</v>
      </c>
      <c r="C21">
        <v>181.68</v>
      </c>
      <c r="D21">
        <v>313.8</v>
      </c>
      <c r="E21">
        <v>10.039999999999999</v>
      </c>
      <c r="F21">
        <v>0</v>
      </c>
      <c r="G21">
        <v>19.48</v>
      </c>
      <c r="H21">
        <v>-50.19</v>
      </c>
      <c r="I21">
        <v>562.94000000000005</v>
      </c>
    </row>
    <row r="22" spans="1:9" x14ac:dyDescent="0.45">
      <c r="A22" t="s">
        <v>142</v>
      </c>
      <c r="B22">
        <v>2011</v>
      </c>
      <c r="C22">
        <v>186.46</v>
      </c>
      <c r="D22">
        <v>293.82</v>
      </c>
      <c r="E22">
        <v>9.14</v>
      </c>
      <c r="F22">
        <v>0.03</v>
      </c>
      <c r="G22">
        <v>9.5</v>
      </c>
      <c r="H22">
        <v>-65.91</v>
      </c>
      <c r="I22">
        <v>567.95000000000005</v>
      </c>
    </row>
    <row r="23" spans="1:9" x14ac:dyDescent="0.45">
      <c r="A23" t="s">
        <v>142</v>
      </c>
      <c r="B23">
        <v>2012</v>
      </c>
      <c r="C23">
        <v>186.69</v>
      </c>
      <c r="D23">
        <v>312.39</v>
      </c>
      <c r="E23">
        <v>9.2799999999999994</v>
      </c>
      <c r="F23">
        <v>0.04</v>
      </c>
      <c r="G23">
        <v>12.21</v>
      </c>
      <c r="H23">
        <v>-56.73</v>
      </c>
      <c r="I23">
        <v>567.83000000000004</v>
      </c>
    </row>
    <row r="24" spans="1:9" x14ac:dyDescent="0.45">
      <c r="A24" t="s">
        <v>142</v>
      </c>
      <c r="B24">
        <v>2013</v>
      </c>
      <c r="C24">
        <v>185.3</v>
      </c>
      <c r="D24">
        <v>320.97000000000003</v>
      </c>
      <c r="E24">
        <v>9.3699999999999992</v>
      </c>
      <c r="F24">
        <v>0.06</v>
      </c>
      <c r="G24">
        <v>11.69</v>
      </c>
      <c r="H24">
        <v>-60.15</v>
      </c>
      <c r="I24">
        <v>577.14</v>
      </c>
    </row>
    <row r="25" spans="1:9" x14ac:dyDescent="0.45">
      <c r="A25" t="s">
        <v>142</v>
      </c>
      <c r="B25">
        <v>2014</v>
      </c>
      <c r="C25">
        <v>179.65</v>
      </c>
      <c r="D25">
        <v>296.82</v>
      </c>
      <c r="E25">
        <v>9.1300000000000008</v>
      </c>
      <c r="F25">
        <v>0.08</v>
      </c>
      <c r="G25">
        <v>7.87</v>
      </c>
      <c r="H25">
        <v>-75.06</v>
      </c>
      <c r="I25">
        <v>566.77</v>
      </c>
    </row>
    <row r="26" spans="1:9" x14ac:dyDescent="0.45">
      <c r="A26" t="s">
        <v>142</v>
      </c>
      <c r="B26">
        <v>2015</v>
      </c>
      <c r="C26">
        <v>180.44</v>
      </c>
      <c r="D26">
        <v>307.36</v>
      </c>
      <c r="E26">
        <v>9.25</v>
      </c>
      <c r="F26">
        <v>0.11</v>
      </c>
      <c r="G26">
        <v>9.9600000000000009</v>
      </c>
      <c r="H26">
        <v>-74.02</v>
      </c>
      <c r="I26">
        <v>574.45000000000005</v>
      </c>
    </row>
    <row r="27" spans="1:9" x14ac:dyDescent="0.45">
      <c r="A27" t="s">
        <v>142</v>
      </c>
      <c r="B27">
        <v>2016</v>
      </c>
      <c r="C27">
        <v>183.04</v>
      </c>
      <c r="D27">
        <v>313.68</v>
      </c>
      <c r="E27">
        <v>9.06</v>
      </c>
      <c r="F27">
        <v>0.15</v>
      </c>
      <c r="G27">
        <v>19.899999999999999</v>
      </c>
      <c r="H27">
        <v>-61.4</v>
      </c>
      <c r="I27">
        <v>559.17999999999995</v>
      </c>
    </row>
    <row r="28" spans="1:9" x14ac:dyDescent="0.45">
      <c r="A28" t="s">
        <v>142</v>
      </c>
      <c r="B28">
        <v>2017</v>
      </c>
      <c r="C28">
        <v>183.41</v>
      </c>
      <c r="D28">
        <v>311.24</v>
      </c>
      <c r="E28">
        <v>9.0500000000000007</v>
      </c>
      <c r="F28">
        <v>0.19</v>
      </c>
      <c r="G28">
        <v>21.12</v>
      </c>
      <c r="H28">
        <v>-61.25</v>
      </c>
      <c r="I28">
        <v>556.76</v>
      </c>
    </row>
    <row r="29" spans="1:9" x14ac:dyDescent="0.45">
      <c r="A29" t="s">
        <v>142</v>
      </c>
      <c r="B29">
        <v>2018</v>
      </c>
      <c r="C29">
        <v>183.37</v>
      </c>
      <c r="D29">
        <v>309.16000000000003</v>
      </c>
      <c r="E29">
        <v>8.6199999999999992</v>
      </c>
      <c r="F29">
        <v>0.24</v>
      </c>
      <c r="G29">
        <v>13.51</v>
      </c>
      <c r="H29">
        <v>-76.48</v>
      </c>
      <c r="I29">
        <v>576.26</v>
      </c>
    </row>
    <row r="30" spans="1:9" x14ac:dyDescent="0.45">
      <c r="A30" t="s">
        <v>142</v>
      </c>
      <c r="B30">
        <v>2019</v>
      </c>
      <c r="C30">
        <v>181.24</v>
      </c>
      <c r="D30">
        <v>304.60000000000002</v>
      </c>
      <c r="E30">
        <v>8.4700000000000006</v>
      </c>
      <c r="F30">
        <v>0.33</v>
      </c>
      <c r="G30">
        <v>15.63</v>
      </c>
      <c r="H30">
        <v>-73.3</v>
      </c>
      <c r="I30">
        <v>566.01</v>
      </c>
    </row>
    <row r="31" spans="1:9" x14ac:dyDescent="0.45">
      <c r="A31" t="s">
        <v>142</v>
      </c>
      <c r="B31">
        <v>2020</v>
      </c>
      <c r="C31">
        <v>167.45</v>
      </c>
      <c r="D31">
        <v>295.89</v>
      </c>
      <c r="E31">
        <v>6.94</v>
      </c>
      <c r="F31">
        <v>0.42</v>
      </c>
      <c r="G31">
        <v>19.54</v>
      </c>
      <c r="H31">
        <v>-64.58</v>
      </c>
      <c r="I31">
        <v>527.64</v>
      </c>
    </row>
    <row r="32" spans="1:9" x14ac:dyDescent="0.45">
      <c r="A32" t="s">
        <v>142</v>
      </c>
      <c r="B32">
        <v>2021</v>
      </c>
      <c r="C32">
        <v>177.58</v>
      </c>
      <c r="D32">
        <v>309.27</v>
      </c>
      <c r="E32">
        <v>7.83</v>
      </c>
      <c r="F32">
        <v>0.79</v>
      </c>
      <c r="G32">
        <v>24.33</v>
      </c>
      <c r="H32">
        <v>-69.23</v>
      </c>
      <c r="I32">
        <v>550.63</v>
      </c>
    </row>
    <row r="33" spans="1:9" x14ac:dyDescent="0.45">
      <c r="A33" t="s">
        <v>142</v>
      </c>
      <c r="B33">
        <v>2022</v>
      </c>
      <c r="C33">
        <v>165.91</v>
      </c>
      <c r="D33">
        <v>294.72000000000003</v>
      </c>
      <c r="E33">
        <v>8.24</v>
      </c>
      <c r="F33">
        <v>1.41</v>
      </c>
      <c r="G33">
        <v>52.44</v>
      </c>
      <c r="H33">
        <v>-37.49</v>
      </c>
      <c r="I33">
        <v>469.04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143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45">
      <c r="A12" t="s">
        <v>0</v>
      </c>
      <c r="B12" t="s">
        <v>143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143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45">
      <c r="A14" t="s">
        <v>0</v>
      </c>
      <c r="B14" t="s">
        <v>143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45">
      <c r="A15" t="s">
        <v>0</v>
      </c>
      <c r="B15" t="s">
        <v>143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45">
      <c r="A16" t="s">
        <v>0</v>
      </c>
      <c r="B16" t="s">
        <v>143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45">
      <c r="A17" t="s">
        <v>0</v>
      </c>
      <c r="B17" t="s">
        <v>143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45">
      <c r="A18" t="s">
        <v>2</v>
      </c>
      <c r="B18" t="s">
        <v>143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45">
      <c r="A19" t="s">
        <v>2</v>
      </c>
      <c r="B19" t="s">
        <v>143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45">
      <c r="A20" t="s">
        <v>2</v>
      </c>
      <c r="B20" t="s">
        <v>143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45">
      <c r="A21" t="s">
        <v>2</v>
      </c>
      <c r="B21" t="s">
        <v>143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143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45">
      <c r="A23" t="s">
        <v>2</v>
      </c>
      <c r="B23" t="s">
        <v>143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45">
      <c r="A24" t="s">
        <v>2</v>
      </c>
      <c r="B24" t="s">
        <v>143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143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45">
      <c r="A26" t="s">
        <v>5</v>
      </c>
      <c r="B26" t="s">
        <v>143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45">
      <c r="A27" t="s">
        <v>5</v>
      </c>
      <c r="B27" t="s">
        <v>143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45">
      <c r="A28" t="s">
        <v>5</v>
      </c>
      <c r="B28" t="s">
        <v>143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45">
      <c r="A29" t="s">
        <v>5</v>
      </c>
      <c r="B29" t="s">
        <v>143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45">
      <c r="A30" t="s">
        <v>5</v>
      </c>
      <c r="B30" t="s">
        <v>143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45">
      <c r="A31" t="s">
        <v>5</v>
      </c>
      <c r="B31" t="s">
        <v>143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143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45">
      <c r="A33" t="s">
        <v>7</v>
      </c>
      <c r="B33" t="s">
        <v>143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45">
      <c r="A34" t="s">
        <v>7</v>
      </c>
      <c r="B34" t="s">
        <v>143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45">
      <c r="A35" t="s">
        <v>7</v>
      </c>
      <c r="B35" t="s">
        <v>143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143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45">
      <c r="A37" t="s">
        <v>7</v>
      </c>
      <c r="B37" t="s">
        <v>143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143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143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45">
      <c r="A40" t="s">
        <v>9</v>
      </c>
      <c r="B40" t="s">
        <v>143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45">
      <c r="A41" t="s">
        <v>9</v>
      </c>
      <c r="B41" t="s">
        <v>143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45">
      <c r="A42" t="s">
        <v>9</v>
      </c>
      <c r="B42" t="s">
        <v>143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45">
      <c r="A43" t="s">
        <v>9</v>
      </c>
      <c r="B43" t="s">
        <v>143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45">
      <c r="A44" t="s">
        <v>9</v>
      </c>
      <c r="B44" t="s">
        <v>143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45">
      <c r="A45" t="s">
        <v>9</v>
      </c>
      <c r="B45" t="s">
        <v>143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45">
      <c r="A46" t="s">
        <v>0</v>
      </c>
      <c r="B46" t="s">
        <v>143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143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143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143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143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143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143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143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143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143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143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143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143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143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143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143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143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143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143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143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143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143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143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143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143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143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143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143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143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143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143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143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143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143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143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143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143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143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143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143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143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45">
      <c r="A87" t="s">
        <v>0</v>
      </c>
      <c r="B87" t="s">
        <v>143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143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143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143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45">
      <c r="A91" t="s">
        <v>2</v>
      </c>
      <c r="B91" t="s">
        <v>143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45">
      <c r="A92" t="s">
        <v>2</v>
      </c>
      <c r="B92" t="s">
        <v>143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143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143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45">
      <c r="A95" t="s">
        <v>5</v>
      </c>
      <c r="B95" t="s">
        <v>143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143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143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143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143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143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45">
      <c r="A101" t="s">
        <v>5</v>
      </c>
      <c r="B101" t="s">
        <v>143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143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143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143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143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143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45">
      <c r="A107" t="s">
        <v>7</v>
      </c>
      <c r="B107" t="s">
        <v>143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143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143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143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143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143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143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143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143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143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45">
      <c r="A117" t="s">
        <v>0</v>
      </c>
      <c r="B117" t="s">
        <v>143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45">
      <c r="A118" t="s">
        <v>0</v>
      </c>
      <c r="B118" t="s">
        <v>143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45">
      <c r="A119" t="s">
        <v>0</v>
      </c>
      <c r="B119" t="s">
        <v>143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45">
      <c r="A120" t="s">
        <v>0</v>
      </c>
      <c r="B120" t="s">
        <v>143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45">
      <c r="A121" t="s">
        <v>0</v>
      </c>
      <c r="B121" t="s">
        <v>143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45">
      <c r="A122" t="s">
        <v>0</v>
      </c>
      <c r="B122" t="s">
        <v>143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45">
      <c r="A123" t="s">
        <v>2</v>
      </c>
      <c r="B123" t="s">
        <v>143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45">
      <c r="A124" t="s">
        <v>2</v>
      </c>
      <c r="B124" t="s">
        <v>143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45">
      <c r="A125" t="s">
        <v>2</v>
      </c>
      <c r="B125" t="s">
        <v>143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45">
      <c r="A126" t="s">
        <v>2</v>
      </c>
      <c r="B126" t="s">
        <v>143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45">
      <c r="A127" t="s">
        <v>2</v>
      </c>
      <c r="B127" t="s">
        <v>143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45">
      <c r="A128" t="s">
        <v>2</v>
      </c>
      <c r="B128" t="s">
        <v>143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45">
      <c r="A129" t="s">
        <v>2</v>
      </c>
      <c r="B129" t="s">
        <v>143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45">
      <c r="A130" t="s">
        <v>5</v>
      </c>
      <c r="B130" t="s">
        <v>143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143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45">
      <c r="A132" t="s">
        <v>5</v>
      </c>
      <c r="B132" t="s">
        <v>143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45">
      <c r="A133" t="s">
        <v>5</v>
      </c>
      <c r="B133" t="s">
        <v>143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45">
      <c r="A134" t="s">
        <v>5</v>
      </c>
      <c r="B134" t="s">
        <v>143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45">
      <c r="A135" t="s">
        <v>5</v>
      </c>
      <c r="B135" t="s">
        <v>143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143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45">
      <c r="A137" t="s">
        <v>7</v>
      </c>
      <c r="B137" t="s">
        <v>143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45">
      <c r="A138" t="s">
        <v>7</v>
      </c>
      <c r="B138" t="s">
        <v>143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45">
      <c r="A139" t="s">
        <v>7</v>
      </c>
      <c r="B139" t="s">
        <v>143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45">
      <c r="A140" t="s">
        <v>7</v>
      </c>
      <c r="B140" t="s">
        <v>143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45">
      <c r="A141" t="s">
        <v>7</v>
      </c>
      <c r="B141" t="s">
        <v>143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45">
      <c r="A142" t="s">
        <v>7</v>
      </c>
      <c r="B142" t="s">
        <v>143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45">
      <c r="A143" t="s">
        <v>7</v>
      </c>
      <c r="B143" t="s">
        <v>143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45">
      <c r="A144" t="s">
        <v>9</v>
      </c>
      <c r="B144" t="s">
        <v>143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143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143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143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143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143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143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143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45">
      <c r="A152" t="s">
        <v>0</v>
      </c>
      <c r="B152" t="s">
        <v>143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45">
      <c r="A153" t="s">
        <v>0</v>
      </c>
      <c r="B153" t="s">
        <v>143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45">
      <c r="A154" t="s">
        <v>0</v>
      </c>
      <c r="B154" t="s">
        <v>143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45">
      <c r="A155" t="s">
        <v>0</v>
      </c>
      <c r="B155" t="s">
        <v>143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45">
      <c r="A156" t="s">
        <v>0</v>
      </c>
      <c r="B156" t="s">
        <v>143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143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45">
      <c r="A158" t="s">
        <v>2</v>
      </c>
      <c r="B158" t="s">
        <v>143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45">
      <c r="A159" t="s">
        <v>2</v>
      </c>
      <c r="B159" t="s">
        <v>143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45">
      <c r="A160" t="s">
        <v>2</v>
      </c>
      <c r="B160" t="s">
        <v>143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45">
      <c r="A161" t="s">
        <v>2</v>
      </c>
      <c r="B161" t="s">
        <v>143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45">
      <c r="A162" t="s">
        <v>2</v>
      </c>
      <c r="B162" t="s">
        <v>143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45">
      <c r="A163" t="s">
        <v>2</v>
      </c>
      <c r="B163" t="s">
        <v>143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143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45">
      <c r="A165" t="s">
        <v>5</v>
      </c>
      <c r="B165" t="s">
        <v>143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45">
      <c r="A166" t="s">
        <v>5</v>
      </c>
      <c r="B166" t="s">
        <v>143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45">
      <c r="A167" t="s">
        <v>5</v>
      </c>
      <c r="B167" t="s">
        <v>143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45">
      <c r="A168" t="s">
        <v>5</v>
      </c>
      <c r="B168" t="s">
        <v>143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45">
      <c r="A169" t="s">
        <v>5</v>
      </c>
      <c r="B169" t="s">
        <v>143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143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45">
      <c r="A171" t="s">
        <v>5</v>
      </c>
      <c r="B171" t="s">
        <v>143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45">
      <c r="A172" t="s">
        <v>7</v>
      </c>
      <c r="B172" t="s">
        <v>143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45">
      <c r="A173" t="s">
        <v>7</v>
      </c>
      <c r="B173" t="s">
        <v>143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45">
      <c r="A174" t="s">
        <v>7</v>
      </c>
      <c r="B174" t="s">
        <v>143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45">
      <c r="A175" t="s">
        <v>7</v>
      </c>
      <c r="B175" t="s">
        <v>143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45">
      <c r="A176" t="s">
        <v>7</v>
      </c>
      <c r="B176" t="s">
        <v>143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45">
      <c r="A177" t="s">
        <v>7</v>
      </c>
      <c r="B177" t="s">
        <v>143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45">
      <c r="A178" t="s">
        <v>7</v>
      </c>
      <c r="B178" t="s">
        <v>143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45">
      <c r="A179" t="s">
        <v>9</v>
      </c>
      <c r="B179" t="s">
        <v>143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143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143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143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143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143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143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143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45">
      <c r="A187" t="s">
        <v>0</v>
      </c>
      <c r="B187" t="s">
        <v>143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143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45">
      <c r="A189" t="s">
        <v>0</v>
      </c>
      <c r="B189" t="s">
        <v>143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143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45">
      <c r="A191" t="s">
        <v>0</v>
      </c>
      <c r="B191" t="s">
        <v>143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45">
      <c r="A192" t="s">
        <v>0</v>
      </c>
      <c r="B192" t="s">
        <v>143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143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45">
      <c r="A194" t="s">
        <v>2</v>
      </c>
      <c r="B194" t="s">
        <v>143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143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45">
      <c r="A196" t="s">
        <v>2</v>
      </c>
      <c r="B196" t="s">
        <v>143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45">
      <c r="A197" t="s">
        <v>2</v>
      </c>
      <c r="B197" t="s">
        <v>143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45">
      <c r="A198" t="s">
        <v>2</v>
      </c>
      <c r="B198" t="s">
        <v>143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143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45">
      <c r="A200" t="s">
        <v>5</v>
      </c>
      <c r="B200" t="s">
        <v>143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45">
      <c r="A201" t="s">
        <v>5</v>
      </c>
      <c r="B201" t="s">
        <v>143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143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45">
      <c r="A203" t="s">
        <v>5</v>
      </c>
      <c r="B203" t="s">
        <v>143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45">
      <c r="A204" t="s">
        <v>5</v>
      </c>
      <c r="B204" t="s">
        <v>143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45">
      <c r="A205" t="s">
        <v>5</v>
      </c>
      <c r="B205" t="s">
        <v>143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45">
      <c r="A206" t="s">
        <v>5</v>
      </c>
      <c r="B206" t="s">
        <v>143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45">
      <c r="A207" t="s">
        <v>7</v>
      </c>
      <c r="B207" t="s">
        <v>143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45">
      <c r="A208" t="s">
        <v>7</v>
      </c>
      <c r="B208" t="s">
        <v>143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143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45">
      <c r="A210" t="s">
        <v>7</v>
      </c>
      <c r="B210" t="s">
        <v>143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45">
      <c r="A211" t="s">
        <v>7</v>
      </c>
      <c r="B211" t="s">
        <v>143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45">
      <c r="A212" t="s">
        <v>7</v>
      </c>
      <c r="B212" t="s">
        <v>143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45">
      <c r="A213" t="s">
        <v>7</v>
      </c>
      <c r="B213" t="s">
        <v>143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45">
      <c r="A214" t="s">
        <v>9</v>
      </c>
      <c r="B214" t="s">
        <v>143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143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143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143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143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143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143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143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143</v>
      </c>
      <c r="C222">
        <v>2025</v>
      </c>
      <c r="D222">
        <v>34</v>
      </c>
      <c r="E222">
        <v>65535</v>
      </c>
      <c r="F222">
        <v>2.42</v>
      </c>
      <c r="H222">
        <v>1.18</v>
      </c>
      <c r="I222">
        <v>65535</v>
      </c>
      <c r="J222">
        <v>2.0099999999999998</v>
      </c>
      <c r="K222">
        <v>2.75</v>
      </c>
      <c r="L222" t="s">
        <v>1</v>
      </c>
      <c r="M222" t="s">
        <v>70</v>
      </c>
    </row>
    <row r="223" spans="1:13" x14ac:dyDescent="0.45">
      <c r="A223" t="s">
        <v>0</v>
      </c>
      <c r="B223" t="s">
        <v>143</v>
      </c>
      <c r="C223">
        <v>2030</v>
      </c>
      <c r="D223">
        <v>34</v>
      </c>
      <c r="E223">
        <v>65535</v>
      </c>
      <c r="F223">
        <v>3.1</v>
      </c>
      <c r="H223">
        <v>1.71</v>
      </c>
      <c r="I223">
        <v>65535</v>
      </c>
      <c r="J223">
        <v>2.38</v>
      </c>
      <c r="K223">
        <v>3.46</v>
      </c>
      <c r="L223" t="s">
        <v>1</v>
      </c>
      <c r="M223" t="s">
        <v>70</v>
      </c>
    </row>
    <row r="224" spans="1:13" x14ac:dyDescent="0.45">
      <c r="A224" t="s">
        <v>0</v>
      </c>
      <c r="B224" t="s">
        <v>143</v>
      </c>
      <c r="C224">
        <v>2035</v>
      </c>
      <c r="D224">
        <v>34</v>
      </c>
      <c r="E224">
        <v>65535</v>
      </c>
      <c r="F224">
        <v>3.54</v>
      </c>
      <c r="H224">
        <v>1.91</v>
      </c>
      <c r="I224">
        <v>65535</v>
      </c>
      <c r="J224">
        <v>2.66</v>
      </c>
      <c r="K224">
        <v>4.16</v>
      </c>
      <c r="L224" t="s">
        <v>1</v>
      </c>
      <c r="M224" t="s">
        <v>70</v>
      </c>
    </row>
    <row r="225" spans="1:13" x14ac:dyDescent="0.45">
      <c r="A225" t="s">
        <v>0</v>
      </c>
      <c r="B225" t="s">
        <v>143</v>
      </c>
      <c r="C225">
        <v>2040</v>
      </c>
      <c r="D225">
        <v>34</v>
      </c>
      <c r="E225">
        <v>65535</v>
      </c>
      <c r="F225">
        <v>4.0999999999999996</v>
      </c>
      <c r="H225">
        <v>2.27</v>
      </c>
      <c r="I225">
        <v>65535</v>
      </c>
      <c r="J225">
        <v>2.96</v>
      </c>
      <c r="K225">
        <v>4.5199999999999996</v>
      </c>
      <c r="L225" t="s">
        <v>1</v>
      </c>
      <c r="M225" t="s">
        <v>70</v>
      </c>
    </row>
    <row r="226" spans="1:13" x14ac:dyDescent="0.45">
      <c r="A226" t="s">
        <v>0</v>
      </c>
      <c r="B226" t="s">
        <v>143</v>
      </c>
      <c r="C226">
        <v>2045</v>
      </c>
      <c r="D226">
        <v>34</v>
      </c>
      <c r="E226">
        <v>65535</v>
      </c>
      <c r="F226">
        <v>3.86</v>
      </c>
      <c r="H226">
        <v>2.54</v>
      </c>
      <c r="I226">
        <v>65535</v>
      </c>
      <c r="J226">
        <v>3.3</v>
      </c>
      <c r="K226">
        <v>4.8899999999999997</v>
      </c>
      <c r="L226" t="s">
        <v>1</v>
      </c>
      <c r="M226" t="s">
        <v>70</v>
      </c>
    </row>
    <row r="227" spans="1:13" x14ac:dyDescent="0.45">
      <c r="A227" t="s">
        <v>0</v>
      </c>
      <c r="B227" t="s">
        <v>143</v>
      </c>
      <c r="C227">
        <v>2050</v>
      </c>
      <c r="D227">
        <v>34</v>
      </c>
      <c r="E227">
        <v>65535</v>
      </c>
      <c r="F227">
        <v>3.59</v>
      </c>
      <c r="H227">
        <v>2.73</v>
      </c>
      <c r="I227">
        <v>65535</v>
      </c>
      <c r="J227">
        <v>3.07</v>
      </c>
      <c r="K227">
        <v>4.0599999999999996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143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143</v>
      </c>
      <c r="C229">
        <v>2025</v>
      </c>
      <c r="D229">
        <v>44</v>
      </c>
      <c r="E229">
        <v>65535</v>
      </c>
      <c r="F229">
        <v>1.22</v>
      </c>
      <c r="H229">
        <v>0</v>
      </c>
      <c r="I229">
        <v>65535</v>
      </c>
      <c r="J229">
        <v>1.1299999999999999</v>
      </c>
      <c r="K229">
        <v>1.35</v>
      </c>
      <c r="L229" t="s">
        <v>3</v>
      </c>
      <c r="M229" t="s">
        <v>70</v>
      </c>
    </row>
    <row r="230" spans="1:13" x14ac:dyDescent="0.45">
      <c r="A230" t="s">
        <v>2</v>
      </c>
      <c r="B230" t="s">
        <v>143</v>
      </c>
      <c r="C230">
        <v>2030</v>
      </c>
      <c r="D230">
        <v>44</v>
      </c>
      <c r="E230">
        <v>65535</v>
      </c>
      <c r="F230">
        <v>1.5</v>
      </c>
      <c r="H230">
        <v>0</v>
      </c>
      <c r="I230">
        <v>65535</v>
      </c>
      <c r="J230">
        <v>1.31</v>
      </c>
      <c r="K230">
        <v>1.83</v>
      </c>
      <c r="L230" t="s">
        <v>3</v>
      </c>
      <c r="M230" t="s">
        <v>70</v>
      </c>
    </row>
    <row r="231" spans="1:13" x14ac:dyDescent="0.45">
      <c r="A231" t="s">
        <v>2</v>
      </c>
      <c r="B231" t="s">
        <v>143</v>
      </c>
      <c r="C231">
        <v>2035</v>
      </c>
      <c r="D231">
        <v>44</v>
      </c>
      <c r="E231">
        <v>65535</v>
      </c>
      <c r="F231">
        <v>2.12</v>
      </c>
      <c r="H231">
        <v>0</v>
      </c>
      <c r="I231">
        <v>65535</v>
      </c>
      <c r="J231">
        <v>1.68</v>
      </c>
      <c r="K231">
        <v>2.46</v>
      </c>
      <c r="L231" t="s">
        <v>3</v>
      </c>
      <c r="M231" t="s">
        <v>70</v>
      </c>
    </row>
    <row r="232" spans="1:13" x14ac:dyDescent="0.45">
      <c r="A232" t="s">
        <v>2</v>
      </c>
      <c r="B232" t="s">
        <v>143</v>
      </c>
      <c r="C232">
        <v>2040</v>
      </c>
      <c r="D232">
        <v>44</v>
      </c>
      <c r="E232">
        <v>65535</v>
      </c>
      <c r="F232">
        <v>2.5</v>
      </c>
      <c r="H232">
        <v>0</v>
      </c>
      <c r="I232">
        <v>65535</v>
      </c>
      <c r="J232">
        <v>2</v>
      </c>
      <c r="K232">
        <v>2.94</v>
      </c>
      <c r="L232" t="s">
        <v>3</v>
      </c>
      <c r="M232" t="s">
        <v>70</v>
      </c>
    </row>
    <row r="233" spans="1:13" x14ac:dyDescent="0.45">
      <c r="A233" t="s">
        <v>2</v>
      </c>
      <c r="B233" t="s">
        <v>143</v>
      </c>
      <c r="C233">
        <v>2045</v>
      </c>
      <c r="D233">
        <v>44</v>
      </c>
      <c r="E233">
        <v>65535</v>
      </c>
      <c r="F233">
        <v>2.79</v>
      </c>
      <c r="H233">
        <v>0</v>
      </c>
      <c r="I233">
        <v>65535</v>
      </c>
      <c r="J233">
        <v>2.08</v>
      </c>
      <c r="K233">
        <v>3.44</v>
      </c>
      <c r="L233" t="s">
        <v>3</v>
      </c>
      <c r="M233" t="s">
        <v>70</v>
      </c>
    </row>
    <row r="234" spans="1:13" x14ac:dyDescent="0.45">
      <c r="A234" t="s">
        <v>2</v>
      </c>
      <c r="B234" t="s">
        <v>143</v>
      </c>
      <c r="C234">
        <v>2050</v>
      </c>
      <c r="D234">
        <v>44</v>
      </c>
      <c r="E234">
        <v>65535</v>
      </c>
      <c r="F234">
        <v>2.95</v>
      </c>
      <c r="H234">
        <v>0</v>
      </c>
      <c r="I234">
        <v>65535</v>
      </c>
      <c r="J234">
        <v>2.4900000000000002</v>
      </c>
      <c r="K234">
        <v>3.78</v>
      </c>
      <c r="L234" t="s">
        <v>3</v>
      </c>
      <c r="M234" t="s">
        <v>70</v>
      </c>
    </row>
    <row r="235" spans="1:13" x14ac:dyDescent="0.45">
      <c r="A235" t="s">
        <v>5</v>
      </c>
      <c r="B235" t="s">
        <v>143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143</v>
      </c>
      <c r="C236">
        <v>2025</v>
      </c>
      <c r="D236">
        <v>112</v>
      </c>
      <c r="E236">
        <v>65535</v>
      </c>
      <c r="F236">
        <v>1.41</v>
      </c>
      <c r="H236">
        <v>0.98</v>
      </c>
      <c r="I236">
        <v>65535</v>
      </c>
      <c r="J236">
        <v>1.23</v>
      </c>
      <c r="K236">
        <v>1.96</v>
      </c>
      <c r="L236" t="s">
        <v>6</v>
      </c>
      <c r="M236" t="s">
        <v>70</v>
      </c>
    </row>
    <row r="237" spans="1:13" x14ac:dyDescent="0.45">
      <c r="A237" t="s">
        <v>5</v>
      </c>
      <c r="B237" t="s">
        <v>143</v>
      </c>
      <c r="C237">
        <v>2030</v>
      </c>
      <c r="D237">
        <v>112</v>
      </c>
      <c r="E237">
        <v>65535</v>
      </c>
      <c r="F237">
        <v>2.04</v>
      </c>
      <c r="H237">
        <v>1.05</v>
      </c>
      <c r="I237">
        <v>65535</v>
      </c>
      <c r="J237">
        <v>1.52</v>
      </c>
      <c r="K237">
        <v>2.5499999999999998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143</v>
      </c>
      <c r="C238">
        <v>2035</v>
      </c>
      <c r="D238">
        <v>112</v>
      </c>
      <c r="E238">
        <v>65535</v>
      </c>
      <c r="F238">
        <v>2.4</v>
      </c>
      <c r="H238">
        <v>1.05</v>
      </c>
      <c r="I238">
        <v>65535</v>
      </c>
      <c r="J238">
        <v>1.71</v>
      </c>
      <c r="K238">
        <v>3.14</v>
      </c>
      <c r="L238" t="s">
        <v>6</v>
      </c>
      <c r="M238" t="s">
        <v>70</v>
      </c>
    </row>
    <row r="239" spans="1:13" x14ac:dyDescent="0.45">
      <c r="A239" t="s">
        <v>5</v>
      </c>
      <c r="B239" t="s">
        <v>143</v>
      </c>
      <c r="C239">
        <v>2040</v>
      </c>
      <c r="D239">
        <v>112</v>
      </c>
      <c r="E239">
        <v>65535</v>
      </c>
      <c r="F239">
        <v>2.6</v>
      </c>
      <c r="H239">
        <v>1.06</v>
      </c>
      <c r="I239">
        <v>65535</v>
      </c>
      <c r="J239">
        <v>1.85</v>
      </c>
      <c r="K239">
        <v>3.74</v>
      </c>
      <c r="L239" t="s">
        <v>6</v>
      </c>
      <c r="M239" t="s">
        <v>70</v>
      </c>
    </row>
    <row r="240" spans="1:13" x14ac:dyDescent="0.45">
      <c r="A240" t="s">
        <v>5</v>
      </c>
      <c r="B240" t="s">
        <v>143</v>
      </c>
      <c r="C240">
        <v>2045</v>
      </c>
      <c r="D240">
        <v>112</v>
      </c>
      <c r="E240">
        <v>65535</v>
      </c>
      <c r="F240">
        <v>2.85</v>
      </c>
      <c r="H240">
        <v>1.08</v>
      </c>
      <c r="I240">
        <v>65535</v>
      </c>
      <c r="J240">
        <v>2</v>
      </c>
      <c r="K240">
        <v>4.28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143</v>
      </c>
      <c r="C241">
        <v>2050</v>
      </c>
      <c r="D241">
        <v>112</v>
      </c>
      <c r="E241">
        <v>65535</v>
      </c>
      <c r="F241">
        <v>2.97</v>
      </c>
      <c r="H241">
        <v>0</v>
      </c>
      <c r="I241">
        <v>65535</v>
      </c>
      <c r="J241">
        <v>2.15</v>
      </c>
      <c r="K241">
        <v>4.51</v>
      </c>
      <c r="L241" t="s">
        <v>6</v>
      </c>
      <c r="M241" t="s">
        <v>70</v>
      </c>
    </row>
    <row r="242" spans="1:13" x14ac:dyDescent="0.45">
      <c r="A242" t="s">
        <v>7</v>
      </c>
      <c r="B242" t="s">
        <v>143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143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70</v>
      </c>
    </row>
    <row r="244" spans="1:13" x14ac:dyDescent="0.45">
      <c r="A244" t="s">
        <v>7</v>
      </c>
      <c r="B244" t="s">
        <v>143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143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143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70</v>
      </c>
    </row>
    <row r="247" spans="1:13" x14ac:dyDescent="0.45">
      <c r="A247" t="s">
        <v>7</v>
      </c>
      <c r="B247" t="s">
        <v>143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70</v>
      </c>
    </row>
    <row r="248" spans="1:13" x14ac:dyDescent="0.45">
      <c r="A248" t="s">
        <v>7</v>
      </c>
      <c r="B248" t="s">
        <v>143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70</v>
      </c>
    </row>
    <row r="249" spans="1:13" x14ac:dyDescent="0.45">
      <c r="A249" t="s">
        <v>9</v>
      </c>
      <c r="B249" t="s">
        <v>143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143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143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143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143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143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143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143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143</v>
      </c>
      <c r="C257">
        <v>2025</v>
      </c>
      <c r="D257">
        <v>50</v>
      </c>
      <c r="E257">
        <v>65535</v>
      </c>
      <c r="F257">
        <v>1.1000000000000001</v>
      </c>
      <c r="H257">
        <v>-4.33</v>
      </c>
      <c r="I257">
        <v>65535</v>
      </c>
      <c r="J257">
        <v>0.81</v>
      </c>
      <c r="K257">
        <v>1.5</v>
      </c>
      <c r="L257" t="s">
        <v>1</v>
      </c>
      <c r="M257" t="s">
        <v>71</v>
      </c>
    </row>
    <row r="258" spans="1:13" x14ac:dyDescent="0.45">
      <c r="A258" t="s">
        <v>0</v>
      </c>
      <c r="B258" t="s">
        <v>143</v>
      </c>
      <c r="C258">
        <v>2030</v>
      </c>
      <c r="D258">
        <v>50</v>
      </c>
      <c r="E258">
        <v>65535</v>
      </c>
      <c r="F258">
        <v>1.77</v>
      </c>
      <c r="H258">
        <v>-6.1</v>
      </c>
      <c r="I258">
        <v>65535</v>
      </c>
      <c r="J258">
        <v>1.27</v>
      </c>
      <c r="K258">
        <v>2.54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143</v>
      </c>
      <c r="C259">
        <v>2035</v>
      </c>
      <c r="D259">
        <v>50</v>
      </c>
      <c r="E259">
        <v>65535</v>
      </c>
      <c r="F259">
        <v>1.87</v>
      </c>
      <c r="H259">
        <v>-6.86</v>
      </c>
      <c r="I259">
        <v>65535</v>
      </c>
      <c r="J259">
        <v>1.1499999999999999</v>
      </c>
      <c r="K259">
        <v>2.77</v>
      </c>
      <c r="L259" t="s">
        <v>1</v>
      </c>
      <c r="M259" t="s">
        <v>71</v>
      </c>
    </row>
    <row r="260" spans="1:13" x14ac:dyDescent="0.45">
      <c r="A260" t="s">
        <v>0</v>
      </c>
      <c r="B260" t="s">
        <v>143</v>
      </c>
      <c r="C260">
        <v>2040</v>
      </c>
      <c r="D260">
        <v>50</v>
      </c>
      <c r="E260">
        <v>65535</v>
      </c>
      <c r="F260">
        <v>1.96</v>
      </c>
      <c r="H260">
        <v>-9.2100000000000009</v>
      </c>
      <c r="I260">
        <v>65535</v>
      </c>
      <c r="J260">
        <v>1.31</v>
      </c>
      <c r="K260">
        <v>3.39</v>
      </c>
      <c r="L260" t="s">
        <v>1</v>
      </c>
      <c r="M260" t="s">
        <v>71</v>
      </c>
    </row>
    <row r="261" spans="1:13" x14ac:dyDescent="0.45">
      <c r="A261" t="s">
        <v>0</v>
      </c>
      <c r="B261" t="s">
        <v>143</v>
      </c>
      <c r="C261">
        <v>2045</v>
      </c>
      <c r="D261">
        <v>50</v>
      </c>
      <c r="E261">
        <v>65535</v>
      </c>
      <c r="F261">
        <v>2.13</v>
      </c>
      <c r="H261">
        <v>-6.95</v>
      </c>
      <c r="I261">
        <v>65535</v>
      </c>
      <c r="J261">
        <v>1.6</v>
      </c>
      <c r="K261">
        <v>3.41</v>
      </c>
      <c r="L261" t="s">
        <v>1</v>
      </c>
      <c r="M261" t="s">
        <v>71</v>
      </c>
    </row>
    <row r="262" spans="1:13" x14ac:dyDescent="0.45">
      <c r="A262" t="s">
        <v>0</v>
      </c>
      <c r="B262" t="s">
        <v>143</v>
      </c>
      <c r="C262">
        <v>2050</v>
      </c>
      <c r="D262">
        <v>50</v>
      </c>
      <c r="E262">
        <v>65535</v>
      </c>
      <c r="F262">
        <v>2</v>
      </c>
      <c r="H262">
        <v>-10.07</v>
      </c>
      <c r="I262">
        <v>65535</v>
      </c>
      <c r="J262">
        <v>1.55</v>
      </c>
      <c r="K262">
        <v>4.63</v>
      </c>
      <c r="L262" t="s">
        <v>1</v>
      </c>
      <c r="M262" t="s">
        <v>71</v>
      </c>
    </row>
    <row r="263" spans="1:13" x14ac:dyDescent="0.45">
      <c r="A263" t="s">
        <v>2</v>
      </c>
      <c r="B263" t="s">
        <v>143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143</v>
      </c>
      <c r="C264">
        <v>2025</v>
      </c>
      <c r="D264">
        <v>52</v>
      </c>
      <c r="E264">
        <v>65535</v>
      </c>
      <c r="F264">
        <v>0.61</v>
      </c>
      <c r="H264">
        <v>0</v>
      </c>
      <c r="I264">
        <v>65535</v>
      </c>
      <c r="J264">
        <v>0.53</v>
      </c>
      <c r="K264">
        <v>0.89</v>
      </c>
      <c r="L264" t="s">
        <v>3</v>
      </c>
      <c r="M264" t="s">
        <v>71</v>
      </c>
    </row>
    <row r="265" spans="1:13" x14ac:dyDescent="0.45">
      <c r="A265" t="s">
        <v>2</v>
      </c>
      <c r="B265" t="s">
        <v>143</v>
      </c>
      <c r="C265">
        <v>2030</v>
      </c>
      <c r="D265">
        <v>63</v>
      </c>
      <c r="E265">
        <v>65535</v>
      </c>
      <c r="F265">
        <v>1.07</v>
      </c>
      <c r="H265">
        <v>0</v>
      </c>
      <c r="I265">
        <v>65535</v>
      </c>
      <c r="J265">
        <v>0.6</v>
      </c>
      <c r="K265">
        <v>1.55</v>
      </c>
      <c r="L265" t="s">
        <v>3</v>
      </c>
      <c r="M265" t="s">
        <v>71</v>
      </c>
    </row>
    <row r="266" spans="1:13" x14ac:dyDescent="0.45">
      <c r="A266" t="s">
        <v>2</v>
      </c>
      <c r="B266" t="s">
        <v>143</v>
      </c>
      <c r="C266">
        <v>2035</v>
      </c>
      <c r="D266">
        <v>52</v>
      </c>
      <c r="E266">
        <v>65535</v>
      </c>
      <c r="F266">
        <v>1.0900000000000001</v>
      </c>
      <c r="H266">
        <v>0</v>
      </c>
      <c r="I266">
        <v>65535</v>
      </c>
      <c r="J266">
        <v>0.6</v>
      </c>
      <c r="K266">
        <v>1.76</v>
      </c>
      <c r="L266" t="s">
        <v>3</v>
      </c>
      <c r="M266" t="s">
        <v>71</v>
      </c>
    </row>
    <row r="267" spans="1:13" x14ac:dyDescent="0.45">
      <c r="A267" t="s">
        <v>2</v>
      </c>
      <c r="B267" t="s">
        <v>143</v>
      </c>
      <c r="C267">
        <v>2040</v>
      </c>
      <c r="D267">
        <v>63</v>
      </c>
      <c r="E267">
        <v>65535</v>
      </c>
      <c r="F267">
        <v>1.25</v>
      </c>
      <c r="H267">
        <v>0</v>
      </c>
      <c r="I267">
        <v>65535</v>
      </c>
      <c r="J267">
        <v>0.87</v>
      </c>
      <c r="K267">
        <v>1.91</v>
      </c>
      <c r="L267" t="s">
        <v>3</v>
      </c>
      <c r="M267" t="s">
        <v>71</v>
      </c>
    </row>
    <row r="268" spans="1:13" x14ac:dyDescent="0.45">
      <c r="A268" t="s">
        <v>2</v>
      </c>
      <c r="B268" t="s">
        <v>143</v>
      </c>
      <c r="C268">
        <v>2045</v>
      </c>
      <c r="D268">
        <v>52</v>
      </c>
      <c r="E268">
        <v>65535</v>
      </c>
      <c r="F268">
        <v>1.35</v>
      </c>
      <c r="H268">
        <v>0</v>
      </c>
      <c r="I268">
        <v>65535</v>
      </c>
      <c r="J268">
        <v>0.78</v>
      </c>
      <c r="K268">
        <v>1.89</v>
      </c>
      <c r="L268" t="s">
        <v>3</v>
      </c>
      <c r="M268" t="s">
        <v>71</v>
      </c>
    </row>
    <row r="269" spans="1:13" x14ac:dyDescent="0.45">
      <c r="A269" t="s">
        <v>2</v>
      </c>
      <c r="B269" t="s">
        <v>143</v>
      </c>
      <c r="C269">
        <v>2050</v>
      </c>
      <c r="D269">
        <v>63</v>
      </c>
      <c r="E269">
        <v>65535</v>
      </c>
      <c r="F269">
        <v>1.62</v>
      </c>
      <c r="H269">
        <v>-2.31</v>
      </c>
      <c r="I269">
        <v>65535</v>
      </c>
      <c r="J269">
        <v>0.61</v>
      </c>
      <c r="K269">
        <v>2.16</v>
      </c>
      <c r="L269" t="s">
        <v>3</v>
      </c>
      <c r="M269" t="s">
        <v>71</v>
      </c>
    </row>
    <row r="270" spans="1:13" x14ac:dyDescent="0.45">
      <c r="A270" t="s">
        <v>5</v>
      </c>
      <c r="B270" t="s">
        <v>143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143</v>
      </c>
      <c r="C271">
        <v>2025</v>
      </c>
      <c r="D271">
        <v>163</v>
      </c>
      <c r="E271">
        <v>65535</v>
      </c>
      <c r="F271">
        <v>0.75</v>
      </c>
      <c r="H271">
        <v>0.46</v>
      </c>
      <c r="I271">
        <v>65535</v>
      </c>
      <c r="J271">
        <v>0.54</v>
      </c>
      <c r="K271">
        <v>1.24</v>
      </c>
      <c r="L271" t="s">
        <v>6</v>
      </c>
      <c r="M271" t="s">
        <v>71</v>
      </c>
    </row>
    <row r="272" spans="1:13" x14ac:dyDescent="0.45">
      <c r="A272" t="s">
        <v>5</v>
      </c>
      <c r="B272" t="s">
        <v>143</v>
      </c>
      <c r="C272">
        <v>2030</v>
      </c>
      <c r="D272">
        <v>166</v>
      </c>
      <c r="E272">
        <v>65535</v>
      </c>
      <c r="F272">
        <v>1.1499999999999999</v>
      </c>
      <c r="H272">
        <v>0.51</v>
      </c>
      <c r="I272">
        <v>65535</v>
      </c>
      <c r="J272">
        <v>0.74</v>
      </c>
      <c r="K272">
        <v>1.65</v>
      </c>
      <c r="L272" t="s">
        <v>6</v>
      </c>
      <c r="M272" t="s">
        <v>71</v>
      </c>
    </row>
    <row r="273" spans="1:13" x14ac:dyDescent="0.45">
      <c r="A273" t="s">
        <v>5</v>
      </c>
      <c r="B273" t="s">
        <v>143</v>
      </c>
      <c r="C273">
        <v>2035</v>
      </c>
      <c r="D273">
        <v>163</v>
      </c>
      <c r="E273">
        <v>65535</v>
      </c>
      <c r="F273">
        <v>1.21</v>
      </c>
      <c r="H273">
        <v>-0.95</v>
      </c>
      <c r="I273">
        <v>65535</v>
      </c>
      <c r="J273">
        <v>0.88</v>
      </c>
      <c r="K273">
        <v>2.11</v>
      </c>
      <c r="L273" t="s">
        <v>6</v>
      </c>
      <c r="M273" t="s">
        <v>71</v>
      </c>
    </row>
    <row r="274" spans="1:13" x14ac:dyDescent="0.45">
      <c r="A274" t="s">
        <v>5</v>
      </c>
      <c r="B274" t="s">
        <v>143</v>
      </c>
      <c r="C274">
        <v>2040</v>
      </c>
      <c r="D274">
        <v>166</v>
      </c>
      <c r="E274">
        <v>65535</v>
      </c>
      <c r="F274">
        <v>1.28</v>
      </c>
      <c r="H274">
        <v>-1.8</v>
      </c>
      <c r="I274">
        <v>65535</v>
      </c>
      <c r="J274">
        <v>0.89</v>
      </c>
      <c r="K274">
        <v>2.4300000000000002</v>
      </c>
      <c r="L274" t="s">
        <v>6</v>
      </c>
      <c r="M274" t="s">
        <v>71</v>
      </c>
    </row>
    <row r="275" spans="1:13" x14ac:dyDescent="0.45">
      <c r="A275" t="s">
        <v>5</v>
      </c>
      <c r="B275" t="s">
        <v>143</v>
      </c>
      <c r="C275">
        <v>2045</v>
      </c>
      <c r="D275">
        <v>163</v>
      </c>
      <c r="E275">
        <v>65535</v>
      </c>
      <c r="F275">
        <v>1.48</v>
      </c>
      <c r="H275">
        <v>-5.93</v>
      </c>
      <c r="I275">
        <v>65535</v>
      </c>
      <c r="J275">
        <v>1.08</v>
      </c>
      <c r="K275">
        <v>2.75</v>
      </c>
      <c r="L275" t="s">
        <v>6</v>
      </c>
      <c r="M275" t="s">
        <v>71</v>
      </c>
    </row>
    <row r="276" spans="1:13" x14ac:dyDescent="0.45">
      <c r="A276" t="s">
        <v>5</v>
      </c>
      <c r="B276" t="s">
        <v>143</v>
      </c>
      <c r="C276">
        <v>2050</v>
      </c>
      <c r="D276">
        <v>166</v>
      </c>
      <c r="E276">
        <v>65535</v>
      </c>
      <c r="F276">
        <v>1.59</v>
      </c>
      <c r="H276">
        <v>-5.35</v>
      </c>
      <c r="I276">
        <v>65535</v>
      </c>
      <c r="J276">
        <v>0.97</v>
      </c>
      <c r="K276">
        <v>2.91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143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143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143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71</v>
      </c>
    </row>
    <row r="280" spans="1:13" x14ac:dyDescent="0.45">
      <c r="A280" t="s">
        <v>7</v>
      </c>
      <c r="B280" t="s">
        <v>143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71</v>
      </c>
    </row>
    <row r="281" spans="1:13" x14ac:dyDescent="0.45">
      <c r="A281" t="s">
        <v>7</v>
      </c>
      <c r="B281" t="s">
        <v>143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71</v>
      </c>
    </row>
    <row r="282" spans="1:13" x14ac:dyDescent="0.45">
      <c r="A282" t="s">
        <v>7</v>
      </c>
      <c r="B282" t="s">
        <v>143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71</v>
      </c>
    </row>
    <row r="283" spans="1:13" x14ac:dyDescent="0.45">
      <c r="A283" t="s">
        <v>7</v>
      </c>
      <c r="B283" t="s">
        <v>143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71</v>
      </c>
    </row>
    <row r="284" spans="1:13" x14ac:dyDescent="0.45">
      <c r="A284" t="s">
        <v>9</v>
      </c>
      <c r="B284" t="s">
        <v>143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143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143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143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143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143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143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143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143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72</v>
      </c>
    </row>
    <row r="293" spans="1:13" x14ac:dyDescent="0.45">
      <c r="A293" t="s">
        <v>0</v>
      </c>
      <c r="B293" t="s">
        <v>143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72</v>
      </c>
    </row>
    <row r="294" spans="1:13" x14ac:dyDescent="0.45">
      <c r="A294" t="s">
        <v>0</v>
      </c>
      <c r="B294" t="s">
        <v>143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143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72</v>
      </c>
    </row>
    <row r="296" spans="1:13" x14ac:dyDescent="0.45">
      <c r="A296" t="s">
        <v>0</v>
      </c>
      <c r="B296" t="s">
        <v>143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72</v>
      </c>
    </row>
    <row r="297" spans="1:13" x14ac:dyDescent="0.45">
      <c r="A297" t="s">
        <v>0</v>
      </c>
      <c r="B297" t="s">
        <v>143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72</v>
      </c>
    </row>
    <row r="298" spans="1:13" x14ac:dyDescent="0.45">
      <c r="A298" t="s">
        <v>2</v>
      </c>
      <c r="B298" t="s">
        <v>143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143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72</v>
      </c>
    </row>
    <row r="300" spans="1:13" x14ac:dyDescent="0.45">
      <c r="A300" t="s">
        <v>2</v>
      </c>
      <c r="B300" t="s">
        <v>143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72</v>
      </c>
    </row>
    <row r="301" spans="1:13" x14ac:dyDescent="0.45">
      <c r="A301" t="s">
        <v>2</v>
      </c>
      <c r="B301" t="s">
        <v>143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72</v>
      </c>
    </row>
    <row r="302" spans="1:13" x14ac:dyDescent="0.45">
      <c r="A302" t="s">
        <v>2</v>
      </c>
      <c r="B302" t="s">
        <v>143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72</v>
      </c>
    </row>
    <row r="303" spans="1:13" x14ac:dyDescent="0.45">
      <c r="A303" t="s">
        <v>2</v>
      </c>
      <c r="B303" t="s">
        <v>143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72</v>
      </c>
    </row>
    <row r="304" spans="1:13" x14ac:dyDescent="0.45">
      <c r="A304" t="s">
        <v>2</v>
      </c>
      <c r="B304" t="s">
        <v>143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72</v>
      </c>
    </row>
    <row r="305" spans="1:13" x14ac:dyDescent="0.45">
      <c r="A305" t="s">
        <v>5</v>
      </c>
      <c r="B305" t="s">
        <v>143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143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72</v>
      </c>
    </row>
    <row r="307" spans="1:13" x14ac:dyDescent="0.45">
      <c r="A307" t="s">
        <v>5</v>
      </c>
      <c r="B307" t="s">
        <v>143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72</v>
      </c>
    </row>
    <row r="308" spans="1:13" x14ac:dyDescent="0.45">
      <c r="A308" t="s">
        <v>5</v>
      </c>
      <c r="B308" t="s">
        <v>143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72</v>
      </c>
    </row>
    <row r="309" spans="1:13" x14ac:dyDescent="0.45">
      <c r="A309" t="s">
        <v>5</v>
      </c>
      <c r="B309" t="s">
        <v>143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72</v>
      </c>
    </row>
    <row r="310" spans="1:13" x14ac:dyDescent="0.45">
      <c r="A310" t="s">
        <v>5</v>
      </c>
      <c r="B310" t="s">
        <v>143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72</v>
      </c>
    </row>
    <row r="311" spans="1:13" x14ac:dyDescent="0.45">
      <c r="A311" t="s">
        <v>5</v>
      </c>
      <c r="B311" t="s">
        <v>143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72</v>
      </c>
    </row>
    <row r="312" spans="1:13" x14ac:dyDescent="0.45">
      <c r="A312" t="s">
        <v>7</v>
      </c>
      <c r="B312" t="s">
        <v>143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143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72</v>
      </c>
    </row>
    <row r="314" spans="1:13" x14ac:dyDescent="0.45">
      <c r="A314" t="s">
        <v>7</v>
      </c>
      <c r="B314" t="s">
        <v>143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72</v>
      </c>
    </row>
    <row r="315" spans="1:13" x14ac:dyDescent="0.45">
      <c r="A315" t="s">
        <v>7</v>
      </c>
      <c r="B315" t="s">
        <v>143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72</v>
      </c>
    </row>
    <row r="316" spans="1:13" x14ac:dyDescent="0.45">
      <c r="A316" t="s">
        <v>7</v>
      </c>
      <c r="B316" t="s">
        <v>143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72</v>
      </c>
    </row>
    <row r="317" spans="1:13" x14ac:dyDescent="0.45">
      <c r="A317" t="s">
        <v>7</v>
      </c>
      <c r="B317" t="s">
        <v>143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72</v>
      </c>
    </row>
    <row r="318" spans="1:13" x14ac:dyDescent="0.45">
      <c r="A318" t="s">
        <v>7</v>
      </c>
      <c r="B318" t="s">
        <v>143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72</v>
      </c>
    </row>
    <row r="319" spans="1:13" x14ac:dyDescent="0.45">
      <c r="A319" t="s">
        <v>9</v>
      </c>
      <c r="B319" t="s">
        <v>143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143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143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143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143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143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143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143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143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143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143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73</v>
      </c>
    </row>
    <row r="330" spans="1:13" x14ac:dyDescent="0.45">
      <c r="A330" t="s">
        <v>0</v>
      </c>
      <c r="B330" t="s">
        <v>143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73</v>
      </c>
    </row>
    <row r="331" spans="1:13" x14ac:dyDescent="0.45">
      <c r="A331" t="s">
        <v>0</v>
      </c>
      <c r="B331" t="s">
        <v>143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73</v>
      </c>
    </row>
    <row r="332" spans="1:13" x14ac:dyDescent="0.45">
      <c r="A332" t="s">
        <v>0</v>
      </c>
      <c r="B332" t="s">
        <v>143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73</v>
      </c>
    </row>
    <row r="333" spans="1:13" x14ac:dyDescent="0.45">
      <c r="A333" t="s">
        <v>2</v>
      </c>
      <c r="B333" t="s">
        <v>143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143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143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143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143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73</v>
      </c>
    </row>
    <row r="338" spans="1:13" x14ac:dyDescent="0.45">
      <c r="A338" t="s">
        <v>2</v>
      </c>
      <c r="B338" t="s">
        <v>143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73</v>
      </c>
    </row>
    <row r="339" spans="1:13" x14ac:dyDescent="0.45">
      <c r="A339" t="s">
        <v>2</v>
      </c>
      <c r="B339" t="s">
        <v>143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73</v>
      </c>
    </row>
    <row r="340" spans="1:13" x14ac:dyDescent="0.45">
      <c r="A340" t="s">
        <v>5</v>
      </c>
      <c r="B340" t="s">
        <v>143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143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143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73</v>
      </c>
    </row>
    <row r="343" spans="1:13" x14ac:dyDescent="0.45">
      <c r="A343" t="s">
        <v>5</v>
      </c>
      <c r="B343" t="s">
        <v>143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73</v>
      </c>
    </row>
    <row r="344" spans="1:13" x14ac:dyDescent="0.45">
      <c r="A344" t="s">
        <v>5</v>
      </c>
      <c r="B344" t="s">
        <v>143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73</v>
      </c>
    </row>
    <row r="345" spans="1:13" x14ac:dyDescent="0.45">
      <c r="A345" t="s">
        <v>5</v>
      </c>
      <c r="B345" t="s">
        <v>143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73</v>
      </c>
    </row>
    <row r="346" spans="1:13" x14ac:dyDescent="0.45">
      <c r="A346" t="s">
        <v>5</v>
      </c>
      <c r="B346" t="s">
        <v>143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73</v>
      </c>
    </row>
    <row r="347" spans="1:13" x14ac:dyDescent="0.45">
      <c r="A347" t="s">
        <v>7</v>
      </c>
      <c r="B347" t="s">
        <v>143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143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73</v>
      </c>
    </row>
    <row r="349" spans="1:13" x14ac:dyDescent="0.45">
      <c r="A349" t="s">
        <v>7</v>
      </c>
      <c r="B349" t="s">
        <v>143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73</v>
      </c>
    </row>
    <row r="350" spans="1:13" x14ac:dyDescent="0.45">
      <c r="A350" t="s">
        <v>7</v>
      </c>
      <c r="B350" t="s">
        <v>143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73</v>
      </c>
    </row>
    <row r="351" spans="1:13" x14ac:dyDescent="0.45">
      <c r="A351" t="s">
        <v>7</v>
      </c>
      <c r="B351" t="s">
        <v>143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73</v>
      </c>
    </row>
    <row r="352" spans="1:13" x14ac:dyDescent="0.45">
      <c r="A352" t="s">
        <v>7</v>
      </c>
      <c r="B352" t="s">
        <v>143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73</v>
      </c>
    </row>
    <row r="353" spans="1:13" x14ac:dyDescent="0.45">
      <c r="A353" t="s">
        <v>7</v>
      </c>
      <c r="B353" t="s">
        <v>143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73</v>
      </c>
    </row>
    <row r="354" spans="1:13" x14ac:dyDescent="0.45">
      <c r="A354" t="s">
        <v>9</v>
      </c>
      <c r="B354" t="s">
        <v>143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143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143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143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143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143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143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AQ24"/>
  <sheetViews>
    <sheetView workbookViewId="0">
      <selection activeCell="H21" sqref="H21"/>
    </sheetView>
  </sheetViews>
  <sheetFormatPr defaultRowHeight="14.25" x14ac:dyDescent="0.45"/>
  <sheetData>
    <row r="10" spans="1:43" x14ac:dyDescent="0.45">
      <c r="A10" t="str">
        <f>IFERROR(Veda!D5,"ts_12t")</f>
        <v>ts_annual</v>
      </c>
      <c r="B10" s="15"/>
      <c r="C10" s="15" t="s">
        <v>425</v>
      </c>
      <c r="D10" t="s">
        <v>102</v>
      </c>
      <c r="F10" t="s">
        <v>425</v>
      </c>
      <c r="G10" t="s">
        <v>103</v>
      </c>
      <c r="I10" t="s">
        <v>425</v>
      </c>
      <c r="J10" t="s">
        <v>106</v>
      </c>
      <c r="L10" t="s">
        <v>425</v>
      </c>
      <c r="M10" t="s">
        <v>104</v>
      </c>
      <c r="O10" t="s">
        <v>425</v>
      </c>
      <c r="P10" t="s">
        <v>105</v>
      </c>
      <c r="R10" t="s">
        <v>425</v>
      </c>
      <c r="S10" t="s">
        <v>125</v>
      </c>
      <c r="U10" t="s">
        <v>425</v>
      </c>
      <c r="V10" t="s">
        <v>126</v>
      </c>
      <c r="X10" t="s">
        <v>425</v>
      </c>
      <c r="Y10" t="s">
        <v>127</v>
      </c>
      <c r="AA10" t="s">
        <v>425</v>
      </c>
      <c r="AB10" t="s">
        <v>128</v>
      </c>
      <c r="AD10" t="s">
        <v>425</v>
      </c>
      <c r="AE10" t="s">
        <v>129</v>
      </c>
      <c r="AG10" t="s">
        <v>425</v>
      </c>
      <c r="AH10" t="s">
        <v>130</v>
      </c>
      <c r="AJ10" t="s">
        <v>425</v>
      </c>
      <c r="AK10" t="s">
        <v>131</v>
      </c>
      <c r="AM10" t="s">
        <v>425</v>
      </c>
      <c r="AN10" t="s">
        <v>107</v>
      </c>
      <c r="AP10" t="s">
        <v>425</v>
      </c>
      <c r="AQ10" t="s">
        <v>132</v>
      </c>
    </row>
    <row r="11" spans="1:43" x14ac:dyDescent="0.45">
      <c r="B11" s="15"/>
      <c r="C11" s="15" t="s">
        <v>426</v>
      </c>
      <c r="D11" t="s">
        <v>427</v>
      </c>
      <c r="F11" t="s">
        <v>426</v>
      </c>
      <c r="G11" t="s">
        <v>799</v>
      </c>
      <c r="I11" t="s">
        <v>426</v>
      </c>
      <c r="J11" t="s">
        <v>1287</v>
      </c>
      <c r="L11" t="s">
        <v>426</v>
      </c>
      <c r="M11" t="s">
        <v>1889</v>
      </c>
      <c r="O11" t="s">
        <v>426</v>
      </c>
      <c r="P11" t="s">
        <v>2251</v>
      </c>
      <c r="R11" t="s">
        <v>426</v>
      </c>
      <c r="S11" t="s">
        <v>2254</v>
      </c>
      <c r="U11" t="s">
        <v>426</v>
      </c>
      <c r="V11" t="s">
        <v>2256</v>
      </c>
      <c r="X11" t="s">
        <v>426</v>
      </c>
      <c r="Y11" t="s">
        <v>2259</v>
      </c>
      <c r="AA11" t="s">
        <v>426</v>
      </c>
      <c r="AB11" t="s">
        <v>2261</v>
      </c>
      <c r="AD11" t="s">
        <v>426</v>
      </c>
      <c r="AE11" t="s">
        <v>2263</v>
      </c>
      <c r="AG11" t="s">
        <v>426</v>
      </c>
      <c r="AH11" t="s">
        <v>2265</v>
      </c>
      <c r="AJ11" t="s">
        <v>426</v>
      </c>
      <c r="AK11" t="s">
        <v>2267</v>
      </c>
      <c r="AM11" t="s">
        <v>426</v>
      </c>
      <c r="AN11" t="s">
        <v>2271</v>
      </c>
      <c r="AP11" t="s">
        <v>426</v>
      </c>
      <c r="AQ11" t="s">
        <v>2290</v>
      </c>
    </row>
    <row r="12" spans="1:43" x14ac:dyDescent="0.45">
      <c r="B12" s="15"/>
      <c r="C12" s="15" t="s">
        <v>428</v>
      </c>
      <c r="D12" t="s">
        <v>429</v>
      </c>
      <c r="F12" t="s">
        <v>428</v>
      </c>
      <c r="G12" t="s">
        <v>800</v>
      </c>
      <c r="I12" t="s">
        <v>428</v>
      </c>
      <c r="J12" t="s">
        <v>1288</v>
      </c>
      <c r="L12" t="s">
        <v>428</v>
      </c>
      <c r="M12" t="s">
        <v>1890</v>
      </c>
      <c r="O12" t="s">
        <v>428</v>
      </c>
      <c r="P12" t="s">
        <v>2252</v>
      </c>
      <c r="R12" t="s">
        <v>428</v>
      </c>
      <c r="S12" t="s">
        <v>2255</v>
      </c>
      <c r="U12" t="s">
        <v>428</v>
      </c>
      <c r="V12" t="s">
        <v>2257</v>
      </c>
      <c r="X12" t="s">
        <v>428</v>
      </c>
      <c r="Y12" t="s">
        <v>2260</v>
      </c>
      <c r="AA12" t="s">
        <v>428</v>
      </c>
      <c r="AB12" t="s">
        <v>2262</v>
      </c>
      <c r="AD12" t="s">
        <v>428</v>
      </c>
      <c r="AE12" t="s">
        <v>2264</v>
      </c>
      <c r="AG12" t="s">
        <v>428</v>
      </c>
      <c r="AH12" t="s">
        <v>2266</v>
      </c>
      <c r="AJ12" t="s">
        <v>428</v>
      </c>
      <c r="AK12" t="s">
        <v>2268</v>
      </c>
      <c r="AM12" t="s">
        <v>428</v>
      </c>
      <c r="AN12" t="s">
        <v>2271</v>
      </c>
      <c r="AP12" t="s">
        <v>428</v>
      </c>
      <c r="AQ12" t="s">
        <v>2291</v>
      </c>
    </row>
    <row r="17" spans="3:13" x14ac:dyDescent="0.45">
      <c r="I17" s="12">
        <v>0.75</v>
      </c>
      <c r="K17" s="2" t="s">
        <v>85</v>
      </c>
    </row>
    <row r="18" spans="3:13" ht="17.649999999999999" thickBot="1" x14ac:dyDescent="0.6">
      <c r="C18" s="13" t="s">
        <v>86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87</v>
      </c>
      <c r="D22" s="14" t="s">
        <v>88</v>
      </c>
      <c r="E22" s="14" t="s">
        <v>89</v>
      </c>
      <c r="F22" s="14" t="s">
        <v>90</v>
      </c>
      <c r="G22" s="14" t="s">
        <v>91</v>
      </c>
      <c r="H22" s="14" t="s">
        <v>92</v>
      </c>
      <c r="I22" s="14" t="s">
        <v>93</v>
      </c>
      <c r="J22" s="14" t="s">
        <v>94</v>
      </c>
      <c r="K22" s="14" t="s">
        <v>95</v>
      </c>
    </row>
    <row r="23" spans="3:13" x14ac:dyDescent="0.45">
      <c r="C23" t="s">
        <v>96</v>
      </c>
      <c r="D23" t="s">
        <v>97</v>
      </c>
      <c r="E23" t="str">
        <f>G23</f>
        <v>AuxStoIN</v>
      </c>
      <c r="F23" t="s">
        <v>98</v>
      </c>
      <c r="G23" t="s">
        <v>99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100</v>
      </c>
    </row>
    <row r="24" spans="3:13" x14ac:dyDescent="0.45">
      <c r="D24" t="s">
        <v>97</v>
      </c>
      <c r="E24" t="str">
        <f>G24</f>
        <v>AuxStoIN</v>
      </c>
      <c r="F24" t="s">
        <v>98</v>
      </c>
      <c r="G24" t="s">
        <v>99</v>
      </c>
      <c r="H24" t="str">
        <f>HLOOKUP($A$10,$D$10:$CU$12,2,FALSE)</f>
        <v>AllSaAllH</v>
      </c>
      <c r="I24">
        <f>-$I$17</f>
        <v>-0.75</v>
      </c>
      <c r="M24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827FF-2BA6-4B0C-A74C-05F3289C1B14}">
  <dimension ref="A9:AN34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102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156</v>
      </c>
      <c r="F11" t="s">
        <v>157</v>
      </c>
      <c r="G11" t="s">
        <v>158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2.3966669781668313E-2</v>
      </c>
      <c r="Q11" t="s">
        <v>254</v>
      </c>
      <c r="S11" t="s">
        <v>423</v>
      </c>
      <c r="T11" t="s">
        <v>253</v>
      </c>
      <c r="U11">
        <v>2.4977797320717272E-2</v>
      </c>
      <c r="V11" t="s">
        <v>254</v>
      </c>
      <c r="X11">
        <v>2.3972602739726026E-2</v>
      </c>
      <c r="Y11">
        <v>9.4672202471222967E-3</v>
      </c>
      <c r="Z11" t="s">
        <v>253</v>
      </c>
      <c r="AA11" t="s">
        <v>25</v>
      </c>
      <c r="AC11" t="s">
        <v>22</v>
      </c>
      <c r="AD11" t="s">
        <v>253</v>
      </c>
      <c r="AE11">
        <v>2.1875303156514588E-2</v>
      </c>
      <c r="AG11" t="s">
        <v>97</v>
      </c>
      <c r="AH11" t="s">
        <v>253</v>
      </c>
      <c r="AI11">
        <v>0.29336413138452011</v>
      </c>
    </row>
    <row r="12" spans="1:40" x14ac:dyDescent="0.45">
      <c r="C12" t="s">
        <v>159</v>
      </c>
      <c r="D12" t="s">
        <v>158</v>
      </c>
      <c r="E12" t="s">
        <v>160</v>
      </c>
      <c r="F12" t="s">
        <v>154</v>
      </c>
      <c r="G12" t="s">
        <v>158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3.3453998169354609E-3</v>
      </c>
      <c r="Q12" t="s">
        <v>254</v>
      </c>
      <c r="S12" t="s">
        <v>423</v>
      </c>
      <c r="T12" t="s">
        <v>255</v>
      </c>
      <c r="U12">
        <v>3.5664530597017564E-3</v>
      </c>
      <c r="V12" t="s">
        <v>254</v>
      </c>
      <c r="X12">
        <v>3.4246575342465752E-3</v>
      </c>
      <c r="Y12">
        <v>5.7181214727892006E-3</v>
      </c>
      <c r="Z12" t="s">
        <v>255</v>
      </c>
      <c r="AA12" t="s">
        <v>25</v>
      </c>
      <c r="AC12" t="s">
        <v>22</v>
      </c>
      <c r="AD12" t="s">
        <v>255</v>
      </c>
      <c r="AE12">
        <v>4.273836805468059E-3</v>
      </c>
      <c r="AG12" t="s">
        <v>97</v>
      </c>
      <c r="AH12" t="s">
        <v>255</v>
      </c>
      <c r="AI12">
        <v>6.0292023258555982E-2</v>
      </c>
    </row>
    <row r="13" spans="1:40" x14ac:dyDescent="0.45">
      <c r="C13" t="s">
        <v>161</v>
      </c>
      <c r="D13" t="s">
        <v>162</v>
      </c>
      <c r="E13" t="s">
        <v>163</v>
      </c>
      <c r="F13" t="s">
        <v>164</v>
      </c>
      <c r="G13" t="s">
        <v>158</v>
      </c>
      <c r="I13" t="s">
        <v>252</v>
      </c>
      <c r="J13" t="s">
        <v>256</v>
      </c>
      <c r="K13">
        <v>4.2846226147329296E-3</v>
      </c>
      <c r="L13" t="s">
        <v>254</v>
      </c>
      <c r="N13" t="s">
        <v>422</v>
      </c>
      <c r="O13" t="s">
        <v>256</v>
      </c>
      <c r="P13">
        <v>6.5983763497430639E-3</v>
      </c>
      <c r="Q13" t="s">
        <v>254</v>
      </c>
      <c r="S13" t="s">
        <v>423</v>
      </c>
      <c r="T13" t="s">
        <v>256</v>
      </c>
      <c r="U13">
        <v>7.045838243617774E-3</v>
      </c>
      <c r="V13" t="s">
        <v>254</v>
      </c>
      <c r="X13">
        <v>6.8493150684931503E-3</v>
      </c>
      <c r="Y13">
        <v>8.7114337568058101E-3</v>
      </c>
      <c r="Z13" t="s">
        <v>256</v>
      </c>
      <c r="AA13" t="s">
        <v>25</v>
      </c>
      <c r="AC13" t="s">
        <v>22</v>
      </c>
      <c r="AD13" t="s">
        <v>256</v>
      </c>
      <c r="AE13">
        <v>8.7792965893603789E-3</v>
      </c>
      <c r="AG13" t="s">
        <v>97</v>
      </c>
      <c r="AH13" t="s">
        <v>256</v>
      </c>
      <c r="AI13">
        <v>6.0158870805908871E-2</v>
      </c>
    </row>
    <row r="14" spans="1:40" x14ac:dyDescent="0.45">
      <c r="C14" t="s">
        <v>165</v>
      </c>
      <c r="D14" t="s">
        <v>166</v>
      </c>
      <c r="E14" t="s">
        <v>167</v>
      </c>
      <c r="F14" t="s">
        <v>168</v>
      </c>
      <c r="G14" t="s">
        <v>158</v>
      </c>
      <c r="I14" t="s">
        <v>252</v>
      </c>
      <c r="J14" t="s">
        <v>257</v>
      </c>
      <c r="K14">
        <v>1.5102138080169622E-2</v>
      </c>
      <c r="L14" t="s">
        <v>254</v>
      </c>
      <c r="N14" t="s">
        <v>422</v>
      </c>
      <c r="O14" t="s">
        <v>257</v>
      </c>
      <c r="P14">
        <v>9.7316807376803711E-3</v>
      </c>
      <c r="Q14" t="s">
        <v>254</v>
      </c>
      <c r="S14" t="s">
        <v>423</v>
      </c>
      <c r="T14" t="s">
        <v>257</v>
      </c>
      <c r="U14">
        <v>1.0469057974615873E-2</v>
      </c>
      <c r="V14" t="s">
        <v>254</v>
      </c>
      <c r="X14">
        <v>1.0273972602739725E-2</v>
      </c>
      <c r="Y14">
        <v>1.2719091067299805E-2</v>
      </c>
      <c r="Z14" t="s">
        <v>257</v>
      </c>
      <c r="AA14" t="s">
        <v>25</v>
      </c>
      <c r="AC14" t="s">
        <v>22</v>
      </c>
      <c r="AD14" t="s">
        <v>257</v>
      </c>
      <c r="AE14">
        <v>1.3240114355618225E-2</v>
      </c>
      <c r="AG14" t="s">
        <v>97</v>
      </c>
      <c r="AH14" t="s">
        <v>257</v>
      </c>
      <c r="AI14">
        <v>5.6137099185284756E-2</v>
      </c>
    </row>
    <row r="15" spans="1:40" x14ac:dyDescent="0.45">
      <c r="C15" t="s">
        <v>169</v>
      </c>
      <c r="E15" t="s">
        <v>170</v>
      </c>
      <c r="G15" t="s">
        <v>158</v>
      </c>
      <c r="I15" t="s">
        <v>252</v>
      </c>
      <c r="J15" t="s">
        <v>258</v>
      </c>
      <c r="K15">
        <v>5.206862608957627E-3</v>
      </c>
      <c r="L15" t="s">
        <v>254</v>
      </c>
      <c r="N15" t="s">
        <v>422</v>
      </c>
      <c r="O15" t="s">
        <v>258</v>
      </c>
      <c r="P15">
        <v>3.2972657680787353E-3</v>
      </c>
      <c r="Q15" t="s">
        <v>254</v>
      </c>
      <c r="S15" t="s">
        <v>423</v>
      </c>
      <c r="T15" t="s">
        <v>258</v>
      </c>
      <c r="U15">
        <v>3.538351105023194E-3</v>
      </c>
      <c r="V15" t="s">
        <v>254</v>
      </c>
      <c r="X15">
        <v>3.4246575342465752E-3</v>
      </c>
      <c r="Y15">
        <v>4.4651070283171336E-3</v>
      </c>
      <c r="Z15" t="s">
        <v>258</v>
      </c>
      <c r="AA15" t="s">
        <v>25</v>
      </c>
      <c r="AC15" t="s">
        <v>22</v>
      </c>
      <c r="AD15" t="s">
        <v>258</v>
      </c>
      <c r="AE15">
        <v>4.393926338872106E-3</v>
      </c>
      <c r="AG15" t="s">
        <v>97</v>
      </c>
      <c r="AH15" t="s">
        <v>258</v>
      </c>
      <c r="AI15">
        <v>5.9813846553194772E-2</v>
      </c>
    </row>
    <row r="16" spans="1:40" x14ac:dyDescent="0.45">
      <c r="C16" t="s">
        <v>171</v>
      </c>
      <c r="E16" t="s">
        <v>172</v>
      </c>
      <c r="G16" t="s">
        <v>158</v>
      </c>
      <c r="I16" t="s">
        <v>252</v>
      </c>
      <c r="J16" t="s">
        <v>259</v>
      </c>
      <c r="K16">
        <v>1.0862478905800971E-2</v>
      </c>
      <c r="L16" t="s">
        <v>254</v>
      </c>
      <c r="N16" t="s">
        <v>422</v>
      </c>
      <c r="O16" t="s">
        <v>259</v>
      </c>
      <c r="P16">
        <v>6.5233852983797172E-3</v>
      </c>
      <c r="Q16" t="s">
        <v>254</v>
      </c>
      <c r="S16" t="s">
        <v>423</v>
      </c>
      <c r="T16" t="s">
        <v>259</v>
      </c>
      <c r="U16">
        <v>6.9905835273826851E-3</v>
      </c>
      <c r="V16" t="s">
        <v>254</v>
      </c>
      <c r="X16">
        <v>6.8493150684931503E-3</v>
      </c>
      <c r="Y16">
        <v>9.6860005469507522E-3</v>
      </c>
      <c r="Z16" t="s">
        <v>259</v>
      </c>
      <c r="AA16" t="s">
        <v>25</v>
      </c>
      <c r="AC16" t="s">
        <v>22</v>
      </c>
      <c r="AD16" t="s">
        <v>259</v>
      </c>
      <c r="AE16">
        <v>8.795043269655552E-3</v>
      </c>
      <c r="AG16" t="s">
        <v>97</v>
      </c>
      <c r="AH16" t="s">
        <v>259</v>
      </c>
      <c r="AI16">
        <v>6.2659528862857528E-2</v>
      </c>
    </row>
    <row r="17" spans="3:35" x14ac:dyDescent="0.45">
      <c r="C17" t="s">
        <v>173</v>
      </c>
      <c r="E17" t="s">
        <v>174</v>
      </c>
      <c r="G17" t="s">
        <v>158</v>
      </c>
      <c r="I17" t="s">
        <v>252</v>
      </c>
      <c r="J17" t="s">
        <v>260</v>
      </c>
      <c r="K17">
        <v>4.3881147113308521E-3</v>
      </c>
      <c r="L17" t="s">
        <v>254</v>
      </c>
      <c r="N17" t="s">
        <v>422</v>
      </c>
      <c r="O17" t="s">
        <v>260</v>
      </c>
      <c r="P17">
        <v>6.6316659872853109E-3</v>
      </c>
      <c r="Q17" t="s">
        <v>254</v>
      </c>
      <c r="S17" t="s">
        <v>423</v>
      </c>
      <c r="T17" t="s">
        <v>260</v>
      </c>
      <c r="U17">
        <v>6.8546772620912124E-3</v>
      </c>
      <c r="V17" t="s">
        <v>254</v>
      </c>
      <c r="X17">
        <v>6.8493150684931503E-3</v>
      </c>
      <c r="Y17">
        <v>1.3325709171369611E-2</v>
      </c>
      <c r="Z17" t="s">
        <v>260</v>
      </c>
      <c r="AA17" t="s">
        <v>25</v>
      </c>
      <c r="AC17" t="s">
        <v>22</v>
      </c>
      <c r="AD17" t="s">
        <v>260</v>
      </c>
      <c r="AE17">
        <v>8.8967778710753922E-3</v>
      </c>
      <c r="AG17" t="s">
        <v>97</v>
      </c>
      <c r="AH17" t="s">
        <v>260</v>
      </c>
      <c r="AI17">
        <v>5.3497069198737313E-2</v>
      </c>
    </row>
    <row r="18" spans="3:35" x14ac:dyDescent="0.45">
      <c r="C18" t="s">
        <v>164</v>
      </c>
      <c r="E18" t="s">
        <v>175</v>
      </c>
      <c r="G18" t="s">
        <v>158</v>
      </c>
      <c r="I18" t="s">
        <v>252</v>
      </c>
      <c r="J18" t="s">
        <v>261</v>
      </c>
      <c r="K18">
        <v>0</v>
      </c>
      <c r="L18" t="s">
        <v>254</v>
      </c>
      <c r="N18" t="s">
        <v>422</v>
      </c>
      <c r="O18" t="s">
        <v>261</v>
      </c>
      <c r="P18">
        <v>2.1149264403738061E-2</v>
      </c>
      <c r="Q18" t="s">
        <v>254</v>
      </c>
      <c r="S18" t="s">
        <v>423</v>
      </c>
      <c r="T18" t="s">
        <v>261</v>
      </c>
      <c r="U18">
        <v>2.0816756991223439E-2</v>
      </c>
      <c r="V18" t="s">
        <v>254</v>
      </c>
      <c r="X18">
        <v>2.0547945205479451E-2</v>
      </c>
      <c r="Y18">
        <v>1.8099097531263209E-2</v>
      </c>
      <c r="Z18" t="s">
        <v>261</v>
      </c>
      <c r="AA18" t="s">
        <v>25</v>
      </c>
      <c r="AC18" t="s">
        <v>22</v>
      </c>
      <c r="AD18" t="s">
        <v>261</v>
      </c>
      <c r="AE18">
        <v>2.266260487017209E-2</v>
      </c>
      <c r="AG18" t="s">
        <v>97</v>
      </c>
      <c r="AH18" t="s">
        <v>261</v>
      </c>
      <c r="AI18">
        <v>0.18955868191521086</v>
      </c>
    </row>
    <row r="19" spans="3:35" x14ac:dyDescent="0.45">
      <c r="C19" t="s">
        <v>168</v>
      </c>
      <c r="E19" t="s">
        <v>176</v>
      </c>
      <c r="G19" t="s">
        <v>158</v>
      </c>
      <c r="I19" t="s">
        <v>252</v>
      </c>
      <c r="J19" t="s">
        <v>262</v>
      </c>
      <c r="K19">
        <v>0</v>
      </c>
      <c r="L19" t="s">
        <v>254</v>
      </c>
      <c r="N19" t="s">
        <v>422</v>
      </c>
      <c r="O19" t="s">
        <v>262</v>
      </c>
      <c r="P19">
        <v>2.260554079784E-4</v>
      </c>
      <c r="Q19" t="s">
        <v>254</v>
      </c>
      <c r="S19" t="s">
        <v>423</v>
      </c>
      <c r="T19" t="s">
        <v>262</v>
      </c>
      <c r="U19">
        <v>1.934748564057E-4</v>
      </c>
      <c r="V19" t="s">
        <v>254</v>
      </c>
      <c r="X19">
        <v>1.1415525114155251E-4</v>
      </c>
      <c r="Y19">
        <v>2.1546544680075254E-5</v>
      </c>
      <c r="Z19" t="s">
        <v>262</v>
      </c>
      <c r="AA19" t="s">
        <v>25</v>
      </c>
      <c r="AC19" t="s">
        <v>22</v>
      </c>
      <c r="AD19" t="s">
        <v>262</v>
      </c>
      <c r="AE19">
        <v>9.6145666284312887E-5</v>
      </c>
      <c r="AG19" t="s">
        <v>97</v>
      </c>
      <c r="AH19" t="s">
        <v>262</v>
      </c>
      <c r="AI19">
        <v>0</v>
      </c>
    </row>
    <row r="20" spans="3:35" x14ac:dyDescent="0.45">
      <c r="C20" t="s">
        <v>177</v>
      </c>
      <c r="E20" t="s">
        <v>178</v>
      </c>
      <c r="G20" t="s">
        <v>158</v>
      </c>
      <c r="I20" t="s">
        <v>252</v>
      </c>
      <c r="J20" t="s">
        <v>263</v>
      </c>
      <c r="K20">
        <v>0</v>
      </c>
      <c r="L20" t="s">
        <v>254</v>
      </c>
      <c r="N20" t="s">
        <v>422</v>
      </c>
      <c r="O20" t="s">
        <v>263</v>
      </c>
      <c r="P20">
        <v>2.2694204312590001E-4</v>
      </c>
      <c r="Q20" t="s">
        <v>254</v>
      </c>
      <c r="S20" t="s">
        <v>423</v>
      </c>
      <c r="T20" t="s">
        <v>263</v>
      </c>
      <c r="U20">
        <v>1.9209057527560001E-4</v>
      </c>
      <c r="V20" t="s">
        <v>254</v>
      </c>
      <c r="X20">
        <v>1.1415525114155251E-4</v>
      </c>
      <c r="Y20">
        <v>1.4916838624667481E-5</v>
      </c>
      <c r="Z20" t="s">
        <v>263</v>
      </c>
      <c r="AA20" t="s">
        <v>25</v>
      </c>
      <c r="AC20" t="s">
        <v>22</v>
      </c>
      <c r="AD20" t="s">
        <v>263</v>
      </c>
      <c r="AE20">
        <v>9.3118048637433584E-5</v>
      </c>
      <c r="AG20" t="s">
        <v>97</v>
      </c>
      <c r="AH20" t="s">
        <v>263</v>
      </c>
      <c r="AI20">
        <v>0</v>
      </c>
    </row>
    <row r="21" spans="3:35" x14ac:dyDescent="0.45">
      <c r="C21" t="s">
        <v>179</v>
      </c>
      <c r="E21" t="s">
        <v>180</v>
      </c>
      <c r="G21" t="s">
        <v>158</v>
      </c>
      <c r="I21" t="s">
        <v>252</v>
      </c>
      <c r="J21" t="s">
        <v>264</v>
      </c>
      <c r="K21">
        <v>0</v>
      </c>
      <c r="L21" t="s">
        <v>254</v>
      </c>
      <c r="N21" t="s">
        <v>422</v>
      </c>
      <c r="O21" t="s">
        <v>264</v>
      </c>
      <c r="P21">
        <v>2.230815852557E-4</v>
      </c>
      <c r="Q21" t="s">
        <v>254</v>
      </c>
      <c r="S21" t="s">
        <v>423</v>
      </c>
      <c r="T21" t="s">
        <v>264</v>
      </c>
      <c r="U21">
        <v>1.9122353830379999E-4</v>
      </c>
      <c r="V21" t="s">
        <v>254</v>
      </c>
      <c r="X21">
        <v>1.1415525114155251E-4</v>
      </c>
      <c r="Y21">
        <v>1.6574265138519424E-5</v>
      </c>
      <c r="Z21" t="s">
        <v>264</v>
      </c>
      <c r="AA21" t="s">
        <v>25</v>
      </c>
      <c r="AC21" t="s">
        <v>22</v>
      </c>
      <c r="AD21" t="s">
        <v>264</v>
      </c>
      <c r="AE21">
        <v>9.264754048960775E-5</v>
      </c>
      <c r="AG21" t="s">
        <v>97</v>
      </c>
      <c r="AH21" t="s">
        <v>264</v>
      </c>
      <c r="AI21">
        <v>0</v>
      </c>
    </row>
    <row r="22" spans="3:35" x14ac:dyDescent="0.45">
      <c r="C22" t="s">
        <v>181</v>
      </c>
      <c r="E22" t="s">
        <v>182</v>
      </c>
      <c r="G22" t="s">
        <v>158</v>
      </c>
      <c r="I22" t="s">
        <v>252</v>
      </c>
      <c r="J22" t="s">
        <v>265</v>
      </c>
      <c r="K22">
        <v>0</v>
      </c>
      <c r="L22" t="s">
        <v>254</v>
      </c>
      <c r="N22" t="s">
        <v>422</v>
      </c>
      <c r="O22" t="s">
        <v>265</v>
      </c>
      <c r="P22">
        <v>2.2734393995380001E-4</v>
      </c>
      <c r="Q22" t="s">
        <v>254</v>
      </c>
      <c r="S22" t="s">
        <v>423</v>
      </c>
      <c r="T22" t="s">
        <v>265</v>
      </c>
      <c r="U22">
        <v>1.9063650883100001E-4</v>
      </c>
      <c r="V22" t="s">
        <v>254</v>
      </c>
      <c r="X22">
        <v>1.1415525114155251E-4</v>
      </c>
      <c r="Y22">
        <v>1.4585353321897093E-5</v>
      </c>
      <c r="Z22" t="s">
        <v>265</v>
      </c>
      <c r="AA22" t="s">
        <v>25</v>
      </c>
      <c r="AC22" t="s">
        <v>22</v>
      </c>
      <c r="AD22" t="s">
        <v>265</v>
      </c>
      <c r="AE22">
        <v>9.3376316696837993E-5</v>
      </c>
      <c r="AG22" t="s">
        <v>97</v>
      </c>
      <c r="AH22" t="s">
        <v>265</v>
      </c>
      <c r="AI22">
        <v>0</v>
      </c>
    </row>
    <row r="23" spans="3:35" x14ac:dyDescent="0.45">
      <c r="E23" t="s">
        <v>183</v>
      </c>
      <c r="G23" t="s">
        <v>158</v>
      </c>
      <c r="I23" t="s">
        <v>252</v>
      </c>
      <c r="J23" t="s">
        <v>266</v>
      </c>
      <c r="K23">
        <v>0</v>
      </c>
      <c r="L23" t="s">
        <v>254</v>
      </c>
      <c r="N23" t="s">
        <v>422</v>
      </c>
      <c r="O23" t="s">
        <v>266</v>
      </c>
      <c r="P23">
        <v>2.264380237252E-4</v>
      </c>
      <c r="Q23" t="s">
        <v>254</v>
      </c>
      <c r="S23" t="s">
        <v>423</v>
      </c>
      <c r="T23" t="s">
        <v>266</v>
      </c>
      <c r="U23">
        <v>1.9015628217890001E-4</v>
      </c>
      <c r="V23" t="s">
        <v>254</v>
      </c>
      <c r="X23">
        <v>1.1415525114155251E-4</v>
      </c>
      <c r="Y23">
        <v>2.1215059377304864E-5</v>
      </c>
      <c r="Z23" t="s">
        <v>266</v>
      </c>
      <c r="AA23" t="s">
        <v>25</v>
      </c>
      <c r="AC23" t="s">
        <v>22</v>
      </c>
      <c r="AD23" t="s">
        <v>266</v>
      </c>
      <c r="AE23">
        <v>9.9549179027553041E-5</v>
      </c>
      <c r="AG23" t="s">
        <v>97</v>
      </c>
      <c r="AH23" t="s">
        <v>266</v>
      </c>
      <c r="AI23">
        <v>0</v>
      </c>
    </row>
    <row r="24" spans="3:35" x14ac:dyDescent="0.45">
      <c r="E24" t="s">
        <v>184</v>
      </c>
      <c r="G24" t="s">
        <v>158</v>
      </c>
      <c r="I24" t="s">
        <v>252</v>
      </c>
      <c r="J24" t="s">
        <v>267</v>
      </c>
      <c r="K24">
        <v>0</v>
      </c>
      <c r="L24" t="s">
        <v>254</v>
      </c>
      <c r="N24" t="s">
        <v>422</v>
      </c>
      <c r="O24" t="s">
        <v>267</v>
      </c>
      <c r="P24">
        <v>2.265273145248E-4</v>
      </c>
      <c r="Q24" t="s">
        <v>254</v>
      </c>
      <c r="S24" t="s">
        <v>423</v>
      </c>
      <c r="T24" t="s">
        <v>267</v>
      </c>
      <c r="U24">
        <v>1.896132531879E-4</v>
      </c>
      <c r="V24" t="s">
        <v>254</v>
      </c>
      <c r="X24">
        <v>1.1415525114155251E-4</v>
      </c>
      <c r="Y24">
        <v>5.7678442682047593E-5</v>
      </c>
      <c r="Z24" t="s">
        <v>267</v>
      </c>
      <c r="AA24" t="s">
        <v>25</v>
      </c>
      <c r="AC24" t="s">
        <v>22</v>
      </c>
      <c r="AD24" t="s">
        <v>267</v>
      </c>
      <c r="AE24">
        <v>1.2009555385244754E-4</v>
      </c>
      <c r="AG24" t="s">
        <v>97</v>
      </c>
      <c r="AH24" t="s">
        <v>267</v>
      </c>
      <c r="AI24">
        <v>0</v>
      </c>
    </row>
    <row r="25" spans="3:35" x14ac:dyDescent="0.45">
      <c r="E25" t="s">
        <v>185</v>
      </c>
      <c r="G25" t="s">
        <v>158</v>
      </c>
      <c r="I25" t="s">
        <v>252</v>
      </c>
      <c r="J25" t="s">
        <v>268</v>
      </c>
      <c r="K25">
        <v>0</v>
      </c>
      <c r="L25" t="s">
        <v>254</v>
      </c>
      <c r="N25" t="s">
        <v>422</v>
      </c>
      <c r="O25" t="s">
        <v>268</v>
      </c>
      <c r="P25">
        <v>2.26959298143E-4</v>
      </c>
      <c r="Q25" t="s">
        <v>254</v>
      </c>
      <c r="S25" t="s">
        <v>423</v>
      </c>
      <c r="T25" t="s">
        <v>268</v>
      </c>
      <c r="U25">
        <v>1.8970586285779999E-4</v>
      </c>
      <c r="V25" t="s">
        <v>254</v>
      </c>
      <c r="X25">
        <v>1.1415525114155251E-4</v>
      </c>
      <c r="Y25">
        <v>1.6905750441289813E-4</v>
      </c>
      <c r="Z25" t="s">
        <v>268</v>
      </c>
      <c r="AA25" t="s">
        <v>25</v>
      </c>
      <c r="AC25" t="s">
        <v>22</v>
      </c>
      <c r="AD25" t="s">
        <v>268</v>
      </c>
      <c r="AE25">
        <v>1.3676279356727799E-4</v>
      </c>
      <c r="AG25" t="s">
        <v>97</v>
      </c>
      <c r="AH25" t="s">
        <v>268</v>
      </c>
      <c r="AI25">
        <v>0</v>
      </c>
    </row>
    <row r="26" spans="3:35" x14ac:dyDescent="0.45">
      <c r="E26" t="s">
        <v>186</v>
      </c>
      <c r="G26" t="s">
        <v>158</v>
      </c>
      <c r="I26" t="s">
        <v>252</v>
      </c>
      <c r="J26" t="s">
        <v>269</v>
      </c>
      <c r="K26">
        <v>0</v>
      </c>
      <c r="L26" t="s">
        <v>254</v>
      </c>
      <c r="N26" t="s">
        <v>422</v>
      </c>
      <c r="O26" t="s">
        <v>269</v>
      </c>
      <c r="P26">
        <v>2.2609253682889999E-4</v>
      </c>
      <c r="Q26" t="s">
        <v>254</v>
      </c>
      <c r="S26" t="s">
        <v>423</v>
      </c>
      <c r="T26" t="s">
        <v>269</v>
      </c>
      <c r="U26">
        <v>1.895260540895E-4</v>
      </c>
      <c r="V26" t="s">
        <v>254</v>
      </c>
      <c r="X26">
        <v>1.1415525114155251E-4</v>
      </c>
      <c r="Y26">
        <v>1.9060404909297337E-4</v>
      </c>
      <c r="Z26" t="s">
        <v>269</v>
      </c>
      <c r="AA26" t="s">
        <v>25</v>
      </c>
      <c r="AC26" t="s">
        <v>22</v>
      </c>
      <c r="AD26" t="s">
        <v>269</v>
      </c>
      <c r="AE26">
        <v>1.4420398220952351E-4</v>
      </c>
      <c r="AG26" t="s">
        <v>97</v>
      </c>
      <c r="AH26" t="s">
        <v>269</v>
      </c>
      <c r="AI26">
        <v>0</v>
      </c>
    </row>
    <row r="27" spans="3:35" x14ac:dyDescent="0.45">
      <c r="E27" t="s">
        <v>187</v>
      </c>
      <c r="G27" t="s">
        <v>158</v>
      </c>
      <c r="I27" t="s">
        <v>252</v>
      </c>
      <c r="J27" t="s">
        <v>270</v>
      </c>
      <c r="K27">
        <v>1.149179314192E-4</v>
      </c>
      <c r="L27" t="s">
        <v>254</v>
      </c>
      <c r="N27" t="s">
        <v>422</v>
      </c>
      <c r="O27" t="s">
        <v>270</v>
      </c>
      <c r="P27">
        <v>2.244790544585E-4</v>
      </c>
      <c r="Q27" t="s">
        <v>254</v>
      </c>
      <c r="S27" t="s">
        <v>423</v>
      </c>
      <c r="T27" t="s">
        <v>270</v>
      </c>
      <c r="U27">
        <v>1.892400787025E-4</v>
      </c>
      <c r="V27" t="s">
        <v>254</v>
      </c>
      <c r="X27">
        <v>1.1415525114155251E-4</v>
      </c>
      <c r="Y27">
        <v>1.4585353321897094E-4</v>
      </c>
      <c r="Z27" t="s">
        <v>270</v>
      </c>
      <c r="AA27" t="s">
        <v>25</v>
      </c>
      <c r="AC27" t="s">
        <v>22</v>
      </c>
      <c r="AD27" t="s">
        <v>270</v>
      </c>
      <c r="AE27">
        <v>1.4728274204638388E-4</v>
      </c>
      <c r="AG27" t="s">
        <v>97</v>
      </c>
      <c r="AH27" t="s">
        <v>270</v>
      </c>
      <c r="AI27">
        <v>0</v>
      </c>
    </row>
    <row r="28" spans="3:35" x14ac:dyDescent="0.45">
      <c r="E28" t="s">
        <v>188</v>
      </c>
      <c r="G28" t="s">
        <v>158</v>
      </c>
      <c r="I28" t="s">
        <v>252</v>
      </c>
      <c r="J28" t="s">
        <v>271</v>
      </c>
      <c r="K28">
        <v>2.2829857705129999E-4</v>
      </c>
      <c r="L28" t="s">
        <v>254</v>
      </c>
      <c r="N28" t="s">
        <v>422</v>
      </c>
      <c r="O28" t="s">
        <v>271</v>
      </c>
      <c r="P28">
        <v>2.22667396879E-4</v>
      </c>
      <c r="Q28" t="s">
        <v>254</v>
      </c>
      <c r="S28" t="s">
        <v>423</v>
      </c>
      <c r="T28" t="s">
        <v>271</v>
      </c>
      <c r="U28">
        <v>1.887854339867E-4</v>
      </c>
      <c r="V28" t="s">
        <v>254</v>
      </c>
      <c r="X28">
        <v>1.1415525114155251E-4</v>
      </c>
      <c r="Y28">
        <v>1.4452759200788939E-4</v>
      </c>
      <c r="Z28" t="s">
        <v>271</v>
      </c>
      <c r="AA28" t="s">
        <v>25</v>
      </c>
      <c r="AC28" t="s">
        <v>22</v>
      </c>
      <c r="AD28" t="s">
        <v>271</v>
      </c>
      <c r="AE28">
        <v>1.4827234342251758E-4</v>
      </c>
      <c r="AG28" t="s">
        <v>97</v>
      </c>
      <c r="AH28" t="s">
        <v>271</v>
      </c>
      <c r="AI28">
        <v>0</v>
      </c>
    </row>
    <row r="29" spans="3:35" x14ac:dyDescent="0.45">
      <c r="E29" t="s">
        <v>189</v>
      </c>
      <c r="G29" t="s">
        <v>158</v>
      </c>
      <c r="I29" t="s">
        <v>252</v>
      </c>
      <c r="J29" t="s">
        <v>272</v>
      </c>
      <c r="K29">
        <v>2.9698846431209998E-4</v>
      </c>
      <c r="L29" t="s">
        <v>254</v>
      </c>
      <c r="N29" t="s">
        <v>422</v>
      </c>
      <c r="O29" t="s">
        <v>272</v>
      </c>
      <c r="P29">
        <v>2.180532657406E-4</v>
      </c>
      <c r="Q29" t="s">
        <v>254</v>
      </c>
      <c r="S29" t="s">
        <v>423</v>
      </c>
      <c r="T29" t="s">
        <v>272</v>
      </c>
      <c r="U29">
        <v>1.8799732622120001E-4</v>
      </c>
      <c r="V29" t="s">
        <v>254</v>
      </c>
      <c r="X29">
        <v>1.1415525114155251E-4</v>
      </c>
      <c r="Y29">
        <v>1.408812536774151E-4</v>
      </c>
      <c r="Z29" t="s">
        <v>272</v>
      </c>
      <c r="AA29" t="s">
        <v>25</v>
      </c>
      <c r="AC29" t="s">
        <v>22</v>
      </c>
      <c r="AD29" t="s">
        <v>272</v>
      </c>
      <c r="AE29">
        <v>1.4763050893825514E-4</v>
      </c>
      <c r="AG29" t="s">
        <v>97</v>
      </c>
      <c r="AH29" t="s">
        <v>272</v>
      </c>
      <c r="AI29">
        <v>0</v>
      </c>
    </row>
    <row r="30" spans="3:35" x14ac:dyDescent="0.45">
      <c r="E30" t="s">
        <v>190</v>
      </c>
      <c r="G30" t="s">
        <v>158</v>
      </c>
      <c r="I30" t="s">
        <v>252</v>
      </c>
      <c r="J30" t="s">
        <v>273</v>
      </c>
      <c r="K30">
        <v>3.1263430619470002E-4</v>
      </c>
      <c r="L30" t="s">
        <v>254</v>
      </c>
      <c r="N30" t="s">
        <v>422</v>
      </c>
      <c r="O30" t="s">
        <v>273</v>
      </c>
      <c r="P30">
        <v>2.1044812718710001E-4</v>
      </c>
      <c r="Q30" t="s">
        <v>254</v>
      </c>
      <c r="S30" t="s">
        <v>423</v>
      </c>
      <c r="T30" t="s">
        <v>273</v>
      </c>
      <c r="U30">
        <v>1.885182335083E-4</v>
      </c>
      <c r="V30" t="s">
        <v>254</v>
      </c>
      <c r="X30">
        <v>1.1415525114155251E-4</v>
      </c>
      <c r="Y30">
        <v>1.4054976837464471E-4</v>
      </c>
      <c r="Z30" t="s">
        <v>273</v>
      </c>
      <c r="AA30" t="s">
        <v>25</v>
      </c>
      <c r="AC30" t="s">
        <v>22</v>
      </c>
      <c r="AD30" t="s">
        <v>273</v>
      </c>
      <c r="AE30">
        <v>1.4651305208716878E-4</v>
      </c>
      <c r="AG30" t="s">
        <v>97</v>
      </c>
      <c r="AH30" t="s">
        <v>273</v>
      </c>
      <c r="AI30">
        <v>0</v>
      </c>
    </row>
    <row r="31" spans="3:35" x14ac:dyDescent="0.45">
      <c r="E31" t="s">
        <v>191</v>
      </c>
      <c r="G31" t="s">
        <v>158</v>
      </c>
      <c r="I31" t="s">
        <v>252</v>
      </c>
      <c r="J31" t="s">
        <v>274</v>
      </c>
      <c r="K31">
        <v>2.5920715185910002E-4</v>
      </c>
      <c r="L31" t="s">
        <v>254</v>
      </c>
      <c r="N31" t="s">
        <v>422</v>
      </c>
      <c r="O31" t="s">
        <v>274</v>
      </c>
      <c r="P31">
        <v>2.0433881171729999E-4</v>
      </c>
      <c r="Q31" t="s">
        <v>254</v>
      </c>
      <c r="S31" t="s">
        <v>423</v>
      </c>
      <c r="T31" t="s">
        <v>274</v>
      </c>
      <c r="U31">
        <v>1.8887784701249999E-4</v>
      </c>
      <c r="V31" t="s">
        <v>254</v>
      </c>
      <c r="X31">
        <v>1.1415525114155251E-4</v>
      </c>
      <c r="Y31">
        <v>1.4253868019126702E-4</v>
      </c>
      <c r="Z31" t="s">
        <v>274</v>
      </c>
      <c r="AA31" t="s">
        <v>25</v>
      </c>
      <c r="AC31" t="s">
        <v>22</v>
      </c>
      <c r="AD31" t="s">
        <v>274</v>
      </c>
      <c r="AE31">
        <v>1.4538280968858717E-4</v>
      </c>
      <c r="AG31" t="s">
        <v>97</v>
      </c>
      <c r="AH31" t="s">
        <v>274</v>
      </c>
      <c r="AI31">
        <v>0</v>
      </c>
    </row>
    <row r="32" spans="3:35" x14ac:dyDescent="0.45">
      <c r="E32" t="s">
        <v>192</v>
      </c>
      <c r="G32" t="s">
        <v>158</v>
      </c>
      <c r="I32" t="s">
        <v>252</v>
      </c>
      <c r="J32" t="s">
        <v>275</v>
      </c>
      <c r="K32">
        <v>2.477749213051E-4</v>
      </c>
      <c r="L32" t="s">
        <v>254</v>
      </c>
      <c r="N32" t="s">
        <v>422</v>
      </c>
      <c r="O32" t="s">
        <v>275</v>
      </c>
      <c r="P32">
        <v>2.101097480552E-4</v>
      </c>
      <c r="Q32" t="s">
        <v>254</v>
      </c>
      <c r="S32" t="s">
        <v>423</v>
      </c>
      <c r="T32" t="s">
        <v>275</v>
      </c>
      <c r="U32">
        <v>1.8906998055689999E-4</v>
      </c>
      <c r="V32" t="s">
        <v>254</v>
      </c>
      <c r="X32">
        <v>1.1415525114155251E-4</v>
      </c>
      <c r="Y32">
        <v>1.4883690094390442E-4</v>
      </c>
      <c r="Z32" t="s">
        <v>275</v>
      </c>
      <c r="AA32" t="s">
        <v>25</v>
      </c>
      <c r="AC32" t="s">
        <v>22</v>
      </c>
      <c r="AD32" t="s">
        <v>275</v>
      </c>
      <c r="AE32">
        <v>1.452549542136345E-4</v>
      </c>
      <c r="AG32" t="s">
        <v>97</v>
      </c>
      <c r="AH32" t="s">
        <v>275</v>
      </c>
      <c r="AI32">
        <v>0</v>
      </c>
    </row>
    <row r="33" spans="5:35" x14ac:dyDescent="0.45">
      <c r="E33" t="s">
        <v>193</v>
      </c>
      <c r="G33" t="s">
        <v>158</v>
      </c>
      <c r="I33" t="s">
        <v>252</v>
      </c>
      <c r="J33" t="s">
        <v>276</v>
      </c>
      <c r="K33">
        <v>2.6381396511990002E-4</v>
      </c>
      <c r="L33" t="s">
        <v>254</v>
      </c>
      <c r="N33" t="s">
        <v>422</v>
      </c>
      <c r="O33" t="s">
        <v>276</v>
      </c>
      <c r="P33">
        <v>2.1242661700150001E-4</v>
      </c>
      <c r="Q33" t="s">
        <v>254</v>
      </c>
      <c r="S33" t="s">
        <v>423</v>
      </c>
      <c r="T33" t="s">
        <v>276</v>
      </c>
      <c r="U33">
        <v>1.889612122152E-4</v>
      </c>
      <c r="V33" t="s">
        <v>254</v>
      </c>
      <c r="X33">
        <v>1.1415525114155251E-4</v>
      </c>
      <c r="Y33">
        <v>1.5049432745775637E-4</v>
      </c>
      <c r="Z33" t="s">
        <v>276</v>
      </c>
      <c r="AA33" t="s">
        <v>25</v>
      </c>
      <c r="AC33" t="s">
        <v>22</v>
      </c>
      <c r="AD33" t="s">
        <v>276</v>
      </c>
      <c r="AE33">
        <v>1.4446480737842696E-4</v>
      </c>
      <c r="AG33" t="s">
        <v>97</v>
      </c>
      <c r="AH33" t="s">
        <v>276</v>
      </c>
      <c r="AI33">
        <v>0</v>
      </c>
    </row>
    <row r="34" spans="5:35" x14ac:dyDescent="0.45">
      <c r="E34" t="s">
        <v>194</v>
      </c>
      <c r="G34" t="s">
        <v>158</v>
      </c>
      <c r="I34" t="s">
        <v>252</v>
      </c>
      <c r="J34" t="s">
        <v>277</v>
      </c>
      <c r="K34">
        <v>2.1611228605080001E-4</v>
      </c>
      <c r="L34" t="s">
        <v>254</v>
      </c>
      <c r="N34" t="s">
        <v>422</v>
      </c>
      <c r="O34" t="s">
        <v>277</v>
      </c>
      <c r="P34">
        <v>2.1349683592130001E-4</v>
      </c>
      <c r="Q34" t="s">
        <v>254</v>
      </c>
      <c r="S34" t="s">
        <v>423</v>
      </c>
      <c r="T34" t="s">
        <v>277</v>
      </c>
      <c r="U34">
        <v>1.878585645929E-4</v>
      </c>
      <c r="V34" t="s">
        <v>254</v>
      </c>
      <c r="X34">
        <v>1.1415525114155251E-4</v>
      </c>
      <c r="Y34">
        <v>1.7237235744060203E-4</v>
      </c>
      <c r="Z34" t="s">
        <v>277</v>
      </c>
      <c r="AA34" t="s">
        <v>25</v>
      </c>
      <c r="AC34" t="s">
        <v>22</v>
      </c>
      <c r="AD34" t="s">
        <v>277</v>
      </c>
      <c r="AE34">
        <v>1.4408635517256706E-4</v>
      </c>
      <c r="AG34" t="s">
        <v>97</v>
      </c>
      <c r="AH34" t="s">
        <v>277</v>
      </c>
      <c r="AI34">
        <v>0</v>
      </c>
    </row>
    <row r="35" spans="5:35" x14ac:dyDescent="0.45">
      <c r="E35" t="s">
        <v>195</v>
      </c>
      <c r="G35" t="s">
        <v>162</v>
      </c>
      <c r="I35" t="s">
        <v>252</v>
      </c>
      <c r="J35" t="s">
        <v>278</v>
      </c>
      <c r="K35">
        <v>1.462981095404E-4</v>
      </c>
      <c r="L35" t="s">
        <v>254</v>
      </c>
      <c r="N35" t="s">
        <v>422</v>
      </c>
      <c r="O35" t="s">
        <v>278</v>
      </c>
      <c r="P35">
        <v>2.0987258242050001E-4</v>
      </c>
      <c r="Q35" t="s">
        <v>254</v>
      </c>
      <c r="S35" t="s">
        <v>423</v>
      </c>
      <c r="T35" t="s">
        <v>278</v>
      </c>
      <c r="U35">
        <v>1.8577027422230001E-4</v>
      </c>
      <c r="V35" t="s">
        <v>254</v>
      </c>
      <c r="X35">
        <v>1.1415525114155251E-4</v>
      </c>
      <c r="Y35">
        <v>2.2209515285616027E-4</v>
      </c>
      <c r="Z35" t="s">
        <v>278</v>
      </c>
      <c r="AA35" t="s">
        <v>25</v>
      </c>
      <c r="AC35" t="s">
        <v>22</v>
      </c>
      <c r="AD35" t="s">
        <v>278</v>
      </c>
      <c r="AE35">
        <v>1.4534956726509947E-4</v>
      </c>
      <c r="AG35" t="s">
        <v>97</v>
      </c>
      <c r="AH35" t="s">
        <v>278</v>
      </c>
      <c r="AI35">
        <v>0</v>
      </c>
    </row>
    <row r="36" spans="5:35" x14ac:dyDescent="0.45">
      <c r="E36" t="s">
        <v>196</v>
      </c>
      <c r="G36" t="s">
        <v>162</v>
      </c>
      <c r="I36" t="s">
        <v>252</v>
      </c>
      <c r="J36" t="s">
        <v>279</v>
      </c>
      <c r="K36">
        <v>6.4282137530427726E-5</v>
      </c>
      <c r="L36" t="s">
        <v>254</v>
      </c>
      <c r="N36" t="s">
        <v>422</v>
      </c>
      <c r="O36" t="s">
        <v>279</v>
      </c>
      <c r="P36">
        <v>2.033165610361E-4</v>
      </c>
      <c r="Q36" t="s">
        <v>254</v>
      </c>
      <c r="S36" t="s">
        <v>423</v>
      </c>
      <c r="T36" t="s">
        <v>279</v>
      </c>
      <c r="U36">
        <v>1.8404209355740001E-4</v>
      </c>
      <c r="V36" t="s">
        <v>254</v>
      </c>
      <c r="X36">
        <v>1.1415525114155251E-4</v>
      </c>
      <c r="Y36">
        <v>2.2209515285616027E-4</v>
      </c>
      <c r="Z36" t="s">
        <v>279</v>
      </c>
      <c r="AA36" t="s">
        <v>25</v>
      </c>
      <c r="AC36" t="s">
        <v>22</v>
      </c>
      <c r="AD36" t="s">
        <v>279</v>
      </c>
      <c r="AE36">
        <v>1.4664090756212148E-4</v>
      </c>
      <c r="AG36" t="s">
        <v>97</v>
      </c>
      <c r="AH36" t="s">
        <v>279</v>
      </c>
      <c r="AI36">
        <v>0</v>
      </c>
    </row>
    <row r="37" spans="5:35" x14ac:dyDescent="0.45">
      <c r="E37" t="s">
        <v>197</v>
      </c>
      <c r="G37" t="s">
        <v>162</v>
      </c>
      <c r="I37" t="s">
        <v>252</v>
      </c>
      <c r="J37" t="s">
        <v>280</v>
      </c>
      <c r="K37">
        <v>0</v>
      </c>
      <c r="L37" t="s">
        <v>254</v>
      </c>
      <c r="N37" t="s">
        <v>422</v>
      </c>
      <c r="O37" t="s">
        <v>280</v>
      </c>
      <c r="P37">
        <v>1.9893982493810001E-4</v>
      </c>
      <c r="Q37" t="s">
        <v>254</v>
      </c>
      <c r="S37" t="s">
        <v>423</v>
      </c>
      <c r="T37" t="s">
        <v>280</v>
      </c>
      <c r="U37">
        <v>1.8543353413789999E-4</v>
      </c>
      <c r="V37" t="s">
        <v>254</v>
      </c>
      <c r="X37">
        <v>1.1415525114155251E-4</v>
      </c>
      <c r="Y37">
        <v>1.7237235744060203E-4</v>
      </c>
      <c r="Z37" t="s">
        <v>280</v>
      </c>
      <c r="AA37" t="s">
        <v>25</v>
      </c>
      <c r="AC37" t="s">
        <v>22</v>
      </c>
      <c r="AD37" t="s">
        <v>280</v>
      </c>
      <c r="AE37">
        <v>1.4751543901079774E-4</v>
      </c>
      <c r="AG37" t="s">
        <v>97</v>
      </c>
      <c r="AH37" t="s">
        <v>280</v>
      </c>
      <c r="AI37">
        <v>0</v>
      </c>
    </row>
    <row r="38" spans="5:35" x14ac:dyDescent="0.45">
      <c r="E38" t="s">
        <v>198</v>
      </c>
      <c r="G38" t="s">
        <v>162</v>
      </c>
      <c r="I38" t="s">
        <v>252</v>
      </c>
      <c r="J38" t="s">
        <v>281</v>
      </c>
      <c r="K38">
        <v>0</v>
      </c>
      <c r="L38" t="s">
        <v>254</v>
      </c>
      <c r="N38" t="s">
        <v>422</v>
      </c>
      <c r="O38" t="s">
        <v>281</v>
      </c>
      <c r="P38">
        <v>1.961312592462E-4</v>
      </c>
      <c r="Q38" t="s">
        <v>254</v>
      </c>
      <c r="S38" t="s">
        <v>423</v>
      </c>
      <c r="T38" t="s">
        <v>281</v>
      </c>
      <c r="U38">
        <v>1.8814641283399999E-4</v>
      </c>
      <c r="V38" t="s">
        <v>254</v>
      </c>
      <c r="X38">
        <v>1.1415525114155251E-4</v>
      </c>
      <c r="Y38">
        <v>1.5579809230208258E-4</v>
      </c>
      <c r="Z38" t="s">
        <v>281</v>
      </c>
      <c r="AA38" t="s">
        <v>25</v>
      </c>
      <c r="AC38" t="s">
        <v>22</v>
      </c>
      <c r="AD38" t="s">
        <v>281</v>
      </c>
      <c r="AE38">
        <v>1.4593003112138461E-4</v>
      </c>
      <c r="AG38" t="s">
        <v>97</v>
      </c>
      <c r="AH38" t="s">
        <v>281</v>
      </c>
      <c r="AI38">
        <v>0</v>
      </c>
    </row>
    <row r="39" spans="5:35" x14ac:dyDescent="0.45">
      <c r="E39" t="s">
        <v>199</v>
      </c>
      <c r="G39" t="s">
        <v>162</v>
      </c>
      <c r="I39" t="s">
        <v>252</v>
      </c>
      <c r="J39" t="s">
        <v>282</v>
      </c>
      <c r="K39">
        <v>0</v>
      </c>
      <c r="L39" t="s">
        <v>254</v>
      </c>
      <c r="N39" t="s">
        <v>422</v>
      </c>
      <c r="O39" t="s">
        <v>282</v>
      </c>
      <c r="P39">
        <v>2.024250828655E-4</v>
      </c>
      <c r="Q39" t="s">
        <v>254</v>
      </c>
      <c r="S39" t="s">
        <v>423</v>
      </c>
      <c r="T39" t="s">
        <v>282</v>
      </c>
      <c r="U39">
        <v>1.9656456055879999E-4</v>
      </c>
      <c r="V39" t="s">
        <v>254</v>
      </c>
      <c r="X39">
        <v>1.1415525114155251E-4</v>
      </c>
      <c r="Y39">
        <v>1.093901499142282E-4</v>
      </c>
      <c r="Z39" t="s">
        <v>282</v>
      </c>
      <c r="AA39" t="s">
        <v>25</v>
      </c>
      <c r="AC39" t="s">
        <v>22</v>
      </c>
      <c r="AD39" t="s">
        <v>282</v>
      </c>
      <c r="AE39">
        <v>1.3300128549417035E-4</v>
      </c>
      <c r="AG39" t="s">
        <v>97</v>
      </c>
      <c r="AH39" t="s">
        <v>282</v>
      </c>
      <c r="AI39">
        <v>0</v>
      </c>
    </row>
    <row r="40" spans="5:35" x14ac:dyDescent="0.45">
      <c r="E40" t="s">
        <v>200</v>
      </c>
      <c r="G40" t="s">
        <v>162</v>
      </c>
      <c r="I40" t="s">
        <v>252</v>
      </c>
      <c r="J40" t="s">
        <v>283</v>
      </c>
      <c r="K40">
        <v>0</v>
      </c>
      <c r="L40" t="s">
        <v>254</v>
      </c>
      <c r="N40" t="s">
        <v>422</v>
      </c>
      <c r="O40" t="s">
        <v>283</v>
      </c>
      <c r="P40">
        <v>2.1212779973870001E-4</v>
      </c>
      <c r="Q40" t="s">
        <v>254</v>
      </c>
      <c r="S40" t="s">
        <v>423</v>
      </c>
      <c r="T40" t="s">
        <v>283</v>
      </c>
      <c r="U40">
        <v>2.057837074855E-4</v>
      </c>
      <c r="V40" t="s">
        <v>254</v>
      </c>
      <c r="X40">
        <v>1.1415525114155251E-4</v>
      </c>
      <c r="Y40">
        <v>7.9556472664893237E-5</v>
      </c>
      <c r="Z40" t="s">
        <v>283</v>
      </c>
      <c r="AA40" t="s">
        <v>25</v>
      </c>
      <c r="AC40" t="s">
        <v>22</v>
      </c>
      <c r="AD40" t="s">
        <v>283</v>
      </c>
      <c r="AE40">
        <v>1.2241485216808902E-4</v>
      </c>
      <c r="AG40" t="s">
        <v>97</v>
      </c>
      <c r="AH40" t="s">
        <v>283</v>
      </c>
      <c r="AI40">
        <v>0</v>
      </c>
    </row>
    <row r="41" spans="5:35" x14ac:dyDescent="0.45">
      <c r="E41" t="s">
        <v>201</v>
      </c>
      <c r="G41" t="s">
        <v>162</v>
      </c>
      <c r="I41" t="s">
        <v>252</v>
      </c>
      <c r="J41" t="s">
        <v>284</v>
      </c>
      <c r="K41">
        <v>0</v>
      </c>
      <c r="L41" t="s">
        <v>254</v>
      </c>
      <c r="N41" t="s">
        <v>422</v>
      </c>
      <c r="O41" t="s">
        <v>284</v>
      </c>
      <c r="P41">
        <v>2.1358129561370001E-4</v>
      </c>
      <c r="Q41" t="s">
        <v>254</v>
      </c>
      <c r="S41" t="s">
        <v>423</v>
      </c>
      <c r="T41" t="s">
        <v>284</v>
      </c>
      <c r="U41">
        <v>2.0500506056369999E-4</v>
      </c>
      <c r="V41" t="s">
        <v>254</v>
      </c>
      <c r="X41">
        <v>1.1415525114155251E-4</v>
      </c>
      <c r="Y41">
        <v>5.6352501470966035E-5</v>
      </c>
      <c r="Z41" t="s">
        <v>284</v>
      </c>
      <c r="AA41" t="s">
        <v>25</v>
      </c>
      <c r="AC41" t="s">
        <v>22</v>
      </c>
      <c r="AD41" t="s">
        <v>284</v>
      </c>
      <c r="AE41">
        <v>1.1229892698983357E-4</v>
      </c>
      <c r="AG41" t="s">
        <v>97</v>
      </c>
      <c r="AH41" t="s">
        <v>284</v>
      </c>
      <c r="AI41">
        <v>0</v>
      </c>
    </row>
    <row r="42" spans="5:35" x14ac:dyDescent="0.45">
      <c r="E42" t="s">
        <v>202</v>
      </c>
      <c r="G42" t="s">
        <v>162</v>
      </c>
      <c r="I42" t="s">
        <v>252</v>
      </c>
      <c r="J42" t="s">
        <v>285</v>
      </c>
      <c r="K42">
        <v>0</v>
      </c>
      <c r="L42" t="s">
        <v>254</v>
      </c>
      <c r="N42" t="s">
        <v>422</v>
      </c>
      <c r="O42" t="s">
        <v>285</v>
      </c>
      <c r="P42">
        <v>2.252220608744E-4</v>
      </c>
      <c r="Q42" t="s">
        <v>254</v>
      </c>
      <c r="S42" t="s">
        <v>423</v>
      </c>
      <c r="T42" t="s">
        <v>285</v>
      </c>
      <c r="U42">
        <v>2.0752072677489999E-4</v>
      </c>
      <c r="V42" t="s">
        <v>254</v>
      </c>
      <c r="X42">
        <v>1.1415525114155251E-4</v>
      </c>
      <c r="Y42">
        <v>2.9833677249334962E-5</v>
      </c>
      <c r="Z42" t="s">
        <v>285</v>
      </c>
      <c r="AA42" t="s">
        <v>25</v>
      </c>
      <c r="AC42" t="s">
        <v>22</v>
      </c>
      <c r="AD42" t="s">
        <v>285</v>
      </c>
      <c r="AE42">
        <v>9.8978943609264131E-5</v>
      </c>
      <c r="AG42" t="s">
        <v>97</v>
      </c>
      <c r="AH42" t="s">
        <v>285</v>
      </c>
      <c r="AI42">
        <v>0</v>
      </c>
    </row>
    <row r="43" spans="5:35" x14ac:dyDescent="0.45">
      <c r="E43" t="s">
        <v>203</v>
      </c>
      <c r="G43" t="s">
        <v>162</v>
      </c>
      <c r="I43" t="s">
        <v>252</v>
      </c>
      <c r="J43" t="s">
        <v>286</v>
      </c>
      <c r="K43">
        <v>0</v>
      </c>
      <c r="L43" t="s">
        <v>254</v>
      </c>
      <c r="N43" t="s">
        <v>422</v>
      </c>
      <c r="O43" t="s">
        <v>286</v>
      </c>
      <c r="P43">
        <v>2.6875347164954114E-2</v>
      </c>
      <c r="Q43" t="s">
        <v>254</v>
      </c>
      <c r="S43" t="s">
        <v>423</v>
      </c>
      <c r="T43" t="s">
        <v>286</v>
      </c>
      <c r="U43">
        <v>2.7252085270587752E-2</v>
      </c>
      <c r="V43" t="s">
        <v>254</v>
      </c>
      <c r="X43">
        <v>2.2374429223744292E-2</v>
      </c>
      <c r="Y43">
        <v>8.8360722306474754E-3</v>
      </c>
      <c r="Z43" t="s">
        <v>286</v>
      </c>
      <c r="AA43" t="s">
        <v>25</v>
      </c>
      <c r="AC43" t="s">
        <v>22</v>
      </c>
      <c r="AD43" t="s">
        <v>286</v>
      </c>
      <c r="AE43">
        <v>2.1109717328878161E-2</v>
      </c>
      <c r="AG43" t="s">
        <v>97</v>
      </c>
      <c r="AH43" t="s">
        <v>286</v>
      </c>
      <c r="AI43">
        <v>0.29113480752506327</v>
      </c>
    </row>
    <row r="44" spans="5:35" x14ac:dyDescent="0.45">
      <c r="E44" t="s">
        <v>204</v>
      </c>
      <c r="G44" t="s">
        <v>162</v>
      </c>
      <c r="I44" t="s">
        <v>252</v>
      </c>
      <c r="J44" t="s">
        <v>287</v>
      </c>
      <c r="K44">
        <v>8.3849719630973629E-5</v>
      </c>
      <c r="L44" t="s">
        <v>254</v>
      </c>
      <c r="N44" t="s">
        <v>422</v>
      </c>
      <c r="O44" t="s">
        <v>287</v>
      </c>
      <c r="P44">
        <v>3.8881604605765616E-3</v>
      </c>
      <c r="Q44" t="s">
        <v>254</v>
      </c>
      <c r="S44" t="s">
        <v>423</v>
      </c>
      <c r="T44" t="s">
        <v>287</v>
      </c>
      <c r="U44">
        <v>3.9499288171013164E-3</v>
      </c>
      <c r="V44" t="s">
        <v>254</v>
      </c>
      <c r="X44">
        <v>3.1963470319634705E-3</v>
      </c>
      <c r="Y44">
        <v>5.3369133746032542E-3</v>
      </c>
      <c r="Z44" t="s">
        <v>287</v>
      </c>
      <c r="AA44" t="s">
        <v>25</v>
      </c>
      <c r="AC44" t="s">
        <v>22</v>
      </c>
      <c r="AD44" t="s">
        <v>287</v>
      </c>
      <c r="AE44">
        <v>4.0710306204245848E-3</v>
      </c>
      <c r="AG44" t="s">
        <v>97</v>
      </c>
      <c r="AH44" t="s">
        <v>287</v>
      </c>
      <c r="AI44">
        <v>6.8359075254840862E-2</v>
      </c>
    </row>
    <row r="45" spans="5:35" x14ac:dyDescent="0.45">
      <c r="E45" t="s">
        <v>205</v>
      </c>
      <c r="G45" t="s">
        <v>162</v>
      </c>
      <c r="I45" t="s">
        <v>252</v>
      </c>
      <c r="J45" t="s">
        <v>288</v>
      </c>
      <c r="K45">
        <v>9.6888225697236499E-3</v>
      </c>
      <c r="L45" t="s">
        <v>254</v>
      </c>
      <c r="N45" t="s">
        <v>422</v>
      </c>
      <c r="O45" t="s">
        <v>288</v>
      </c>
      <c r="P45">
        <v>7.7173957406902237E-3</v>
      </c>
      <c r="Q45" t="s">
        <v>254</v>
      </c>
      <c r="S45" t="s">
        <v>423</v>
      </c>
      <c r="T45" t="s">
        <v>288</v>
      </c>
      <c r="U45">
        <v>7.9199453590623053E-3</v>
      </c>
      <c r="V45" t="s">
        <v>254</v>
      </c>
      <c r="X45">
        <v>6.392694063926941E-3</v>
      </c>
      <c r="Y45">
        <v>8.1306715063520895E-3</v>
      </c>
      <c r="Z45" t="s">
        <v>288</v>
      </c>
      <c r="AA45" t="s">
        <v>25</v>
      </c>
      <c r="AC45" t="s">
        <v>22</v>
      </c>
      <c r="AD45" t="s">
        <v>288</v>
      </c>
      <c r="AE45">
        <v>8.316463780013111E-3</v>
      </c>
      <c r="AG45" t="s">
        <v>97</v>
      </c>
      <c r="AH45" t="s">
        <v>288</v>
      </c>
      <c r="AI45">
        <v>6.1073371955473243E-2</v>
      </c>
    </row>
    <row r="46" spans="5:35" x14ac:dyDescent="0.45">
      <c r="E46" t="s">
        <v>206</v>
      </c>
      <c r="G46" t="s">
        <v>162</v>
      </c>
      <c r="I46" t="s">
        <v>252</v>
      </c>
      <c r="J46" t="s">
        <v>289</v>
      </c>
      <c r="K46">
        <v>2.2304673988702308E-2</v>
      </c>
      <c r="L46" t="s">
        <v>254</v>
      </c>
      <c r="N46" t="s">
        <v>422</v>
      </c>
      <c r="O46" t="s">
        <v>289</v>
      </c>
      <c r="P46">
        <v>1.1265957507804868E-2</v>
      </c>
      <c r="Q46" t="s">
        <v>254</v>
      </c>
      <c r="S46" t="s">
        <v>423</v>
      </c>
      <c r="T46" t="s">
        <v>289</v>
      </c>
      <c r="U46">
        <v>1.1517428166842628E-2</v>
      </c>
      <c r="V46" t="s">
        <v>254</v>
      </c>
      <c r="X46">
        <v>9.5890410958904115E-3</v>
      </c>
      <c r="Y46">
        <v>1.1871151662813155E-2</v>
      </c>
      <c r="Z46" t="s">
        <v>289</v>
      </c>
      <c r="AA46" t="s">
        <v>25</v>
      </c>
      <c r="AC46" t="s">
        <v>22</v>
      </c>
      <c r="AD46" t="s">
        <v>289</v>
      </c>
      <c r="AE46">
        <v>1.242959976544911E-2</v>
      </c>
      <c r="AG46" t="s">
        <v>97</v>
      </c>
      <c r="AH46" t="s">
        <v>289</v>
      </c>
      <c r="AI46">
        <v>6.0211691919535903E-2</v>
      </c>
    </row>
    <row r="47" spans="5:35" x14ac:dyDescent="0.45">
      <c r="E47" t="s">
        <v>207</v>
      </c>
      <c r="G47" t="s">
        <v>162</v>
      </c>
      <c r="I47" t="s">
        <v>252</v>
      </c>
      <c r="J47" t="s">
        <v>290</v>
      </c>
      <c r="K47">
        <v>6.9887246060699E-3</v>
      </c>
      <c r="L47" t="s">
        <v>254</v>
      </c>
      <c r="N47" t="s">
        <v>422</v>
      </c>
      <c r="O47" t="s">
        <v>290</v>
      </c>
      <c r="P47">
        <v>3.8316104893318524E-3</v>
      </c>
      <c r="Q47" t="s">
        <v>254</v>
      </c>
      <c r="S47" t="s">
        <v>423</v>
      </c>
      <c r="T47" t="s">
        <v>290</v>
      </c>
      <c r="U47">
        <v>3.7783683444571488E-3</v>
      </c>
      <c r="V47" t="s">
        <v>254</v>
      </c>
      <c r="X47">
        <v>3.1963470319634705E-3</v>
      </c>
      <c r="Y47">
        <v>4.167433226429324E-3</v>
      </c>
      <c r="Z47" t="s">
        <v>290</v>
      </c>
      <c r="AA47" t="s">
        <v>25</v>
      </c>
      <c r="AC47" t="s">
        <v>22</v>
      </c>
      <c r="AD47" t="s">
        <v>290</v>
      </c>
      <c r="AE47">
        <v>4.1147137219969144E-3</v>
      </c>
      <c r="AG47" t="s">
        <v>97</v>
      </c>
      <c r="AH47" t="s">
        <v>290</v>
      </c>
      <c r="AI47">
        <v>6.3744162102699953E-2</v>
      </c>
    </row>
    <row r="48" spans="5:35" x14ac:dyDescent="0.45">
      <c r="E48" t="s">
        <v>208</v>
      </c>
      <c r="G48" t="s">
        <v>162</v>
      </c>
      <c r="I48" t="s">
        <v>252</v>
      </c>
      <c r="J48" t="s">
        <v>291</v>
      </c>
      <c r="K48">
        <v>1.4596565439051225E-2</v>
      </c>
      <c r="L48" t="s">
        <v>254</v>
      </c>
      <c r="N48" t="s">
        <v>422</v>
      </c>
      <c r="O48" t="s">
        <v>291</v>
      </c>
      <c r="P48">
        <v>7.8099855736281556E-3</v>
      </c>
      <c r="Q48" t="s">
        <v>254</v>
      </c>
      <c r="S48" t="s">
        <v>423</v>
      </c>
      <c r="T48" t="s">
        <v>291</v>
      </c>
      <c r="U48">
        <v>7.711700152114997E-3</v>
      </c>
      <c r="V48" t="s">
        <v>254</v>
      </c>
      <c r="X48">
        <v>6.392694063926941E-3</v>
      </c>
      <c r="Y48">
        <v>9.0402671771540339E-3</v>
      </c>
      <c r="Z48" t="s">
        <v>291</v>
      </c>
      <c r="AA48" t="s">
        <v>25</v>
      </c>
      <c r="AC48" t="s">
        <v>22</v>
      </c>
      <c r="AD48" t="s">
        <v>291</v>
      </c>
      <c r="AE48">
        <v>8.2352320825566806E-3</v>
      </c>
      <c r="AG48" t="s">
        <v>97</v>
      </c>
      <c r="AH48" t="s">
        <v>291</v>
      </c>
      <c r="AI48">
        <v>6.7700113318520883E-2</v>
      </c>
    </row>
    <row r="49" spans="5:35" x14ac:dyDescent="0.45">
      <c r="E49" t="s">
        <v>209</v>
      </c>
      <c r="G49" t="s">
        <v>162</v>
      </c>
      <c r="I49" t="s">
        <v>252</v>
      </c>
      <c r="J49" t="s">
        <v>292</v>
      </c>
      <c r="K49">
        <v>1.0097346272973182E-2</v>
      </c>
      <c r="L49" t="s">
        <v>254</v>
      </c>
      <c r="N49" t="s">
        <v>422</v>
      </c>
      <c r="O49" t="s">
        <v>292</v>
      </c>
      <c r="P49">
        <v>7.7105231593927528E-3</v>
      </c>
      <c r="Q49" t="s">
        <v>254</v>
      </c>
      <c r="S49" t="s">
        <v>423</v>
      </c>
      <c r="T49" t="s">
        <v>292</v>
      </c>
      <c r="U49">
        <v>7.813409287946254E-3</v>
      </c>
      <c r="V49" t="s">
        <v>254</v>
      </c>
      <c r="X49">
        <v>6.392694063926941E-3</v>
      </c>
      <c r="Y49">
        <v>1.2437328559944975E-2</v>
      </c>
      <c r="Z49" t="s">
        <v>292</v>
      </c>
      <c r="AA49" t="s">
        <v>25</v>
      </c>
      <c r="AC49" t="s">
        <v>22</v>
      </c>
      <c r="AD49" t="s">
        <v>292</v>
      </c>
      <c r="AE49">
        <v>8.3551528467337901E-3</v>
      </c>
      <c r="AG49" t="s">
        <v>97</v>
      </c>
      <c r="AH49" t="s">
        <v>292</v>
      </c>
      <c r="AI49">
        <v>5.656928791866056E-2</v>
      </c>
    </row>
    <row r="50" spans="5:35" x14ac:dyDescent="0.45">
      <c r="E50" t="s">
        <v>210</v>
      </c>
      <c r="G50" t="s">
        <v>162</v>
      </c>
      <c r="I50" t="s">
        <v>252</v>
      </c>
      <c r="J50" t="s">
        <v>293</v>
      </c>
      <c r="K50">
        <v>3.0928607330769746E-4</v>
      </c>
      <c r="L50" t="s">
        <v>254</v>
      </c>
      <c r="N50" t="s">
        <v>422</v>
      </c>
      <c r="O50" t="s">
        <v>293</v>
      </c>
      <c r="P50">
        <v>2.3050564628395966E-2</v>
      </c>
      <c r="Q50" t="s">
        <v>254</v>
      </c>
      <c r="S50" t="s">
        <v>423</v>
      </c>
      <c r="T50" t="s">
        <v>293</v>
      </c>
      <c r="U50">
        <v>2.3574584893300582E-2</v>
      </c>
      <c r="V50" t="s">
        <v>254</v>
      </c>
      <c r="X50">
        <v>1.9178082191780823E-2</v>
      </c>
      <c r="Y50">
        <v>1.6892491029178995E-2</v>
      </c>
      <c r="Z50" t="s">
        <v>293</v>
      </c>
      <c r="AA50" t="s">
        <v>25</v>
      </c>
      <c r="AC50" t="s">
        <v>22</v>
      </c>
      <c r="AD50" t="s">
        <v>293</v>
      </c>
      <c r="AE50">
        <v>2.1361894568342289E-2</v>
      </c>
      <c r="AG50" t="s">
        <v>97</v>
      </c>
      <c r="AH50" t="s">
        <v>293</v>
      </c>
      <c r="AI50">
        <v>0.18996407529817505</v>
      </c>
    </row>
    <row r="51" spans="5:35" x14ac:dyDescent="0.45">
      <c r="E51" t="s">
        <v>211</v>
      </c>
      <c r="G51" t="s">
        <v>162</v>
      </c>
      <c r="I51" t="s">
        <v>252</v>
      </c>
      <c r="J51" t="s">
        <v>294</v>
      </c>
      <c r="K51">
        <v>1.6104140391799037E-5</v>
      </c>
      <c r="L51" t="s">
        <v>254</v>
      </c>
      <c r="N51" t="s">
        <v>422</v>
      </c>
      <c r="O51" t="s">
        <v>294</v>
      </c>
      <c r="P51">
        <v>2.422069263148147E-2</v>
      </c>
      <c r="Q51" t="s">
        <v>254</v>
      </c>
      <c r="S51" t="s">
        <v>423</v>
      </c>
      <c r="T51" t="s">
        <v>294</v>
      </c>
      <c r="U51">
        <v>2.5901969336789985E-2</v>
      </c>
      <c r="V51" t="s">
        <v>254</v>
      </c>
      <c r="X51">
        <v>2.4771689497716895E-2</v>
      </c>
      <c r="Y51">
        <v>9.7827942553597048E-3</v>
      </c>
      <c r="Z51" t="s">
        <v>294</v>
      </c>
      <c r="AA51" t="s">
        <v>25</v>
      </c>
      <c r="AC51" t="s">
        <v>22</v>
      </c>
      <c r="AD51" t="s">
        <v>294</v>
      </c>
      <c r="AE51">
        <v>2.1673230553283358E-2</v>
      </c>
      <c r="AG51" t="s">
        <v>97</v>
      </c>
      <c r="AH51" t="s">
        <v>294</v>
      </c>
      <c r="AI51">
        <v>0.29189958109755287</v>
      </c>
    </row>
    <row r="52" spans="5:35" x14ac:dyDescent="0.45">
      <c r="E52" t="s">
        <v>212</v>
      </c>
      <c r="G52" t="s">
        <v>162</v>
      </c>
      <c r="I52" t="s">
        <v>252</v>
      </c>
      <c r="J52" t="s">
        <v>295</v>
      </c>
      <c r="K52">
        <v>2.4930351960390073E-3</v>
      </c>
      <c r="L52" t="s">
        <v>254</v>
      </c>
      <c r="N52" t="s">
        <v>422</v>
      </c>
      <c r="O52" t="s">
        <v>295</v>
      </c>
      <c r="P52">
        <v>3.5730988300244175E-3</v>
      </c>
      <c r="Q52" t="s">
        <v>254</v>
      </c>
      <c r="S52" t="s">
        <v>423</v>
      </c>
      <c r="T52" t="s">
        <v>295</v>
      </c>
      <c r="U52">
        <v>3.8899664386824219E-3</v>
      </c>
      <c r="V52" t="s">
        <v>254</v>
      </c>
      <c r="X52">
        <v>3.5388127853881279E-3</v>
      </c>
      <c r="Y52">
        <v>5.9087255218821738E-3</v>
      </c>
      <c r="Z52" t="s">
        <v>295</v>
      </c>
      <c r="AA52" t="s">
        <v>25</v>
      </c>
      <c r="AC52" t="s">
        <v>22</v>
      </c>
      <c r="AD52" t="s">
        <v>295</v>
      </c>
      <c r="AE52">
        <v>4.1395725431968974E-3</v>
      </c>
      <c r="AG52" t="s">
        <v>97</v>
      </c>
      <c r="AH52" t="s">
        <v>295</v>
      </c>
      <c r="AI52">
        <v>7.1225832716647064E-2</v>
      </c>
    </row>
    <row r="53" spans="5:35" x14ac:dyDescent="0.45">
      <c r="E53" t="s">
        <v>213</v>
      </c>
      <c r="G53" t="s">
        <v>162</v>
      </c>
      <c r="I53" t="s">
        <v>252</v>
      </c>
      <c r="J53" t="s">
        <v>296</v>
      </c>
      <c r="K53">
        <v>1.2217569584091117E-2</v>
      </c>
      <c r="L53" t="s">
        <v>254</v>
      </c>
      <c r="N53" t="s">
        <v>422</v>
      </c>
      <c r="O53" t="s">
        <v>296</v>
      </c>
      <c r="P53">
        <v>6.9748728034219332E-3</v>
      </c>
      <c r="Q53" t="s">
        <v>254</v>
      </c>
      <c r="S53" t="s">
        <v>423</v>
      </c>
      <c r="T53" t="s">
        <v>296</v>
      </c>
      <c r="U53">
        <v>7.7357545072605522E-3</v>
      </c>
      <c r="V53" t="s">
        <v>254</v>
      </c>
      <c r="X53">
        <v>7.0776255707762558E-3</v>
      </c>
      <c r="Y53">
        <v>9.0018148820326695E-3</v>
      </c>
      <c r="Z53" t="s">
        <v>296</v>
      </c>
      <c r="AA53" t="s">
        <v>25</v>
      </c>
      <c r="AC53" t="s">
        <v>22</v>
      </c>
      <c r="AD53" t="s">
        <v>296</v>
      </c>
      <c r="AE53">
        <v>8.58529246405847E-3</v>
      </c>
      <c r="AG53" t="s">
        <v>97</v>
      </c>
      <c r="AH53" t="s">
        <v>296</v>
      </c>
      <c r="AI53">
        <v>7.2679836004472698E-2</v>
      </c>
    </row>
    <row r="54" spans="5:35" x14ac:dyDescent="0.45">
      <c r="E54" t="s">
        <v>214</v>
      </c>
      <c r="G54" t="s">
        <v>162</v>
      </c>
      <c r="I54" t="s">
        <v>252</v>
      </c>
      <c r="J54" t="s">
        <v>297</v>
      </c>
      <c r="K54">
        <v>2.6485135909388655E-2</v>
      </c>
      <c r="L54" t="s">
        <v>254</v>
      </c>
      <c r="N54" t="s">
        <v>422</v>
      </c>
      <c r="O54" t="s">
        <v>297</v>
      </c>
      <c r="P54">
        <v>9.9778372938310565E-3</v>
      </c>
      <c r="Q54" t="s">
        <v>254</v>
      </c>
      <c r="S54" t="s">
        <v>423</v>
      </c>
      <c r="T54" t="s">
        <v>297</v>
      </c>
      <c r="U54">
        <v>1.1131790036312329E-2</v>
      </c>
      <c r="V54" t="s">
        <v>254</v>
      </c>
      <c r="X54">
        <v>1.0616438356164383E-2</v>
      </c>
      <c r="Y54">
        <v>1.3143060769543132E-2</v>
      </c>
      <c r="Z54" t="s">
        <v>297</v>
      </c>
      <c r="AA54" t="s">
        <v>25</v>
      </c>
      <c r="AC54" t="s">
        <v>22</v>
      </c>
      <c r="AD54" t="s">
        <v>297</v>
      </c>
      <c r="AE54">
        <v>1.2798481632623615E-2</v>
      </c>
      <c r="AG54" t="s">
        <v>97</v>
      </c>
      <c r="AH54" t="s">
        <v>297</v>
      </c>
      <c r="AI54">
        <v>7.8130437900502558E-2</v>
      </c>
    </row>
    <row r="55" spans="5:35" x14ac:dyDescent="0.45">
      <c r="E55" t="s">
        <v>215</v>
      </c>
      <c r="G55" t="s">
        <v>162</v>
      </c>
      <c r="I55" t="s">
        <v>252</v>
      </c>
      <c r="J55" t="s">
        <v>298</v>
      </c>
      <c r="K55">
        <v>8.7555444167293581E-3</v>
      </c>
      <c r="L55" t="s">
        <v>254</v>
      </c>
      <c r="N55" t="s">
        <v>422</v>
      </c>
      <c r="O55" t="s">
        <v>298</v>
      </c>
      <c r="P55">
        <v>3.3727831130503645E-3</v>
      </c>
      <c r="Q55" t="s">
        <v>254</v>
      </c>
      <c r="S55" t="s">
        <v>423</v>
      </c>
      <c r="T55" t="s">
        <v>298</v>
      </c>
      <c r="U55">
        <v>3.7073872357237798E-3</v>
      </c>
      <c r="V55" t="s">
        <v>254</v>
      </c>
      <c r="X55">
        <v>3.5388127853881279E-3</v>
      </c>
      <c r="Y55">
        <v>4.6139439292610376E-3</v>
      </c>
      <c r="Z55" t="s">
        <v>298</v>
      </c>
      <c r="AA55" t="s">
        <v>25</v>
      </c>
      <c r="AC55" t="s">
        <v>22</v>
      </c>
      <c r="AD55" t="s">
        <v>298</v>
      </c>
      <c r="AE55">
        <v>4.2169915903902391E-3</v>
      </c>
      <c r="AG55" t="s">
        <v>97</v>
      </c>
      <c r="AH55" t="s">
        <v>298</v>
      </c>
      <c r="AI55">
        <v>8.3300670632449947E-2</v>
      </c>
    </row>
    <row r="56" spans="5:35" x14ac:dyDescent="0.45">
      <c r="E56" t="s">
        <v>216</v>
      </c>
      <c r="G56" t="s">
        <v>162</v>
      </c>
      <c r="I56" t="s">
        <v>252</v>
      </c>
      <c r="J56" t="s">
        <v>299</v>
      </c>
      <c r="K56">
        <v>1.7586171126462422E-2</v>
      </c>
      <c r="L56" t="s">
        <v>254</v>
      </c>
      <c r="N56" t="s">
        <v>422</v>
      </c>
      <c r="O56" t="s">
        <v>299</v>
      </c>
      <c r="P56">
        <v>6.8659250177975891E-3</v>
      </c>
      <c r="Q56" t="s">
        <v>254</v>
      </c>
      <c r="S56" t="s">
        <v>423</v>
      </c>
      <c r="T56" t="s">
        <v>299</v>
      </c>
      <c r="U56">
        <v>7.5891430150184756E-3</v>
      </c>
      <c r="V56" t="s">
        <v>254</v>
      </c>
      <c r="X56">
        <v>7.0776255707762558E-3</v>
      </c>
      <c r="Y56">
        <v>1.0008867231849112E-2</v>
      </c>
      <c r="Z56" t="s">
        <v>299</v>
      </c>
      <c r="AA56" t="s">
        <v>25</v>
      </c>
      <c r="AC56" t="s">
        <v>22</v>
      </c>
      <c r="AD56" t="s">
        <v>299</v>
      </c>
      <c r="AE56">
        <v>8.4096292699114943E-3</v>
      </c>
      <c r="AG56" t="s">
        <v>97</v>
      </c>
      <c r="AH56" t="s">
        <v>299</v>
      </c>
      <c r="AI56">
        <v>8.7356154406409425E-2</v>
      </c>
    </row>
    <row r="57" spans="5:35" x14ac:dyDescent="0.45">
      <c r="E57" t="s">
        <v>217</v>
      </c>
      <c r="G57" t="s">
        <v>162</v>
      </c>
      <c r="I57" t="s">
        <v>252</v>
      </c>
      <c r="J57" t="s">
        <v>300</v>
      </c>
      <c r="K57">
        <v>1.277606612294124E-2</v>
      </c>
      <c r="L57" t="s">
        <v>254</v>
      </c>
      <c r="N57" t="s">
        <v>422</v>
      </c>
      <c r="O57" t="s">
        <v>300</v>
      </c>
      <c r="P57">
        <v>7.0954673722035053E-3</v>
      </c>
      <c r="Q57" t="s">
        <v>254</v>
      </c>
      <c r="S57" t="s">
        <v>423</v>
      </c>
      <c r="T57" t="s">
        <v>300</v>
      </c>
      <c r="U57">
        <v>7.9151255246372714E-3</v>
      </c>
      <c r="V57" t="s">
        <v>254</v>
      </c>
      <c r="X57">
        <v>7.0776255707762558E-3</v>
      </c>
      <c r="Y57">
        <v>1.376989947708193E-2</v>
      </c>
      <c r="Z57" t="s">
        <v>300</v>
      </c>
      <c r="AA57" t="s">
        <v>25</v>
      </c>
      <c r="AC57" t="s">
        <v>22</v>
      </c>
      <c r="AD57" t="s">
        <v>300</v>
      </c>
      <c r="AE57">
        <v>8.5437061922753639E-3</v>
      </c>
      <c r="AG57" t="s">
        <v>97</v>
      </c>
      <c r="AH57" t="s">
        <v>300</v>
      </c>
      <c r="AI57">
        <v>7.7419278474670117E-2</v>
      </c>
    </row>
    <row r="58" spans="5:35" x14ac:dyDescent="0.45">
      <c r="E58" t="s">
        <v>218</v>
      </c>
      <c r="G58" t="s">
        <v>162</v>
      </c>
      <c r="I58" t="s">
        <v>252</v>
      </c>
      <c r="J58" t="s">
        <v>301</v>
      </c>
      <c r="K58">
        <v>3.0355034137326403E-3</v>
      </c>
      <c r="L58" t="s">
        <v>254</v>
      </c>
      <c r="N58" t="s">
        <v>422</v>
      </c>
      <c r="O58" t="s">
        <v>301</v>
      </c>
      <c r="P58">
        <v>2.2133431122873554E-2</v>
      </c>
      <c r="Q58" t="s">
        <v>254</v>
      </c>
      <c r="S58" t="s">
        <v>423</v>
      </c>
      <c r="T58" t="s">
        <v>301</v>
      </c>
      <c r="U58">
        <v>2.3731888608555678E-2</v>
      </c>
      <c r="V58" t="s">
        <v>254</v>
      </c>
      <c r="X58">
        <v>2.1232876712328767E-2</v>
      </c>
      <c r="Y58">
        <v>1.8702400782305319E-2</v>
      </c>
      <c r="Z58" t="s">
        <v>301</v>
      </c>
      <c r="AA58" t="s">
        <v>25</v>
      </c>
      <c r="AC58" t="s">
        <v>22</v>
      </c>
      <c r="AD58" t="s">
        <v>301</v>
      </c>
      <c r="AE58">
        <v>2.220997456358997E-2</v>
      </c>
      <c r="AG58" t="s">
        <v>97</v>
      </c>
      <c r="AH58" t="s">
        <v>301</v>
      </c>
      <c r="AI58">
        <v>0.19728339884766566</v>
      </c>
    </row>
    <row r="59" spans="5:35" x14ac:dyDescent="0.45">
      <c r="E59" t="s">
        <v>219</v>
      </c>
      <c r="G59" t="s">
        <v>166</v>
      </c>
      <c r="I59" t="s">
        <v>252</v>
      </c>
      <c r="J59" t="s">
        <v>302</v>
      </c>
      <c r="K59">
        <v>2.4944652964232262E-3</v>
      </c>
      <c r="L59" t="s">
        <v>254</v>
      </c>
      <c r="N59" t="s">
        <v>422</v>
      </c>
      <c r="O59" t="s">
        <v>302</v>
      </c>
      <c r="P59">
        <v>2.7681132667217855E-2</v>
      </c>
      <c r="Q59" t="s">
        <v>254</v>
      </c>
      <c r="S59" t="s">
        <v>423</v>
      </c>
      <c r="T59" t="s">
        <v>302</v>
      </c>
      <c r="U59">
        <v>2.7873206943640528E-2</v>
      </c>
      <c r="V59" t="s">
        <v>254</v>
      </c>
      <c r="X59">
        <v>2.3972602739726026E-2</v>
      </c>
      <c r="Y59">
        <v>9.4672202471222967E-3</v>
      </c>
      <c r="Z59" t="s">
        <v>302</v>
      </c>
      <c r="AA59" t="s">
        <v>25</v>
      </c>
      <c r="AC59" t="s">
        <v>22</v>
      </c>
      <c r="AD59" t="s">
        <v>302</v>
      </c>
      <c r="AE59">
        <v>1.9928596464069401E-2</v>
      </c>
      <c r="AG59" t="s">
        <v>97</v>
      </c>
      <c r="AH59" t="s">
        <v>302</v>
      </c>
      <c r="AI59">
        <v>0.27785577591947086</v>
      </c>
    </row>
    <row r="60" spans="5:35" x14ac:dyDescent="0.45">
      <c r="E60" t="s">
        <v>220</v>
      </c>
      <c r="G60" t="s">
        <v>166</v>
      </c>
      <c r="I60" t="s">
        <v>252</v>
      </c>
      <c r="J60" t="s">
        <v>303</v>
      </c>
      <c r="K60">
        <v>5.1159918965719819E-3</v>
      </c>
      <c r="L60" t="s">
        <v>254</v>
      </c>
      <c r="N60" t="s">
        <v>422</v>
      </c>
      <c r="O60" t="s">
        <v>303</v>
      </c>
      <c r="P60">
        <v>3.71907315514738E-3</v>
      </c>
      <c r="Q60" t="s">
        <v>254</v>
      </c>
      <c r="S60" t="s">
        <v>423</v>
      </c>
      <c r="T60" t="s">
        <v>303</v>
      </c>
      <c r="U60">
        <v>3.7231555410848502E-3</v>
      </c>
      <c r="V60" t="s">
        <v>254</v>
      </c>
      <c r="X60">
        <v>3.4246575342465752E-3</v>
      </c>
      <c r="Y60">
        <v>5.7181214727892006E-3</v>
      </c>
      <c r="Z60" t="s">
        <v>303</v>
      </c>
      <c r="AA60" t="s">
        <v>25</v>
      </c>
      <c r="AC60" t="s">
        <v>22</v>
      </c>
      <c r="AD60" t="s">
        <v>303</v>
      </c>
      <c r="AE60">
        <v>3.7946926128766649E-3</v>
      </c>
      <c r="AG60" t="s">
        <v>97</v>
      </c>
      <c r="AH60" t="s">
        <v>303</v>
      </c>
      <c r="AI60">
        <v>7.4794780557807972E-2</v>
      </c>
    </row>
    <row r="61" spans="5:35" x14ac:dyDescent="0.45">
      <c r="E61" t="s">
        <v>221</v>
      </c>
      <c r="G61" t="s">
        <v>166</v>
      </c>
      <c r="I61" t="s">
        <v>252</v>
      </c>
      <c r="J61" t="s">
        <v>304</v>
      </c>
      <c r="K61">
        <v>1.5772344864832602E-2</v>
      </c>
      <c r="L61" t="s">
        <v>254</v>
      </c>
      <c r="N61" t="s">
        <v>422</v>
      </c>
      <c r="O61" t="s">
        <v>304</v>
      </c>
      <c r="P61">
        <v>7.3237708627581222E-3</v>
      </c>
      <c r="Q61" t="s">
        <v>254</v>
      </c>
      <c r="S61" t="s">
        <v>423</v>
      </c>
      <c r="T61" t="s">
        <v>304</v>
      </c>
      <c r="U61">
        <v>7.2380689982444726E-3</v>
      </c>
      <c r="V61" t="s">
        <v>254</v>
      </c>
      <c r="X61">
        <v>6.8493150684931503E-3</v>
      </c>
      <c r="Y61">
        <v>8.7114337568058101E-3</v>
      </c>
      <c r="Z61" t="s">
        <v>304</v>
      </c>
      <c r="AA61" t="s">
        <v>25</v>
      </c>
      <c r="AC61" t="s">
        <v>22</v>
      </c>
      <c r="AD61" t="s">
        <v>304</v>
      </c>
      <c r="AE61">
        <v>7.7785013729748257E-3</v>
      </c>
      <c r="AG61" t="s">
        <v>97</v>
      </c>
      <c r="AH61" t="s">
        <v>304</v>
      </c>
      <c r="AI61">
        <v>7.330637502080628E-2</v>
      </c>
    </row>
    <row r="62" spans="5:35" x14ac:dyDescent="0.45">
      <c r="E62" t="s">
        <v>222</v>
      </c>
      <c r="G62" t="s">
        <v>166</v>
      </c>
      <c r="I62" t="s">
        <v>252</v>
      </c>
      <c r="J62" t="s">
        <v>305</v>
      </c>
      <c r="K62">
        <v>2.82518210893829E-2</v>
      </c>
      <c r="L62" t="s">
        <v>254</v>
      </c>
      <c r="N62" t="s">
        <v>422</v>
      </c>
      <c r="O62" t="s">
        <v>305</v>
      </c>
      <c r="P62">
        <v>1.0732055062834039E-2</v>
      </c>
      <c r="Q62" t="s">
        <v>254</v>
      </c>
      <c r="S62" t="s">
        <v>423</v>
      </c>
      <c r="T62" t="s">
        <v>305</v>
      </c>
      <c r="U62">
        <v>1.0485600995887521E-2</v>
      </c>
      <c r="V62" t="s">
        <v>254</v>
      </c>
      <c r="X62">
        <v>1.0273972602739725E-2</v>
      </c>
      <c r="Y62">
        <v>1.2719091067299805E-2</v>
      </c>
      <c r="Z62" t="s">
        <v>305</v>
      </c>
      <c r="AA62" t="s">
        <v>25</v>
      </c>
      <c r="AC62" t="s">
        <v>22</v>
      </c>
      <c r="AD62" t="s">
        <v>305</v>
      </c>
      <c r="AE62">
        <v>1.1520369217820046E-2</v>
      </c>
      <c r="AG62" t="s">
        <v>97</v>
      </c>
      <c r="AH62" t="s">
        <v>305</v>
      </c>
      <c r="AI62">
        <v>6.9585259375130937E-2</v>
      </c>
    </row>
    <row r="63" spans="5:35" x14ac:dyDescent="0.45">
      <c r="E63" t="s">
        <v>223</v>
      </c>
      <c r="G63" t="s">
        <v>166</v>
      </c>
      <c r="I63" t="s">
        <v>252</v>
      </c>
      <c r="J63" t="s">
        <v>306</v>
      </c>
      <c r="K63">
        <v>9.1413712135646995E-3</v>
      </c>
      <c r="L63" t="s">
        <v>254</v>
      </c>
      <c r="N63" t="s">
        <v>422</v>
      </c>
      <c r="O63" t="s">
        <v>306</v>
      </c>
      <c r="P63">
        <v>3.7518861291754814E-3</v>
      </c>
      <c r="Q63" t="s">
        <v>254</v>
      </c>
      <c r="S63" t="s">
        <v>423</v>
      </c>
      <c r="T63" t="s">
        <v>306</v>
      </c>
      <c r="U63">
        <v>3.5812458448567083E-3</v>
      </c>
      <c r="V63" t="s">
        <v>254</v>
      </c>
      <c r="X63">
        <v>3.4246575342465752E-3</v>
      </c>
      <c r="Y63">
        <v>4.4651070283171336E-3</v>
      </c>
      <c r="Z63" t="s">
        <v>306</v>
      </c>
      <c r="AA63" t="s">
        <v>25</v>
      </c>
      <c r="AC63" t="s">
        <v>22</v>
      </c>
      <c r="AD63" t="s">
        <v>306</v>
      </c>
      <c r="AE63">
        <v>3.799901444926237E-3</v>
      </c>
      <c r="AG63" t="s">
        <v>97</v>
      </c>
      <c r="AH63" t="s">
        <v>306</v>
      </c>
      <c r="AI63">
        <v>7.5531060198747779E-2</v>
      </c>
    </row>
    <row r="64" spans="5:35" x14ac:dyDescent="0.45">
      <c r="E64" t="s">
        <v>224</v>
      </c>
      <c r="G64" t="s">
        <v>166</v>
      </c>
      <c r="I64" t="s">
        <v>252</v>
      </c>
      <c r="J64" t="s">
        <v>307</v>
      </c>
      <c r="K64">
        <v>1.7140077917634298E-2</v>
      </c>
      <c r="L64" t="s">
        <v>254</v>
      </c>
      <c r="N64" t="s">
        <v>422</v>
      </c>
      <c r="O64" t="s">
        <v>307</v>
      </c>
      <c r="P64">
        <v>7.8351823959872668E-3</v>
      </c>
      <c r="Q64" t="s">
        <v>254</v>
      </c>
      <c r="S64" t="s">
        <v>423</v>
      </c>
      <c r="T64" t="s">
        <v>307</v>
      </c>
      <c r="U64">
        <v>7.4052957927088084E-3</v>
      </c>
      <c r="V64" t="s">
        <v>254</v>
      </c>
      <c r="X64">
        <v>6.8493150684931503E-3</v>
      </c>
      <c r="Y64">
        <v>9.6860005469507522E-3</v>
      </c>
      <c r="Z64" t="s">
        <v>307</v>
      </c>
      <c r="AA64" t="s">
        <v>25</v>
      </c>
      <c r="AC64" t="s">
        <v>22</v>
      </c>
      <c r="AD64" t="s">
        <v>307</v>
      </c>
      <c r="AE64">
        <v>7.5712502051860425E-3</v>
      </c>
      <c r="AG64" t="s">
        <v>97</v>
      </c>
      <c r="AH64" t="s">
        <v>307</v>
      </c>
      <c r="AI64">
        <v>7.7040330198470786E-2</v>
      </c>
    </row>
    <row r="65" spans="5:35" x14ac:dyDescent="0.45">
      <c r="E65" t="s">
        <v>225</v>
      </c>
      <c r="G65" t="s">
        <v>166</v>
      </c>
      <c r="I65" t="s">
        <v>252</v>
      </c>
      <c r="J65" t="s">
        <v>308</v>
      </c>
      <c r="K65">
        <v>1.2811795978889037E-2</v>
      </c>
      <c r="L65" t="s">
        <v>254</v>
      </c>
      <c r="N65" t="s">
        <v>422</v>
      </c>
      <c r="O65" t="s">
        <v>308</v>
      </c>
      <c r="P65">
        <v>7.8732075451391336E-3</v>
      </c>
      <c r="Q65" t="s">
        <v>254</v>
      </c>
      <c r="S65" t="s">
        <v>423</v>
      </c>
      <c r="T65" t="s">
        <v>308</v>
      </c>
      <c r="U65">
        <v>7.6548170311039939E-3</v>
      </c>
      <c r="V65" t="s">
        <v>254</v>
      </c>
      <c r="X65">
        <v>6.8493150684931503E-3</v>
      </c>
      <c r="Y65">
        <v>1.3325709171369611E-2</v>
      </c>
      <c r="Z65" t="s">
        <v>308</v>
      </c>
      <c r="AA65" t="s">
        <v>25</v>
      </c>
      <c r="AC65" t="s">
        <v>22</v>
      </c>
      <c r="AD65" t="s">
        <v>308</v>
      </c>
      <c r="AE65">
        <v>7.5876233773084813E-3</v>
      </c>
      <c r="AG65" t="s">
        <v>97</v>
      </c>
      <c r="AH65" t="s">
        <v>308</v>
      </c>
      <c r="AI65">
        <v>7.4017133247418876E-2</v>
      </c>
    </row>
    <row r="66" spans="5:35" x14ac:dyDescent="0.45">
      <c r="E66" t="s">
        <v>226</v>
      </c>
      <c r="G66" t="s">
        <v>166</v>
      </c>
      <c r="I66" t="s">
        <v>252</v>
      </c>
      <c r="J66" t="s">
        <v>309</v>
      </c>
      <c r="K66">
        <v>4.9040794776632072E-3</v>
      </c>
      <c r="L66" t="s">
        <v>254</v>
      </c>
      <c r="N66" t="s">
        <v>422</v>
      </c>
      <c r="O66" t="s">
        <v>309</v>
      </c>
      <c r="P66">
        <v>2.3314738567736269E-2</v>
      </c>
      <c r="Q66" t="s">
        <v>254</v>
      </c>
      <c r="S66" t="s">
        <v>423</v>
      </c>
      <c r="T66" t="s">
        <v>309</v>
      </c>
      <c r="U66">
        <v>2.3608513409972137E-2</v>
      </c>
      <c r="V66" t="s">
        <v>254</v>
      </c>
      <c r="X66">
        <v>2.0547945205479451E-2</v>
      </c>
      <c r="Y66">
        <v>1.8099097531263209E-2</v>
      </c>
      <c r="Z66" t="s">
        <v>309</v>
      </c>
      <c r="AA66" t="s">
        <v>25</v>
      </c>
      <c r="AC66" t="s">
        <v>22</v>
      </c>
      <c r="AD66" t="s">
        <v>309</v>
      </c>
      <c r="AE66">
        <v>1.9725011261502445E-2</v>
      </c>
      <c r="AG66" t="s">
        <v>97</v>
      </c>
      <c r="AH66" t="s">
        <v>309</v>
      </c>
      <c r="AI66">
        <v>0.17311711242521777</v>
      </c>
    </row>
    <row r="67" spans="5:35" x14ac:dyDescent="0.45">
      <c r="E67" t="s">
        <v>227</v>
      </c>
      <c r="G67" t="s">
        <v>166</v>
      </c>
      <c r="I67" t="s">
        <v>252</v>
      </c>
      <c r="J67" t="s">
        <v>310</v>
      </c>
      <c r="K67">
        <v>3.9222058631166326E-3</v>
      </c>
      <c r="L67" t="s">
        <v>254</v>
      </c>
      <c r="N67" t="s">
        <v>422</v>
      </c>
      <c r="O67" t="s">
        <v>310</v>
      </c>
      <c r="P67">
        <v>2.3932727955689952E-2</v>
      </c>
      <c r="Q67" t="s">
        <v>254</v>
      </c>
      <c r="S67" t="s">
        <v>423</v>
      </c>
      <c r="T67" t="s">
        <v>310</v>
      </c>
      <c r="U67">
        <v>2.4857613349631484E-2</v>
      </c>
      <c r="V67" t="s">
        <v>254</v>
      </c>
      <c r="X67">
        <v>2.4771689497716895E-2</v>
      </c>
      <c r="Y67">
        <v>9.7827942553597048E-3</v>
      </c>
      <c r="Z67" t="s">
        <v>310</v>
      </c>
      <c r="AA67" t="s">
        <v>25</v>
      </c>
      <c r="AC67" t="s">
        <v>22</v>
      </c>
      <c r="AD67" t="s">
        <v>310</v>
      </c>
      <c r="AE67">
        <v>1.9409024398886501E-2</v>
      </c>
      <c r="AG67" t="s">
        <v>97</v>
      </c>
      <c r="AH67" t="s">
        <v>310</v>
      </c>
      <c r="AI67">
        <v>0.27974912617159808</v>
      </c>
    </row>
    <row r="68" spans="5:35" x14ac:dyDescent="0.45">
      <c r="E68" t="s">
        <v>228</v>
      </c>
      <c r="G68" t="s">
        <v>166</v>
      </c>
      <c r="I68" t="s">
        <v>252</v>
      </c>
      <c r="J68" t="s">
        <v>311</v>
      </c>
      <c r="K68">
        <v>5.5713094884870364E-3</v>
      </c>
      <c r="L68" t="s">
        <v>254</v>
      </c>
      <c r="N68" t="s">
        <v>422</v>
      </c>
      <c r="O68" t="s">
        <v>311</v>
      </c>
      <c r="P68">
        <v>3.3590701295483209E-3</v>
      </c>
      <c r="Q68" t="s">
        <v>254</v>
      </c>
      <c r="S68" t="s">
        <v>423</v>
      </c>
      <c r="T68" t="s">
        <v>311</v>
      </c>
      <c r="U68">
        <v>3.4001965120895573E-3</v>
      </c>
      <c r="V68" t="s">
        <v>254</v>
      </c>
      <c r="X68">
        <v>3.5388127853881279E-3</v>
      </c>
      <c r="Y68">
        <v>5.9087255218821738E-3</v>
      </c>
      <c r="Z68" t="s">
        <v>311</v>
      </c>
      <c r="AA68" t="s">
        <v>25</v>
      </c>
      <c r="AC68" t="s">
        <v>22</v>
      </c>
      <c r="AD68" t="s">
        <v>311</v>
      </c>
      <c r="AE68">
        <v>3.7242489011812797E-3</v>
      </c>
      <c r="AG68" t="s">
        <v>97</v>
      </c>
      <c r="AH68" t="s">
        <v>311</v>
      </c>
      <c r="AI68">
        <v>7.6316584002711574E-2</v>
      </c>
    </row>
    <row r="69" spans="5:35" x14ac:dyDescent="0.45">
      <c r="E69" t="s">
        <v>229</v>
      </c>
      <c r="G69" t="s">
        <v>166</v>
      </c>
      <c r="I69" t="s">
        <v>252</v>
      </c>
      <c r="J69" t="s">
        <v>312</v>
      </c>
      <c r="K69">
        <v>1.6295233137300507E-2</v>
      </c>
      <c r="L69" t="s">
        <v>254</v>
      </c>
      <c r="N69" t="s">
        <v>422</v>
      </c>
      <c r="O69" t="s">
        <v>312</v>
      </c>
      <c r="P69">
        <v>6.8263302317683834E-3</v>
      </c>
      <c r="Q69" t="s">
        <v>254</v>
      </c>
      <c r="S69" t="s">
        <v>423</v>
      </c>
      <c r="T69" t="s">
        <v>312</v>
      </c>
      <c r="U69">
        <v>6.6316965944845218E-3</v>
      </c>
      <c r="V69" t="s">
        <v>254</v>
      </c>
      <c r="X69">
        <v>7.0776255707762558E-3</v>
      </c>
      <c r="Y69">
        <v>9.0018148820326695E-3</v>
      </c>
      <c r="Z69" t="s">
        <v>312</v>
      </c>
      <c r="AA69" t="s">
        <v>25</v>
      </c>
      <c r="AC69" t="s">
        <v>22</v>
      </c>
      <c r="AD69" t="s">
        <v>312</v>
      </c>
      <c r="AE69">
        <v>7.6823812655839848E-3</v>
      </c>
      <c r="AG69" t="s">
        <v>97</v>
      </c>
      <c r="AH69" t="s">
        <v>312</v>
      </c>
      <c r="AI69">
        <v>7.0212854701301453E-2</v>
      </c>
    </row>
    <row r="70" spans="5:35" x14ac:dyDescent="0.45">
      <c r="E70" t="s">
        <v>230</v>
      </c>
      <c r="G70" t="s">
        <v>166</v>
      </c>
      <c r="I70" t="s">
        <v>252</v>
      </c>
      <c r="J70" t="s">
        <v>313</v>
      </c>
      <c r="K70">
        <v>2.9846300782884701E-2</v>
      </c>
      <c r="L70" t="s">
        <v>254</v>
      </c>
      <c r="N70" t="s">
        <v>422</v>
      </c>
      <c r="O70" t="s">
        <v>313</v>
      </c>
      <c r="P70">
        <v>9.9462914751015236E-3</v>
      </c>
      <c r="Q70" t="s">
        <v>254</v>
      </c>
      <c r="S70" t="s">
        <v>423</v>
      </c>
      <c r="T70" t="s">
        <v>313</v>
      </c>
      <c r="U70">
        <v>9.6362021595632567E-3</v>
      </c>
      <c r="V70" t="s">
        <v>254</v>
      </c>
      <c r="X70">
        <v>1.0616438356164383E-2</v>
      </c>
      <c r="Y70">
        <v>1.3143060769543132E-2</v>
      </c>
      <c r="Z70" t="s">
        <v>313</v>
      </c>
      <c r="AA70" t="s">
        <v>25</v>
      </c>
      <c r="AC70" t="s">
        <v>22</v>
      </c>
      <c r="AD70" t="s">
        <v>313</v>
      </c>
      <c r="AE70">
        <v>1.1450052443168693E-2</v>
      </c>
      <c r="AG70" t="s">
        <v>97</v>
      </c>
      <c r="AH70" t="s">
        <v>313</v>
      </c>
      <c r="AI70">
        <v>7.1588137946264396E-2</v>
      </c>
    </row>
    <row r="71" spans="5:35" x14ac:dyDescent="0.45">
      <c r="E71" t="s">
        <v>231</v>
      </c>
      <c r="G71" t="s">
        <v>166</v>
      </c>
      <c r="I71" t="s">
        <v>252</v>
      </c>
      <c r="J71" t="s">
        <v>314</v>
      </c>
      <c r="K71">
        <v>9.8879453029211001E-3</v>
      </c>
      <c r="L71" t="s">
        <v>254</v>
      </c>
      <c r="N71" t="s">
        <v>422</v>
      </c>
      <c r="O71" t="s">
        <v>314</v>
      </c>
      <c r="P71">
        <v>3.5621078218608434E-3</v>
      </c>
      <c r="Q71" t="s">
        <v>254</v>
      </c>
      <c r="S71" t="s">
        <v>423</v>
      </c>
      <c r="T71" t="s">
        <v>314</v>
      </c>
      <c r="U71">
        <v>3.3560104589874231E-3</v>
      </c>
      <c r="V71" t="s">
        <v>254</v>
      </c>
      <c r="X71">
        <v>3.5388127853881279E-3</v>
      </c>
      <c r="Y71">
        <v>4.6139439292610376E-3</v>
      </c>
      <c r="Z71" t="s">
        <v>314</v>
      </c>
      <c r="AA71" t="s">
        <v>25</v>
      </c>
      <c r="AC71" t="s">
        <v>22</v>
      </c>
      <c r="AD71" t="s">
        <v>314</v>
      </c>
      <c r="AE71">
        <v>3.7770122985847491E-3</v>
      </c>
      <c r="AG71" t="s">
        <v>97</v>
      </c>
      <c r="AH71" t="s">
        <v>314</v>
      </c>
      <c r="AI71">
        <v>7.4180179565778825E-2</v>
      </c>
    </row>
    <row r="72" spans="5:35" x14ac:dyDescent="0.45">
      <c r="E72" t="s">
        <v>232</v>
      </c>
      <c r="G72" t="s">
        <v>166</v>
      </c>
      <c r="I72" t="s">
        <v>252</v>
      </c>
      <c r="J72" t="s">
        <v>315</v>
      </c>
      <c r="K72">
        <v>1.8256244609755699E-2</v>
      </c>
      <c r="L72" t="s">
        <v>254</v>
      </c>
      <c r="N72" t="s">
        <v>422</v>
      </c>
      <c r="O72" t="s">
        <v>315</v>
      </c>
      <c r="P72">
        <v>7.3835405724859832E-3</v>
      </c>
      <c r="Q72" t="s">
        <v>254</v>
      </c>
      <c r="S72" t="s">
        <v>423</v>
      </c>
      <c r="T72" t="s">
        <v>315</v>
      </c>
      <c r="U72">
        <v>7.0099852833006944E-3</v>
      </c>
      <c r="V72" t="s">
        <v>254</v>
      </c>
      <c r="X72">
        <v>7.0776255707762558E-3</v>
      </c>
      <c r="Y72">
        <v>1.0008867231849112E-2</v>
      </c>
      <c r="Z72" t="s">
        <v>315</v>
      </c>
      <c r="AA72" t="s">
        <v>25</v>
      </c>
      <c r="AC72" t="s">
        <v>22</v>
      </c>
      <c r="AD72" t="s">
        <v>315</v>
      </c>
      <c r="AE72">
        <v>7.5090731692856365E-3</v>
      </c>
      <c r="AG72" t="s">
        <v>97</v>
      </c>
      <c r="AH72" t="s">
        <v>315</v>
      </c>
      <c r="AI72">
        <v>7.7659879303386026E-2</v>
      </c>
    </row>
    <row r="73" spans="5:35" x14ac:dyDescent="0.45">
      <c r="E73" t="s">
        <v>233</v>
      </c>
      <c r="G73" t="s">
        <v>166</v>
      </c>
      <c r="I73" t="s">
        <v>252</v>
      </c>
      <c r="J73" t="s">
        <v>316</v>
      </c>
      <c r="K73">
        <v>1.3627614256399663E-2</v>
      </c>
      <c r="L73" t="s">
        <v>254</v>
      </c>
      <c r="N73" t="s">
        <v>422</v>
      </c>
      <c r="O73" t="s">
        <v>316</v>
      </c>
      <c r="P73">
        <v>7.313454209609078E-3</v>
      </c>
      <c r="Q73" t="s">
        <v>254</v>
      </c>
      <c r="S73" t="s">
        <v>423</v>
      </c>
      <c r="T73" t="s">
        <v>316</v>
      </c>
      <c r="U73">
        <v>7.2960305846112052E-3</v>
      </c>
      <c r="V73" t="s">
        <v>254</v>
      </c>
      <c r="X73">
        <v>7.0776255707762558E-3</v>
      </c>
      <c r="Y73">
        <v>1.376989947708193E-2</v>
      </c>
      <c r="Z73" t="s">
        <v>316</v>
      </c>
      <c r="AA73" t="s">
        <v>25</v>
      </c>
      <c r="AC73" t="s">
        <v>22</v>
      </c>
      <c r="AD73" t="s">
        <v>316</v>
      </c>
      <c r="AE73">
        <v>7.5188029709295353E-3</v>
      </c>
      <c r="AG73" t="s">
        <v>97</v>
      </c>
      <c r="AH73" t="s">
        <v>316</v>
      </c>
      <c r="AI73">
        <v>7.6470251751308949E-2</v>
      </c>
    </row>
    <row r="74" spans="5:35" x14ac:dyDescent="0.45">
      <c r="E74" t="s">
        <v>234</v>
      </c>
      <c r="G74" t="s">
        <v>166</v>
      </c>
      <c r="I74" t="s">
        <v>252</v>
      </c>
      <c r="J74" t="s">
        <v>317</v>
      </c>
      <c r="K74">
        <v>6.5986614156880851E-3</v>
      </c>
      <c r="L74" t="s">
        <v>254</v>
      </c>
      <c r="N74" t="s">
        <v>422</v>
      </c>
      <c r="O74" t="s">
        <v>317</v>
      </c>
      <c r="P74">
        <v>2.1244541293275056E-2</v>
      </c>
      <c r="Q74" t="s">
        <v>254</v>
      </c>
      <c r="S74" t="s">
        <v>423</v>
      </c>
      <c r="T74" t="s">
        <v>317</v>
      </c>
      <c r="U74">
        <v>2.2025293669465699E-2</v>
      </c>
      <c r="V74" t="s">
        <v>254</v>
      </c>
      <c r="X74">
        <v>2.1232876712328767E-2</v>
      </c>
      <c r="Y74">
        <v>1.8702400782305319E-2</v>
      </c>
      <c r="Z74" t="s">
        <v>317</v>
      </c>
      <c r="AA74" t="s">
        <v>25</v>
      </c>
      <c r="AC74" t="s">
        <v>22</v>
      </c>
      <c r="AD74" t="s">
        <v>317</v>
      </c>
      <c r="AE74">
        <v>1.981698006356214E-2</v>
      </c>
      <c r="AG74" t="s">
        <v>97</v>
      </c>
      <c r="AH74" t="s">
        <v>317</v>
      </c>
      <c r="AI74">
        <v>0.16938093389350528</v>
      </c>
    </row>
    <row r="75" spans="5:35" x14ac:dyDescent="0.45">
      <c r="E75" t="s">
        <v>235</v>
      </c>
      <c r="G75" t="s">
        <v>166</v>
      </c>
      <c r="I75" t="s">
        <v>252</v>
      </c>
      <c r="J75" t="s">
        <v>318</v>
      </c>
      <c r="K75">
        <v>5.6150211014440498E-3</v>
      </c>
      <c r="L75" t="s">
        <v>254</v>
      </c>
      <c r="N75" t="s">
        <v>422</v>
      </c>
      <c r="O75" t="s">
        <v>318</v>
      </c>
      <c r="P75">
        <v>2.3758413380580559E-2</v>
      </c>
      <c r="Q75" t="s">
        <v>254</v>
      </c>
      <c r="S75" t="s">
        <v>423</v>
      </c>
      <c r="T75" t="s">
        <v>318</v>
      </c>
      <c r="U75">
        <v>2.5129735917864913E-2</v>
      </c>
      <c r="V75" t="s">
        <v>254</v>
      </c>
      <c r="X75">
        <v>2.3972602739726026E-2</v>
      </c>
      <c r="Y75">
        <v>9.4672202471222967E-3</v>
      </c>
      <c r="Z75" t="s">
        <v>318</v>
      </c>
      <c r="AA75" t="s">
        <v>25</v>
      </c>
      <c r="AC75" t="s">
        <v>22</v>
      </c>
      <c r="AD75" t="s">
        <v>318</v>
      </c>
      <c r="AE75">
        <v>1.7488610268034464E-2</v>
      </c>
      <c r="AG75" t="s">
        <v>97</v>
      </c>
      <c r="AH75" t="s">
        <v>318</v>
      </c>
      <c r="AI75">
        <v>0.24991961882631952</v>
      </c>
    </row>
    <row r="76" spans="5:35" x14ac:dyDescent="0.45">
      <c r="E76" t="s">
        <v>236</v>
      </c>
      <c r="G76" t="s">
        <v>166</v>
      </c>
      <c r="I76" t="s">
        <v>252</v>
      </c>
      <c r="J76" t="s">
        <v>319</v>
      </c>
      <c r="K76">
        <v>6.1841470682526736E-3</v>
      </c>
      <c r="L76" t="s">
        <v>254</v>
      </c>
      <c r="N76" t="s">
        <v>422</v>
      </c>
      <c r="O76" t="s">
        <v>319</v>
      </c>
      <c r="P76">
        <v>3.1241827884695363E-3</v>
      </c>
      <c r="Q76" t="s">
        <v>254</v>
      </c>
      <c r="S76" t="s">
        <v>423</v>
      </c>
      <c r="T76" t="s">
        <v>319</v>
      </c>
      <c r="U76">
        <v>3.3597758328187555E-3</v>
      </c>
      <c r="V76" t="s">
        <v>254</v>
      </c>
      <c r="X76">
        <v>3.4246575342465752E-3</v>
      </c>
      <c r="Y76">
        <v>5.7181214727892006E-3</v>
      </c>
      <c r="Z76" t="s">
        <v>319</v>
      </c>
      <c r="AA76" t="s">
        <v>25</v>
      </c>
      <c r="AC76" t="s">
        <v>22</v>
      </c>
      <c r="AD76" t="s">
        <v>319</v>
      </c>
      <c r="AE76">
        <v>3.3156576031517526E-3</v>
      </c>
      <c r="AG76" t="s">
        <v>97</v>
      </c>
      <c r="AH76" t="s">
        <v>319</v>
      </c>
      <c r="AI76">
        <v>8.5906828824655834E-2</v>
      </c>
    </row>
    <row r="77" spans="5:35" x14ac:dyDescent="0.45">
      <c r="E77" t="s">
        <v>237</v>
      </c>
      <c r="G77" t="s">
        <v>166</v>
      </c>
      <c r="I77" t="s">
        <v>252</v>
      </c>
      <c r="J77" t="s">
        <v>320</v>
      </c>
      <c r="K77">
        <v>1.7257027347523102E-2</v>
      </c>
      <c r="L77" t="s">
        <v>254</v>
      </c>
      <c r="N77" t="s">
        <v>422</v>
      </c>
      <c r="O77" t="s">
        <v>320</v>
      </c>
      <c r="P77">
        <v>6.1932716537798594E-3</v>
      </c>
      <c r="Q77" t="s">
        <v>254</v>
      </c>
      <c r="S77" t="s">
        <v>423</v>
      </c>
      <c r="T77" t="s">
        <v>320</v>
      </c>
      <c r="U77">
        <v>6.4362456864020257E-3</v>
      </c>
      <c r="V77" t="s">
        <v>254</v>
      </c>
      <c r="X77">
        <v>6.8493150684931503E-3</v>
      </c>
      <c r="Y77">
        <v>8.7114337568058101E-3</v>
      </c>
      <c r="Z77" t="s">
        <v>320</v>
      </c>
      <c r="AA77" t="s">
        <v>25</v>
      </c>
      <c r="AC77" t="s">
        <v>22</v>
      </c>
      <c r="AD77" t="s">
        <v>320</v>
      </c>
      <c r="AE77">
        <v>7.054458014878375E-3</v>
      </c>
      <c r="AG77" t="s">
        <v>97</v>
      </c>
      <c r="AH77" t="s">
        <v>320</v>
      </c>
      <c r="AI77">
        <v>7.949769795769468E-2</v>
      </c>
    </row>
    <row r="78" spans="5:35" x14ac:dyDescent="0.45">
      <c r="E78" t="s">
        <v>238</v>
      </c>
      <c r="G78" t="s">
        <v>166</v>
      </c>
      <c r="I78" t="s">
        <v>252</v>
      </c>
      <c r="J78" t="s">
        <v>321</v>
      </c>
      <c r="K78">
        <v>3.1032577269899102E-2</v>
      </c>
      <c r="L78" t="s">
        <v>254</v>
      </c>
      <c r="N78" t="s">
        <v>422</v>
      </c>
      <c r="O78" t="s">
        <v>321</v>
      </c>
      <c r="P78">
        <v>9.1473478212649451E-3</v>
      </c>
      <c r="Q78" t="s">
        <v>254</v>
      </c>
      <c r="S78" t="s">
        <v>423</v>
      </c>
      <c r="T78" t="s">
        <v>321</v>
      </c>
      <c r="U78">
        <v>9.2189883341408773E-3</v>
      </c>
      <c r="V78" t="s">
        <v>254</v>
      </c>
      <c r="X78">
        <v>1.0273972602739725E-2</v>
      </c>
      <c r="Y78">
        <v>1.2719091067299805E-2</v>
      </c>
      <c r="Z78" t="s">
        <v>321</v>
      </c>
      <c r="AA78" t="s">
        <v>25</v>
      </c>
      <c r="AC78" t="s">
        <v>22</v>
      </c>
      <c r="AD78" t="s">
        <v>321</v>
      </c>
      <c r="AE78">
        <v>1.061967671959025E-2</v>
      </c>
      <c r="AG78" t="s">
        <v>97</v>
      </c>
      <c r="AH78" t="s">
        <v>321</v>
      </c>
      <c r="AI78">
        <v>9.0232011743215157E-2</v>
      </c>
    </row>
    <row r="79" spans="5:35" x14ac:dyDescent="0.45">
      <c r="E79" t="s">
        <v>239</v>
      </c>
      <c r="G79" t="s">
        <v>166</v>
      </c>
      <c r="I79" t="s">
        <v>252</v>
      </c>
      <c r="J79" t="s">
        <v>322</v>
      </c>
      <c r="K79">
        <v>1.0379484394511199E-2</v>
      </c>
      <c r="L79" t="s">
        <v>254</v>
      </c>
      <c r="N79" t="s">
        <v>422</v>
      </c>
      <c r="O79" t="s">
        <v>322</v>
      </c>
      <c r="P79">
        <v>3.3384784267306532E-3</v>
      </c>
      <c r="Q79" t="s">
        <v>254</v>
      </c>
      <c r="S79" t="s">
        <v>423</v>
      </c>
      <c r="T79" t="s">
        <v>322</v>
      </c>
      <c r="U79">
        <v>3.3337340186684571E-3</v>
      </c>
      <c r="V79" t="s">
        <v>254</v>
      </c>
      <c r="X79">
        <v>3.4246575342465752E-3</v>
      </c>
      <c r="Y79">
        <v>4.4651070283171336E-3</v>
      </c>
      <c r="Z79" t="s">
        <v>322</v>
      </c>
      <c r="AA79" t="s">
        <v>25</v>
      </c>
      <c r="AC79" t="s">
        <v>22</v>
      </c>
      <c r="AD79" t="s">
        <v>322</v>
      </c>
      <c r="AE79">
        <v>3.5121893679205046E-3</v>
      </c>
      <c r="AG79" t="s">
        <v>97</v>
      </c>
      <c r="AH79" t="s">
        <v>322</v>
      </c>
      <c r="AI79">
        <v>9.4368775197642751E-2</v>
      </c>
    </row>
    <row r="80" spans="5:35" x14ac:dyDescent="0.45">
      <c r="E80" t="s">
        <v>240</v>
      </c>
      <c r="G80" t="s">
        <v>166</v>
      </c>
      <c r="I80" t="s">
        <v>252</v>
      </c>
      <c r="J80" t="s">
        <v>323</v>
      </c>
      <c r="K80">
        <v>1.93108739122206E-2</v>
      </c>
      <c r="L80" t="s">
        <v>254</v>
      </c>
      <c r="N80" t="s">
        <v>422</v>
      </c>
      <c r="O80" t="s">
        <v>323</v>
      </c>
      <c r="P80">
        <v>7.031500255929561E-3</v>
      </c>
      <c r="Q80" t="s">
        <v>254</v>
      </c>
      <c r="S80" t="s">
        <v>423</v>
      </c>
      <c r="T80" t="s">
        <v>323</v>
      </c>
      <c r="U80">
        <v>7.0747397713290926E-3</v>
      </c>
      <c r="V80" t="s">
        <v>254</v>
      </c>
      <c r="X80">
        <v>6.8493150684931503E-3</v>
      </c>
      <c r="Y80">
        <v>9.6860005469507522E-3</v>
      </c>
      <c r="Z80" t="s">
        <v>323</v>
      </c>
      <c r="AA80" t="s">
        <v>25</v>
      </c>
      <c r="AC80" t="s">
        <v>22</v>
      </c>
      <c r="AD80" t="s">
        <v>323</v>
      </c>
      <c r="AE80">
        <v>6.960911278074502E-3</v>
      </c>
      <c r="AG80" t="s">
        <v>97</v>
      </c>
      <c r="AH80" t="s">
        <v>323</v>
      </c>
      <c r="AI80">
        <v>9.1878563521638146E-2</v>
      </c>
    </row>
    <row r="81" spans="5:35" x14ac:dyDescent="0.45">
      <c r="E81" t="s">
        <v>241</v>
      </c>
      <c r="G81" t="s">
        <v>166</v>
      </c>
      <c r="I81" t="s">
        <v>252</v>
      </c>
      <c r="J81" t="s">
        <v>324</v>
      </c>
      <c r="K81">
        <v>1.5121568962202086E-2</v>
      </c>
      <c r="L81" t="s">
        <v>254</v>
      </c>
      <c r="N81" t="s">
        <v>422</v>
      </c>
      <c r="O81" t="s">
        <v>324</v>
      </c>
      <c r="P81">
        <v>7.1879336505591826E-3</v>
      </c>
      <c r="Q81" t="s">
        <v>254</v>
      </c>
      <c r="S81" t="s">
        <v>423</v>
      </c>
      <c r="T81" t="s">
        <v>324</v>
      </c>
      <c r="U81">
        <v>7.2392246503869464E-3</v>
      </c>
      <c r="V81" t="s">
        <v>254</v>
      </c>
      <c r="X81">
        <v>6.8493150684931503E-3</v>
      </c>
      <c r="Y81">
        <v>1.3325709171369611E-2</v>
      </c>
      <c r="Z81" t="s">
        <v>324</v>
      </c>
      <c r="AA81" t="s">
        <v>25</v>
      </c>
      <c r="AC81" t="s">
        <v>22</v>
      </c>
      <c r="AD81" t="s">
        <v>324</v>
      </c>
      <c r="AE81">
        <v>6.9293565468561812E-3</v>
      </c>
      <c r="AG81" t="s">
        <v>97</v>
      </c>
      <c r="AH81" t="s">
        <v>324</v>
      </c>
      <c r="AI81">
        <v>9.0870610702260324E-2</v>
      </c>
    </row>
    <row r="82" spans="5:35" x14ac:dyDescent="0.45">
      <c r="E82" t="s">
        <v>242</v>
      </c>
      <c r="G82" t="s">
        <v>166</v>
      </c>
      <c r="I82" t="s">
        <v>252</v>
      </c>
      <c r="J82" t="s">
        <v>325</v>
      </c>
      <c r="K82">
        <v>8.5278993784270677E-3</v>
      </c>
      <c r="L82" t="s">
        <v>254</v>
      </c>
      <c r="N82" t="s">
        <v>422</v>
      </c>
      <c r="O82" t="s">
        <v>325</v>
      </c>
      <c r="P82">
        <v>2.1214173006225495E-2</v>
      </c>
      <c r="Q82" t="s">
        <v>254</v>
      </c>
      <c r="S82" t="s">
        <v>423</v>
      </c>
      <c r="T82" t="s">
        <v>325</v>
      </c>
      <c r="U82">
        <v>2.2072502763051959E-2</v>
      </c>
      <c r="V82" t="s">
        <v>254</v>
      </c>
      <c r="X82">
        <v>2.0547945205479451E-2</v>
      </c>
      <c r="Y82">
        <v>1.8099097531263209E-2</v>
      </c>
      <c r="Z82" t="s">
        <v>325</v>
      </c>
      <c r="AA82" t="s">
        <v>25</v>
      </c>
      <c r="AC82" t="s">
        <v>22</v>
      </c>
      <c r="AD82" t="s">
        <v>325</v>
      </c>
      <c r="AE82">
        <v>1.853526384323095E-2</v>
      </c>
      <c r="AG82" t="s">
        <v>97</v>
      </c>
      <c r="AH82" t="s">
        <v>325</v>
      </c>
      <c r="AI82">
        <v>0.17560791662970909</v>
      </c>
    </row>
    <row r="83" spans="5:35" x14ac:dyDescent="0.45">
      <c r="E83" t="s">
        <v>243</v>
      </c>
      <c r="G83" t="s">
        <v>155</v>
      </c>
      <c r="I83" t="s">
        <v>252</v>
      </c>
      <c r="J83" t="s">
        <v>326</v>
      </c>
      <c r="K83">
        <v>5.6907262752047107E-3</v>
      </c>
      <c r="L83" t="s">
        <v>254</v>
      </c>
      <c r="N83" t="s">
        <v>422</v>
      </c>
      <c r="O83" t="s">
        <v>326</v>
      </c>
      <c r="P83">
        <v>1.8201165978808966E-2</v>
      </c>
      <c r="Q83" t="s">
        <v>254</v>
      </c>
      <c r="S83" t="s">
        <v>423</v>
      </c>
      <c r="T83" t="s">
        <v>326</v>
      </c>
      <c r="U83">
        <v>1.887990473979247E-2</v>
      </c>
      <c r="V83" t="s">
        <v>254</v>
      </c>
      <c r="X83">
        <v>2.4771689497716895E-2</v>
      </c>
      <c r="Y83">
        <v>9.7827942553597048E-3</v>
      </c>
      <c r="Z83" t="s">
        <v>326</v>
      </c>
      <c r="AA83" t="s">
        <v>25</v>
      </c>
      <c r="AC83" t="s">
        <v>22</v>
      </c>
      <c r="AD83" t="s">
        <v>326</v>
      </c>
      <c r="AE83">
        <v>1.8858161963641967E-2</v>
      </c>
      <c r="AG83" t="s">
        <v>97</v>
      </c>
      <c r="AH83" t="s">
        <v>326</v>
      </c>
      <c r="AI83">
        <v>0.24207174233774098</v>
      </c>
    </row>
    <row r="84" spans="5:35" x14ac:dyDescent="0.45">
      <c r="E84" t="s">
        <v>244</v>
      </c>
      <c r="G84" t="s">
        <v>155</v>
      </c>
      <c r="I84" t="s">
        <v>252</v>
      </c>
      <c r="J84" t="s">
        <v>327</v>
      </c>
      <c r="K84">
        <v>7.55060257483479E-3</v>
      </c>
      <c r="L84" t="s">
        <v>254</v>
      </c>
      <c r="N84" t="s">
        <v>422</v>
      </c>
      <c r="O84" t="s">
        <v>327</v>
      </c>
      <c r="P84">
        <v>2.1271741024613093E-3</v>
      </c>
      <c r="Q84" t="s">
        <v>254</v>
      </c>
      <c r="S84" t="s">
        <v>423</v>
      </c>
      <c r="T84" t="s">
        <v>327</v>
      </c>
      <c r="U84">
        <v>2.7065679260956034E-3</v>
      </c>
      <c r="V84" t="s">
        <v>254</v>
      </c>
      <c r="X84">
        <v>3.5388127853881279E-3</v>
      </c>
      <c r="Y84">
        <v>5.9087255218821738E-3</v>
      </c>
      <c r="Z84" t="s">
        <v>327</v>
      </c>
      <c r="AA84" t="s">
        <v>25</v>
      </c>
      <c r="AC84" t="s">
        <v>22</v>
      </c>
      <c r="AD84" t="s">
        <v>327</v>
      </c>
      <c r="AE84">
        <v>3.5128636638608918E-3</v>
      </c>
      <c r="AG84" t="s">
        <v>97</v>
      </c>
      <c r="AH84" t="s">
        <v>327</v>
      </c>
      <c r="AI84">
        <v>8.4097695100208369E-2</v>
      </c>
    </row>
    <row r="85" spans="5:35" x14ac:dyDescent="0.45">
      <c r="E85" t="s">
        <v>245</v>
      </c>
      <c r="G85" t="s">
        <v>155</v>
      </c>
      <c r="I85" t="s">
        <v>252</v>
      </c>
      <c r="J85" t="s">
        <v>328</v>
      </c>
      <c r="K85">
        <v>2.0721789575153613E-2</v>
      </c>
      <c r="L85" t="s">
        <v>254</v>
      </c>
      <c r="N85" t="s">
        <v>422</v>
      </c>
      <c r="O85" t="s">
        <v>328</v>
      </c>
      <c r="P85">
        <v>4.1715642512792578E-3</v>
      </c>
      <c r="Q85" t="s">
        <v>254</v>
      </c>
      <c r="S85" t="s">
        <v>423</v>
      </c>
      <c r="T85" t="s">
        <v>328</v>
      </c>
      <c r="U85">
        <v>5.4643547861619023E-3</v>
      </c>
      <c r="V85" t="s">
        <v>254</v>
      </c>
      <c r="X85">
        <v>7.0776255707762558E-3</v>
      </c>
      <c r="Y85">
        <v>9.0018148820326695E-3</v>
      </c>
      <c r="Z85" t="s">
        <v>328</v>
      </c>
      <c r="AA85" t="s">
        <v>25</v>
      </c>
      <c r="AC85" t="s">
        <v>22</v>
      </c>
      <c r="AD85" t="s">
        <v>328</v>
      </c>
      <c r="AE85">
        <v>7.4054069461412407E-3</v>
      </c>
      <c r="AG85" t="s">
        <v>97</v>
      </c>
      <c r="AH85" t="s">
        <v>328</v>
      </c>
      <c r="AI85">
        <v>8.0283624945774568E-2</v>
      </c>
    </row>
    <row r="86" spans="5:35" x14ac:dyDescent="0.45">
      <c r="E86" t="s">
        <v>246</v>
      </c>
      <c r="G86" t="s">
        <v>155</v>
      </c>
      <c r="I86" t="s">
        <v>252</v>
      </c>
      <c r="J86" t="s">
        <v>329</v>
      </c>
      <c r="K86">
        <v>3.6099682601023697E-2</v>
      </c>
      <c r="L86" t="s">
        <v>254</v>
      </c>
      <c r="N86" t="s">
        <v>422</v>
      </c>
      <c r="O86" t="s">
        <v>329</v>
      </c>
      <c r="P86">
        <v>6.5230661504722112E-3</v>
      </c>
      <c r="Q86" t="s">
        <v>254</v>
      </c>
      <c r="S86" t="s">
        <v>423</v>
      </c>
      <c r="T86" t="s">
        <v>329</v>
      </c>
      <c r="U86">
        <v>7.8405552467663148E-3</v>
      </c>
      <c r="V86" t="s">
        <v>254</v>
      </c>
      <c r="X86">
        <v>1.0616438356164383E-2</v>
      </c>
      <c r="Y86">
        <v>1.3143060769543132E-2</v>
      </c>
      <c r="Z86" t="s">
        <v>329</v>
      </c>
      <c r="AA86" t="s">
        <v>25</v>
      </c>
      <c r="AC86" t="s">
        <v>22</v>
      </c>
      <c r="AD86" t="s">
        <v>329</v>
      </c>
      <c r="AE86">
        <v>1.1291179002468097E-2</v>
      </c>
      <c r="AG86" t="s">
        <v>97</v>
      </c>
      <c r="AH86" t="s">
        <v>329</v>
      </c>
      <c r="AI86">
        <v>7.6367802863346324E-2</v>
      </c>
    </row>
    <row r="87" spans="5:35" x14ac:dyDescent="0.45">
      <c r="E87" t="s">
        <v>247</v>
      </c>
      <c r="G87" t="s">
        <v>155</v>
      </c>
      <c r="I87" t="s">
        <v>252</v>
      </c>
      <c r="J87" t="s">
        <v>330</v>
      </c>
      <c r="K87">
        <v>1.1819498630638E-2</v>
      </c>
      <c r="L87" t="s">
        <v>254</v>
      </c>
      <c r="N87" t="s">
        <v>422</v>
      </c>
      <c r="O87" t="s">
        <v>330</v>
      </c>
      <c r="P87">
        <v>2.4607224403917377E-3</v>
      </c>
      <c r="Q87" t="s">
        <v>254</v>
      </c>
      <c r="S87" t="s">
        <v>423</v>
      </c>
      <c r="T87" t="s">
        <v>330</v>
      </c>
      <c r="U87">
        <v>2.6489329002128701E-3</v>
      </c>
      <c r="V87" t="s">
        <v>254</v>
      </c>
      <c r="X87">
        <v>3.5388127853881279E-3</v>
      </c>
      <c r="Y87">
        <v>4.6139439292610376E-3</v>
      </c>
      <c r="Z87" t="s">
        <v>330</v>
      </c>
      <c r="AA87" t="s">
        <v>25</v>
      </c>
      <c r="AC87" t="s">
        <v>22</v>
      </c>
      <c r="AD87" t="s">
        <v>330</v>
      </c>
      <c r="AE87">
        <v>3.7514087376990914E-3</v>
      </c>
      <c r="AG87" t="s">
        <v>97</v>
      </c>
      <c r="AH87" t="s">
        <v>330</v>
      </c>
      <c r="AI87">
        <v>6.6606082518882115E-2</v>
      </c>
    </row>
    <row r="88" spans="5:35" x14ac:dyDescent="0.45">
      <c r="E88" t="s">
        <v>248</v>
      </c>
      <c r="G88" t="s">
        <v>155</v>
      </c>
      <c r="I88" t="s">
        <v>252</v>
      </c>
      <c r="J88" t="s">
        <v>331</v>
      </c>
      <c r="K88">
        <v>2.2654420268322401E-2</v>
      </c>
      <c r="L88" t="s">
        <v>254</v>
      </c>
      <c r="N88" t="s">
        <v>422</v>
      </c>
      <c r="O88" t="s">
        <v>331</v>
      </c>
      <c r="P88">
        <v>5.2701698669585344E-3</v>
      </c>
      <c r="Q88" t="s">
        <v>254</v>
      </c>
      <c r="S88" t="s">
        <v>423</v>
      </c>
      <c r="T88" t="s">
        <v>331</v>
      </c>
      <c r="U88">
        <v>5.4321792671511064E-3</v>
      </c>
      <c r="V88" t="s">
        <v>254</v>
      </c>
      <c r="X88">
        <v>7.0776255707762558E-3</v>
      </c>
      <c r="Y88">
        <v>1.0008867231849112E-2</v>
      </c>
      <c r="Z88" t="s">
        <v>331</v>
      </c>
      <c r="AA88" t="s">
        <v>25</v>
      </c>
      <c r="AC88" t="s">
        <v>22</v>
      </c>
      <c r="AD88" t="s">
        <v>331</v>
      </c>
      <c r="AE88">
        <v>7.4168321113830121E-3</v>
      </c>
      <c r="AG88" t="s">
        <v>97</v>
      </c>
      <c r="AH88" t="s">
        <v>331</v>
      </c>
      <c r="AI88">
        <v>6.1976360186815738E-2</v>
      </c>
    </row>
    <row r="89" spans="5:35" x14ac:dyDescent="0.45">
      <c r="E89" t="s">
        <v>249</v>
      </c>
      <c r="G89" t="s">
        <v>155</v>
      </c>
      <c r="I89" t="s">
        <v>252</v>
      </c>
      <c r="J89" t="s">
        <v>332</v>
      </c>
      <c r="K89">
        <v>1.7943417315136038E-2</v>
      </c>
      <c r="L89" t="s">
        <v>254</v>
      </c>
      <c r="N89" t="s">
        <v>422</v>
      </c>
      <c r="O89" t="s">
        <v>332</v>
      </c>
      <c r="P89">
        <v>5.7330128839986833E-3</v>
      </c>
      <c r="Q89" t="s">
        <v>254</v>
      </c>
      <c r="S89" t="s">
        <v>423</v>
      </c>
      <c r="T89" t="s">
        <v>332</v>
      </c>
      <c r="U89">
        <v>5.604131701026362E-3</v>
      </c>
      <c r="V89" t="s">
        <v>254</v>
      </c>
      <c r="X89">
        <v>7.0776255707762558E-3</v>
      </c>
      <c r="Y89">
        <v>1.376989947708193E-2</v>
      </c>
      <c r="Z89" t="s">
        <v>332</v>
      </c>
      <c r="AA89" t="s">
        <v>25</v>
      </c>
      <c r="AC89" t="s">
        <v>22</v>
      </c>
      <c r="AD89" t="s">
        <v>332</v>
      </c>
      <c r="AE89">
        <v>7.3722437930480167E-3</v>
      </c>
      <c r="AG89" t="s">
        <v>97</v>
      </c>
      <c r="AH89" t="s">
        <v>332</v>
      </c>
      <c r="AI89">
        <v>6.0412964463251617E-2</v>
      </c>
    </row>
    <row r="90" spans="5:35" x14ac:dyDescent="0.45">
      <c r="E90" t="s">
        <v>250</v>
      </c>
      <c r="G90" t="s">
        <v>155</v>
      </c>
      <c r="I90" t="s">
        <v>252</v>
      </c>
      <c r="J90" t="s">
        <v>333</v>
      </c>
      <c r="K90">
        <v>1.0110616542517919E-2</v>
      </c>
      <c r="L90" t="s">
        <v>254</v>
      </c>
      <c r="N90" t="s">
        <v>422</v>
      </c>
      <c r="O90" t="s">
        <v>333</v>
      </c>
      <c r="P90">
        <v>1.7772919654848611E-2</v>
      </c>
      <c r="Q90" t="s">
        <v>254</v>
      </c>
      <c r="S90" t="s">
        <v>423</v>
      </c>
      <c r="T90" t="s">
        <v>333</v>
      </c>
      <c r="U90">
        <v>1.6571575300024611E-2</v>
      </c>
      <c r="V90" t="s">
        <v>254</v>
      </c>
      <c r="X90">
        <v>2.1232876712328767E-2</v>
      </c>
      <c r="Y90">
        <v>1.8702400782305319E-2</v>
      </c>
      <c r="Z90" t="s">
        <v>333</v>
      </c>
      <c r="AA90" t="s">
        <v>25</v>
      </c>
      <c r="AC90" t="s">
        <v>22</v>
      </c>
      <c r="AD90" t="s">
        <v>333</v>
      </c>
      <c r="AE90">
        <v>1.9901975371152368E-2</v>
      </c>
      <c r="AG90" t="s">
        <v>97</v>
      </c>
      <c r="AH90" t="s">
        <v>333</v>
      </c>
      <c r="AI90">
        <v>0.13890349193737483</v>
      </c>
    </row>
    <row r="91" spans="5:35" x14ac:dyDescent="0.45">
      <c r="I91" t="s">
        <v>252</v>
      </c>
      <c r="J91" t="s">
        <v>334</v>
      </c>
      <c r="K91">
        <v>3.7696025834861417E-3</v>
      </c>
      <c r="L91" t="s">
        <v>254</v>
      </c>
      <c r="N91" t="s">
        <v>422</v>
      </c>
      <c r="O91" t="s">
        <v>334</v>
      </c>
      <c r="P91">
        <v>1.2951374086187427E-2</v>
      </c>
      <c r="Q91" t="s">
        <v>254</v>
      </c>
      <c r="S91" t="s">
        <v>423</v>
      </c>
      <c r="T91" t="s">
        <v>334</v>
      </c>
      <c r="U91">
        <v>1.3752678728943261E-2</v>
      </c>
      <c r="V91" t="s">
        <v>254</v>
      </c>
      <c r="X91">
        <v>2.3972602739726026E-2</v>
      </c>
      <c r="Y91">
        <v>9.4672202471222967E-3</v>
      </c>
      <c r="Z91" t="s">
        <v>334</v>
      </c>
      <c r="AA91" t="s">
        <v>25</v>
      </c>
      <c r="AC91" t="s">
        <v>22</v>
      </c>
      <c r="AD91" t="s">
        <v>334</v>
      </c>
      <c r="AE91">
        <v>1.7788480207175952E-2</v>
      </c>
      <c r="AG91" t="s">
        <v>97</v>
      </c>
      <c r="AH91" t="s">
        <v>334</v>
      </c>
      <c r="AI91">
        <v>0.25898927451799603</v>
      </c>
    </row>
    <row r="92" spans="5:35" x14ac:dyDescent="0.45">
      <c r="I92" t="s">
        <v>252</v>
      </c>
      <c r="J92" t="s">
        <v>335</v>
      </c>
      <c r="K92">
        <v>6.5828281541704531E-3</v>
      </c>
      <c r="L92" t="s">
        <v>254</v>
      </c>
      <c r="N92" t="s">
        <v>422</v>
      </c>
      <c r="O92" t="s">
        <v>335</v>
      </c>
      <c r="P92">
        <v>1.5798469757426538E-3</v>
      </c>
      <c r="Q92" t="s">
        <v>254</v>
      </c>
      <c r="S92" t="s">
        <v>423</v>
      </c>
      <c r="T92" t="s">
        <v>335</v>
      </c>
      <c r="U92">
        <v>1.8505254308611536E-3</v>
      </c>
      <c r="V92" t="s">
        <v>254</v>
      </c>
      <c r="X92">
        <v>3.4246575342465752E-3</v>
      </c>
      <c r="Y92">
        <v>5.7181214727892006E-3</v>
      </c>
      <c r="Z92" t="s">
        <v>335</v>
      </c>
      <c r="AA92" t="s">
        <v>25</v>
      </c>
      <c r="AC92" t="s">
        <v>22</v>
      </c>
      <c r="AD92" t="s">
        <v>335</v>
      </c>
      <c r="AE92">
        <v>3.3479868111464983E-3</v>
      </c>
      <c r="AG92" t="s">
        <v>97</v>
      </c>
      <c r="AH92" t="s">
        <v>335</v>
      </c>
      <c r="AI92">
        <v>0.10005778822578915</v>
      </c>
    </row>
    <row r="93" spans="5:35" x14ac:dyDescent="0.45">
      <c r="I93" t="s">
        <v>252</v>
      </c>
      <c r="J93" t="s">
        <v>336</v>
      </c>
      <c r="K93">
        <v>1.9219670480887002E-2</v>
      </c>
      <c r="L93" t="s">
        <v>254</v>
      </c>
      <c r="N93" t="s">
        <v>422</v>
      </c>
      <c r="O93" t="s">
        <v>336</v>
      </c>
      <c r="P93">
        <v>3.1375383114185776E-3</v>
      </c>
      <c r="Q93" t="s">
        <v>254</v>
      </c>
      <c r="S93" t="s">
        <v>423</v>
      </c>
      <c r="T93" t="s">
        <v>336</v>
      </c>
      <c r="U93">
        <v>3.6769487729497513E-3</v>
      </c>
      <c r="V93" t="s">
        <v>254</v>
      </c>
      <c r="X93">
        <v>6.8493150684931503E-3</v>
      </c>
      <c r="Y93">
        <v>8.7114337568058101E-3</v>
      </c>
      <c r="Z93" t="s">
        <v>336</v>
      </c>
      <c r="AA93" t="s">
        <v>25</v>
      </c>
      <c r="AC93" t="s">
        <v>22</v>
      </c>
      <c r="AD93" t="s">
        <v>336</v>
      </c>
      <c r="AE93">
        <v>7.1122122352204218E-3</v>
      </c>
      <c r="AG93" t="s">
        <v>97</v>
      </c>
      <c r="AH93" t="s">
        <v>336</v>
      </c>
      <c r="AI93">
        <v>9.5318948243562573E-2</v>
      </c>
    </row>
    <row r="94" spans="5:35" x14ac:dyDescent="0.45">
      <c r="I94" t="s">
        <v>252</v>
      </c>
      <c r="J94" t="s">
        <v>337</v>
      </c>
      <c r="K94">
        <v>3.3458775515638799E-2</v>
      </c>
      <c r="L94" t="s">
        <v>254</v>
      </c>
      <c r="N94" t="s">
        <v>422</v>
      </c>
      <c r="O94" t="s">
        <v>337</v>
      </c>
      <c r="P94">
        <v>4.9549539232302776E-3</v>
      </c>
      <c r="Q94" t="s">
        <v>254</v>
      </c>
      <c r="S94" t="s">
        <v>423</v>
      </c>
      <c r="T94" t="s">
        <v>337</v>
      </c>
      <c r="U94">
        <v>5.3667249461575176E-3</v>
      </c>
      <c r="V94" t="s">
        <v>254</v>
      </c>
      <c r="X94">
        <v>1.0273972602739725E-2</v>
      </c>
      <c r="Y94">
        <v>1.2719091067299805E-2</v>
      </c>
      <c r="Z94" t="s">
        <v>337</v>
      </c>
      <c r="AA94" t="s">
        <v>25</v>
      </c>
      <c r="AC94" t="s">
        <v>22</v>
      </c>
      <c r="AD94" t="s">
        <v>337</v>
      </c>
      <c r="AE94">
        <v>1.077487182710144E-2</v>
      </c>
      <c r="AG94" t="s">
        <v>97</v>
      </c>
      <c r="AH94" t="s">
        <v>337</v>
      </c>
      <c r="AI94">
        <v>9.4789670412191107E-2</v>
      </c>
    </row>
    <row r="95" spans="5:35" x14ac:dyDescent="0.45">
      <c r="I95" t="s">
        <v>252</v>
      </c>
      <c r="J95" t="s">
        <v>338</v>
      </c>
      <c r="K95">
        <v>1.0961892234739999E-2</v>
      </c>
      <c r="L95" t="s">
        <v>254</v>
      </c>
      <c r="N95" t="s">
        <v>422</v>
      </c>
      <c r="O95" t="s">
        <v>338</v>
      </c>
      <c r="P95">
        <v>1.9031507238226467E-3</v>
      </c>
      <c r="Q95" t="s">
        <v>254</v>
      </c>
      <c r="S95" t="s">
        <v>423</v>
      </c>
      <c r="T95" t="s">
        <v>338</v>
      </c>
      <c r="U95">
        <v>1.9093008256395115E-3</v>
      </c>
      <c r="V95" t="s">
        <v>254</v>
      </c>
      <c r="X95">
        <v>3.4246575342465752E-3</v>
      </c>
      <c r="Y95">
        <v>4.4651070283171336E-3</v>
      </c>
      <c r="Z95" t="s">
        <v>338</v>
      </c>
      <c r="AA95" t="s">
        <v>25</v>
      </c>
      <c r="AC95" t="s">
        <v>22</v>
      </c>
      <c r="AD95" t="s">
        <v>338</v>
      </c>
      <c r="AE95">
        <v>3.574907265202001E-3</v>
      </c>
      <c r="AG95" t="s">
        <v>97</v>
      </c>
      <c r="AH95" t="s">
        <v>338</v>
      </c>
      <c r="AI95">
        <v>9.3099233556961591E-2</v>
      </c>
    </row>
    <row r="96" spans="5:35" x14ac:dyDescent="0.45">
      <c r="I96" t="s">
        <v>252</v>
      </c>
      <c r="J96" t="s">
        <v>339</v>
      </c>
      <c r="K96">
        <v>2.1672954260398801E-2</v>
      </c>
      <c r="L96" t="s">
        <v>254</v>
      </c>
      <c r="N96" t="s">
        <v>422</v>
      </c>
      <c r="O96" t="s">
        <v>339</v>
      </c>
      <c r="P96">
        <v>4.1649210850342282E-3</v>
      </c>
      <c r="Q96" t="s">
        <v>254</v>
      </c>
      <c r="S96" t="s">
        <v>423</v>
      </c>
      <c r="T96" t="s">
        <v>339</v>
      </c>
      <c r="U96">
        <v>4.1037429973035623E-3</v>
      </c>
      <c r="V96" t="s">
        <v>254</v>
      </c>
      <c r="X96">
        <v>6.8493150684931503E-3</v>
      </c>
      <c r="Y96">
        <v>9.6860005469507522E-3</v>
      </c>
      <c r="Z96" t="s">
        <v>339</v>
      </c>
      <c r="AA96" t="s">
        <v>25</v>
      </c>
      <c r="AC96" t="s">
        <v>22</v>
      </c>
      <c r="AD96" t="s">
        <v>339</v>
      </c>
      <c r="AE96">
        <v>7.0864877136599435E-3</v>
      </c>
      <c r="AG96" t="s">
        <v>97</v>
      </c>
      <c r="AH96" t="s">
        <v>339</v>
      </c>
      <c r="AI96">
        <v>8.4660831315600982E-2</v>
      </c>
    </row>
    <row r="97" spans="9:35" x14ac:dyDescent="0.45">
      <c r="I97" t="s">
        <v>252</v>
      </c>
      <c r="J97" t="s">
        <v>340</v>
      </c>
      <c r="K97">
        <v>1.7863576824316899E-2</v>
      </c>
      <c r="L97" t="s">
        <v>254</v>
      </c>
      <c r="N97" t="s">
        <v>422</v>
      </c>
      <c r="O97" t="s">
        <v>340</v>
      </c>
      <c r="P97">
        <v>4.4016698199676558E-3</v>
      </c>
      <c r="Q97" t="s">
        <v>254</v>
      </c>
      <c r="S97" t="s">
        <v>423</v>
      </c>
      <c r="T97" t="s">
        <v>340</v>
      </c>
      <c r="U97">
        <v>4.3694499855494E-3</v>
      </c>
      <c r="V97" t="s">
        <v>254</v>
      </c>
      <c r="X97">
        <v>6.8493150684931503E-3</v>
      </c>
      <c r="Y97">
        <v>1.3325709171369611E-2</v>
      </c>
      <c r="Z97" t="s">
        <v>340</v>
      </c>
      <c r="AA97" t="s">
        <v>25</v>
      </c>
      <c r="AC97" t="s">
        <v>22</v>
      </c>
      <c r="AD97" t="s">
        <v>340</v>
      </c>
      <c r="AE97">
        <v>7.0450957821987653E-3</v>
      </c>
      <c r="AG97" t="s">
        <v>97</v>
      </c>
      <c r="AH97" t="s">
        <v>340</v>
      </c>
      <c r="AI97">
        <v>7.7376143864133162E-2</v>
      </c>
    </row>
    <row r="98" spans="9:35" x14ac:dyDescent="0.45">
      <c r="I98" t="s">
        <v>252</v>
      </c>
      <c r="J98" t="s">
        <v>341</v>
      </c>
      <c r="K98">
        <v>8.4792519699414589E-3</v>
      </c>
      <c r="L98" t="s">
        <v>254</v>
      </c>
      <c r="N98" t="s">
        <v>422</v>
      </c>
      <c r="O98" t="s">
        <v>341</v>
      </c>
      <c r="P98">
        <v>1.2887186560710915E-2</v>
      </c>
      <c r="Q98" t="s">
        <v>254</v>
      </c>
      <c r="S98" t="s">
        <v>423</v>
      </c>
      <c r="T98" t="s">
        <v>341</v>
      </c>
      <c r="U98">
        <v>1.3332085292744114E-2</v>
      </c>
      <c r="V98" t="s">
        <v>254</v>
      </c>
      <c r="X98">
        <v>2.0547945205479451E-2</v>
      </c>
      <c r="Y98">
        <v>1.8099097531263209E-2</v>
      </c>
      <c r="Z98" t="s">
        <v>341</v>
      </c>
      <c r="AA98" t="s">
        <v>25</v>
      </c>
      <c r="AC98" t="s">
        <v>22</v>
      </c>
      <c r="AD98" t="s">
        <v>341</v>
      </c>
      <c r="AE98">
        <v>1.8780194612187062E-2</v>
      </c>
      <c r="AG98" t="s">
        <v>97</v>
      </c>
      <c r="AH98" t="s">
        <v>341</v>
      </c>
      <c r="AI98">
        <v>0.17248752112874133</v>
      </c>
    </row>
    <row r="99" spans="9:35" x14ac:dyDescent="0.45">
      <c r="I99" t="s">
        <v>252</v>
      </c>
      <c r="J99" t="s">
        <v>342</v>
      </c>
      <c r="K99">
        <v>0</v>
      </c>
      <c r="L99" t="s">
        <v>254</v>
      </c>
      <c r="N99" t="s">
        <v>422</v>
      </c>
      <c r="O99" t="s">
        <v>342</v>
      </c>
      <c r="P99">
        <v>5.4770152836420053E-5</v>
      </c>
      <c r="Q99" t="s">
        <v>254</v>
      </c>
      <c r="S99" t="s">
        <v>423</v>
      </c>
      <c r="T99" t="s">
        <v>342</v>
      </c>
      <c r="U99">
        <v>2.3630048100569638E-5</v>
      </c>
      <c r="V99" t="s">
        <v>254</v>
      </c>
      <c r="X99">
        <v>1.1415525114155251E-4</v>
      </c>
      <c r="Y99">
        <v>2.1546544680075254E-5</v>
      </c>
      <c r="Z99" t="s">
        <v>342</v>
      </c>
      <c r="AA99" t="s">
        <v>25</v>
      </c>
      <c r="AC99" t="s">
        <v>22</v>
      </c>
      <c r="AD99" t="s">
        <v>342</v>
      </c>
      <c r="AE99">
        <v>9.0771051131926549E-5</v>
      </c>
      <c r="AG99" t="s">
        <v>97</v>
      </c>
      <c r="AH99" t="s">
        <v>342</v>
      </c>
      <c r="AI99">
        <v>0</v>
      </c>
    </row>
    <row r="100" spans="9:35" x14ac:dyDescent="0.45">
      <c r="I100" t="s">
        <v>252</v>
      </c>
      <c r="J100" t="s">
        <v>343</v>
      </c>
      <c r="K100">
        <v>0</v>
      </c>
      <c r="L100" t="s">
        <v>254</v>
      </c>
      <c r="N100" t="s">
        <v>422</v>
      </c>
      <c r="O100" t="s">
        <v>343</v>
      </c>
      <c r="P100">
        <v>6.967629986282713E-5</v>
      </c>
      <c r="Q100" t="s">
        <v>254</v>
      </c>
      <c r="S100" t="s">
        <v>423</v>
      </c>
      <c r="T100" t="s">
        <v>343</v>
      </c>
      <c r="U100">
        <v>2.7818468318092961E-5</v>
      </c>
      <c r="V100" t="s">
        <v>254</v>
      </c>
      <c r="X100">
        <v>1.1415525114155251E-4</v>
      </c>
      <c r="Y100">
        <v>1.4916838624667481E-5</v>
      </c>
      <c r="Z100" t="s">
        <v>343</v>
      </c>
      <c r="AA100" t="s">
        <v>25</v>
      </c>
      <c r="AC100" t="s">
        <v>22</v>
      </c>
      <c r="AD100" t="s">
        <v>343</v>
      </c>
      <c r="AE100">
        <v>8.4818100218130086E-5</v>
      </c>
      <c r="AG100" t="s">
        <v>97</v>
      </c>
      <c r="AH100" t="s">
        <v>343</v>
      </c>
      <c r="AI100">
        <v>0</v>
      </c>
    </row>
    <row r="101" spans="9:35" x14ac:dyDescent="0.45">
      <c r="I101" t="s">
        <v>252</v>
      </c>
      <c r="J101" t="s">
        <v>344</v>
      </c>
      <c r="K101">
        <v>0</v>
      </c>
      <c r="L101" t="s">
        <v>254</v>
      </c>
      <c r="N101" t="s">
        <v>422</v>
      </c>
      <c r="O101" t="s">
        <v>344</v>
      </c>
      <c r="P101">
        <v>8.2367524350068823E-5</v>
      </c>
      <c r="Q101" t="s">
        <v>254</v>
      </c>
      <c r="S101" t="s">
        <v>423</v>
      </c>
      <c r="T101" t="s">
        <v>344</v>
      </c>
      <c r="U101">
        <v>2.9738819183755693E-5</v>
      </c>
      <c r="V101" t="s">
        <v>254</v>
      </c>
      <c r="X101">
        <v>1.1415525114155251E-4</v>
      </c>
      <c r="Y101">
        <v>1.6574265138519424E-5</v>
      </c>
      <c r="Z101" t="s">
        <v>344</v>
      </c>
      <c r="AA101" t="s">
        <v>25</v>
      </c>
      <c r="AC101" t="s">
        <v>22</v>
      </c>
      <c r="AD101" t="s">
        <v>344</v>
      </c>
      <c r="AE101">
        <v>8.3360547803669629E-5</v>
      </c>
      <c r="AG101" t="s">
        <v>97</v>
      </c>
      <c r="AH101" t="s">
        <v>344</v>
      </c>
      <c r="AI101">
        <v>0</v>
      </c>
    </row>
    <row r="102" spans="9:35" x14ac:dyDescent="0.45">
      <c r="I102" t="s">
        <v>252</v>
      </c>
      <c r="J102" t="s">
        <v>345</v>
      </c>
      <c r="K102">
        <v>0</v>
      </c>
      <c r="L102" t="s">
        <v>254</v>
      </c>
      <c r="N102" t="s">
        <v>422</v>
      </c>
      <c r="O102" t="s">
        <v>345</v>
      </c>
      <c r="P102">
        <v>9.354771915514348E-5</v>
      </c>
      <c r="Q102" t="s">
        <v>254</v>
      </c>
      <c r="S102" t="s">
        <v>423</v>
      </c>
      <c r="T102" t="s">
        <v>345</v>
      </c>
      <c r="U102">
        <v>3.2682037939476962E-5</v>
      </c>
      <c r="V102" t="s">
        <v>254</v>
      </c>
      <c r="X102">
        <v>1.1415525114155251E-4</v>
      </c>
      <c r="Y102">
        <v>1.4585353321897093E-5</v>
      </c>
      <c r="Z102" t="s">
        <v>345</v>
      </c>
      <c r="AA102" t="s">
        <v>25</v>
      </c>
      <c r="AC102" t="s">
        <v>22</v>
      </c>
      <c r="AD102" t="s">
        <v>345</v>
      </c>
      <c r="AE102">
        <v>8.0951750655561261E-5</v>
      </c>
      <c r="AG102" t="s">
        <v>97</v>
      </c>
      <c r="AH102" t="s">
        <v>345</v>
      </c>
      <c r="AI102">
        <v>0</v>
      </c>
    </row>
    <row r="103" spans="9:35" x14ac:dyDescent="0.45">
      <c r="I103" t="s">
        <v>252</v>
      </c>
      <c r="J103" t="s">
        <v>346</v>
      </c>
      <c r="K103">
        <v>0</v>
      </c>
      <c r="L103" t="s">
        <v>254</v>
      </c>
      <c r="N103" t="s">
        <v>422</v>
      </c>
      <c r="O103" t="s">
        <v>346</v>
      </c>
      <c r="P103">
        <v>1.034829239996E-4</v>
      </c>
      <c r="Q103" t="s">
        <v>254</v>
      </c>
      <c r="S103" t="s">
        <v>423</v>
      </c>
      <c r="T103" t="s">
        <v>346</v>
      </c>
      <c r="U103">
        <v>3.7471015718411552E-5</v>
      </c>
      <c r="V103" t="s">
        <v>254</v>
      </c>
      <c r="X103">
        <v>1.1415525114155251E-4</v>
      </c>
      <c r="Y103">
        <v>2.1215059377304864E-5</v>
      </c>
      <c r="Z103" t="s">
        <v>346</v>
      </c>
      <c r="AA103" t="s">
        <v>25</v>
      </c>
      <c r="AC103" t="s">
        <v>22</v>
      </c>
      <c r="AD103" t="s">
        <v>346</v>
      </c>
      <c r="AE103">
        <v>8.6528806472996859E-5</v>
      </c>
      <c r="AG103" t="s">
        <v>97</v>
      </c>
      <c r="AH103" t="s">
        <v>346</v>
      </c>
      <c r="AI103">
        <v>0</v>
      </c>
    </row>
    <row r="104" spans="9:35" x14ac:dyDescent="0.45">
      <c r="I104" t="s">
        <v>252</v>
      </c>
      <c r="J104" t="s">
        <v>347</v>
      </c>
      <c r="K104">
        <v>4.3219911931864557E-6</v>
      </c>
      <c r="L104" t="s">
        <v>254</v>
      </c>
      <c r="N104" t="s">
        <v>422</v>
      </c>
      <c r="O104" t="s">
        <v>347</v>
      </c>
      <c r="P104">
        <v>1.106815551654E-4</v>
      </c>
      <c r="Q104" t="s">
        <v>254</v>
      </c>
      <c r="S104" t="s">
        <v>423</v>
      </c>
      <c r="T104" t="s">
        <v>347</v>
      </c>
      <c r="U104">
        <v>4.3114570738390896E-5</v>
      </c>
      <c r="V104" t="s">
        <v>254</v>
      </c>
      <c r="X104">
        <v>1.1415525114155251E-4</v>
      </c>
      <c r="Y104">
        <v>5.7678442682047593E-5</v>
      </c>
      <c r="Z104" t="s">
        <v>347</v>
      </c>
      <c r="AA104" t="s">
        <v>25</v>
      </c>
      <c r="AC104" t="s">
        <v>22</v>
      </c>
      <c r="AD104" t="s">
        <v>347</v>
      </c>
      <c r="AE104">
        <v>1.0225502989217561E-4</v>
      </c>
      <c r="AG104" t="s">
        <v>97</v>
      </c>
      <c r="AH104" t="s">
        <v>347</v>
      </c>
      <c r="AI104">
        <v>0</v>
      </c>
    </row>
    <row r="105" spans="9:35" x14ac:dyDescent="0.45">
      <c r="I105" t="s">
        <v>252</v>
      </c>
      <c r="J105" t="s">
        <v>348</v>
      </c>
      <c r="K105">
        <v>1.8653835092369999E-4</v>
      </c>
      <c r="L105" t="s">
        <v>254</v>
      </c>
      <c r="N105" t="s">
        <v>422</v>
      </c>
      <c r="O105" t="s">
        <v>348</v>
      </c>
      <c r="P105">
        <v>1.0866123135819999E-4</v>
      </c>
      <c r="Q105" t="s">
        <v>254</v>
      </c>
      <c r="S105" t="s">
        <v>423</v>
      </c>
      <c r="T105" t="s">
        <v>348</v>
      </c>
      <c r="U105">
        <v>4.8221200445737135E-5</v>
      </c>
      <c r="V105" t="s">
        <v>254</v>
      </c>
      <c r="X105">
        <v>1.1415525114155251E-4</v>
      </c>
      <c r="Y105">
        <v>1.6905750441289813E-4</v>
      </c>
      <c r="Z105" t="s">
        <v>348</v>
      </c>
      <c r="AA105" t="s">
        <v>25</v>
      </c>
      <c r="AC105" t="s">
        <v>22</v>
      </c>
      <c r="AD105" t="s">
        <v>348</v>
      </c>
      <c r="AE105">
        <v>1.1599693634008888E-4</v>
      </c>
      <c r="AG105" t="s">
        <v>97</v>
      </c>
      <c r="AH105" t="s">
        <v>348</v>
      </c>
      <c r="AI105">
        <v>0</v>
      </c>
    </row>
    <row r="106" spans="9:35" x14ac:dyDescent="0.45">
      <c r="I106" t="s">
        <v>252</v>
      </c>
      <c r="J106" t="s">
        <v>349</v>
      </c>
      <c r="K106">
        <v>2.9480363088769999E-4</v>
      </c>
      <c r="L106" t="s">
        <v>254</v>
      </c>
      <c r="N106" t="s">
        <v>422</v>
      </c>
      <c r="O106" t="s">
        <v>349</v>
      </c>
      <c r="P106">
        <v>1.0400635171619999E-4</v>
      </c>
      <c r="Q106" t="s">
        <v>254</v>
      </c>
      <c r="S106" t="s">
        <v>423</v>
      </c>
      <c r="T106" t="s">
        <v>349</v>
      </c>
      <c r="U106">
        <v>5.104292029687918E-5</v>
      </c>
      <c r="V106" t="s">
        <v>254</v>
      </c>
      <c r="X106">
        <v>1.1415525114155251E-4</v>
      </c>
      <c r="Y106">
        <v>1.9060404909297337E-4</v>
      </c>
      <c r="Z106" t="s">
        <v>349</v>
      </c>
      <c r="AA106" t="s">
        <v>25</v>
      </c>
      <c r="AC106" t="s">
        <v>22</v>
      </c>
      <c r="AD106" t="s">
        <v>349</v>
      </c>
      <c r="AE106">
        <v>1.2485476364481007E-4</v>
      </c>
      <c r="AG106" t="s">
        <v>97</v>
      </c>
      <c r="AH106" t="s">
        <v>349</v>
      </c>
      <c r="AI106">
        <v>0</v>
      </c>
    </row>
    <row r="107" spans="9:35" x14ac:dyDescent="0.45">
      <c r="I107" t="s">
        <v>252</v>
      </c>
      <c r="J107" t="s">
        <v>350</v>
      </c>
      <c r="K107">
        <v>3.6565329229359999E-4</v>
      </c>
      <c r="L107" t="s">
        <v>254</v>
      </c>
      <c r="N107" t="s">
        <v>422</v>
      </c>
      <c r="O107" t="s">
        <v>350</v>
      </c>
      <c r="P107">
        <v>8.1494806357995447E-5</v>
      </c>
      <c r="Q107" t="s">
        <v>254</v>
      </c>
      <c r="S107" t="s">
        <v>423</v>
      </c>
      <c r="T107" t="s">
        <v>350</v>
      </c>
      <c r="U107">
        <v>4.9557558334234857E-5</v>
      </c>
      <c r="V107" t="s">
        <v>254</v>
      </c>
      <c r="X107">
        <v>1.1415525114155251E-4</v>
      </c>
      <c r="Y107">
        <v>1.4585353321897094E-4</v>
      </c>
      <c r="Z107" t="s">
        <v>350</v>
      </c>
      <c r="AA107" t="s">
        <v>25</v>
      </c>
      <c r="AC107" t="s">
        <v>22</v>
      </c>
      <c r="AD107" t="s">
        <v>350</v>
      </c>
      <c r="AE107">
        <v>1.287901551638533E-4</v>
      </c>
      <c r="AG107" t="s">
        <v>97</v>
      </c>
      <c r="AH107" t="s">
        <v>350</v>
      </c>
      <c r="AI107">
        <v>0</v>
      </c>
    </row>
    <row r="108" spans="9:35" x14ac:dyDescent="0.45">
      <c r="I108" t="s">
        <v>252</v>
      </c>
      <c r="J108" t="s">
        <v>351</v>
      </c>
      <c r="K108">
        <v>4.0903283033209999E-4</v>
      </c>
      <c r="L108" t="s">
        <v>254</v>
      </c>
      <c r="N108" t="s">
        <v>422</v>
      </c>
      <c r="O108" t="s">
        <v>351</v>
      </c>
      <c r="P108">
        <v>7.9490185003327476E-5</v>
      </c>
      <c r="Q108" t="s">
        <v>254</v>
      </c>
      <c r="S108" t="s">
        <v>423</v>
      </c>
      <c r="T108" t="s">
        <v>351</v>
      </c>
      <c r="U108">
        <v>4.6855102315479058E-5</v>
      </c>
      <c r="V108" t="s">
        <v>254</v>
      </c>
      <c r="X108">
        <v>1.1415525114155251E-4</v>
      </c>
      <c r="Y108">
        <v>1.4452759200788939E-4</v>
      </c>
      <c r="Z108" t="s">
        <v>351</v>
      </c>
      <c r="AA108" t="s">
        <v>25</v>
      </c>
      <c r="AC108" t="s">
        <v>22</v>
      </c>
      <c r="AD108" t="s">
        <v>351</v>
      </c>
      <c r="AE108">
        <v>1.3233942314853949E-4</v>
      </c>
      <c r="AG108" t="s">
        <v>97</v>
      </c>
      <c r="AH108" t="s">
        <v>351</v>
      </c>
      <c r="AI108">
        <v>0</v>
      </c>
    </row>
    <row r="109" spans="9:35" x14ac:dyDescent="0.45">
      <c r="I109" t="s">
        <v>252</v>
      </c>
      <c r="J109" t="s">
        <v>352</v>
      </c>
      <c r="K109">
        <v>4.3214955725010001E-4</v>
      </c>
      <c r="L109" t="s">
        <v>254</v>
      </c>
      <c r="N109" t="s">
        <v>422</v>
      </c>
      <c r="O109" t="s">
        <v>352</v>
      </c>
      <c r="P109">
        <v>1.0151631624240001E-4</v>
      </c>
      <c r="Q109" t="s">
        <v>254</v>
      </c>
      <c r="S109" t="s">
        <v>423</v>
      </c>
      <c r="T109" t="s">
        <v>352</v>
      </c>
      <c r="U109">
        <v>4.0872958605331606E-5</v>
      </c>
      <c r="V109" t="s">
        <v>254</v>
      </c>
      <c r="X109">
        <v>1.1415525114155251E-4</v>
      </c>
      <c r="Y109">
        <v>1.408812536774151E-4</v>
      </c>
      <c r="Z109" t="s">
        <v>352</v>
      </c>
      <c r="AA109" t="s">
        <v>25</v>
      </c>
      <c r="AC109" t="s">
        <v>22</v>
      </c>
      <c r="AD109" t="s">
        <v>352</v>
      </c>
      <c r="AE109">
        <v>1.3338272382415332E-4</v>
      </c>
      <c r="AG109" t="s">
        <v>97</v>
      </c>
      <c r="AH109" t="s">
        <v>352</v>
      </c>
      <c r="AI109">
        <v>0</v>
      </c>
    </row>
    <row r="110" spans="9:35" x14ac:dyDescent="0.45">
      <c r="I110" t="s">
        <v>252</v>
      </c>
      <c r="J110" t="s">
        <v>353</v>
      </c>
      <c r="K110">
        <v>4.3518242043930002E-4</v>
      </c>
      <c r="L110" t="s">
        <v>254</v>
      </c>
      <c r="N110" t="s">
        <v>422</v>
      </c>
      <c r="O110" t="s">
        <v>353</v>
      </c>
      <c r="P110">
        <v>1.085183411613E-4</v>
      </c>
      <c r="Q110" t="s">
        <v>254</v>
      </c>
      <c r="S110" t="s">
        <v>423</v>
      </c>
      <c r="T110" t="s">
        <v>353</v>
      </c>
      <c r="U110">
        <v>4.2327218367064363E-5</v>
      </c>
      <c r="V110" t="s">
        <v>254</v>
      </c>
      <c r="X110">
        <v>1.1415525114155251E-4</v>
      </c>
      <c r="Y110">
        <v>1.4054976837464471E-4</v>
      </c>
      <c r="Z110" t="s">
        <v>353</v>
      </c>
      <c r="AA110" t="s">
        <v>25</v>
      </c>
      <c r="AC110" t="s">
        <v>22</v>
      </c>
      <c r="AD110" t="s">
        <v>353</v>
      </c>
      <c r="AE110">
        <v>1.3342875179513629E-4</v>
      </c>
      <c r="AG110" t="s">
        <v>97</v>
      </c>
      <c r="AH110" t="s">
        <v>353</v>
      </c>
      <c r="AI110">
        <v>0</v>
      </c>
    </row>
    <row r="111" spans="9:35" x14ac:dyDescent="0.45">
      <c r="I111" t="s">
        <v>252</v>
      </c>
      <c r="J111" t="s">
        <v>354</v>
      </c>
      <c r="K111">
        <v>4.2191744034979998E-4</v>
      </c>
      <c r="L111" t="s">
        <v>254</v>
      </c>
      <c r="N111" t="s">
        <v>422</v>
      </c>
      <c r="O111" t="s">
        <v>354</v>
      </c>
      <c r="P111">
        <v>1.1883842040219999E-4</v>
      </c>
      <c r="Q111" t="s">
        <v>254</v>
      </c>
      <c r="S111" t="s">
        <v>423</v>
      </c>
      <c r="T111" t="s">
        <v>354</v>
      </c>
      <c r="U111">
        <v>4.9475005871288593E-5</v>
      </c>
      <c r="V111" t="s">
        <v>254</v>
      </c>
      <c r="X111">
        <v>1.1415525114155251E-4</v>
      </c>
      <c r="Y111">
        <v>1.4253868019126702E-4</v>
      </c>
      <c r="Z111" t="s">
        <v>354</v>
      </c>
      <c r="AA111" t="s">
        <v>25</v>
      </c>
      <c r="AC111" t="s">
        <v>22</v>
      </c>
      <c r="AD111" t="s">
        <v>354</v>
      </c>
      <c r="AE111">
        <v>1.3489141842859485E-4</v>
      </c>
      <c r="AG111" t="s">
        <v>97</v>
      </c>
      <c r="AH111" t="s">
        <v>354</v>
      </c>
      <c r="AI111">
        <v>0</v>
      </c>
    </row>
    <row r="112" spans="9:35" x14ac:dyDescent="0.45">
      <c r="I112" t="s">
        <v>252</v>
      </c>
      <c r="J112" t="s">
        <v>355</v>
      </c>
      <c r="K112">
        <v>4.2190227113449998E-4</v>
      </c>
      <c r="L112" t="s">
        <v>254</v>
      </c>
      <c r="N112" t="s">
        <v>422</v>
      </c>
      <c r="O112" t="s">
        <v>355</v>
      </c>
      <c r="P112">
        <v>1.2879223774670001E-4</v>
      </c>
      <c r="Q112" t="s">
        <v>254</v>
      </c>
      <c r="S112" t="s">
        <v>423</v>
      </c>
      <c r="T112" t="s">
        <v>355</v>
      </c>
      <c r="U112">
        <v>5.8306999740428863E-5</v>
      </c>
      <c r="V112" t="s">
        <v>254</v>
      </c>
      <c r="X112">
        <v>1.1415525114155251E-4</v>
      </c>
      <c r="Y112">
        <v>1.4883690094390442E-4</v>
      </c>
      <c r="Z112" t="s">
        <v>355</v>
      </c>
      <c r="AA112" t="s">
        <v>25</v>
      </c>
      <c r="AC112" t="s">
        <v>22</v>
      </c>
      <c r="AD112" t="s">
        <v>355</v>
      </c>
      <c r="AE112">
        <v>1.3374071915402082E-4</v>
      </c>
      <c r="AG112" t="s">
        <v>97</v>
      </c>
      <c r="AH112" t="s">
        <v>355</v>
      </c>
      <c r="AI112">
        <v>0</v>
      </c>
    </row>
    <row r="113" spans="9:35" x14ac:dyDescent="0.45">
      <c r="I113" t="s">
        <v>252</v>
      </c>
      <c r="J113" t="s">
        <v>356</v>
      </c>
      <c r="K113">
        <v>4.2975962367180001E-4</v>
      </c>
      <c r="L113" t="s">
        <v>254</v>
      </c>
      <c r="N113" t="s">
        <v>422</v>
      </c>
      <c r="O113" t="s">
        <v>356</v>
      </c>
      <c r="P113">
        <v>1.3735196287710001E-4</v>
      </c>
      <c r="Q113" t="s">
        <v>254</v>
      </c>
      <c r="S113" t="s">
        <v>423</v>
      </c>
      <c r="T113" t="s">
        <v>356</v>
      </c>
      <c r="U113">
        <v>7.490094887115807E-5</v>
      </c>
      <c r="V113" t="s">
        <v>254</v>
      </c>
      <c r="X113">
        <v>1.1415525114155251E-4</v>
      </c>
      <c r="Y113">
        <v>1.5049432745775637E-4</v>
      </c>
      <c r="Z113" t="s">
        <v>356</v>
      </c>
      <c r="AA113" t="s">
        <v>25</v>
      </c>
      <c r="AC113" t="s">
        <v>22</v>
      </c>
      <c r="AD113" t="s">
        <v>356</v>
      </c>
      <c r="AE113">
        <v>1.3152114810884241E-4</v>
      </c>
      <c r="AG113" t="s">
        <v>97</v>
      </c>
      <c r="AH113" t="s">
        <v>356</v>
      </c>
      <c r="AI113">
        <v>0</v>
      </c>
    </row>
    <row r="114" spans="9:35" x14ac:dyDescent="0.45">
      <c r="I114" t="s">
        <v>252</v>
      </c>
      <c r="J114" t="s">
        <v>357</v>
      </c>
      <c r="K114">
        <v>4.2101342658189999E-4</v>
      </c>
      <c r="L114" t="s">
        <v>254</v>
      </c>
      <c r="N114" t="s">
        <v>422</v>
      </c>
      <c r="O114" t="s">
        <v>357</v>
      </c>
      <c r="P114">
        <v>1.4138123456070001E-4</v>
      </c>
      <c r="Q114" t="s">
        <v>254</v>
      </c>
      <c r="S114" t="s">
        <v>423</v>
      </c>
      <c r="T114" t="s">
        <v>357</v>
      </c>
      <c r="U114">
        <v>9.7534142493849367E-5</v>
      </c>
      <c r="V114" t="s">
        <v>254</v>
      </c>
      <c r="X114">
        <v>1.1415525114155251E-4</v>
      </c>
      <c r="Y114">
        <v>1.7237235744060203E-4</v>
      </c>
      <c r="Z114" t="s">
        <v>357</v>
      </c>
      <c r="AA114" t="s">
        <v>25</v>
      </c>
      <c r="AC114" t="s">
        <v>22</v>
      </c>
      <c r="AD114" t="s">
        <v>357</v>
      </c>
      <c r="AE114">
        <v>1.3023747914031757E-4</v>
      </c>
      <c r="AG114" t="s">
        <v>97</v>
      </c>
      <c r="AH114" t="s">
        <v>357</v>
      </c>
      <c r="AI114">
        <v>0</v>
      </c>
    </row>
    <row r="115" spans="9:35" x14ac:dyDescent="0.45">
      <c r="I115" t="s">
        <v>252</v>
      </c>
      <c r="J115" t="s">
        <v>358</v>
      </c>
      <c r="K115">
        <v>3.8878769282610001E-4</v>
      </c>
      <c r="L115" t="s">
        <v>254</v>
      </c>
      <c r="N115" t="s">
        <v>422</v>
      </c>
      <c r="O115" t="s">
        <v>358</v>
      </c>
      <c r="P115">
        <v>1.377695519393E-4</v>
      </c>
      <c r="Q115" t="s">
        <v>254</v>
      </c>
      <c r="S115" t="s">
        <v>423</v>
      </c>
      <c r="T115" t="s">
        <v>358</v>
      </c>
      <c r="U115">
        <v>1.1132253070729999E-4</v>
      </c>
      <c r="V115" t="s">
        <v>254</v>
      </c>
      <c r="X115">
        <v>1.1415525114155251E-4</v>
      </c>
      <c r="Y115">
        <v>2.2209515285616027E-4</v>
      </c>
      <c r="Z115" t="s">
        <v>358</v>
      </c>
      <c r="AA115" t="s">
        <v>25</v>
      </c>
      <c r="AC115" t="s">
        <v>22</v>
      </c>
      <c r="AD115" t="s">
        <v>358</v>
      </c>
      <c r="AE115">
        <v>1.295547309040703E-4</v>
      </c>
      <c r="AG115" t="s">
        <v>97</v>
      </c>
      <c r="AH115" t="s">
        <v>358</v>
      </c>
      <c r="AI115">
        <v>0</v>
      </c>
    </row>
    <row r="116" spans="9:35" x14ac:dyDescent="0.45">
      <c r="I116" t="s">
        <v>252</v>
      </c>
      <c r="J116" t="s">
        <v>359</v>
      </c>
      <c r="K116">
        <v>3.4470085622209998E-4</v>
      </c>
      <c r="L116" t="s">
        <v>254</v>
      </c>
      <c r="N116" t="s">
        <v>422</v>
      </c>
      <c r="O116" t="s">
        <v>359</v>
      </c>
      <c r="P116">
        <v>1.2772748562129999E-4</v>
      </c>
      <c r="Q116" t="s">
        <v>254</v>
      </c>
      <c r="S116" t="s">
        <v>423</v>
      </c>
      <c r="T116" t="s">
        <v>359</v>
      </c>
      <c r="U116">
        <v>1.2293728575410001E-4</v>
      </c>
      <c r="V116" t="s">
        <v>254</v>
      </c>
      <c r="X116">
        <v>1.1415525114155251E-4</v>
      </c>
      <c r="Y116">
        <v>2.2209515285616027E-4</v>
      </c>
      <c r="Z116" t="s">
        <v>359</v>
      </c>
      <c r="AA116" t="s">
        <v>25</v>
      </c>
      <c r="AC116" t="s">
        <v>22</v>
      </c>
      <c r="AD116" t="s">
        <v>359</v>
      </c>
      <c r="AE116">
        <v>1.295547309040703E-4</v>
      </c>
      <c r="AG116" t="s">
        <v>97</v>
      </c>
      <c r="AH116" t="s">
        <v>359</v>
      </c>
      <c r="AI116">
        <v>0</v>
      </c>
    </row>
    <row r="117" spans="9:35" x14ac:dyDescent="0.45">
      <c r="I117" t="s">
        <v>252</v>
      </c>
      <c r="J117" t="s">
        <v>360</v>
      </c>
      <c r="K117">
        <v>2.7143851944840002E-4</v>
      </c>
      <c r="L117" t="s">
        <v>254</v>
      </c>
      <c r="N117" t="s">
        <v>422</v>
      </c>
      <c r="O117" t="s">
        <v>360</v>
      </c>
      <c r="P117">
        <v>1.209781561438E-4</v>
      </c>
      <c r="Q117" t="s">
        <v>254</v>
      </c>
      <c r="S117" t="s">
        <v>423</v>
      </c>
      <c r="T117" t="s">
        <v>360</v>
      </c>
      <c r="U117">
        <v>1.3746820855580001E-4</v>
      </c>
      <c r="V117" t="s">
        <v>254</v>
      </c>
      <c r="X117">
        <v>1.1415525114155251E-4</v>
      </c>
      <c r="Y117">
        <v>1.7237235744060203E-4</v>
      </c>
      <c r="Z117" t="s">
        <v>360</v>
      </c>
      <c r="AA117" t="s">
        <v>25</v>
      </c>
      <c r="AC117" t="s">
        <v>22</v>
      </c>
      <c r="AD117" t="s">
        <v>360</v>
      </c>
      <c r="AE117">
        <v>1.288182833683429E-4</v>
      </c>
      <c r="AG117" t="s">
        <v>97</v>
      </c>
      <c r="AH117" t="s">
        <v>360</v>
      </c>
      <c r="AI117">
        <v>0</v>
      </c>
    </row>
    <row r="118" spans="9:35" x14ac:dyDescent="0.45">
      <c r="I118" t="s">
        <v>252</v>
      </c>
      <c r="J118" t="s">
        <v>361</v>
      </c>
      <c r="K118">
        <v>1.5707885643680001E-4</v>
      </c>
      <c r="L118" t="s">
        <v>254</v>
      </c>
      <c r="N118" t="s">
        <v>422</v>
      </c>
      <c r="O118" t="s">
        <v>361</v>
      </c>
      <c r="P118">
        <v>1.188387872004E-4</v>
      </c>
      <c r="Q118" t="s">
        <v>254</v>
      </c>
      <c r="S118" t="s">
        <v>423</v>
      </c>
      <c r="T118" t="s">
        <v>361</v>
      </c>
      <c r="U118">
        <v>1.4778488021910001E-4</v>
      </c>
      <c r="V118" t="s">
        <v>254</v>
      </c>
      <c r="X118">
        <v>1.1415525114155251E-4</v>
      </c>
      <c r="Y118">
        <v>1.5579809230208258E-4</v>
      </c>
      <c r="Z118" t="s">
        <v>361</v>
      </c>
      <c r="AA118" t="s">
        <v>25</v>
      </c>
      <c r="AC118" t="s">
        <v>22</v>
      </c>
      <c r="AD118" t="s">
        <v>361</v>
      </c>
      <c r="AE118">
        <v>1.265501272426825E-4</v>
      </c>
      <c r="AG118" t="s">
        <v>97</v>
      </c>
      <c r="AH118" t="s">
        <v>361</v>
      </c>
      <c r="AI118">
        <v>0</v>
      </c>
    </row>
    <row r="119" spans="9:35" x14ac:dyDescent="0.45">
      <c r="I119" t="s">
        <v>252</v>
      </c>
      <c r="J119" t="s">
        <v>362</v>
      </c>
      <c r="K119">
        <v>5.2492031099501024E-8</v>
      </c>
      <c r="L119" t="s">
        <v>254</v>
      </c>
      <c r="N119" t="s">
        <v>422</v>
      </c>
      <c r="O119" t="s">
        <v>362</v>
      </c>
      <c r="P119">
        <v>1.144067628656E-4</v>
      </c>
      <c r="Q119" t="s">
        <v>254</v>
      </c>
      <c r="S119" t="s">
        <v>423</v>
      </c>
      <c r="T119" t="s">
        <v>362</v>
      </c>
      <c r="U119">
        <v>1.503847985412E-4</v>
      </c>
      <c r="V119" t="s">
        <v>254</v>
      </c>
      <c r="X119">
        <v>1.1415525114155251E-4</v>
      </c>
      <c r="Y119">
        <v>1.093901499142282E-4</v>
      </c>
      <c r="Z119" t="s">
        <v>362</v>
      </c>
      <c r="AA119" t="s">
        <v>25</v>
      </c>
      <c r="AC119" t="s">
        <v>22</v>
      </c>
      <c r="AD119" t="s">
        <v>362</v>
      </c>
      <c r="AE119">
        <v>1.1899131156348046E-4</v>
      </c>
      <c r="AG119" t="s">
        <v>97</v>
      </c>
      <c r="AH119" t="s">
        <v>362</v>
      </c>
      <c r="AI119">
        <v>0</v>
      </c>
    </row>
    <row r="120" spans="9:35" x14ac:dyDescent="0.45">
      <c r="I120" t="s">
        <v>252</v>
      </c>
      <c r="J120" t="s">
        <v>363</v>
      </c>
      <c r="K120">
        <v>0</v>
      </c>
      <c r="L120" t="s">
        <v>254</v>
      </c>
      <c r="N120" t="s">
        <v>422</v>
      </c>
      <c r="O120" t="s">
        <v>363</v>
      </c>
      <c r="P120">
        <v>1.058373842204E-4</v>
      </c>
      <c r="Q120" t="s">
        <v>254</v>
      </c>
      <c r="S120" t="s">
        <v>423</v>
      </c>
      <c r="T120" t="s">
        <v>363</v>
      </c>
      <c r="U120">
        <v>1.445543881783E-4</v>
      </c>
      <c r="V120" t="s">
        <v>254</v>
      </c>
      <c r="X120">
        <v>1.1415525114155251E-4</v>
      </c>
      <c r="Y120">
        <v>7.9556472664893237E-5</v>
      </c>
      <c r="Z120" t="s">
        <v>363</v>
      </c>
      <c r="AA120" t="s">
        <v>25</v>
      </c>
      <c r="AC120" t="s">
        <v>22</v>
      </c>
      <c r="AD120" t="s">
        <v>363</v>
      </c>
      <c r="AE120">
        <v>1.1496897832146938E-4</v>
      </c>
      <c r="AG120" t="s">
        <v>97</v>
      </c>
      <c r="AH120" t="s">
        <v>363</v>
      </c>
      <c r="AI120">
        <v>0</v>
      </c>
    </row>
    <row r="121" spans="9:35" x14ac:dyDescent="0.45">
      <c r="I121" t="s">
        <v>252</v>
      </c>
      <c r="J121" t="s">
        <v>364</v>
      </c>
      <c r="K121">
        <v>0</v>
      </c>
      <c r="L121" t="s">
        <v>254</v>
      </c>
      <c r="N121" t="s">
        <v>422</v>
      </c>
      <c r="O121" t="s">
        <v>364</v>
      </c>
      <c r="P121">
        <v>9.7451362080472524E-5</v>
      </c>
      <c r="Q121" t="s">
        <v>254</v>
      </c>
      <c r="S121" t="s">
        <v>423</v>
      </c>
      <c r="T121" t="s">
        <v>364</v>
      </c>
      <c r="U121">
        <v>1.386001776758E-4</v>
      </c>
      <c r="V121" t="s">
        <v>254</v>
      </c>
      <c r="X121">
        <v>1.1415525114155251E-4</v>
      </c>
      <c r="Y121">
        <v>5.6352501470966035E-5</v>
      </c>
      <c r="Z121" t="s">
        <v>364</v>
      </c>
      <c r="AA121" t="s">
        <v>25</v>
      </c>
      <c r="AC121" t="s">
        <v>22</v>
      </c>
      <c r="AD121" t="s">
        <v>364</v>
      </c>
      <c r="AE121">
        <v>1.1301790377369161E-4</v>
      </c>
      <c r="AG121" t="s">
        <v>97</v>
      </c>
      <c r="AH121" t="s">
        <v>364</v>
      </c>
      <c r="AI121">
        <v>0</v>
      </c>
    </row>
    <row r="122" spans="9:35" x14ac:dyDescent="0.45">
      <c r="I122" t="s">
        <v>252</v>
      </c>
      <c r="J122" t="s">
        <v>365</v>
      </c>
      <c r="K122">
        <v>0</v>
      </c>
      <c r="L122" t="s">
        <v>254</v>
      </c>
      <c r="N122" t="s">
        <v>422</v>
      </c>
      <c r="O122" t="s">
        <v>365</v>
      </c>
      <c r="P122">
        <v>8.6821212122032654E-5</v>
      </c>
      <c r="Q122" t="s">
        <v>254</v>
      </c>
      <c r="S122" t="s">
        <v>423</v>
      </c>
      <c r="T122" t="s">
        <v>365</v>
      </c>
      <c r="U122">
        <v>1.2708437295439999E-4</v>
      </c>
      <c r="V122" t="s">
        <v>254</v>
      </c>
      <c r="X122">
        <v>1.1415525114155251E-4</v>
      </c>
      <c r="Y122">
        <v>2.9833677249334962E-5</v>
      </c>
      <c r="Z122" t="s">
        <v>365</v>
      </c>
      <c r="AA122" t="s">
        <v>25</v>
      </c>
      <c r="AC122" t="s">
        <v>22</v>
      </c>
      <c r="AD122" t="s">
        <v>365</v>
      </c>
      <c r="AE122">
        <v>1.0594238178981069E-4</v>
      </c>
      <c r="AG122" t="s">
        <v>97</v>
      </c>
      <c r="AH122" t="s">
        <v>365</v>
      </c>
      <c r="AI122">
        <v>0</v>
      </c>
    </row>
    <row r="123" spans="9:35" x14ac:dyDescent="0.45">
      <c r="I123" t="s">
        <v>252</v>
      </c>
      <c r="J123" t="s">
        <v>366</v>
      </c>
      <c r="K123">
        <v>8.0484509074529463E-4</v>
      </c>
      <c r="L123" t="s">
        <v>254</v>
      </c>
      <c r="N123" t="s">
        <v>422</v>
      </c>
      <c r="O123" t="s">
        <v>366</v>
      </c>
      <c r="P123">
        <v>1.6878487177511978E-2</v>
      </c>
      <c r="Q123" t="s">
        <v>254</v>
      </c>
      <c r="S123" t="s">
        <v>423</v>
      </c>
      <c r="T123" t="s">
        <v>366</v>
      </c>
      <c r="U123">
        <v>1.6426982572129937E-2</v>
      </c>
      <c r="V123" t="s">
        <v>254</v>
      </c>
      <c r="X123">
        <v>2.3173515981735161E-2</v>
      </c>
      <c r="Y123">
        <v>9.151646238884887E-3</v>
      </c>
      <c r="Z123" t="s">
        <v>366</v>
      </c>
      <c r="AA123" t="s">
        <v>25</v>
      </c>
      <c r="AC123" t="s">
        <v>22</v>
      </c>
      <c r="AD123" t="s">
        <v>366</v>
      </c>
      <c r="AE123">
        <v>1.7003511288193475E-2</v>
      </c>
      <c r="AG123" t="s">
        <v>97</v>
      </c>
      <c r="AH123" t="s">
        <v>366</v>
      </c>
      <c r="AI123">
        <v>0.24593270228851427</v>
      </c>
    </row>
    <row r="124" spans="9:35" x14ac:dyDescent="0.45">
      <c r="I124" t="s">
        <v>252</v>
      </c>
      <c r="J124" t="s">
        <v>367</v>
      </c>
      <c r="K124">
        <v>3.9283625695790371E-3</v>
      </c>
      <c r="L124" t="s">
        <v>254</v>
      </c>
      <c r="N124" t="s">
        <v>422</v>
      </c>
      <c r="O124" t="s">
        <v>367</v>
      </c>
      <c r="P124">
        <v>2.0847278333866546E-3</v>
      </c>
      <c r="Q124" t="s">
        <v>254</v>
      </c>
      <c r="S124" t="s">
        <v>423</v>
      </c>
      <c r="T124" t="s">
        <v>367</v>
      </c>
      <c r="U124">
        <v>2.2562003306507076E-3</v>
      </c>
      <c r="V124" t="s">
        <v>254</v>
      </c>
      <c r="X124">
        <v>3.3105022831050228E-3</v>
      </c>
      <c r="Y124">
        <v>5.5275174236962274E-3</v>
      </c>
      <c r="Z124" t="s">
        <v>367</v>
      </c>
      <c r="AA124" t="s">
        <v>25</v>
      </c>
      <c r="AC124" t="s">
        <v>22</v>
      </c>
      <c r="AD124" t="s">
        <v>367</v>
      </c>
      <c r="AE124">
        <v>3.2372168130323522E-3</v>
      </c>
      <c r="AG124" t="s">
        <v>97</v>
      </c>
      <c r="AH124" t="s">
        <v>367</v>
      </c>
      <c r="AI124">
        <v>8.1460594298379263E-2</v>
      </c>
    </row>
    <row r="125" spans="9:35" x14ac:dyDescent="0.45">
      <c r="I125" t="s">
        <v>252</v>
      </c>
      <c r="J125" t="s">
        <v>368</v>
      </c>
      <c r="K125">
        <v>1.4099821349434327E-2</v>
      </c>
      <c r="L125" t="s">
        <v>254</v>
      </c>
      <c r="N125" t="s">
        <v>422</v>
      </c>
      <c r="O125" t="s">
        <v>368</v>
      </c>
      <c r="P125">
        <v>4.2588128870422104E-3</v>
      </c>
      <c r="Q125" t="s">
        <v>254</v>
      </c>
      <c r="S125" t="s">
        <v>423</v>
      </c>
      <c r="T125" t="s">
        <v>368</v>
      </c>
      <c r="U125">
        <v>4.6112445438232976E-3</v>
      </c>
      <c r="V125" t="s">
        <v>254</v>
      </c>
      <c r="X125">
        <v>6.6210045662100456E-3</v>
      </c>
      <c r="Y125">
        <v>8.4210526315789489E-3</v>
      </c>
      <c r="Z125" t="s">
        <v>368</v>
      </c>
      <c r="AA125" t="s">
        <v>25</v>
      </c>
      <c r="AC125" t="s">
        <v>22</v>
      </c>
      <c r="AD125" t="s">
        <v>368</v>
      </c>
      <c r="AE125">
        <v>6.867469027397718E-3</v>
      </c>
      <c r="AG125" t="s">
        <v>97</v>
      </c>
      <c r="AH125" t="s">
        <v>368</v>
      </c>
      <c r="AI125">
        <v>7.0766356188761703E-2</v>
      </c>
    </row>
    <row r="126" spans="9:35" x14ac:dyDescent="0.45">
      <c r="I126" t="s">
        <v>252</v>
      </c>
      <c r="J126" t="s">
        <v>369</v>
      </c>
      <c r="K126">
        <v>2.6011151092996301E-2</v>
      </c>
      <c r="L126" t="s">
        <v>254</v>
      </c>
      <c r="N126" t="s">
        <v>422</v>
      </c>
      <c r="O126" t="s">
        <v>369</v>
      </c>
      <c r="P126">
        <v>6.5631288668853704E-3</v>
      </c>
      <c r="Q126" t="s">
        <v>254</v>
      </c>
      <c r="S126" t="s">
        <v>423</v>
      </c>
      <c r="T126" t="s">
        <v>369</v>
      </c>
      <c r="U126">
        <v>6.7371916359806883E-3</v>
      </c>
      <c r="V126" t="s">
        <v>254</v>
      </c>
      <c r="X126">
        <v>9.9315068493150693E-3</v>
      </c>
      <c r="Y126">
        <v>1.2295121365056482E-2</v>
      </c>
      <c r="Z126" t="s">
        <v>369</v>
      </c>
      <c r="AA126" t="s">
        <v>25</v>
      </c>
      <c r="AC126" t="s">
        <v>22</v>
      </c>
      <c r="AD126" t="s">
        <v>369</v>
      </c>
      <c r="AE126">
        <v>1.034363749467862E-2</v>
      </c>
      <c r="AG126" t="s">
        <v>97</v>
      </c>
      <c r="AH126" t="s">
        <v>369</v>
      </c>
      <c r="AI126">
        <v>9.1188574516813503E-2</v>
      </c>
    </row>
    <row r="127" spans="9:35" x14ac:dyDescent="0.45">
      <c r="I127" t="s">
        <v>252</v>
      </c>
      <c r="J127" t="s">
        <v>370</v>
      </c>
      <c r="K127">
        <v>8.5293376375916007E-3</v>
      </c>
      <c r="L127" t="s">
        <v>254</v>
      </c>
      <c r="N127" t="s">
        <v>422</v>
      </c>
      <c r="O127" t="s">
        <v>370</v>
      </c>
      <c r="P127">
        <v>2.2926693004613964E-3</v>
      </c>
      <c r="Q127" t="s">
        <v>254</v>
      </c>
      <c r="S127" t="s">
        <v>423</v>
      </c>
      <c r="T127" t="s">
        <v>370</v>
      </c>
      <c r="U127">
        <v>2.282630383013903E-3</v>
      </c>
      <c r="V127" t="s">
        <v>254</v>
      </c>
      <c r="X127">
        <v>3.3105022831050228E-3</v>
      </c>
      <c r="Y127">
        <v>4.3162701273732288E-3</v>
      </c>
      <c r="Z127" t="s">
        <v>370</v>
      </c>
      <c r="AA127" t="s">
        <v>25</v>
      </c>
      <c r="AC127" t="s">
        <v>22</v>
      </c>
      <c r="AD127" t="s">
        <v>370</v>
      </c>
      <c r="AE127">
        <v>3.4214207529061672E-3</v>
      </c>
      <c r="AG127" t="s">
        <v>97</v>
      </c>
      <c r="AH127" t="s">
        <v>370</v>
      </c>
      <c r="AI127">
        <v>9.3277329176461476E-2</v>
      </c>
    </row>
    <row r="128" spans="9:35" x14ac:dyDescent="0.45">
      <c r="I128" t="s">
        <v>252</v>
      </c>
      <c r="J128" t="s">
        <v>371</v>
      </c>
      <c r="K128">
        <v>1.6704508691821399E-2</v>
      </c>
      <c r="L128" t="s">
        <v>254</v>
      </c>
      <c r="N128" t="s">
        <v>422</v>
      </c>
      <c r="O128" t="s">
        <v>371</v>
      </c>
      <c r="P128">
        <v>4.8843482817328169E-3</v>
      </c>
      <c r="Q128" t="s">
        <v>254</v>
      </c>
      <c r="S128" t="s">
        <v>423</v>
      </c>
      <c r="T128" t="s">
        <v>371</v>
      </c>
      <c r="U128">
        <v>4.8805780022567382E-3</v>
      </c>
      <c r="V128" t="s">
        <v>254</v>
      </c>
      <c r="X128">
        <v>6.6210045662100456E-3</v>
      </c>
      <c r="Y128">
        <v>9.3631338620523939E-3</v>
      </c>
      <c r="Z128" t="s">
        <v>371</v>
      </c>
      <c r="AA128" t="s">
        <v>25</v>
      </c>
      <c r="AC128" t="s">
        <v>22</v>
      </c>
      <c r="AD128" t="s">
        <v>371</v>
      </c>
      <c r="AE128">
        <v>6.7891447634417113E-3</v>
      </c>
      <c r="AG128" t="s">
        <v>97</v>
      </c>
      <c r="AH128" t="s">
        <v>371</v>
      </c>
      <c r="AI128">
        <v>8.7929598732606751E-2</v>
      </c>
    </row>
    <row r="129" spans="9:35" x14ac:dyDescent="0.45">
      <c r="I129" t="s">
        <v>252</v>
      </c>
      <c r="J129" t="s">
        <v>372</v>
      </c>
      <c r="K129">
        <v>1.234343719504102E-2</v>
      </c>
      <c r="L129" t="s">
        <v>254</v>
      </c>
      <c r="N129" t="s">
        <v>422</v>
      </c>
      <c r="O129" t="s">
        <v>372</v>
      </c>
      <c r="P129">
        <v>5.0837337453974105E-3</v>
      </c>
      <c r="Q129" t="s">
        <v>254</v>
      </c>
      <c r="S129" t="s">
        <v>423</v>
      </c>
      <c r="T129" t="s">
        <v>372</v>
      </c>
      <c r="U129">
        <v>5.3849726412953432E-3</v>
      </c>
      <c r="V129" t="s">
        <v>254</v>
      </c>
      <c r="X129">
        <v>6.6210045662100456E-3</v>
      </c>
      <c r="Y129">
        <v>1.2881518865657292E-2</v>
      </c>
      <c r="Z129" t="s">
        <v>372</v>
      </c>
      <c r="AA129" t="s">
        <v>25</v>
      </c>
      <c r="AC129" t="s">
        <v>22</v>
      </c>
      <c r="AD129" t="s">
        <v>372</v>
      </c>
      <c r="AE129">
        <v>6.7688361998002287E-3</v>
      </c>
      <c r="AG129" t="s">
        <v>97</v>
      </c>
      <c r="AH129" t="s">
        <v>372</v>
      </c>
      <c r="AI129">
        <v>8.3467870185482518E-2</v>
      </c>
    </row>
    <row r="130" spans="9:35" x14ac:dyDescent="0.45">
      <c r="I130" t="s">
        <v>252</v>
      </c>
      <c r="J130" t="s">
        <v>373</v>
      </c>
      <c r="K130">
        <v>2.9161414083775502E-3</v>
      </c>
      <c r="L130" t="s">
        <v>254</v>
      </c>
      <c r="N130" t="s">
        <v>422</v>
      </c>
      <c r="O130" t="s">
        <v>373</v>
      </c>
      <c r="P130">
        <v>1.5757587223409295E-2</v>
      </c>
      <c r="Q130" t="s">
        <v>254</v>
      </c>
      <c r="S130" t="s">
        <v>423</v>
      </c>
      <c r="T130" t="s">
        <v>373</v>
      </c>
      <c r="U130">
        <v>1.6046077480735089E-2</v>
      </c>
      <c r="V130" t="s">
        <v>254</v>
      </c>
      <c r="X130">
        <v>1.9863013698630139E-2</v>
      </c>
      <c r="Y130">
        <v>1.7495794280221105E-2</v>
      </c>
      <c r="Z130" t="s">
        <v>373</v>
      </c>
      <c r="AA130" t="s">
        <v>25</v>
      </c>
      <c r="AC130" t="s">
        <v>22</v>
      </c>
      <c r="AD130" t="s">
        <v>373</v>
      </c>
      <c r="AE130">
        <v>1.8032931401602278E-2</v>
      </c>
      <c r="AG130" t="s">
        <v>97</v>
      </c>
      <c r="AH130" t="s">
        <v>373</v>
      </c>
      <c r="AI130">
        <v>0.17133142462350004</v>
      </c>
    </row>
    <row r="131" spans="9:35" x14ac:dyDescent="0.45">
      <c r="I131" t="s">
        <v>252</v>
      </c>
      <c r="J131" t="s">
        <v>374</v>
      </c>
      <c r="K131">
        <v>0</v>
      </c>
      <c r="L131" t="s">
        <v>254</v>
      </c>
      <c r="N131" t="s">
        <v>422</v>
      </c>
      <c r="O131" t="s">
        <v>374</v>
      </c>
      <c r="P131">
        <v>3.1906148699199427E-5</v>
      </c>
      <c r="Q131" t="s">
        <v>254</v>
      </c>
      <c r="S131" t="s">
        <v>423</v>
      </c>
      <c r="T131" t="s">
        <v>374</v>
      </c>
      <c r="U131">
        <v>3.9771537295658766E-5</v>
      </c>
      <c r="V131" t="s">
        <v>254</v>
      </c>
      <c r="X131">
        <v>1.1415525114155251E-4</v>
      </c>
      <c r="Y131">
        <v>2.1546544680075254E-5</v>
      </c>
      <c r="Z131" t="s">
        <v>374</v>
      </c>
      <c r="AA131" t="s">
        <v>25</v>
      </c>
      <c r="AC131" t="s">
        <v>22</v>
      </c>
      <c r="AD131" t="s">
        <v>374</v>
      </c>
      <c r="AE131">
        <v>8.0133306381066906E-5</v>
      </c>
      <c r="AG131" t="s">
        <v>97</v>
      </c>
      <c r="AH131" t="s">
        <v>374</v>
      </c>
      <c r="AI131">
        <v>0</v>
      </c>
    </row>
    <row r="132" spans="9:35" x14ac:dyDescent="0.45">
      <c r="I132" t="s">
        <v>252</v>
      </c>
      <c r="J132" t="s">
        <v>375</v>
      </c>
      <c r="K132">
        <v>0</v>
      </c>
      <c r="L132" t="s">
        <v>254</v>
      </c>
      <c r="N132" t="s">
        <v>422</v>
      </c>
      <c r="O132" t="s">
        <v>375</v>
      </c>
      <c r="P132">
        <v>3.1294991697989145E-5</v>
      </c>
      <c r="Q132" t="s">
        <v>254</v>
      </c>
      <c r="S132" t="s">
        <v>423</v>
      </c>
      <c r="T132" t="s">
        <v>375</v>
      </c>
      <c r="U132">
        <v>3.5534524949985278E-5</v>
      </c>
      <c r="V132" t="s">
        <v>254</v>
      </c>
      <c r="X132">
        <v>1.1415525114155251E-4</v>
      </c>
      <c r="Y132">
        <v>1.4916838624667481E-5</v>
      </c>
      <c r="Z132" t="s">
        <v>375</v>
      </c>
      <c r="AA132" t="s">
        <v>25</v>
      </c>
      <c r="AC132" t="s">
        <v>22</v>
      </c>
      <c r="AD132" t="s">
        <v>375</v>
      </c>
      <c r="AE132">
        <v>7.901584952998053E-5</v>
      </c>
      <c r="AG132" t="s">
        <v>97</v>
      </c>
      <c r="AH132" t="s">
        <v>375</v>
      </c>
      <c r="AI132">
        <v>0</v>
      </c>
    </row>
    <row r="133" spans="9:35" x14ac:dyDescent="0.45">
      <c r="I133" t="s">
        <v>252</v>
      </c>
      <c r="J133" t="s">
        <v>376</v>
      </c>
      <c r="K133">
        <v>0</v>
      </c>
      <c r="L133" t="s">
        <v>254</v>
      </c>
      <c r="N133" t="s">
        <v>422</v>
      </c>
      <c r="O133" t="s">
        <v>376</v>
      </c>
      <c r="P133">
        <v>3.0735943182498923E-5</v>
      </c>
      <c r="Q133" t="s">
        <v>254</v>
      </c>
      <c r="S133" t="s">
        <v>423</v>
      </c>
      <c r="T133" t="s">
        <v>376</v>
      </c>
      <c r="U133">
        <v>3.2864067496697409E-5</v>
      </c>
      <c r="V133" t="s">
        <v>254</v>
      </c>
      <c r="X133">
        <v>1.1415525114155251E-4</v>
      </c>
      <c r="Y133">
        <v>1.6574265138519424E-5</v>
      </c>
      <c r="Z133" t="s">
        <v>376</v>
      </c>
      <c r="AA133" t="s">
        <v>25</v>
      </c>
      <c r="AC133" t="s">
        <v>22</v>
      </c>
      <c r="AD133" t="s">
        <v>376</v>
      </c>
      <c r="AE133">
        <v>7.901584952998053E-5</v>
      </c>
      <c r="AG133" t="s">
        <v>97</v>
      </c>
      <c r="AH133" t="s">
        <v>376</v>
      </c>
      <c r="AI133">
        <v>0</v>
      </c>
    </row>
    <row r="134" spans="9:35" x14ac:dyDescent="0.45">
      <c r="I134" t="s">
        <v>252</v>
      </c>
      <c r="J134" t="s">
        <v>377</v>
      </c>
      <c r="K134">
        <v>0</v>
      </c>
      <c r="L134" t="s">
        <v>254</v>
      </c>
      <c r="N134" t="s">
        <v>422</v>
      </c>
      <c r="O134" t="s">
        <v>377</v>
      </c>
      <c r="P134">
        <v>3.073102825111934E-5</v>
      </c>
      <c r="Q134" t="s">
        <v>254</v>
      </c>
      <c r="S134" t="s">
        <v>423</v>
      </c>
      <c r="T134" t="s">
        <v>377</v>
      </c>
      <c r="U134">
        <v>3.0869551288963338E-5</v>
      </c>
      <c r="V134" t="s">
        <v>254</v>
      </c>
      <c r="X134">
        <v>1.1415525114155251E-4</v>
      </c>
      <c r="Y134">
        <v>1.4585353321897093E-5</v>
      </c>
      <c r="Z134" t="s">
        <v>377</v>
      </c>
      <c r="AA134" t="s">
        <v>25</v>
      </c>
      <c r="AC134" t="s">
        <v>22</v>
      </c>
      <c r="AD134" t="s">
        <v>377</v>
      </c>
      <c r="AE134">
        <v>8.0048921767598126E-5</v>
      </c>
      <c r="AG134" t="s">
        <v>97</v>
      </c>
      <c r="AH134" t="s">
        <v>377</v>
      </c>
      <c r="AI134">
        <v>0</v>
      </c>
    </row>
    <row r="135" spans="9:35" x14ac:dyDescent="0.45">
      <c r="I135" t="s">
        <v>252</v>
      </c>
      <c r="J135" t="s">
        <v>378</v>
      </c>
      <c r="K135">
        <v>0</v>
      </c>
      <c r="L135" t="s">
        <v>254</v>
      </c>
      <c r="N135" t="s">
        <v>422</v>
      </c>
      <c r="O135" t="s">
        <v>378</v>
      </c>
      <c r="P135">
        <v>2.997846758931142E-5</v>
      </c>
      <c r="Q135" t="s">
        <v>254</v>
      </c>
      <c r="S135" t="s">
        <v>423</v>
      </c>
      <c r="T135" t="s">
        <v>378</v>
      </c>
      <c r="U135">
        <v>2.820041843411405E-5</v>
      </c>
      <c r="V135" t="s">
        <v>254</v>
      </c>
      <c r="X135">
        <v>1.1415525114155251E-4</v>
      </c>
      <c r="Y135">
        <v>2.1215059377304864E-5</v>
      </c>
      <c r="Z135" t="s">
        <v>378</v>
      </c>
      <c r="AA135" t="s">
        <v>25</v>
      </c>
      <c r="AC135" t="s">
        <v>22</v>
      </c>
      <c r="AD135" t="s">
        <v>378</v>
      </c>
      <c r="AE135">
        <v>8.6840604597084124E-5</v>
      </c>
      <c r="AG135" t="s">
        <v>97</v>
      </c>
      <c r="AH135" t="s">
        <v>378</v>
      </c>
      <c r="AI135">
        <v>0</v>
      </c>
    </row>
    <row r="136" spans="9:35" x14ac:dyDescent="0.45">
      <c r="I136" t="s">
        <v>252</v>
      </c>
      <c r="J136" t="s">
        <v>379</v>
      </c>
      <c r="K136">
        <v>0</v>
      </c>
      <c r="L136" t="s">
        <v>254</v>
      </c>
      <c r="N136" t="s">
        <v>422</v>
      </c>
      <c r="O136" t="s">
        <v>379</v>
      </c>
      <c r="P136">
        <v>3.0459138731807801E-5</v>
      </c>
      <c r="Q136" t="s">
        <v>254</v>
      </c>
      <c r="S136" t="s">
        <v>423</v>
      </c>
      <c r="T136" t="s">
        <v>379</v>
      </c>
      <c r="U136">
        <v>2.689804173468857E-5</v>
      </c>
      <c r="V136" t="s">
        <v>254</v>
      </c>
      <c r="X136">
        <v>1.1415525114155251E-4</v>
      </c>
      <c r="Y136">
        <v>5.7678442682047593E-5</v>
      </c>
      <c r="Z136" t="s">
        <v>379</v>
      </c>
      <c r="AA136" t="s">
        <v>25</v>
      </c>
      <c r="AC136" t="s">
        <v>22</v>
      </c>
      <c r="AD136" t="s">
        <v>379</v>
      </c>
      <c r="AE136">
        <v>1.0243385832231207E-4</v>
      </c>
      <c r="AG136" t="s">
        <v>97</v>
      </c>
      <c r="AH136" t="s">
        <v>379</v>
      </c>
      <c r="AI136">
        <v>0</v>
      </c>
    </row>
    <row r="137" spans="9:35" x14ac:dyDescent="0.45">
      <c r="I137" t="s">
        <v>252</v>
      </c>
      <c r="J137" t="s">
        <v>380</v>
      </c>
      <c r="K137">
        <v>4.2057934589133619E-7</v>
      </c>
      <c r="L137" t="s">
        <v>254</v>
      </c>
      <c r="N137" t="s">
        <v>422</v>
      </c>
      <c r="O137" t="s">
        <v>380</v>
      </c>
      <c r="P137">
        <v>3.3171117190108364E-5</v>
      </c>
      <c r="Q137" t="s">
        <v>254</v>
      </c>
      <c r="S137" t="s">
        <v>423</v>
      </c>
      <c r="T137" t="s">
        <v>380</v>
      </c>
      <c r="U137">
        <v>2.7750827675545807E-5</v>
      </c>
      <c r="V137" t="s">
        <v>254</v>
      </c>
      <c r="X137">
        <v>1.1415525114155251E-4</v>
      </c>
      <c r="Y137">
        <v>1.6905750441289813E-4</v>
      </c>
      <c r="Z137" t="s">
        <v>380</v>
      </c>
      <c r="AA137" t="s">
        <v>25</v>
      </c>
      <c r="AC137" t="s">
        <v>22</v>
      </c>
      <c r="AD137" t="s">
        <v>380</v>
      </c>
      <c r="AE137">
        <v>1.1428350374092581E-4</v>
      </c>
      <c r="AG137" t="s">
        <v>97</v>
      </c>
      <c r="AH137" t="s">
        <v>380</v>
      </c>
      <c r="AI137">
        <v>0</v>
      </c>
    </row>
    <row r="138" spans="9:35" x14ac:dyDescent="0.45">
      <c r="I138" t="s">
        <v>252</v>
      </c>
      <c r="J138" t="s">
        <v>381</v>
      </c>
      <c r="K138">
        <v>7.920650429448173E-5</v>
      </c>
      <c r="L138" t="s">
        <v>254</v>
      </c>
      <c r="N138" t="s">
        <v>422</v>
      </c>
      <c r="O138" t="s">
        <v>381</v>
      </c>
      <c r="P138">
        <v>3.1075350932897762E-5</v>
      </c>
      <c r="Q138" t="s">
        <v>254</v>
      </c>
      <c r="S138" t="s">
        <v>423</v>
      </c>
      <c r="T138" t="s">
        <v>381</v>
      </c>
      <c r="U138">
        <v>2.9073628080120008E-5</v>
      </c>
      <c r="V138" t="s">
        <v>254</v>
      </c>
      <c r="X138">
        <v>1.1415525114155251E-4</v>
      </c>
      <c r="Y138">
        <v>1.9060404909297337E-4</v>
      </c>
      <c r="Z138" t="s">
        <v>381</v>
      </c>
      <c r="AA138" t="s">
        <v>25</v>
      </c>
      <c r="AC138" t="s">
        <v>22</v>
      </c>
      <c r="AD138" t="s">
        <v>381</v>
      </c>
      <c r="AE138">
        <v>1.222591282684735E-4</v>
      </c>
      <c r="AG138" t="s">
        <v>97</v>
      </c>
      <c r="AH138" t="s">
        <v>381</v>
      </c>
      <c r="AI138">
        <v>0</v>
      </c>
    </row>
    <row r="139" spans="9:35" x14ac:dyDescent="0.45">
      <c r="I139" t="s">
        <v>252</v>
      </c>
      <c r="J139" t="s">
        <v>382</v>
      </c>
      <c r="K139">
        <v>1.4518628178089999E-4</v>
      </c>
      <c r="L139" t="s">
        <v>254</v>
      </c>
      <c r="N139" t="s">
        <v>422</v>
      </c>
      <c r="O139" t="s">
        <v>382</v>
      </c>
      <c r="P139">
        <v>2.559749757255029E-5</v>
      </c>
      <c r="Q139" t="s">
        <v>254</v>
      </c>
      <c r="S139" t="s">
        <v>423</v>
      </c>
      <c r="T139" t="s">
        <v>382</v>
      </c>
      <c r="U139">
        <v>3.0888147508942493E-5</v>
      </c>
      <c r="V139" t="s">
        <v>254</v>
      </c>
      <c r="X139">
        <v>1.1415525114155251E-4</v>
      </c>
      <c r="Y139">
        <v>1.4585353321897094E-4</v>
      </c>
      <c r="Z139" t="s">
        <v>382</v>
      </c>
      <c r="AA139" t="s">
        <v>25</v>
      </c>
      <c r="AC139" t="s">
        <v>22</v>
      </c>
      <c r="AD139" t="s">
        <v>382</v>
      </c>
      <c r="AE139">
        <v>1.2750120274153311E-4</v>
      </c>
      <c r="AG139" t="s">
        <v>97</v>
      </c>
      <c r="AH139" t="s">
        <v>382</v>
      </c>
      <c r="AI139">
        <v>0</v>
      </c>
    </row>
    <row r="140" spans="9:35" x14ac:dyDescent="0.45">
      <c r="I140" t="s">
        <v>252</v>
      </c>
      <c r="J140" t="s">
        <v>383</v>
      </c>
      <c r="K140">
        <v>2.041808831374E-4</v>
      </c>
      <c r="L140" t="s">
        <v>254</v>
      </c>
      <c r="N140" t="s">
        <v>422</v>
      </c>
      <c r="O140" t="s">
        <v>383</v>
      </c>
      <c r="P140">
        <v>2.1141155240731917E-5</v>
      </c>
      <c r="Q140" t="s">
        <v>254</v>
      </c>
      <c r="S140" t="s">
        <v>423</v>
      </c>
      <c r="T140" t="s">
        <v>383</v>
      </c>
      <c r="U140">
        <v>2.9542421315392777E-5</v>
      </c>
      <c r="V140" t="s">
        <v>254</v>
      </c>
      <c r="X140">
        <v>1.1415525114155251E-4</v>
      </c>
      <c r="Y140">
        <v>1.4452759200788939E-4</v>
      </c>
      <c r="Z140" t="s">
        <v>383</v>
      </c>
      <c r="AA140" t="s">
        <v>25</v>
      </c>
      <c r="AC140" t="s">
        <v>22</v>
      </c>
      <c r="AD140" t="s">
        <v>383</v>
      </c>
      <c r="AE140">
        <v>1.2756768758850849E-4</v>
      </c>
      <c r="AG140" t="s">
        <v>97</v>
      </c>
      <c r="AH140" t="s">
        <v>383</v>
      </c>
      <c r="AI140">
        <v>0</v>
      </c>
    </row>
    <row r="141" spans="9:35" x14ac:dyDescent="0.45">
      <c r="I141" t="s">
        <v>252</v>
      </c>
      <c r="J141" t="s">
        <v>384</v>
      </c>
      <c r="K141">
        <v>2.502357475638E-4</v>
      </c>
      <c r="L141" t="s">
        <v>254</v>
      </c>
      <c r="N141" t="s">
        <v>422</v>
      </c>
      <c r="O141" t="s">
        <v>384</v>
      </c>
      <c r="P141">
        <v>2.1184814862373397E-5</v>
      </c>
      <c r="Q141" t="s">
        <v>254</v>
      </c>
      <c r="S141" t="s">
        <v>423</v>
      </c>
      <c r="T141" t="s">
        <v>384</v>
      </c>
      <c r="U141">
        <v>4.1398065854470639E-5</v>
      </c>
      <c r="V141" t="s">
        <v>254</v>
      </c>
      <c r="X141">
        <v>1.1415525114155251E-4</v>
      </c>
      <c r="Y141">
        <v>1.408812536774151E-4</v>
      </c>
      <c r="Z141" t="s">
        <v>384</v>
      </c>
      <c r="AA141" t="s">
        <v>25</v>
      </c>
      <c r="AC141" t="s">
        <v>22</v>
      </c>
      <c r="AD141" t="s">
        <v>384</v>
      </c>
      <c r="AE141">
        <v>1.2748841719403784E-4</v>
      </c>
      <c r="AG141" t="s">
        <v>97</v>
      </c>
      <c r="AH141" t="s">
        <v>384</v>
      </c>
      <c r="AI141">
        <v>0</v>
      </c>
    </row>
    <row r="142" spans="9:35" x14ac:dyDescent="0.45">
      <c r="I142" t="s">
        <v>252</v>
      </c>
      <c r="J142" t="s">
        <v>385</v>
      </c>
      <c r="K142">
        <v>2.4183660186060001E-4</v>
      </c>
      <c r="L142" t="s">
        <v>254</v>
      </c>
      <c r="N142" t="s">
        <v>422</v>
      </c>
      <c r="O142" t="s">
        <v>385</v>
      </c>
      <c r="P142">
        <v>2.2556789224207856E-5</v>
      </c>
      <c r="Q142" t="s">
        <v>254</v>
      </c>
      <c r="S142" t="s">
        <v>423</v>
      </c>
      <c r="T142" t="s">
        <v>385</v>
      </c>
      <c r="U142">
        <v>5.2281014085653078E-5</v>
      </c>
      <c r="V142" t="s">
        <v>254</v>
      </c>
      <c r="X142">
        <v>1.1415525114155251E-4</v>
      </c>
      <c r="Y142">
        <v>1.4054976837464471E-4</v>
      </c>
      <c r="Z142" t="s">
        <v>385</v>
      </c>
      <c r="AA142" t="s">
        <v>25</v>
      </c>
      <c r="AC142" t="s">
        <v>22</v>
      </c>
      <c r="AD142" t="s">
        <v>385</v>
      </c>
      <c r="AE142">
        <v>1.2704603725070159E-4</v>
      </c>
      <c r="AG142" t="s">
        <v>97</v>
      </c>
      <c r="AH142" t="s">
        <v>385</v>
      </c>
      <c r="AI142">
        <v>0</v>
      </c>
    </row>
    <row r="143" spans="9:35" x14ac:dyDescent="0.45">
      <c r="I143" t="s">
        <v>252</v>
      </c>
      <c r="J143" t="s">
        <v>386</v>
      </c>
      <c r="K143">
        <v>2.1392690628139999E-4</v>
      </c>
      <c r="L143" t="s">
        <v>254</v>
      </c>
      <c r="N143" t="s">
        <v>422</v>
      </c>
      <c r="O143" t="s">
        <v>386</v>
      </c>
      <c r="P143">
        <v>2.6509234262134769E-5</v>
      </c>
      <c r="Q143" t="s">
        <v>254</v>
      </c>
      <c r="S143" t="s">
        <v>423</v>
      </c>
      <c r="T143" t="s">
        <v>386</v>
      </c>
      <c r="U143">
        <v>5.7767525616038342E-5</v>
      </c>
      <c r="V143" t="s">
        <v>254</v>
      </c>
      <c r="X143">
        <v>1.1415525114155251E-4</v>
      </c>
      <c r="Y143">
        <v>1.4253868019126702E-4</v>
      </c>
      <c r="Z143" t="s">
        <v>386</v>
      </c>
      <c r="AA143" t="s">
        <v>25</v>
      </c>
      <c r="AC143" t="s">
        <v>22</v>
      </c>
      <c r="AD143" t="s">
        <v>386</v>
      </c>
      <c r="AE143">
        <v>1.2704603725070159E-4</v>
      </c>
      <c r="AG143" t="s">
        <v>97</v>
      </c>
      <c r="AH143" t="s">
        <v>386</v>
      </c>
      <c r="AI143">
        <v>0</v>
      </c>
    </row>
    <row r="144" spans="9:35" x14ac:dyDescent="0.45">
      <c r="I144" t="s">
        <v>252</v>
      </c>
      <c r="J144" t="s">
        <v>387</v>
      </c>
      <c r="K144">
        <v>2.10345785809E-4</v>
      </c>
      <c r="L144" t="s">
        <v>254</v>
      </c>
      <c r="N144" t="s">
        <v>422</v>
      </c>
      <c r="O144" t="s">
        <v>387</v>
      </c>
      <c r="P144">
        <v>3.029445368942508E-5</v>
      </c>
      <c r="Q144" t="s">
        <v>254</v>
      </c>
      <c r="S144" t="s">
        <v>423</v>
      </c>
      <c r="T144" t="s">
        <v>387</v>
      </c>
      <c r="U144">
        <v>5.5520304496454096E-5</v>
      </c>
      <c r="V144" t="s">
        <v>254</v>
      </c>
      <c r="X144">
        <v>1.1415525114155251E-4</v>
      </c>
      <c r="Y144">
        <v>1.4883690094390442E-4</v>
      </c>
      <c r="Z144" t="s">
        <v>387</v>
      </c>
      <c r="AA144" t="s">
        <v>25</v>
      </c>
      <c r="AC144" t="s">
        <v>22</v>
      </c>
      <c r="AD144" t="s">
        <v>387</v>
      </c>
      <c r="AE144">
        <v>1.2581095336265877E-4</v>
      </c>
      <c r="AG144" t="s">
        <v>97</v>
      </c>
      <c r="AH144" t="s">
        <v>387</v>
      </c>
      <c r="AI144">
        <v>0</v>
      </c>
    </row>
    <row r="145" spans="9:35" x14ac:dyDescent="0.45">
      <c r="I145" t="s">
        <v>252</v>
      </c>
      <c r="J145" t="s">
        <v>388</v>
      </c>
      <c r="K145">
        <v>1.943573956904E-4</v>
      </c>
      <c r="L145" t="s">
        <v>254</v>
      </c>
      <c r="N145" t="s">
        <v>422</v>
      </c>
      <c r="O145" t="s">
        <v>388</v>
      </c>
      <c r="P145">
        <v>3.1274082998777582E-5</v>
      </c>
      <c r="Q145" t="s">
        <v>254</v>
      </c>
      <c r="S145" t="s">
        <v>423</v>
      </c>
      <c r="T145" t="s">
        <v>388</v>
      </c>
      <c r="U145">
        <v>5.0545618168607589E-5</v>
      </c>
      <c r="V145" t="s">
        <v>254</v>
      </c>
      <c r="X145">
        <v>1.1415525114155251E-4</v>
      </c>
      <c r="Y145">
        <v>1.5049432745775637E-4</v>
      </c>
      <c r="Z145" t="s">
        <v>388</v>
      </c>
      <c r="AA145" t="s">
        <v>25</v>
      </c>
      <c r="AC145" t="s">
        <v>22</v>
      </c>
      <c r="AD145" t="s">
        <v>388</v>
      </c>
      <c r="AE145">
        <v>1.2479578089153454E-4</v>
      </c>
      <c r="AG145" t="s">
        <v>97</v>
      </c>
      <c r="AH145" t="s">
        <v>388</v>
      </c>
      <c r="AI145">
        <v>0</v>
      </c>
    </row>
    <row r="146" spans="9:35" x14ac:dyDescent="0.45">
      <c r="I146" t="s">
        <v>252</v>
      </c>
      <c r="J146" t="s">
        <v>389</v>
      </c>
      <c r="K146">
        <v>1.995036049528E-4</v>
      </c>
      <c r="L146" t="s">
        <v>254</v>
      </c>
      <c r="N146" t="s">
        <v>422</v>
      </c>
      <c r="O146" t="s">
        <v>389</v>
      </c>
      <c r="P146">
        <v>3.2057964908343284E-5</v>
      </c>
      <c r="Q146" t="s">
        <v>254</v>
      </c>
      <c r="S146" t="s">
        <v>423</v>
      </c>
      <c r="T146" t="s">
        <v>389</v>
      </c>
      <c r="U146">
        <v>5.1026484633259998E-5</v>
      </c>
      <c r="V146" t="s">
        <v>254</v>
      </c>
      <c r="X146">
        <v>1.1415525114155251E-4</v>
      </c>
      <c r="Y146">
        <v>1.7237235744060203E-4</v>
      </c>
      <c r="Z146" t="s">
        <v>389</v>
      </c>
      <c r="AA146" t="s">
        <v>25</v>
      </c>
      <c r="AC146" t="s">
        <v>22</v>
      </c>
      <c r="AD146" t="s">
        <v>389</v>
      </c>
      <c r="AE146">
        <v>1.2479578089153454E-4</v>
      </c>
      <c r="AG146" t="s">
        <v>97</v>
      </c>
      <c r="AH146" t="s">
        <v>389</v>
      </c>
      <c r="AI146">
        <v>0</v>
      </c>
    </row>
    <row r="147" spans="9:35" x14ac:dyDescent="0.45">
      <c r="I147" t="s">
        <v>252</v>
      </c>
      <c r="J147" t="s">
        <v>390</v>
      </c>
      <c r="K147">
        <v>1.6573924479780001E-4</v>
      </c>
      <c r="L147" t="s">
        <v>254</v>
      </c>
      <c r="N147" t="s">
        <v>422</v>
      </c>
      <c r="O147" t="s">
        <v>390</v>
      </c>
      <c r="P147">
        <v>3.2454689719323502E-5</v>
      </c>
      <c r="Q147" t="s">
        <v>254</v>
      </c>
      <c r="S147" t="s">
        <v>423</v>
      </c>
      <c r="T147" t="s">
        <v>390</v>
      </c>
      <c r="U147">
        <v>5.6775026546545667E-5</v>
      </c>
      <c r="V147" t="s">
        <v>254</v>
      </c>
      <c r="X147">
        <v>1.1415525114155251E-4</v>
      </c>
      <c r="Y147">
        <v>2.2209515285616027E-4</v>
      </c>
      <c r="Z147" t="s">
        <v>390</v>
      </c>
      <c r="AA147" t="s">
        <v>25</v>
      </c>
      <c r="AC147" t="s">
        <v>22</v>
      </c>
      <c r="AD147" t="s">
        <v>390</v>
      </c>
      <c r="AE147">
        <v>1.2449915618964436E-4</v>
      </c>
      <c r="AG147" t="s">
        <v>97</v>
      </c>
      <c r="AH147" t="s">
        <v>390</v>
      </c>
      <c r="AI147">
        <v>0</v>
      </c>
    </row>
    <row r="148" spans="9:35" x14ac:dyDescent="0.45">
      <c r="I148" t="s">
        <v>252</v>
      </c>
      <c r="J148" t="s">
        <v>391</v>
      </c>
      <c r="K148">
        <v>1.296021840101E-4</v>
      </c>
      <c r="L148" t="s">
        <v>254</v>
      </c>
      <c r="N148" t="s">
        <v>422</v>
      </c>
      <c r="O148" t="s">
        <v>391</v>
      </c>
      <c r="P148">
        <v>3.6131670211112543E-5</v>
      </c>
      <c r="Q148" t="s">
        <v>254</v>
      </c>
      <c r="S148" t="s">
        <v>423</v>
      </c>
      <c r="T148" t="s">
        <v>391</v>
      </c>
      <c r="U148">
        <v>6.1719754257643888E-5</v>
      </c>
      <c r="V148" t="s">
        <v>254</v>
      </c>
      <c r="X148">
        <v>1.1415525114155251E-4</v>
      </c>
      <c r="Y148">
        <v>2.2209515285616027E-4</v>
      </c>
      <c r="Z148" t="s">
        <v>391</v>
      </c>
      <c r="AA148" t="s">
        <v>25</v>
      </c>
      <c r="AC148" t="s">
        <v>22</v>
      </c>
      <c r="AD148" t="s">
        <v>391</v>
      </c>
      <c r="AE148">
        <v>1.2449915618964436E-4</v>
      </c>
      <c r="AG148" t="s">
        <v>97</v>
      </c>
      <c r="AH148" t="s">
        <v>391</v>
      </c>
      <c r="AI148">
        <v>0</v>
      </c>
    </row>
    <row r="149" spans="9:35" x14ac:dyDescent="0.45">
      <c r="I149" t="s">
        <v>252</v>
      </c>
      <c r="J149" t="s">
        <v>392</v>
      </c>
      <c r="K149">
        <v>3.5836835413368332E-5</v>
      </c>
      <c r="L149" t="s">
        <v>254</v>
      </c>
      <c r="N149" t="s">
        <v>422</v>
      </c>
      <c r="O149" t="s">
        <v>392</v>
      </c>
      <c r="P149">
        <v>4.0696603219425038E-5</v>
      </c>
      <c r="Q149" t="s">
        <v>254</v>
      </c>
      <c r="S149" t="s">
        <v>423</v>
      </c>
      <c r="T149" t="s">
        <v>392</v>
      </c>
      <c r="U149">
        <v>6.3870972927719506E-5</v>
      </c>
      <c r="V149" t="s">
        <v>254</v>
      </c>
      <c r="X149">
        <v>1.1415525114155251E-4</v>
      </c>
      <c r="Y149">
        <v>1.7237235744060203E-4</v>
      </c>
      <c r="Z149" t="s">
        <v>392</v>
      </c>
      <c r="AA149" t="s">
        <v>25</v>
      </c>
      <c r="AC149" t="s">
        <v>22</v>
      </c>
      <c r="AD149" t="s">
        <v>392</v>
      </c>
      <c r="AE149">
        <v>1.2403376226081662E-4</v>
      </c>
      <c r="AG149" t="s">
        <v>97</v>
      </c>
      <c r="AH149" t="s">
        <v>392</v>
      </c>
      <c r="AI149">
        <v>0</v>
      </c>
    </row>
    <row r="150" spans="9:35" x14ac:dyDescent="0.45">
      <c r="I150" t="s">
        <v>252</v>
      </c>
      <c r="J150" t="s">
        <v>393</v>
      </c>
      <c r="K150">
        <v>0</v>
      </c>
      <c r="L150" t="s">
        <v>254</v>
      </c>
      <c r="N150" t="s">
        <v>422</v>
      </c>
      <c r="O150" t="s">
        <v>393</v>
      </c>
      <c r="P150">
        <v>4.2308317529541901E-5</v>
      </c>
      <c r="Q150" t="s">
        <v>254</v>
      </c>
      <c r="S150" t="s">
        <v>423</v>
      </c>
      <c r="T150" t="s">
        <v>393</v>
      </c>
      <c r="U150">
        <v>7.0200006663653894E-5</v>
      </c>
      <c r="V150" t="s">
        <v>254</v>
      </c>
      <c r="X150">
        <v>1.1415525114155251E-4</v>
      </c>
      <c r="Y150">
        <v>1.5579809230208258E-4</v>
      </c>
      <c r="Z150" t="s">
        <v>393</v>
      </c>
      <c r="AA150" t="s">
        <v>25</v>
      </c>
      <c r="AC150" t="s">
        <v>22</v>
      </c>
      <c r="AD150" t="s">
        <v>393</v>
      </c>
      <c r="AE150">
        <v>1.2184487652962686E-4</v>
      </c>
      <c r="AG150" t="s">
        <v>97</v>
      </c>
      <c r="AH150" t="s">
        <v>393</v>
      </c>
      <c r="AI150">
        <v>0</v>
      </c>
    </row>
    <row r="151" spans="9:35" x14ac:dyDescent="0.45">
      <c r="I151" t="s">
        <v>252</v>
      </c>
      <c r="J151" t="s">
        <v>394</v>
      </c>
      <c r="K151">
        <v>0</v>
      </c>
      <c r="L151" t="s">
        <v>254</v>
      </c>
      <c r="N151" t="s">
        <v>422</v>
      </c>
      <c r="O151" t="s">
        <v>394</v>
      </c>
      <c r="P151">
        <v>4.3387743658370177E-5</v>
      </c>
      <c r="Q151" t="s">
        <v>254</v>
      </c>
      <c r="S151" t="s">
        <v>423</v>
      </c>
      <c r="T151" t="s">
        <v>394</v>
      </c>
      <c r="U151">
        <v>7.4371481878776055E-5</v>
      </c>
      <c r="V151" t="s">
        <v>254</v>
      </c>
      <c r="X151">
        <v>1.1415525114155251E-4</v>
      </c>
      <c r="Y151">
        <v>1.093901499142282E-4</v>
      </c>
      <c r="Z151" t="s">
        <v>394</v>
      </c>
      <c r="AA151" t="s">
        <v>25</v>
      </c>
      <c r="AC151" t="s">
        <v>22</v>
      </c>
      <c r="AD151" t="s">
        <v>394</v>
      </c>
      <c r="AE151">
        <v>1.1550068786247523E-4</v>
      </c>
      <c r="AG151" t="s">
        <v>97</v>
      </c>
      <c r="AH151" t="s">
        <v>394</v>
      </c>
      <c r="AI151">
        <v>0</v>
      </c>
    </row>
    <row r="152" spans="9:35" x14ac:dyDescent="0.45">
      <c r="I152" t="s">
        <v>252</v>
      </c>
      <c r="J152" t="s">
        <v>395</v>
      </c>
      <c r="K152">
        <v>0</v>
      </c>
      <c r="L152" t="s">
        <v>254</v>
      </c>
      <c r="N152" t="s">
        <v>422</v>
      </c>
      <c r="O152" t="s">
        <v>395</v>
      </c>
      <c r="P152">
        <v>5.1022474600594536E-5</v>
      </c>
      <c r="Q152" t="s">
        <v>254</v>
      </c>
      <c r="S152" t="s">
        <v>423</v>
      </c>
      <c r="T152" t="s">
        <v>395</v>
      </c>
      <c r="U152">
        <v>1.002858985674E-4</v>
      </c>
      <c r="V152" t="s">
        <v>254</v>
      </c>
      <c r="X152">
        <v>1.1415525114155251E-4</v>
      </c>
      <c r="Y152">
        <v>7.9556472664893237E-5</v>
      </c>
      <c r="Z152" t="s">
        <v>395</v>
      </c>
      <c r="AA152" t="s">
        <v>25</v>
      </c>
      <c r="AC152" t="s">
        <v>22</v>
      </c>
      <c r="AD152" t="s">
        <v>395</v>
      </c>
      <c r="AE152">
        <v>1.0886754582193058E-4</v>
      </c>
      <c r="AG152" t="s">
        <v>97</v>
      </c>
      <c r="AH152" t="s">
        <v>395</v>
      </c>
      <c r="AI152">
        <v>0</v>
      </c>
    </row>
    <row r="153" spans="9:35" x14ac:dyDescent="0.45">
      <c r="I153" t="s">
        <v>252</v>
      </c>
      <c r="J153" t="s">
        <v>396</v>
      </c>
      <c r="K153">
        <v>0</v>
      </c>
      <c r="L153" t="s">
        <v>254</v>
      </c>
      <c r="N153" t="s">
        <v>422</v>
      </c>
      <c r="O153" t="s">
        <v>396</v>
      </c>
      <c r="P153">
        <v>6.3286378759460268E-5</v>
      </c>
      <c r="Q153" t="s">
        <v>254</v>
      </c>
      <c r="S153" t="s">
        <v>423</v>
      </c>
      <c r="T153" t="s">
        <v>396</v>
      </c>
      <c r="U153">
        <v>1.090800101143E-4</v>
      </c>
      <c r="V153" t="s">
        <v>254</v>
      </c>
      <c r="X153">
        <v>1.1415525114155251E-4</v>
      </c>
      <c r="Y153">
        <v>5.6352501470966035E-5</v>
      </c>
      <c r="Z153" t="s">
        <v>396</v>
      </c>
      <c r="AA153" t="s">
        <v>25</v>
      </c>
      <c r="AC153" t="s">
        <v>22</v>
      </c>
      <c r="AD153" t="s">
        <v>396</v>
      </c>
      <c r="AE153">
        <v>9.5015683665558001E-5</v>
      </c>
      <c r="AG153" t="s">
        <v>97</v>
      </c>
      <c r="AH153" t="s">
        <v>396</v>
      </c>
      <c r="AI153">
        <v>0</v>
      </c>
    </row>
    <row r="154" spans="9:35" x14ac:dyDescent="0.45">
      <c r="I154" t="s">
        <v>252</v>
      </c>
      <c r="J154" t="s">
        <v>397</v>
      </c>
      <c r="K154">
        <v>0</v>
      </c>
      <c r="L154" t="s">
        <v>254</v>
      </c>
      <c r="N154" t="s">
        <v>422</v>
      </c>
      <c r="O154" t="s">
        <v>397</v>
      </c>
      <c r="P154">
        <v>6.9594129018796553E-5</v>
      </c>
      <c r="Q154" t="s">
        <v>254</v>
      </c>
      <c r="S154" t="s">
        <v>423</v>
      </c>
      <c r="T154" t="s">
        <v>397</v>
      </c>
      <c r="U154">
        <v>9.5785287045516674E-5</v>
      </c>
      <c r="V154" t="s">
        <v>254</v>
      </c>
      <c r="X154">
        <v>1.1415525114155251E-4</v>
      </c>
      <c r="Y154">
        <v>2.9833677249334962E-5</v>
      </c>
      <c r="Z154" t="s">
        <v>397</v>
      </c>
      <c r="AA154" t="s">
        <v>25</v>
      </c>
      <c r="AC154" t="s">
        <v>22</v>
      </c>
      <c r="AD154" t="s">
        <v>397</v>
      </c>
      <c r="AE154">
        <v>8.6201327222320756E-5</v>
      </c>
      <c r="AG154" t="s">
        <v>97</v>
      </c>
      <c r="AH154" t="s">
        <v>397</v>
      </c>
      <c r="AI154">
        <v>0</v>
      </c>
    </row>
    <row r="155" spans="9:35" x14ac:dyDescent="0.45">
      <c r="I155" t="s">
        <v>252</v>
      </c>
      <c r="J155" t="s">
        <v>398</v>
      </c>
      <c r="K155">
        <v>3.2958281595258512E-7</v>
      </c>
      <c r="L155" t="s">
        <v>254</v>
      </c>
      <c r="N155" t="s">
        <v>422</v>
      </c>
      <c r="O155" t="s">
        <v>398</v>
      </c>
      <c r="P155">
        <v>3.0734248303117023E-2</v>
      </c>
      <c r="Q155" t="s">
        <v>254</v>
      </c>
      <c r="S155" t="s">
        <v>423</v>
      </c>
      <c r="T155" t="s">
        <v>398</v>
      </c>
      <c r="U155">
        <v>2.86731600145597E-2</v>
      </c>
      <c r="V155" t="s">
        <v>254</v>
      </c>
      <c r="X155">
        <v>2.4771689497716895E-2</v>
      </c>
      <c r="Y155">
        <v>9.7827942553597048E-3</v>
      </c>
      <c r="Z155" t="s">
        <v>398</v>
      </c>
      <c r="AA155" t="s">
        <v>25</v>
      </c>
      <c r="AC155" t="s">
        <v>22</v>
      </c>
      <c r="AD155" t="s">
        <v>398</v>
      </c>
      <c r="AE155">
        <v>1.8463570384942989E-2</v>
      </c>
      <c r="AG155" t="s">
        <v>97</v>
      </c>
      <c r="AH155" t="s">
        <v>398</v>
      </c>
      <c r="AI155">
        <v>0.26158392147292209</v>
      </c>
    </row>
    <row r="156" spans="9:35" x14ac:dyDescent="0.45">
      <c r="I156" t="s">
        <v>252</v>
      </c>
      <c r="J156" t="s">
        <v>399</v>
      </c>
      <c r="K156">
        <v>1.8984719522335222E-3</v>
      </c>
      <c r="L156" t="s">
        <v>254</v>
      </c>
      <c r="N156" t="s">
        <v>422</v>
      </c>
      <c r="O156" t="s">
        <v>399</v>
      </c>
      <c r="P156">
        <v>4.4344888697710307E-3</v>
      </c>
      <c r="Q156" t="s">
        <v>254</v>
      </c>
      <c r="S156" t="s">
        <v>423</v>
      </c>
      <c r="T156" t="s">
        <v>399</v>
      </c>
      <c r="U156">
        <v>4.1685888254161954E-3</v>
      </c>
      <c r="V156" t="s">
        <v>254</v>
      </c>
      <c r="X156">
        <v>3.5388127853881279E-3</v>
      </c>
      <c r="Y156">
        <v>5.9087255218821738E-3</v>
      </c>
      <c r="Z156" t="s">
        <v>399</v>
      </c>
      <c r="AA156" t="s">
        <v>25</v>
      </c>
      <c r="AC156" t="s">
        <v>22</v>
      </c>
      <c r="AD156" t="s">
        <v>399</v>
      </c>
      <c r="AE156">
        <v>3.5211649293716706E-3</v>
      </c>
      <c r="AG156" t="s">
        <v>97</v>
      </c>
      <c r="AH156" t="s">
        <v>399</v>
      </c>
      <c r="AI156">
        <v>7.9840231634114911E-2</v>
      </c>
    </row>
    <row r="157" spans="9:35" x14ac:dyDescent="0.45">
      <c r="I157" t="s">
        <v>252</v>
      </c>
      <c r="J157" t="s">
        <v>400</v>
      </c>
      <c r="K157">
        <v>1.0745151550953907E-2</v>
      </c>
      <c r="L157" t="s">
        <v>254</v>
      </c>
      <c r="N157" t="s">
        <v>422</v>
      </c>
      <c r="O157" t="s">
        <v>400</v>
      </c>
      <c r="P157">
        <v>8.8286100848873218E-3</v>
      </c>
      <c r="Q157" t="s">
        <v>254</v>
      </c>
      <c r="S157" t="s">
        <v>423</v>
      </c>
      <c r="T157" t="s">
        <v>400</v>
      </c>
      <c r="U157">
        <v>8.3054739636949666E-3</v>
      </c>
      <c r="V157" t="s">
        <v>254</v>
      </c>
      <c r="X157">
        <v>7.0776255707762558E-3</v>
      </c>
      <c r="Y157">
        <v>9.0018148820326695E-3</v>
      </c>
      <c r="Z157" t="s">
        <v>400</v>
      </c>
      <c r="AA157" t="s">
        <v>25</v>
      </c>
      <c r="AC157" t="s">
        <v>22</v>
      </c>
      <c r="AD157" t="s">
        <v>400</v>
      </c>
      <c r="AE157">
        <v>7.4816693988852137E-3</v>
      </c>
      <c r="AG157" t="s">
        <v>97</v>
      </c>
      <c r="AH157" t="s">
        <v>400</v>
      </c>
      <c r="AI157">
        <v>6.3218942958019442E-2</v>
      </c>
    </row>
    <row r="158" spans="9:35" x14ac:dyDescent="0.45">
      <c r="I158" t="s">
        <v>252</v>
      </c>
      <c r="J158" t="s">
        <v>401</v>
      </c>
      <c r="K158">
        <v>2.1831181533129931E-2</v>
      </c>
      <c r="L158" t="s">
        <v>254</v>
      </c>
      <c r="N158" t="s">
        <v>422</v>
      </c>
      <c r="O158" t="s">
        <v>401</v>
      </c>
      <c r="P158">
        <v>1.2791133872752417E-2</v>
      </c>
      <c r="Q158" t="s">
        <v>254</v>
      </c>
      <c r="S158" t="s">
        <v>423</v>
      </c>
      <c r="T158" t="s">
        <v>401</v>
      </c>
      <c r="U158">
        <v>1.2222527696226625E-2</v>
      </c>
      <c r="V158" t="s">
        <v>254</v>
      </c>
      <c r="X158">
        <v>1.0616438356164383E-2</v>
      </c>
      <c r="Y158">
        <v>1.3143060769543132E-2</v>
      </c>
      <c r="Z158" t="s">
        <v>401</v>
      </c>
      <c r="AA158" t="s">
        <v>25</v>
      </c>
      <c r="AC158" t="s">
        <v>22</v>
      </c>
      <c r="AD158" t="s">
        <v>401</v>
      </c>
      <c r="AE158">
        <v>1.1209668687197322E-2</v>
      </c>
      <c r="AG158" t="s">
        <v>97</v>
      </c>
      <c r="AH158" t="s">
        <v>401</v>
      </c>
      <c r="AI158">
        <v>6.548258060104617E-2</v>
      </c>
    </row>
    <row r="159" spans="9:35" x14ac:dyDescent="0.45">
      <c r="I159" t="s">
        <v>252</v>
      </c>
      <c r="J159" t="s">
        <v>402</v>
      </c>
      <c r="K159">
        <v>7.2855052323544658E-3</v>
      </c>
      <c r="L159" t="s">
        <v>254</v>
      </c>
      <c r="N159" t="s">
        <v>422</v>
      </c>
      <c r="O159" t="s">
        <v>402</v>
      </c>
      <c r="P159">
        <v>4.2589329846080748E-3</v>
      </c>
      <c r="Q159" t="s">
        <v>254</v>
      </c>
      <c r="S159" t="s">
        <v>423</v>
      </c>
      <c r="T159" t="s">
        <v>402</v>
      </c>
      <c r="U159">
        <v>4.1079596745851685E-3</v>
      </c>
      <c r="V159" t="s">
        <v>254</v>
      </c>
      <c r="X159">
        <v>3.5388127853881279E-3</v>
      </c>
      <c r="Y159">
        <v>4.6139439292610376E-3</v>
      </c>
      <c r="Z159" t="s">
        <v>402</v>
      </c>
      <c r="AA159" t="s">
        <v>25</v>
      </c>
      <c r="AC159" t="s">
        <v>22</v>
      </c>
      <c r="AD159" t="s">
        <v>402</v>
      </c>
      <c r="AE159">
        <v>3.700172822743408E-3</v>
      </c>
      <c r="AG159" t="s">
        <v>97</v>
      </c>
      <c r="AH159" t="s">
        <v>402</v>
      </c>
      <c r="AI159">
        <v>6.666821648959953E-2</v>
      </c>
    </row>
    <row r="160" spans="9:35" x14ac:dyDescent="0.45">
      <c r="I160" t="s">
        <v>252</v>
      </c>
      <c r="J160" t="s">
        <v>403</v>
      </c>
      <c r="K160">
        <v>1.3557370213634876E-2</v>
      </c>
      <c r="L160" t="s">
        <v>254</v>
      </c>
      <c r="N160" t="s">
        <v>422</v>
      </c>
      <c r="O160" t="s">
        <v>403</v>
      </c>
      <c r="P160">
        <v>8.3809070398184055E-3</v>
      </c>
      <c r="Q160" t="s">
        <v>254</v>
      </c>
      <c r="S160" t="s">
        <v>423</v>
      </c>
      <c r="T160" t="s">
        <v>403</v>
      </c>
      <c r="U160">
        <v>8.2800663842089815E-3</v>
      </c>
      <c r="V160" t="s">
        <v>254</v>
      </c>
      <c r="X160">
        <v>7.0776255707762558E-3</v>
      </c>
      <c r="Y160">
        <v>1.0008867231849112E-2</v>
      </c>
      <c r="Z160" t="s">
        <v>403</v>
      </c>
      <c r="AA160" t="s">
        <v>25</v>
      </c>
      <c r="AC160" t="s">
        <v>22</v>
      </c>
      <c r="AD160" t="s">
        <v>403</v>
      </c>
      <c r="AE160">
        <v>7.3484184228895383E-3</v>
      </c>
      <c r="AG160" t="s">
        <v>97</v>
      </c>
      <c r="AH160" t="s">
        <v>403</v>
      </c>
      <c r="AI160">
        <v>7.0312583174223064E-2</v>
      </c>
    </row>
    <row r="161" spans="9:35" x14ac:dyDescent="0.45">
      <c r="I161" t="s">
        <v>252</v>
      </c>
      <c r="J161" t="s">
        <v>404</v>
      </c>
      <c r="K161">
        <v>7.4400963199842329E-3</v>
      </c>
      <c r="L161" t="s">
        <v>254</v>
      </c>
      <c r="N161" t="s">
        <v>422</v>
      </c>
      <c r="O161" t="s">
        <v>404</v>
      </c>
      <c r="P161">
        <v>8.0235516971465456E-3</v>
      </c>
      <c r="Q161" t="s">
        <v>254</v>
      </c>
      <c r="S161" t="s">
        <v>423</v>
      </c>
      <c r="T161" t="s">
        <v>404</v>
      </c>
      <c r="U161">
        <v>8.3079167827620551E-3</v>
      </c>
      <c r="V161" t="s">
        <v>254</v>
      </c>
      <c r="X161">
        <v>7.0776255707762558E-3</v>
      </c>
      <c r="Y161">
        <v>1.376989947708193E-2</v>
      </c>
      <c r="Z161" t="s">
        <v>404</v>
      </c>
      <c r="AA161" t="s">
        <v>25</v>
      </c>
      <c r="AC161" t="s">
        <v>22</v>
      </c>
      <c r="AD161" t="s">
        <v>404</v>
      </c>
      <c r="AE161">
        <v>7.355013208287596E-3</v>
      </c>
      <c r="AG161" t="s">
        <v>97</v>
      </c>
      <c r="AH161" t="s">
        <v>404</v>
      </c>
      <c r="AI161">
        <v>7.3698867732210349E-2</v>
      </c>
    </row>
    <row r="162" spans="9:35" x14ac:dyDescent="0.45">
      <c r="I162" t="s">
        <v>252</v>
      </c>
      <c r="J162" t="s">
        <v>405</v>
      </c>
      <c r="K162">
        <v>2.0476372471086324E-5</v>
      </c>
      <c r="L162" t="s">
        <v>254</v>
      </c>
      <c r="N162" t="s">
        <v>422</v>
      </c>
      <c r="O162" t="s">
        <v>405</v>
      </c>
      <c r="P162">
        <v>2.5153016257585408E-2</v>
      </c>
      <c r="Q162" t="s">
        <v>254</v>
      </c>
      <c r="S162" t="s">
        <v>423</v>
      </c>
      <c r="T162" t="s">
        <v>405</v>
      </c>
      <c r="U162">
        <v>2.471905350643714E-2</v>
      </c>
      <c r="V162" t="s">
        <v>254</v>
      </c>
      <c r="X162">
        <v>2.1232876712328767E-2</v>
      </c>
      <c r="Y162">
        <v>1.8702400782305319E-2</v>
      </c>
      <c r="Z162" t="s">
        <v>405</v>
      </c>
      <c r="AA162" t="s">
        <v>25</v>
      </c>
      <c r="AC162" t="s">
        <v>22</v>
      </c>
      <c r="AD162" t="s">
        <v>405</v>
      </c>
      <c r="AE162">
        <v>1.9619793437954926E-2</v>
      </c>
      <c r="AG162" t="s">
        <v>97</v>
      </c>
      <c r="AH162" t="s">
        <v>405</v>
      </c>
      <c r="AI162">
        <v>0.1673241681685036</v>
      </c>
    </row>
    <row r="163" spans="9:35" x14ac:dyDescent="0.45">
      <c r="I163" t="s">
        <v>252</v>
      </c>
      <c r="J163" t="s">
        <v>406</v>
      </c>
      <c r="K163">
        <v>0</v>
      </c>
      <c r="L163" t="s">
        <v>254</v>
      </c>
      <c r="N163" t="s">
        <v>422</v>
      </c>
      <c r="O163" t="s">
        <v>406</v>
      </c>
      <c r="P163">
        <v>2.931101114839732E-2</v>
      </c>
      <c r="Q163" t="s">
        <v>254</v>
      </c>
      <c r="S163" t="s">
        <v>423</v>
      </c>
      <c r="T163" t="s">
        <v>406</v>
      </c>
      <c r="U163">
        <v>2.7847033930216165E-2</v>
      </c>
      <c r="V163" t="s">
        <v>254</v>
      </c>
      <c r="X163">
        <v>2.3972602739726026E-2</v>
      </c>
      <c r="Y163">
        <v>9.4672202471222967E-3</v>
      </c>
      <c r="Z163" t="s">
        <v>406</v>
      </c>
      <c r="AA163" t="s">
        <v>25</v>
      </c>
      <c r="AC163" t="s">
        <v>22</v>
      </c>
      <c r="AD163" t="s">
        <v>406</v>
      </c>
      <c r="AE163">
        <v>2.0052436889231126E-2</v>
      </c>
      <c r="AG163" t="s">
        <v>97</v>
      </c>
      <c r="AH163" t="s">
        <v>406</v>
      </c>
      <c r="AI163">
        <v>0.29993685127360115</v>
      </c>
    </row>
    <row r="164" spans="9:35" x14ac:dyDescent="0.45">
      <c r="I164" t="s">
        <v>252</v>
      </c>
      <c r="J164" t="s">
        <v>407</v>
      </c>
      <c r="K164">
        <v>6.9595661734516304E-5</v>
      </c>
      <c r="L164" t="s">
        <v>254</v>
      </c>
      <c r="N164" t="s">
        <v>422</v>
      </c>
      <c r="O164" t="s">
        <v>407</v>
      </c>
      <c r="P164">
        <v>4.1448967536828552E-3</v>
      </c>
      <c r="Q164" t="s">
        <v>254</v>
      </c>
      <c r="S164" t="s">
        <v>423</v>
      </c>
      <c r="T164" t="s">
        <v>407</v>
      </c>
      <c r="U164">
        <v>3.9352607163494809E-3</v>
      </c>
      <c r="V164" t="s">
        <v>254</v>
      </c>
      <c r="X164">
        <v>3.4246575342465752E-3</v>
      </c>
      <c r="Y164">
        <v>5.7181214727892006E-3</v>
      </c>
      <c r="Z164" t="s">
        <v>407</v>
      </c>
      <c r="AA164" t="s">
        <v>25</v>
      </c>
      <c r="AC164" t="s">
        <v>22</v>
      </c>
      <c r="AD164" t="s">
        <v>407</v>
      </c>
      <c r="AE164">
        <v>3.9165735287244154E-3</v>
      </c>
      <c r="AG164" t="s">
        <v>97</v>
      </c>
      <c r="AH164" t="s">
        <v>407</v>
      </c>
      <c r="AI164">
        <v>9.6641572988210633E-2</v>
      </c>
    </row>
    <row r="165" spans="9:35" x14ac:dyDescent="0.45">
      <c r="I165" t="s">
        <v>252</v>
      </c>
      <c r="J165" t="s">
        <v>408</v>
      </c>
      <c r="K165">
        <v>6.1529025516527565E-3</v>
      </c>
      <c r="L165" t="s">
        <v>254</v>
      </c>
      <c r="N165" t="s">
        <v>422</v>
      </c>
      <c r="O165" t="s">
        <v>408</v>
      </c>
      <c r="P165">
        <v>8.1377139366058445E-3</v>
      </c>
      <c r="Q165" t="s">
        <v>254</v>
      </c>
      <c r="S165" t="s">
        <v>423</v>
      </c>
      <c r="T165" t="s">
        <v>408</v>
      </c>
      <c r="U165">
        <v>7.8562759010133449E-3</v>
      </c>
      <c r="V165" t="s">
        <v>254</v>
      </c>
      <c r="X165">
        <v>6.8493150684931503E-3</v>
      </c>
      <c r="Y165">
        <v>8.7114337568058101E-3</v>
      </c>
      <c r="Z165" t="s">
        <v>408</v>
      </c>
      <c r="AA165" t="s">
        <v>25</v>
      </c>
      <c r="AC165" t="s">
        <v>22</v>
      </c>
      <c r="AD165" t="s">
        <v>408</v>
      </c>
      <c r="AE165">
        <v>8.1700769192631136E-3</v>
      </c>
      <c r="AG165" t="s">
        <v>97</v>
      </c>
      <c r="AH165" t="s">
        <v>408</v>
      </c>
      <c r="AI165">
        <v>8.8318365814044064E-2</v>
      </c>
    </row>
    <row r="166" spans="9:35" x14ac:dyDescent="0.45">
      <c r="I166" t="s">
        <v>252</v>
      </c>
      <c r="J166" t="s">
        <v>409</v>
      </c>
      <c r="K166">
        <v>1.4808228014460098E-2</v>
      </c>
      <c r="L166" t="s">
        <v>254</v>
      </c>
      <c r="N166" t="s">
        <v>422</v>
      </c>
      <c r="O166" t="s">
        <v>409</v>
      </c>
      <c r="P166">
        <v>1.2782462221910021E-2</v>
      </c>
      <c r="Q166" t="s">
        <v>254</v>
      </c>
      <c r="S166" t="s">
        <v>423</v>
      </c>
      <c r="T166" t="s">
        <v>409</v>
      </c>
      <c r="U166">
        <v>1.1336376707505036E-2</v>
      </c>
      <c r="V166" t="s">
        <v>254</v>
      </c>
      <c r="X166">
        <v>1.0273972602739725E-2</v>
      </c>
      <c r="Y166">
        <v>1.2719091067299805E-2</v>
      </c>
      <c r="Z166" t="s">
        <v>409</v>
      </c>
      <c r="AA166" t="s">
        <v>25</v>
      </c>
      <c r="AC166" t="s">
        <v>22</v>
      </c>
      <c r="AD166" t="s">
        <v>409</v>
      </c>
      <c r="AE166">
        <v>1.2282637548432982E-2</v>
      </c>
      <c r="AG166" t="s">
        <v>97</v>
      </c>
      <c r="AH166" t="s">
        <v>409</v>
      </c>
      <c r="AI166">
        <v>8.524347860116066E-2</v>
      </c>
    </row>
    <row r="167" spans="9:35" x14ac:dyDescent="0.45">
      <c r="I167" t="s">
        <v>252</v>
      </c>
      <c r="J167" t="s">
        <v>410</v>
      </c>
      <c r="K167">
        <v>5.2665416862010123E-3</v>
      </c>
      <c r="L167" t="s">
        <v>254</v>
      </c>
      <c r="N167" t="s">
        <v>422</v>
      </c>
      <c r="O167" t="s">
        <v>410</v>
      </c>
      <c r="P167">
        <v>4.4544946420195762E-3</v>
      </c>
      <c r="Q167" t="s">
        <v>254</v>
      </c>
      <c r="S167" t="s">
        <v>423</v>
      </c>
      <c r="T167" t="s">
        <v>410</v>
      </c>
      <c r="U167">
        <v>3.666573427115692E-3</v>
      </c>
      <c r="V167" t="s">
        <v>254</v>
      </c>
      <c r="X167">
        <v>3.4246575342465752E-3</v>
      </c>
      <c r="Y167">
        <v>4.4651070283171336E-3</v>
      </c>
      <c r="Z167" t="s">
        <v>410</v>
      </c>
      <c r="AA167" t="s">
        <v>25</v>
      </c>
      <c r="AC167" t="s">
        <v>22</v>
      </c>
      <c r="AD167" t="s">
        <v>410</v>
      </c>
      <c r="AE167">
        <v>4.0651825043714063E-3</v>
      </c>
      <c r="AG167" t="s">
        <v>97</v>
      </c>
      <c r="AH167" t="s">
        <v>410</v>
      </c>
      <c r="AI167">
        <v>8.3883454206900465E-2</v>
      </c>
    </row>
    <row r="168" spans="9:35" x14ac:dyDescent="0.45">
      <c r="I168" t="s">
        <v>252</v>
      </c>
      <c r="J168" t="s">
        <v>411</v>
      </c>
      <c r="K168">
        <v>9.6719817741024918E-3</v>
      </c>
      <c r="L168" t="s">
        <v>254</v>
      </c>
      <c r="N168" t="s">
        <v>422</v>
      </c>
      <c r="O168" t="s">
        <v>411</v>
      </c>
      <c r="P168">
        <v>8.8934972559307334E-3</v>
      </c>
      <c r="Q168" t="s">
        <v>254</v>
      </c>
      <c r="S168" t="s">
        <v>423</v>
      </c>
      <c r="T168" t="s">
        <v>411</v>
      </c>
      <c r="U168">
        <v>7.4513489315056712E-3</v>
      </c>
      <c r="V168" t="s">
        <v>254</v>
      </c>
      <c r="X168">
        <v>6.8493150684931503E-3</v>
      </c>
      <c r="Y168">
        <v>9.6860005469507522E-3</v>
      </c>
      <c r="Z168" t="s">
        <v>411</v>
      </c>
      <c r="AA168" t="s">
        <v>25</v>
      </c>
      <c r="AC168" t="s">
        <v>22</v>
      </c>
      <c r="AD168" t="s">
        <v>411</v>
      </c>
      <c r="AE168">
        <v>8.1181445824468363E-3</v>
      </c>
      <c r="AG168" t="s">
        <v>97</v>
      </c>
      <c r="AH168" t="s">
        <v>411</v>
      </c>
      <c r="AI168">
        <v>9.0322808135314681E-2</v>
      </c>
    </row>
    <row r="169" spans="9:35" x14ac:dyDescent="0.45">
      <c r="I169" t="s">
        <v>252</v>
      </c>
      <c r="J169" t="s">
        <v>412</v>
      </c>
      <c r="K169">
        <v>3.0328701328589868E-3</v>
      </c>
      <c r="L169" t="s">
        <v>254</v>
      </c>
      <c r="N169" t="s">
        <v>422</v>
      </c>
      <c r="O169" t="s">
        <v>412</v>
      </c>
      <c r="P169">
        <v>8.9269866837705641E-3</v>
      </c>
      <c r="Q169" t="s">
        <v>254</v>
      </c>
      <c r="S169" t="s">
        <v>423</v>
      </c>
      <c r="T169" t="s">
        <v>412</v>
      </c>
      <c r="U169">
        <v>7.6402466940948379E-3</v>
      </c>
      <c r="V169" t="s">
        <v>254</v>
      </c>
      <c r="X169">
        <v>6.8493150684931503E-3</v>
      </c>
      <c r="Y169">
        <v>1.3325709171369611E-2</v>
      </c>
      <c r="Z169" t="s">
        <v>412</v>
      </c>
      <c r="AA169" t="s">
        <v>25</v>
      </c>
      <c r="AC169" t="s">
        <v>22</v>
      </c>
      <c r="AD169" t="s">
        <v>412</v>
      </c>
      <c r="AE169">
        <v>8.2616291106577238E-3</v>
      </c>
      <c r="AG169" t="s">
        <v>97</v>
      </c>
      <c r="AH169" t="s">
        <v>412</v>
      </c>
      <c r="AI169">
        <v>8.4411488885055563E-2</v>
      </c>
    </row>
    <row r="170" spans="9:35" x14ac:dyDescent="0.45">
      <c r="I170" t="s">
        <v>252</v>
      </c>
      <c r="J170" t="s">
        <v>413</v>
      </c>
      <c r="K170">
        <v>0</v>
      </c>
      <c r="L170" t="s">
        <v>254</v>
      </c>
      <c r="N170" t="s">
        <v>422</v>
      </c>
      <c r="O170" t="s">
        <v>413</v>
      </c>
      <c r="P170">
        <v>2.5727119340730506E-2</v>
      </c>
      <c r="Q170" t="s">
        <v>254</v>
      </c>
      <c r="S170" t="s">
        <v>423</v>
      </c>
      <c r="T170" t="s">
        <v>413</v>
      </c>
      <c r="U170">
        <v>2.3947295215002884E-2</v>
      </c>
      <c r="V170" t="s">
        <v>254</v>
      </c>
      <c r="X170">
        <v>2.0547945205479451E-2</v>
      </c>
      <c r="Y170">
        <v>1.8099097531263209E-2</v>
      </c>
      <c r="Z170" t="s">
        <v>413</v>
      </c>
      <c r="AA170" t="s">
        <v>25</v>
      </c>
      <c r="AC170" t="s">
        <v>22</v>
      </c>
      <c r="AD170" t="s">
        <v>413</v>
      </c>
      <c r="AE170">
        <v>2.1459757666207505E-2</v>
      </c>
      <c r="AG170" t="s">
        <v>97</v>
      </c>
      <c r="AH170" t="s">
        <v>413</v>
      </c>
      <c r="AI170">
        <v>0.20586110636602517</v>
      </c>
    </row>
    <row r="171" spans="9:35" x14ac:dyDescent="0.45">
      <c r="I171" t="s">
        <v>252</v>
      </c>
      <c r="J171" t="s">
        <v>414</v>
      </c>
      <c r="K171">
        <v>0</v>
      </c>
      <c r="L171" t="s">
        <v>254</v>
      </c>
      <c r="N171" t="s">
        <v>422</v>
      </c>
      <c r="O171" t="s">
        <v>414</v>
      </c>
      <c r="P171">
        <v>3.1146804888227204E-2</v>
      </c>
      <c r="Q171" t="s">
        <v>254</v>
      </c>
      <c r="S171" t="s">
        <v>423</v>
      </c>
      <c r="T171" t="s">
        <v>414</v>
      </c>
      <c r="U171">
        <v>2.8793009642577382E-2</v>
      </c>
      <c r="V171" t="s">
        <v>254</v>
      </c>
      <c r="X171">
        <v>2.4771689497716895E-2</v>
      </c>
      <c r="Y171">
        <v>9.7827942553597048E-3</v>
      </c>
      <c r="Z171" t="s">
        <v>414</v>
      </c>
      <c r="AA171" t="s">
        <v>25</v>
      </c>
      <c r="AC171" t="s">
        <v>22</v>
      </c>
      <c r="AD171" t="s">
        <v>414</v>
      </c>
      <c r="AE171">
        <v>2.1425280402942632E-2</v>
      </c>
      <c r="AG171" t="s">
        <v>97</v>
      </c>
      <c r="AH171" t="s">
        <v>414</v>
      </c>
      <c r="AI171">
        <v>0.2947027221455345</v>
      </c>
    </row>
    <row r="172" spans="9:35" x14ac:dyDescent="0.45">
      <c r="I172" t="s">
        <v>252</v>
      </c>
      <c r="J172" t="s">
        <v>415</v>
      </c>
      <c r="K172">
        <v>0</v>
      </c>
      <c r="L172" t="s">
        <v>254</v>
      </c>
      <c r="N172" t="s">
        <v>422</v>
      </c>
      <c r="O172" t="s">
        <v>415</v>
      </c>
      <c r="P172">
        <v>4.31761190741473E-3</v>
      </c>
      <c r="Q172" t="s">
        <v>254</v>
      </c>
      <c r="S172" t="s">
        <v>423</v>
      </c>
      <c r="T172" t="s">
        <v>415</v>
      </c>
      <c r="U172">
        <v>4.1199438315051417E-3</v>
      </c>
      <c r="V172" t="s">
        <v>254</v>
      </c>
      <c r="X172">
        <v>3.5388127853881279E-3</v>
      </c>
      <c r="Y172">
        <v>5.9087255218821738E-3</v>
      </c>
      <c r="Z172" t="s">
        <v>415</v>
      </c>
      <c r="AA172" t="s">
        <v>25</v>
      </c>
      <c r="AC172" t="s">
        <v>22</v>
      </c>
      <c r="AD172" t="s">
        <v>415</v>
      </c>
      <c r="AE172">
        <v>4.1125234349494791E-3</v>
      </c>
      <c r="AG172" t="s">
        <v>97</v>
      </c>
      <c r="AH172" t="s">
        <v>415</v>
      </c>
      <c r="AI172">
        <v>8.4630227908339517E-2</v>
      </c>
    </row>
    <row r="173" spans="9:35" x14ac:dyDescent="0.45">
      <c r="I173" t="s">
        <v>252</v>
      </c>
      <c r="J173" t="s">
        <v>416</v>
      </c>
      <c r="K173">
        <v>6.4038723485293526E-3</v>
      </c>
      <c r="L173" t="s">
        <v>254</v>
      </c>
      <c r="N173" t="s">
        <v>422</v>
      </c>
      <c r="O173" t="s">
        <v>416</v>
      </c>
      <c r="P173">
        <v>8.5232327838381788E-3</v>
      </c>
      <c r="Q173" t="s">
        <v>254</v>
      </c>
      <c r="S173" t="s">
        <v>423</v>
      </c>
      <c r="T173" t="s">
        <v>416</v>
      </c>
      <c r="U173">
        <v>8.239040986961408E-3</v>
      </c>
      <c r="V173" t="s">
        <v>254</v>
      </c>
      <c r="X173">
        <v>7.0776255707762558E-3</v>
      </c>
      <c r="Y173">
        <v>9.0018148820326695E-3</v>
      </c>
      <c r="Z173" t="s">
        <v>416</v>
      </c>
      <c r="AA173" t="s">
        <v>25</v>
      </c>
      <c r="AC173" t="s">
        <v>22</v>
      </c>
      <c r="AD173" t="s">
        <v>416</v>
      </c>
      <c r="AE173">
        <v>8.5682569926429156E-3</v>
      </c>
      <c r="AG173" t="s">
        <v>97</v>
      </c>
      <c r="AH173" t="s">
        <v>416</v>
      </c>
      <c r="AI173">
        <v>7.9188707784562995E-2</v>
      </c>
    </row>
    <row r="174" spans="9:35" x14ac:dyDescent="0.45">
      <c r="I174" t="s">
        <v>252</v>
      </c>
      <c r="J174" t="s">
        <v>417</v>
      </c>
      <c r="K174">
        <v>1.8568084035886397E-2</v>
      </c>
      <c r="L174" t="s">
        <v>254</v>
      </c>
      <c r="N174" t="s">
        <v>422</v>
      </c>
      <c r="O174" t="s">
        <v>417</v>
      </c>
      <c r="P174">
        <v>1.243096882230536E-2</v>
      </c>
      <c r="Q174" t="s">
        <v>254</v>
      </c>
      <c r="S174" t="s">
        <v>423</v>
      </c>
      <c r="T174" t="s">
        <v>417</v>
      </c>
      <c r="U174">
        <v>1.207865958376843E-2</v>
      </c>
      <c r="V174" t="s">
        <v>254</v>
      </c>
      <c r="X174">
        <v>1.0616438356164383E-2</v>
      </c>
      <c r="Y174">
        <v>1.3143060769543132E-2</v>
      </c>
      <c r="Z174" t="s">
        <v>417</v>
      </c>
      <c r="AA174" t="s">
        <v>25</v>
      </c>
      <c r="AC174" t="s">
        <v>22</v>
      </c>
      <c r="AD174" t="s">
        <v>417</v>
      </c>
      <c r="AE174">
        <v>1.2785028667649806E-2</v>
      </c>
      <c r="AG174" t="s">
        <v>97</v>
      </c>
      <c r="AH174" t="s">
        <v>417</v>
      </c>
      <c r="AI174">
        <v>8.0668699840730218E-2</v>
      </c>
    </row>
    <row r="175" spans="9:35" x14ac:dyDescent="0.45">
      <c r="I175" t="s">
        <v>252</v>
      </c>
      <c r="J175" t="s">
        <v>418</v>
      </c>
      <c r="K175">
        <v>6.5515329450327254E-3</v>
      </c>
      <c r="L175" t="s">
        <v>254</v>
      </c>
      <c r="N175" t="s">
        <v>422</v>
      </c>
      <c r="O175" t="s">
        <v>418</v>
      </c>
      <c r="P175">
        <v>4.1898215208638848E-3</v>
      </c>
      <c r="Q175" t="s">
        <v>254</v>
      </c>
      <c r="S175" t="s">
        <v>423</v>
      </c>
      <c r="T175" t="s">
        <v>418</v>
      </c>
      <c r="U175">
        <v>3.9982360424480265E-3</v>
      </c>
      <c r="V175" t="s">
        <v>254</v>
      </c>
      <c r="X175">
        <v>3.5388127853881279E-3</v>
      </c>
      <c r="Y175">
        <v>4.6139439292610376E-3</v>
      </c>
      <c r="Z175" t="s">
        <v>418</v>
      </c>
      <c r="AA175" t="s">
        <v>25</v>
      </c>
      <c r="AC175" t="s">
        <v>22</v>
      </c>
      <c r="AD175" t="s">
        <v>418</v>
      </c>
      <c r="AE175">
        <v>4.2043748081554795E-3</v>
      </c>
      <c r="AG175" t="s">
        <v>97</v>
      </c>
      <c r="AH175" t="s">
        <v>418</v>
      </c>
      <c r="AI175">
        <v>7.6650597053711245E-2</v>
      </c>
    </row>
    <row r="176" spans="9:35" x14ac:dyDescent="0.45">
      <c r="I176" t="s">
        <v>252</v>
      </c>
      <c r="J176" t="s">
        <v>419</v>
      </c>
      <c r="K176">
        <v>1.3234551289396075E-2</v>
      </c>
      <c r="L176" t="s">
        <v>254</v>
      </c>
      <c r="N176" t="s">
        <v>422</v>
      </c>
      <c r="O176" t="s">
        <v>419</v>
      </c>
      <c r="P176">
        <v>8.4239938906834257E-3</v>
      </c>
      <c r="Q176" t="s">
        <v>254</v>
      </c>
      <c r="S176" t="s">
        <v>423</v>
      </c>
      <c r="T176" t="s">
        <v>419</v>
      </c>
      <c r="U176">
        <v>8.1432231404651167E-3</v>
      </c>
      <c r="V176" t="s">
        <v>254</v>
      </c>
      <c r="X176">
        <v>7.0776255707762558E-3</v>
      </c>
      <c r="Y176">
        <v>1.0008867231849112E-2</v>
      </c>
      <c r="Z176" t="s">
        <v>419</v>
      </c>
      <c r="AA176" t="s">
        <v>25</v>
      </c>
      <c r="AC176" t="s">
        <v>22</v>
      </c>
      <c r="AD176" t="s">
        <v>419</v>
      </c>
      <c r="AE176">
        <v>8.4036328402033542E-3</v>
      </c>
      <c r="AG176" t="s">
        <v>97</v>
      </c>
      <c r="AH176" t="s">
        <v>419</v>
      </c>
      <c r="AI176">
        <v>7.9590932437562545E-2</v>
      </c>
    </row>
    <row r="177" spans="9:35" x14ac:dyDescent="0.45">
      <c r="I177" t="s">
        <v>252</v>
      </c>
      <c r="J177" t="s">
        <v>420</v>
      </c>
      <c r="K177">
        <v>3.9746287768223278E-3</v>
      </c>
      <c r="L177" t="s">
        <v>254</v>
      </c>
      <c r="N177" t="s">
        <v>422</v>
      </c>
      <c r="O177" t="s">
        <v>420</v>
      </c>
      <c r="P177">
        <v>8.7486588963055899E-3</v>
      </c>
      <c r="Q177" t="s">
        <v>254</v>
      </c>
      <c r="S177" t="s">
        <v>423</v>
      </c>
      <c r="T177" t="s">
        <v>420</v>
      </c>
      <c r="U177">
        <v>8.3249273270211421E-3</v>
      </c>
      <c r="V177" t="s">
        <v>254</v>
      </c>
      <c r="X177">
        <v>7.0776255707762558E-3</v>
      </c>
      <c r="Y177">
        <v>1.376989947708193E-2</v>
      </c>
      <c r="Z177" t="s">
        <v>420</v>
      </c>
      <c r="AA177" t="s">
        <v>25</v>
      </c>
      <c r="AC177" t="s">
        <v>22</v>
      </c>
      <c r="AD177" t="s">
        <v>420</v>
      </c>
      <c r="AE177">
        <v>8.6302720122139603E-3</v>
      </c>
      <c r="AG177" t="s">
        <v>97</v>
      </c>
      <c r="AH177" t="s">
        <v>420</v>
      </c>
      <c r="AI177">
        <v>7.2305314486669214E-2</v>
      </c>
    </row>
    <row r="178" spans="9:35" x14ac:dyDescent="0.45">
      <c r="I178" t="s">
        <v>252</v>
      </c>
      <c r="J178" t="s">
        <v>421</v>
      </c>
      <c r="K178">
        <v>0</v>
      </c>
      <c r="L178" t="s">
        <v>254</v>
      </c>
      <c r="N178" t="s">
        <v>422</v>
      </c>
      <c r="O178" t="s">
        <v>421</v>
      </c>
      <c r="P178">
        <v>2.8229797330429289E-2</v>
      </c>
      <c r="Q178" t="s">
        <v>254</v>
      </c>
      <c r="S178" t="s">
        <v>423</v>
      </c>
      <c r="T178" t="s">
        <v>421</v>
      </c>
      <c r="U178">
        <v>2.4994685761360526E-2</v>
      </c>
      <c r="V178" t="s">
        <v>254</v>
      </c>
      <c r="X178">
        <v>2.1232876712328767E-2</v>
      </c>
      <c r="Y178">
        <v>1.8702400782305319E-2</v>
      </c>
      <c r="Z178" t="s">
        <v>421</v>
      </c>
      <c r="AA178" t="s">
        <v>25</v>
      </c>
      <c r="AC178" t="s">
        <v>22</v>
      </c>
      <c r="AD178" t="s">
        <v>421</v>
      </c>
      <c r="AE178">
        <v>2.2314284150476777E-2</v>
      </c>
      <c r="AG178" t="s">
        <v>97</v>
      </c>
      <c r="AH178" t="s">
        <v>421</v>
      </c>
      <c r="AI178">
        <v>0.19559280053890871</v>
      </c>
    </row>
    <row r="179" spans="9:35" x14ac:dyDescent="0.45">
      <c r="AC179" t="s">
        <v>19</v>
      </c>
      <c r="AD179" t="s">
        <v>253</v>
      </c>
      <c r="AE179">
        <v>2.3608462951731045E-2</v>
      </c>
    </row>
    <row r="180" spans="9:35" x14ac:dyDescent="0.45">
      <c r="AC180" t="s">
        <v>19</v>
      </c>
      <c r="AD180" t="s">
        <v>255</v>
      </c>
      <c r="AE180">
        <v>3.4576537755749122E-3</v>
      </c>
    </row>
    <row r="181" spans="9:35" x14ac:dyDescent="0.45">
      <c r="AC181" t="s">
        <v>19</v>
      </c>
      <c r="AD181" t="s">
        <v>256</v>
      </c>
      <c r="AE181">
        <v>6.9324487589130408E-3</v>
      </c>
    </row>
    <row r="182" spans="9:35" x14ac:dyDescent="0.45">
      <c r="AC182" t="s">
        <v>19</v>
      </c>
      <c r="AD182" t="s">
        <v>257</v>
      </c>
      <c r="AE182">
        <v>1.0403940019518445E-2</v>
      </c>
    </row>
    <row r="183" spans="9:35" x14ac:dyDescent="0.45">
      <c r="AC183" t="s">
        <v>19</v>
      </c>
      <c r="AD183" t="s">
        <v>258</v>
      </c>
      <c r="AE183">
        <v>3.4665409751795041E-3</v>
      </c>
    </row>
    <row r="184" spans="9:35" x14ac:dyDescent="0.45">
      <c r="AC184" t="s">
        <v>19</v>
      </c>
      <c r="AD184" t="s">
        <v>259</v>
      </c>
      <c r="AE184">
        <v>6.9336140885377468E-3</v>
      </c>
    </row>
    <row r="185" spans="9:35" x14ac:dyDescent="0.45">
      <c r="AC185" t="s">
        <v>19</v>
      </c>
      <c r="AD185" t="s">
        <v>260</v>
      </c>
      <c r="AE185">
        <v>6.9411429354229266E-3</v>
      </c>
    </row>
    <row r="186" spans="9:35" x14ac:dyDescent="0.45">
      <c r="AC186" t="s">
        <v>19</v>
      </c>
      <c r="AD186" t="s">
        <v>261</v>
      </c>
      <c r="AE186">
        <v>2.0525357623227054E-2</v>
      </c>
    </row>
    <row r="187" spans="9:35" x14ac:dyDescent="0.45">
      <c r="AC187" t="s">
        <v>19</v>
      </c>
      <c r="AD187" t="s">
        <v>262</v>
      </c>
      <c r="AE187">
        <v>1.118275529419466E-4</v>
      </c>
    </row>
    <row r="188" spans="9:35" x14ac:dyDescent="0.45">
      <c r="AC188" t="s">
        <v>19</v>
      </c>
      <c r="AD188" t="s">
        <v>263</v>
      </c>
      <c r="AE188">
        <v>1.1160349476142498E-4</v>
      </c>
    </row>
    <row r="189" spans="9:35" x14ac:dyDescent="0.45">
      <c r="AC189" t="s">
        <v>19</v>
      </c>
      <c r="AD189" t="s">
        <v>264</v>
      </c>
      <c r="AE189">
        <v>1.115686749090466E-4</v>
      </c>
    </row>
    <row r="190" spans="9:35" x14ac:dyDescent="0.45">
      <c r="AC190" t="s">
        <v>19</v>
      </c>
      <c r="AD190" t="s">
        <v>265</v>
      </c>
      <c r="AE190">
        <v>1.1162260783256744E-4</v>
      </c>
    </row>
    <row r="191" spans="9:35" x14ac:dyDescent="0.45">
      <c r="AC191" t="s">
        <v>19</v>
      </c>
      <c r="AD191" t="s">
        <v>266</v>
      </c>
      <c r="AE191">
        <v>1.1207942915670526E-4</v>
      </c>
    </row>
    <row r="192" spans="9:35" x14ac:dyDescent="0.45">
      <c r="AC192" t="s">
        <v>19</v>
      </c>
      <c r="AD192" t="s">
        <v>267</v>
      </c>
      <c r="AE192">
        <v>1.1359995912333636E-4</v>
      </c>
    </row>
    <row r="193" spans="29:31" x14ac:dyDescent="0.45">
      <c r="AC193" t="s">
        <v>19</v>
      </c>
      <c r="AD193" t="s">
        <v>268</v>
      </c>
      <c r="AE193">
        <v>1.1483341454617408E-4</v>
      </c>
    </row>
    <row r="194" spans="29:31" x14ac:dyDescent="0.45">
      <c r="AC194" t="s">
        <v>19</v>
      </c>
      <c r="AD194" t="s">
        <v>269</v>
      </c>
      <c r="AE194">
        <v>1.1538409808107099E-4</v>
      </c>
    </row>
    <row r="195" spans="29:31" x14ac:dyDescent="0.45">
      <c r="AC195" t="s">
        <v>19</v>
      </c>
      <c r="AD195" t="s">
        <v>270</v>
      </c>
      <c r="AE195">
        <v>1.1561194102815545E-4</v>
      </c>
    </row>
    <row r="196" spans="29:31" x14ac:dyDescent="0.45">
      <c r="AC196" t="s">
        <v>19</v>
      </c>
      <c r="AD196" t="s">
        <v>271</v>
      </c>
      <c r="AE196">
        <v>1.156851762611469E-4</v>
      </c>
    </row>
    <row r="197" spans="29:31" x14ac:dyDescent="0.45">
      <c r="AC197" t="s">
        <v>19</v>
      </c>
      <c r="AD197" t="s">
        <v>272</v>
      </c>
      <c r="AE197">
        <v>1.1563767744078294E-4</v>
      </c>
    </row>
    <row r="198" spans="29:31" x14ac:dyDescent="0.45">
      <c r="AC198" t="s">
        <v>19</v>
      </c>
      <c r="AD198" t="s">
        <v>273</v>
      </c>
      <c r="AE198">
        <v>1.1555498029138435E-4</v>
      </c>
    </row>
    <row r="199" spans="29:31" x14ac:dyDescent="0.45">
      <c r="AC199" t="s">
        <v>19</v>
      </c>
      <c r="AD199" t="s">
        <v>274</v>
      </c>
      <c r="AE199">
        <v>1.1547133695034502E-4</v>
      </c>
    </row>
    <row r="200" spans="29:31" x14ac:dyDescent="0.45">
      <c r="AC200" t="s">
        <v>19</v>
      </c>
      <c r="AD200" t="s">
        <v>275</v>
      </c>
      <c r="AE200">
        <v>1.1546187503393786E-4</v>
      </c>
    </row>
    <row r="201" spans="29:31" x14ac:dyDescent="0.45">
      <c r="AC201" t="s">
        <v>19</v>
      </c>
      <c r="AD201" t="s">
        <v>276</v>
      </c>
      <c r="AE201">
        <v>1.154034003905416E-4</v>
      </c>
    </row>
    <row r="202" spans="29:31" x14ac:dyDescent="0.45">
      <c r="AC202" t="s">
        <v>19</v>
      </c>
      <c r="AD202" t="s">
        <v>277</v>
      </c>
      <c r="AE202">
        <v>1.1537539311797638E-4</v>
      </c>
    </row>
    <row r="203" spans="29:31" x14ac:dyDescent="0.45">
      <c r="AC203" t="s">
        <v>19</v>
      </c>
      <c r="AD203" t="s">
        <v>278</v>
      </c>
      <c r="AE203">
        <v>1.1546887685207917E-4</v>
      </c>
    </row>
    <row r="204" spans="29:31" x14ac:dyDescent="0.45">
      <c r="AC204" t="s">
        <v>19</v>
      </c>
      <c r="AD204" t="s">
        <v>279</v>
      </c>
      <c r="AE204">
        <v>1.155644422077915E-4</v>
      </c>
    </row>
    <row r="205" spans="29:31" x14ac:dyDescent="0.45">
      <c r="AC205" t="s">
        <v>19</v>
      </c>
      <c r="AD205" t="s">
        <v>280</v>
      </c>
      <c r="AE205">
        <v>1.1562916171601649E-4</v>
      </c>
    </row>
    <row r="206" spans="29:31" x14ac:dyDescent="0.45">
      <c r="AC206" t="s">
        <v>19</v>
      </c>
      <c r="AD206" t="s">
        <v>281</v>
      </c>
      <c r="AE206">
        <v>1.1551183395256767E-4</v>
      </c>
    </row>
    <row r="207" spans="29:31" x14ac:dyDescent="0.45">
      <c r="AC207" t="s">
        <v>19</v>
      </c>
      <c r="AD207" t="s">
        <v>282</v>
      </c>
      <c r="AE207">
        <v>1.1455504496547536E-4</v>
      </c>
    </row>
    <row r="208" spans="29:31" x14ac:dyDescent="0.45">
      <c r="AC208" t="s">
        <v>19</v>
      </c>
      <c r="AD208" t="s">
        <v>283</v>
      </c>
      <c r="AE208">
        <v>1.1377159828696228E-4</v>
      </c>
    </row>
    <row r="209" spans="29:31" x14ac:dyDescent="0.45">
      <c r="AC209" t="s">
        <v>19</v>
      </c>
      <c r="AD209" t="s">
        <v>284</v>
      </c>
      <c r="AE209">
        <v>1.1302297146082756E-4</v>
      </c>
    </row>
    <row r="210" spans="29:31" x14ac:dyDescent="0.45">
      <c r="AC210" t="s">
        <v>19</v>
      </c>
      <c r="AD210" t="s">
        <v>285</v>
      </c>
      <c r="AE210">
        <v>1.1203722900952933E-4</v>
      </c>
    </row>
    <row r="211" spans="29:31" x14ac:dyDescent="0.45">
      <c r="AC211" t="s">
        <v>19</v>
      </c>
      <c r="AD211" t="s">
        <v>286</v>
      </c>
      <c r="AE211">
        <v>2.2061060703644643E-2</v>
      </c>
    </row>
    <row r="212" spans="29:31" x14ac:dyDescent="0.45">
      <c r="AC212" t="s">
        <v>19</v>
      </c>
      <c r="AD212" t="s">
        <v>287</v>
      </c>
      <c r="AE212">
        <v>3.2296815430522137E-3</v>
      </c>
    </row>
    <row r="213" spans="29:31" x14ac:dyDescent="0.45">
      <c r="AC213" t="s">
        <v>19</v>
      </c>
      <c r="AD213" t="s">
        <v>288</v>
      </c>
      <c r="AE213">
        <v>6.4722697077987824E-3</v>
      </c>
    </row>
    <row r="214" spans="29:31" x14ac:dyDescent="0.45">
      <c r="AC214" t="s">
        <v>19</v>
      </c>
      <c r="AD214" t="s">
        <v>289</v>
      </c>
      <c r="AE214">
        <v>9.7050672491622025E-3</v>
      </c>
    </row>
    <row r="215" spans="29:31" x14ac:dyDescent="0.45">
      <c r="AC215" t="s">
        <v>19</v>
      </c>
      <c r="AD215" t="s">
        <v>290</v>
      </c>
      <c r="AE215">
        <v>3.232914301411885E-3</v>
      </c>
    </row>
    <row r="216" spans="29:31" x14ac:dyDescent="0.45">
      <c r="AC216" t="s">
        <v>19</v>
      </c>
      <c r="AD216" t="s">
        <v>291</v>
      </c>
      <c r="AE216">
        <v>6.4662581738286562E-3</v>
      </c>
    </row>
    <row r="217" spans="29:31" x14ac:dyDescent="0.45">
      <c r="AC217" t="s">
        <v>19</v>
      </c>
      <c r="AD217" t="s">
        <v>292</v>
      </c>
      <c r="AE217">
        <v>6.4751328837035901E-3</v>
      </c>
    </row>
    <row r="218" spans="29:31" x14ac:dyDescent="0.45">
      <c r="AC218" t="s">
        <v>19</v>
      </c>
      <c r="AD218" t="s">
        <v>293</v>
      </c>
      <c r="AE218">
        <v>1.9151317210927762E-2</v>
      </c>
    </row>
    <row r="219" spans="29:31" x14ac:dyDescent="0.45">
      <c r="AC219" t="s">
        <v>19</v>
      </c>
      <c r="AD219" t="s">
        <v>294</v>
      </c>
      <c r="AE219">
        <v>2.4432411551340204E-2</v>
      </c>
    </row>
    <row r="220" spans="29:31" x14ac:dyDescent="0.45">
      <c r="AC220" t="s">
        <v>19</v>
      </c>
      <c r="AD220" t="s">
        <v>295</v>
      </c>
      <c r="AE220">
        <v>3.5675608551710924E-3</v>
      </c>
    </row>
    <row r="221" spans="29:31" x14ac:dyDescent="0.45">
      <c r="AC221" t="s">
        <v>19</v>
      </c>
      <c r="AD221" t="s">
        <v>296</v>
      </c>
      <c r="AE221">
        <v>7.1577780799408084E-3</v>
      </c>
    </row>
    <row r="222" spans="29:31" x14ac:dyDescent="0.45">
      <c r="AC222" t="s">
        <v>19</v>
      </c>
      <c r="AD222" t="s">
        <v>297</v>
      </c>
      <c r="AE222">
        <v>1.0730786917340819E-2</v>
      </c>
    </row>
    <row r="223" spans="29:31" x14ac:dyDescent="0.45">
      <c r="AC223" t="s">
        <v>19</v>
      </c>
      <c r="AD223" t="s">
        <v>298</v>
      </c>
      <c r="AE223">
        <v>3.5732902347939584E-3</v>
      </c>
    </row>
    <row r="224" spans="29:31" x14ac:dyDescent="0.45">
      <c r="AC224" t="s">
        <v>19</v>
      </c>
      <c r="AD224" t="s">
        <v>299</v>
      </c>
      <c r="AE224">
        <v>7.1447781637506797E-3</v>
      </c>
    </row>
    <row r="225" spans="29:31" x14ac:dyDescent="0.45">
      <c r="AC225" t="s">
        <v>19</v>
      </c>
      <c r="AD225" t="s">
        <v>300</v>
      </c>
      <c r="AE225">
        <v>7.1547004970102151E-3</v>
      </c>
    </row>
    <row r="226" spans="29:31" x14ac:dyDescent="0.45">
      <c r="AC226" t="s">
        <v>19</v>
      </c>
      <c r="AD226" t="s">
        <v>301</v>
      </c>
      <c r="AE226">
        <v>2.1210920477999422E-2</v>
      </c>
    </row>
    <row r="227" spans="29:31" x14ac:dyDescent="0.45">
      <c r="AC227" t="s">
        <v>19</v>
      </c>
      <c r="AD227" t="s">
        <v>302</v>
      </c>
      <c r="AE227">
        <v>2.3682791462922036E-2</v>
      </c>
    </row>
    <row r="228" spans="29:31" x14ac:dyDescent="0.45">
      <c r="AC228" t="s">
        <v>19</v>
      </c>
      <c r="AD228" t="s">
        <v>303</v>
      </c>
      <c r="AE228">
        <v>3.4533939736514372E-3</v>
      </c>
    </row>
    <row r="229" spans="29:31" x14ac:dyDescent="0.45">
      <c r="AC229" t="s">
        <v>19</v>
      </c>
      <c r="AD229" t="s">
        <v>304</v>
      </c>
      <c r="AE229">
        <v>6.9207834463373653E-3</v>
      </c>
    </row>
    <row r="230" spans="29:31" x14ac:dyDescent="0.45">
      <c r="AC230" t="s">
        <v>19</v>
      </c>
      <c r="AD230" t="s">
        <v>305</v>
      </c>
      <c r="AE230">
        <v>1.0370268134606019E-2</v>
      </c>
    </row>
    <row r="231" spans="29:31" x14ac:dyDescent="0.45">
      <c r="AC231" t="s">
        <v>19</v>
      </c>
      <c r="AD231" t="s">
        <v>306</v>
      </c>
      <c r="AE231">
        <v>3.4537794521258651E-3</v>
      </c>
    </row>
    <row r="232" spans="29:31" x14ac:dyDescent="0.45">
      <c r="AC232" t="s">
        <v>19</v>
      </c>
      <c r="AD232" t="s">
        <v>307</v>
      </c>
      <c r="AE232">
        <v>6.9054458690796829E-3</v>
      </c>
    </row>
    <row r="233" spans="29:31" x14ac:dyDescent="0.45">
      <c r="AC233" t="s">
        <v>19</v>
      </c>
      <c r="AD233" t="s">
        <v>308</v>
      </c>
      <c r="AE233">
        <v>6.906657562094784E-3</v>
      </c>
    </row>
    <row r="234" spans="29:31" x14ac:dyDescent="0.45">
      <c r="AC234" t="s">
        <v>19</v>
      </c>
      <c r="AD234" t="s">
        <v>309</v>
      </c>
      <c r="AE234">
        <v>2.0495156606258523E-2</v>
      </c>
    </row>
    <row r="235" spans="29:31" x14ac:dyDescent="0.45">
      <c r="AC235" t="s">
        <v>19</v>
      </c>
      <c r="AD235" t="s">
        <v>310</v>
      </c>
      <c r="AE235">
        <v>2.445360623936129E-2</v>
      </c>
    </row>
    <row r="236" spans="29:31" x14ac:dyDescent="0.45">
      <c r="AC236" t="s">
        <v>19</v>
      </c>
      <c r="AD236" t="s">
        <v>311</v>
      </c>
      <c r="AE236">
        <v>3.5637901726707994E-3</v>
      </c>
    </row>
    <row r="237" spans="29:31" x14ac:dyDescent="0.45">
      <c r="AC237" t="s">
        <v>19</v>
      </c>
      <c r="AD237" t="s">
        <v>312</v>
      </c>
      <c r="AE237">
        <v>7.144888839786894E-3</v>
      </c>
    </row>
    <row r="238" spans="29:31" x14ac:dyDescent="0.45">
      <c r="AC238" t="s">
        <v>19</v>
      </c>
      <c r="AD238" t="s">
        <v>313</v>
      </c>
      <c r="AE238">
        <v>1.0711892468507895E-2</v>
      </c>
    </row>
    <row r="239" spans="29:31" x14ac:dyDescent="0.45">
      <c r="AC239" t="s">
        <v>19</v>
      </c>
      <c r="AD239" t="s">
        <v>314</v>
      </c>
      <c r="AE239">
        <v>3.5676949163337079E-3</v>
      </c>
    </row>
    <row r="240" spans="29:31" x14ac:dyDescent="0.45">
      <c r="AC240" t="s">
        <v>19</v>
      </c>
      <c r="AD240" t="s">
        <v>315</v>
      </c>
      <c r="AE240">
        <v>7.1320632120969851E-3</v>
      </c>
    </row>
    <row r="241" spans="29:31" x14ac:dyDescent="0.45">
      <c r="AC241" t="s">
        <v>19</v>
      </c>
      <c r="AD241" t="s">
        <v>316</v>
      </c>
      <c r="AE241">
        <v>7.1327832639355698E-3</v>
      </c>
    </row>
    <row r="242" spans="29:31" x14ac:dyDescent="0.45">
      <c r="AC242" t="s">
        <v>19</v>
      </c>
      <c r="AD242" t="s">
        <v>317</v>
      </c>
      <c r="AE242">
        <v>2.1195618960105168E-2</v>
      </c>
    </row>
    <row r="243" spans="29:31" x14ac:dyDescent="0.45">
      <c r="AC243" t="s">
        <v>19</v>
      </c>
      <c r="AD243" t="s">
        <v>318</v>
      </c>
      <c r="AE243">
        <v>2.3644233434457197E-2</v>
      </c>
    </row>
    <row r="244" spans="29:31" x14ac:dyDescent="0.45">
      <c r="AC244" t="s">
        <v>19</v>
      </c>
      <c r="AD244" t="s">
        <v>319</v>
      </c>
      <c r="AE244">
        <v>3.4382306091986425E-3</v>
      </c>
    </row>
    <row r="245" spans="29:31" x14ac:dyDescent="0.45">
      <c r="AC245" t="s">
        <v>19</v>
      </c>
      <c r="AD245" t="s">
        <v>320</v>
      </c>
      <c r="AE245">
        <v>6.9077758092234475E-3</v>
      </c>
    </row>
    <row r="246" spans="29:31" x14ac:dyDescent="0.45">
      <c r="AC246" t="s">
        <v>19</v>
      </c>
      <c r="AD246" t="s">
        <v>321</v>
      </c>
      <c r="AE246">
        <v>1.0364475133057232E-2</v>
      </c>
    </row>
    <row r="247" spans="29:31" x14ac:dyDescent="0.45">
      <c r="AC247" t="s">
        <v>19</v>
      </c>
      <c r="AD247" t="s">
        <v>322</v>
      </c>
      <c r="AE247">
        <v>3.452774899384749E-3</v>
      </c>
    </row>
    <row r="248" spans="29:31" x14ac:dyDescent="0.45">
      <c r="AC248" t="s">
        <v>19</v>
      </c>
      <c r="AD248" t="s">
        <v>323</v>
      </c>
      <c r="AE248">
        <v>6.9008529034649824E-3</v>
      </c>
    </row>
    <row r="249" spans="29:31" x14ac:dyDescent="0.45">
      <c r="AC249" t="s">
        <v>19</v>
      </c>
      <c r="AD249" t="s">
        <v>324</v>
      </c>
      <c r="AE249">
        <v>6.8985177024956943E-3</v>
      </c>
    </row>
    <row r="250" spans="29:31" x14ac:dyDescent="0.45">
      <c r="AC250" t="s">
        <v>19</v>
      </c>
      <c r="AD250" t="s">
        <v>325</v>
      </c>
      <c r="AE250">
        <v>2.052883470810786E-2</v>
      </c>
    </row>
    <row r="251" spans="29:31" x14ac:dyDescent="0.45">
      <c r="AC251" t="s">
        <v>19</v>
      </c>
      <c r="AD251" t="s">
        <v>326</v>
      </c>
      <c r="AE251">
        <v>2.4439674861368808E-2</v>
      </c>
    </row>
    <row r="252" spans="29:31" x14ac:dyDescent="0.45">
      <c r="AC252" t="s">
        <v>19</v>
      </c>
      <c r="AD252" t="s">
        <v>327</v>
      </c>
      <c r="AE252">
        <v>3.5519802367630954E-3</v>
      </c>
    </row>
    <row r="253" spans="29:31" x14ac:dyDescent="0.45">
      <c r="AC253" t="s">
        <v>19</v>
      </c>
      <c r="AD253" t="s">
        <v>328</v>
      </c>
      <c r="AE253">
        <v>7.1320585804889019E-3</v>
      </c>
    </row>
    <row r="254" spans="29:31" x14ac:dyDescent="0.45">
      <c r="AC254" t="s">
        <v>19</v>
      </c>
      <c r="AD254" t="s">
        <v>329</v>
      </c>
      <c r="AE254">
        <v>1.0711635821121786E-2</v>
      </c>
    </row>
    <row r="255" spans="29:31" x14ac:dyDescent="0.45">
      <c r="AC255" t="s">
        <v>19</v>
      </c>
      <c r="AD255" t="s">
        <v>330</v>
      </c>
      <c r="AE255">
        <v>3.569633712680596E-3</v>
      </c>
    </row>
    <row r="256" spans="29:31" x14ac:dyDescent="0.45">
      <c r="AC256" t="s">
        <v>19</v>
      </c>
      <c r="AD256" t="s">
        <v>331</v>
      </c>
      <c r="AE256">
        <v>7.1329040973390472E-3</v>
      </c>
    </row>
    <row r="257" spans="29:31" x14ac:dyDescent="0.45">
      <c r="AC257" t="s">
        <v>19</v>
      </c>
      <c r="AD257" t="s">
        <v>332</v>
      </c>
      <c r="AE257">
        <v>7.1296043486112131E-3</v>
      </c>
    </row>
    <row r="258" spans="29:31" x14ac:dyDescent="0.45">
      <c r="AC258" t="s">
        <v>19</v>
      </c>
      <c r="AD258" t="s">
        <v>333</v>
      </c>
      <c r="AE258">
        <v>2.1224910512777185E-2</v>
      </c>
    </row>
    <row r="259" spans="29:31" x14ac:dyDescent="0.45">
      <c r="AC259" t="s">
        <v>19</v>
      </c>
      <c r="AD259" t="s">
        <v>334</v>
      </c>
      <c r="AE259">
        <v>2.3639865001950183E-2</v>
      </c>
    </row>
    <row r="260" spans="29:31" x14ac:dyDescent="0.45">
      <c r="AC260" t="s">
        <v>19</v>
      </c>
      <c r="AD260" t="s">
        <v>335</v>
      </c>
      <c r="AE260">
        <v>3.4368288049173041E-3</v>
      </c>
    </row>
    <row r="261" spans="29:31" x14ac:dyDescent="0.45">
      <c r="AC261" t="s">
        <v>19</v>
      </c>
      <c r="AD261" t="s">
        <v>336</v>
      </c>
      <c r="AE261">
        <v>6.9044612571747838E-3</v>
      </c>
    </row>
    <row r="262" spans="29:31" x14ac:dyDescent="0.45">
      <c r="AC262" t="s">
        <v>19</v>
      </c>
      <c r="AD262" t="s">
        <v>337</v>
      </c>
      <c r="AE262">
        <v>1.0364577352276741E-2</v>
      </c>
    </row>
    <row r="263" spans="29:31" x14ac:dyDescent="0.45">
      <c r="AC263" t="s">
        <v>19</v>
      </c>
      <c r="AD263" t="s">
        <v>338</v>
      </c>
      <c r="AE263">
        <v>3.453622003395065E-3</v>
      </c>
    </row>
    <row r="264" spans="29:31" x14ac:dyDescent="0.45">
      <c r="AC264" t="s">
        <v>19</v>
      </c>
      <c r="AD264" t="s">
        <v>339</v>
      </c>
      <c r="AE264">
        <v>6.9025575195936625E-3</v>
      </c>
    </row>
    <row r="265" spans="29:31" x14ac:dyDescent="0.45">
      <c r="AC265" t="s">
        <v>19</v>
      </c>
      <c r="AD265" t="s">
        <v>340</v>
      </c>
      <c r="AE265">
        <v>6.8994943187760073E-3</v>
      </c>
    </row>
    <row r="266" spans="29:31" x14ac:dyDescent="0.45">
      <c r="AC266" t="s">
        <v>19</v>
      </c>
      <c r="AD266" t="s">
        <v>341</v>
      </c>
      <c r="AE266">
        <v>2.0524194834584737E-2</v>
      </c>
    </row>
    <row r="267" spans="29:31" x14ac:dyDescent="0.45">
      <c r="AC267" t="s">
        <v>19</v>
      </c>
      <c r="AD267" t="s">
        <v>342</v>
      </c>
      <c r="AE267">
        <v>1.1301955090174058E-4</v>
      </c>
    </row>
    <row r="268" spans="29:31" x14ac:dyDescent="0.45">
      <c r="AC268" t="s">
        <v>19</v>
      </c>
      <c r="AD268" t="s">
        <v>343</v>
      </c>
      <c r="AE268">
        <v>1.125790040738231E-4</v>
      </c>
    </row>
    <row r="269" spans="29:31" x14ac:dyDescent="0.45">
      <c r="AC269" t="s">
        <v>19</v>
      </c>
      <c r="AD269" t="s">
        <v>344</v>
      </c>
      <c r="AE269">
        <v>1.1247113822678142E-4</v>
      </c>
    </row>
    <row r="270" spans="29:31" x14ac:dyDescent="0.45">
      <c r="AC270" t="s">
        <v>19</v>
      </c>
      <c r="AD270" t="s">
        <v>345</v>
      </c>
      <c r="AE270">
        <v>1.1229287572167049E-4</v>
      </c>
    </row>
    <row r="271" spans="29:31" x14ac:dyDescent="0.45">
      <c r="AC271" t="s">
        <v>19</v>
      </c>
      <c r="AD271" t="s">
        <v>346</v>
      </c>
      <c r="AE271">
        <v>1.1270560451535093E-4</v>
      </c>
    </row>
    <row r="272" spans="29:31" x14ac:dyDescent="0.45">
      <c r="AC272" t="s">
        <v>19</v>
      </c>
      <c r="AD272" t="s">
        <v>347</v>
      </c>
      <c r="AE272">
        <v>1.1386942023343197E-4</v>
      </c>
    </row>
    <row r="273" spans="29:31" x14ac:dyDescent="0.45">
      <c r="AC273" t="s">
        <v>19</v>
      </c>
      <c r="AD273" t="s">
        <v>348</v>
      </c>
      <c r="AE273">
        <v>1.1488638700887381E-4</v>
      </c>
    </row>
    <row r="274" spans="29:31" x14ac:dyDescent="0.45">
      <c r="AC274" t="s">
        <v>19</v>
      </c>
      <c r="AD274" t="s">
        <v>349</v>
      </c>
      <c r="AE274">
        <v>1.1554190857756206E-4</v>
      </c>
    </row>
    <row r="275" spans="29:31" x14ac:dyDescent="0.45">
      <c r="AC275" t="s">
        <v>19</v>
      </c>
      <c r="AD275" t="s">
        <v>350</v>
      </c>
      <c r="AE275">
        <v>1.1583314636457454E-4</v>
      </c>
    </row>
    <row r="276" spans="29:31" x14ac:dyDescent="0.45">
      <c r="AC276" t="s">
        <v>19</v>
      </c>
      <c r="AD276" t="s">
        <v>351</v>
      </c>
      <c r="AE276">
        <v>1.1609580916403739E-4</v>
      </c>
    </row>
    <row r="277" spans="29:31" x14ac:dyDescent="0.45">
      <c r="AC277" t="s">
        <v>19</v>
      </c>
      <c r="AD277" t="s">
        <v>352</v>
      </c>
      <c r="AE277">
        <v>1.1617301840191984E-4</v>
      </c>
    </row>
    <row r="278" spans="29:31" x14ac:dyDescent="0.45">
      <c r="AC278" t="s">
        <v>19</v>
      </c>
      <c r="AD278" t="s">
        <v>353</v>
      </c>
      <c r="AE278">
        <v>1.1617642469182642E-4</v>
      </c>
    </row>
    <row r="279" spans="29:31" x14ac:dyDescent="0.45">
      <c r="AC279" t="s">
        <v>19</v>
      </c>
      <c r="AD279" t="s">
        <v>354</v>
      </c>
      <c r="AE279">
        <v>1.1628466901552435E-4</v>
      </c>
    </row>
    <row r="280" spans="29:31" x14ac:dyDescent="0.45">
      <c r="AC280" t="s">
        <v>19</v>
      </c>
      <c r="AD280" t="s">
        <v>355</v>
      </c>
      <c r="AE280">
        <v>1.161995117678599E-4</v>
      </c>
    </row>
    <row r="281" spans="29:31" x14ac:dyDescent="0.45">
      <c r="AC281" t="s">
        <v>19</v>
      </c>
      <c r="AD281" t="s">
        <v>356</v>
      </c>
      <c r="AE281">
        <v>1.1603525289903155E-4</v>
      </c>
    </row>
    <row r="282" spans="29:31" x14ac:dyDescent="0.45">
      <c r="AC282" t="s">
        <v>19</v>
      </c>
      <c r="AD282" t="s">
        <v>357</v>
      </c>
      <c r="AE282">
        <v>1.1594025525830363E-4</v>
      </c>
    </row>
    <row r="283" spans="29:31" x14ac:dyDescent="0.45">
      <c r="AC283" t="s">
        <v>19</v>
      </c>
      <c r="AD283" t="s">
        <v>358</v>
      </c>
      <c r="AE283">
        <v>1.1588972862468938E-4</v>
      </c>
    </row>
    <row r="284" spans="29:31" x14ac:dyDescent="0.45">
      <c r="AC284" t="s">
        <v>19</v>
      </c>
      <c r="AD284" t="s">
        <v>359</v>
      </c>
      <c r="AE284">
        <v>1.1588972862468938E-4</v>
      </c>
    </row>
    <row r="285" spans="29:31" x14ac:dyDescent="0.45">
      <c r="AC285" t="s">
        <v>19</v>
      </c>
      <c r="AD285" t="s">
        <v>360</v>
      </c>
      <c r="AE285">
        <v>1.1583522798618412E-4</v>
      </c>
    </row>
    <row r="286" spans="29:31" x14ac:dyDescent="0.45">
      <c r="AC286" t="s">
        <v>19</v>
      </c>
      <c r="AD286" t="s">
        <v>361</v>
      </c>
      <c r="AE286">
        <v>1.1566737358912104E-4</v>
      </c>
    </row>
    <row r="287" spans="29:31" x14ac:dyDescent="0.45">
      <c r="AC287" t="s">
        <v>19</v>
      </c>
      <c r="AD287" t="s">
        <v>362</v>
      </c>
      <c r="AE287">
        <v>1.1510798509112958E-4</v>
      </c>
    </row>
    <row r="288" spans="29:31" x14ac:dyDescent="0.45">
      <c r="AC288" t="s">
        <v>19</v>
      </c>
      <c r="AD288" t="s">
        <v>363</v>
      </c>
      <c r="AE288">
        <v>1.1481031320096024E-4</v>
      </c>
    </row>
    <row r="289" spans="29:31" x14ac:dyDescent="0.45">
      <c r="AC289" t="s">
        <v>19</v>
      </c>
      <c r="AD289" t="s">
        <v>364</v>
      </c>
      <c r="AE289">
        <v>1.1466592435658692E-4</v>
      </c>
    </row>
    <row r="290" spans="29:31" x14ac:dyDescent="0.45">
      <c r="AC290" t="s">
        <v>19</v>
      </c>
      <c r="AD290" t="s">
        <v>365</v>
      </c>
      <c r="AE290">
        <v>1.1414230190261454E-4</v>
      </c>
    </row>
    <row r="291" spans="29:31" x14ac:dyDescent="0.45">
      <c r="AC291" t="s">
        <v>19</v>
      </c>
      <c r="AD291" t="s">
        <v>366</v>
      </c>
      <c r="AE291">
        <v>2.2850065508164142E-2</v>
      </c>
    </row>
    <row r="292" spans="29:31" x14ac:dyDescent="0.45">
      <c r="AC292" t="s">
        <v>19</v>
      </c>
      <c r="AD292" t="s">
        <v>367</v>
      </c>
      <c r="AE292">
        <v>3.324101575344616E-3</v>
      </c>
    </row>
    <row r="293" spans="29:31" x14ac:dyDescent="0.45">
      <c r="AC293" t="s">
        <v>19</v>
      </c>
      <c r="AD293" t="s">
        <v>368</v>
      </c>
      <c r="AE293">
        <v>6.6772896494398347E-3</v>
      </c>
    </row>
    <row r="294" spans="29:31" x14ac:dyDescent="0.45">
      <c r="AC294" t="s">
        <v>19</v>
      </c>
      <c r="AD294" t="s">
        <v>369</v>
      </c>
      <c r="AE294">
        <v>1.0019074789596126E-2</v>
      </c>
    </row>
    <row r="295" spans="29:31" x14ac:dyDescent="0.45">
      <c r="AC295" t="s">
        <v>19</v>
      </c>
      <c r="AD295" t="s">
        <v>370</v>
      </c>
      <c r="AE295">
        <v>3.3377335475507437E-3</v>
      </c>
    </row>
    <row r="296" spans="29:31" x14ac:dyDescent="0.45">
      <c r="AC296" t="s">
        <v>19</v>
      </c>
      <c r="AD296" t="s">
        <v>371</v>
      </c>
      <c r="AE296">
        <v>6.6714932794488075E-3</v>
      </c>
    </row>
    <row r="297" spans="29:31" x14ac:dyDescent="0.45">
      <c r="AC297" t="s">
        <v>19</v>
      </c>
      <c r="AD297" t="s">
        <v>372</v>
      </c>
      <c r="AE297">
        <v>6.6699903486466938E-3</v>
      </c>
    </row>
    <row r="298" spans="29:31" x14ac:dyDescent="0.45">
      <c r="AC298" t="s">
        <v>19</v>
      </c>
      <c r="AD298" t="s">
        <v>373</v>
      </c>
      <c r="AE298">
        <v>1.9841715463621349E-2</v>
      </c>
    </row>
    <row r="299" spans="29:31" x14ac:dyDescent="0.45">
      <c r="AC299" t="s">
        <v>19</v>
      </c>
      <c r="AD299" t="s">
        <v>374</v>
      </c>
      <c r="AE299">
        <v>1.1229342207103722E-4</v>
      </c>
    </row>
    <row r="300" spans="29:31" x14ac:dyDescent="0.45">
      <c r="AC300" t="s">
        <v>19</v>
      </c>
      <c r="AD300" t="s">
        <v>375</v>
      </c>
      <c r="AE300">
        <v>1.1221072492163863E-4</v>
      </c>
    </row>
    <row r="301" spans="29:31" x14ac:dyDescent="0.45">
      <c r="AC301" t="s">
        <v>19</v>
      </c>
      <c r="AD301" t="s">
        <v>376</v>
      </c>
      <c r="AE301">
        <v>1.1221072492163863E-4</v>
      </c>
    </row>
    <row r="302" spans="29:31" x14ac:dyDescent="0.45">
      <c r="AC302" t="s">
        <v>19</v>
      </c>
      <c r="AD302" t="s">
        <v>377</v>
      </c>
      <c r="AE302">
        <v>1.1228717720620851E-4</v>
      </c>
    </row>
    <row r="303" spans="29:31" x14ac:dyDescent="0.45">
      <c r="AC303" t="s">
        <v>19</v>
      </c>
      <c r="AD303" t="s">
        <v>378</v>
      </c>
      <c r="AE303">
        <v>1.1278979420575699E-4</v>
      </c>
    </row>
    <row r="304" spans="29:31" x14ac:dyDescent="0.45">
      <c r="AC304" t="s">
        <v>19</v>
      </c>
      <c r="AD304" t="s">
        <v>379</v>
      </c>
      <c r="AE304">
        <v>1.1394376953077458E-4</v>
      </c>
    </row>
    <row r="305" spans="29:31" x14ac:dyDescent="0.45">
      <c r="AC305" t="s">
        <v>19</v>
      </c>
      <c r="AD305" t="s">
        <v>380</v>
      </c>
      <c r="AE305">
        <v>1.1482069994339041E-4</v>
      </c>
    </row>
    <row r="306" spans="29:31" x14ac:dyDescent="0.45">
      <c r="AC306" t="s">
        <v>19</v>
      </c>
      <c r="AD306" t="s">
        <v>381</v>
      </c>
      <c r="AE306">
        <v>1.1541093428886925E-4</v>
      </c>
    </row>
    <row r="307" spans="29:31" x14ac:dyDescent="0.45">
      <c r="AC307" t="s">
        <v>19</v>
      </c>
      <c r="AD307" t="s">
        <v>382</v>
      </c>
      <c r="AE307">
        <v>1.1579887286156294E-4</v>
      </c>
    </row>
    <row r="308" spans="29:31" x14ac:dyDescent="0.45">
      <c r="AC308" t="s">
        <v>19</v>
      </c>
      <c r="AD308" t="s">
        <v>383</v>
      </c>
      <c r="AE308">
        <v>1.1580379305809463E-4</v>
      </c>
    </row>
    <row r="309" spans="29:31" x14ac:dyDescent="0.45">
      <c r="AC309" t="s">
        <v>19</v>
      </c>
      <c r="AD309" t="s">
        <v>384</v>
      </c>
      <c r="AE309">
        <v>1.1579792666992221E-4</v>
      </c>
    </row>
    <row r="310" spans="29:31" x14ac:dyDescent="0.45">
      <c r="AC310" t="s">
        <v>19</v>
      </c>
      <c r="AD310" t="s">
        <v>385</v>
      </c>
      <c r="AE310">
        <v>1.1576518843915341E-4</v>
      </c>
    </row>
    <row r="311" spans="29:31" x14ac:dyDescent="0.45">
      <c r="AC311" t="s">
        <v>19</v>
      </c>
      <c r="AD311" t="s">
        <v>386</v>
      </c>
      <c r="AE311">
        <v>1.1576518843915341E-4</v>
      </c>
    </row>
    <row r="312" spans="29:31" x14ac:dyDescent="0.45">
      <c r="AC312" t="s">
        <v>19</v>
      </c>
      <c r="AD312" t="s">
        <v>387</v>
      </c>
      <c r="AE312">
        <v>1.1567378632666023E-4</v>
      </c>
    </row>
    <row r="313" spans="29:31" x14ac:dyDescent="0.45">
      <c r="AC313" t="s">
        <v>19</v>
      </c>
      <c r="AD313" t="s">
        <v>388</v>
      </c>
      <c r="AE313">
        <v>1.1559865871038736E-4</v>
      </c>
    </row>
    <row r="314" spans="29:31" x14ac:dyDescent="0.45">
      <c r="AC314" t="s">
        <v>19</v>
      </c>
      <c r="AD314" t="s">
        <v>389</v>
      </c>
      <c r="AE314">
        <v>1.1559865871038736E-4</v>
      </c>
    </row>
    <row r="315" spans="29:31" x14ac:dyDescent="0.45">
      <c r="AC315" t="s">
        <v>19</v>
      </c>
      <c r="AD315" t="s">
        <v>390</v>
      </c>
      <c r="AE315">
        <v>1.1557670706432275E-4</v>
      </c>
    </row>
    <row r="316" spans="29:31" x14ac:dyDescent="0.45">
      <c r="AC316" t="s">
        <v>19</v>
      </c>
      <c r="AD316" t="s">
        <v>391</v>
      </c>
      <c r="AE316">
        <v>1.1557670706432275E-4</v>
      </c>
    </row>
    <row r="317" spans="29:31" x14ac:dyDescent="0.45">
      <c r="AC317" t="s">
        <v>19</v>
      </c>
      <c r="AD317" t="s">
        <v>392</v>
      </c>
      <c r="AE317">
        <v>1.1554226568860068E-4</v>
      </c>
    </row>
    <row r="318" spans="29:31" x14ac:dyDescent="0.45">
      <c r="AC318" t="s">
        <v>19</v>
      </c>
      <c r="AD318" t="s">
        <v>393</v>
      </c>
      <c r="AE318">
        <v>1.1538027767971005E-4</v>
      </c>
    </row>
    <row r="319" spans="29:31" x14ac:dyDescent="0.45">
      <c r="AC319" t="s">
        <v>19</v>
      </c>
      <c r="AD319" t="s">
        <v>394</v>
      </c>
      <c r="AE319">
        <v>1.1491077738758662E-4</v>
      </c>
    </row>
    <row r="320" spans="29:31" x14ac:dyDescent="0.45">
      <c r="AC320" t="s">
        <v>19</v>
      </c>
      <c r="AD320" t="s">
        <v>395</v>
      </c>
      <c r="AE320">
        <v>1.1441989316438301E-4</v>
      </c>
    </row>
    <row r="321" spans="29:31" x14ac:dyDescent="0.45">
      <c r="AC321" t="s">
        <v>19</v>
      </c>
      <c r="AD321" t="s">
        <v>396</v>
      </c>
      <c r="AE321">
        <v>1.1339478914083097E-4</v>
      </c>
    </row>
    <row r="322" spans="29:31" x14ac:dyDescent="0.45">
      <c r="AC322" t="s">
        <v>19</v>
      </c>
      <c r="AD322" t="s">
        <v>397</v>
      </c>
      <c r="AE322">
        <v>1.1274248462372117E-4</v>
      </c>
    </row>
    <row r="323" spans="29:31" x14ac:dyDescent="0.45">
      <c r="AC323" t="s">
        <v>19</v>
      </c>
      <c r="AD323" t="s">
        <v>398</v>
      </c>
      <c r="AE323">
        <v>2.4426264456493714E-2</v>
      </c>
    </row>
    <row r="324" spans="29:31" x14ac:dyDescent="0.45">
      <c r="AC324" t="s">
        <v>19</v>
      </c>
      <c r="AD324" t="s">
        <v>399</v>
      </c>
      <c r="AE324">
        <v>3.5548504641611067E-3</v>
      </c>
    </row>
    <row r="325" spans="29:31" x14ac:dyDescent="0.45">
      <c r="AC325" t="s">
        <v>19</v>
      </c>
      <c r="AD325" t="s">
        <v>400</v>
      </c>
      <c r="AE325">
        <v>7.1422141547188333E-3</v>
      </c>
    </row>
    <row r="326" spans="29:31" x14ac:dyDescent="0.45">
      <c r="AC326" t="s">
        <v>19</v>
      </c>
      <c r="AD326" t="s">
        <v>401</v>
      </c>
      <c r="AE326">
        <v>1.0712371350290137E-2</v>
      </c>
    </row>
    <row r="327" spans="29:31" x14ac:dyDescent="0.45">
      <c r="AC327" t="s">
        <v>19</v>
      </c>
      <c r="AD327" t="s">
        <v>402</v>
      </c>
      <c r="AE327">
        <v>3.5680979040844467E-3</v>
      </c>
    </row>
    <row r="328" spans="29:31" x14ac:dyDescent="0.45">
      <c r="AC328" t="s">
        <v>19</v>
      </c>
      <c r="AD328" t="s">
        <v>403</v>
      </c>
      <c r="AE328">
        <v>7.1323529454392891E-3</v>
      </c>
    </row>
    <row r="329" spans="29:31" x14ac:dyDescent="0.45">
      <c r="AC329" t="s">
        <v>19</v>
      </c>
      <c r="AD329" t="s">
        <v>404</v>
      </c>
      <c r="AE329">
        <v>7.1328409910875702E-3</v>
      </c>
    </row>
    <row r="330" spans="29:31" x14ac:dyDescent="0.45">
      <c r="AC330" t="s">
        <v>19</v>
      </c>
      <c r="AD330" t="s">
        <v>405</v>
      </c>
      <c r="AE330">
        <v>2.1217563065022409E-2</v>
      </c>
    </row>
    <row r="331" spans="29:31" x14ac:dyDescent="0.45">
      <c r="AC331" t="s">
        <v>19</v>
      </c>
      <c r="AD331" t="s">
        <v>406</v>
      </c>
      <c r="AE331">
        <v>2.3601944688261496E-2</v>
      </c>
    </row>
    <row r="332" spans="29:31" x14ac:dyDescent="0.45">
      <c r="AC332" t="s">
        <v>19</v>
      </c>
      <c r="AD332" t="s">
        <v>407</v>
      </c>
      <c r="AE332">
        <v>3.4495549500944142E-3</v>
      </c>
    </row>
    <row r="333" spans="29:31" x14ac:dyDescent="0.45">
      <c r="AC333" t="s">
        <v>19</v>
      </c>
      <c r="AD333" t="s">
        <v>408</v>
      </c>
      <c r="AE333">
        <v>6.9240443207816407E-3</v>
      </c>
    </row>
    <row r="334" spans="29:31" x14ac:dyDescent="0.45">
      <c r="AC334" t="s">
        <v>19</v>
      </c>
      <c r="AD334" t="s">
        <v>409</v>
      </c>
      <c r="AE334">
        <v>1.0388103253298267E-2</v>
      </c>
    </row>
    <row r="335" spans="29:31" x14ac:dyDescent="0.45">
      <c r="AC335" t="s">
        <v>19</v>
      </c>
      <c r="AD335" t="s">
        <v>410</v>
      </c>
      <c r="AE335">
        <v>3.4605527247727878E-3</v>
      </c>
    </row>
    <row r="336" spans="29:31" x14ac:dyDescent="0.45">
      <c r="AC336" t="s">
        <v>19</v>
      </c>
      <c r="AD336" t="s">
        <v>411</v>
      </c>
      <c r="AE336">
        <v>6.9202010795753792E-3</v>
      </c>
    </row>
    <row r="337" spans="29:31" x14ac:dyDescent="0.45">
      <c r="AC337" t="s">
        <v>19</v>
      </c>
      <c r="AD337" t="s">
        <v>412</v>
      </c>
      <c r="AE337">
        <v>6.9308196206441536E-3</v>
      </c>
    </row>
    <row r="338" spans="29:31" x14ac:dyDescent="0.45">
      <c r="AC338" t="s">
        <v>19</v>
      </c>
      <c r="AD338" t="s">
        <v>413</v>
      </c>
      <c r="AE338">
        <v>2.054638336964636E-2</v>
      </c>
    </row>
    <row r="339" spans="29:31" x14ac:dyDescent="0.45">
      <c r="AC339" t="s">
        <v>19</v>
      </c>
      <c r="AD339" t="s">
        <v>414</v>
      </c>
      <c r="AE339">
        <v>2.4416657413212691E-2</v>
      </c>
    </row>
    <row r="340" spans="29:31" x14ac:dyDescent="0.45">
      <c r="AC340" t="s">
        <v>19</v>
      </c>
      <c r="AD340" t="s">
        <v>415</v>
      </c>
      <c r="AE340">
        <v>3.5659298573304079E-3</v>
      </c>
    </row>
    <row r="341" spans="29:31" x14ac:dyDescent="0.45">
      <c r="AC341" t="s">
        <v>19</v>
      </c>
      <c r="AD341" t="s">
        <v>416</v>
      </c>
      <c r="AE341">
        <v>7.1572589045875478E-3</v>
      </c>
    </row>
    <row r="342" spans="29:31" x14ac:dyDescent="0.45">
      <c r="AC342" t="s">
        <v>19</v>
      </c>
      <c r="AD342" t="s">
        <v>417</v>
      </c>
      <c r="AE342">
        <v>1.07309036300797E-2</v>
      </c>
    </row>
    <row r="343" spans="29:31" x14ac:dyDescent="0.45">
      <c r="AC343" t="s">
        <v>19</v>
      </c>
      <c r="AD343" t="s">
        <v>418</v>
      </c>
      <c r="AE343">
        <v>3.5727272980773136E-3</v>
      </c>
    </row>
    <row r="344" spans="29:31" x14ac:dyDescent="0.45">
      <c r="AC344" t="s">
        <v>19</v>
      </c>
      <c r="AD344" t="s">
        <v>419</v>
      </c>
      <c r="AE344">
        <v>7.1450759302600121E-3</v>
      </c>
    </row>
    <row r="345" spans="29:31" x14ac:dyDescent="0.45">
      <c r="AC345" t="s">
        <v>19</v>
      </c>
      <c r="AD345" t="s">
        <v>420</v>
      </c>
      <c r="AE345">
        <v>7.1618483125216771E-3</v>
      </c>
    </row>
    <row r="346" spans="29:31" x14ac:dyDescent="0.45">
      <c r="AC346" t="s">
        <v>19</v>
      </c>
      <c r="AD346" t="s">
        <v>421</v>
      </c>
      <c r="AE346">
        <v>2.1220864479047526E-2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7F759-61C7-4B0C-89B9-78284AFFBA2E}">
  <dimension ref="A9:AN63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103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433</v>
      </c>
      <c r="F11" t="s">
        <v>157</v>
      </c>
      <c r="G11" t="s">
        <v>158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2.2559361019158713E-2</v>
      </c>
      <c r="Q11" t="s">
        <v>254</v>
      </c>
      <c r="S11" t="s">
        <v>423</v>
      </c>
      <c r="T11" t="s">
        <v>253</v>
      </c>
      <c r="U11">
        <v>2.3560399913370372E-2</v>
      </c>
      <c r="V11" t="s">
        <v>254</v>
      </c>
      <c r="X11">
        <v>2.3173515981735161E-2</v>
      </c>
      <c r="Y11">
        <v>9.151646238884887E-3</v>
      </c>
      <c r="Z11" t="s">
        <v>253</v>
      </c>
      <c r="AA11" t="s">
        <v>25</v>
      </c>
      <c r="AC11" t="s">
        <v>22</v>
      </c>
      <c r="AD11" t="s">
        <v>253</v>
      </c>
      <c r="AE11">
        <v>2.1116571739225626E-2</v>
      </c>
      <c r="AG11" t="s">
        <v>97</v>
      </c>
      <c r="AH11" t="s">
        <v>253</v>
      </c>
      <c r="AI11">
        <v>0.29467410197685351</v>
      </c>
    </row>
    <row r="12" spans="1:40" x14ac:dyDescent="0.45">
      <c r="C12" t="s">
        <v>159</v>
      </c>
      <c r="D12" t="s">
        <v>158</v>
      </c>
      <c r="E12" t="s">
        <v>434</v>
      </c>
      <c r="F12" t="s">
        <v>154</v>
      </c>
      <c r="G12" t="s">
        <v>158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3.1673160846247611E-3</v>
      </c>
      <c r="Q12" t="s">
        <v>254</v>
      </c>
      <c r="S12" t="s">
        <v>423</v>
      </c>
      <c r="T12" t="s">
        <v>255</v>
      </c>
      <c r="U12">
        <v>3.3638192089807564E-3</v>
      </c>
      <c r="V12" t="s">
        <v>254</v>
      </c>
      <c r="X12">
        <v>3.3105022831050228E-3</v>
      </c>
      <c r="Y12">
        <v>5.5275174236962274E-3</v>
      </c>
      <c r="Z12" t="s">
        <v>255</v>
      </c>
      <c r="AA12" t="s">
        <v>25</v>
      </c>
      <c r="AC12" t="s">
        <v>22</v>
      </c>
      <c r="AD12" t="s">
        <v>255</v>
      </c>
      <c r="AE12">
        <v>4.120580655631886E-3</v>
      </c>
      <c r="AG12" t="s">
        <v>97</v>
      </c>
      <c r="AH12" t="s">
        <v>255</v>
      </c>
      <c r="AI12">
        <v>6.2462867931812216E-2</v>
      </c>
    </row>
    <row r="13" spans="1:40" x14ac:dyDescent="0.45">
      <c r="C13" t="s">
        <v>161</v>
      </c>
      <c r="D13" t="s">
        <v>162</v>
      </c>
      <c r="E13" t="s">
        <v>435</v>
      </c>
      <c r="F13" t="s">
        <v>154</v>
      </c>
      <c r="G13" t="s">
        <v>158</v>
      </c>
      <c r="I13" t="s">
        <v>252</v>
      </c>
      <c r="J13" t="s">
        <v>256</v>
      </c>
      <c r="K13">
        <v>4.0909607770508224E-3</v>
      </c>
      <c r="L13" t="s">
        <v>254</v>
      </c>
      <c r="N13" t="s">
        <v>422</v>
      </c>
      <c r="O13" t="s">
        <v>256</v>
      </c>
      <c r="P13">
        <v>6.2161508137247639E-3</v>
      </c>
      <c r="Q13" t="s">
        <v>254</v>
      </c>
      <c r="S13" t="s">
        <v>423</v>
      </c>
      <c r="T13" t="s">
        <v>256</v>
      </c>
      <c r="U13">
        <v>6.6389758723540745E-3</v>
      </c>
      <c r="V13" t="s">
        <v>254</v>
      </c>
      <c r="X13">
        <v>6.6210045662100456E-3</v>
      </c>
      <c r="Y13">
        <v>8.4210526315789489E-3</v>
      </c>
      <c r="Z13" t="s">
        <v>256</v>
      </c>
      <c r="AA13" t="s">
        <v>25</v>
      </c>
      <c r="AC13" t="s">
        <v>22</v>
      </c>
      <c r="AD13" t="s">
        <v>256</v>
      </c>
      <c r="AE13">
        <v>8.4716514901799524E-3</v>
      </c>
      <c r="AG13" t="s">
        <v>97</v>
      </c>
      <c r="AH13" t="s">
        <v>256</v>
      </c>
      <c r="AI13">
        <v>6.1634848790832031E-2</v>
      </c>
    </row>
    <row r="14" spans="1:40" x14ac:dyDescent="0.45">
      <c r="C14" t="s">
        <v>165</v>
      </c>
      <c r="D14" t="s">
        <v>166</v>
      </c>
      <c r="E14" t="s">
        <v>436</v>
      </c>
      <c r="F14" t="s">
        <v>159</v>
      </c>
      <c r="G14" t="s">
        <v>158</v>
      </c>
      <c r="I14" t="s">
        <v>252</v>
      </c>
      <c r="J14" t="s">
        <v>257</v>
      </c>
      <c r="K14">
        <v>1.4450252500732123E-2</v>
      </c>
      <c r="L14" t="s">
        <v>254</v>
      </c>
      <c r="N14" t="s">
        <v>422</v>
      </c>
      <c r="O14" t="s">
        <v>257</v>
      </c>
      <c r="P14">
        <v>9.1282942885415712E-3</v>
      </c>
      <c r="Q14" t="s">
        <v>254</v>
      </c>
      <c r="S14" t="s">
        <v>423</v>
      </c>
      <c r="T14" t="s">
        <v>257</v>
      </c>
      <c r="U14">
        <v>9.8438337800391719E-3</v>
      </c>
      <c r="V14" t="s">
        <v>254</v>
      </c>
      <c r="X14">
        <v>9.9315068493150693E-3</v>
      </c>
      <c r="Y14">
        <v>1.2295121365056482E-2</v>
      </c>
      <c r="Z14" t="s">
        <v>257</v>
      </c>
      <c r="AA14" t="s">
        <v>25</v>
      </c>
      <c r="AC14" t="s">
        <v>22</v>
      </c>
      <c r="AD14" t="s">
        <v>257</v>
      </c>
      <c r="AE14">
        <v>1.2781619346640235E-2</v>
      </c>
      <c r="AG14" t="s">
        <v>97</v>
      </c>
      <c r="AH14" t="s">
        <v>257</v>
      </c>
      <c r="AI14">
        <v>5.7253108754150128E-2</v>
      </c>
    </row>
    <row r="15" spans="1:40" x14ac:dyDescent="0.45">
      <c r="C15" t="s">
        <v>169</v>
      </c>
      <c r="D15" t="s">
        <v>437</v>
      </c>
      <c r="E15" t="s">
        <v>438</v>
      </c>
      <c r="F15" t="s">
        <v>169</v>
      </c>
      <c r="G15" t="s">
        <v>158</v>
      </c>
      <c r="I15" t="s">
        <v>252</v>
      </c>
      <c r="J15" t="s">
        <v>258</v>
      </c>
      <c r="K15">
        <v>5.0000028624252275E-3</v>
      </c>
      <c r="L15" t="s">
        <v>254</v>
      </c>
      <c r="N15" t="s">
        <v>422</v>
      </c>
      <c r="O15" t="s">
        <v>258</v>
      </c>
      <c r="P15">
        <v>3.0605927679435352E-3</v>
      </c>
      <c r="Q15" t="s">
        <v>254</v>
      </c>
      <c r="S15" t="s">
        <v>423</v>
      </c>
      <c r="T15" t="s">
        <v>258</v>
      </c>
      <c r="U15">
        <v>3.3264550102693941E-3</v>
      </c>
      <c r="V15" t="s">
        <v>254</v>
      </c>
      <c r="X15">
        <v>3.3105022831050228E-3</v>
      </c>
      <c r="Y15">
        <v>4.3162701273732288E-3</v>
      </c>
      <c r="Z15" t="s">
        <v>258</v>
      </c>
      <c r="AA15" t="s">
        <v>25</v>
      </c>
      <c r="AC15" t="s">
        <v>22</v>
      </c>
      <c r="AD15" t="s">
        <v>258</v>
      </c>
      <c r="AE15">
        <v>4.2419410724569631E-3</v>
      </c>
      <c r="AG15" t="s">
        <v>97</v>
      </c>
      <c r="AH15" t="s">
        <v>258</v>
      </c>
      <c r="AI15">
        <v>6.0898653001838943E-2</v>
      </c>
    </row>
    <row r="16" spans="1:40" x14ac:dyDescent="0.45">
      <c r="C16" t="s">
        <v>171</v>
      </c>
      <c r="D16" t="s">
        <v>439</v>
      </c>
      <c r="E16" t="s">
        <v>440</v>
      </c>
      <c r="F16" t="s">
        <v>171</v>
      </c>
      <c r="G16" t="s">
        <v>158</v>
      </c>
      <c r="I16" t="s">
        <v>252</v>
      </c>
      <c r="J16" t="s">
        <v>259</v>
      </c>
      <c r="K16">
        <v>1.0384170561120971E-2</v>
      </c>
      <c r="L16" t="s">
        <v>254</v>
      </c>
      <c r="N16" t="s">
        <v>422</v>
      </c>
      <c r="O16" t="s">
        <v>259</v>
      </c>
      <c r="P16">
        <v>6.0223285264035175E-3</v>
      </c>
      <c r="Q16" t="s">
        <v>254</v>
      </c>
      <c r="S16" t="s">
        <v>423</v>
      </c>
      <c r="T16" t="s">
        <v>259</v>
      </c>
      <c r="U16">
        <v>6.5679471164027852E-3</v>
      </c>
      <c r="V16" t="s">
        <v>254</v>
      </c>
      <c r="X16">
        <v>6.6210045662100456E-3</v>
      </c>
      <c r="Y16">
        <v>9.3631338620523939E-3</v>
      </c>
      <c r="Z16" t="s">
        <v>259</v>
      </c>
      <c r="AA16" t="s">
        <v>25</v>
      </c>
      <c r="AC16" t="s">
        <v>22</v>
      </c>
      <c r="AD16" t="s">
        <v>259</v>
      </c>
      <c r="AE16">
        <v>8.4914153894981373E-3</v>
      </c>
      <c r="AG16" t="s">
        <v>97</v>
      </c>
      <c r="AH16" t="s">
        <v>259</v>
      </c>
      <c r="AI16">
        <v>6.3689164925645247E-2</v>
      </c>
    </row>
    <row r="17" spans="3:35" x14ac:dyDescent="0.45">
      <c r="C17" t="s">
        <v>173</v>
      </c>
      <c r="D17" t="s">
        <v>441</v>
      </c>
      <c r="E17" t="s">
        <v>442</v>
      </c>
      <c r="F17" t="s">
        <v>164</v>
      </c>
      <c r="G17" t="s">
        <v>158</v>
      </c>
      <c r="I17" t="s">
        <v>252</v>
      </c>
      <c r="J17" t="s">
        <v>260</v>
      </c>
      <c r="K17">
        <v>4.096134157438952E-3</v>
      </c>
      <c r="L17" t="s">
        <v>254</v>
      </c>
      <c r="N17" t="s">
        <v>422</v>
      </c>
      <c r="O17" t="s">
        <v>260</v>
      </c>
      <c r="P17">
        <v>6.1259167066990113E-3</v>
      </c>
      <c r="Q17" t="s">
        <v>254</v>
      </c>
      <c r="S17" t="s">
        <v>423</v>
      </c>
      <c r="T17" t="s">
        <v>260</v>
      </c>
      <c r="U17">
        <v>6.4335769514858119E-3</v>
      </c>
      <c r="V17" t="s">
        <v>254</v>
      </c>
      <c r="X17">
        <v>6.6210045662100456E-3</v>
      </c>
      <c r="Y17">
        <v>1.2881518865657292E-2</v>
      </c>
      <c r="Z17" t="s">
        <v>260</v>
      </c>
      <c r="AA17" t="s">
        <v>25</v>
      </c>
      <c r="AC17" t="s">
        <v>22</v>
      </c>
      <c r="AD17" t="s">
        <v>260</v>
      </c>
      <c r="AE17">
        <v>8.5911426599612224E-3</v>
      </c>
      <c r="AG17" t="s">
        <v>97</v>
      </c>
      <c r="AH17" t="s">
        <v>260</v>
      </c>
      <c r="AI17">
        <v>5.4374674346227891E-2</v>
      </c>
    </row>
    <row r="18" spans="3:35" x14ac:dyDescent="0.45">
      <c r="C18" t="s">
        <v>164</v>
      </c>
      <c r="D18" t="s">
        <v>443</v>
      </c>
      <c r="E18" t="s">
        <v>444</v>
      </c>
      <c r="F18" t="s">
        <v>168</v>
      </c>
      <c r="G18" t="s">
        <v>158</v>
      </c>
      <c r="I18" t="s">
        <v>252</v>
      </c>
      <c r="J18" t="s">
        <v>261</v>
      </c>
      <c r="K18">
        <v>0</v>
      </c>
      <c r="L18" t="s">
        <v>254</v>
      </c>
      <c r="N18" t="s">
        <v>422</v>
      </c>
      <c r="O18" t="s">
        <v>261</v>
      </c>
      <c r="P18">
        <v>1.9691400897591263E-2</v>
      </c>
      <c r="Q18" t="s">
        <v>254</v>
      </c>
      <c r="S18" t="s">
        <v>423</v>
      </c>
      <c r="T18" t="s">
        <v>261</v>
      </c>
      <c r="U18">
        <v>1.9577729849766037E-2</v>
      </c>
      <c r="V18" t="s">
        <v>254</v>
      </c>
      <c r="X18">
        <v>1.9863013698630139E-2</v>
      </c>
      <c r="Y18">
        <v>1.7495794280221105E-2</v>
      </c>
      <c r="Z18" t="s">
        <v>261</v>
      </c>
      <c r="AA18" t="s">
        <v>25</v>
      </c>
      <c r="AC18" t="s">
        <v>22</v>
      </c>
      <c r="AD18" t="s">
        <v>261</v>
      </c>
      <c r="AE18">
        <v>2.1890508347760976E-2</v>
      </c>
      <c r="AG18" t="s">
        <v>97</v>
      </c>
      <c r="AH18" t="s">
        <v>261</v>
      </c>
      <c r="AI18">
        <v>0.19024743640964181</v>
      </c>
    </row>
    <row r="19" spans="3:35" x14ac:dyDescent="0.45">
      <c r="C19" t="s">
        <v>168</v>
      </c>
      <c r="D19" t="s">
        <v>445</v>
      </c>
      <c r="E19" t="s">
        <v>446</v>
      </c>
      <c r="F19" t="s">
        <v>168</v>
      </c>
      <c r="G19" t="s">
        <v>158</v>
      </c>
      <c r="I19" t="s">
        <v>252</v>
      </c>
      <c r="J19" t="s">
        <v>583</v>
      </c>
      <c r="K19">
        <v>0</v>
      </c>
      <c r="L19" t="s">
        <v>254</v>
      </c>
      <c r="N19" t="s">
        <v>422</v>
      </c>
      <c r="O19" t="s">
        <v>583</v>
      </c>
      <c r="P19">
        <v>2.1056430996379999E-4</v>
      </c>
      <c r="Q19" t="s">
        <v>254</v>
      </c>
      <c r="S19" t="s">
        <v>423</v>
      </c>
      <c r="T19" t="s">
        <v>583</v>
      </c>
      <c r="U19">
        <v>1.999500168632E-4</v>
      </c>
      <c r="V19" t="s">
        <v>254</v>
      </c>
      <c r="X19">
        <v>1.1415525114155251E-4</v>
      </c>
      <c r="Y19">
        <v>2.1546544680075254E-5</v>
      </c>
      <c r="Z19" t="s">
        <v>583</v>
      </c>
      <c r="AA19" t="s">
        <v>25</v>
      </c>
      <c r="AC19" t="s">
        <v>22</v>
      </c>
      <c r="AD19" t="s">
        <v>583</v>
      </c>
      <c r="AE19">
        <v>9.6600831775144397E-5</v>
      </c>
      <c r="AG19" t="s">
        <v>97</v>
      </c>
      <c r="AH19" t="s">
        <v>583</v>
      </c>
      <c r="AI19">
        <v>0</v>
      </c>
    </row>
    <row r="20" spans="3:35" x14ac:dyDescent="0.45">
      <c r="C20" t="s">
        <v>177</v>
      </c>
      <c r="D20" t="s">
        <v>447</v>
      </c>
      <c r="E20" t="s">
        <v>448</v>
      </c>
      <c r="F20" t="s">
        <v>177</v>
      </c>
      <c r="G20" t="s">
        <v>158</v>
      </c>
      <c r="I20" t="s">
        <v>252</v>
      </c>
      <c r="J20" t="s">
        <v>584</v>
      </c>
      <c r="K20">
        <v>0</v>
      </c>
      <c r="L20" t="s">
        <v>254</v>
      </c>
      <c r="N20" t="s">
        <v>422</v>
      </c>
      <c r="O20" t="s">
        <v>584</v>
      </c>
      <c r="P20">
        <v>2.046001752565E-4</v>
      </c>
      <c r="Q20" t="s">
        <v>254</v>
      </c>
      <c r="S20" t="s">
        <v>423</v>
      </c>
      <c r="T20" t="s">
        <v>584</v>
      </c>
      <c r="U20">
        <v>2.060124684947E-4</v>
      </c>
      <c r="V20" t="s">
        <v>254</v>
      </c>
      <c r="X20">
        <v>1.1415525114155251E-4</v>
      </c>
      <c r="Y20">
        <v>1.4916838624667481E-5</v>
      </c>
      <c r="Z20" t="s">
        <v>584</v>
      </c>
      <c r="AA20" t="s">
        <v>25</v>
      </c>
      <c r="AC20" t="s">
        <v>22</v>
      </c>
      <c r="AD20" t="s">
        <v>584</v>
      </c>
      <c r="AE20">
        <v>9.4460531124436654E-5</v>
      </c>
      <c r="AG20" t="s">
        <v>97</v>
      </c>
      <c r="AH20" t="s">
        <v>584</v>
      </c>
      <c r="AI20">
        <v>0</v>
      </c>
    </row>
    <row r="21" spans="3:35" x14ac:dyDescent="0.45">
      <c r="C21" t="s">
        <v>179</v>
      </c>
      <c r="E21" t="s">
        <v>449</v>
      </c>
      <c r="G21" t="s">
        <v>158</v>
      </c>
      <c r="I21" t="s">
        <v>252</v>
      </c>
      <c r="J21" t="s">
        <v>585</v>
      </c>
      <c r="K21">
        <v>0</v>
      </c>
      <c r="L21" t="s">
        <v>254</v>
      </c>
      <c r="N21" t="s">
        <v>422</v>
      </c>
      <c r="O21" t="s">
        <v>585</v>
      </c>
      <c r="P21">
        <v>2.042754691716E-4</v>
      </c>
      <c r="Q21" t="s">
        <v>254</v>
      </c>
      <c r="S21" t="s">
        <v>423</v>
      </c>
      <c r="T21" t="s">
        <v>585</v>
      </c>
      <c r="U21">
        <v>2.0685915188700001E-4</v>
      </c>
      <c r="V21" t="s">
        <v>254</v>
      </c>
      <c r="X21">
        <v>1.1415525114155251E-4</v>
      </c>
      <c r="Y21">
        <v>1.6574265138519424E-5</v>
      </c>
      <c r="Z21" t="s">
        <v>585</v>
      </c>
      <c r="AA21" t="s">
        <v>25</v>
      </c>
      <c r="AC21" t="s">
        <v>22</v>
      </c>
      <c r="AD21" t="s">
        <v>585</v>
      </c>
      <c r="AE21">
        <v>9.3990022976610821E-5</v>
      </c>
      <c r="AG21" t="s">
        <v>97</v>
      </c>
      <c r="AH21" t="s">
        <v>585</v>
      </c>
      <c r="AI21">
        <v>0</v>
      </c>
    </row>
    <row r="22" spans="3:35" x14ac:dyDescent="0.45">
      <c r="C22" t="s">
        <v>181</v>
      </c>
      <c r="E22" t="s">
        <v>450</v>
      </c>
      <c r="G22" t="s">
        <v>158</v>
      </c>
      <c r="I22" t="s">
        <v>252</v>
      </c>
      <c r="J22" t="s">
        <v>586</v>
      </c>
      <c r="K22">
        <v>0</v>
      </c>
      <c r="L22" t="s">
        <v>254</v>
      </c>
      <c r="N22" t="s">
        <v>422</v>
      </c>
      <c r="O22" t="s">
        <v>586</v>
      </c>
      <c r="P22">
        <v>2.1082621075140001E-4</v>
      </c>
      <c r="Q22" t="s">
        <v>254</v>
      </c>
      <c r="S22" t="s">
        <v>423</v>
      </c>
      <c r="T22" t="s">
        <v>586</v>
      </c>
      <c r="U22">
        <v>2.0584905426959999E-4</v>
      </c>
      <c r="V22" t="s">
        <v>254</v>
      </c>
      <c r="X22">
        <v>1.1415525114155251E-4</v>
      </c>
      <c r="Y22">
        <v>1.4585353321897093E-5</v>
      </c>
      <c r="Z22" t="s">
        <v>586</v>
      </c>
      <c r="AA22" t="s">
        <v>25</v>
      </c>
      <c r="AC22" t="s">
        <v>22</v>
      </c>
      <c r="AD22" t="s">
        <v>586</v>
      </c>
      <c r="AE22">
        <v>9.4307104554493444E-5</v>
      </c>
      <c r="AG22" t="s">
        <v>97</v>
      </c>
      <c r="AH22" t="s">
        <v>586</v>
      </c>
      <c r="AI22">
        <v>0</v>
      </c>
    </row>
    <row r="23" spans="3:35" x14ac:dyDescent="0.45">
      <c r="E23" t="s">
        <v>451</v>
      </c>
      <c r="G23" t="s">
        <v>158</v>
      </c>
      <c r="I23" t="s">
        <v>252</v>
      </c>
      <c r="J23" t="s">
        <v>587</v>
      </c>
      <c r="K23">
        <v>0</v>
      </c>
      <c r="L23" t="s">
        <v>254</v>
      </c>
      <c r="N23" t="s">
        <v>422</v>
      </c>
      <c r="O23" t="s">
        <v>587</v>
      </c>
      <c r="P23">
        <v>2.0699928057909999E-4</v>
      </c>
      <c r="Q23" t="s">
        <v>254</v>
      </c>
      <c r="S23" t="s">
        <v>423</v>
      </c>
      <c r="T23" t="s">
        <v>587</v>
      </c>
      <c r="U23">
        <v>2.0340840880630001E-4</v>
      </c>
      <c r="V23" t="s">
        <v>254</v>
      </c>
      <c r="X23">
        <v>1.1415525114155251E-4</v>
      </c>
      <c r="Y23">
        <v>2.1215059377304864E-5</v>
      </c>
      <c r="Z23" t="s">
        <v>587</v>
      </c>
      <c r="AA23" t="s">
        <v>25</v>
      </c>
      <c r="AC23" t="s">
        <v>22</v>
      </c>
      <c r="AD23" t="s">
        <v>587</v>
      </c>
      <c r="AE23">
        <v>1.0163578037878064E-4</v>
      </c>
      <c r="AG23" t="s">
        <v>97</v>
      </c>
      <c r="AH23" t="s">
        <v>587</v>
      </c>
      <c r="AI23">
        <v>0</v>
      </c>
    </row>
    <row r="24" spans="3:35" x14ac:dyDescent="0.45">
      <c r="E24" t="s">
        <v>452</v>
      </c>
      <c r="G24" t="s">
        <v>158</v>
      </c>
      <c r="I24" t="s">
        <v>252</v>
      </c>
      <c r="J24" t="s">
        <v>588</v>
      </c>
      <c r="K24">
        <v>0</v>
      </c>
      <c r="L24" t="s">
        <v>254</v>
      </c>
      <c r="N24" t="s">
        <v>422</v>
      </c>
      <c r="O24" t="s">
        <v>588</v>
      </c>
      <c r="P24">
        <v>1.901810498679E-4</v>
      </c>
      <c r="Q24" t="s">
        <v>254</v>
      </c>
      <c r="S24" t="s">
        <v>423</v>
      </c>
      <c r="T24" t="s">
        <v>588</v>
      </c>
      <c r="U24">
        <v>1.9690828776319999E-4</v>
      </c>
      <c r="V24" t="s">
        <v>254</v>
      </c>
      <c r="X24">
        <v>1.1415525114155251E-4</v>
      </c>
      <c r="Y24">
        <v>5.7678442682047593E-5</v>
      </c>
      <c r="Z24" t="s">
        <v>588</v>
      </c>
      <c r="AA24" t="s">
        <v>25</v>
      </c>
      <c r="AC24" t="s">
        <v>22</v>
      </c>
      <c r="AD24" t="s">
        <v>588</v>
      </c>
      <c r="AE24">
        <v>1.3135706408627895E-4</v>
      </c>
      <c r="AG24" t="s">
        <v>97</v>
      </c>
      <c r="AH24" t="s">
        <v>588</v>
      </c>
      <c r="AI24">
        <v>0</v>
      </c>
    </row>
    <row r="25" spans="3:35" x14ac:dyDescent="0.45">
      <c r="E25" t="s">
        <v>453</v>
      </c>
      <c r="G25" t="s">
        <v>158</v>
      </c>
      <c r="I25" t="s">
        <v>252</v>
      </c>
      <c r="J25" t="s">
        <v>589</v>
      </c>
      <c r="K25">
        <v>0</v>
      </c>
      <c r="L25" t="s">
        <v>254</v>
      </c>
      <c r="N25" t="s">
        <v>422</v>
      </c>
      <c r="O25" t="s">
        <v>589</v>
      </c>
      <c r="P25">
        <v>1.7986226691930001E-4</v>
      </c>
      <c r="Q25" t="s">
        <v>254</v>
      </c>
      <c r="S25" t="s">
        <v>423</v>
      </c>
      <c r="T25" t="s">
        <v>589</v>
      </c>
      <c r="U25">
        <v>1.984100192629E-4</v>
      </c>
      <c r="V25" t="s">
        <v>254</v>
      </c>
      <c r="X25">
        <v>1.1415525114155251E-4</v>
      </c>
      <c r="Y25">
        <v>1.6905750441289813E-4</v>
      </c>
      <c r="Z25" t="s">
        <v>589</v>
      </c>
      <c r="AA25" t="s">
        <v>25</v>
      </c>
      <c r="AC25" t="s">
        <v>22</v>
      </c>
      <c r="AD25" t="s">
        <v>589</v>
      </c>
      <c r="AE25">
        <v>1.4638008239321803E-4</v>
      </c>
      <c r="AG25" t="s">
        <v>97</v>
      </c>
      <c r="AH25" t="s">
        <v>589</v>
      </c>
      <c r="AI25">
        <v>0</v>
      </c>
    </row>
    <row r="26" spans="3:35" x14ac:dyDescent="0.45">
      <c r="E26" t="s">
        <v>454</v>
      </c>
      <c r="G26" t="s">
        <v>158</v>
      </c>
      <c r="I26" t="s">
        <v>252</v>
      </c>
      <c r="J26" t="s">
        <v>590</v>
      </c>
      <c r="K26">
        <v>0</v>
      </c>
      <c r="L26" t="s">
        <v>254</v>
      </c>
      <c r="N26" t="s">
        <v>422</v>
      </c>
      <c r="O26" t="s">
        <v>590</v>
      </c>
      <c r="P26">
        <v>1.780837323107E-4</v>
      </c>
      <c r="Q26" t="s">
        <v>254</v>
      </c>
      <c r="S26" t="s">
        <v>423</v>
      </c>
      <c r="T26" t="s">
        <v>590</v>
      </c>
      <c r="U26">
        <v>2.0263385072099999E-4</v>
      </c>
      <c r="V26" t="s">
        <v>254</v>
      </c>
      <c r="X26">
        <v>1.1415525114155251E-4</v>
      </c>
      <c r="Y26">
        <v>1.9060404909297337E-4</v>
      </c>
      <c r="Z26" t="s">
        <v>590</v>
      </c>
      <c r="AA26" t="s">
        <v>25</v>
      </c>
      <c r="AC26" t="s">
        <v>22</v>
      </c>
      <c r="AD26" t="s">
        <v>590</v>
      </c>
      <c r="AE26">
        <v>1.5325614983617276E-4</v>
      </c>
      <c r="AG26" t="s">
        <v>97</v>
      </c>
      <c r="AH26" t="s">
        <v>590</v>
      </c>
      <c r="AI26">
        <v>0</v>
      </c>
    </row>
    <row r="27" spans="3:35" x14ac:dyDescent="0.45">
      <c r="E27" t="s">
        <v>455</v>
      </c>
      <c r="G27" t="s">
        <v>158</v>
      </c>
      <c r="I27" t="s">
        <v>252</v>
      </c>
      <c r="J27" t="s">
        <v>591</v>
      </c>
      <c r="K27">
        <v>4.6948319313407433E-5</v>
      </c>
      <c r="L27" t="s">
        <v>254</v>
      </c>
      <c r="N27" t="s">
        <v>422</v>
      </c>
      <c r="O27" t="s">
        <v>591</v>
      </c>
      <c r="P27">
        <v>1.910180948787E-4</v>
      </c>
      <c r="Q27" t="s">
        <v>254</v>
      </c>
      <c r="S27" t="s">
        <v>423</v>
      </c>
      <c r="T27" t="s">
        <v>591</v>
      </c>
      <c r="U27">
        <v>2.0384034938559999E-4</v>
      </c>
      <c r="V27" t="s">
        <v>254</v>
      </c>
      <c r="X27">
        <v>1.1415525114155251E-4</v>
      </c>
      <c r="Y27">
        <v>1.4585353321897094E-4</v>
      </c>
      <c r="Z27" t="s">
        <v>591</v>
      </c>
      <c r="AA27" t="s">
        <v>25</v>
      </c>
      <c r="AC27" t="s">
        <v>22</v>
      </c>
      <c r="AD27" t="s">
        <v>591</v>
      </c>
      <c r="AE27">
        <v>1.5379314283097399E-4</v>
      </c>
      <c r="AG27" t="s">
        <v>97</v>
      </c>
      <c r="AH27" t="s">
        <v>591</v>
      </c>
      <c r="AI27">
        <v>0</v>
      </c>
    </row>
    <row r="28" spans="3:35" x14ac:dyDescent="0.45">
      <c r="E28" t="s">
        <v>456</v>
      </c>
      <c r="G28" t="s">
        <v>158</v>
      </c>
      <c r="I28" t="s">
        <v>252</v>
      </c>
      <c r="J28" t="s">
        <v>592</v>
      </c>
      <c r="K28">
        <v>1.4671351836869999E-4</v>
      </c>
      <c r="L28" t="s">
        <v>254</v>
      </c>
      <c r="N28" t="s">
        <v>422</v>
      </c>
      <c r="O28" t="s">
        <v>592</v>
      </c>
      <c r="P28">
        <v>1.9120744113959999E-4</v>
      </c>
      <c r="Q28" t="s">
        <v>254</v>
      </c>
      <c r="S28" t="s">
        <v>423</v>
      </c>
      <c r="T28" t="s">
        <v>592</v>
      </c>
      <c r="U28">
        <v>2.0302202187809999E-4</v>
      </c>
      <c r="V28" t="s">
        <v>254</v>
      </c>
      <c r="X28">
        <v>1.1415525114155251E-4</v>
      </c>
      <c r="Y28">
        <v>1.4452759200788939E-4</v>
      </c>
      <c r="Z28" t="s">
        <v>592</v>
      </c>
      <c r="AA28" t="s">
        <v>25</v>
      </c>
      <c r="AC28" t="s">
        <v>22</v>
      </c>
      <c r="AD28" t="s">
        <v>592</v>
      </c>
      <c r="AE28">
        <v>1.538519563494522E-4</v>
      </c>
      <c r="AG28" t="s">
        <v>97</v>
      </c>
      <c r="AH28" t="s">
        <v>592</v>
      </c>
      <c r="AI28">
        <v>0</v>
      </c>
    </row>
    <row r="29" spans="3:35" x14ac:dyDescent="0.45">
      <c r="E29" t="s">
        <v>457</v>
      </c>
      <c r="G29" t="s">
        <v>158</v>
      </c>
      <c r="I29" t="s">
        <v>252</v>
      </c>
      <c r="J29" t="s">
        <v>593</v>
      </c>
      <c r="K29">
        <v>2.050820859237E-4</v>
      </c>
      <c r="L29" t="s">
        <v>254</v>
      </c>
      <c r="N29" t="s">
        <v>422</v>
      </c>
      <c r="O29" t="s">
        <v>593</v>
      </c>
      <c r="P29">
        <v>1.84598907286E-4</v>
      </c>
      <c r="Q29" t="s">
        <v>254</v>
      </c>
      <c r="S29" t="s">
        <v>423</v>
      </c>
      <c r="T29" t="s">
        <v>593</v>
      </c>
      <c r="U29">
        <v>2.041542866041E-4</v>
      </c>
      <c r="V29" t="s">
        <v>254</v>
      </c>
      <c r="X29">
        <v>1.1415525114155251E-4</v>
      </c>
      <c r="Y29">
        <v>1.408812536774151E-4</v>
      </c>
      <c r="Z29" t="s">
        <v>593</v>
      </c>
      <c r="AA29" t="s">
        <v>25</v>
      </c>
      <c r="AC29" t="s">
        <v>22</v>
      </c>
      <c r="AD29" t="s">
        <v>593</v>
      </c>
      <c r="AE29">
        <v>1.531487512372125E-4</v>
      </c>
      <c r="AG29" t="s">
        <v>97</v>
      </c>
      <c r="AH29" t="s">
        <v>593</v>
      </c>
      <c r="AI29">
        <v>0</v>
      </c>
    </row>
    <row r="30" spans="3:35" x14ac:dyDescent="0.45">
      <c r="E30" t="s">
        <v>458</v>
      </c>
      <c r="G30" t="s">
        <v>158</v>
      </c>
      <c r="I30" t="s">
        <v>252</v>
      </c>
      <c r="J30" t="s">
        <v>594</v>
      </c>
      <c r="K30">
        <v>2.307142471243E-4</v>
      </c>
      <c r="L30" t="s">
        <v>254</v>
      </c>
      <c r="N30" t="s">
        <v>422</v>
      </c>
      <c r="O30" t="s">
        <v>594</v>
      </c>
      <c r="P30">
        <v>2.01403925641E-4</v>
      </c>
      <c r="Q30" t="s">
        <v>254</v>
      </c>
      <c r="S30" t="s">
        <v>423</v>
      </c>
      <c r="T30" t="s">
        <v>594</v>
      </c>
      <c r="U30">
        <v>2.095844797451E-4</v>
      </c>
      <c r="V30" t="s">
        <v>254</v>
      </c>
      <c r="X30">
        <v>1.1415525114155251E-4</v>
      </c>
      <c r="Y30">
        <v>1.4054976837464471E-4</v>
      </c>
      <c r="Z30" t="s">
        <v>594</v>
      </c>
      <c r="AA30" t="s">
        <v>25</v>
      </c>
      <c r="AC30" t="s">
        <v>22</v>
      </c>
      <c r="AD30" t="s">
        <v>594</v>
      </c>
      <c r="AE30">
        <v>1.531487512372125E-4</v>
      </c>
      <c r="AG30" t="s">
        <v>97</v>
      </c>
      <c r="AH30" t="s">
        <v>594</v>
      </c>
      <c r="AI30">
        <v>0</v>
      </c>
    </row>
    <row r="31" spans="3:35" x14ac:dyDescent="0.45">
      <c r="E31" t="s">
        <v>459</v>
      </c>
      <c r="G31" t="s">
        <v>158</v>
      </c>
      <c r="I31" t="s">
        <v>252</v>
      </c>
      <c r="J31" t="s">
        <v>595</v>
      </c>
      <c r="K31">
        <v>2.1608924638949999E-4</v>
      </c>
      <c r="L31" t="s">
        <v>254</v>
      </c>
      <c r="N31" t="s">
        <v>422</v>
      </c>
      <c r="O31" t="s">
        <v>595</v>
      </c>
      <c r="P31">
        <v>2.1738361621180001E-4</v>
      </c>
      <c r="Q31" t="s">
        <v>254</v>
      </c>
      <c r="S31" t="s">
        <v>423</v>
      </c>
      <c r="T31" t="s">
        <v>595</v>
      </c>
      <c r="U31">
        <v>2.1148542822750001E-4</v>
      </c>
      <c r="V31" t="s">
        <v>254</v>
      </c>
      <c r="X31">
        <v>1.1415525114155251E-4</v>
      </c>
      <c r="Y31">
        <v>1.4253868019126702E-4</v>
      </c>
      <c r="Z31" t="s">
        <v>595</v>
      </c>
      <c r="AA31" t="s">
        <v>25</v>
      </c>
      <c r="AC31" t="s">
        <v>22</v>
      </c>
      <c r="AD31" t="s">
        <v>595</v>
      </c>
      <c r="AE31">
        <v>1.5219750650356464E-4</v>
      </c>
      <c r="AG31" t="s">
        <v>97</v>
      </c>
      <c r="AH31" t="s">
        <v>595</v>
      </c>
      <c r="AI31">
        <v>0</v>
      </c>
    </row>
    <row r="32" spans="3:35" x14ac:dyDescent="0.45">
      <c r="E32" t="s">
        <v>460</v>
      </c>
      <c r="G32" t="s">
        <v>158</v>
      </c>
      <c r="I32" t="s">
        <v>252</v>
      </c>
      <c r="J32" t="s">
        <v>596</v>
      </c>
      <c r="K32">
        <v>2.0685974653239999E-4</v>
      </c>
      <c r="L32" t="s">
        <v>254</v>
      </c>
      <c r="N32" t="s">
        <v>422</v>
      </c>
      <c r="O32" t="s">
        <v>596</v>
      </c>
      <c r="P32">
        <v>2.366730001352E-4</v>
      </c>
      <c r="Q32" t="s">
        <v>254</v>
      </c>
      <c r="S32" t="s">
        <v>423</v>
      </c>
      <c r="T32" t="s">
        <v>596</v>
      </c>
      <c r="U32">
        <v>2.1189609475380001E-4</v>
      </c>
      <c r="V32" t="s">
        <v>254</v>
      </c>
      <c r="X32">
        <v>1.1415525114155251E-4</v>
      </c>
      <c r="Y32">
        <v>1.4883690094390442E-4</v>
      </c>
      <c r="Z32" t="s">
        <v>596</v>
      </c>
      <c r="AA32" t="s">
        <v>25</v>
      </c>
      <c r="AC32" t="s">
        <v>22</v>
      </c>
      <c r="AD32" t="s">
        <v>596</v>
      </c>
      <c r="AE32">
        <v>1.5198526641514319E-4</v>
      </c>
      <c r="AG32" t="s">
        <v>97</v>
      </c>
      <c r="AH32" t="s">
        <v>596</v>
      </c>
      <c r="AI32">
        <v>0</v>
      </c>
    </row>
    <row r="33" spans="5:35" x14ac:dyDescent="0.45">
      <c r="E33" t="s">
        <v>461</v>
      </c>
      <c r="G33" t="s">
        <v>158</v>
      </c>
      <c r="I33" t="s">
        <v>252</v>
      </c>
      <c r="J33" t="s">
        <v>597</v>
      </c>
      <c r="K33">
        <v>2.4804834378240002E-4</v>
      </c>
      <c r="L33" t="s">
        <v>254</v>
      </c>
      <c r="N33" t="s">
        <v>422</v>
      </c>
      <c r="O33" t="s">
        <v>597</v>
      </c>
      <c r="P33">
        <v>2.4780253096969999E-4</v>
      </c>
      <c r="Q33" t="s">
        <v>254</v>
      </c>
      <c r="S33" t="s">
        <v>423</v>
      </c>
      <c r="T33" t="s">
        <v>597</v>
      </c>
      <c r="U33">
        <v>2.1179051189709999E-4</v>
      </c>
      <c r="V33" t="s">
        <v>254</v>
      </c>
      <c r="X33">
        <v>1.1415525114155251E-4</v>
      </c>
      <c r="Y33">
        <v>1.5049432745775637E-4</v>
      </c>
      <c r="Z33" t="s">
        <v>597</v>
      </c>
      <c r="AA33" t="s">
        <v>25</v>
      </c>
      <c r="AC33" t="s">
        <v>22</v>
      </c>
      <c r="AD33" t="s">
        <v>597</v>
      </c>
      <c r="AE33">
        <v>1.518139400787066E-4</v>
      </c>
      <c r="AG33" t="s">
        <v>97</v>
      </c>
      <c r="AH33" t="s">
        <v>597</v>
      </c>
      <c r="AI33">
        <v>0</v>
      </c>
    </row>
    <row r="34" spans="5:35" x14ac:dyDescent="0.45">
      <c r="E34" t="s">
        <v>462</v>
      </c>
      <c r="G34" t="s">
        <v>158</v>
      </c>
      <c r="I34" t="s">
        <v>252</v>
      </c>
      <c r="J34" t="s">
        <v>598</v>
      </c>
      <c r="K34">
        <v>2.3026000089760001E-4</v>
      </c>
      <c r="L34" t="s">
        <v>254</v>
      </c>
      <c r="N34" t="s">
        <v>422</v>
      </c>
      <c r="O34" t="s">
        <v>598</v>
      </c>
      <c r="P34">
        <v>2.5325424100649998E-4</v>
      </c>
      <c r="Q34" t="s">
        <v>254</v>
      </c>
      <c r="S34" t="s">
        <v>423</v>
      </c>
      <c r="T34" t="s">
        <v>598</v>
      </c>
      <c r="U34">
        <v>2.108458990828E-4</v>
      </c>
      <c r="V34" t="s">
        <v>254</v>
      </c>
      <c r="X34">
        <v>1.1415525114155251E-4</v>
      </c>
      <c r="Y34">
        <v>1.7237235744060203E-4</v>
      </c>
      <c r="Z34" t="s">
        <v>598</v>
      </c>
      <c r="AA34" t="s">
        <v>25</v>
      </c>
      <c r="AC34" t="s">
        <v>22</v>
      </c>
      <c r="AD34" t="s">
        <v>598</v>
      </c>
      <c r="AE34">
        <v>1.518139400787066E-4</v>
      </c>
      <c r="AG34" t="s">
        <v>97</v>
      </c>
      <c r="AH34" t="s">
        <v>598</v>
      </c>
      <c r="AI34">
        <v>0</v>
      </c>
    </row>
    <row r="35" spans="5:35" x14ac:dyDescent="0.45">
      <c r="E35" t="s">
        <v>156</v>
      </c>
      <c r="G35" t="s">
        <v>162</v>
      </c>
      <c r="I35" t="s">
        <v>252</v>
      </c>
      <c r="J35" t="s">
        <v>599</v>
      </c>
      <c r="K35">
        <v>1.8212067637399999E-4</v>
      </c>
      <c r="L35" t="s">
        <v>254</v>
      </c>
      <c r="N35" t="s">
        <v>422</v>
      </c>
      <c r="O35" t="s">
        <v>599</v>
      </c>
      <c r="P35">
        <v>2.533745823676E-4</v>
      </c>
      <c r="Q35" t="s">
        <v>254</v>
      </c>
      <c r="S35" t="s">
        <v>423</v>
      </c>
      <c r="T35" t="s">
        <v>599</v>
      </c>
      <c r="U35">
        <v>2.1069575901389999E-4</v>
      </c>
      <c r="V35" t="s">
        <v>254</v>
      </c>
      <c r="X35">
        <v>1.1415525114155251E-4</v>
      </c>
      <c r="Y35">
        <v>2.2209515285616027E-4</v>
      </c>
      <c r="Z35" t="s">
        <v>599</v>
      </c>
      <c r="AA35" t="s">
        <v>25</v>
      </c>
      <c r="AC35" t="s">
        <v>22</v>
      </c>
      <c r="AD35" t="s">
        <v>599</v>
      </c>
      <c r="AE35">
        <v>1.5253248784794063E-4</v>
      </c>
      <c r="AG35" t="s">
        <v>97</v>
      </c>
      <c r="AH35" t="s">
        <v>599</v>
      </c>
      <c r="AI35">
        <v>0</v>
      </c>
    </row>
    <row r="36" spans="5:35" x14ac:dyDescent="0.45">
      <c r="E36" t="s">
        <v>160</v>
      </c>
      <c r="G36" t="s">
        <v>162</v>
      </c>
      <c r="I36" t="s">
        <v>252</v>
      </c>
      <c r="J36" t="s">
        <v>600</v>
      </c>
      <c r="K36">
        <v>1.098598775179E-4</v>
      </c>
      <c r="L36" t="s">
        <v>254</v>
      </c>
      <c r="N36" t="s">
        <v>422</v>
      </c>
      <c r="O36" t="s">
        <v>600</v>
      </c>
      <c r="P36">
        <v>2.5237469821870001E-4</v>
      </c>
      <c r="Q36" t="s">
        <v>254</v>
      </c>
      <c r="S36" t="s">
        <v>423</v>
      </c>
      <c r="T36" t="s">
        <v>600</v>
      </c>
      <c r="U36">
        <v>2.1040455159149999E-4</v>
      </c>
      <c r="V36" t="s">
        <v>254</v>
      </c>
      <c r="X36">
        <v>1.1415525114155251E-4</v>
      </c>
      <c r="Y36">
        <v>2.2209515285616027E-4</v>
      </c>
      <c r="Z36" t="s">
        <v>600</v>
      </c>
      <c r="AA36" t="s">
        <v>25</v>
      </c>
      <c r="AC36" t="s">
        <v>22</v>
      </c>
      <c r="AD36" t="s">
        <v>600</v>
      </c>
      <c r="AE36">
        <v>1.5310272326622955E-4</v>
      </c>
      <c r="AG36" t="s">
        <v>97</v>
      </c>
      <c r="AH36" t="s">
        <v>600</v>
      </c>
      <c r="AI36">
        <v>0</v>
      </c>
    </row>
    <row r="37" spans="5:35" x14ac:dyDescent="0.45">
      <c r="E37" t="s">
        <v>163</v>
      </c>
      <c r="G37" t="s">
        <v>162</v>
      </c>
      <c r="I37" t="s">
        <v>252</v>
      </c>
      <c r="J37" t="s">
        <v>601</v>
      </c>
      <c r="K37">
        <v>0</v>
      </c>
      <c r="L37" t="s">
        <v>254</v>
      </c>
      <c r="N37" t="s">
        <v>422</v>
      </c>
      <c r="O37" t="s">
        <v>601</v>
      </c>
      <c r="P37">
        <v>2.5014980379629999E-4</v>
      </c>
      <c r="Q37" t="s">
        <v>254</v>
      </c>
      <c r="S37" t="s">
        <v>423</v>
      </c>
      <c r="T37" t="s">
        <v>601</v>
      </c>
      <c r="U37">
        <v>2.097530981154E-4</v>
      </c>
      <c r="V37" t="s">
        <v>254</v>
      </c>
      <c r="X37">
        <v>1.1415525114155251E-4</v>
      </c>
      <c r="Y37">
        <v>1.7237235744060203E-4</v>
      </c>
      <c r="Z37" t="s">
        <v>601</v>
      </c>
      <c r="AA37" t="s">
        <v>25</v>
      </c>
      <c r="AC37" t="s">
        <v>22</v>
      </c>
      <c r="AD37" t="s">
        <v>601</v>
      </c>
      <c r="AE37">
        <v>1.5310272326622955E-4</v>
      </c>
      <c r="AG37" t="s">
        <v>97</v>
      </c>
      <c r="AH37" t="s">
        <v>601</v>
      </c>
      <c r="AI37">
        <v>0</v>
      </c>
    </row>
    <row r="38" spans="5:35" x14ac:dyDescent="0.45">
      <c r="E38" t="s">
        <v>167</v>
      </c>
      <c r="G38" t="s">
        <v>162</v>
      </c>
      <c r="I38" t="s">
        <v>252</v>
      </c>
      <c r="J38" t="s">
        <v>602</v>
      </c>
      <c r="K38">
        <v>0</v>
      </c>
      <c r="L38" t="s">
        <v>254</v>
      </c>
      <c r="N38" t="s">
        <v>422</v>
      </c>
      <c r="O38" t="s">
        <v>602</v>
      </c>
      <c r="P38">
        <v>2.4906425564960003E-4</v>
      </c>
      <c r="Q38" t="s">
        <v>254</v>
      </c>
      <c r="S38" t="s">
        <v>423</v>
      </c>
      <c r="T38" t="s">
        <v>602</v>
      </c>
      <c r="U38">
        <v>2.0910930395739999E-4</v>
      </c>
      <c r="V38" t="s">
        <v>254</v>
      </c>
      <c r="X38">
        <v>1.1415525114155251E-4</v>
      </c>
      <c r="Y38">
        <v>1.5579809230208258E-4</v>
      </c>
      <c r="Z38" t="s">
        <v>602</v>
      </c>
      <c r="AA38" t="s">
        <v>25</v>
      </c>
      <c r="AC38" t="s">
        <v>22</v>
      </c>
      <c r="AD38" t="s">
        <v>602</v>
      </c>
      <c r="AE38">
        <v>1.4882212196481407E-4</v>
      </c>
      <c r="AG38" t="s">
        <v>97</v>
      </c>
      <c r="AH38" t="s">
        <v>602</v>
      </c>
      <c r="AI38">
        <v>0</v>
      </c>
    </row>
    <row r="39" spans="5:35" x14ac:dyDescent="0.45">
      <c r="E39" t="s">
        <v>170</v>
      </c>
      <c r="G39" t="s">
        <v>162</v>
      </c>
      <c r="I39" t="s">
        <v>252</v>
      </c>
      <c r="J39" t="s">
        <v>603</v>
      </c>
      <c r="K39">
        <v>0</v>
      </c>
      <c r="L39" t="s">
        <v>254</v>
      </c>
      <c r="N39" t="s">
        <v>422</v>
      </c>
      <c r="O39" t="s">
        <v>603</v>
      </c>
      <c r="P39">
        <v>2.480609699588E-4</v>
      </c>
      <c r="Q39" t="s">
        <v>254</v>
      </c>
      <c r="S39" t="s">
        <v>423</v>
      </c>
      <c r="T39" t="s">
        <v>603</v>
      </c>
      <c r="U39">
        <v>2.0864114449030001E-4</v>
      </c>
      <c r="V39" t="s">
        <v>254</v>
      </c>
      <c r="X39">
        <v>1.1415525114155251E-4</v>
      </c>
      <c r="Y39">
        <v>1.093901499142282E-4</v>
      </c>
      <c r="Z39" t="s">
        <v>603</v>
      </c>
      <c r="AA39" t="s">
        <v>25</v>
      </c>
      <c r="AC39" t="s">
        <v>22</v>
      </c>
      <c r="AD39" t="s">
        <v>603</v>
      </c>
      <c r="AE39">
        <v>1.3245406406137291E-4</v>
      </c>
      <c r="AG39" t="s">
        <v>97</v>
      </c>
      <c r="AH39" t="s">
        <v>603</v>
      </c>
      <c r="AI39">
        <v>0</v>
      </c>
    </row>
    <row r="40" spans="5:35" x14ac:dyDescent="0.45">
      <c r="E40" t="s">
        <v>172</v>
      </c>
      <c r="G40" t="s">
        <v>162</v>
      </c>
      <c r="I40" t="s">
        <v>252</v>
      </c>
      <c r="J40" t="s">
        <v>604</v>
      </c>
      <c r="K40">
        <v>0</v>
      </c>
      <c r="L40" t="s">
        <v>254</v>
      </c>
      <c r="N40" t="s">
        <v>422</v>
      </c>
      <c r="O40" t="s">
        <v>604</v>
      </c>
      <c r="P40">
        <v>2.425521478744E-4</v>
      </c>
      <c r="Q40" t="s">
        <v>254</v>
      </c>
      <c r="S40" t="s">
        <v>423</v>
      </c>
      <c r="T40" t="s">
        <v>604</v>
      </c>
      <c r="U40">
        <v>2.0727499217090001E-4</v>
      </c>
      <c r="V40" t="s">
        <v>254</v>
      </c>
      <c r="X40">
        <v>1.1415525114155251E-4</v>
      </c>
      <c r="Y40">
        <v>7.9556472664893237E-5</v>
      </c>
      <c r="Z40" t="s">
        <v>604</v>
      </c>
      <c r="AA40" t="s">
        <v>25</v>
      </c>
      <c r="AC40" t="s">
        <v>22</v>
      </c>
      <c r="AD40" t="s">
        <v>604</v>
      </c>
      <c r="AE40">
        <v>1.2387751880154761E-4</v>
      </c>
      <c r="AG40" t="s">
        <v>97</v>
      </c>
      <c r="AH40" t="s">
        <v>604</v>
      </c>
      <c r="AI40">
        <v>0</v>
      </c>
    </row>
    <row r="41" spans="5:35" x14ac:dyDescent="0.45">
      <c r="E41" t="s">
        <v>174</v>
      </c>
      <c r="G41" t="s">
        <v>162</v>
      </c>
      <c r="I41" t="s">
        <v>252</v>
      </c>
      <c r="J41" t="s">
        <v>605</v>
      </c>
      <c r="K41">
        <v>0</v>
      </c>
      <c r="L41" t="s">
        <v>254</v>
      </c>
      <c r="N41" t="s">
        <v>422</v>
      </c>
      <c r="O41" t="s">
        <v>605</v>
      </c>
      <c r="P41">
        <v>2.3593409331049999E-4</v>
      </c>
      <c r="Q41" t="s">
        <v>254</v>
      </c>
      <c r="S41" t="s">
        <v>423</v>
      </c>
      <c r="T41" t="s">
        <v>605</v>
      </c>
      <c r="U41">
        <v>2.0413982350529999E-4</v>
      </c>
      <c r="V41" t="s">
        <v>254</v>
      </c>
      <c r="X41">
        <v>1.1415525114155251E-4</v>
      </c>
      <c r="Y41">
        <v>5.6352501470966035E-5</v>
      </c>
      <c r="Z41" t="s">
        <v>605</v>
      </c>
      <c r="AA41" t="s">
        <v>25</v>
      </c>
      <c r="AC41" t="s">
        <v>22</v>
      </c>
      <c r="AD41" t="s">
        <v>605</v>
      </c>
      <c r="AE41">
        <v>1.1481767984640122E-4</v>
      </c>
      <c r="AG41" t="s">
        <v>97</v>
      </c>
      <c r="AH41" t="s">
        <v>605</v>
      </c>
      <c r="AI41">
        <v>0</v>
      </c>
    </row>
    <row r="42" spans="5:35" x14ac:dyDescent="0.45">
      <c r="E42" t="s">
        <v>175</v>
      </c>
      <c r="G42" t="s">
        <v>162</v>
      </c>
      <c r="I42" t="s">
        <v>252</v>
      </c>
      <c r="J42" t="s">
        <v>606</v>
      </c>
      <c r="K42">
        <v>0</v>
      </c>
      <c r="L42" t="s">
        <v>254</v>
      </c>
      <c r="N42" t="s">
        <v>422</v>
      </c>
      <c r="O42" t="s">
        <v>606</v>
      </c>
      <c r="P42">
        <v>2.321022355572E-4</v>
      </c>
      <c r="Q42" t="s">
        <v>254</v>
      </c>
      <c r="S42" t="s">
        <v>423</v>
      </c>
      <c r="T42" t="s">
        <v>606</v>
      </c>
      <c r="U42">
        <v>2.0010877921810001E-4</v>
      </c>
      <c r="V42" t="s">
        <v>254</v>
      </c>
      <c r="X42">
        <v>1.1415525114155251E-4</v>
      </c>
      <c r="Y42">
        <v>2.9833677249334962E-5</v>
      </c>
      <c r="Z42" t="s">
        <v>606</v>
      </c>
      <c r="AA42" t="s">
        <v>25</v>
      </c>
      <c r="AC42" t="s">
        <v>22</v>
      </c>
      <c r="AD42" t="s">
        <v>606</v>
      </c>
      <c r="AE42">
        <v>9.9022414470748034E-5</v>
      </c>
      <c r="AG42" t="s">
        <v>97</v>
      </c>
      <c r="AH42" t="s">
        <v>606</v>
      </c>
      <c r="AI42">
        <v>0</v>
      </c>
    </row>
    <row r="43" spans="5:35" x14ac:dyDescent="0.45">
      <c r="E43" t="s">
        <v>176</v>
      </c>
      <c r="G43" t="s">
        <v>162</v>
      </c>
      <c r="I43" t="s">
        <v>252</v>
      </c>
      <c r="J43" t="s">
        <v>607</v>
      </c>
      <c r="K43">
        <v>0</v>
      </c>
      <c r="L43" t="s">
        <v>254</v>
      </c>
      <c r="N43" t="s">
        <v>422</v>
      </c>
      <c r="O43" t="s">
        <v>607</v>
      </c>
      <c r="P43">
        <v>2.260554079784E-4</v>
      </c>
      <c r="Q43" t="s">
        <v>254</v>
      </c>
      <c r="S43" t="s">
        <v>423</v>
      </c>
      <c r="T43" t="s">
        <v>607</v>
      </c>
      <c r="U43">
        <v>1.934748564057E-4</v>
      </c>
      <c r="V43" t="s">
        <v>254</v>
      </c>
      <c r="X43">
        <v>1.1415525114155251E-4</v>
      </c>
      <c r="Y43">
        <v>2.1546544680075254E-5</v>
      </c>
      <c r="Z43" t="s">
        <v>607</v>
      </c>
      <c r="AA43" t="s">
        <v>25</v>
      </c>
      <c r="AC43" t="s">
        <v>22</v>
      </c>
      <c r="AD43" t="s">
        <v>607</v>
      </c>
      <c r="AE43">
        <v>9.6145666284312887E-5</v>
      </c>
      <c r="AG43" t="s">
        <v>97</v>
      </c>
      <c r="AH43" t="s">
        <v>607</v>
      </c>
      <c r="AI43">
        <v>0</v>
      </c>
    </row>
    <row r="44" spans="5:35" x14ac:dyDescent="0.45">
      <c r="E44" t="s">
        <v>178</v>
      </c>
      <c r="G44" t="s">
        <v>162</v>
      </c>
      <c r="I44" t="s">
        <v>252</v>
      </c>
      <c r="J44" t="s">
        <v>608</v>
      </c>
      <c r="K44">
        <v>0</v>
      </c>
      <c r="L44" t="s">
        <v>254</v>
      </c>
      <c r="N44" t="s">
        <v>422</v>
      </c>
      <c r="O44" t="s">
        <v>608</v>
      </c>
      <c r="P44">
        <v>2.2694204312590001E-4</v>
      </c>
      <c r="Q44" t="s">
        <v>254</v>
      </c>
      <c r="S44" t="s">
        <v>423</v>
      </c>
      <c r="T44" t="s">
        <v>608</v>
      </c>
      <c r="U44">
        <v>1.9209057527560001E-4</v>
      </c>
      <c r="V44" t="s">
        <v>254</v>
      </c>
      <c r="X44">
        <v>1.1415525114155251E-4</v>
      </c>
      <c r="Y44">
        <v>1.4916838624667481E-5</v>
      </c>
      <c r="Z44" t="s">
        <v>608</v>
      </c>
      <c r="AA44" t="s">
        <v>25</v>
      </c>
      <c r="AC44" t="s">
        <v>22</v>
      </c>
      <c r="AD44" t="s">
        <v>608</v>
      </c>
      <c r="AE44">
        <v>9.3118048637433584E-5</v>
      </c>
      <c r="AG44" t="s">
        <v>97</v>
      </c>
      <c r="AH44" t="s">
        <v>608</v>
      </c>
      <c r="AI44">
        <v>0</v>
      </c>
    </row>
    <row r="45" spans="5:35" x14ac:dyDescent="0.45">
      <c r="E45" t="s">
        <v>180</v>
      </c>
      <c r="G45" t="s">
        <v>162</v>
      </c>
      <c r="I45" t="s">
        <v>252</v>
      </c>
      <c r="J45" t="s">
        <v>609</v>
      </c>
      <c r="K45">
        <v>0</v>
      </c>
      <c r="L45" t="s">
        <v>254</v>
      </c>
      <c r="N45" t="s">
        <v>422</v>
      </c>
      <c r="O45" t="s">
        <v>609</v>
      </c>
      <c r="P45">
        <v>2.230815852557E-4</v>
      </c>
      <c r="Q45" t="s">
        <v>254</v>
      </c>
      <c r="S45" t="s">
        <v>423</v>
      </c>
      <c r="T45" t="s">
        <v>609</v>
      </c>
      <c r="U45">
        <v>1.9122353830379999E-4</v>
      </c>
      <c r="V45" t="s">
        <v>254</v>
      </c>
      <c r="X45">
        <v>1.1415525114155251E-4</v>
      </c>
      <c r="Y45">
        <v>1.6574265138519424E-5</v>
      </c>
      <c r="Z45" t="s">
        <v>609</v>
      </c>
      <c r="AA45" t="s">
        <v>25</v>
      </c>
      <c r="AC45" t="s">
        <v>22</v>
      </c>
      <c r="AD45" t="s">
        <v>609</v>
      </c>
      <c r="AE45">
        <v>9.264754048960775E-5</v>
      </c>
      <c r="AG45" t="s">
        <v>97</v>
      </c>
      <c r="AH45" t="s">
        <v>609</v>
      </c>
      <c r="AI45">
        <v>0</v>
      </c>
    </row>
    <row r="46" spans="5:35" x14ac:dyDescent="0.45">
      <c r="E46" t="s">
        <v>182</v>
      </c>
      <c r="G46" t="s">
        <v>162</v>
      </c>
      <c r="I46" t="s">
        <v>252</v>
      </c>
      <c r="J46" t="s">
        <v>610</v>
      </c>
      <c r="K46">
        <v>0</v>
      </c>
      <c r="L46" t="s">
        <v>254</v>
      </c>
      <c r="N46" t="s">
        <v>422</v>
      </c>
      <c r="O46" t="s">
        <v>610</v>
      </c>
      <c r="P46">
        <v>2.2734393995380001E-4</v>
      </c>
      <c r="Q46" t="s">
        <v>254</v>
      </c>
      <c r="S46" t="s">
        <v>423</v>
      </c>
      <c r="T46" t="s">
        <v>610</v>
      </c>
      <c r="U46">
        <v>1.9063650883100001E-4</v>
      </c>
      <c r="V46" t="s">
        <v>254</v>
      </c>
      <c r="X46">
        <v>1.1415525114155251E-4</v>
      </c>
      <c r="Y46">
        <v>1.4585353321897093E-5</v>
      </c>
      <c r="Z46" t="s">
        <v>610</v>
      </c>
      <c r="AA46" t="s">
        <v>25</v>
      </c>
      <c r="AC46" t="s">
        <v>22</v>
      </c>
      <c r="AD46" t="s">
        <v>610</v>
      </c>
      <c r="AE46">
        <v>9.3376316696837993E-5</v>
      </c>
      <c r="AG46" t="s">
        <v>97</v>
      </c>
      <c r="AH46" t="s">
        <v>610</v>
      </c>
      <c r="AI46">
        <v>0</v>
      </c>
    </row>
    <row r="47" spans="5:35" x14ac:dyDescent="0.45">
      <c r="E47" t="s">
        <v>183</v>
      </c>
      <c r="G47" t="s">
        <v>162</v>
      </c>
      <c r="I47" t="s">
        <v>252</v>
      </c>
      <c r="J47" t="s">
        <v>611</v>
      </c>
      <c r="K47">
        <v>0</v>
      </c>
      <c r="L47" t="s">
        <v>254</v>
      </c>
      <c r="N47" t="s">
        <v>422</v>
      </c>
      <c r="O47" t="s">
        <v>611</v>
      </c>
      <c r="P47">
        <v>2.264380237252E-4</v>
      </c>
      <c r="Q47" t="s">
        <v>254</v>
      </c>
      <c r="S47" t="s">
        <v>423</v>
      </c>
      <c r="T47" t="s">
        <v>611</v>
      </c>
      <c r="U47">
        <v>1.9015628217890001E-4</v>
      </c>
      <c r="V47" t="s">
        <v>254</v>
      </c>
      <c r="X47">
        <v>1.1415525114155251E-4</v>
      </c>
      <c r="Y47">
        <v>2.1215059377304864E-5</v>
      </c>
      <c r="Z47" t="s">
        <v>611</v>
      </c>
      <c r="AA47" t="s">
        <v>25</v>
      </c>
      <c r="AC47" t="s">
        <v>22</v>
      </c>
      <c r="AD47" t="s">
        <v>611</v>
      </c>
      <c r="AE47">
        <v>9.9549179027553041E-5</v>
      </c>
      <c r="AG47" t="s">
        <v>97</v>
      </c>
      <c r="AH47" t="s">
        <v>611</v>
      </c>
      <c r="AI47">
        <v>0</v>
      </c>
    </row>
    <row r="48" spans="5:35" x14ac:dyDescent="0.45">
      <c r="E48" t="s">
        <v>184</v>
      </c>
      <c r="G48" t="s">
        <v>162</v>
      </c>
      <c r="I48" t="s">
        <v>252</v>
      </c>
      <c r="J48" t="s">
        <v>612</v>
      </c>
      <c r="K48">
        <v>0</v>
      </c>
      <c r="L48" t="s">
        <v>254</v>
      </c>
      <c r="N48" t="s">
        <v>422</v>
      </c>
      <c r="O48" t="s">
        <v>612</v>
      </c>
      <c r="P48">
        <v>2.265273145248E-4</v>
      </c>
      <c r="Q48" t="s">
        <v>254</v>
      </c>
      <c r="S48" t="s">
        <v>423</v>
      </c>
      <c r="T48" t="s">
        <v>612</v>
      </c>
      <c r="U48">
        <v>1.896132531879E-4</v>
      </c>
      <c r="V48" t="s">
        <v>254</v>
      </c>
      <c r="X48">
        <v>1.1415525114155251E-4</v>
      </c>
      <c r="Y48">
        <v>5.7678442682047593E-5</v>
      </c>
      <c r="Z48" t="s">
        <v>612</v>
      </c>
      <c r="AA48" t="s">
        <v>25</v>
      </c>
      <c r="AC48" t="s">
        <v>22</v>
      </c>
      <c r="AD48" t="s">
        <v>612</v>
      </c>
      <c r="AE48">
        <v>1.2009555385244754E-4</v>
      </c>
      <c r="AG48" t="s">
        <v>97</v>
      </c>
      <c r="AH48" t="s">
        <v>612</v>
      </c>
      <c r="AI48">
        <v>0</v>
      </c>
    </row>
    <row r="49" spans="5:35" x14ac:dyDescent="0.45">
      <c r="E49" t="s">
        <v>185</v>
      </c>
      <c r="G49" t="s">
        <v>162</v>
      </c>
      <c r="I49" t="s">
        <v>252</v>
      </c>
      <c r="J49" t="s">
        <v>613</v>
      </c>
      <c r="K49">
        <v>0</v>
      </c>
      <c r="L49" t="s">
        <v>254</v>
      </c>
      <c r="N49" t="s">
        <v>422</v>
      </c>
      <c r="O49" t="s">
        <v>613</v>
      </c>
      <c r="P49">
        <v>2.26959298143E-4</v>
      </c>
      <c r="Q49" t="s">
        <v>254</v>
      </c>
      <c r="S49" t="s">
        <v>423</v>
      </c>
      <c r="T49" t="s">
        <v>613</v>
      </c>
      <c r="U49">
        <v>1.8970586285779999E-4</v>
      </c>
      <c r="V49" t="s">
        <v>254</v>
      </c>
      <c r="X49">
        <v>1.1415525114155251E-4</v>
      </c>
      <c r="Y49">
        <v>1.6905750441289813E-4</v>
      </c>
      <c r="Z49" t="s">
        <v>613</v>
      </c>
      <c r="AA49" t="s">
        <v>25</v>
      </c>
      <c r="AC49" t="s">
        <v>22</v>
      </c>
      <c r="AD49" t="s">
        <v>613</v>
      </c>
      <c r="AE49">
        <v>1.3676279356727799E-4</v>
      </c>
      <c r="AG49" t="s">
        <v>97</v>
      </c>
      <c r="AH49" t="s">
        <v>613</v>
      </c>
      <c r="AI49">
        <v>0</v>
      </c>
    </row>
    <row r="50" spans="5:35" x14ac:dyDescent="0.45">
      <c r="E50" t="s">
        <v>186</v>
      </c>
      <c r="G50" t="s">
        <v>162</v>
      </c>
      <c r="I50" t="s">
        <v>252</v>
      </c>
      <c r="J50" t="s">
        <v>614</v>
      </c>
      <c r="K50">
        <v>0</v>
      </c>
      <c r="L50" t="s">
        <v>254</v>
      </c>
      <c r="N50" t="s">
        <v>422</v>
      </c>
      <c r="O50" t="s">
        <v>614</v>
      </c>
      <c r="P50">
        <v>2.2609253682889999E-4</v>
      </c>
      <c r="Q50" t="s">
        <v>254</v>
      </c>
      <c r="S50" t="s">
        <v>423</v>
      </c>
      <c r="T50" t="s">
        <v>614</v>
      </c>
      <c r="U50">
        <v>1.895260540895E-4</v>
      </c>
      <c r="V50" t="s">
        <v>254</v>
      </c>
      <c r="X50">
        <v>1.1415525114155251E-4</v>
      </c>
      <c r="Y50">
        <v>1.9060404909297337E-4</v>
      </c>
      <c r="Z50" t="s">
        <v>614</v>
      </c>
      <c r="AA50" t="s">
        <v>25</v>
      </c>
      <c r="AC50" t="s">
        <v>22</v>
      </c>
      <c r="AD50" t="s">
        <v>614</v>
      </c>
      <c r="AE50">
        <v>1.4420398220952351E-4</v>
      </c>
      <c r="AG50" t="s">
        <v>97</v>
      </c>
      <c r="AH50" t="s">
        <v>614</v>
      </c>
      <c r="AI50">
        <v>0</v>
      </c>
    </row>
    <row r="51" spans="5:35" x14ac:dyDescent="0.45">
      <c r="E51" t="s">
        <v>187</v>
      </c>
      <c r="G51" t="s">
        <v>162</v>
      </c>
      <c r="I51" t="s">
        <v>252</v>
      </c>
      <c r="J51" t="s">
        <v>615</v>
      </c>
      <c r="K51">
        <v>1.149179314192E-4</v>
      </c>
      <c r="L51" t="s">
        <v>254</v>
      </c>
      <c r="N51" t="s">
        <v>422</v>
      </c>
      <c r="O51" t="s">
        <v>615</v>
      </c>
      <c r="P51">
        <v>2.244790544585E-4</v>
      </c>
      <c r="Q51" t="s">
        <v>254</v>
      </c>
      <c r="S51" t="s">
        <v>423</v>
      </c>
      <c r="T51" t="s">
        <v>615</v>
      </c>
      <c r="U51">
        <v>1.892400787025E-4</v>
      </c>
      <c r="V51" t="s">
        <v>254</v>
      </c>
      <c r="X51">
        <v>1.1415525114155251E-4</v>
      </c>
      <c r="Y51">
        <v>1.4585353321897094E-4</v>
      </c>
      <c r="Z51" t="s">
        <v>615</v>
      </c>
      <c r="AA51" t="s">
        <v>25</v>
      </c>
      <c r="AC51" t="s">
        <v>22</v>
      </c>
      <c r="AD51" t="s">
        <v>615</v>
      </c>
      <c r="AE51">
        <v>1.4728274204638388E-4</v>
      </c>
      <c r="AG51" t="s">
        <v>97</v>
      </c>
      <c r="AH51" t="s">
        <v>615</v>
      </c>
      <c r="AI51">
        <v>0</v>
      </c>
    </row>
    <row r="52" spans="5:35" x14ac:dyDescent="0.45">
      <c r="E52" t="s">
        <v>188</v>
      </c>
      <c r="G52" t="s">
        <v>162</v>
      </c>
      <c r="I52" t="s">
        <v>252</v>
      </c>
      <c r="J52" t="s">
        <v>616</v>
      </c>
      <c r="K52">
        <v>2.2829857705129999E-4</v>
      </c>
      <c r="L52" t="s">
        <v>254</v>
      </c>
      <c r="N52" t="s">
        <v>422</v>
      </c>
      <c r="O52" t="s">
        <v>616</v>
      </c>
      <c r="P52">
        <v>2.22667396879E-4</v>
      </c>
      <c r="Q52" t="s">
        <v>254</v>
      </c>
      <c r="S52" t="s">
        <v>423</v>
      </c>
      <c r="T52" t="s">
        <v>616</v>
      </c>
      <c r="U52">
        <v>1.887854339867E-4</v>
      </c>
      <c r="V52" t="s">
        <v>254</v>
      </c>
      <c r="X52">
        <v>1.1415525114155251E-4</v>
      </c>
      <c r="Y52">
        <v>1.4452759200788939E-4</v>
      </c>
      <c r="Z52" t="s">
        <v>616</v>
      </c>
      <c r="AA52" t="s">
        <v>25</v>
      </c>
      <c r="AC52" t="s">
        <v>22</v>
      </c>
      <c r="AD52" t="s">
        <v>616</v>
      </c>
      <c r="AE52">
        <v>1.4827234342251758E-4</v>
      </c>
      <c r="AG52" t="s">
        <v>97</v>
      </c>
      <c r="AH52" t="s">
        <v>616</v>
      </c>
      <c r="AI52">
        <v>0</v>
      </c>
    </row>
    <row r="53" spans="5:35" x14ac:dyDescent="0.45">
      <c r="E53" t="s">
        <v>189</v>
      </c>
      <c r="G53" t="s">
        <v>162</v>
      </c>
      <c r="I53" t="s">
        <v>252</v>
      </c>
      <c r="J53" t="s">
        <v>617</v>
      </c>
      <c r="K53">
        <v>2.9698846431209998E-4</v>
      </c>
      <c r="L53" t="s">
        <v>254</v>
      </c>
      <c r="N53" t="s">
        <v>422</v>
      </c>
      <c r="O53" t="s">
        <v>617</v>
      </c>
      <c r="P53">
        <v>2.180532657406E-4</v>
      </c>
      <c r="Q53" t="s">
        <v>254</v>
      </c>
      <c r="S53" t="s">
        <v>423</v>
      </c>
      <c r="T53" t="s">
        <v>617</v>
      </c>
      <c r="U53">
        <v>1.8799732622120001E-4</v>
      </c>
      <c r="V53" t="s">
        <v>254</v>
      </c>
      <c r="X53">
        <v>1.1415525114155251E-4</v>
      </c>
      <c r="Y53">
        <v>1.408812536774151E-4</v>
      </c>
      <c r="Z53" t="s">
        <v>617</v>
      </c>
      <c r="AA53" t="s">
        <v>25</v>
      </c>
      <c r="AC53" t="s">
        <v>22</v>
      </c>
      <c r="AD53" t="s">
        <v>617</v>
      </c>
      <c r="AE53">
        <v>1.4763050893825514E-4</v>
      </c>
      <c r="AG53" t="s">
        <v>97</v>
      </c>
      <c r="AH53" t="s">
        <v>617</v>
      </c>
      <c r="AI53">
        <v>0</v>
      </c>
    </row>
    <row r="54" spans="5:35" x14ac:dyDescent="0.45">
      <c r="E54" t="s">
        <v>190</v>
      </c>
      <c r="G54" t="s">
        <v>162</v>
      </c>
      <c r="I54" t="s">
        <v>252</v>
      </c>
      <c r="J54" t="s">
        <v>618</v>
      </c>
      <c r="K54">
        <v>3.1263430619470002E-4</v>
      </c>
      <c r="L54" t="s">
        <v>254</v>
      </c>
      <c r="N54" t="s">
        <v>422</v>
      </c>
      <c r="O54" t="s">
        <v>618</v>
      </c>
      <c r="P54">
        <v>2.1044812718710001E-4</v>
      </c>
      <c r="Q54" t="s">
        <v>254</v>
      </c>
      <c r="S54" t="s">
        <v>423</v>
      </c>
      <c r="T54" t="s">
        <v>618</v>
      </c>
      <c r="U54">
        <v>1.885182335083E-4</v>
      </c>
      <c r="V54" t="s">
        <v>254</v>
      </c>
      <c r="X54">
        <v>1.1415525114155251E-4</v>
      </c>
      <c r="Y54">
        <v>1.4054976837464471E-4</v>
      </c>
      <c r="Z54" t="s">
        <v>618</v>
      </c>
      <c r="AA54" t="s">
        <v>25</v>
      </c>
      <c r="AC54" t="s">
        <v>22</v>
      </c>
      <c r="AD54" t="s">
        <v>618</v>
      </c>
      <c r="AE54">
        <v>1.4651305208716878E-4</v>
      </c>
      <c r="AG54" t="s">
        <v>97</v>
      </c>
      <c r="AH54" t="s">
        <v>618</v>
      </c>
      <c r="AI54">
        <v>0</v>
      </c>
    </row>
    <row r="55" spans="5:35" x14ac:dyDescent="0.45">
      <c r="E55" t="s">
        <v>191</v>
      </c>
      <c r="G55" t="s">
        <v>162</v>
      </c>
      <c r="I55" t="s">
        <v>252</v>
      </c>
      <c r="J55" t="s">
        <v>619</v>
      </c>
      <c r="K55">
        <v>2.5920715185910002E-4</v>
      </c>
      <c r="L55" t="s">
        <v>254</v>
      </c>
      <c r="N55" t="s">
        <v>422</v>
      </c>
      <c r="O55" t="s">
        <v>619</v>
      </c>
      <c r="P55">
        <v>2.0433881171729999E-4</v>
      </c>
      <c r="Q55" t="s">
        <v>254</v>
      </c>
      <c r="S55" t="s">
        <v>423</v>
      </c>
      <c r="T55" t="s">
        <v>619</v>
      </c>
      <c r="U55">
        <v>1.8887784701249999E-4</v>
      </c>
      <c r="V55" t="s">
        <v>254</v>
      </c>
      <c r="X55">
        <v>1.1415525114155251E-4</v>
      </c>
      <c r="Y55">
        <v>1.4253868019126702E-4</v>
      </c>
      <c r="Z55" t="s">
        <v>619</v>
      </c>
      <c r="AA55" t="s">
        <v>25</v>
      </c>
      <c r="AC55" t="s">
        <v>22</v>
      </c>
      <c r="AD55" t="s">
        <v>619</v>
      </c>
      <c r="AE55">
        <v>1.4538280968858717E-4</v>
      </c>
      <c r="AG55" t="s">
        <v>97</v>
      </c>
      <c r="AH55" t="s">
        <v>619</v>
      </c>
      <c r="AI55">
        <v>0</v>
      </c>
    </row>
    <row r="56" spans="5:35" x14ac:dyDescent="0.45">
      <c r="E56" t="s">
        <v>192</v>
      </c>
      <c r="G56" t="s">
        <v>162</v>
      </c>
      <c r="I56" t="s">
        <v>252</v>
      </c>
      <c r="J56" t="s">
        <v>620</v>
      </c>
      <c r="K56">
        <v>2.477749213051E-4</v>
      </c>
      <c r="L56" t="s">
        <v>254</v>
      </c>
      <c r="N56" t="s">
        <v>422</v>
      </c>
      <c r="O56" t="s">
        <v>620</v>
      </c>
      <c r="P56">
        <v>2.101097480552E-4</v>
      </c>
      <c r="Q56" t="s">
        <v>254</v>
      </c>
      <c r="S56" t="s">
        <v>423</v>
      </c>
      <c r="T56" t="s">
        <v>620</v>
      </c>
      <c r="U56">
        <v>1.8906998055689999E-4</v>
      </c>
      <c r="V56" t="s">
        <v>254</v>
      </c>
      <c r="X56">
        <v>1.1415525114155251E-4</v>
      </c>
      <c r="Y56">
        <v>1.4883690094390442E-4</v>
      </c>
      <c r="Z56" t="s">
        <v>620</v>
      </c>
      <c r="AA56" t="s">
        <v>25</v>
      </c>
      <c r="AC56" t="s">
        <v>22</v>
      </c>
      <c r="AD56" t="s">
        <v>620</v>
      </c>
      <c r="AE56">
        <v>1.452549542136345E-4</v>
      </c>
      <c r="AG56" t="s">
        <v>97</v>
      </c>
      <c r="AH56" t="s">
        <v>620</v>
      </c>
      <c r="AI56">
        <v>0</v>
      </c>
    </row>
    <row r="57" spans="5:35" x14ac:dyDescent="0.45">
      <c r="E57" t="s">
        <v>193</v>
      </c>
      <c r="G57" t="s">
        <v>162</v>
      </c>
      <c r="I57" t="s">
        <v>252</v>
      </c>
      <c r="J57" t="s">
        <v>621</v>
      </c>
      <c r="K57">
        <v>2.6381396511990002E-4</v>
      </c>
      <c r="L57" t="s">
        <v>254</v>
      </c>
      <c r="N57" t="s">
        <v>422</v>
      </c>
      <c r="O57" t="s">
        <v>621</v>
      </c>
      <c r="P57">
        <v>2.1242661700150001E-4</v>
      </c>
      <c r="Q57" t="s">
        <v>254</v>
      </c>
      <c r="S57" t="s">
        <v>423</v>
      </c>
      <c r="T57" t="s">
        <v>621</v>
      </c>
      <c r="U57">
        <v>1.889612122152E-4</v>
      </c>
      <c r="V57" t="s">
        <v>254</v>
      </c>
      <c r="X57">
        <v>1.1415525114155251E-4</v>
      </c>
      <c r="Y57">
        <v>1.5049432745775637E-4</v>
      </c>
      <c r="Z57" t="s">
        <v>621</v>
      </c>
      <c r="AA57" t="s">
        <v>25</v>
      </c>
      <c r="AC57" t="s">
        <v>22</v>
      </c>
      <c r="AD57" t="s">
        <v>621</v>
      </c>
      <c r="AE57">
        <v>1.4446480737842696E-4</v>
      </c>
      <c r="AG57" t="s">
        <v>97</v>
      </c>
      <c r="AH57" t="s">
        <v>621</v>
      </c>
      <c r="AI57">
        <v>0</v>
      </c>
    </row>
    <row r="58" spans="5:35" x14ac:dyDescent="0.45">
      <c r="E58" t="s">
        <v>194</v>
      </c>
      <c r="G58" t="s">
        <v>162</v>
      </c>
      <c r="I58" t="s">
        <v>252</v>
      </c>
      <c r="J58" t="s">
        <v>622</v>
      </c>
      <c r="K58">
        <v>2.1611228605080001E-4</v>
      </c>
      <c r="L58" t="s">
        <v>254</v>
      </c>
      <c r="N58" t="s">
        <v>422</v>
      </c>
      <c r="O58" t="s">
        <v>622</v>
      </c>
      <c r="P58">
        <v>2.1349683592130001E-4</v>
      </c>
      <c r="Q58" t="s">
        <v>254</v>
      </c>
      <c r="S58" t="s">
        <v>423</v>
      </c>
      <c r="T58" t="s">
        <v>622</v>
      </c>
      <c r="U58">
        <v>1.878585645929E-4</v>
      </c>
      <c r="V58" t="s">
        <v>254</v>
      </c>
      <c r="X58">
        <v>1.1415525114155251E-4</v>
      </c>
      <c r="Y58">
        <v>1.7237235744060203E-4</v>
      </c>
      <c r="Z58" t="s">
        <v>622</v>
      </c>
      <c r="AA58" t="s">
        <v>25</v>
      </c>
      <c r="AC58" t="s">
        <v>22</v>
      </c>
      <c r="AD58" t="s">
        <v>622</v>
      </c>
      <c r="AE58">
        <v>1.4408635517256706E-4</v>
      </c>
      <c r="AG58" t="s">
        <v>97</v>
      </c>
      <c r="AH58" t="s">
        <v>622</v>
      </c>
      <c r="AI58">
        <v>0</v>
      </c>
    </row>
    <row r="59" spans="5:35" x14ac:dyDescent="0.45">
      <c r="E59" t="s">
        <v>463</v>
      </c>
      <c r="G59" t="s">
        <v>166</v>
      </c>
      <c r="I59" t="s">
        <v>252</v>
      </c>
      <c r="J59" t="s">
        <v>623</v>
      </c>
      <c r="K59">
        <v>1.462981095404E-4</v>
      </c>
      <c r="L59" t="s">
        <v>254</v>
      </c>
      <c r="N59" t="s">
        <v>422</v>
      </c>
      <c r="O59" t="s">
        <v>623</v>
      </c>
      <c r="P59">
        <v>2.0987258242050001E-4</v>
      </c>
      <c r="Q59" t="s">
        <v>254</v>
      </c>
      <c r="S59" t="s">
        <v>423</v>
      </c>
      <c r="T59" t="s">
        <v>623</v>
      </c>
      <c r="U59">
        <v>1.8577027422230001E-4</v>
      </c>
      <c r="V59" t="s">
        <v>254</v>
      </c>
      <c r="X59">
        <v>1.1415525114155251E-4</v>
      </c>
      <c r="Y59">
        <v>2.2209515285616027E-4</v>
      </c>
      <c r="Z59" t="s">
        <v>623</v>
      </c>
      <c r="AA59" t="s">
        <v>25</v>
      </c>
      <c r="AC59" t="s">
        <v>22</v>
      </c>
      <c r="AD59" t="s">
        <v>623</v>
      </c>
      <c r="AE59">
        <v>1.4534956726509947E-4</v>
      </c>
      <c r="AG59" t="s">
        <v>97</v>
      </c>
      <c r="AH59" t="s">
        <v>623</v>
      </c>
      <c r="AI59">
        <v>0</v>
      </c>
    </row>
    <row r="60" spans="5:35" x14ac:dyDescent="0.45">
      <c r="E60" t="s">
        <v>464</v>
      </c>
      <c r="G60" t="s">
        <v>166</v>
      </c>
      <c r="I60" t="s">
        <v>252</v>
      </c>
      <c r="J60" t="s">
        <v>624</v>
      </c>
      <c r="K60">
        <v>6.4282137530427726E-5</v>
      </c>
      <c r="L60" t="s">
        <v>254</v>
      </c>
      <c r="N60" t="s">
        <v>422</v>
      </c>
      <c r="O60" t="s">
        <v>624</v>
      </c>
      <c r="P60">
        <v>2.033165610361E-4</v>
      </c>
      <c r="Q60" t="s">
        <v>254</v>
      </c>
      <c r="S60" t="s">
        <v>423</v>
      </c>
      <c r="T60" t="s">
        <v>624</v>
      </c>
      <c r="U60">
        <v>1.8404209355740001E-4</v>
      </c>
      <c r="V60" t="s">
        <v>254</v>
      </c>
      <c r="X60">
        <v>1.1415525114155251E-4</v>
      </c>
      <c r="Y60">
        <v>2.2209515285616027E-4</v>
      </c>
      <c r="Z60" t="s">
        <v>624</v>
      </c>
      <c r="AA60" t="s">
        <v>25</v>
      </c>
      <c r="AC60" t="s">
        <v>22</v>
      </c>
      <c r="AD60" t="s">
        <v>624</v>
      </c>
      <c r="AE60">
        <v>1.4664090756212148E-4</v>
      </c>
      <c r="AG60" t="s">
        <v>97</v>
      </c>
      <c r="AH60" t="s">
        <v>624</v>
      </c>
      <c r="AI60">
        <v>0</v>
      </c>
    </row>
    <row r="61" spans="5:35" x14ac:dyDescent="0.45">
      <c r="E61" t="s">
        <v>465</v>
      </c>
      <c r="G61" t="s">
        <v>166</v>
      </c>
      <c r="I61" t="s">
        <v>252</v>
      </c>
      <c r="J61" t="s">
        <v>625</v>
      </c>
      <c r="K61">
        <v>0</v>
      </c>
      <c r="L61" t="s">
        <v>254</v>
      </c>
      <c r="N61" t="s">
        <v>422</v>
      </c>
      <c r="O61" t="s">
        <v>625</v>
      </c>
      <c r="P61">
        <v>1.9893982493810001E-4</v>
      </c>
      <c r="Q61" t="s">
        <v>254</v>
      </c>
      <c r="S61" t="s">
        <v>423</v>
      </c>
      <c r="T61" t="s">
        <v>625</v>
      </c>
      <c r="U61">
        <v>1.8543353413789999E-4</v>
      </c>
      <c r="V61" t="s">
        <v>254</v>
      </c>
      <c r="X61">
        <v>1.1415525114155251E-4</v>
      </c>
      <c r="Y61">
        <v>1.7237235744060203E-4</v>
      </c>
      <c r="Z61" t="s">
        <v>625</v>
      </c>
      <c r="AA61" t="s">
        <v>25</v>
      </c>
      <c r="AC61" t="s">
        <v>22</v>
      </c>
      <c r="AD61" t="s">
        <v>625</v>
      </c>
      <c r="AE61">
        <v>1.4751543901079774E-4</v>
      </c>
      <c r="AG61" t="s">
        <v>97</v>
      </c>
      <c r="AH61" t="s">
        <v>625</v>
      </c>
      <c r="AI61">
        <v>0</v>
      </c>
    </row>
    <row r="62" spans="5:35" x14ac:dyDescent="0.45">
      <c r="E62" t="s">
        <v>466</v>
      </c>
      <c r="G62" t="s">
        <v>166</v>
      </c>
      <c r="I62" t="s">
        <v>252</v>
      </c>
      <c r="J62" t="s">
        <v>626</v>
      </c>
      <c r="K62">
        <v>0</v>
      </c>
      <c r="L62" t="s">
        <v>254</v>
      </c>
      <c r="N62" t="s">
        <v>422</v>
      </c>
      <c r="O62" t="s">
        <v>626</v>
      </c>
      <c r="P62">
        <v>1.961312592462E-4</v>
      </c>
      <c r="Q62" t="s">
        <v>254</v>
      </c>
      <c r="S62" t="s">
        <v>423</v>
      </c>
      <c r="T62" t="s">
        <v>626</v>
      </c>
      <c r="U62">
        <v>1.8814641283399999E-4</v>
      </c>
      <c r="V62" t="s">
        <v>254</v>
      </c>
      <c r="X62">
        <v>1.1415525114155251E-4</v>
      </c>
      <c r="Y62">
        <v>1.5579809230208258E-4</v>
      </c>
      <c r="Z62" t="s">
        <v>626</v>
      </c>
      <c r="AA62" t="s">
        <v>25</v>
      </c>
      <c r="AC62" t="s">
        <v>22</v>
      </c>
      <c r="AD62" t="s">
        <v>626</v>
      </c>
      <c r="AE62">
        <v>1.4593003112138461E-4</v>
      </c>
      <c r="AG62" t="s">
        <v>97</v>
      </c>
      <c r="AH62" t="s">
        <v>626</v>
      </c>
      <c r="AI62">
        <v>0</v>
      </c>
    </row>
    <row r="63" spans="5:35" x14ac:dyDescent="0.45">
      <c r="E63" t="s">
        <v>467</v>
      </c>
      <c r="G63" t="s">
        <v>166</v>
      </c>
      <c r="I63" t="s">
        <v>252</v>
      </c>
      <c r="J63" t="s">
        <v>627</v>
      </c>
      <c r="K63">
        <v>0</v>
      </c>
      <c r="L63" t="s">
        <v>254</v>
      </c>
      <c r="N63" t="s">
        <v>422</v>
      </c>
      <c r="O63" t="s">
        <v>627</v>
      </c>
      <c r="P63">
        <v>2.024250828655E-4</v>
      </c>
      <c r="Q63" t="s">
        <v>254</v>
      </c>
      <c r="S63" t="s">
        <v>423</v>
      </c>
      <c r="T63" t="s">
        <v>627</v>
      </c>
      <c r="U63">
        <v>1.9656456055879999E-4</v>
      </c>
      <c r="V63" t="s">
        <v>254</v>
      </c>
      <c r="X63">
        <v>1.1415525114155251E-4</v>
      </c>
      <c r="Y63">
        <v>1.093901499142282E-4</v>
      </c>
      <c r="Z63" t="s">
        <v>627</v>
      </c>
      <c r="AA63" t="s">
        <v>25</v>
      </c>
      <c r="AC63" t="s">
        <v>22</v>
      </c>
      <c r="AD63" t="s">
        <v>627</v>
      </c>
      <c r="AE63">
        <v>1.3300128549417035E-4</v>
      </c>
      <c r="AG63" t="s">
        <v>97</v>
      </c>
      <c r="AH63" t="s">
        <v>627</v>
      </c>
      <c r="AI63">
        <v>0</v>
      </c>
    </row>
    <row r="64" spans="5:35" x14ac:dyDescent="0.45">
      <c r="E64" t="s">
        <v>468</v>
      </c>
      <c r="G64" t="s">
        <v>166</v>
      </c>
      <c r="I64" t="s">
        <v>252</v>
      </c>
      <c r="J64" t="s">
        <v>628</v>
      </c>
      <c r="K64">
        <v>0</v>
      </c>
      <c r="L64" t="s">
        <v>254</v>
      </c>
      <c r="N64" t="s">
        <v>422</v>
      </c>
      <c r="O64" t="s">
        <v>628</v>
      </c>
      <c r="P64">
        <v>2.1212779973870001E-4</v>
      </c>
      <c r="Q64" t="s">
        <v>254</v>
      </c>
      <c r="S64" t="s">
        <v>423</v>
      </c>
      <c r="T64" t="s">
        <v>628</v>
      </c>
      <c r="U64">
        <v>2.057837074855E-4</v>
      </c>
      <c r="V64" t="s">
        <v>254</v>
      </c>
      <c r="X64">
        <v>1.1415525114155251E-4</v>
      </c>
      <c r="Y64">
        <v>7.9556472664893237E-5</v>
      </c>
      <c r="Z64" t="s">
        <v>628</v>
      </c>
      <c r="AA64" t="s">
        <v>25</v>
      </c>
      <c r="AC64" t="s">
        <v>22</v>
      </c>
      <c r="AD64" t="s">
        <v>628</v>
      </c>
      <c r="AE64">
        <v>1.2241485216808902E-4</v>
      </c>
      <c r="AG64" t="s">
        <v>97</v>
      </c>
      <c r="AH64" t="s">
        <v>628</v>
      </c>
      <c r="AI64">
        <v>0</v>
      </c>
    </row>
    <row r="65" spans="5:35" x14ac:dyDescent="0.45">
      <c r="E65" t="s">
        <v>469</v>
      </c>
      <c r="G65" t="s">
        <v>166</v>
      </c>
      <c r="I65" t="s">
        <v>252</v>
      </c>
      <c r="J65" t="s">
        <v>629</v>
      </c>
      <c r="K65">
        <v>0</v>
      </c>
      <c r="L65" t="s">
        <v>254</v>
      </c>
      <c r="N65" t="s">
        <v>422</v>
      </c>
      <c r="O65" t="s">
        <v>629</v>
      </c>
      <c r="P65">
        <v>2.1358129561370001E-4</v>
      </c>
      <c r="Q65" t="s">
        <v>254</v>
      </c>
      <c r="S65" t="s">
        <v>423</v>
      </c>
      <c r="T65" t="s">
        <v>629</v>
      </c>
      <c r="U65">
        <v>2.0500506056369999E-4</v>
      </c>
      <c r="V65" t="s">
        <v>254</v>
      </c>
      <c r="X65">
        <v>1.1415525114155251E-4</v>
      </c>
      <c r="Y65">
        <v>5.6352501470966035E-5</v>
      </c>
      <c r="Z65" t="s">
        <v>629</v>
      </c>
      <c r="AA65" t="s">
        <v>25</v>
      </c>
      <c r="AC65" t="s">
        <v>22</v>
      </c>
      <c r="AD65" t="s">
        <v>629</v>
      </c>
      <c r="AE65">
        <v>1.1229892698983357E-4</v>
      </c>
      <c r="AG65" t="s">
        <v>97</v>
      </c>
      <c r="AH65" t="s">
        <v>629</v>
      </c>
      <c r="AI65">
        <v>0</v>
      </c>
    </row>
    <row r="66" spans="5:35" x14ac:dyDescent="0.45">
      <c r="E66" t="s">
        <v>470</v>
      </c>
      <c r="G66" t="s">
        <v>166</v>
      </c>
      <c r="I66" t="s">
        <v>252</v>
      </c>
      <c r="J66" t="s">
        <v>630</v>
      </c>
      <c r="K66">
        <v>0</v>
      </c>
      <c r="L66" t="s">
        <v>254</v>
      </c>
      <c r="N66" t="s">
        <v>422</v>
      </c>
      <c r="O66" t="s">
        <v>630</v>
      </c>
      <c r="P66">
        <v>2.252220608744E-4</v>
      </c>
      <c r="Q66" t="s">
        <v>254</v>
      </c>
      <c r="S66" t="s">
        <v>423</v>
      </c>
      <c r="T66" t="s">
        <v>630</v>
      </c>
      <c r="U66">
        <v>2.0752072677489999E-4</v>
      </c>
      <c r="V66" t="s">
        <v>254</v>
      </c>
      <c r="X66">
        <v>1.1415525114155251E-4</v>
      </c>
      <c r="Y66">
        <v>2.9833677249334962E-5</v>
      </c>
      <c r="Z66" t="s">
        <v>630</v>
      </c>
      <c r="AA66" t="s">
        <v>25</v>
      </c>
      <c r="AC66" t="s">
        <v>22</v>
      </c>
      <c r="AD66" t="s">
        <v>630</v>
      </c>
      <c r="AE66">
        <v>9.8978943609264131E-5</v>
      </c>
      <c r="AG66" t="s">
        <v>97</v>
      </c>
      <c r="AH66" t="s">
        <v>630</v>
      </c>
      <c r="AI66">
        <v>0</v>
      </c>
    </row>
    <row r="67" spans="5:35" x14ac:dyDescent="0.45">
      <c r="E67" t="s">
        <v>471</v>
      </c>
      <c r="G67" t="s">
        <v>166</v>
      </c>
      <c r="I67" t="s">
        <v>252</v>
      </c>
      <c r="J67" t="s">
        <v>286</v>
      </c>
      <c r="K67">
        <v>0</v>
      </c>
      <c r="L67" t="s">
        <v>254</v>
      </c>
      <c r="N67" t="s">
        <v>422</v>
      </c>
      <c r="O67" t="s">
        <v>286</v>
      </c>
      <c r="P67">
        <v>2.5154486188649412E-2</v>
      </c>
      <c r="Q67" t="s">
        <v>254</v>
      </c>
      <c r="S67" t="s">
        <v>423</v>
      </c>
      <c r="T67" t="s">
        <v>286</v>
      </c>
      <c r="U67">
        <v>2.5781973169998154E-2</v>
      </c>
      <c r="V67" t="s">
        <v>254</v>
      </c>
      <c r="X67">
        <v>2.1575342465753426E-2</v>
      </c>
      <c r="Y67">
        <v>8.5204982224100657E-3</v>
      </c>
      <c r="Z67" t="s">
        <v>286</v>
      </c>
      <c r="AA67" t="s">
        <v>25</v>
      </c>
      <c r="AC67" t="s">
        <v>22</v>
      </c>
      <c r="AD67" t="s">
        <v>286</v>
      </c>
      <c r="AE67">
        <v>2.0336560622181345E-2</v>
      </c>
      <c r="AG67" t="s">
        <v>97</v>
      </c>
      <c r="AH67" t="s">
        <v>286</v>
      </c>
      <c r="AI67">
        <v>0.29202718464154853</v>
      </c>
    </row>
    <row r="68" spans="5:35" x14ac:dyDescent="0.45">
      <c r="E68" t="s">
        <v>472</v>
      </c>
      <c r="G68" t="s">
        <v>166</v>
      </c>
      <c r="I68" t="s">
        <v>252</v>
      </c>
      <c r="J68" t="s">
        <v>287</v>
      </c>
      <c r="K68">
        <v>8.3849719630973629E-5</v>
      </c>
      <c r="L68" t="s">
        <v>254</v>
      </c>
      <c r="N68" t="s">
        <v>422</v>
      </c>
      <c r="O68" t="s">
        <v>287</v>
      </c>
      <c r="P68">
        <v>3.6488316677504616E-3</v>
      </c>
      <c r="Q68" t="s">
        <v>254</v>
      </c>
      <c r="S68" t="s">
        <v>423</v>
      </c>
      <c r="T68" t="s">
        <v>287</v>
      </c>
      <c r="U68">
        <v>3.7445916125508159E-3</v>
      </c>
      <c r="V68" t="s">
        <v>254</v>
      </c>
      <c r="X68">
        <v>3.0821917808219177E-3</v>
      </c>
      <c r="Y68">
        <v>5.146309325510281E-3</v>
      </c>
      <c r="Z68" t="s">
        <v>287</v>
      </c>
      <c r="AA68" t="s">
        <v>25</v>
      </c>
      <c r="AC68" t="s">
        <v>22</v>
      </c>
      <c r="AD68" t="s">
        <v>287</v>
      </c>
      <c r="AE68">
        <v>3.9169184788341305E-3</v>
      </c>
      <c r="AG68" t="s">
        <v>97</v>
      </c>
      <c r="AH68" t="s">
        <v>287</v>
      </c>
      <c r="AI68">
        <v>7.0226352068357922E-2</v>
      </c>
    </row>
    <row r="69" spans="5:35" x14ac:dyDescent="0.45">
      <c r="E69" t="s">
        <v>473</v>
      </c>
      <c r="G69" t="s">
        <v>166</v>
      </c>
      <c r="I69" t="s">
        <v>252</v>
      </c>
      <c r="J69" t="s">
        <v>288</v>
      </c>
      <c r="K69">
        <v>9.4952139783316975E-3</v>
      </c>
      <c r="L69" t="s">
        <v>254</v>
      </c>
      <c r="N69" t="s">
        <v>422</v>
      </c>
      <c r="O69" t="s">
        <v>288</v>
      </c>
      <c r="P69">
        <v>7.2337514143961234E-3</v>
      </c>
      <c r="Q69" t="s">
        <v>254</v>
      </c>
      <c r="S69" t="s">
        <v>423</v>
      </c>
      <c r="T69" t="s">
        <v>288</v>
      </c>
      <c r="U69">
        <v>7.5127675622818045E-3</v>
      </c>
      <c r="V69" t="s">
        <v>254</v>
      </c>
      <c r="X69">
        <v>6.1643835616438354E-3</v>
      </c>
      <c r="Y69">
        <v>7.8402903811252284E-3</v>
      </c>
      <c r="Z69" t="s">
        <v>288</v>
      </c>
      <c r="AA69" t="s">
        <v>25</v>
      </c>
      <c r="AC69" t="s">
        <v>22</v>
      </c>
      <c r="AD69" t="s">
        <v>288</v>
      </c>
      <c r="AE69">
        <v>8.0057284153041315E-3</v>
      </c>
      <c r="AG69" t="s">
        <v>97</v>
      </c>
      <c r="AH69" t="s">
        <v>288</v>
      </c>
      <c r="AI69">
        <v>6.2507795615405648E-2</v>
      </c>
    </row>
    <row r="70" spans="5:35" x14ac:dyDescent="0.45">
      <c r="E70" t="s">
        <v>474</v>
      </c>
      <c r="G70" t="s">
        <v>166</v>
      </c>
      <c r="I70" t="s">
        <v>252</v>
      </c>
      <c r="J70" t="s">
        <v>289</v>
      </c>
      <c r="K70">
        <v>2.166247839924651E-2</v>
      </c>
      <c r="L70" t="s">
        <v>254</v>
      </c>
      <c r="N70" t="s">
        <v>422</v>
      </c>
      <c r="O70" t="s">
        <v>289</v>
      </c>
      <c r="P70">
        <v>1.0536402004102767E-2</v>
      </c>
      <c r="Q70" t="s">
        <v>254</v>
      </c>
      <c r="S70" t="s">
        <v>423</v>
      </c>
      <c r="T70" t="s">
        <v>289</v>
      </c>
      <c r="U70">
        <v>1.0904703042157729E-2</v>
      </c>
      <c r="V70" t="s">
        <v>254</v>
      </c>
      <c r="X70">
        <v>9.2465753424657536E-3</v>
      </c>
      <c r="Y70">
        <v>1.1447181960569828E-2</v>
      </c>
      <c r="Z70" t="s">
        <v>289</v>
      </c>
      <c r="AA70" t="s">
        <v>25</v>
      </c>
      <c r="AC70" t="s">
        <v>22</v>
      </c>
      <c r="AD70" t="s">
        <v>289</v>
      </c>
      <c r="AE70">
        <v>1.1965394093633938E-2</v>
      </c>
      <c r="AG70" t="s">
        <v>97</v>
      </c>
      <c r="AH70" t="s">
        <v>289</v>
      </c>
      <c r="AI70">
        <v>6.1628996902276523E-2</v>
      </c>
    </row>
    <row r="71" spans="5:35" x14ac:dyDescent="0.45">
      <c r="E71" t="s">
        <v>475</v>
      </c>
      <c r="G71" t="s">
        <v>166</v>
      </c>
      <c r="I71" t="s">
        <v>252</v>
      </c>
      <c r="J71" t="s">
        <v>290</v>
      </c>
      <c r="K71">
        <v>6.7726290935451001E-3</v>
      </c>
      <c r="L71" t="s">
        <v>254</v>
      </c>
      <c r="N71" t="s">
        <v>422</v>
      </c>
      <c r="O71" t="s">
        <v>290</v>
      </c>
      <c r="P71">
        <v>3.5915448470664525E-3</v>
      </c>
      <c r="Q71" t="s">
        <v>254</v>
      </c>
      <c r="S71" t="s">
        <v>423</v>
      </c>
      <c r="T71" t="s">
        <v>290</v>
      </c>
      <c r="U71">
        <v>3.5696873572759491E-3</v>
      </c>
      <c r="V71" t="s">
        <v>254</v>
      </c>
      <c r="X71">
        <v>3.0821917808219177E-3</v>
      </c>
      <c r="Y71">
        <v>4.01859632548542E-3</v>
      </c>
      <c r="Z71" t="s">
        <v>290</v>
      </c>
      <c r="AA71" t="s">
        <v>25</v>
      </c>
      <c r="AC71" t="s">
        <v>22</v>
      </c>
      <c r="AD71" t="s">
        <v>290</v>
      </c>
      <c r="AE71">
        <v>3.9612127295767336E-3</v>
      </c>
      <c r="AG71" t="s">
        <v>97</v>
      </c>
      <c r="AH71" t="s">
        <v>290</v>
      </c>
      <c r="AI71">
        <v>6.5128048780487724E-2</v>
      </c>
    </row>
    <row r="72" spans="5:35" x14ac:dyDescent="0.45">
      <c r="E72" t="s">
        <v>476</v>
      </c>
      <c r="G72" t="s">
        <v>166</v>
      </c>
      <c r="I72" t="s">
        <v>252</v>
      </c>
      <c r="J72" t="s">
        <v>291</v>
      </c>
      <c r="K72">
        <v>1.4143097224105025E-2</v>
      </c>
      <c r="L72" t="s">
        <v>254</v>
      </c>
      <c r="N72" t="s">
        <v>422</v>
      </c>
      <c r="O72" t="s">
        <v>291</v>
      </c>
      <c r="P72">
        <v>7.3278015164377555E-3</v>
      </c>
      <c r="Q72" t="s">
        <v>254</v>
      </c>
      <c r="S72" t="s">
        <v>423</v>
      </c>
      <c r="T72" t="s">
        <v>291</v>
      </c>
      <c r="U72">
        <v>7.2935783112108967E-3</v>
      </c>
      <c r="V72" t="s">
        <v>254</v>
      </c>
      <c r="X72">
        <v>6.1643835616438354E-3</v>
      </c>
      <c r="Y72">
        <v>8.7174004922556773E-3</v>
      </c>
      <c r="Z72" t="s">
        <v>291</v>
      </c>
      <c r="AA72" t="s">
        <v>25</v>
      </c>
      <c r="AC72" t="s">
        <v>22</v>
      </c>
      <c r="AD72" t="s">
        <v>291</v>
      </c>
      <c r="AE72">
        <v>7.9279999578614046E-3</v>
      </c>
      <c r="AG72" t="s">
        <v>97</v>
      </c>
      <c r="AH72" t="s">
        <v>291</v>
      </c>
      <c r="AI72">
        <v>6.909079828753395E-2</v>
      </c>
    </row>
    <row r="73" spans="5:35" x14ac:dyDescent="0.45">
      <c r="E73" t="s">
        <v>477</v>
      </c>
      <c r="G73" t="s">
        <v>166</v>
      </c>
      <c r="I73" t="s">
        <v>252</v>
      </c>
      <c r="J73" t="s">
        <v>292</v>
      </c>
      <c r="K73">
        <v>9.8239893269155814E-3</v>
      </c>
      <c r="L73" t="s">
        <v>254</v>
      </c>
      <c r="N73" t="s">
        <v>422</v>
      </c>
      <c r="O73" t="s">
        <v>292</v>
      </c>
      <c r="P73">
        <v>7.2219006505630529E-3</v>
      </c>
      <c r="Q73" t="s">
        <v>254</v>
      </c>
      <c r="S73" t="s">
        <v>423</v>
      </c>
      <c r="T73" t="s">
        <v>292</v>
      </c>
      <c r="U73">
        <v>7.3931351639857541E-3</v>
      </c>
      <c r="V73" t="s">
        <v>254</v>
      </c>
      <c r="X73">
        <v>6.1643835616438354E-3</v>
      </c>
      <c r="Y73">
        <v>1.1993138254232649E-2</v>
      </c>
      <c r="Z73" t="s">
        <v>292</v>
      </c>
      <c r="AA73" t="s">
        <v>25</v>
      </c>
      <c r="AC73" t="s">
        <v>22</v>
      </c>
      <c r="AD73" t="s">
        <v>292</v>
      </c>
      <c r="AE73">
        <v>8.0440825006804339E-3</v>
      </c>
      <c r="AG73" t="s">
        <v>97</v>
      </c>
      <c r="AH73" t="s">
        <v>292</v>
      </c>
      <c r="AI73">
        <v>5.7883670350459049E-2</v>
      </c>
    </row>
    <row r="74" spans="5:35" x14ac:dyDescent="0.45">
      <c r="E74" t="s">
        <v>478</v>
      </c>
      <c r="G74" t="s">
        <v>166</v>
      </c>
      <c r="I74" t="s">
        <v>252</v>
      </c>
      <c r="J74" t="s">
        <v>293</v>
      </c>
      <c r="K74">
        <v>3.0928607330769746E-4</v>
      </c>
      <c r="L74" t="s">
        <v>254</v>
      </c>
      <c r="N74" t="s">
        <v>422</v>
      </c>
      <c r="O74" t="s">
        <v>293</v>
      </c>
      <c r="P74">
        <v>2.1557395007070167E-2</v>
      </c>
      <c r="Q74" t="s">
        <v>254</v>
      </c>
      <c r="S74" t="s">
        <v>423</v>
      </c>
      <c r="T74" t="s">
        <v>293</v>
      </c>
      <c r="U74">
        <v>2.2314938708179983E-2</v>
      </c>
      <c r="V74" t="s">
        <v>254</v>
      </c>
      <c r="X74">
        <v>1.8493150684931507E-2</v>
      </c>
      <c r="Y74">
        <v>1.6289187778136888E-2</v>
      </c>
      <c r="Z74" t="s">
        <v>293</v>
      </c>
      <c r="AA74" t="s">
        <v>25</v>
      </c>
      <c r="AC74" t="s">
        <v>22</v>
      </c>
      <c r="AD74" t="s">
        <v>293</v>
      </c>
      <c r="AE74">
        <v>2.0578458547760782E-2</v>
      </c>
      <c r="AG74" t="s">
        <v>97</v>
      </c>
      <c r="AH74" t="s">
        <v>293</v>
      </c>
      <c r="AI74">
        <v>0.19086787564766849</v>
      </c>
    </row>
    <row r="75" spans="5:35" x14ac:dyDescent="0.45">
      <c r="E75" t="s">
        <v>479</v>
      </c>
      <c r="G75" t="s">
        <v>166</v>
      </c>
      <c r="I75" t="s">
        <v>252</v>
      </c>
      <c r="J75" t="s">
        <v>631</v>
      </c>
      <c r="K75">
        <v>0</v>
      </c>
      <c r="L75" t="s">
        <v>254</v>
      </c>
      <c r="N75" t="s">
        <v>422</v>
      </c>
      <c r="O75" t="s">
        <v>631</v>
      </c>
      <c r="P75">
        <v>2.491201969272E-4</v>
      </c>
      <c r="Q75" t="s">
        <v>254</v>
      </c>
      <c r="S75" t="s">
        <v>423</v>
      </c>
      <c r="T75" t="s">
        <v>631</v>
      </c>
      <c r="U75">
        <v>2.1114052096200001E-4</v>
      </c>
      <c r="V75" t="s">
        <v>254</v>
      </c>
      <c r="X75">
        <v>1.1415525114155251E-4</v>
      </c>
      <c r="Y75">
        <v>2.1546544680075254E-5</v>
      </c>
      <c r="Z75" t="s">
        <v>631</v>
      </c>
      <c r="AA75" t="s">
        <v>25</v>
      </c>
      <c r="AC75" t="s">
        <v>22</v>
      </c>
      <c r="AD75" t="s">
        <v>631</v>
      </c>
      <c r="AE75">
        <v>9.9034560090342053E-5</v>
      </c>
      <c r="AG75" t="s">
        <v>97</v>
      </c>
      <c r="AH75" t="s">
        <v>631</v>
      </c>
      <c r="AI75">
        <v>0</v>
      </c>
    </row>
    <row r="76" spans="5:35" x14ac:dyDescent="0.45">
      <c r="E76" t="s">
        <v>480</v>
      </c>
      <c r="G76" t="s">
        <v>166</v>
      </c>
      <c r="I76" t="s">
        <v>252</v>
      </c>
      <c r="J76" t="s">
        <v>632</v>
      </c>
      <c r="K76">
        <v>0</v>
      </c>
      <c r="L76" t="s">
        <v>254</v>
      </c>
      <c r="N76" t="s">
        <v>422</v>
      </c>
      <c r="O76" t="s">
        <v>632</v>
      </c>
      <c r="P76">
        <v>2.4785790174940001E-4</v>
      </c>
      <c r="Q76" t="s">
        <v>254</v>
      </c>
      <c r="S76" t="s">
        <v>423</v>
      </c>
      <c r="T76" t="s">
        <v>632</v>
      </c>
      <c r="U76">
        <v>2.105963268138E-4</v>
      </c>
      <c r="V76" t="s">
        <v>254</v>
      </c>
      <c r="X76">
        <v>1.1415525114155251E-4</v>
      </c>
      <c r="Y76">
        <v>1.4916838624667481E-5</v>
      </c>
      <c r="Z76" t="s">
        <v>632</v>
      </c>
      <c r="AA76" t="s">
        <v>25</v>
      </c>
      <c r="AC76" t="s">
        <v>22</v>
      </c>
      <c r="AD76" t="s">
        <v>632</v>
      </c>
      <c r="AE76">
        <v>9.6830331702157989E-5</v>
      </c>
      <c r="AG76" t="s">
        <v>97</v>
      </c>
      <c r="AH76" t="s">
        <v>632</v>
      </c>
      <c r="AI76">
        <v>0</v>
      </c>
    </row>
    <row r="77" spans="5:35" x14ac:dyDescent="0.45">
      <c r="E77" t="s">
        <v>481</v>
      </c>
      <c r="G77" t="s">
        <v>166</v>
      </c>
      <c r="I77" t="s">
        <v>252</v>
      </c>
      <c r="J77" t="s">
        <v>633</v>
      </c>
      <c r="K77">
        <v>0</v>
      </c>
      <c r="L77" t="s">
        <v>254</v>
      </c>
      <c r="N77" t="s">
        <v>422</v>
      </c>
      <c r="O77" t="s">
        <v>633</v>
      </c>
      <c r="P77">
        <v>2.4785371740590001E-4</v>
      </c>
      <c r="Q77" t="s">
        <v>254</v>
      </c>
      <c r="S77" t="s">
        <v>423</v>
      </c>
      <c r="T77" t="s">
        <v>633</v>
      </c>
      <c r="U77">
        <v>2.101437983454E-4</v>
      </c>
      <c r="V77" t="s">
        <v>254</v>
      </c>
      <c r="X77">
        <v>1.1415525114155251E-4</v>
      </c>
      <c r="Y77">
        <v>1.6574265138519424E-5</v>
      </c>
      <c r="Z77" t="s">
        <v>633</v>
      </c>
      <c r="AA77" t="s">
        <v>25</v>
      </c>
      <c r="AC77" t="s">
        <v>22</v>
      </c>
      <c r="AD77" t="s">
        <v>633</v>
      </c>
      <c r="AE77">
        <v>9.6768961074180694E-5</v>
      </c>
      <c r="AG77" t="s">
        <v>97</v>
      </c>
      <c r="AH77" t="s">
        <v>633</v>
      </c>
      <c r="AI77">
        <v>0</v>
      </c>
    </row>
    <row r="78" spans="5:35" x14ac:dyDescent="0.45">
      <c r="E78" t="s">
        <v>482</v>
      </c>
      <c r="G78" t="s">
        <v>166</v>
      </c>
      <c r="I78" t="s">
        <v>252</v>
      </c>
      <c r="J78" t="s">
        <v>634</v>
      </c>
      <c r="K78">
        <v>0</v>
      </c>
      <c r="L78" t="s">
        <v>254</v>
      </c>
      <c r="N78" t="s">
        <v>422</v>
      </c>
      <c r="O78" t="s">
        <v>634</v>
      </c>
      <c r="P78">
        <v>2.4645100617689999E-4</v>
      </c>
      <c r="Q78" t="s">
        <v>254</v>
      </c>
      <c r="S78" t="s">
        <v>423</v>
      </c>
      <c r="T78" t="s">
        <v>634</v>
      </c>
      <c r="U78">
        <v>2.100625065495E-4</v>
      </c>
      <c r="V78" t="s">
        <v>254</v>
      </c>
      <c r="X78">
        <v>1.1415525114155251E-4</v>
      </c>
      <c r="Y78">
        <v>1.4585353321897093E-5</v>
      </c>
      <c r="Z78" t="s">
        <v>634</v>
      </c>
      <c r="AA78" t="s">
        <v>25</v>
      </c>
      <c r="AC78" t="s">
        <v>22</v>
      </c>
      <c r="AD78" t="s">
        <v>634</v>
      </c>
      <c r="AE78">
        <v>9.639306597781983E-5</v>
      </c>
      <c r="AG78" t="s">
        <v>97</v>
      </c>
      <c r="AH78" t="s">
        <v>634</v>
      </c>
      <c r="AI78">
        <v>0</v>
      </c>
    </row>
    <row r="79" spans="5:35" x14ac:dyDescent="0.45">
      <c r="E79" t="s">
        <v>483</v>
      </c>
      <c r="G79" t="s">
        <v>166</v>
      </c>
      <c r="I79" t="s">
        <v>252</v>
      </c>
      <c r="J79" t="s">
        <v>635</v>
      </c>
      <c r="K79">
        <v>0</v>
      </c>
      <c r="L79" t="s">
        <v>254</v>
      </c>
      <c r="N79" t="s">
        <v>422</v>
      </c>
      <c r="O79" t="s">
        <v>635</v>
      </c>
      <c r="P79">
        <v>2.4364820245E-4</v>
      </c>
      <c r="Q79" t="s">
        <v>254</v>
      </c>
      <c r="S79" t="s">
        <v>423</v>
      </c>
      <c r="T79" t="s">
        <v>635</v>
      </c>
      <c r="U79">
        <v>2.1000104943149999E-4</v>
      </c>
      <c r="V79" t="s">
        <v>254</v>
      </c>
      <c r="X79">
        <v>1.1415525114155251E-4</v>
      </c>
      <c r="Y79">
        <v>2.1215059377304864E-5</v>
      </c>
      <c r="Z79" t="s">
        <v>635</v>
      </c>
      <c r="AA79" t="s">
        <v>25</v>
      </c>
      <c r="AC79" t="s">
        <v>22</v>
      </c>
      <c r="AD79" t="s">
        <v>635</v>
      </c>
      <c r="AE79">
        <v>1.0421014971642623E-4</v>
      </c>
      <c r="AG79" t="s">
        <v>97</v>
      </c>
      <c r="AH79" t="s">
        <v>635</v>
      </c>
      <c r="AI79">
        <v>0</v>
      </c>
    </row>
    <row r="80" spans="5:35" x14ac:dyDescent="0.45">
      <c r="E80" t="s">
        <v>484</v>
      </c>
      <c r="G80" t="s">
        <v>166</v>
      </c>
      <c r="I80" t="s">
        <v>252</v>
      </c>
      <c r="J80" t="s">
        <v>636</v>
      </c>
      <c r="K80">
        <v>0</v>
      </c>
      <c r="L80" t="s">
        <v>254</v>
      </c>
      <c r="N80" t="s">
        <v>422</v>
      </c>
      <c r="O80" t="s">
        <v>636</v>
      </c>
      <c r="P80">
        <v>2.4407240856600001E-4</v>
      </c>
      <c r="Q80" t="s">
        <v>254</v>
      </c>
      <c r="S80" t="s">
        <v>423</v>
      </c>
      <c r="T80" t="s">
        <v>636</v>
      </c>
      <c r="U80">
        <v>2.0977903359390001E-4</v>
      </c>
      <c r="V80" t="s">
        <v>254</v>
      </c>
      <c r="X80">
        <v>1.1415525114155251E-4</v>
      </c>
      <c r="Y80">
        <v>5.7678442682047593E-5</v>
      </c>
      <c r="Z80" t="s">
        <v>636</v>
      </c>
      <c r="AA80" t="s">
        <v>25</v>
      </c>
      <c r="AC80" t="s">
        <v>22</v>
      </c>
      <c r="AD80" t="s">
        <v>636</v>
      </c>
      <c r="AE80">
        <v>1.3268356398838649E-4</v>
      </c>
      <c r="AG80" t="s">
        <v>97</v>
      </c>
      <c r="AH80" t="s">
        <v>636</v>
      </c>
      <c r="AI80">
        <v>0</v>
      </c>
    </row>
    <row r="81" spans="5:35" x14ac:dyDescent="0.45">
      <c r="E81" t="s">
        <v>485</v>
      </c>
      <c r="G81" t="s">
        <v>166</v>
      </c>
      <c r="I81" t="s">
        <v>252</v>
      </c>
      <c r="J81" t="s">
        <v>637</v>
      </c>
      <c r="K81">
        <v>0</v>
      </c>
      <c r="L81" t="s">
        <v>254</v>
      </c>
      <c r="N81" t="s">
        <v>422</v>
      </c>
      <c r="O81" t="s">
        <v>637</v>
      </c>
      <c r="P81">
        <v>2.4185754302929999E-4</v>
      </c>
      <c r="Q81" t="s">
        <v>254</v>
      </c>
      <c r="S81" t="s">
        <v>423</v>
      </c>
      <c r="T81" t="s">
        <v>637</v>
      </c>
      <c r="U81">
        <v>2.083888648935E-4</v>
      </c>
      <c r="V81" t="s">
        <v>254</v>
      </c>
      <c r="X81">
        <v>1.1415525114155251E-4</v>
      </c>
      <c r="Y81">
        <v>1.6905750441289813E-4</v>
      </c>
      <c r="Z81" t="s">
        <v>637</v>
      </c>
      <c r="AA81" t="s">
        <v>25</v>
      </c>
      <c r="AC81" t="s">
        <v>22</v>
      </c>
      <c r="AD81" t="s">
        <v>637</v>
      </c>
      <c r="AE81">
        <v>1.4723607414749969E-4</v>
      </c>
      <c r="AG81" t="s">
        <v>97</v>
      </c>
      <c r="AH81" t="s">
        <v>637</v>
      </c>
      <c r="AI81">
        <v>0</v>
      </c>
    </row>
    <row r="82" spans="5:35" x14ac:dyDescent="0.45">
      <c r="E82" t="s">
        <v>486</v>
      </c>
      <c r="G82" t="s">
        <v>166</v>
      </c>
      <c r="I82" t="s">
        <v>252</v>
      </c>
      <c r="J82" t="s">
        <v>638</v>
      </c>
      <c r="K82">
        <v>0</v>
      </c>
      <c r="L82" t="s">
        <v>254</v>
      </c>
      <c r="N82" t="s">
        <v>422</v>
      </c>
      <c r="O82" t="s">
        <v>638</v>
      </c>
      <c r="P82">
        <v>2.3932879282609999E-4</v>
      </c>
      <c r="Q82" t="s">
        <v>254</v>
      </c>
      <c r="S82" t="s">
        <v>423</v>
      </c>
      <c r="T82" t="s">
        <v>638</v>
      </c>
      <c r="U82">
        <v>2.0533720455050001E-4</v>
      </c>
      <c r="V82" t="s">
        <v>254</v>
      </c>
      <c r="X82">
        <v>1.1415525114155251E-4</v>
      </c>
      <c r="Y82">
        <v>1.9060404909297337E-4</v>
      </c>
      <c r="Z82" t="s">
        <v>638</v>
      </c>
      <c r="AA82" t="s">
        <v>25</v>
      </c>
      <c r="AC82" t="s">
        <v>22</v>
      </c>
      <c r="AD82" t="s">
        <v>638</v>
      </c>
      <c r="AE82">
        <v>1.5411214159045443E-4</v>
      </c>
      <c r="AG82" t="s">
        <v>97</v>
      </c>
      <c r="AH82" t="s">
        <v>638</v>
      </c>
      <c r="AI82">
        <v>0</v>
      </c>
    </row>
    <row r="83" spans="5:35" x14ac:dyDescent="0.45">
      <c r="E83" t="s">
        <v>487</v>
      </c>
      <c r="G83" t="s">
        <v>437</v>
      </c>
      <c r="I83" t="s">
        <v>252</v>
      </c>
      <c r="J83" t="s">
        <v>639</v>
      </c>
      <c r="K83">
        <v>6.7641199515952762E-5</v>
      </c>
      <c r="L83" t="s">
        <v>254</v>
      </c>
      <c r="N83" t="s">
        <v>422</v>
      </c>
      <c r="O83" t="s">
        <v>639</v>
      </c>
      <c r="P83">
        <v>2.4237704190150001E-4</v>
      </c>
      <c r="Q83" t="s">
        <v>254</v>
      </c>
      <c r="S83" t="s">
        <v>423</v>
      </c>
      <c r="T83" t="s">
        <v>639</v>
      </c>
      <c r="U83">
        <v>2.038566718229E-4</v>
      </c>
      <c r="V83" t="s">
        <v>254</v>
      </c>
      <c r="X83">
        <v>1.1415525114155251E-4</v>
      </c>
      <c r="Y83">
        <v>1.4585353321897094E-4</v>
      </c>
      <c r="Z83" t="s">
        <v>639</v>
      </c>
      <c r="AA83" t="s">
        <v>25</v>
      </c>
      <c r="AC83" t="s">
        <v>22</v>
      </c>
      <c r="AD83" t="s">
        <v>639</v>
      </c>
      <c r="AE83">
        <v>1.5486393178317615E-4</v>
      </c>
      <c r="AG83" t="s">
        <v>97</v>
      </c>
      <c r="AH83" t="s">
        <v>639</v>
      </c>
      <c r="AI83">
        <v>0</v>
      </c>
    </row>
    <row r="84" spans="5:35" x14ac:dyDescent="0.45">
      <c r="E84" t="s">
        <v>488</v>
      </c>
      <c r="G84" t="s">
        <v>437</v>
      </c>
      <c r="I84" t="s">
        <v>252</v>
      </c>
      <c r="J84" t="s">
        <v>640</v>
      </c>
      <c r="K84">
        <v>1.2596739187599999E-4</v>
      </c>
      <c r="L84" t="s">
        <v>254</v>
      </c>
      <c r="N84" t="s">
        <v>422</v>
      </c>
      <c r="O84" t="s">
        <v>640</v>
      </c>
      <c r="P84">
        <v>2.412672843926E-4</v>
      </c>
      <c r="Q84" t="s">
        <v>254</v>
      </c>
      <c r="S84" t="s">
        <v>423</v>
      </c>
      <c r="T84" t="s">
        <v>640</v>
      </c>
      <c r="U84">
        <v>2.033211249576E-4</v>
      </c>
      <c r="V84" t="s">
        <v>254</v>
      </c>
      <c r="X84">
        <v>1.1415525114155251E-4</v>
      </c>
      <c r="Y84">
        <v>1.4452759200788939E-4</v>
      </c>
      <c r="Z84" t="s">
        <v>640</v>
      </c>
      <c r="AA84" t="s">
        <v>25</v>
      </c>
      <c r="AC84" t="s">
        <v>22</v>
      </c>
      <c r="AD84" t="s">
        <v>640</v>
      </c>
      <c r="AE84">
        <v>1.558714329258032E-4</v>
      </c>
      <c r="AG84" t="s">
        <v>97</v>
      </c>
      <c r="AH84" t="s">
        <v>640</v>
      </c>
      <c r="AI84">
        <v>0</v>
      </c>
    </row>
    <row r="85" spans="5:35" x14ac:dyDescent="0.45">
      <c r="E85" t="s">
        <v>489</v>
      </c>
      <c r="G85" t="s">
        <v>437</v>
      </c>
      <c r="I85" t="s">
        <v>252</v>
      </c>
      <c r="J85" t="s">
        <v>641</v>
      </c>
      <c r="K85">
        <v>1.9734494170699999E-4</v>
      </c>
      <c r="L85" t="s">
        <v>254</v>
      </c>
      <c r="N85" t="s">
        <v>422</v>
      </c>
      <c r="O85" t="s">
        <v>641</v>
      </c>
      <c r="P85">
        <v>2.4025685254900001E-4</v>
      </c>
      <c r="Q85" t="s">
        <v>254</v>
      </c>
      <c r="S85" t="s">
        <v>423</v>
      </c>
      <c r="T85" t="s">
        <v>641</v>
      </c>
      <c r="U85">
        <v>2.0245655690130001E-4</v>
      </c>
      <c r="V85" t="s">
        <v>254</v>
      </c>
      <c r="X85">
        <v>1.1415525114155251E-4</v>
      </c>
      <c r="Y85">
        <v>1.408812536774151E-4</v>
      </c>
      <c r="Z85" t="s">
        <v>641</v>
      </c>
      <c r="AA85" t="s">
        <v>25</v>
      </c>
      <c r="AC85" t="s">
        <v>22</v>
      </c>
      <c r="AD85" t="s">
        <v>641</v>
      </c>
      <c r="AE85">
        <v>1.5547508095344994E-4</v>
      </c>
      <c r="AG85" t="s">
        <v>97</v>
      </c>
      <c r="AH85" t="s">
        <v>641</v>
      </c>
      <c r="AI85">
        <v>0</v>
      </c>
    </row>
    <row r="86" spans="5:35" x14ac:dyDescent="0.45">
      <c r="E86" t="s">
        <v>490</v>
      </c>
      <c r="G86" t="s">
        <v>437</v>
      </c>
      <c r="I86" t="s">
        <v>252</v>
      </c>
      <c r="J86" t="s">
        <v>642</v>
      </c>
      <c r="K86">
        <v>2.2362619685859999E-4</v>
      </c>
      <c r="L86" t="s">
        <v>254</v>
      </c>
      <c r="N86" t="s">
        <v>422</v>
      </c>
      <c r="O86" t="s">
        <v>642</v>
      </c>
      <c r="P86">
        <v>2.4425755422099999E-4</v>
      </c>
      <c r="Q86" t="s">
        <v>254</v>
      </c>
      <c r="S86" t="s">
        <v>423</v>
      </c>
      <c r="T86" t="s">
        <v>642</v>
      </c>
      <c r="U86">
        <v>2.0317636780070001E-4</v>
      </c>
      <c r="V86" t="s">
        <v>254</v>
      </c>
      <c r="X86">
        <v>1.1415525114155251E-4</v>
      </c>
      <c r="Y86">
        <v>1.4054976837464471E-4</v>
      </c>
      <c r="Z86" t="s">
        <v>642</v>
      </c>
      <c r="AA86" t="s">
        <v>25</v>
      </c>
      <c r="AC86" t="s">
        <v>22</v>
      </c>
      <c r="AD86" t="s">
        <v>642</v>
      </c>
      <c r="AE86">
        <v>1.5444712293483044E-4</v>
      </c>
      <c r="AG86" t="s">
        <v>97</v>
      </c>
      <c r="AH86" t="s">
        <v>642</v>
      </c>
      <c r="AI86">
        <v>0</v>
      </c>
    </row>
    <row r="87" spans="5:35" x14ac:dyDescent="0.45">
      <c r="E87" t="s">
        <v>491</v>
      </c>
      <c r="G87" t="s">
        <v>437</v>
      </c>
      <c r="I87" t="s">
        <v>252</v>
      </c>
      <c r="J87" t="s">
        <v>643</v>
      </c>
      <c r="K87">
        <v>2.212244508902E-4</v>
      </c>
      <c r="L87" t="s">
        <v>254</v>
      </c>
      <c r="N87" t="s">
        <v>422</v>
      </c>
      <c r="O87" t="s">
        <v>643</v>
      </c>
      <c r="P87">
        <v>2.4504109693209997E-4</v>
      </c>
      <c r="Q87" t="s">
        <v>254</v>
      </c>
      <c r="S87" t="s">
        <v>423</v>
      </c>
      <c r="T87" t="s">
        <v>643</v>
      </c>
      <c r="U87">
        <v>2.0709219998290001E-4</v>
      </c>
      <c r="V87" t="s">
        <v>254</v>
      </c>
      <c r="X87">
        <v>1.1415525114155251E-4</v>
      </c>
      <c r="Y87">
        <v>1.4253868019126702E-4</v>
      </c>
      <c r="Z87" t="s">
        <v>643</v>
      </c>
      <c r="AA87" t="s">
        <v>25</v>
      </c>
      <c r="AC87" t="s">
        <v>22</v>
      </c>
      <c r="AD87" t="s">
        <v>643</v>
      </c>
      <c r="AE87">
        <v>1.5428346792689104E-4</v>
      </c>
      <c r="AG87" t="s">
        <v>97</v>
      </c>
      <c r="AH87" t="s">
        <v>643</v>
      </c>
      <c r="AI87">
        <v>0</v>
      </c>
    </row>
    <row r="88" spans="5:35" x14ac:dyDescent="0.45">
      <c r="E88" t="s">
        <v>492</v>
      </c>
      <c r="G88" t="s">
        <v>437</v>
      </c>
      <c r="I88" t="s">
        <v>252</v>
      </c>
      <c r="J88" t="s">
        <v>644</v>
      </c>
      <c r="K88">
        <v>2.160955125248E-4</v>
      </c>
      <c r="L88" t="s">
        <v>254</v>
      </c>
      <c r="N88" t="s">
        <v>422</v>
      </c>
      <c r="O88" t="s">
        <v>644</v>
      </c>
      <c r="P88">
        <v>2.4006564226539999E-4</v>
      </c>
      <c r="Q88" t="s">
        <v>254</v>
      </c>
      <c r="S88" t="s">
        <v>423</v>
      </c>
      <c r="T88" t="s">
        <v>644</v>
      </c>
      <c r="U88">
        <v>2.086809871812E-4</v>
      </c>
      <c r="V88" t="s">
        <v>254</v>
      </c>
      <c r="X88">
        <v>1.1415525114155251E-4</v>
      </c>
      <c r="Y88">
        <v>1.4883690094390442E-4</v>
      </c>
      <c r="Z88" t="s">
        <v>644</v>
      </c>
      <c r="AA88" t="s">
        <v>25</v>
      </c>
      <c r="AC88" t="s">
        <v>22</v>
      </c>
      <c r="AD88" t="s">
        <v>644</v>
      </c>
      <c r="AE88">
        <v>1.5350099242018067E-4</v>
      </c>
      <c r="AG88" t="s">
        <v>97</v>
      </c>
      <c r="AH88" t="s">
        <v>644</v>
      </c>
      <c r="AI88">
        <v>0</v>
      </c>
    </row>
    <row r="89" spans="5:35" x14ac:dyDescent="0.45">
      <c r="E89" t="s">
        <v>493</v>
      </c>
      <c r="G89" t="s">
        <v>437</v>
      </c>
      <c r="I89" t="s">
        <v>252</v>
      </c>
      <c r="J89" t="s">
        <v>645</v>
      </c>
      <c r="K89">
        <v>2.432832629526E-4</v>
      </c>
      <c r="L89" t="s">
        <v>254</v>
      </c>
      <c r="N89" t="s">
        <v>422</v>
      </c>
      <c r="O89" t="s">
        <v>645</v>
      </c>
      <c r="P89">
        <v>2.403193112628E-4</v>
      </c>
      <c r="Q89" t="s">
        <v>254</v>
      </c>
      <c r="S89" t="s">
        <v>423</v>
      </c>
      <c r="T89" t="s">
        <v>645</v>
      </c>
      <c r="U89">
        <v>2.083774171574E-4</v>
      </c>
      <c r="V89" t="s">
        <v>254</v>
      </c>
      <c r="X89">
        <v>1.1415525114155251E-4</v>
      </c>
      <c r="Y89">
        <v>1.5049432745775637E-4</v>
      </c>
      <c r="Z89" t="s">
        <v>645</v>
      </c>
      <c r="AA89" t="s">
        <v>25</v>
      </c>
      <c r="AC89" t="s">
        <v>22</v>
      </c>
      <c r="AD89" t="s">
        <v>645</v>
      </c>
      <c r="AE89">
        <v>1.5332966608374408E-4</v>
      </c>
      <c r="AG89" t="s">
        <v>97</v>
      </c>
      <c r="AH89" t="s">
        <v>645</v>
      </c>
      <c r="AI89">
        <v>0</v>
      </c>
    </row>
    <row r="90" spans="5:35" x14ac:dyDescent="0.45">
      <c r="E90" t="s">
        <v>494</v>
      </c>
      <c r="G90" t="s">
        <v>437</v>
      </c>
      <c r="I90" t="s">
        <v>252</v>
      </c>
      <c r="J90" t="s">
        <v>646</v>
      </c>
      <c r="K90">
        <v>2.1018495199360001E-4</v>
      </c>
      <c r="L90" t="s">
        <v>254</v>
      </c>
      <c r="N90" t="s">
        <v>422</v>
      </c>
      <c r="O90" t="s">
        <v>646</v>
      </c>
      <c r="P90">
        <v>2.4186474592759999E-4</v>
      </c>
      <c r="Q90" t="s">
        <v>254</v>
      </c>
      <c r="S90" t="s">
        <v>423</v>
      </c>
      <c r="T90" t="s">
        <v>646</v>
      </c>
      <c r="U90">
        <v>2.0974442374669999E-4</v>
      </c>
      <c r="V90" t="s">
        <v>254</v>
      </c>
      <c r="X90">
        <v>1.1415525114155251E-4</v>
      </c>
      <c r="Y90">
        <v>1.7237235744060203E-4</v>
      </c>
      <c r="Z90" t="s">
        <v>646</v>
      </c>
      <c r="AA90" t="s">
        <v>25</v>
      </c>
      <c r="AC90" t="s">
        <v>22</v>
      </c>
      <c r="AD90" t="s">
        <v>646</v>
      </c>
      <c r="AE90">
        <v>1.5390245861153206E-4</v>
      </c>
      <c r="AG90" t="s">
        <v>97</v>
      </c>
      <c r="AH90" t="s">
        <v>646</v>
      </c>
      <c r="AI90">
        <v>0</v>
      </c>
    </row>
    <row r="91" spans="5:35" x14ac:dyDescent="0.45">
      <c r="E91" t="s">
        <v>495</v>
      </c>
      <c r="G91" t="s">
        <v>437</v>
      </c>
      <c r="I91" t="s">
        <v>252</v>
      </c>
      <c r="J91" t="s">
        <v>647</v>
      </c>
      <c r="K91">
        <v>1.5947017858879999E-4</v>
      </c>
      <c r="L91" t="s">
        <v>254</v>
      </c>
      <c r="N91" t="s">
        <v>422</v>
      </c>
      <c r="O91" t="s">
        <v>647</v>
      </c>
      <c r="P91">
        <v>2.407213351645E-4</v>
      </c>
      <c r="Q91" t="s">
        <v>254</v>
      </c>
      <c r="S91" t="s">
        <v>423</v>
      </c>
      <c r="T91" t="s">
        <v>647</v>
      </c>
      <c r="U91">
        <v>2.097517661946E-4</v>
      </c>
      <c r="V91" t="s">
        <v>254</v>
      </c>
      <c r="X91">
        <v>1.1415525114155251E-4</v>
      </c>
      <c r="Y91">
        <v>2.2209515285616027E-4</v>
      </c>
      <c r="Z91" t="s">
        <v>647</v>
      </c>
      <c r="AA91" t="s">
        <v>25</v>
      </c>
      <c r="AC91" t="s">
        <v>22</v>
      </c>
      <c r="AD91" t="s">
        <v>647</v>
      </c>
      <c r="AE91">
        <v>1.5492018819215534E-4</v>
      </c>
      <c r="AG91" t="s">
        <v>97</v>
      </c>
      <c r="AH91" t="s">
        <v>647</v>
      </c>
      <c r="AI91">
        <v>0</v>
      </c>
    </row>
    <row r="92" spans="5:35" x14ac:dyDescent="0.45">
      <c r="E92" t="s">
        <v>496</v>
      </c>
      <c r="G92" t="s">
        <v>437</v>
      </c>
      <c r="I92" t="s">
        <v>252</v>
      </c>
      <c r="J92" t="s">
        <v>648</v>
      </c>
      <c r="K92">
        <v>1.1388676746880001E-4</v>
      </c>
      <c r="L92" t="s">
        <v>254</v>
      </c>
      <c r="N92" t="s">
        <v>422</v>
      </c>
      <c r="O92" t="s">
        <v>648</v>
      </c>
      <c r="P92">
        <v>2.4790117366519997E-4</v>
      </c>
      <c r="Q92" t="s">
        <v>254</v>
      </c>
      <c r="S92" t="s">
        <v>423</v>
      </c>
      <c r="T92" t="s">
        <v>648</v>
      </c>
      <c r="U92">
        <v>2.1052235776590001E-4</v>
      </c>
      <c r="V92" t="s">
        <v>254</v>
      </c>
      <c r="X92">
        <v>1.1415525114155251E-4</v>
      </c>
      <c r="Y92">
        <v>2.2209515285616027E-4</v>
      </c>
      <c r="Z92" t="s">
        <v>648</v>
      </c>
      <c r="AA92" t="s">
        <v>25</v>
      </c>
      <c r="AC92" t="s">
        <v>22</v>
      </c>
      <c r="AD92" t="s">
        <v>648</v>
      </c>
      <c r="AE92">
        <v>1.5615015786120005E-4</v>
      </c>
      <c r="AG92" t="s">
        <v>97</v>
      </c>
      <c r="AH92" t="s">
        <v>648</v>
      </c>
      <c r="AI92">
        <v>0</v>
      </c>
    </row>
    <row r="93" spans="5:35" x14ac:dyDescent="0.45">
      <c r="E93" t="s">
        <v>497</v>
      </c>
      <c r="G93" t="s">
        <v>437</v>
      </c>
      <c r="I93" t="s">
        <v>252</v>
      </c>
      <c r="J93" t="s">
        <v>649</v>
      </c>
      <c r="K93">
        <v>0</v>
      </c>
      <c r="L93" t="s">
        <v>254</v>
      </c>
      <c r="N93" t="s">
        <v>422</v>
      </c>
      <c r="O93" t="s">
        <v>649</v>
      </c>
      <c r="P93">
        <v>2.4965364980190002E-4</v>
      </c>
      <c r="Q93" t="s">
        <v>254</v>
      </c>
      <c r="S93" t="s">
        <v>423</v>
      </c>
      <c r="T93" t="s">
        <v>649</v>
      </c>
      <c r="U93">
        <v>2.1073668381670001E-4</v>
      </c>
      <c r="V93" t="s">
        <v>254</v>
      </c>
      <c r="X93">
        <v>1.1415525114155251E-4</v>
      </c>
      <c r="Y93">
        <v>1.7237235744060203E-4</v>
      </c>
      <c r="Z93" t="s">
        <v>649</v>
      </c>
      <c r="AA93" t="s">
        <v>25</v>
      </c>
      <c r="AC93" t="s">
        <v>22</v>
      </c>
      <c r="AD93" t="s">
        <v>649</v>
      </c>
      <c r="AE93">
        <v>1.56052987700236E-4</v>
      </c>
      <c r="AG93" t="s">
        <v>97</v>
      </c>
      <c r="AH93" t="s">
        <v>649</v>
      </c>
      <c r="AI93">
        <v>0</v>
      </c>
    </row>
    <row r="94" spans="5:35" x14ac:dyDescent="0.45">
      <c r="E94" t="s">
        <v>498</v>
      </c>
      <c r="G94" t="s">
        <v>437</v>
      </c>
      <c r="I94" t="s">
        <v>252</v>
      </c>
      <c r="J94" t="s">
        <v>650</v>
      </c>
      <c r="K94">
        <v>0</v>
      </c>
      <c r="L94" t="s">
        <v>254</v>
      </c>
      <c r="N94" t="s">
        <v>422</v>
      </c>
      <c r="O94" t="s">
        <v>650</v>
      </c>
      <c r="P94">
        <v>2.4920867381750001E-4</v>
      </c>
      <c r="Q94" t="s">
        <v>254</v>
      </c>
      <c r="S94" t="s">
        <v>423</v>
      </c>
      <c r="T94" t="s">
        <v>650</v>
      </c>
      <c r="U94">
        <v>2.110049155758E-4</v>
      </c>
      <c r="V94" t="s">
        <v>254</v>
      </c>
      <c r="X94">
        <v>1.1415525114155251E-4</v>
      </c>
      <c r="Y94">
        <v>1.5579809230208258E-4</v>
      </c>
      <c r="Z94" t="s">
        <v>650</v>
      </c>
      <c r="AA94" t="s">
        <v>25</v>
      </c>
      <c r="AC94" t="s">
        <v>22</v>
      </c>
      <c r="AD94" t="s">
        <v>650</v>
      </c>
      <c r="AE94">
        <v>1.5030204843686479E-4</v>
      </c>
      <c r="AG94" t="s">
        <v>97</v>
      </c>
      <c r="AH94" t="s">
        <v>650</v>
      </c>
      <c r="AI94">
        <v>0</v>
      </c>
    </row>
    <row r="95" spans="5:35" x14ac:dyDescent="0.45">
      <c r="E95" t="s">
        <v>499</v>
      </c>
      <c r="G95" t="s">
        <v>437</v>
      </c>
      <c r="I95" t="s">
        <v>252</v>
      </c>
      <c r="J95" t="s">
        <v>651</v>
      </c>
      <c r="K95">
        <v>0</v>
      </c>
      <c r="L95" t="s">
        <v>254</v>
      </c>
      <c r="N95" t="s">
        <v>422</v>
      </c>
      <c r="O95" t="s">
        <v>651</v>
      </c>
      <c r="P95">
        <v>2.5142737776599999E-4</v>
      </c>
      <c r="Q95" t="s">
        <v>254</v>
      </c>
      <c r="S95" t="s">
        <v>423</v>
      </c>
      <c r="T95" t="s">
        <v>651</v>
      </c>
      <c r="U95">
        <v>2.1110346346529999E-4</v>
      </c>
      <c r="V95" t="s">
        <v>254</v>
      </c>
      <c r="X95">
        <v>1.1415525114155251E-4</v>
      </c>
      <c r="Y95">
        <v>1.093901499142282E-4</v>
      </c>
      <c r="Z95" t="s">
        <v>651</v>
      </c>
      <c r="AA95" t="s">
        <v>25</v>
      </c>
      <c r="AC95" t="s">
        <v>22</v>
      </c>
      <c r="AD95" t="s">
        <v>651</v>
      </c>
      <c r="AE95">
        <v>1.3299297423777193E-4</v>
      </c>
      <c r="AG95" t="s">
        <v>97</v>
      </c>
      <c r="AH95" t="s">
        <v>651</v>
      </c>
      <c r="AI95">
        <v>0</v>
      </c>
    </row>
    <row r="96" spans="5:35" x14ac:dyDescent="0.45">
      <c r="E96" t="s">
        <v>500</v>
      </c>
      <c r="G96" t="s">
        <v>437</v>
      </c>
      <c r="I96" t="s">
        <v>252</v>
      </c>
      <c r="J96" t="s">
        <v>652</v>
      </c>
      <c r="K96">
        <v>0</v>
      </c>
      <c r="L96" t="s">
        <v>254</v>
      </c>
      <c r="N96" t="s">
        <v>422</v>
      </c>
      <c r="O96" t="s">
        <v>652</v>
      </c>
      <c r="P96">
        <v>2.5064620888540001E-4</v>
      </c>
      <c r="Q96" t="s">
        <v>254</v>
      </c>
      <c r="S96" t="s">
        <v>423</v>
      </c>
      <c r="T96" t="s">
        <v>652</v>
      </c>
      <c r="U96">
        <v>2.1107867973570001E-4</v>
      </c>
      <c r="V96" t="s">
        <v>254</v>
      </c>
      <c r="X96">
        <v>1.1415525114155251E-4</v>
      </c>
      <c r="Y96">
        <v>7.9556472664893237E-5</v>
      </c>
      <c r="Z96" t="s">
        <v>652</v>
      </c>
      <c r="AA96" t="s">
        <v>25</v>
      </c>
      <c r="AC96" t="s">
        <v>22</v>
      </c>
      <c r="AD96" t="s">
        <v>652</v>
      </c>
      <c r="AE96">
        <v>1.2444711429193529E-4</v>
      </c>
      <c r="AG96" t="s">
        <v>97</v>
      </c>
      <c r="AH96" t="s">
        <v>652</v>
      </c>
      <c r="AI96">
        <v>0</v>
      </c>
    </row>
    <row r="97" spans="5:35" x14ac:dyDescent="0.45">
      <c r="E97" t="s">
        <v>501</v>
      </c>
      <c r="G97" t="s">
        <v>437</v>
      </c>
      <c r="I97" t="s">
        <v>252</v>
      </c>
      <c r="J97" t="s">
        <v>653</v>
      </c>
      <c r="K97">
        <v>0</v>
      </c>
      <c r="L97" t="s">
        <v>254</v>
      </c>
      <c r="N97" t="s">
        <v>422</v>
      </c>
      <c r="O97" t="s">
        <v>653</v>
      </c>
      <c r="P97">
        <v>2.4780908224909999E-4</v>
      </c>
      <c r="Q97" t="s">
        <v>254</v>
      </c>
      <c r="S97" t="s">
        <v>423</v>
      </c>
      <c r="T97" t="s">
        <v>653</v>
      </c>
      <c r="U97">
        <v>2.0924722221659999E-4</v>
      </c>
      <c r="V97" t="s">
        <v>254</v>
      </c>
      <c r="X97">
        <v>1.1415525114155251E-4</v>
      </c>
      <c r="Y97">
        <v>5.6352501470966035E-5</v>
      </c>
      <c r="Z97" t="s">
        <v>653</v>
      </c>
      <c r="AA97" t="s">
        <v>25</v>
      </c>
      <c r="AC97" t="s">
        <v>22</v>
      </c>
      <c r="AD97" t="s">
        <v>653</v>
      </c>
      <c r="AE97">
        <v>1.1744063426452884E-4</v>
      </c>
      <c r="AG97" t="s">
        <v>97</v>
      </c>
      <c r="AH97" t="s">
        <v>653</v>
      </c>
      <c r="AI97">
        <v>0</v>
      </c>
    </row>
    <row r="98" spans="5:35" x14ac:dyDescent="0.45">
      <c r="E98" t="s">
        <v>502</v>
      </c>
      <c r="G98" t="s">
        <v>437</v>
      </c>
      <c r="I98" t="s">
        <v>252</v>
      </c>
      <c r="J98" t="s">
        <v>654</v>
      </c>
      <c r="K98">
        <v>0</v>
      </c>
      <c r="L98" t="s">
        <v>254</v>
      </c>
      <c r="N98" t="s">
        <v>422</v>
      </c>
      <c r="O98" t="s">
        <v>654</v>
      </c>
      <c r="P98">
        <v>2.4442462880590001E-4</v>
      </c>
      <c r="Q98" t="s">
        <v>254</v>
      </c>
      <c r="S98" t="s">
        <v>423</v>
      </c>
      <c r="T98" t="s">
        <v>654</v>
      </c>
      <c r="U98">
        <v>2.064752203105E-4</v>
      </c>
      <c r="V98" t="s">
        <v>254</v>
      </c>
      <c r="X98">
        <v>1.1415525114155251E-4</v>
      </c>
      <c r="Y98">
        <v>2.9833677249334962E-5</v>
      </c>
      <c r="Z98" t="s">
        <v>654</v>
      </c>
      <c r="AA98" t="s">
        <v>25</v>
      </c>
      <c r="AC98" t="s">
        <v>22</v>
      </c>
      <c r="AD98" t="s">
        <v>654</v>
      </c>
      <c r="AE98">
        <v>1.0220026165017024E-4</v>
      </c>
      <c r="AG98" t="s">
        <v>97</v>
      </c>
      <c r="AH98" t="s">
        <v>654</v>
      </c>
      <c r="AI98">
        <v>0</v>
      </c>
    </row>
    <row r="99" spans="5:35" x14ac:dyDescent="0.45">
      <c r="E99" t="s">
        <v>503</v>
      </c>
      <c r="G99" t="s">
        <v>437</v>
      </c>
      <c r="I99" t="s">
        <v>252</v>
      </c>
      <c r="J99" t="s">
        <v>294</v>
      </c>
      <c r="K99">
        <v>1.6104140391799037E-5</v>
      </c>
      <c r="L99" t="s">
        <v>254</v>
      </c>
      <c r="N99" t="s">
        <v>422</v>
      </c>
      <c r="O99" t="s">
        <v>294</v>
      </c>
      <c r="P99">
        <v>2.422069263148147E-2</v>
      </c>
      <c r="Q99" t="s">
        <v>254</v>
      </c>
      <c r="S99" t="s">
        <v>423</v>
      </c>
      <c r="T99" t="s">
        <v>294</v>
      </c>
      <c r="U99">
        <v>2.5901969336789985E-2</v>
      </c>
      <c r="V99" t="s">
        <v>254</v>
      </c>
      <c r="X99">
        <v>2.4771689497716895E-2</v>
      </c>
      <c r="Y99">
        <v>9.7827942553597048E-3</v>
      </c>
      <c r="Z99" t="s">
        <v>294</v>
      </c>
      <c r="AA99" t="s">
        <v>25</v>
      </c>
      <c r="AC99" t="s">
        <v>22</v>
      </c>
      <c r="AD99" t="s">
        <v>294</v>
      </c>
      <c r="AE99">
        <v>2.1673230553283358E-2</v>
      </c>
      <c r="AG99" t="s">
        <v>97</v>
      </c>
      <c r="AH99" t="s">
        <v>294</v>
      </c>
      <c r="AI99">
        <v>0.29189958109755287</v>
      </c>
    </row>
    <row r="100" spans="5:35" x14ac:dyDescent="0.45">
      <c r="E100" t="s">
        <v>504</v>
      </c>
      <c r="G100" t="s">
        <v>437</v>
      </c>
      <c r="I100" t="s">
        <v>252</v>
      </c>
      <c r="J100" t="s">
        <v>295</v>
      </c>
      <c r="K100">
        <v>2.4930351960390073E-3</v>
      </c>
      <c r="L100" t="s">
        <v>254</v>
      </c>
      <c r="N100" t="s">
        <v>422</v>
      </c>
      <c r="O100" t="s">
        <v>295</v>
      </c>
      <c r="P100">
        <v>3.5730988300244175E-3</v>
      </c>
      <c r="Q100" t="s">
        <v>254</v>
      </c>
      <c r="S100" t="s">
        <v>423</v>
      </c>
      <c r="T100" t="s">
        <v>295</v>
      </c>
      <c r="U100">
        <v>3.8899664386824219E-3</v>
      </c>
      <c r="V100" t="s">
        <v>254</v>
      </c>
      <c r="X100">
        <v>3.5388127853881279E-3</v>
      </c>
      <c r="Y100">
        <v>5.9087255218821738E-3</v>
      </c>
      <c r="Z100" t="s">
        <v>295</v>
      </c>
      <c r="AA100" t="s">
        <v>25</v>
      </c>
      <c r="AC100" t="s">
        <v>22</v>
      </c>
      <c r="AD100" t="s">
        <v>295</v>
      </c>
      <c r="AE100">
        <v>4.1395725431968974E-3</v>
      </c>
      <c r="AG100" t="s">
        <v>97</v>
      </c>
      <c r="AH100" t="s">
        <v>295</v>
      </c>
      <c r="AI100">
        <v>7.1225832716647064E-2</v>
      </c>
    </row>
    <row r="101" spans="5:35" x14ac:dyDescent="0.45">
      <c r="E101" t="s">
        <v>505</v>
      </c>
      <c r="G101" t="s">
        <v>437</v>
      </c>
      <c r="I101" t="s">
        <v>252</v>
      </c>
      <c r="J101" t="s">
        <v>296</v>
      </c>
      <c r="K101">
        <v>1.2217569584091117E-2</v>
      </c>
      <c r="L101" t="s">
        <v>254</v>
      </c>
      <c r="N101" t="s">
        <v>422</v>
      </c>
      <c r="O101" t="s">
        <v>296</v>
      </c>
      <c r="P101">
        <v>6.9748728034219332E-3</v>
      </c>
      <c r="Q101" t="s">
        <v>254</v>
      </c>
      <c r="S101" t="s">
        <v>423</v>
      </c>
      <c r="T101" t="s">
        <v>296</v>
      </c>
      <c r="U101">
        <v>7.7357545072605522E-3</v>
      </c>
      <c r="V101" t="s">
        <v>254</v>
      </c>
      <c r="X101">
        <v>7.0776255707762558E-3</v>
      </c>
      <c r="Y101">
        <v>9.0018148820326695E-3</v>
      </c>
      <c r="Z101" t="s">
        <v>296</v>
      </c>
      <c r="AA101" t="s">
        <v>25</v>
      </c>
      <c r="AC101" t="s">
        <v>22</v>
      </c>
      <c r="AD101" t="s">
        <v>296</v>
      </c>
      <c r="AE101">
        <v>8.58529246405847E-3</v>
      </c>
      <c r="AG101" t="s">
        <v>97</v>
      </c>
      <c r="AH101" t="s">
        <v>296</v>
      </c>
      <c r="AI101">
        <v>7.2679836004472698E-2</v>
      </c>
    </row>
    <row r="102" spans="5:35" x14ac:dyDescent="0.45">
      <c r="E102" t="s">
        <v>506</v>
      </c>
      <c r="G102" t="s">
        <v>437</v>
      </c>
      <c r="I102" t="s">
        <v>252</v>
      </c>
      <c r="J102" t="s">
        <v>297</v>
      </c>
      <c r="K102">
        <v>2.6485135909388655E-2</v>
      </c>
      <c r="L102" t="s">
        <v>254</v>
      </c>
      <c r="N102" t="s">
        <v>422</v>
      </c>
      <c r="O102" t="s">
        <v>297</v>
      </c>
      <c r="P102">
        <v>9.9778372938310565E-3</v>
      </c>
      <c r="Q102" t="s">
        <v>254</v>
      </c>
      <c r="S102" t="s">
        <v>423</v>
      </c>
      <c r="T102" t="s">
        <v>297</v>
      </c>
      <c r="U102">
        <v>1.1131790036312329E-2</v>
      </c>
      <c r="V102" t="s">
        <v>254</v>
      </c>
      <c r="X102">
        <v>1.0616438356164383E-2</v>
      </c>
      <c r="Y102">
        <v>1.3143060769543132E-2</v>
      </c>
      <c r="Z102" t="s">
        <v>297</v>
      </c>
      <c r="AA102" t="s">
        <v>25</v>
      </c>
      <c r="AC102" t="s">
        <v>22</v>
      </c>
      <c r="AD102" t="s">
        <v>297</v>
      </c>
      <c r="AE102">
        <v>1.2798481632623615E-2</v>
      </c>
      <c r="AG102" t="s">
        <v>97</v>
      </c>
      <c r="AH102" t="s">
        <v>297</v>
      </c>
      <c r="AI102">
        <v>7.8130437900502558E-2</v>
      </c>
    </row>
    <row r="103" spans="5:35" x14ac:dyDescent="0.45">
      <c r="E103" t="s">
        <v>507</v>
      </c>
      <c r="G103" t="s">
        <v>437</v>
      </c>
      <c r="I103" t="s">
        <v>252</v>
      </c>
      <c r="J103" t="s">
        <v>298</v>
      </c>
      <c r="K103">
        <v>8.7555444167293581E-3</v>
      </c>
      <c r="L103" t="s">
        <v>254</v>
      </c>
      <c r="N103" t="s">
        <v>422</v>
      </c>
      <c r="O103" t="s">
        <v>298</v>
      </c>
      <c r="P103">
        <v>3.3727831130503645E-3</v>
      </c>
      <c r="Q103" t="s">
        <v>254</v>
      </c>
      <c r="S103" t="s">
        <v>423</v>
      </c>
      <c r="T103" t="s">
        <v>298</v>
      </c>
      <c r="U103">
        <v>3.7073872357237798E-3</v>
      </c>
      <c r="V103" t="s">
        <v>254</v>
      </c>
      <c r="X103">
        <v>3.5388127853881279E-3</v>
      </c>
      <c r="Y103">
        <v>4.6139439292610376E-3</v>
      </c>
      <c r="Z103" t="s">
        <v>298</v>
      </c>
      <c r="AA103" t="s">
        <v>25</v>
      </c>
      <c r="AC103" t="s">
        <v>22</v>
      </c>
      <c r="AD103" t="s">
        <v>298</v>
      </c>
      <c r="AE103">
        <v>4.2169915903902391E-3</v>
      </c>
      <c r="AG103" t="s">
        <v>97</v>
      </c>
      <c r="AH103" t="s">
        <v>298</v>
      </c>
      <c r="AI103">
        <v>8.3300670632449947E-2</v>
      </c>
    </row>
    <row r="104" spans="5:35" x14ac:dyDescent="0.45">
      <c r="E104" t="s">
        <v>508</v>
      </c>
      <c r="G104" t="s">
        <v>437</v>
      </c>
      <c r="I104" t="s">
        <v>252</v>
      </c>
      <c r="J104" t="s">
        <v>299</v>
      </c>
      <c r="K104">
        <v>1.7586171126462422E-2</v>
      </c>
      <c r="L104" t="s">
        <v>254</v>
      </c>
      <c r="N104" t="s">
        <v>422</v>
      </c>
      <c r="O104" t="s">
        <v>299</v>
      </c>
      <c r="P104">
        <v>6.8659250177975891E-3</v>
      </c>
      <c r="Q104" t="s">
        <v>254</v>
      </c>
      <c r="S104" t="s">
        <v>423</v>
      </c>
      <c r="T104" t="s">
        <v>299</v>
      </c>
      <c r="U104">
        <v>7.5891430150184756E-3</v>
      </c>
      <c r="V104" t="s">
        <v>254</v>
      </c>
      <c r="X104">
        <v>7.0776255707762558E-3</v>
      </c>
      <c r="Y104">
        <v>1.0008867231849112E-2</v>
      </c>
      <c r="Z104" t="s">
        <v>299</v>
      </c>
      <c r="AA104" t="s">
        <v>25</v>
      </c>
      <c r="AC104" t="s">
        <v>22</v>
      </c>
      <c r="AD104" t="s">
        <v>299</v>
      </c>
      <c r="AE104">
        <v>8.4096292699114943E-3</v>
      </c>
      <c r="AG104" t="s">
        <v>97</v>
      </c>
      <c r="AH104" t="s">
        <v>299</v>
      </c>
      <c r="AI104">
        <v>8.7356154406409425E-2</v>
      </c>
    </row>
    <row r="105" spans="5:35" x14ac:dyDescent="0.45">
      <c r="E105" t="s">
        <v>509</v>
      </c>
      <c r="G105" t="s">
        <v>437</v>
      </c>
      <c r="I105" t="s">
        <v>252</v>
      </c>
      <c r="J105" t="s">
        <v>300</v>
      </c>
      <c r="K105">
        <v>1.277606612294124E-2</v>
      </c>
      <c r="L105" t="s">
        <v>254</v>
      </c>
      <c r="N105" t="s">
        <v>422</v>
      </c>
      <c r="O105" t="s">
        <v>300</v>
      </c>
      <c r="P105">
        <v>7.0954673722035053E-3</v>
      </c>
      <c r="Q105" t="s">
        <v>254</v>
      </c>
      <c r="S105" t="s">
        <v>423</v>
      </c>
      <c r="T105" t="s">
        <v>300</v>
      </c>
      <c r="U105">
        <v>7.9151255246372714E-3</v>
      </c>
      <c r="V105" t="s">
        <v>254</v>
      </c>
      <c r="X105">
        <v>7.0776255707762558E-3</v>
      </c>
      <c r="Y105">
        <v>1.376989947708193E-2</v>
      </c>
      <c r="Z105" t="s">
        <v>300</v>
      </c>
      <c r="AA105" t="s">
        <v>25</v>
      </c>
      <c r="AC105" t="s">
        <v>22</v>
      </c>
      <c r="AD105" t="s">
        <v>300</v>
      </c>
      <c r="AE105">
        <v>8.5437061922753639E-3</v>
      </c>
      <c r="AG105" t="s">
        <v>97</v>
      </c>
      <c r="AH105" t="s">
        <v>300</v>
      </c>
      <c r="AI105">
        <v>7.7419278474670117E-2</v>
      </c>
    </row>
    <row r="106" spans="5:35" x14ac:dyDescent="0.45">
      <c r="E106" t="s">
        <v>510</v>
      </c>
      <c r="G106" t="s">
        <v>437</v>
      </c>
      <c r="I106" t="s">
        <v>252</v>
      </c>
      <c r="J106" t="s">
        <v>301</v>
      </c>
      <c r="K106">
        <v>3.0355034137326403E-3</v>
      </c>
      <c r="L106" t="s">
        <v>254</v>
      </c>
      <c r="N106" t="s">
        <v>422</v>
      </c>
      <c r="O106" t="s">
        <v>301</v>
      </c>
      <c r="P106">
        <v>2.2133431122873554E-2</v>
      </c>
      <c r="Q106" t="s">
        <v>254</v>
      </c>
      <c r="S106" t="s">
        <v>423</v>
      </c>
      <c r="T106" t="s">
        <v>301</v>
      </c>
      <c r="U106">
        <v>2.3731888608555678E-2</v>
      </c>
      <c r="V106" t="s">
        <v>254</v>
      </c>
      <c r="X106">
        <v>2.1232876712328767E-2</v>
      </c>
      <c r="Y106">
        <v>1.8702400782305319E-2</v>
      </c>
      <c r="Z106" t="s">
        <v>301</v>
      </c>
      <c r="AA106" t="s">
        <v>25</v>
      </c>
      <c r="AC106" t="s">
        <v>22</v>
      </c>
      <c r="AD106" t="s">
        <v>301</v>
      </c>
      <c r="AE106">
        <v>2.220997456358997E-2</v>
      </c>
      <c r="AG106" t="s">
        <v>97</v>
      </c>
      <c r="AH106" t="s">
        <v>301</v>
      </c>
      <c r="AI106">
        <v>0.19728339884766566</v>
      </c>
    </row>
    <row r="107" spans="5:35" x14ac:dyDescent="0.45">
      <c r="E107" t="s">
        <v>511</v>
      </c>
      <c r="G107" t="s">
        <v>439</v>
      </c>
      <c r="I107" t="s">
        <v>252</v>
      </c>
      <c r="J107" t="s">
        <v>302</v>
      </c>
      <c r="K107">
        <v>2.4944652964232262E-3</v>
      </c>
      <c r="L107" t="s">
        <v>254</v>
      </c>
      <c r="N107" t="s">
        <v>422</v>
      </c>
      <c r="O107" t="s">
        <v>302</v>
      </c>
      <c r="P107">
        <v>2.7681132667217855E-2</v>
      </c>
      <c r="Q107" t="s">
        <v>254</v>
      </c>
      <c r="S107" t="s">
        <v>423</v>
      </c>
      <c r="T107" t="s">
        <v>302</v>
      </c>
      <c r="U107">
        <v>2.7873206943640528E-2</v>
      </c>
      <c r="V107" t="s">
        <v>254</v>
      </c>
      <c r="X107">
        <v>2.3972602739726026E-2</v>
      </c>
      <c r="Y107">
        <v>9.4672202471222967E-3</v>
      </c>
      <c r="Z107" t="s">
        <v>302</v>
      </c>
      <c r="AA107" t="s">
        <v>25</v>
      </c>
      <c r="AC107" t="s">
        <v>22</v>
      </c>
      <c r="AD107" t="s">
        <v>302</v>
      </c>
      <c r="AE107">
        <v>1.9928596464069401E-2</v>
      </c>
      <c r="AG107" t="s">
        <v>97</v>
      </c>
      <c r="AH107" t="s">
        <v>302</v>
      </c>
      <c r="AI107">
        <v>0.27785577591947086</v>
      </c>
    </row>
    <row r="108" spans="5:35" x14ac:dyDescent="0.45">
      <c r="E108" t="s">
        <v>512</v>
      </c>
      <c r="G108" t="s">
        <v>439</v>
      </c>
      <c r="I108" t="s">
        <v>252</v>
      </c>
      <c r="J108" t="s">
        <v>303</v>
      </c>
      <c r="K108">
        <v>5.1159918965719819E-3</v>
      </c>
      <c r="L108" t="s">
        <v>254</v>
      </c>
      <c r="N108" t="s">
        <v>422</v>
      </c>
      <c r="O108" t="s">
        <v>303</v>
      </c>
      <c r="P108">
        <v>3.71907315514738E-3</v>
      </c>
      <c r="Q108" t="s">
        <v>254</v>
      </c>
      <c r="S108" t="s">
        <v>423</v>
      </c>
      <c r="T108" t="s">
        <v>303</v>
      </c>
      <c r="U108">
        <v>3.7231555410848502E-3</v>
      </c>
      <c r="V108" t="s">
        <v>254</v>
      </c>
      <c r="X108">
        <v>3.4246575342465752E-3</v>
      </c>
      <c r="Y108">
        <v>5.7181214727892006E-3</v>
      </c>
      <c r="Z108" t="s">
        <v>303</v>
      </c>
      <c r="AA108" t="s">
        <v>25</v>
      </c>
      <c r="AC108" t="s">
        <v>22</v>
      </c>
      <c r="AD108" t="s">
        <v>303</v>
      </c>
      <c r="AE108">
        <v>3.7946926128766649E-3</v>
      </c>
      <c r="AG108" t="s">
        <v>97</v>
      </c>
      <c r="AH108" t="s">
        <v>303</v>
      </c>
      <c r="AI108">
        <v>7.4794780557807972E-2</v>
      </c>
    </row>
    <row r="109" spans="5:35" x14ac:dyDescent="0.45">
      <c r="E109" t="s">
        <v>513</v>
      </c>
      <c r="G109" t="s">
        <v>439</v>
      </c>
      <c r="I109" t="s">
        <v>252</v>
      </c>
      <c r="J109" t="s">
        <v>304</v>
      </c>
      <c r="K109">
        <v>1.5772344864832602E-2</v>
      </c>
      <c r="L109" t="s">
        <v>254</v>
      </c>
      <c r="N109" t="s">
        <v>422</v>
      </c>
      <c r="O109" t="s">
        <v>304</v>
      </c>
      <c r="P109">
        <v>7.3237708627581222E-3</v>
      </c>
      <c r="Q109" t="s">
        <v>254</v>
      </c>
      <c r="S109" t="s">
        <v>423</v>
      </c>
      <c r="T109" t="s">
        <v>304</v>
      </c>
      <c r="U109">
        <v>7.2380689982444726E-3</v>
      </c>
      <c r="V109" t="s">
        <v>254</v>
      </c>
      <c r="X109">
        <v>6.8493150684931503E-3</v>
      </c>
      <c r="Y109">
        <v>8.7114337568058101E-3</v>
      </c>
      <c r="Z109" t="s">
        <v>304</v>
      </c>
      <c r="AA109" t="s">
        <v>25</v>
      </c>
      <c r="AC109" t="s">
        <v>22</v>
      </c>
      <c r="AD109" t="s">
        <v>304</v>
      </c>
      <c r="AE109">
        <v>7.7785013729748257E-3</v>
      </c>
      <c r="AG109" t="s">
        <v>97</v>
      </c>
      <c r="AH109" t="s">
        <v>304</v>
      </c>
      <c r="AI109">
        <v>7.330637502080628E-2</v>
      </c>
    </row>
    <row r="110" spans="5:35" x14ac:dyDescent="0.45">
      <c r="E110" t="s">
        <v>514</v>
      </c>
      <c r="G110" t="s">
        <v>439</v>
      </c>
      <c r="I110" t="s">
        <v>252</v>
      </c>
      <c r="J110" t="s">
        <v>305</v>
      </c>
      <c r="K110">
        <v>2.82518210893829E-2</v>
      </c>
      <c r="L110" t="s">
        <v>254</v>
      </c>
      <c r="N110" t="s">
        <v>422</v>
      </c>
      <c r="O110" t="s">
        <v>305</v>
      </c>
      <c r="P110">
        <v>1.0732055062834039E-2</v>
      </c>
      <c r="Q110" t="s">
        <v>254</v>
      </c>
      <c r="S110" t="s">
        <v>423</v>
      </c>
      <c r="T110" t="s">
        <v>305</v>
      </c>
      <c r="U110">
        <v>1.0485600995887521E-2</v>
      </c>
      <c r="V110" t="s">
        <v>254</v>
      </c>
      <c r="X110">
        <v>1.0273972602739725E-2</v>
      </c>
      <c r="Y110">
        <v>1.2719091067299805E-2</v>
      </c>
      <c r="Z110" t="s">
        <v>305</v>
      </c>
      <c r="AA110" t="s">
        <v>25</v>
      </c>
      <c r="AC110" t="s">
        <v>22</v>
      </c>
      <c r="AD110" t="s">
        <v>305</v>
      </c>
      <c r="AE110">
        <v>1.1520369217820046E-2</v>
      </c>
      <c r="AG110" t="s">
        <v>97</v>
      </c>
      <c r="AH110" t="s">
        <v>305</v>
      </c>
      <c r="AI110">
        <v>6.9585259375130937E-2</v>
      </c>
    </row>
    <row r="111" spans="5:35" x14ac:dyDescent="0.45">
      <c r="E111" t="s">
        <v>515</v>
      </c>
      <c r="G111" t="s">
        <v>439</v>
      </c>
      <c r="I111" t="s">
        <v>252</v>
      </c>
      <c r="J111" t="s">
        <v>306</v>
      </c>
      <c r="K111">
        <v>9.1413712135646995E-3</v>
      </c>
      <c r="L111" t="s">
        <v>254</v>
      </c>
      <c r="N111" t="s">
        <v>422</v>
      </c>
      <c r="O111" t="s">
        <v>306</v>
      </c>
      <c r="P111">
        <v>3.7518861291754814E-3</v>
      </c>
      <c r="Q111" t="s">
        <v>254</v>
      </c>
      <c r="S111" t="s">
        <v>423</v>
      </c>
      <c r="T111" t="s">
        <v>306</v>
      </c>
      <c r="U111">
        <v>3.5812458448567083E-3</v>
      </c>
      <c r="V111" t="s">
        <v>254</v>
      </c>
      <c r="X111">
        <v>3.4246575342465752E-3</v>
      </c>
      <c r="Y111">
        <v>4.4651070283171336E-3</v>
      </c>
      <c r="Z111" t="s">
        <v>306</v>
      </c>
      <c r="AA111" t="s">
        <v>25</v>
      </c>
      <c r="AC111" t="s">
        <v>22</v>
      </c>
      <c r="AD111" t="s">
        <v>306</v>
      </c>
      <c r="AE111">
        <v>3.799901444926237E-3</v>
      </c>
      <c r="AG111" t="s">
        <v>97</v>
      </c>
      <c r="AH111" t="s">
        <v>306</v>
      </c>
      <c r="AI111">
        <v>7.5531060198747779E-2</v>
      </c>
    </row>
    <row r="112" spans="5:35" x14ac:dyDescent="0.45">
      <c r="E112" t="s">
        <v>516</v>
      </c>
      <c r="G112" t="s">
        <v>439</v>
      </c>
      <c r="I112" t="s">
        <v>252</v>
      </c>
      <c r="J112" t="s">
        <v>307</v>
      </c>
      <c r="K112">
        <v>1.7140077917634298E-2</v>
      </c>
      <c r="L112" t="s">
        <v>254</v>
      </c>
      <c r="N112" t="s">
        <v>422</v>
      </c>
      <c r="O112" t="s">
        <v>307</v>
      </c>
      <c r="P112">
        <v>7.8351823959872668E-3</v>
      </c>
      <c r="Q112" t="s">
        <v>254</v>
      </c>
      <c r="S112" t="s">
        <v>423</v>
      </c>
      <c r="T112" t="s">
        <v>307</v>
      </c>
      <c r="U112">
        <v>7.4052957927088084E-3</v>
      </c>
      <c r="V112" t="s">
        <v>254</v>
      </c>
      <c r="X112">
        <v>6.8493150684931503E-3</v>
      </c>
      <c r="Y112">
        <v>9.6860005469507522E-3</v>
      </c>
      <c r="Z112" t="s">
        <v>307</v>
      </c>
      <c r="AA112" t="s">
        <v>25</v>
      </c>
      <c r="AC112" t="s">
        <v>22</v>
      </c>
      <c r="AD112" t="s">
        <v>307</v>
      </c>
      <c r="AE112">
        <v>7.5712502051860425E-3</v>
      </c>
      <c r="AG112" t="s">
        <v>97</v>
      </c>
      <c r="AH112" t="s">
        <v>307</v>
      </c>
      <c r="AI112">
        <v>7.7040330198470786E-2</v>
      </c>
    </row>
    <row r="113" spans="5:35" x14ac:dyDescent="0.45">
      <c r="E113" t="s">
        <v>517</v>
      </c>
      <c r="G113" t="s">
        <v>439</v>
      </c>
      <c r="I113" t="s">
        <v>252</v>
      </c>
      <c r="J113" t="s">
        <v>308</v>
      </c>
      <c r="K113">
        <v>1.2811795978889037E-2</v>
      </c>
      <c r="L113" t="s">
        <v>254</v>
      </c>
      <c r="N113" t="s">
        <v>422</v>
      </c>
      <c r="O113" t="s">
        <v>308</v>
      </c>
      <c r="P113">
        <v>7.8732075451391336E-3</v>
      </c>
      <c r="Q113" t="s">
        <v>254</v>
      </c>
      <c r="S113" t="s">
        <v>423</v>
      </c>
      <c r="T113" t="s">
        <v>308</v>
      </c>
      <c r="U113">
        <v>7.6548170311039939E-3</v>
      </c>
      <c r="V113" t="s">
        <v>254</v>
      </c>
      <c r="X113">
        <v>6.8493150684931503E-3</v>
      </c>
      <c r="Y113">
        <v>1.3325709171369611E-2</v>
      </c>
      <c r="Z113" t="s">
        <v>308</v>
      </c>
      <c r="AA113" t="s">
        <v>25</v>
      </c>
      <c r="AC113" t="s">
        <v>22</v>
      </c>
      <c r="AD113" t="s">
        <v>308</v>
      </c>
      <c r="AE113">
        <v>7.5876233773084813E-3</v>
      </c>
      <c r="AG113" t="s">
        <v>97</v>
      </c>
      <c r="AH113" t="s">
        <v>308</v>
      </c>
      <c r="AI113">
        <v>7.4017133247418876E-2</v>
      </c>
    </row>
    <row r="114" spans="5:35" x14ac:dyDescent="0.45">
      <c r="E114" t="s">
        <v>518</v>
      </c>
      <c r="G114" t="s">
        <v>439</v>
      </c>
      <c r="I114" t="s">
        <v>252</v>
      </c>
      <c r="J114" t="s">
        <v>309</v>
      </c>
      <c r="K114">
        <v>4.9040794776632072E-3</v>
      </c>
      <c r="L114" t="s">
        <v>254</v>
      </c>
      <c r="N114" t="s">
        <v>422</v>
      </c>
      <c r="O114" t="s">
        <v>309</v>
      </c>
      <c r="P114">
        <v>2.3314738567736269E-2</v>
      </c>
      <c r="Q114" t="s">
        <v>254</v>
      </c>
      <c r="S114" t="s">
        <v>423</v>
      </c>
      <c r="T114" t="s">
        <v>309</v>
      </c>
      <c r="U114">
        <v>2.3608513409972137E-2</v>
      </c>
      <c r="V114" t="s">
        <v>254</v>
      </c>
      <c r="X114">
        <v>2.0547945205479451E-2</v>
      </c>
      <c r="Y114">
        <v>1.8099097531263209E-2</v>
      </c>
      <c r="Z114" t="s">
        <v>309</v>
      </c>
      <c r="AA114" t="s">
        <v>25</v>
      </c>
      <c r="AC114" t="s">
        <v>22</v>
      </c>
      <c r="AD114" t="s">
        <v>309</v>
      </c>
      <c r="AE114">
        <v>1.9725011261502445E-2</v>
      </c>
      <c r="AG114" t="s">
        <v>97</v>
      </c>
      <c r="AH114" t="s">
        <v>309</v>
      </c>
      <c r="AI114">
        <v>0.17311711242521777</v>
      </c>
    </row>
    <row r="115" spans="5:35" x14ac:dyDescent="0.45">
      <c r="E115" t="s">
        <v>519</v>
      </c>
      <c r="G115" t="s">
        <v>439</v>
      </c>
      <c r="I115" t="s">
        <v>252</v>
      </c>
      <c r="J115" t="s">
        <v>310</v>
      </c>
      <c r="K115">
        <v>3.7198364484186922E-3</v>
      </c>
      <c r="L115" t="s">
        <v>254</v>
      </c>
      <c r="N115" t="s">
        <v>422</v>
      </c>
      <c r="O115" t="s">
        <v>310</v>
      </c>
      <c r="P115">
        <v>2.3141827800676862E-2</v>
      </c>
      <c r="Q115" t="s">
        <v>254</v>
      </c>
      <c r="S115" t="s">
        <v>423</v>
      </c>
      <c r="T115" t="s">
        <v>310</v>
      </c>
      <c r="U115">
        <v>2.3855397916309983E-2</v>
      </c>
      <c r="V115" t="s">
        <v>254</v>
      </c>
      <c r="X115">
        <v>2.3972602739726026E-2</v>
      </c>
      <c r="Y115">
        <v>9.4672202471222967E-3</v>
      </c>
      <c r="Z115" t="s">
        <v>310</v>
      </c>
      <c r="AA115" t="s">
        <v>25</v>
      </c>
      <c r="AC115" t="s">
        <v>22</v>
      </c>
      <c r="AD115" t="s">
        <v>310</v>
      </c>
      <c r="AE115">
        <v>1.8757359454574709E-2</v>
      </c>
      <c r="AG115" t="s">
        <v>97</v>
      </c>
      <c r="AH115" t="s">
        <v>310</v>
      </c>
      <c r="AI115">
        <v>0.28095175213315726</v>
      </c>
    </row>
    <row r="116" spans="5:35" x14ac:dyDescent="0.45">
      <c r="E116" t="s">
        <v>520</v>
      </c>
      <c r="G116" t="s">
        <v>439</v>
      </c>
      <c r="I116" t="s">
        <v>252</v>
      </c>
      <c r="J116" t="s">
        <v>311</v>
      </c>
      <c r="K116">
        <v>5.3103860891898372E-3</v>
      </c>
      <c r="L116" t="s">
        <v>254</v>
      </c>
      <c r="N116" t="s">
        <v>422</v>
      </c>
      <c r="O116" t="s">
        <v>311</v>
      </c>
      <c r="P116">
        <v>3.2669494403835633E-3</v>
      </c>
      <c r="Q116" t="s">
        <v>254</v>
      </c>
      <c r="S116" t="s">
        <v>423</v>
      </c>
      <c r="T116" t="s">
        <v>311</v>
      </c>
      <c r="U116">
        <v>3.272516522947657E-3</v>
      </c>
      <c r="V116" t="s">
        <v>254</v>
      </c>
      <c r="X116">
        <v>3.4246575342465752E-3</v>
      </c>
      <c r="Y116">
        <v>5.7181214727892006E-3</v>
      </c>
      <c r="Z116" t="s">
        <v>311</v>
      </c>
      <c r="AA116" t="s">
        <v>25</v>
      </c>
      <c r="AC116" t="s">
        <v>22</v>
      </c>
      <c r="AD116" t="s">
        <v>311</v>
      </c>
      <c r="AE116">
        <v>3.5957364813694196E-3</v>
      </c>
      <c r="AG116" t="s">
        <v>97</v>
      </c>
      <c r="AH116" t="s">
        <v>311</v>
      </c>
      <c r="AI116">
        <v>7.8193507167671594E-2</v>
      </c>
    </row>
    <row r="117" spans="5:35" x14ac:dyDescent="0.45">
      <c r="E117" t="s">
        <v>521</v>
      </c>
      <c r="G117" t="s">
        <v>439</v>
      </c>
      <c r="I117" t="s">
        <v>252</v>
      </c>
      <c r="J117" t="s">
        <v>312</v>
      </c>
      <c r="K117">
        <v>1.5576045221788607E-2</v>
      </c>
      <c r="L117" t="s">
        <v>254</v>
      </c>
      <c r="N117" t="s">
        <v>422</v>
      </c>
      <c r="O117" t="s">
        <v>312</v>
      </c>
      <c r="P117">
        <v>6.5852305024471838E-3</v>
      </c>
      <c r="Q117" t="s">
        <v>254</v>
      </c>
      <c r="S117" t="s">
        <v>423</v>
      </c>
      <c r="T117" t="s">
        <v>312</v>
      </c>
      <c r="U117">
        <v>6.3651770996877221E-3</v>
      </c>
      <c r="V117" t="s">
        <v>254</v>
      </c>
      <c r="X117">
        <v>6.8493150684931503E-3</v>
      </c>
      <c r="Y117">
        <v>8.7114337568058101E-3</v>
      </c>
      <c r="Z117" t="s">
        <v>312</v>
      </c>
      <c r="AA117" t="s">
        <v>25</v>
      </c>
      <c r="AC117" t="s">
        <v>22</v>
      </c>
      <c r="AD117" t="s">
        <v>312</v>
      </c>
      <c r="AE117">
        <v>7.4206155449490193E-3</v>
      </c>
      <c r="AG117" t="s">
        <v>97</v>
      </c>
      <c r="AH117" t="s">
        <v>312</v>
      </c>
      <c r="AI117">
        <v>7.1730550225425516E-2</v>
      </c>
    </row>
    <row r="118" spans="5:35" x14ac:dyDescent="0.45">
      <c r="E118" t="s">
        <v>522</v>
      </c>
      <c r="G118" t="s">
        <v>439</v>
      </c>
      <c r="I118" t="s">
        <v>252</v>
      </c>
      <c r="J118" t="s">
        <v>313</v>
      </c>
      <c r="K118">
        <v>2.8677936640461501E-2</v>
      </c>
      <c r="L118" t="s">
        <v>254</v>
      </c>
      <c r="N118" t="s">
        <v>422</v>
      </c>
      <c r="O118" t="s">
        <v>313</v>
      </c>
      <c r="P118">
        <v>9.4733448250303234E-3</v>
      </c>
      <c r="Q118" t="s">
        <v>254</v>
      </c>
      <c r="S118" t="s">
        <v>423</v>
      </c>
      <c r="T118" t="s">
        <v>313</v>
      </c>
      <c r="U118">
        <v>9.1734338081178573E-3</v>
      </c>
      <c r="V118" t="s">
        <v>254</v>
      </c>
      <c r="X118">
        <v>1.0273972602739725E-2</v>
      </c>
      <c r="Y118">
        <v>1.2719091067299805E-2</v>
      </c>
      <c r="Z118" t="s">
        <v>313</v>
      </c>
      <c r="AA118" t="s">
        <v>25</v>
      </c>
      <c r="AC118" t="s">
        <v>22</v>
      </c>
      <c r="AD118" t="s">
        <v>313</v>
      </c>
      <c r="AE118">
        <v>1.1060382894782639E-2</v>
      </c>
      <c r="AG118" t="s">
        <v>97</v>
      </c>
      <c r="AH118" t="s">
        <v>313</v>
      </c>
      <c r="AI118">
        <v>7.3070749406427327E-2</v>
      </c>
    </row>
    <row r="119" spans="5:35" x14ac:dyDescent="0.45">
      <c r="E119" t="s">
        <v>523</v>
      </c>
      <c r="G119" t="s">
        <v>439</v>
      </c>
      <c r="I119" t="s">
        <v>252</v>
      </c>
      <c r="J119" t="s">
        <v>314</v>
      </c>
      <c r="K119">
        <v>9.4961490084065001E-3</v>
      </c>
      <c r="L119" t="s">
        <v>254</v>
      </c>
      <c r="N119" t="s">
        <v>422</v>
      </c>
      <c r="O119" t="s">
        <v>314</v>
      </c>
      <c r="P119">
        <v>3.3664117868135433E-3</v>
      </c>
      <c r="Q119" t="s">
        <v>254</v>
      </c>
      <c r="S119" t="s">
        <v>423</v>
      </c>
      <c r="T119" t="s">
        <v>314</v>
      </c>
      <c r="U119">
        <v>3.1824657610005228E-3</v>
      </c>
      <c r="V119" t="s">
        <v>254</v>
      </c>
      <c r="X119">
        <v>3.4246575342465752E-3</v>
      </c>
      <c r="Y119">
        <v>4.4651070283171336E-3</v>
      </c>
      <c r="Z119" t="s">
        <v>314</v>
      </c>
      <c r="AA119" t="s">
        <v>25</v>
      </c>
      <c r="AC119" t="s">
        <v>22</v>
      </c>
      <c r="AD119" t="s">
        <v>314</v>
      </c>
      <c r="AE119">
        <v>3.6488706596502513E-3</v>
      </c>
      <c r="AG119" t="s">
        <v>97</v>
      </c>
      <c r="AH119" t="s">
        <v>314</v>
      </c>
      <c r="AI119">
        <v>7.557435371384158E-2</v>
      </c>
    </row>
    <row r="120" spans="5:35" x14ac:dyDescent="0.45">
      <c r="E120" t="s">
        <v>524</v>
      </c>
      <c r="G120" t="s">
        <v>439</v>
      </c>
      <c r="I120" t="s">
        <v>252</v>
      </c>
      <c r="J120" t="s">
        <v>315</v>
      </c>
      <c r="K120">
        <v>1.75469090912076E-2</v>
      </c>
      <c r="L120" t="s">
        <v>254</v>
      </c>
      <c r="N120" t="s">
        <v>422</v>
      </c>
      <c r="O120" t="s">
        <v>315</v>
      </c>
      <c r="P120">
        <v>6.9911731141908831E-3</v>
      </c>
      <c r="Q120" t="s">
        <v>254</v>
      </c>
      <c r="S120" t="s">
        <v>423</v>
      </c>
      <c r="T120" t="s">
        <v>315</v>
      </c>
      <c r="U120">
        <v>6.6327164370889946E-3</v>
      </c>
      <c r="V120" t="s">
        <v>254</v>
      </c>
      <c r="X120">
        <v>6.8493150684931503E-3</v>
      </c>
      <c r="Y120">
        <v>9.6860005469507522E-3</v>
      </c>
      <c r="Z120" t="s">
        <v>315</v>
      </c>
      <c r="AA120" t="s">
        <v>25</v>
      </c>
      <c r="AC120" t="s">
        <v>22</v>
      </c>
      <c r="AD120" t="s">
        <v>315</v>
      </c>
      <c r="AE120">
        <v>7.2554620708431524E-3</v>
      </c>
      <c r="AG120" t="s">
        <v>97</v>
      </c>
      <c r="AH120" t="s">
        <v>315</v>
      </c>
      <c r="AI120">
        <v>7.8928481327651623E-2</v>
      </c>
    </row>
    <row r="121" spans="5:35" x14ac:dyDescent="0.45">
      <c r="E121" t="s">
        <v>525</v>
      </c>
      <c r="G121" t="s">
        <v>439</v>
      </c>
      <c r="I121" t="s">
        <v>252</v>
      </c>
      <c r="J121" t="s">
        <v>316</v>
      </c>
      <c r="K121">
        <v>1.3164371033725964E-2</v>
      </c>
      <c r="L121" t="s">
        <v>254</v>
      </c>
      <c r="N121" t="s">
        <v>422</v>
      </c>
      <c r="O121" t="s">
        <v>316</v>
      </c>
      <c r="P121">
        <v>6.9155994963220786E-3</v>
      </c>
      <c r="Q121" t="s">
        <v>254</v>
      </c>
      <c r="S121" t="s">
        <v>423</v>
      </c>
      <c r="T121" t="s">
        <v>316</v>
      </c>
      <c r="U121">
        <v>6.9118385733856046E-3</v>
      </c>
      <c r="V121" t="s">
        <v>254</v>
      </c>
      <c r="X121">
        <v>6.8493150684931503E-3</v>
      </c>
      <c r="Y121">
        <v>1.3325709171369611E-2</v>
      </c>
      <c r="Z121" t="s">
        <v>316</v>
      </c>
      <c r="AA121" t="s">
        <v>25</v>
      </c>
      <c r="AC121" t="s">
        <v>22</v>
      </c>
      <c r="AD121" t="s">
        <v>316</v>
      </c>
      <c r="AE121">
        <v>7.2658183643143186E-3</v>
      </c>
      <c r="AG121" t="s">
        <v>97</v>
      </c>
      <c r="AH121" t="s">
        <v>316</v>
      </c>
      <c r="AI121">
        <v>7.7631524724186107E-2</v>
      </c>
    </row>
    <row r="122" spans="5:35" x14ac:dyDescent="0.45">
      <c r="E122" t="s">
        <v>526</v>
      </c>
      <c r="G122" t="s">
        <v>439</v>
      </c>
      <c r="I122" t="s">
        <v>252</v>
      </c>
      <c r="J122" t="s">
        <v>317</v>
      </c>
      <c r="K122">
        <v>6.4296661092613531E-3</v>
      </c>
      <c r="L122" t="s">
        <v>254</v>
      </c>
      <c r="N122" t="s">
        <v>422</v>
      </c>
      <c r="O122" t="s">
        <v>317</v>
      </c>
      <c r="P122">
        <v>1.9929693899080957E-2</v>
      </c>
      <c r="Q122" t="s">
        <v>254</v>
      </c>
      <c r="S122" t="s">
        <v>423</v>
      </c>
      <c r="T122" t="s">
        <v>317</v>
      </c>
      <c r="U122">
        <v>2.0807254263984099E-2</v>
      </c>
      <c r="V122" t="s">
        <v>254</v>
      </c>
      <c r="X122">
        <v>2.0547945205479451E-2</v>
      </c>
      <c r="Y122">
        <v>1.8099097531263209E-2</v>
      </c>
      <c r="Z122" t="s">
        <v>317</v>
      </c>
      <c r="AA122" t="s">
        <v>25</v>
      </c>
      <c r="AC122" t="s">
        <v>22</v>
      </c>
      <c r="AD122" t="s">
        <v>317</v>
      </c>
      <c r="AE122">
        <v>1.9152999847620835E-2</v>
      </c>
      <c r="AG122" t="s">
        <v>97</v>
      </c>
      <c r="AH122" t="s">
        <v>317</v>
      </c>
      <c r="AI122">
        <v>0.1704762083752891</v>
      </c>
    </row>
    <row r="123" spans="5:35" x14ac:dyDescent="0.45">
      <c r="E123" t="s">
        <v>527</v>
      </c>
      <c r="G123" t="s">
        <v>439</v>
      </c>
      <c r="I123" t="s">
        <v>252</v>
      </c>
      <c r="J123" t="s">
        <v>655</v>
      </c>
      <c r="K123">
        <v>0</v>
      </c>
      <c r="L123" t="s">
        <v>254</v>
      </c>
      <c r="N123" t="s">
        <v>422</v>
      </c>
      <c r="O123" t="s">
        <v>655</v>
      </c>
      <c r="P123">
        <v>1.287236839412E-4</v>
      </c>
      <c r="Q123" t="s">
        <v>254</v>
      </c>
      <c r="S123" t="s">
        <v>423</v>
      </c>
      <c r="T123" t="s">
        <v>655</v>
      </c>
      <c r="U123">
        <v>1.5097048710969999E-4</v>
      </c>
      <c r="V123" t="s">
        <v>254</v>
      </c>
      <c r="X123">
        <v>1.1415525114155251E-4</v>
      </c>
      <c r="Y123">
        <v>2.1546544680075254E-5</v>
      </c>
      <c r="Z123" t="s">
        <v>655</v>
      </c>
      <c r="AA123" t="s">
        <v>25</v>
      </c>
      <c r="AC123" t="s">
        <v>22</v>
      </c>
      <c r="AD123" t="s">
        <v>655</v>
      </c>
      <c r="AE123">
        <v>8.3576334584994043E-5</v>
      </c>
      <c r="AG123" t="s">
        <v>97</v>
      </c>
      <c r="AH123" t="s">
        <v>655</v>
      </c>
      <c r="AI123">
        <v>0</v>
      </c>
    </row>
    <row r="124" spans="5:35" x14ac:dyDescent="0.45">
      <c r="E124" t="s">
        <v>528</v>
      </c>
      <c r="G124" t="s">
        <v>439</v>
      </c>
      <c r="I124" t="s">
        <v>252</v>
      </c>
      <c r="J124" t="s">
        <v>656</v>
      </c>
      <c r="K124">
        <v>0</v>
      </c>
      <c r="L124" t="s">
        <v>254</v>
      </c>
      <c r="N124" t="s">
        <v>422</v>
      </c>
      <c r="O124" t="s">
        <v>656</v>
      </c>
      <c r="P124">
        <v>1.2915860792809999E-4</v>
      </c>
      <c r="Q124" t="s">
        <v>254</v>
      </c>
      <c r="S124" t="s">
        <v>423</v>
      </c>
      <c r="T124" t="s">
        <v>656</v>
      </c>
      <c r="U124">
        <v>1.5302635140860001E-4</v>
      </c>
      <c r="V124" t="s">
        <v>254</v>
      </c>
      <c r="X124">
        <v>1.1415525114155251E-4</v>
      </c>
      <c r="Y124">
        <v>1.4916838624667481E-5</v>
      </c>
      <c r="Z124" t="s">
        <v>656</v>
      </c>
      <c r="AA124" t="s">
        <v>25</v>
      </c>
      <c r="AC124" t="s">
        <v>22</v>
      </c>
      <c r="AD124" t="s">
        <v>656</v>
      </c>
      <c r="AE124">
        <v>8.1505075890760716E-5</v>
      </c>
      <c r="AG124" t="s">
        <v>97</v>
      </c>
      <c r="AH124" t="s">
        <v>656</v>
      </c>
      <c r="AI124">
        <v>0</v>
      </c>
    </row>
    <row r="125" spans="5:35" x14ac:dyDescent="0.45">
      <c r="E125" t="s">
        <v>529</v>
      </c>
      <c r="G125" t="s">
        <v>439</v>
      </c>
      <c r="I125" t="s">
        <v>252</v>
      </c>
      <c r="J125" t="s">
        <v>657</v>
      </c>
      <c r="K125">
        <v>0</v>
      </c>
      <c r="L125" t="s">
        <v>254</v>
      </c>
      <c r="N125" t="s">
        <v>422</v>
      </c>
      <c r="O125" t="s">
        <v>657</v>
      </c>
      <c r="P125">
        <v>1.25538467786E-4</v>
      </c>
      <c r="Q125" t="s">
        <v>254</v>
      </c>
      <c r="S125" t="s">
        <v>423</v>
      </c>
      <c r="T125" t="s">
        <v>657</v>
      </c>
      <c r="U125">
        <v>1.5173235996480001E-4</v>
      </c>
      <c r="V125" t="s">
        <v>254</v>
      </c>
      <c r="X125">
        <v>1.1415525114155251E-4</v>
      </c>
      <c r="Y125">
        <v>1.6574265138519424E-5</v>
      </c>
      <c r="Z125" t="s">
        <v>657</v>
      </c>
      <c r="AA125" t="s">
        <v>25</v>
      </c>
      <c r="AC125" t="s">
        <v>22</v>
      </c>
      <c r="AD125" t="s">
        <v>657</v>
      </c>
      <c r="AE125">
        <v>8.1505075890760716E-5</v>
      </c>
      <c r="AG125" t="s">
        <v>97</v>
      </c>
      <c r="AH125" t="s">
        <v>657</v>
      </c>
      <c r="AI125">
        <v>0</v>
      </c>
    </row>
    <row r="126" spans="5:35" x14ac:dyDescent="0.45">
      <c r="E126" t="s">
        <v>530</v>
      </c>
      <c r="G126" t="s">
        <v>439</v>
      </c>
      <c r="I126" t="s">
        <v>252</v>
      </c>
      <c r="J126" t="s">
        <v>658</v>
      </c>
      <c r="K126">
        <v>0</v>
      </c>
      <c r="L126" t="s">
        <v>254</v>
      </c>
      <c r="N126" t="s">
        <v>422</v>
      </c>
      <c r="O126" t="s">
        <v>658</v>
      </c>
      <c r="P126">
        <v>1.1572893500469999E-4</v>
      </c>
      <c r="Q126" t="s">
        <v>254</v>
      </c>
      <c r="S126" t="s">
        <v>423</v>
      </c>
      <c r="T126" t="s">
        <v>658</v>
      </c>
      <c r="U126">
        <v>1.4439083735679999E-4</v>
      </c>
      <c r="V126" t="s">
        <v>254</v>
      </c>
      <c r="X126">
        <v>1.1415525114155251E-4</v>
      </c>
      <c r="Y126">
        <v>1.4585353321897093E-5</v>
      </c>
      <c r="Z126" t="s">
        <v>658</v>
      </c>
      <c r="AA126" t="s">
        <v>25</v>
      </c>
      <c r="AC126" t="s">
        <v>22</v>
      </c>
      <c r="AD126" t="s">
        <v>658</v>
      </c>
      <c r="AE126">
        <v>8.2589290318359391E-5</v>
      </c>
      <c r="AG126" t="s">
        <v>97</v>
      </c>
      <c r="AH126" t="s">
        <v>658</v>
      </c>
      <c r="AI126">
        <v>0</v>
      </c>
    </row>
    <row r="127" spans="5:35" x14ac:dyDescent="0.45">
      <c r="E127" t="s">
        <v>531</v>
      </c>
      <c r="G127" t="s">
        <v>439</v>
      </c>
      <c r="I127" t="s">
        <v>252</v>
      </c>
      <c r="J127" t="s">
        <v>659</v>
      </c>
      <c r="K127">
        <v>0</v>
      </c>
      <c r="L127" t="s">
        <v>254</v>
      </c>
      <c r="N127" t="s">
        <v>422</v>
      </c>
      <c r="O127" t="s">
        <v>659</v>
      </c>
      <c r="P127">
        <v>1.061134285212E-4</v>
      </c>
      <c r="Q127" t="s">
        <v>254</v>
      </c>
      <c r="S127" t="s">
        <v>423</v>
      </c>
      <c r="T127" t="s">
        <v>659</v>
      </c>
      <c r="U127">
        <v>1.3830691628010001E-4</v>
      </c>
      <c r="V127" t="s">
        <v>254</v>
      </c>
      <c r="X127">
        <v>1.1415525114155251E-4</v>
      </c>
      <c r="Y127">
        <v>2.1215059377304864E-5</v>
      </c>
      <c r="Z127" t="s">
        <v>659</v>
      </c>
      <c r="AA127" t="s">
        <v>25</v>
      </c>
      <c r="AC127" t="s">
        <v>22</v>
      </c>
      <c r="AD127" t="s">
        <v>659</v>
      </c>
      <c r="AE127">
        <v>9.1541730674545536E-5</v>
      </c>
      <c r="AG127" t="s">
        <v>97</v>
      </c>
      <c r="AH127" t="s">
        <v>659</v>
      </c>
      <c r="AI127">
        <v>0</v>
      </c>
    </row>
    <row r="128" spans="5:35" x14ac:dyDescent="0.45">
      <c r="E128" t="s">
        <v>532</v>
      </c>
      <c r="G128" t="s">
        <v>439</v>
      </c>
      <c r="I128" t="s">
        <v>252</v>
      </c>
      <c r="J128" t="s">
        <v>660</v>
      </c>
      <c r="K128">
        <v>3.253872454144057E-5</v>
      </c>
      <c r="L128" t="s">
        <v>254</v>
      </c>
      <c r="N128" t="s">
        <v>422</v>
      </c>
      <c r="O128" t="s">
        <v>660</v>
      </c>
      <c r="P128">
        <v>9.4202407603038416E-5</v>
      </c>
      <c r="Q128" t="s">
        <v>254</v>
      </c>
      <c r="S128" t="s">
        <v>423</v>
      </c>
      <c r="T128" t="s">
        <v>660</v>
      </c>
      <c r="U128">
        <v>1.330210591181E-4</v>
      </c>
      <c r="V128" t="s">
        <v>254</v>
      </c>
      <c r="X128">
        <v>1.1415525114155251E-4</v>
      </c>
      <c r="Y128">
        <v>5.7678442682047593E-5</v>
      </c>
      <c r="Z128" t="s">
        <v>660</v>
      </c>
      <c r="AA128" t="s">
        <v>25</v>
      </c>
      <c r="AC128" t="s">
        <v>22</v>
      </c>
      <c r="AD128" t="s">
        <v>660</v>
      </c>
      <c r="AE128">
        <v>1.0980972093578342E-4</v>
      </c>
      <c r="AG128" t="s">
        <v>97</v>
      </c>
      <c r="AH128" t="s">
        <v>660</v>
      </c>
      <c r="AI128">
        <v>0</v>
      </c>
    </row>
    <row r="129" spans="5:35" x14ac:dyDescent="0.45">
      <c r="E129" t="s">
        <v>533</v>
      </c>
      <c r="G129" t="s">
        <v>439</v>
      </c>
      <c r="I129" t="s">
        <v>252</v>
      </c>
      <c r="J129" t="s">
        <v>661</v>
      </c>
      <c r="K129">
        <v>1.698306901565E-4</v>
      </c>
      <c r="L129" t="s">
        <v>254</v>
      </c>
      <c r="N129" t="s">
        <v>422</v>
      </c>
      <c r="O129" t="s">
        <v>661</v>
      </c>
      <c r="P129">
        <v>9.14346242288505E-5</v>
      </c>
      <c r="Q129" t="s">
        <v>254</v>
      </c>
      <c r="S129" t="s">
        <v>423</v>
      </c>
      <c r="T129" t="s">
        <v>661</v>
      </c>
      <c r="U129">
        <v>1.307674220834E-4</v>
      </c>
      <c r="V129" t="s">
        <v>254</v>
      </c>
      <c r="X129">
        <v>1.1415525114155251E-4</v>
      </c>
      <c r="Y129">
        <v>1.6905750441289813E-4</v>
      </c>
      <c r="Z129" t="s">
        <v>661</v>
      </c>
      <c r="AA129" t="s">
        <v>25</v>
      </c>
      <c r="AC129" t="s">
        <v>22</v>
      </c>
      <c r="AD129" t="s">
        <v>661</v>
      </c>
      <c r="AE129">
        <v>1.2113771601659023E-4</v>
      </c>
      <c r="AG129" t="s">
        <v>97</v>
      </c>
      <c r="AH129" t="s">
        <v>661</v>
      </c>
      <c r="AI129">
        <v>0</v>
      </c>
    </row>
    <row r="130" spans="5:35" x14ac:dyDescent="0.45">
      <c r="E130" t="s">
        <v>534</v>
      </c>
      <c r="G130" t="s">
        <v>439</v>
      </c>
      <c r="I130" t="s">
        <v>252</v>
      </c>
      <c r="J130" t="s">
        <v>662</v>
      </c>
      <c r="K130">
        <v>2.609233992972E-4</v>
      </c>
      <c r="L130" t="s">
        <v>254</v>
      </c>
      <c r="N130" t="s">
        <v>422</v>
      </c>
      <c r="O130" t="s">
        <v>662</v>
      </c>
      <c r="P130">
        <v>9.2120689164757561E-5</v>
      </c>
      <c r="Q130" t="s">
        <v>254</v>
      </c>
      <c r="S130" t="s">
        <v>423</v>
      </c>
      <c r="T130" t="s">
        <v>662</v>
      </c>
      <c r="U130">
        <v>1.2767998914189999E-4</v>
      </c>
      <c r="V130" t="s">
        <v>254</v>
      </c>
      <c r="X130">
        <v>1.1415525114155251E-4</v>
      </c>
      <c r="Y130">
        <v>1.9060404909297337E-4</v>
      </c>
      <c r="Z130" t="s">
        <v>662</v>
      </c>
      <c r="AA130" t="s">
        <v>25</v>
      </c>
      <c r="AC130" t="s">
        <v>22</v>
      </c>
      <c r="AD130" t="s">
        <v>662</v>
      </c>
      <c r="AE130">
        <v>1.2851241981186041E-4</v>
      </c>
      <c r="AG130" t="s">
        <v>97</v>
      </c>
      <c r="AH130" t="s">
        <v>662</v>
      </c>
      <c r="AI130">
        <v>0</v>
      </c>
    </row>
    <row r="131" spans="5:35" x14ac:dyDescent="0.45">
      <c r="E131" t="s">
        <v>195</v>
      </c>
      <c r="G131" t="s">
        <v>441</v>
      </c>
      <c r="I131" t="s">
        <v>252</v>
      </c>
      <c r="J131" t="s">
        <v>663</v>
      </c>
      <c r="K131">
        <v>3.4176866843149998E-4</v>
      </c>
      <c r="L131" t="s">
        <v>254</v>
      </c>
      <c r="N131" t="s">
        <v>422</v>
      </c>
      <c r="O131" t="s">
        <v>663</v>
      </c>
      <c r="P131">
        <v>1.12880742096E-4</v>
      </c>
      <c r="Q131" t="s">
        <v>254</v>
      </c>
      <c r="S131" t="s">
        <v>423</v>
      </c>
      <c r="T131" t="s">
        <v>663</v>
      </c>
      <c r="U131">
        <v>1.31274882358E-4</v>
      </c>
      <c r="V131" t="s">
        <v>254</v>
      </c>
      <c r="X131">
        <v>1.1415525114155251E-4</v>
      </c>
      <c r="Y131">
        <v>1.4585353321897094E-4</v>
      </c>
      <c r="Z131" t="s">
        <v>663</v>
      </c>
      <c r="AA131" t="s">
        <v>25</v>
      </c>
      <c r="AC131" t="s">
        <v>22</v>
      </c>
      <c r="AD131" t="s">
        <v>663</v>
      </c>
      <c r="AE131">
        <v>1.3085473211299335E-4</v>
      </c>
      <c r="AG131" t="s">
        <v>97</v>
      </c>
      <c r="AH131" t="s">
        <v>663</v>
      </c>
      <c r="AI131">
        <v>0</v>
      </c>
    </row>
    <row r="132" spans="5:35" x14ac:dyDescent="0.45">
      <c r="E132" t="s">
        <v>196</v>
      </c>
      <c r="G132" t="s">
        <v>441</v>
      </c>
      <c r="I132" t="s">
        <v>252</v>
      </c>
      <c r="J132" t="s">
        <v>664</v>
      </c>
      <c r="K132">
        <v>3.7741924708040002E-4</v>
      </c>
      <c r="L132" t="s">
        <v>254</v>
      </c>
      <c r="N132" t="s">
        <v>422</v>
      </c>
      <c r="O132" t="s">
        <v>664</v>
      </c>
      <c r="P132">
        <v>1.2821898722520001E-4</v>
      </c>
      <c r="Q132" t="s">
        <v>254</v>
      </c>
      <c r="S132" t="s">
        <v>423</v>
      </c>
      <c r="T132" t="s">
        <v>664</v>
      </c>
      <c r="U132">
        <v>1.352446124388E-4</v>
      </c>
      <c r="V132" t="s">
        <v>254</v>
      </c>
      <c r="X132">
        <v>1.1415525114155251E-4</v>
      </c>
      <c r="Y132">
        <v>1.4452759200788939E-4</v>
      </c>
      <c r="Z132" t="s">
        <v>664</v>
      </c>
      <c r="AA132" t="s">
        <v>25</v>
      </c>
      <c r="AC132" t="s">
        <v>22</v>
      </c>
      <c r="AD132" t="s">
        <v>664</v>
      </c>
      <c r="AE132">
        <v>1.3091098852197254E-4</v>
      </c>
      <c r="AG132" t="s">
        <v>97</v>
      </c>
      <c r="AH132" t="s">
        <v>664</v>
      </c>
      <c r="AI132">
        <v>0</v>
      </c>
    </row>
    <row r="133" spans="5:35" x14ac:dyDescent="0.45">
      <c r="E133" t="s">
        <v>197</v>
      </c>
      <c r="G133" t="s">
        <v>441</v>
      </c>
      <c r="I133" t="s">
        <v>252</v>
      </c>
      <c r="J133" t="s">
        <v>665</v>
      </c>
      <c r="K133">
        <v>3.8386835404870002E-4</v>
      </c>
      <c r="L133" t="s">
        <v>254</v>
      </c>
      <c r="N133" t="s">
        <v>422</v>
      </c>
      <c r="O133" t="s">
        <v>665</v>
      </c>
      <c r="P133">
        <v>1.437829142126E-4</v>
      </c>
      <c r="Q133" t="s">
        <v>254</v>
      </c>
      <c r="S133" t="s">
        <v>423</v>
      </c>
      <c r="T133" t="s">
        <v>665</v>
      </c>
      <c r="U133">
        <v>1.4262598697980001E-4</v>
      </c>
      <c r="V133" t="s">
        <v>254</v>
      </c>
      <c r="X133">
        <v>1.1415525114155251E-4</v>
      </c>
      <c r="Y133">
        <v>1.408812536774151E-4</v>
      </c>
      <c r="Z133" t="s">
        <v>665</v>
      </c>
      <c r="AA133" t="s">
        <v>25</v>
      </c>
      <c r="AC133" t="s">
        <v>22</v>
      </c>
      <c r="AD133" t="s">
        <v>665</v>
      </c>
      <c r="AE133">
        <v>1.303970095126628E-4</v>
      </c>
      <c r="AG133" t="s">
        <v>97</v>
      </c>
      <c r="AH133" t="s">
        <v>665</v>
      </c>
      <c r="AI133">
        <v>0</v>
      </c>
    </row>
    <row r="134" spans="5:35" x14ac:dyDescent="0.45">
      <c r="E134" t="s">
        <v>198</v>
      </c>
      <c r="G134" t="s">
        <v>441</v>
      </c>
      <c r="I134" t="s">
        <v>252</v>
      </c>
      <c r="J134" t="s">
        <v>666</v>
      </c>
      <c r="K134">
        <v>3.9463675883810002E-4</v>
      </c>
      <c r="L134" t="s">
        <v>254</v>
      </c>
      <c r="N134" t="s">
        <v>422</v>
      </c>
      <c r="O134" t="s">
        <v>666</v>
      </c>
      <c r="P134">
        <v>1.553638799006E-4</v>
      </c>
      <c r="Q134" t="s">
        <v>254</v>
      </c>
      <c r="S134" t="s">
        <v>423</v>
      </c>
      <c r="T134" t="s">
        <v>666</v>
      </c>
      <c r="U134">
        <v>1.5360102811709999E-4</v>
      </c>
      <c r="V134" t="s">
        <v>254</v>
      </c>
      <c r="X134">
        <v>1.1415525114155251E-4</v>
      </c>
      <c r="Y134">
        <v>1.4054976837464471E-4</v>
      </c>
      <c r="Z134" t="s">
        <v>666</v>
      </c>
      <c r="AA134" t="s">
        <v>25</v>
      </c>
      <c r="AC134" t="s">
        <v>22</v>
      </c>
      <c r="AD134" t="s">
        <v>666</v>
      </c>
      <c r="AE134">
        <v>1.3012851301526219E-4</v>
      </c>
      <c r="AG134" t="s">
        <v>97</v>
      </c>
      <c r="AH134" t="s">
        <v>666</v>
      </c>
      <c r="AI134">
        <v>0</v>
      </c>
    </row>
    <row r="135" spans="5:35" x14ac:dyDescent="0.45">
      <c r="E135" t="s">
        <v>199</v>
      </c>
      <c r="G135" t="s">
        <v>441</v>
      </c>
      <c r="I135" t="s">
        <v>252</v>
      </c>
      <c r="J135" t="s">
        <v>667</v>
      </c>
      <c r="K135">
        <v>3.8985902953640001E-4</v>
      </c>
      <c r="L135" t="s">
        <v>254</v>
      </c>
      <c r="N135" t="s">
        <v>422</v>
      </c>
      <c r="O135" t="s">
        <v>667</v>
      </c>
      <c r="P135">
        <v>1.7379985595799999E-4</v>
      </c>
      <c r="Q135" t="s">
        <v>254</v>
      </c>
      <c r="S135" t="s">
        <v>423</v>
      </c>
      <c r="T135" t="s">
        <v>667</v>
      </c>
      <c r="U135">
        <v>1.665413363485E-4</v>
      </c>
      <c r="V135" t="s">
        <v>254</v>
      </c>
      <c r="X135">
        <v>1.1415525114155251E-4</v>
      </c>
      <c r="Y135">
        <v>1.4253868019126702E-4</v>
      </c>
      <c r="Z135" t="s">
        <v>667</v>
      </c>
      <c r="AA135" t="s">
        <v>25</v>
      </c>
      <c r="AC135" t="s">
        <v>22</v>
      </c>
      <c r="AD135" t="s">
        <v>667</v>
      </c>
      <c r="AE135">
        <v>1.291440258581266E-4</v>
      </c>
      <c r="AG135" t="s">
        <v>97</v>
      </c>
      <c r="AH135" t="s">
        <v>667</v>
      </c>
      <c r="AI135">
        <v>0</v>
      </c>
    </row>
    <row r="136" spans="5:35" x14ac:dyDescent="0.45">
      <c r="E136" t="s">
        <v>200</v>
      </c>
      <c r="G136" t="s">
        <v>441</v>
      </c>
      <c r="I136" t="s">
        <v>252</v>
      </c>
      <c r="J136" t="s">
        <v>668</v>
      </c>
      <c r="K136">
        <v>3.9179629451460002E-4</v>
      </c>
      <c r="L136" t="s">
        <v>254</v>
      </c>
      <c r="N136" t="s">
        <v>422</v>
      </c>
      <c r="O136" t="s">
        <v>668</v>
      </c>
      <c r="P136">
        <v>1.956960350473E-4</v>
      </c>
      <c r="Q136" t="s">
        <v>254</v>
      </c>
      <c r="S136" t="s">
        <v>423</v>
      </c>
      <c r="T136" t="s">
        <v>668</v>
      </c>
      <c r="U136">
        <v>1.735446979869E-4</v>
      </c>
      <c r="V136" t="s">
        <v>254</v>
      </c>
      <c r="X136">
        <v>1.1415525114155251E-4</v>
      </c>
      <c r="Y136">
        <v>1.4883690094390442E-4</v>
      </c>
      <c r="Z136" t="s">
        <v>668</v>
      </c>
      <c r="AA136" t="s">
        <v>25</v>
      </c>
      <c r="AC136" t="s">
        <v>22</v>
      </c>
      <c r="AD136" t="s">
        <v>668</v>
      </c>
      <c r="AE136">
        <v>1.2814163893449764E-4</v>
      </c>
      <c r="AG136" t="s">
        <v>97</v>
      </c>
      <c r="AH136" t="s">
        <v>668</v>
      </c>
      <c r="AI136">
        <v>0</v>
      </c>
    </row>
    <row r="137" spans="5:35" x14ac:dyDescent="0.45">
      <c r="E137" t="s">
        <v>201</v>
      </c>
      <c r="G137" t="s">
        <v>441</v>
      </c>
      <c r="I137" t="s">
        <v>252</v>
      </c>
      <c r="J137" t="s">
        <v>669</v>
      </c>
      <c r="K137">
        <v>3.7960314063260002E-4</v>
      </c>
      <c r="L137" t="s">
        <v>254</v>
      </c>
      <c r="N137" t="s">
        <v>422</v>
      </c>
      <c r="O137" t="s">
        <v>669</v>
      </c>
      <c r="P137">
        <v>1.9651240534230001E-4</v>
      </c>
      <c r="Q137" t="s">
        <v>254</v>
      </c>
      <c r="S137" t="s">
        <v>423</v>
      </c>
      <c r="T137" t="s">
        <v>669</v>
      </c>
      <c r="U137">
        <v>1.832968004166E-4</v>
      </c>
      <c r="V137" t="s">
        <v>254</v>
      </c>
      <c r="X137">
        <v>1.1415525114155251E-4</v>
      </c>
      <c r="Y137">
        <v>1.5049432745775637E-4</v>
      </c>
      <c r="Z137" t="s">
        <v>669</v>
      </c>
      <c r="AA137" t="s">
        <v>25</v>
      </c>
      <c r="AC137" t="s">
        <v>22</v>
      </c>
      <c r="AD137" t="s">
        <v>669</v>
      </c>
      <c r="AE137">
        <v>1.2676079980500877E-4</v>
      </c>
      <c r="AG137" t="s">
        <v>97</v>
      </c>
      <c r="AH137" t="s">
        <v>669</v>
      </c>
      <c r="AI137">
        <v>0</v>
      </c>
    </row>
    <row r="138" spans="5:35" x14ac:dyDescent="0.45">
      <c r="E138" t="s">
        <v>202</v>
      </c>
      <c r="G138" t="s">
        <v>441</v>
      </c>
      <c r="I138" t="s">
        <v>252</v>
      </c>
      <c r="J138" t="s">
        <v>670</v>
      </c>
      <c r="K138">
        <v>3.2973237791550001E-4</v>
      </c>
      <c r="L138" t="s">
        <v>254</v>
      </c>
      <c r="N138" t="s">
        <v>422</v>
      </c>
      <c r="O138" t="s">
        <v>670</v>
      </c>
      <c r="P138">
        <v>1.9585505295280001E-4</v>
      </c>
      <c r="Q138" t="s">
        <v>254</v>
      </c>
      <c r="S138" t="s">
        <v>423</v>
      </c>
      <c r="T138" t="s">
        <v>670</v>
      </c>
      <c r="U138">
        <v>1.9397204579509999E-4</v>
      </c>
      <c r="V138" t="s">
        <v>254</v>
      </c>
      <c r="X138">
        <v>1.1415525114155251E-4</v>
      </c>
      <c r="Y138">
        <v>1.7237235744060203E-4</v>
      </c>
      <c r="Z138" t="s">
        <v>670</v>
      </c>
      <c r="AA138" t="s">
        <v>25</v>
      </c>
      <c r="AC138" t="s">
        <v>22</v>
      </c>
      <c r="AD138" t="s">
        <v>670</v>
      </c>
      <c r="AE138">
        <v>1.2685029863747566E-4</v>
      </c>
      <c r="AG138" t="s">
        <v>97</v>
      </c>
      <c r="AH138" t="s">
        <v>670</v>
      </c>
      <c r="AI138">
        <v>0</v>
      </c>
    </row>
    <row r="139" spans="5:35" x14ac:dyDescent="0.45">
      <c r="E139" t="s">
        <v>203</v>
      </c>
      <c r="G139" t="s">
        <v>441</v>
      </c>
      <c r="I139" t="s">
        <v>252</v>
      </c>
      <c r="J139" t="s">
        <v>671</v>
      </c>
      <c r="K139">
        <v>2.6778846185969999E-4</v>
      </c>
      <c r="L139" t="s">
        <v>254</v>
      </c>
      <c r="N139" t="s">
        <v>422</v>
      </c>
      <c r="O139" t="s">
        <v>671</v>
      </c>
      <c r="P139">
        <v>2.004607452052E-4</v>
      </c>
      <c r="Q139" t="s">
        <v>254</v>
      </c>
      <c r="S139" t="s">
        <v>423</v>
      </c>
      <c r="T139" t="s">
        <v>671</v>
      </c>
      <c r="U139">
        <v>1.8633193743839999E-4</v>
      </c>
      <c r="V139" t="s">
        <v>254</v>
      </c>
      <c r="X139">
        <v>1.1415525114155251E-4</v>
      </c>
      <c r="Y139">
        <v>2.2209515285616027E-4</v>
      </c>
      <c r="Z139" t="s">
        <v>671</v>
      </c>
      <c r="AA139" t="s">
        <v>25</v>
      </c>
      <c r="AC139" t="s">
        <v>22</v>
      </c>
      <c r="AD139" t="s">
        <v>671</v>
      </c>
      <c r="AE139">
        <v>1.2649230330760819E-4</v>
      </c>
      <c r="AG139" t="s">
        <v>97</v>
      </c>
      <c r="AH139" t="s">
        <v>671</v>
      </c>
      <c r="AI139">
        <v>0</v>
      </c>
    </row>
    <row r="140" spans="5:35" x14ac:dyDescent="0.45">
      <c r="E140" t="s">
        <v>204</v>
      </c>
      <c r="G140" t="s">
        <v>441</v>
      </c>
      <c r="I140" t="s">
        <v>252</v>
      </c>
      <c r="J140" t="s">
        <v>672</v>
      </c>
      <c r="K140">
        <v>1.9545476081400001E-4</v>
      </c>
      <c r="L140" t="s">
        <v>254</v>
      </c>
      <c r="N140" t="s">
        <v>422</v>
      </c>
      <c r="O140" t="s">
        <v>672</v>
      </c>
      <c r="P140">
        <v>1.973939680818E-4</v>
      </c>
      <c r="Q140" t="s">
        <v>254</v>
      </c>
      <c r="S140" t="s">
        <v>423</v>
      </c>
      <c r="T140" t="s">
        <v>672</v>
      </c>
      <c r="U140">
        <v>1.9786007378719999E-4</v>
      </c>
      <c r="V140" t="s">
        <v>254</v>
      </c>
      <c r="X140">
        <v>1.1415525114155251E-4</v>
      </c>
      <c r="Y140">
        <v>2.2209515285616027E-4</v>
      </c>
      <c r="Z140" t="s">
        <v>672</v>
      </c>
      <c r="AA140" t="s">
        <v>25</v>
      </c>
      <c r="AC140" t="s">
        <v>22</v>
      </c>
      <c r="AD140" t="s">
        <v>672</v>
      </c>
      <c r="AE140">
        <v>1.2649230330760816E-4</v>
      </c>
      <c r="AG140" t="s">
        <v>97</v>
      </c>
      <c r="AH140" t="s">
        <v>672</v>
      </c>
      <c r="AI140">
        <v>0</v>
      </c>
    </row>
    <row r="141" spans="5:35" x14ac:dyDescent="0.45">
      <c r="E141" t="s">
        <v>205</v>
      </c>
      <c r="G141" t="s">
        <v>441</v>
      </c>
      <c r="I141" t="s">
        <v>252</v>
      </c>
      <c r="J141" t="s">
        <v>673</v>
      </c>
      <c r="K141">
        <v>1.3002888281430001E-4</v>
      </c>
      <c r="L141" t="s">
        <v>254</v>
      </c>
      <c r="N141" t="s">
        <v>422</v>
      </c>
      <c r="O141" t="s">
        <v>673</v>
      </c>
      <c r="P141">
        <v>2.1189321467090001E-4</v>
      </c>
      <c r="Q141" t="s">
        <v>254</v>
      </c>
      <c r="S141" t="s">
        <v>423</v>
      </c>
      <c r="T141" t="s">
        <v>673</v>
      </c>
      <c r="U141">
        <v>1.9864137136539999E-4</v>
      </c>
      <c r="V141" t="s">
        <v>254</v>
      </c>
      <c r="X141">
        <v>1.1415525114155251E-4</v>
      </c>
      <c r="Y141">
        <v>1.7237235744060203E-4</v>
      </c>
      <c r="Z141" t="s">
        <v>673</v>
      </c>
      <c r="AA141" t="s">
        <v>25</v>
      </c>
      <c r="AC141" t="s">
        <v>22</v>
      </c>
      <c r="AD141" t="s">
        <v>673</v>
      </c>
      <c r="AE141">
        <v>1.2595786742230599E-4</v>
      </c>
      <c r="AG141" t="s">
        <v>97</v>
      </c>
      <c r="AH141" t="s">
        <v>673</v>
      </c>
      <c r="AI141">
        <v>0</v>
      </c>
    </row>
    <row r="142" spans="5:35" x14ac:dyDescent="0.45">
      <c r="E142" t="s">
        <v>206</v>
      </c>
      <c r="G142" t="s">
        <v>441</v>
      </c>
      <c r="I142" t="s">
        <v>252</v>
      </c>
      <c r="J142" t="s">
        <v>674</v>
      </c>
      <c r="K142">
        <v>3.8966423612431421E-5</v>
      </c>
      <c r="L142" t="s">
        <v>254</v>
      </c>
      <c r="N142" t="s">
        <v>422</v>
      </c>
      <c r="O142" t="s">
        <v>674</v>
      </c>
      <c r="P142">
        <v>2.1945123983390001E-4</v>
      </c>
      <c r="Q142" t="s">
        <v>254</v>
      </c>
      <c r="S142" t="s">
        <v>423</v>
      </c>
      <c r="T142" t="s">
        <v>674</v>
      </c>
      <c r="U142">
        <v>2.040846359682E-4</v>
      </c>
      <c r="V142" t="s">
        <v>254</v>
      </c>
      <c r="X142">
        <v>1.1415525114155251E-4</v>
      </c>
      <c r="Y142">
        <v>1.5579809230208258E-4</v>
      </c>
      <c r="Z142" t="s">
        <v>674</v>
      </c>
      <c r="AA142" t="s">
        <v>25</v>
      </c>
      <c r="AC142" t="s">
        <v>22</v>
      </c>
      <c r="AD142" t="s">
        <v>674</v>
      </c>
      <c r="AE142">
        <v>1.2391217982306323E-4</v>
      </c>
      <c r="AG142" t="s">
        <v>97</v>
      </c>
      <c r="AH142" t="s">
        <v>674</v>
      </c>
      <c r="AI142">
        <v>0</v>
      </c>
    </row>
    <row r="143" spans="5:35" x14ac:dyDescent="0.45">
      <c r="E143" t="s">
        <v>207</v>
      </c>
      <c r="G143" t="s">
        <v>441</v>
      </c>
      <c r="I143" t="s">
        <v>252</v>
      </c>
      <c r="J143" t="s">
        <v>675</v>
      </c>
      <c r="K143">
        <v>0</v>
      </c>
      <c r="L143" t="s">
        <v>254</v>
      </c>
      <c r="N143" t="s">
        <v>422</v>
      </c>
      <c r="O143" t="s">
        <v>675</v>
      </c>
      <c r="P143">
        <v>2.2584394715550001E-4</v>
      </c>
      <c r="Q143" t="s">
        <v>254</v>
      </c>
      <c r="S143" t="s">
        <v>423</v>
      </c>
      <c r="T143" t="s">
        <v>675</v>
      </c>
      <c r="U143">
        <v>2.028783226309E-4</v>
      </c>
      <c r="V143" t="s">
        <v>254</v>
      </c>
      <c r="X143">
        <v>1.1415525114155251E-4</v>
      </c>
      <c r="Y143">
        <v>1.093901499142282E-4</v>
      </c>
      <c r="Z143" t="s">
        <v>675</v>
      </c>
      <c r="AA143" t="s">
        <v>25</v>
      </c>
      <c r="AC143" t="s">
        <v>22</v>
      </c>
      <c r="AD143" t="s">
        <v>675</v>
      </c>
      <c r="AE143">
        <v>1.176447044408832E-4</v>
      </c>
      <c r="AG143" t="s">
        <v>97</v>
      </c>
      <c r="AH143" t="s">
        <v>675</v>
      </c>
      <c r="AI143">
        <v>0</v>
      </c>
    </row>
    <row r="144" spans="5:35" x14ac:dyDescent="0.45">
      <c r="E144" t="s">
        <v>208</v>
      </c>
      <c r="G144" t="s">
        <v>441</v>
      </c>
      <c r="I144" t="s">
        <v>252</v>
      </c>
      <c r="J144" t="s">
        <v>676</v>
      </c>
      <c r="K144">
        <v>0</v>
      </c>
      <c r="L144" t="s">
        <v>254</v>
      </c>
      <c r="N144" t="s">
        <v>422</v>
      </c>
      <c r="O144" t="s">
        <v>676</v>
      </c>
      <c r="P144">
        <v>2.2539315081180001E-4</v>
      </c>
      <c r="Q144" t="s">
        <v>254</v>
      </c>
      <c r="S144" t="s">
        <v>423</v>
      </c>
      <c r="T144" t="s">
        <v>676</v>
      </c>
      <c r="U144">
        <v>2.0335880435769999E-4</v>
      </c>
      <c r="V144" t="s">
        <v>254</v>
      </c>
      <c r="X144">
        <v>1.1415525114155251E-4</v>
      </c>
      <c r="Y144">
        <v>7.9556472664893237E-5</v>
      </c>
      <c r="Z144" t="s">
        <v>676</v>
      </c>
      <c r="AA144" t="s">
        <v>25</v>
      </c>
      <c r="AC144" t="s">
        <v>22</v>
      </c>
      <c r="AD144" t="s">
        <v>676</v>
      </c>
      <c r="AE144">
        <v>1.1084790739239911E-4</v>
      </c>
      <c r="AG144" t="s">
        <v>97</v>
      </c>
      <c r="AH144" t="s">
        <v>676</v>
      </c>
      <c r="AI144">
        <v>0</v>
      </c>
    </row>
    <row r="145" spans="5:35" x14ac:dyDescent="0.45">
      <c r="E145" t="s">
        <v>209</v>
      </c>
      <c r="G145" t="s">
        <v>441</v>
      </c>
      <c r="I145" t="s">
        <v>252</v>
      </c>
      <c r="J145" t="s">
        <v>677</v>
      </c>
      <c r="K145">
        <v>0</v>
      </c>
      <c r="L145" t="s">
        <v>254</v>
      </c>
      <c r="N145" t="s">
        <v>422</v>
      </c>
      <c r="O145" t="s">
        <v>677</v>
      </c>
      <c r="P145">
        <v>2.1909817479160001E-4</v>
      </c>
      <c r="Q145" t="s">
        <v>254</v>
      </c>
      <c r="S145" t="s">
        <v>423</v>
      </c>
      <c r="T145" t="s">
        <v>677</v>
      </c>
      <c r="U145">
        <v>2.040555259872E-4</v>
      </c>
      <c r="V145" t="s">
        <v>254</v>
      </c>
      <c r="X145">
        <v>1.1415525114155251E-4</v>
      </c>
      <c r="Y145">
        <v>5.6352501470966035E-5</v>
      </c>
      <c r="Z145" t="s">
        <v>677</v>
      </c>
      <c r="AA145" t="s">
        <v>25</v>
      </c>
      <c r="AC145" t="s">
        <v>22</v>
      </c>
      <c r="AD145" t="s">
        <v>677</v>
      </c>
      <c r="AE145">
        <v>9.6052471830875824E-5</v>
      </c>
      <c r="AG145" t="s">
        <v>97</v>
      </c>
      <c r="AH145" t="s">
        <v>677</v>
      </c>
      <c r="AI145">
        <v>0</v>
      </c>
    </row>
    <row r="146" spans="5:35" x14ac:dyDescent="0.45">
      <c r="E146" t="s">
        <v>210</v>
      </c>
      <c r="G146" t="s">
        <v>441</v>
      </c>
      <c r="I146" t="s">
        <v>252</v>
      </c>
      <c r="J146" t="s">
        <v>678</v>
      </c>
      <c r="K146">
        <v>0</v>
      </c>
      <c r="L146" t="s">
        <v>254</v>
      </c>
      <c r="N146" t="s">
        <v>422</v>
      </c>
      <c r="O146" t="s">
        <v>678</v>
      </c>
      <c r="P146">
        <v>2.1316766693040001E-4</v>
      </c>
      <c r="Q146" t="s">
        <v>254</v>
      </c>
      <c r="S146" t="s">
        <v>423</v>
      </c>
      <c r="T146" t="s">
        <v>678</v>
      </c>
      <c r="U146">
        <v>2.050207451722E-4</v>
      </c>
      <c r="V146" t="s">
        <v>254</v>
      </c>
      <c r="X146">
        <v>1.1415525114155251E-4</v>
      </c>
      <c r="Y146">
        <v>2.9833677249334962E-5</v>
      </c>
      <c r="Z146" t="s">
        <v>678</v>
      </c>
      <c r="AA146" t="s">
        <v>25</v>
      </c>
      <c r="AC146" t="s">
        <v>22</v>
      </c>
      <c r="AD146" t="s">
        <v>678</v>
      </c>
      <c r="AE146">
        <v>8.9565085031777206E-5</v>
      </c>
      <c r="AG146" t="s">
        <v>97</v>
      </c>
      <c r="AH146" t="s">
        <v>678</v>
      </c>
      <c r="AI146">
        <v>0</v>
      </c>
    </row>
    <row r="147" spans="5:35" x14ac:dyDescent="0.45">
      <c r="E147" t="s">
        <v>211</v>
      </c>
      <c r="G147" t="s">
        <v>441</v>
      </c>
      <c r="I147" t="s">
        <v>252</v>
      </c>
      <c r="J147" t="s">
        <v>318</v>
      </c>
      <c r="K147">
        <v>5.3130882821773064E-3</v>
      </c>
      <c r="L147" t="s">
        <v>254</v>
      </c>
      <c r="N147" t="s">
        <v>422</v>
      </c>
      <c r="O147" t="s">
        <v>318</v>
      </c>
      <c r="P147">
        <v>2.3105401938735025E-2</v>
      </c>
      <c r="Q147" t="s">
        <v>254</v>
      </c>
      <c r="S147" t="s">
        <v>423</v>
      </c>
      <c r="T147" t="s">
        <v>318</v>
      </c>
      <c r="U147">
        <v>2.4662653413541E-2</v>
      </c>
      <c r="V147" t="s">
        <v>254</v>
      </c>
      <c r="X147">
        <v>2.3173515981735161E-2</v>
      </c>
      <c r="Y147">
        <v>9.151646238884887E-3</v>
      </c>
      <c r="Z147" t="s">
        <v>318</v>
      </c>
      <c r="AA147" t="s">
        <v>25</v>
      </c>
      <c r="AC147" t="s">
        <v>22</v>
      </c>
      <c r="AD147" t="s">
        <v>318</v>
      </c>
      <c r="AE147">
        <v>1.6872522505151397E-2</v>
      </c>
      <c r="AG147" t="s">
        <v>97</v>
      </c>
      <c r="AH147" t="s">
        <v>318</v>
      </c>
      <c r="AI147">
        <v>0.2515717169293743</v>
      </c>
    </row>
    <row r="148" spans="5:35" x14ac:dyDescent="0.45">
      <c r="E148" t="s">
        <v>212</v>
      </c>
      <c r="G148" t="s">
        <v>441</v>
      </c>
      <c r="I148" t="s">
        <v>252</v>
      </c>
      <c r="J148" t="s">
        <v>319</v>
      </c>
      <c r="K148">
        <v>5.8746110931034729E-3</v>
      </c>
      <c r="L148" t="s">
        <v>254</v>
      </c>
      <c r="N148" t="s">
        <v>422</v>
      </c>
      <c r="O148" t="s">
        <v>319</v>
      </c>
      <c r="P148">
        <v>3.0443884847182554E-3</v>
      </c>
      <c r="Q148" t="s">
        <v>254</v>
      </c>
      <c r="S148" t="s">
        <v>423</v>
      </c>
      <c r="T148" t="s">
        <v>319</v>
      </c>
      <c r="U148">
        <v>3.2967885165502663E-3</v>
      </c>
      <c r="V148" t="s">
        <v>254</v>
      </c>
      <c r="X148">
        <v>3.3105022831050228E-3</v>
      </c>
      <c r="Y148">
        <v>5.5275174236962274E-3</v>
      </c>
      <c r="Z148" t="s">
        <v>319</v>
      </c>
      <c r="AA148" t="s">
        <v>25</v>
      </c>
      <c r="AC148" t="s">
        <v>22</v>
      </c>
      <c r="AD148" t="s">
        <v>319</v>
      </c>
      <c r="AE148">
        <v>3.1922879125536167E-3</v>
      </c>
      <c r="AG148" t="s">
        <v>97</v>
      </c>
      <c r="AH148" t="s">
        <v>319</v>
      </c>
      <c r="AI148">
        <v>8.9104448570437311E-2</v>
      </c>
    </row>
    <row r="149" spans="5:35" x14ac:dyDescent="0.45">
      <c r="E149" t="s">
        <v>213</v>
      </c>
      <c r="G149" t="s">
        <v>441</v>
      </c>
      <c r="I149" t="s">
        <v>252</v>
      </c>
      <c r="J149" t="s">
        <v>320</v>
      </c>
      <c r="K149">
        <v>1.64485404283705E-2</v>
      </c>
      <c r="L149" t="s">
        <v>254</v>
      </c>
      <c r="N149" t="s">
        <v>422</v>
      </c>
      <c r="O149" t="s">
        <v>320</v>
      </c>
      <c r="P149">
        <v>5.9964149540601263E-3</v>
      </c>
      <c r="Q149" t="s">
        <v>254</v>
      </c>
      <c r="S149" t="s">
        <v>423</v>
      </c>
      <c r="T149" t="s">
        <v>320</v>
      </c>
      <c r="U149">
        <v>6.303761927910153E-3</v>
      </c>
      <c r="V149" t="s">
        <v>254</v>
      </c>
      <c r="X149">
        <v>6.6210045662100456E-3</v>
      </c>
      <c r="Y149">
        <v>8.4210526315789489E-3</v>
      </c>
      <c r="Z149" t="s">
        <v>320</v>
      </c>
      <c r="AA149" t="s">
        <v>25</v>
      </c>
      <c r="AC149" t="s">
        <v>22</v>
      </c>
      <c r="AD149" t="s">
        <v>320</v>
      </c>
      <c r="AE149">
        <v>6.7979939462572015E-3</v>
      </c>
      <c r="AG149" t="s">
        <v>97</v>
      </c>
      <c r="AH149" t="s">
        <v>320</v>
      </c>
      <c r="AI149">
        <v>8.2015317613576944E-2</v>
      </c>
    </row>
    <row r="150" spans="5:35" x14ac:dyDescent="0.45">
      <c r="E150" t="s">
        <v>214</v>
      </c>
      <c r="G150" t="s">
        <v>441</v>
      </c>
      <c r="I150" t="s">
        <v>252</v>
      </c>
      <c r="J150" t="s">
        <v>321</v>
      </c>
      <c r="K150">
        <v>2.9693771726741001E-2</v>
      </c>
      <c r="L150" t="s">
        <v>254</v>
      </c>
      <c r="N150" t="s">
        <v>422</v>
      </c>
      <c r="O150" t="s">
        <v>321</v>
      </c>
      <c r="P150">
        <v>8.7579712490890443E-3</v>
      </c>
      <c r="Q150" t="s">
        <v>254</v>
      </c>
      <c r="S150" t="s">
        <v>423</v>
      </c>
      <c r="T150" t="s">
        <v>321</v>
      </c>
      <c r="U150">
        <v>8.9521641073438372E-3</v>
      </c>
      <c r="V150" t="s">
        <v>254</v>
      </c>
      <c r="X150">
        <v>9.9315068493150693E-3</v>
      </c>
      <c r="Y150">
        <v>1.2295121365056482E-2</v>
      </c>
      <c r="Z150" t="s">
        <v>321</v>
      </c>
      <c r="AA150" t="s">
        <v>25</v>
      </c>
      <c r="AC150" t="s">
        <v>22</v>
      </c>
      <c r="AD150" t="s">
        <v>321</v>
      </c>
      <c r="AE150">
        <v>1.0237416263456339E-2</v>
      </c>
      <c r="AG150" t="s">
        <v>97</v>
      </c>
      <c r="AH150" t="s">
        <v>321</v>
      </c>
      <c r="AI150">
        <v>9.2473658604806053E-2</v>
      </c>
    </row>
    <row r="151" spans="5:35" x14ac:dyDescent="0.45">
      <c r="E151" t="s">
        <v>215</v>
      </c>
      <c r="G151" t="s">
        <v>441</v>
      </c>
      <c r="I151" t="s">
        <v>252</v>
      </c>
      <c r="J151" t="s">
        <v>322</v>
      </c>
      <c r="K151">
        <v>9.9479380159764007E-3</v>
      </c>
      <c r="L151" t="s">
        <v>254</v>
      </c>
      <c r="N151" t="s">
        <v>422</v>
      </c>
      <c r="O151" t="s">
        <v>322</v>
      </c>
      <c r="P151">
        <v>3.1886434785906533E-3</v>
      </c>
      <c r="Q151" t="s">
        <v>254</v>
      </c>
      <c r="S151" t="s">
        <v>423</v>
      </c>
      <c r="T151" t="s">
        <v>322</v>
      </c>
      <c r="U151">
        <v>3.2117891377322571E-3</v>
      </c>
      <c r="V151" t="s">
        <v>254</v>
      </c>
      <c r="X151">
        <v>3.3105022831050228E-3</v>
      </c>
      <c r="Y151">
        <v>4.3162701273732288E-3</v>
      </c>
      <c r="Z151" t="s">
        <v>322</v>
      </c>
      <c r="AA151" t="s">
        <v>25</v>
      </c>
      <c r="AC151" t="s">
        <v>22</v>
      </c>
      <c r="AD151" t="s">
        <v>322</v>
      </c>
      <c r="AE151">
        <v>3.3858892298364528E-3</v>
      </c>
      <c r="AG151" t="s">
        <v>97</v>
      </c>
      <c r="AH151" t="s">
        <v>322</v>
      </c>
      <c r="AI151">
        <v>9.6584841357892692E-2</v>
      </c>
    </row>
    <row r="152" spans="5:35" x14ac:dyDescent="0.45">
      <c r="E152" t="s">
        <v>216</v>
      </c>
      <c r="G152" t="s">
        <v>441</v>
      </c>
      <c r="I152" t="s">
        <v>252</v>
      </c>
      <c r="J152" t="s">
        <v>323</v>
      </c>
      <c r="K152">
        <v>1.8458908696193901E-2</v>
      </c>
      <c r="L152" t="s">
        <v>254</v>
      </c>
      <c r="N152" t="s">
        <v>422</v>
      </c>
      <c r="O152" t="s">
        <v>323</v>
      </c>
      <c r="P152">
        <v>6.6918257774767611E-3</v>
      </c>
      <c r="Q152" t="s">
        <v>254</v>
      </c>
      <c r="S152" t="s">
        <v>423</v>
      </c>
      <c r="T152" t="s">
        <v>323</v>
      </c>
      <c r="U152">
        <v>6.8057749865150933E-3</v>
      </c>
      <c r="V152" t="s">
        <v>254</v>
      </c>
      <c r="X152">
        <v>6.6210045662100456E-3</v>
      </c>
      <c r="Y152">
        <v>9.3631338620523939E-3</v>
      </c>
      <c r="Z152" t="s">
        <v>323</v>
      </c>
      <c r="AA152" t="s">
        <v>25</v>
      </c>
      <c r="AC152" t="s">
        <v>22</v>
      </c>
      <c r="AD152" t="s">
        <v>323</v>
      </c>
      <c r="AE152">
        <v>6.7118577127815863E-3</v>
      </c>
      <c r="AG152" t="s">
        <v>97</v>
      </c>
      <c r="AH152" t="s">
        <v>323</v>
      </c>
      <c r="AI152">
        <v>9.3931621541696986E-2</v>
      </c>
    </row>
    <row r="153" spans="5:35" x14ac:dyDescent="0.45">
      <c r="E153" t="s">
        <v>217</v>
      </c>
      <c r="G153" t="s">
        <v>441</v>
      </c>
      <c r="I153" t="s">
        <v>252</v>
      </c>
      <c r="J153" t="s">
        <v>324</v>
      </c>
      <c r="K153">
        <v>1.4408692702616485E-2</v>
      </c>
      <c r="L153" t="s">
        <v>254</v>
      </c>
      <c r="N153" t="s">
        <v>422</v>
      </c>
      <c r="O153" t="s">
        <v>324</v>
      </c>
      <c r="P153">
        <v>6.8106094245303818E-3</v>
      </c>
      <c r="Q153" t="s">
        <v>254</v>
      </c>
      <c r="S153" t="s">
        <v>423</v>
      </c>
      <c r="T153" t="s">
        <v>324</v>
      </c>
      <c r="U153">
        <v>6.9980421937943463E-3</v>
      </c>
      <c r="V153" t="s">
        <v>254</v>
      </c>
      <c r="X153">
        <v>6.6210045662100456E-3</v>
      </c>
      <c r="Y153">
        <v>1.2881518865657292E-2</v>
      </c>
      <c r="Z153" t="s">
        <v>324</v>
      </c>
      <c r="AA153" t="s">
        <v>25</v>
      </c>
      <c r="AC153" t="s">
        <v>22</v>
      </c>
      <c r="AD153" t="s">
        <v>324</v>
      </c>
      <c r="AE153">
        <v>6.6807658183825952E-3</v>
      </c>
      <c r="AG153" t="s">
        <v>97</v>
      </c>
      <c r="AH153" t="s">
        <v>324</v>
      </c>
      <c r="AI153">
        <v>9.3000054983332081E-2</v>
      </c>
    </row>
    <row r="154" spans="5:35" x14ac:dyDescent="0.45">
      <c r="E154" t="s">
        <v>218</v>
      </c>
      <c r="G154" t="s">
        <v>441</v>
      </c>
      <c r="I154" t="s">
        <v>252</v>
      </c>
      <c r="J154" t="s">
        <v>325</v>
      </c>
      <c r="K154">
        <v>8.1044631261844545E-3</v>
      </c>
      <c r="L154" t="s">
        <v>254</v>
      </c>
      <c r="N154" t="s">
        <v>422</v>
      </c>
      <c r="O154" t="s">
        <v>325</v>
      </c>
      <c r="P154">
        <v>2.0093413502942595E-2</v>
      </c>
      <c r="Q154" t="s">
        <v>254</v>
      </c>
      <c r="S154" t="s">
        <v>423</v>
      </c>
      <c r="T154" t="s">
        <v>325</v>
      </c>
      <c r="U154">
        <v>2.1269432207235359E-2</v>
      </c>
      <c r="V154" t="s">
        <v>254</v>
      </c>
      <c r="X154">
        <v>1.9863013698630139E-2</v>
      </c>
      <c r="Y154">
        <v>1.7495794280221105E-2</v>
      </c>
      <c r="Z154" t="s">
        <v>325</v>
      </c>
      <c r="AA154" t="s">
        <v>25</v>
      </c>
      <c r="AC154" t="s">
        <v>22</v>
      </c>
      <c r="AD154" t="s">
        <v>325</v>
      </c>
      <c r="AE154">
        <v>1.7892926737046899E-2</v>
      </c>
      <c r="AG154" t="s">
        <v>97</v>
      </c>
      <c r="AH154" t="s">
        <v>325</v>
      </c>
      <c r="AI154">
        <v>0.17676358069015286</v>
      </c>
    </row>
    <row r="155" spans="5:35" x14ac:dyDescent="0.45">
      <c r="E155" t="s">
        <v>535</v>
      </c>
      <c r="G155" t="s">
        <v>443</v>
      </c>
      <c r="I155" t="s">
        <v>252</v>
      </c>
      <c r="J155" t="s">
        <v>679</v>
      </c>
      <c r="K155">
        <v>0</v>
      </c>
      <c r="L155" t="s">
        <v>254</v>
      </c>
      <c r="N155" t="s">
        <v>422</v>
      </c>
      <c r="O155" t="s">
        <v>679</v>
      </c>
      <c r="P155">
        <v>9.584810172261794E-5</v>
      </c>
      <c r="Q155" t="s">
        <v>254</v>
      </c>
      <c r="S155" t="s">
        <v>423</v>
      </c>
      <c r="T155" t="s">
        <v>679</v>
      </c>
      <c r="U155">
        <v>6.7620803584636123E-5</v>
      </c>
      <c r="V155" t="s">
        <v>254</v>
      </c>
      <c r="X155">
        <v>1.1415525114155251E-4</v>
      </c>
      <c r="Y155">
        <v>2.1546544680075254E-5</v>
      </c>
      <c r="Z155" t="s">
        <v>679</v>
      </c>
      <c r="AA155" t="s">
        <v>25</v>
      </c>
      <c r="AC155" t="s">
        <v>22</v>
      </c>
      <c r="AD155" t="s">
        <v>679</v>
      </c>
      <c r="AE155">
        <v>7.9778644967771757E-5</v>
      </c>
      <c r="AG155" t="s">
        <v>97</v>
      </c>
      <c r="AH155" t="s">
        <v>679</v>
      </c>
      <c r="AI155">
        <v>0</v>
      </c>
    </row>
    <row r="156" spans="5:35" x14ac:dyDescent="0.45">
      <c r="E156" t="s">
        <v>536</v>
      </c>
      <c r="G156" t="s">
        <v>443</v>
      </c>
      <c r="I156" t="s">
        <v>252</v>
      </c>
      <c r="J156" t="s">
        <v>680</v>
      </c>
      <c r="K156">
        <v>0</v>
      </c>
      <c r="L156" t="s">
        <v>254</v>
      </c>
      <c r="N156" t="s">
        <v>422</v>
      </c>
      <c r="O156" t="s">
        <v>680</v>
      </c>
      <c r="P156">
        <v>9.7969105253993099E-5</v>
      </c>
      <c r="Q156" t="s">
        <v>254</v>
      </c>
      <c r="S156" t="s">
        <v>423</v>
      </c>
      <c r="T156" t="s">
        <v>680</v>
      </c>
      <c r="U156">
        <v>7.2489365452301359E-5</v>
      </c>
      <c r="V156" t="s">
        <v>254</v>
      </c>
      <c r="X156">
        <v>1.1415525114155251E-4</v>
      </c>
      <c r="Y156">
        <v>1.4916838624667481E-5</v>
      </c>
      <c r="Z156" t="s">
        <v>680</v>
      </c>
      <c r="AA156" t="s">
        <v>25</v>
      </c>
      <c r="AC156" t="s">
        <v>22</v>
      </c>
      <c r="AD156" t="s">
        <v>680</v>
      </c>
      <c r="AE156">
        <v>7.8252050596836842E-5</v>
      </c>
      <c r="AG156" t="s">
        <v>97</v>
      </c>
      <c r="AH156" t="s">
        <v>680</v>
      </c>
      <c r="AI156">
        <v>0</v>
      </c>
    </row>
    <row r="157" spans="5:35" x14ac:dyDescent="0.45">
      <c r="E157" t="s">
        <v>537</v>
      </c>
      <c r="G157" t="s">
        <v>443</v>
      </c>
      <c r="I157" t="s">
        <v>252</v>
      </c>
      <c r="J157" t="s">
        <v>681</v>
      </c>
      <c r="K157">
        <v>0</v>
      </c>
      <c r="L157" t="s">
        <v>254</v>
      </c>
      <c r="N157" t="s">
        <v>422</v>
      </c>
      <c r="O157" t="s">
        <v>681</v>
      </c>
      <c r="P157">
        <v>1.007007719329E-4</v>
      </c>
      <c r="Q157" t="s">
        <v>254</v>
      </c>
      <c r="S157" t="s">
        <v>423</v>
      </c>
      <c r="T157" t="s">
        <v>681</v>
      </c>
      <c r="U157">
        <v>7.2414032462992948E-5</v>
      </c>
      <c r="V157" t="s">
        <v>254</v>
      </c>
      <c r="X157">
        <v>1.1415525114155251E-4</v>
      </c>
      <c r="Y157">
        <v>1.6574265138519424E-5</v>
      </c>
      <c r="Z157" t="s">
        <v>681</v>
      </c>
      <c r="AA157" t="s">
        <v>25</v>
      </c>
      <c r="AC157" t="s">
        <v>22</v>
      </c>
      <c r="AD157" t="s">
        <v>681</v>
      </c>
      <c r="AE157">
        <v>7.8252050596836842E-5</v>
      </c>
      <c r="AG157" t="s">
        <v>97</v>
      </c>
      <c r="AH157" t="s">
        <v>681</v>
      </c>
      <c r="AI157">
        <v>0</v>
      </c>
    </row>
    <row r="158" spans="5:35" x14ac:dyDescent="0.45">
      <c r="E158" t="s">
        <v>538</v>
      </c>
      <c r="G158" t="s">
        <v>443</v>
      </c>
      <c r="I158" t="s">
        <v>252</v>
      </c>
      <c r="J158" t="s">
        <v>682</v>
      </c>
      <c r="K158">
        <v>0</v>
      </c>
      <c r="L158" t="s">
        <v>254</v>
      </c>
      <c r="N158" t="s">
        <v>422</v>
      </c>
      <c r="O158" t="s">
        <v>682</v>
      </c>
      <c r="P158">
        <v>9.7311976072983198E-5</v>
      </c>
      <c r="Q158" t="s">
        <v>254</v>
      </c>
      <c r="S158" t="s">
        <v>423</v>
      </c>
      <c r="T158" t="s">
        <v>682</v>
      </c>
      <c r="U158">
        <v>6.8011932709950015E-5</v>
      </c>
      <c r="V158" t="s">
        <v>254</v>
      </c>
      <c r="X158">
        <v>1.1415525114155251E-4</v>
      </c>
      <c r="Y158">
        <v>1.4585353321897093E-5</v>
      </c>
      <c r="Z158" t="s">
        <v>682</v>
      </c>
      <c r="AA158" t="s">
        <v>25</v>
      </c>
      <c r="AC158" t="s">
        <v>22</v>
      </c>
      <c r="AD158" t="s">
        <v>682</v>
      </c>
      <c r="AE158">
        <v>7.9106125169520702E-5</v>
      </c>
      <c r="AG158" t="s">
        <v>97</v>
      </c>
      <c r="AH158" t="s">
        <v>682</v>
      </c>
      <c r="AI158">
        <v>0</v>
      </c>
    </row>
    <row r="159" spans="5:35" x14ac:dyDescent="0.45">
      <c r="E159" t="s">
        <v>539</v>
      </c>
      <c r="G159" t="s">
        <v>443</v>
      </c>
      <c r="I159" t="s">
        <v>252</v>
      </c>
      <c r="J159" t="s">
        <v>683</v>
      </c>
      <c r="K159">
        <v>0</v>
      </c>
      <c r="L159" t="s">
        <v>254</v>
      </c>
      <c r="N159" t="s">
        <v>422</v>
      </c>
      <c r="O159" t="s">
        <v>683</v>
      </c>
      <c r="P159">
        <v>9.1754568876118402E-5</v>
      </c>
      <c r="Q159" t="s">
        <v>254</v>
      </c>
      <c r="S159" t="s">
        <v>423</v>
      </c>
      <c r="T159" t="s">
        <v>683</v>
      </c>
      <c r="U159">
        <v>6.401730204284975E-5</v>
      </c>
      <c r="V159" t="s">
        <v>254</v>
      </c>
      <c r="X159">
        <v>1.1415525114155251E-4</v>
      </c>
      <c r="Y159">
        <v>2.1215059377304864E-5</v>
      </c>
      <c r="Z159" t="s">
        <v>683</v>
      </c>
      <c r="AA159" t="s">
        <v>25</v>
      </c>
      <c r="AC159" t="s">
        <v>22</v>
      </c>
      <c r="AD159" t="s">
        <v>683</v>
      </c>
      <c r="AE159">
        <v>8.5992421050471655E-5</v>
      </c>
      <c r="AG159" t="s">
        <v>97</v>
      </c>
      <c r="AH159" t="s">
        <v>683</v>
      </c>
      <c r="AI159">
        <v>0</v>
      </c>
    </row>
    <row r="160" spans="5:35" x14ac:dyDescent="0.45">
      <c r="E160" t="s">
        <v>540</v>
      </c>
      <c r="G160" t="s">
        <v>443</v>
      </c>
      <c r="I160" t="s">
        <v>252</v>
      </c>
      <c r="J160" t="s">
        <v>684</v>
      </c>
      <c r="K160">
        <v>9.3662420556243434E-5</v>
      </c>
      <c r="L160" t="s">
        <v>254</v>
      </c>
      <c r="N160" t="s">
        <v>422</v>
      </c>
      <c r="O160" t="s">
        <v>684</v>
      </c>
      <c r="P160">
        <v>8.8489110883024482E-5</v>
      </c>
      <c r="Q160" t="s">
        <v>254</v>
      </c>
      <c r="S160" t="s">
        <v>423</v>
      </c>
      <c r="T160" t="s">
        <v>684</v>
      </c>
      <c r="U160">
        <v>6.132551415059398E-5</v>
      </c>
      <c r="V160" t="s">
        <v>254</v>
      </c>
      <c r="X160">
        <v>1.1415525114155251E-4</v>
      </c>
      <c r="Y160">
        <v>5.7678442682047593E-5</v>
      </c>
      <c r="Z160" t="s">
        <v>684</v>
      </c>
      <c r="AA160" t="s">
        <v>25</v>
      </c>
      <c r="AC160" t="s">
        <v>22</v>
      </c>
      <c r="AD160" t="s">
        <v>684</v>
      </c>
      <c r="AE160">
        <v>1.0096685427692871E-4</v>
      </c>
      <c r="AG160" t="s">
        <v>97</v>
      </c>
      <c r="AH160" t="s">
        <v>684</v>
      </c>
      <c r="AI160">
        <v>0</v>
      </c>
    </row>
    <row r="161" spans="5:35" x14ac:dyDescent="0.45">
      <c r="E161" t="s">
        <v>541</v>
      </c>
      <c r="G161" t="s">
        <v>443</v>
      </c>
      <c r="I161" t="s">
        <v>252</v>
      </c>
      <c r="J161" t="s">
        <v>685</v>
      </c>
      <c r="K161">
        <v>2.0827039871050001E-4</v>
      </c>
      <c r="L161" t="s">
        <v>254</v>
      </c>
      <c r="N161" t="s">
        <v>422</v>
      </c>
      <c r="O161" t="s">
        <v>685</v>
      </c>
      <c r="P161">
        <v>8.0937807103898812E-5</v>
      </c>
      <c r="Q161" t="s">
        <v>254</v>
      </c>
      <c r="S161" t="s">
        <v>423</v>
      </c>
      <c r="T161" t="s">
        <v>685</v>
      </c>
      <c r="U161">
        <v>6.12035539205878E-5</v>
      </c>
      <c r="V161" t="s">
        <v>254</v>
      </c>
      <c r="X161">
        <v>1.1415525114155251E-4</v>
      </c>
      <c r="Y161">
        <v>1.6905750441289813E-4</v>
      </c>
      <c r="Z161" t="s">
        <v>685</v>
      </c>
      <c r="AA161" t="s">
        <v>25</v>
      </c>
      <c r="AC161" t="s">
        <v>22</v>
      </c>
      <c r="AD161" t="s">
        <v>685</v>
      </c>
      <c r="AE161">
        <v>1.1373961622470071E-4</v>
      </c>
      <c r="AG161" t="s">
        <v>97</v>
      </c>
      <c r="AH161" t="s">
        <v>685</v>
      </c>
      <c r="AI161">
        <v>0</v>
      </c>
    </row>
    <row r="162" spans="5:35" x14ac:dyDescent="0.45">
      <c r="E162" t="s">
        <v>542</v>
      </c>
      <c r="G162" t="s">
        <v>443</v>
      </c>
      <c r="I162" t="s">
        <v>252</v>
      </c>
      <c r="J162" t="s">
        <v>686</v>
      </c>
      <c r="K162">
        <v>3.0953597514919999E-4</v>
      </c>
      <c r="L162" t="s">
        <v>254</v>
      </c>
      <c r="N162" t="s">
        <v>422</v>
      </c>
      <c r="O162" t="s">
        <v>686</v>
      </c>
      <c r="P162">
        <v>7.9794303751280844E-5</v>
      </c>
      <c r="Q162" t="s">
        <v>254</v>
      </c>
      <c r="S162" t="s">
        <v>423</v>
      </c>
      <c r="T162" t="s">
        <v>686</v>
      </c>
      <c r="U162">
        <v>6.2987316268489125E-5</v>
      </c>
      <c r="V162" t="s">
        <v>254</v>
      </c>
      <c r="X162">
        <v>1.1415525114155251E-4</v>
      </c>
      <c r="Y162">
        <v>1.9060404909297337E-4</v>
      </c>
      <c r="Z162" t="s">
        <v>686</v>
      </c>
      <c r="AA162" t="s">
        <v>25</v>
      </c>
      <c r="AC162" t="s">
        <v>22</v>
      </c>
      <c r="AD162" t="s">
        <v>686</v>
      </c>
      <c r="AE162">
        <v>1.2336969059813601E-4</v>
      </c>
      <c r="AG162" t="s">
        <v>97</v>
      </c>
      <c r="AH162" t="s">
        <v>686</v>
      </c>
      <c r="AI162">
        <v>0</v>
      </c>
    </row>
    <row r="163" spans="5:35" x14ac:dyDescent="0.45">
      <c r="E163" t="s">
        <v>543</v>
      </c>
      <c r="G163" t="s">
        <v>443</v>
      </c>
      <c r="I163" t="s">
        <v>252</v>
      </c>
      <c r="J163" t="s">
        <v>687</v>
      </c>
      <c r="K163">
        <v>3.8001333876320001E-4</v>
      </c>
      <c r="L163" t="s">
        <v>254</v>
      </c>
      <c r="N163" t="s">
        <v>422</v>
      </c>
      <c r="O163" t="s">
        <v>687</v>
      </c>
      <c r="P163">
        <v>9.0734030775733635E-5</v>
      </c>
      <c r="Q163" t="s">
        <v>254</v>
      </c>
      <c r="S163" t="s">
        <v>423</v>
      </c>
      <c r="T163" t="s">
        <v>687</v>
      </c>
      <c r="U163">
        <v>6.5120300670361126E-5</v>
      </c>
      <c r="V163" t="s">
        <v>254</v>
      </c>
      <c r="X163">
        <v>1.1415525114155251E-4</v>
      </c>
      <c r="Y163">
        <v>1.4585353321897094E-4</v>
      </c>
      <c r="Z163" t="s">
        <v>687</v>
      </c>
      <c r="AA163" t="s">
        <v>25</v>
      </c>
      <c r="AC163" t="s">
        <v>22</v>
      </c>
      <c r="AD163" t="s">
        <v>687</v>
      </c>
      <c r="AE163">
        <v>1.2818472778485367E-4</v>
      </c>
      <c r="AG163" t="s">
        <v>97</v>
      </c>
      <c r="AH163" t="s">
        <v>687</v>
      </c>
      <c r="AI163">
        <v>0</v>
      </c>
    </row>
    <row r="164" spans="5:35" x14ac:dyDescent="0.45">
      <c r="E164" t="s">
        <v>544</v>
      </c>
      <c r="G164" t="s">
        <v>443</v>
      </c>
      <c r="I164" t="s">
        <v>252</v>
      </c>
      <c r="J164" t="s">
        <v>688</v>
      </c>
      <c r="K164">
        <v>4.2847358038940002E-4</v>
      </c>
      <c r="L164" t="s">
        <v>254</v>
      </c>
      <c r="N164" t="s">
        <v>422</v>
      </c>
      <c r="O164" t="s">
        <v>688</v>
      </c>
      <c r="P164">
        <v>1.06122668944E-4</v>
      </c>
      <c r="Q164" t="s">
        <v>254</v>
      </c>
      <c r="S164" t="s">
        <v>423</v>
      </c>
      <c r="T164" t="s">
        <v>688</v>
      </c>
      <c r="U164">
        <v>6.7363457821511413E-5</v>
      </c>
      <c r="V164" t="s">
        <v>254</v>
      </c>
      <c r="X164">
        <v>1.1415525114155251E-4</v>
      </c>
      <c r="Y164">
        <v>1.4452759200788939E-4</v>
      </c>
      <c r="Z164" t="s">
        <v>688</v>
      </c>
      <c r="AA164" t="s">
        <v>25</v>
      </c>
      <c r="AC164" t="s">
        <v>22</v>
      </c>
      <c r="AD164" t="s">
        <v>688</v>
      </c>
      <c r="AE164">
        <v>1.2827934083631864E-4</v>
      </c>
      <c r="AG164" t="s">
        <v>97</v>
      </c>
      <c r="AH164" t="s">
        <v>688</v>
      </c>
      <c r="AI164">
        <v>0</v>
      </c>
    </row>
    <row r="165" spans="5:35" x14ac:dyDescent="0.45">
      <c r="E165" t="s">
        <v>545</v>
      </c>
      <c r="G165" t="s">
        <v>443</v>
      </c>
      <c r="I165" t="s">
        <v>252</v>
      </c>
      <c r="J165" t="s">
        <v>689</v>
      </c>
      <c r="K165">
        <v>4.5037973311380002E-4</v>
      </c>
      <c r="L165" t="s">
        <v>254</v>
      </c>
      <c r="N165" t="s">
        <v>422</v>
      </c>
      <c r="O165" t="s">
        <v>689</v>
      </c>
      <c r="P165">
        <v>1.219030304638E-4</v>
      </c>
      <c r="Q165" t="s">
        <v>254</v>
      </c>
      <c r="S165" t="s">
        <v>423</v>
      </c>
      <c r="T165" t="s">
        <v>689</v>
      </c>
      <c r="U165">
        <v>7.478028688813361E-5</v>
      </c>
      <c r="V165" t="s">
        <v>254</v>
      </c>
      <c r="X165">
        <v>1.1415525114155251E-4</v>
      </c>
      <c r="Y165">
        <v>1.408812536774151E-4</v>
      </c>
      <c r="Z165" t="s">
        <v>689</v>
      </c>
      <c r="AA165" t="s">
        <v>25</v>
      </c>
      <c r="AC165" t="s">
        <v>22</v>
      </c>
      <c r="AD165" t="s">
        <v>689</v>
      </c>
      <c r="AE165">
        <v>1.2774490495101647E-4</v>
      </c>
      <c r="AG165" t="s">
        <v>97</v>
      </c>
      <c r="AH165" t="s">
        <v>689</v>
      </c>
      <c r="AI165">
        <v>0</v>
      </c>
    </row>
    <row r="166" spans="5:35" x14ac:dyDescent="0.45">
      <c r="E166" t="s">
        <v>546</v>
      </c>
      <c r="G166" t="s">
        <v>443</v>
      </c>
      <c r="I166" t="s">
        <v>252</v>
      </c>
      <c r="J166" t="s">
        <v>690</v>
      </c>
      <c r="K166">
        <v>4.5231048343400001E-4</v>
      </c>
      <c r="L166" t="s">
        <v>254</v>
      </c>
      <c r="N166" t="s">
        <v>422</v>
      </c>
      <c r="O166" t="s">
        <v>690</v>
      </c>
      <c r="P166">
        <v>1.290874873877E-4</v>
      </c>
      <c r="Q166" t="s">
        <v>254</v>
      </c>
      <c r="S166" t="s">
        <v>423</v>
      </c>
      <c r="T166" t="s">
        <v>690</v>
      </c>
      <c r="U166">
        <v>8.6887171745707347E-5</v>
      </c>
      <c r="V166" t="s">
        <v>254</v>
      </c>
      <c r="X166">
        <v>1.1415525114155251E-4</v>
      </c>
      <c r="Y166">
        <v>1.4054976837464471E-4</v>
      </c>
      <c r="Z166" t="s">
        <v>690</v>
      </c>
      <c r="AA166" t="s">
        <v>25</v>
      </c>
      <c r="AC166" t="s">
        <v>22</v>
      </c>
      <c r="AD166" t="s">
        <v>690</v>
      </c>
      <c r="AE166">
        <v>1.2718745508022281E-4</v>
      </c>
      <c r="AG166" t="s">
        <v>97</v>
      </c>
      <c r="AH166" t="s">
        <v>690</v>
      </c>
      <c r="AI166">
        <v>0</v>
      </c>
    </row>
    <row r="167" spans="5:35" x14ac:dyDescent="0.45">
      <c r="E167" t="s">
        <v>547</v>
      </c>
      <c r="G167" t="s">
        <v>443</v>
      </c>
      <c r="I167" t="s">
        <v>252</v>
      </c>
      <c r="J167" t="s">
        <v>691</v>
      </c>
      <c r="K167">
        <v>4.361153266103E-4</v>
      </c>
      <c r="L167" t="s">
        <v>254</v>
      </c>
      <c r="N167" t="s">
        <v>422</v>
      </c>
      <c r="O167" t="s">
        <v>691</v>
      </c>
      <c r="P167">
        <v>1.3838605432440001E-4</v>
      </c>
      <c r="Q167" t="s">
        <v>254</v>
      </c>
      <c r="S167" t="s">
        <v>423</v>
      </c>
      <c r="T167" t="s">
        <v>691</v>
      </c>
      <c r="U167">
        <v>1.0515676816319999E-4</v>
      </c>
      <c r="V167" t="s">
        <v>254</v>
      </c>
      <c r="X167">
        <v>1.1415525114155251E-4</v>
      </c>
      <c r="Y167">
        <v>1.4253868019126702E-4</v>
      </c>
      <c r="Z167" t="s">
        <v>691</v>
      </c>
      <c r="AA167" t="s">
        <v>25</v>
      </c>
      <c r="AC167" t="s">
        <v>22</v>
      </c>
      <c r="AD167" t="s">
        <v>691</v>
      </c>
      <c r="AE167">
        <v>1.2732809610267078E-4</v>
      </c>
      <c r="AG167" t="s">
        <v>97</v>
      </c>
      <c r="AH167" t="s">
        <v>691</v>
      </c>
      <c r="AI167">
        <v>0</v>
      </c>
    </row>
    <row r="168" spans="5:35" x14ac:dyDescent="0.45">
      <c r="E168" t="s">
        <v>548</v>
      </c>
      <c r="G168" t="s">
        <v>443</v>
      </c>
      <c r="I168" t="s">
        <v>252</v>
      </c>
      <c r="J168" t="s">
        <v>692</v>
      </c>
      <c r="K168">
        <v>4.3154637853480001E-4</v>
      </c>
      <c r="L168" t="s">
        <v>254</v>
      </c>
      <c r="N168" t="s">
        <v>422</v>
      </c>
      <c r="O168" t="s">
        <v>692</v>
      </c>
      <c r="P168">
        <v>1.4983494814E-4</v>
      </c>
      <c r="Q168" t="s">
        <v>254</v>
      </c>
      <c r="S168" t="s">
        <v>423</v>
      </c>
      <c r="T168" t="s">
        <v>692</v>
      </c>
      <c r="U168">
        <v>1.219448809362E-4</v>
      </c>
      <c r="V168" t="s">
        <v>254</v>
      </c>
      <c r="X168">
        <v>1.1415525114155251E-4</v>
      </c>
      <c r="Y168">
        <v>1.4883690094390442E-4</v>
      </c>
      <c r="Z168" t="s">
        <v>692</v>
      </c>
      <c r="AA168" t="s">
        <v>25</v>
      </c>
      <c r="AC168" t="s">
        <v>22</v>
      </c>
      <c r="AD168" t="s">
        <v>692</v>
      </c>
      <c r="AE168">
        <v>1.2630013808405128E-4</v>
      </c>
      <c r="AG168" t="s">
        <v>97</v>
      </c>
      <c r="AH168" t="s">
        <v>692</v>
      </c>
      <c r="AI168">
        <v>0</v>
      </c>
    </row>
    <row r="169" spans="5:35" x14ac:dyDescent="0.45">
      <c r="E169" t="s">
        <v>549</v>
      </c>
      <c r="G169" t="s">
        <v>443</v>
      </c>
      <c r="I169" t="s">
        <v>252</v>
      </c>
      <c r="J169" t="s">
        <v>693</v>
      </c>
      <c r="K169">
        <v>4.3315599627200002E-4</v>
      </c>
      <c r="L169" t="s">
        <v>254</v>
      </c>
      <c r="N169" t="s">
        <v>422</v>
      </c>
      <c r="O169" t="s">
        <v>693</v>
      </c>
      <c r="P169">
        <v>1.6311410800380001E-4</v>
      </c>
      <c r="Q169" t="s">
        <v>254</v>
      </c>
      <c r="S169" t="s">
        <v>423</v>
      </c>
      <c r="T169" t="s">
        <v>693</v>
      </c>
      <c r="U169">
        <v>1.3357511741379999E-4</v>
      </c>
      <c r="V169" t="s">
        <v>254</v>
      </c>
      <c r="X169">
        <v>1.1415525114155251E-4</v>
      </c>
      <c r="Y169">
        <v>1.5049432745775637E-4</v>
      </c>
      <c r="Z169" t="s">
        <v>693</v>
      </c>
      <c r="AA169" t="s">
        <v>25</v>
      </c>
      <c r="AC169" t="s">
        <v>22</v>
      </c>
      <c r="AD169" t="s">
        <v>693</v>
      </c>
      <c r="AE169">
        <v>1.2471217308513907E-4</v>
      </c>
      <c r="AG169" t="s">
        <v>97</v>
      </c>
      <c r="AH169" t="s">
        <v>693</v>
      </c>
      <c r="AI169">
        <v>0</v>
      </c>
    </row>
    <row r="170" spans="5:35" x14ac:dyDescent="0.45">
      <c r="E170" t="s">
        <v>550</v>
      </c>
      <c r="G170" t="s">
        <v>443</v>
      </c>
      <c r="I170" t="s">
        <v>252</v>
      </c>
      <c r="J170" t="s">
        <v>694</v>
      </c>
      <c r="K170">
        <v>4.1880921975469997E-4</v>
      </c>
      <c r="L170" t="s">
        <v>254</v>
      </c>
      <c r="N170" t="s">
        <v>422</v>
      </c>
      <c r="O170" t="s">
        <v>694</v>
      </c>
      <c r="P170">
        <v>1.7656037044900001E-4</v>
      </c>
      <c r="Q170" t="s">
        <v>254</v>
      </c>
      <c r="S170" t="s">
        <v>423</v>
      </c>
      <c r="T170" t="s">
        <v>694</v>
      </c>
      <c r="U170">
        <v>1.3538966740019999E-4</v>
      </c>
      <c r="V170" t="s">
        <v>254</v>
      </c>
      <c r="X170">
        <v>1.1415525114155251E-4</v>
      </c>
      <c r="Y170">
        <v>1.7237235744060203E-4</v>
      </c>
      <c r="Z170" t="s">
        <v>694</v>
      </c>
      <c r="AA170" t="s">
        <v>25</v>
      </c>
      <c r="AC170" t="s">
        <v>22</v>
      </c>
      <c r="AD170" t="s">
        <v>694</v>
      </c>
      <c r="AE170">
        <v>1.2434139220777633E-4</v>
      </c>
      <c r="AG170" t="s">
        <v>97</v>
      </c>
      <c r="AH170" t="s">
        <v>694</v>
      </c>
      <c r="AI170">
        <v>0</v>
      </c>
    </row>
    <row r="171" spans="5:35" x14ac:dyDescent="0.45">
      <c r="E171" t="s">
        <v>551</v>
      </c>
      <c r="G171" t="s">
        <v>443</v>
      </c>
      <c r="I171" t="s">
        <v>252</v>
      </c>
      <c r="J171" t="s">
        <v>695</v>
      </c>
      <c r="K171">
        <v>3.8293641988480001E-4</v>
      </c>
      <c r="L171" t="s">
        <v>254</v>
      </c>
      <c r="N171" t="s">
        <v>422</v>
      </c>
      <c r="O171" t="s">
        <v>695</v>
      </c>
      <c r="P171">
        <v>1.868248053021E-4</v>
      </c>
      <c r="Q171" t="s">
        <v>254</v>
      </c>
      <c r="S171" t="s">
        <v>423</v>
      </c>
      <c r="T171" t="s">
        <v>695</v>
      </c>
      <c r="U171">
        <v>1.2509385277700001E-4</v>
      </c>
      <c r="V171" t="s">
        <v>254</v>
      </c>
      <c r="X171">
        <v>1.1415525114155251E-4</v>
      </c>
      <c r="Y171">
        <v>2.2209515285616027E-4</v>
      </c>
      <c r="Z171" t="s">
        <v>695</v>
      </c>
      <c r="AA171" t="s">
        <v>25</v>
      </c>
      <c r="AC171" t="s">
        <v>22</v>
      </c>
      <c r="AD171" t="s">
        <v>695</v>
      </c>
      <c r="AE171">
        <v>1.241777371998369E-4</v>
      </c>
      <c r="AG171" t="s">
        <v>97</v>
      </c>
      <c r="AH171" t="s">
        <v>695</v>
      </c>
      <c r="AI171">
        <v>0</v>
      </c>
    </row>
    <row r="172" spans="5:35" x14ac:dyDescent="0.45">
      <c r="E172" t="s">
        <v>552</v>
      </c>
      <c r="G172" t="s">
        <v>443</v>
      </c>
      <c r="I172" t="s">
        <v>252</v>
      </c>
      <c r="J172" t="s">
        <v>696</v>
      </c>
      <c r="K172">
        <v>3.2993983970080001E-4</v>
      </c>
      <c r="L172" t="s">
        <v>254</v>
      </c>
      <c r="N172" t="s">
        <v>422</v>
      </c>
      <c r="O172" t="s">
        <v>696</v>
      </c>
      <c r="P172">
        <v>1.9049942072669999E-4</v>
      </c>
      <c r="Q172" t="s">
        <v>254</v>
      </c>
      <c r="S172" t="s">
        <v>423</v>
      </c>
      <c r="T172" t="s">
        <v>696</v>
      </c>
      <c r="U172">
        <v>1.160886038156E-4</v>
      </c>
      <c r="V172" t="s">
        <v>254</v>
      </c>
      <c r="X172">
        <v>1.1415525114155251E-4</v>
      </c>
      <c r="Y172">
        <v>2.2209515285616027E-4</v>
      </c>
      <c r="Z172" t="s">
        <v>696</v>
      </c>
      <c r="AA172" t="s">
        <v>25</v>
      </c>
      <c r="AC172" t="s">
        <v>22</v>
      </c>
      <c r="AD172" t="s">
        <v>696</v>
      </c>
      <c r="AE172">
        <v>1.2441299127374984E-4</v>
      </c>
      <c r="AG172" t="s">
        <v>97</v>
      </c>
      <c r="AH172" t="s">
        <v>696</v>
      </c>
      <c r="AI172">
        <v>0</v>
      </c>
    </row>
    <row r="173" spans="5:35" x14ac:dyDescent="0.45">
      <c r="E173" t="s">
        <v>553</v>
      </c>
      <c r="G173" t="s">
        <v>443</v>
      </c>
      <c r="I173" t="s">
        <v>252</v>
      </c>
      <c r="J173" t="s">
        <v>697</v>
      </c>
      <c r="K173">
        <v>2.5495869388839998E-4</v>
      </c>
      <c r="L173" t="s">
        <v>254</v>
      </c>
      <c r="N173" t="s">
        <v>422</v>
      </c>
      <c r="O173" t="s">
        <v>697</v>
      </c>
      <c r="P173">
        <v>1.869457730788E-4</v>
      </c>
      <c r="Q173" t="s">
        <v>254</v>
      </c>
      <c r="S173" t="s">
        <v>423</v>
      </c>
      <c r="T173" t="s">
        <v>697</v>
      </c>
      <c r="U173">
        <v>1.170813471472E-4</v>
      </c>
      <c r="V173" t="s">
        <v>254</v>
      </c>
      <c r="X173">
        <v>1.1415525114155251E-4</v>
      </c>
      <c r="Y173">
        <v>1.7237235744060203E-4</v>
      </c>
      <c r="Z173" t="s">
        <v>697</v>
      </c>
      <c r="AA173" t="s">
        <v>25</v>
      </c>
      <c r="AC173" t="s">
        <v>22</v>
      </c>
      <c r="AD173" t="s">
        <v>697</v>
      </c>
      <c r="AE173">
        <v>1.2385042718395805E-4</v>
      </c>
      <c r="AG173" t="s">
        <v>97</v>
      </c>
      <c r="AH173" t="s">
        <v>697</v>
      </c>
      <c r="AI173">
        <v>0</v>
      </c>
    </row>
    <row r="174" spans="5:35" x14ac:dyDescent="0.45">
      <c r="E174" t="s">
        <v>554</v>
      </c>
      <c r="G174" t="s">
        <v>443</v>
      </c>
      <c r="I174" t="s">
        <v>252</v>
      </c>
      <c r="J174" t="s">
        <v>698</v>
      </c>
      <c r="K174">
        <v>1.5508970583470001E-4</v>
      </c>
      <c r="L174" t="s">
        <v>254</v>
      </c>
      <c r="N174" t="s">
        <v>422</v>
      </c>
      <c r="O174" t="s">
        <v>698</v>
      </c>
      <c r="P174">
        <v>1.887454789827E-4</v>
      </c>
      <c r="Q174" t="s">
        <v>254</v>
      </c>
      <c r="S174" t="s">
        <v>423</v>
      </c>
      <c r="T174" t="s">
        <v>698</v>
      </c>
      <c r="U174">
        <v>1.2452644987900001E-4</v>
      </c>
      <c r="V174" t="s">
        <v>254</v>
      </c>
      <c r="X174">
        <v>1.1415525114155251E-4</v>
      </c>
      <c r="Y174">
        <v>1.5579809230208258E-4</v>
      </c>
      <c r="Z174" t="s">
        <v>698</v>
      </c>
      <c r="AA174" t="s">
        <v>25</v>
      </c>
      <c r="AC174" t="s">
        <v>22</v>
      </c>
      <c r="AD174" t="s">
        <v>698</v>
      </c>
      <c r="AE174">
        <v>1.2113221978646425E-4</v>
      </c>
      <c r="AG174" t="s">
        <v>97</v>
      </c>
      <c r="AH174" t="s">
        <v>698</v>
      </c>
      <c r="AI174">
        <v>0</v>
      </c>
    </row>
    <row r="175" spans="5:35" x14ac:dyDescent="0.45">
      <c r="E175" t="s">
        <v>555</v>
      </c>
      <c r="G175" t="s">
        <v>443</v>
      </c>
      <c r="I175" t="s">
        <v>252</v>
      </c>
      <c r="J175" t="s">
        <v>699</v>
      </c>
      <c r="K175">
        <v>1.3387852519512884E-5</v>
      </c>
      <c r="L175" t="s">
        <v>254</v>
      </c>
      <c r="N175" t="s">
        <v>422</v>
      </c>
      <c r="O175" t="s">
        <v>699</v>
      </c>
      <c r="P175">
        <v>1.949896770294E-4</v>
      </c>
      <c r="Q175" t="s">
        <v>254</v>
      </c>
      <c r="S175" t="s">
        <v>423</v>
      </c>
      <c r="T175" t="s">
        <v>699</v>
      </c>
      <c r="U175">
        <v>1.3384935975769999E-4</v>
      </c>
      <c r="V175" t="s">
        <v>254</v>
      </c>
      <c r="X175">
        <v>1.1415525114155251E-4</v>
      </c>
      <c r="Y175">
        <v>1.093901499142282E-4</v>
      </c>
      <c r="Z175" t="s">
        <v>699</v>
      </c>
      <c r="AA175" t="s">
        <v>25</v>
      </c>
      <c r="AC175" t="s">
        <v>22</v>
      </c>
      <c r="AD175" t="s">
        <v>699</v>
      </c>
      <c r="AE175">
        <v>1.1305942509795249E-4</v>
      </c>
      <c r="AG175" t="s">
        <v>97</v>
      </c>
      <c r="AH175" t="s">
        <v>699</v>
      </c>
      <c r="AI175">
        <v>0</v>
      </c>
    </row>
    <row r="176" spans="5:35" x14ac:dyDescent="0.45">
      <c r="E176" t="s">
        <v>556</v>
      </c>
      <c r="G176" t="s">
        <v>443</v>
      </c>
      <c r="I176" t="s">
        <v>252</v>
      </c>
      <c r="J176" t="s">
        <v>700</v>
      </c>
      <c r="K176">
        <v>0</v>
      </c>
      <c r="L176" t="s">
        <v>254</v>
      </c>
      <c r="N176" t="s">
        <v>422</v>
      </c>
      <c r="O176" t="s">
        <v>700</v>
      </c>
      <c r="P176">
        <v>1.917274774464E-4</v>
      </c>
      <c r="Q176" t="s">
        <v>254</v>
      </c>
      <c r="S176" t="s">
        <v>423</v>
      </c>
      <c r="T176" t="s">
        <v>700</v>
      </c>
      <c r="U176">
        <v>1.4576199627000001E-4</v>
      </c>
      <c r="V176" t="s">
        <v>254</v>
      </c>
      <c r="X176">
        <v>1.1415525114155251E-4</v>
      </c>
      <c r="Y176">
        <v>7.9556472664893237E-5</v>
      </c>
      <c r="Z176" t="s">
        <v>700</v>
      </c>
      <c r="AA176" t="s">
        <v>25</v>
      </c>
      <c r="AC176" t="s">
        <v>22</v>
      </c>
      <c r="AD176" t="s">
        <v>700</v>
      </c>
      <c r="AE176">
        <v>1.0436780991066981E-4</v>
      </c>
      <c r="AG176" t="s">
        <v>97</v>
      </c>
      <c r="AH176" t="s">
        <v>700</v>
      </c>
      <c r="AI176">
        <v>0</v>
      </c>
    </row>
    <row r="177" spans="5:35" x14ac:dyDescent="0.45">
      <c r="E177" t="s">
        <v>557</v>
      </c>
      <c r="G177" t="s">
        <v>443</v>
      </c>
      <c r="I177" t="s">
        <v>252</v>
      </c>
      <c r="J177" t="s">
        <v>701</v>
      </c>
      <c r="K177">
        <v>0</v>
      </c>
      <c r="L177" t="s">
        <v>254</v>
      </c>
      <c r="N177" t="s">
        <v>422</v>
      </c>
      <c r="O177" t="s">
        <v>701</v>
      </c>
      <c r="P177">
        <v>1.841725000568E-4</v>
      </c>
      <c r="Q177" t="s">
        <v>254</v>
      </c>
      <c r="S177" t="s">
        <v>423</v>
      </c>
      <c r="T177" t="s">
        <v>701</v>
      </c>
      <c r="U177">
        <v>1.4379430447430001E-4</v>
      </c>
      <c r="V177" t="s">
        <v>254</v>
      </c>
      <c r="X177">
        <v>1.1415525114155251E-4</v>
      </c>
      <c r="Y177">
        <v>5.6352501470966035E-5</v>
      </c>
      <c r="Z177" t="s">
        <v>701</v>
      </c>
      <c r="AA177" t="s">
        <v>25</v>
      </c>
      <c r="AC177" t="s">
        <v>22</v>
      </c>
      <c r="AD177" t="s">
        <v>701</v>
      </c>
      <c r="AE177">
        <v>9.4441110835344265E-5</v>
      </c>
      <c r="AG177" t="s">
        <v>97</v>
      </c>
      <c r="AH177" t="s">
        <v>701</v>
      </c>
      <c r="AI177">
        <v>0</v>
      </c>
    </row>
    <row r="178" spans="5:35" x14ac:dyDescent="0.45">
      <c r="E178" t="s">
        <v>558</v>
      </c>
      <c r="G178" t="s">
        <v>443</v>
      </c>
      <c r="I178" t="s">
        <v>252</v>
      </c>
      <c r="J178" t="s">
        <v>702</v>
      </c>
      <c r="K178">
        <v>0</v>
      </c>
      <c r="L178" t="s">
        <v>254</v>
      </c>
      <c r="N178" t="s">
        <v>422</v>
      </c>
      <c r="O178" t="s">
        <v>702</v>
      </c>
      <c r="P178">
        <v>1.741785966888E-4</v>
      </c>
      <c r="Q178" t="s">
        <v>254</v>
      </c>
      <c r="S178" t="s">
        <v>423</v>
      </c>
      <c r="T178" t="s">
        <v>702</v>
      </c>
      <c r="U178">
        <v>1.3805709828840001E-4</v>
      </c>
      <c r="V178" t="s">
        <v>254</v>
      </c>
      <c r="X178">
        <v>1.1415525114155251E-4</v>
      </c>
      <c r="Y178">
        <v>2.9833677249334962E-5</v>
      </c>
      <c r="Z178" t="s">
        <v>702</v>
      </c>
      <c r="AA178" t="s">
        <v>25</v>
      </c>
      <c r="AC178" t="s">
        <v>22</v>
      </c>
      <c r="AD178" t="s">
        <v>702</v>
      </c>
      <c r="AE178">
        <v>8.548611336965908E-5</v>
      </c>
      <c r="AG178" t="s">
        <v>97</v>
      </c>
      <c r="AH178" t="s">
        <v>702</v>
      </c>
      <c r="AI178">
        <v>0</v>
      </c>
    </row>
    <row r="179" spans="5:35" x14ac:dyDescent="0.45">
      <c r="E179" t="s">
        <v>219</v>
      </c>
      <c r="G179" t="s">
        <v>445</v>
      </c>
      <c r="I179" t="s">
        <v>252</v>
      </c>
      <c r="J179" t="s">
        <v>326</v>
      </c>
      <c r="K179">
        <v>5.6907262752047107E-3</v>
      </c>
      <c r="L179" t="s">
        <v>254</v>
      </c>
      <c r="N179" t="s">
        <v>422</v>
      </c>
      <c r="O179" t="s">
        <v>326</v>
      </c>
      <c r="P179">
        <v>1.8201165978808966E-2</v>
      </c>
      <c r="Q179" t="s">
        <v>254</v>
      </c>
      <c r="S179" t="s">
        <v>423</v>
      </c>
      <c r="T179" t="s">
        <v>326</v>
      </c>
      <c r="U179">
        <v>1.887990473979247E-2</v>
      </c>
      <c r="V179" t="s">
        <v>254</v>
      </c>
      <c r="X179">
        <v>2.4771689497716895E-2</v>
      </c>
      <c r="Y179">
        <v>9.7827942553597048E-3</v>
      </c>
      <c r="Z179" t="s">
        <v>326</v>
      </c>
      <c r="AA179" t="s">
        <v>25</v>
      </c>
      <c r="AC179" t="s">
        <v>22</v>
      </c>
      <c r="AD179" t="s">
        <v>326</v>
      </c>
      <c r="AE179">
        <v>1.8858161963641967E-2</v>
      </c>
      <c r="AG179" t="s">
        <v>97</v>
      </c>
      <c r="AH179" t="s">
        <v>326</v>
      </c>
      <c r="AI179">
        <v>0.24207174233774098</v>
      </c>
    </row>
    <row r="180" spans="5:35" x14ac:dyDescent="0.45">
      <c r="E180" t="s">
        <v>220</v>
      </c>
      <c r="G180" t="s">
        <v>445</v>
      </c>
      <c r="I180" t="s">
        <v>252</v>
      </c>
      <c r="J180" t="s">
        <v>327</v>
      </c>
      <c r="K180">
        <v>7.55060257483479E-3</v>
      </c>
      <c r="L180" t="s">
        <v>254</v>
      </c>
      <c r="N180" t="s">
        <v>422</v>
      </c>
      <c r="O180" t="s">
        <v>327</v>
      </c>
      <c r="P180">
        <v>2.1271741024613093E-3</v>
      </c>
      <c r="Q180" t="s">
        <v>254</v>
      </c>
      <c r="S180" t="s">
        <v>423</v>
      </c>
      <c r="T180" t="s">
        <v>327</v>
      </c>
      <c r="U180">
        <v>2.7065679260956034E-3</v>
      </c>
      <c r="V180" t="s">
        <v>254</v>
      </c>
      <c r="X180">
        <v>3.5388127853881279E-3</v>
      </c>
      <c r="Y180">
        <v>5.9087255218821738E-3</v>
      </c>
      <c r="Z180" t="s">
        <v>327</v>
      </c>
      <c r="AA180" t="s">
        <v>25</v>
      </c>
      <c r="AC180" t="s">
        <v>22</v>
      </c>
      <c r="AD180" t="s">
        <v>327</v>
      </c>
      <c r="AE180">
        <v>3.5128636638608918E-3</v>
      </c>
      <c r="AG180" t="s">
        <v>97</v>
      </c>
      <c r="AH180" t="s">
        <v>327</v>
      </c>
      <c r="AI180">
        <v>8.4097695100208369E-2</v>
      </c>
    </row>
    <row r="181" spans="5:35" x14ac:dyDescent="0.45">
      <c r="E181" t="s">
        <v>221</v>
      </c>
      <c r="G181" t="s">
        <v>445</v>
      </c>
      <c r="I181" t="s">
        <v>252</v>
      </c>
      <c r="J181" t="s">
        <v>328</v>
      </c>
      <c r="K181">
        <v>2.0721789575153613E-2</v>
      </c>
      <c r="L181" t="s">
        <v>254</v>
      </c>
      <c r="N181" t="s">
        <v>422</v>
      </c>
      <c r="O181" t="s">
        <v>328</v>
      </c>
      <c r="P181">
        <v>4.1715642512792578E-3</v>
      </c>
      <c r="Q181" t="s">
        <v>254</v>
      </c>
      <c r="S181" t="s">
        <v>423</v>
      </c>
      <c r="T181" t="s">
        <v>328</v>
      </c>
      <c r="U181">
        <v>5.4643547861619023E-3</v>
      </c>
      <c r="V181" t="s">
        <v>254</v>
      </c>
      <c r="X181">
        <v>7.0776255707762558E-3</v>
      </c>
      <c r="Y181">
        <v>9.0018148820326695E-3</v>
      </c>
      <c r="Z181" t="s">
        <v>328</v>
      </c>
      <c r="AA181" t="s">
        <v>25</v>
      </c>
      <c r="AC181" t="s">
        <v>22</v>
      </c>
      <c r="AD181" t="s">
        <v>328</v>
      </c>
      <c r="AE181">
        <v>7.4054069461412407E-3</v>
      </c>
      <c r="AG181" t="s">
        <v>97</v>
      </c>
      <c r="AH181" t="s">
        <v>328</v>
      </c>
      <c r="AI181">
        <v>8.0283624945774568E-2</v>
      </c>
    </row>
    <row r="182" spans="5:35" x14ac:dyDescent="0.45">
      <c r="E182" t="s">
        <v>222</v>
      </c>
      <c r="G182" t="s">
        <v>445</v>
      </c>
      <c r="I182" t="s">
        <v>252</v>
      </c>
      <c r="J182" t="s">
        <v>329</v>
      </c>
      <c r="K182">
        <v>3.6099682601023697E-2</v>
      </c>
      <c r="L182" t="s">
        <v>254</v>
      </c>
      <c r="N182" t="s">
        <v>422</v>
      </c>
      <c r="O182" t="s">
        <v>329</v>
      </c>
      <c r="P182">
        <v>6.5230661504722112E-3</v>
      </c>
      <c r="Q182" t="s">
        <v>254</v>
      </c>
      <c r="S182" t="s">
        <v>423</v>
      </c>
      <c r="T182" t="s">
        <v>329</v>
      </c>
      <c r="U182">
        <v>7.8405552467663148E-3</v>
      </c>
      <c r="V182" t="s">
        <v>254</v>
      </c>
      <c r="X182">
        <v>1.0616438356164383E-2</v>
      </c>
      <c r="Y182">
        <v>1.3143060769543132E-2</v>
      </c>
      <c r="Z182" t="s">
        <v>329</v>
      </c>
      <c r="AA182" t="s">
        <v>25</v>
      </c>
      <c r="AC182" t="s">
        <v>22</v>
      </c>
      <c r="AD182" t="s">
        <v>329</v>
      </c>
      <c r="AE182">
        <v>1.1291179002468097E-2</v>
      </c>
      <c r="AG182" t="s">
        <v>97</v>
      </c>
      <c r="AH182" t="s">
        <v>329</v>
      </c>
      <c r="AI182">
        <v>7.6367802863346324E-2</v>
      </c>
    </row>
    <row r="183" spans="5:35" x14ac:dyDescent="0.45">
      <c r="E183" t="s">
        <v>223</v>
      </c>
      <c r="G183" t="s">
        <v>445</v>
      </c>
      <c r="I183" t="s">
        <v>252</v>
      </c>
      <c r="J183" t="s">
        <v>330</v>
      </c>
      <c r="K183">
        <v>1.1819498630638E-2</v>
      </c>
      <c r="L183" t="s">
        <v>254</v>
      </c>
      <c r="N183" t="s">
        <v>422</v>
      </c>
      <c r="O183" t="s">
        <v>330</v>
      </c>
      <c r="P183">
        <v>2.4607224403917377E-3</v>
      </c>
      <c r="Q183" t="s">
        <v>254</v>
      </c>
      <c r="S183" t="s">
        <v>423</v>
      </c>
      <c r="T183" t="s">
        <v>330</v>
      </c>
      <c r="U183">
        <v>2.6489329002128701E-3</v>
      </c>
      <c r="V183" t="s">
        <v>254</v>
      </c>
      <c r="X183">
        <v>3.5388127853881279E-3</v>
      </c>
      <c r="Y183">
        <v>4.6139439292610376E-3</v>
      </c>
      <c r="Z183" t="s">
        <v>330</v>
      </c>
      <c r="AA183" t="s">
        <v>25</v>
      </c>
      <c r="AC183" t="s">
        <v>22</v>
      </c>
      <c r="AD183" t="s">
        <v>330</v>
      </c>
      <c r="AE183">
        <v>3.7514087376990914E-3</v>
      </c>
      <c r="AG183" t="s">
        <v>97</v>
      </c>
      <c r="AH183" t="s">
        <v>330</v>
      </c>
      <c r="AI183">
        <v>6.6606082518882115E-2</v>
      </c>
    </row>
    <row r="184" spans="5:35" x14ac:dyDescent="0.45">
      <c r="E184" t="s">
        <v>224</v>
      </c>
      <c r="G184" t="s">
        <v>445</v>
      </c>
      <c r="I184" t="s">
        <v>252</v>
      </c>
      <c r="J184" t="s">
        <v>331</v>
      </c>
      <c r="K184">
        <v>2.2654420268322401E-2</v>
      </c>
      <c r="L184" t="s">
        <v>254</v>
      </c>
      <c r="N184" t="s">
        <v>422</v>
      </c>
      <c r="O184" t="s">
        <v>331</v>
      </c>
      <c r="P184">
        <v>5.2701698669585344E-3</v>
      </c>
      <c r="Q184" t="s">
        <v>254</v>
      </c>
      <c r="S184" t="s">
        <v>423</v>
      </c>
      <c r="T184" t="s">
        <v>331</v>
      </c>
      <c r="U184">
        <v>5.4321792671511064E-3</v>
      </c>
      <c r="V184" t="s">
        <v>254</v>
      </c>
      <c r="X184">
        <v>7.0776255707762558E-3</v>
      </c>
      <c r="Y184">
        <v>1.0008867231849112E-2</v>
      </c>
      <c r="Z184" t="s">
        <v>331</v>
      </c>
      <c r="AA184" t="s">
        <v>25</v>
      </c>
      <c r="AC184" t="s">
        <v>22</v>
      </c>
      <c r="AD184" t="s">
        <v>331</v>
      </c>
      <c r="AE184">
        <v>7.4168321113830121E-3</v>
      </c>
      <c r="AG184" t="s">
        <v>97</v>
      </c>
      <c r="AH184" t="s">
        <v>331</v>
      </c>
      <c r="AI184">
        <v>6.1976360186815738E-2</v>
      </c>
    </row>
    <row r="185" spans="5:35" x14ac:dyDescent="0.45">
      <c r="E185" t="s">
        <v>225</v>
      </c>
      <c r="G185" t="s">
        <v>445</v>
      </c>
      <c r="I185" t="s">
        <v>252</v>
      </c>
      <c r="J185" t="s">
        <v>332</v>
      </c>
      <c r="K185">
        <v>1.7943417315136038E-2</v>
      </c>
      <c r="L185" t="s">
        <v>254</v>
      </c>
      <c r="N185" t="s">
        <v>422</v>
      </c>
      <c r="O185" t="s">
        <v>332</v>
      </c>
      <c r="P185">
        <v>5.7330128839986833E-3</v>
      </c>
      <c r="Q185" t="s">
        <v>254</v>
      </c>
      <c r="S185" t="s">
        <v>423</v>
      </c>
      <c r="T185" t="s">
        <v>332</v>
      </c>
      <c r="U185">
        <v>5.604131701026362E-3</v>
      </c>
      <c r="V185" t="s">
        <v>254</v>
      </c>
      <c r="X185">
        <v>7.0776255707762558E-3</v>
      </c>
      <c r="Y185">
        <v>1.376989947708193E-2</v>
      </c>
      <c r="Z185" t="s">
        <v>332</v>
      </c>
      <c r="AA185" t="s">
        <v>25</v>
      </c>
      <c r="AC185" t="s">
        <v>22</v>
      </c>
      <c r="AD185" t="s">
        <v>332</v>
      </c>
      <c r="AE185">
        <v>7.3722437930480167E-3</v>
      </c>
      <c r="AG185" t="s">
        <v>97</v>
      </c>
      <c r="AH185" t="s">
        <v>332</v>
      </c>
      <c r="AI185">
        <v>6.0412964463251617E-2</v>
      </c>
    </row>
    <row r="186" spans="5:35" x14ac:dyDescent="0.45">
      <c r="E186" t="s">
        <v>226</v>
      </c>
      <c r="G186" t="s">
        <v>445</v>
      </c>
      <c r="I186" t="s">
        <v>252</v>
      </c>
      <c r="J186" t="s">
        <v>333</v>
      </c>
      <c r="K186">
        <v>1.0110616542517919E-2</v>
      </c>
      <c r="L186" t="s">
        <v>254</v>
      </c>
      <c r="N186" t="s">
        <v>422</v>
      </c>
      <c r="O186" t="s">
        <v>333</v>
      </c>
      <c r="P186">
        <v>1.7772919654848611E-2</v>
      </c>
      <c r="Q186" t="s">
        <v>254</v>
      </c>
      <c r="S186" t="s">
        <v>423</v>
      </c>
      <c r="T186" t="s">
        <v>333</v>
      </c>
      <c r="U186">
        <v>1.6571575300024611E-2</v>
      </c>
      <c r="V186" t="s">
        <v>254</v>
      </c>
      <c r="X186">
        <v>2.1232876712328767E-2</v>
      </c>
      <c r="Y186">
        <v>1.8702400782305319E-2</v>
      </c>
      <c r="Z186" t="s">
        <v>333</v>
      </c>
      <c r="AA186" t="s">
        <v>25</v>
      </c>
      <c r="AC186" t="s">
        <v>22</v>
      </c>
      <c r="AD186" t="s">
        <v>333</v>
      </c>
      <c r="AE186">
        <v>1.9901975371152368E-2</v>
      </c>
      <c r="AG186" t="s">
        <v>97</v>
      </c>
      <c r="AH186" t="s">
        <v>333</v>
      </c>
      <c r="AI186">
        <v>0.13890349193737483</v>
      </c>
    </row>
    <row r="187" spans="5:35" x14ac:dyDescent="0.45">
      <c r="E187" t="s">
        <v>227</v>
      </c>
      <c r="G187" t="s">
        <v>445</v>
      </c>
      <c r="I187" t="s">
        <v>252</v>
      </c>
      <c r="J187" t="s">
        <v>334</v>
      </c>
      <c r="K187">
        <v>3.7696025834861417E-3</v>
      </c>
      <c r="L187" t="s">
        <v>254</v>
      </c>
      <c r="N187" t="s">
        <v>422</v>
      </c>
      <c r="O187" t="s">
        <v>334</v>
      </c>
      <c r="P187">
        <v>1.2951374086187427E-2</v>
      </c>
      <c r="Q187" t="s">
        <v>254</v>
      </c>
      <c r="S187" t="s">
        <v>423</v>
      </c>
      <c r="T187" t="s">
        <v>334</v>
      </c>
      <c r="U187">
        <v>1.3752678728943261E-2</v>
      </c>
      <c r="V187" t="s">
        <v>254</v>
      </c>
      <c r="X187">
        <v>2.3972602739726026E-2</v>
      </c>
      <c r="Y187">
        <v>9.4672202471222967E-3</v>
      </c>
      <c r="Z187" t="s">
        <v>334</v>
      </c>
      <c r="AA187" t="s">
        <v>25</v>
      </c>
      <c r="AC187" t="s">
        <v>22</v>
      </c>
      <c r="AD187" t="s">
        <v>334</v>
      </c>
      <c r="AE187">
        <v>1.7788480207175952E-2</v>
      </c>
      <c r="AG187" t="s">
        <v>97</v>
      </c>
      <c r="AH187" t="s">
        <v>334</v>
      </c>
      <c r="AI187">
        <v>0.25898927451799603</v>
      </c>
    </row>
    <row r="188" spans="5:35" x14ac:dyDescent="0.45">
      <c r="E188" t="s">
        <v>228</v>
      </c>
      <c r="G188" t="s">
        <v>445</v>
      </c>
      <c r="I188" t="s">
        <v>252</v>
      </c>
      <c r="J188" t="s">
        <v>335</v>
      </c>
      <c r="K188">
        <v>6.5828281541704531E-3</v>
      </c>
      <c r="L188" t="s">
        <v>254</v>
      </c>
      <c r="N188" t="s">
        <v>422</v>
      </c>
      <c r="O188" t="s">
        <v>335</v>
      </c>
      <c r="P188">
        <v>1.5798469757426538E-3</v>
      </c>
      <c r="Q188" t="s">
        <v>254</v>
      </c>
      <c r="S188" t="s">
        <v>423</v>
      </c>
      <c r="T188" t="s">
        <v>335</v>
      </c>
      <c r="U188">
        <v>1.8505254308611536E-3</v>
      </c>
      <c r="V188" t="s">
        <v>254</v>
      </c>
      <c r="X188">
        <v>3.4246575342465752E-3</v>
      </c>
      <c r="Y188">
        <v>5.7181214727892006E-3</v>
      </c>
      <c r="Z188" t="s">
        <v>335</v>
      </c>
      <c r="AA188" t="s">
        <v>25</v>
      </c>
      <c r="AC188" t="s">
        <v>22</v>
      </c>
      <c r="AD188" t="s">
        <v>335</v>
      </c>
      <c r="AE188">
        <v>3.3479868111464983E-3</v>
      </c>
      <c r="AG188" t="s">
        <v>97</v>
      </c>
      <c r="AH188" t="s">
        <v>335</v>
      </c>
      <c r="AI188">
        <v>0.10005778822578915</v>
      </c>
    </row>
    <row r="189" spans="5:35" x14ac:dyDescent="0.45">
      <c r="E189" t="s">
        <v>229</v>
      </c>
      <c r="G189" t="s">
        <v>445</v>
      </c>
      <c r="I189" t="s">
        <v>252</v>
      </c>
      <c r="J189" t="s">
        <v>336</v>
      </c>
      <c r="K189">
        <v>1.9219670480887002E-2</v>
      </c>
      <c r="L189" t="s">
        <v>254</v>
      </c>
      <c r="N189" t="s">
        <v>422</v>
      </c>
      <c r="O189" t="s">
        <v>336</v>
      </c>
      <c r="P189">
        <v>3.1375383114185776E-3</v>
      </c>
      <c r="Q189" t="s">
        <v>254</v>
      </c>
      <c r="S189" t="s">
        <v>423</v>
      </c>
      <c r="T189" t="s">
        <v>336</v>
      </c>
      <c r="U189">
        <v>3.6769487729497513E-3</v>
      </c>
      <c r="V189" t="s">
        <v>254</v>
      </c>
      <c r="X189">
        <v>6.8493150684931503E-3</v>
      </c>
      <c r="Y189">
        <v>8.7114337568058101E-3</v>
      </c>
      <c r="Z189" t="s">
        <v>336</v>
      </c>
      <c r="AA189" t="s">
        <v>25</v>
      </c>
      <c r="AC189" t="s">
        <v>22</v>
      </c>
      <c r="AD189" t="s">
        <v>336</v>
      </c>
      <c r="AE189">
        <v>7.1122122352204218E-3</v>
      </c>
      <c r="AG189" t="s">
        <v>97</v>
      </c>
      <c r="AH189" t="s">
        <v>336</v>
      </c>
      <c r="AI189">
        <v>9.5318948243562573E-2</v>
      </c>
    </row>
    <row r="190" spans="5:35" x14ac:dyDescent="0.45">
      <c r="E190" t="s">
        <v>230</v>
      </c>
      <c r="G190" t="s">
        <v>445</v>
      </c>
      <c r="I190" t="s">
        <v>252</v>
      </c>
      <c r="J190" t="s">
        <v>337</v>
      </c>
      <c r="K190">
        <v>3.3458775515638799E-2</v>
      </c>
      <c r="L190" t="s">
        <v>254</v>
      </c>
      <c r="N190" t="s">
        <v>422</v>
      </c>
      <c r="O190" t="s">
        <v>337</v>
      </c>
      <c r="P190">
        <v>4.9549539232302776E-3</v>
      </c>
      <c r="Q190" t="s">
        <v>254</v>
      </c>
      <c r="S190" t="s">
        <v>423</v>
      </c>
      <c r="T190" t="s">
        <v>337</v>
      </c>
      <c r="U190">
        <v>5.3667249461575176E-3</v>
      </c>
      <c r="V190" t="s">
        <v>254</v>
      </c>
      <c r="X190">
        <v>1.0273972602739725E-2</v>
      </c>
      <c r="Y190">
        <v>1.2719091067299805E-2</v>
      </c>
      <c r="Z190" t="s">
        <v>337</v>
      </c>
      <c r="AA190" t="s">
        <v>25</v>
      </c>
      <c r="AC190" t="s">
        <v>22</v>
      </c>
      <c r="AD190" t="s">
        <v>337</v>
      </c>
      <c r="AE190">
        <v>1.077487182710144E-2</v>
      </c>
      <c r="AG190" t="s">
        <v>97</v>
      </c>
      <c r="AH190" t="s">
        <v>337</v>
      </c>
      <c r="AI190">
        <v>9.4789670412191107E-2</v>
      </c>
    </row>
    <row r="191" spans="5:35" x14ac:dyDescent="0.45">
      <c r="E191" t="s">
        <v>231</v>
      </c>
      <c r="G191" t="s">
        <v>445</v>
      </c>
      <c r="I191" t="s">
        <v>252</v>
      </c>
      <c r="J191" t="s">
        <v>338</v>
      </c>
      <c r="K191">
        <v>1.0961892234739999E-2</v>
      </c>
      <c r="L191" t="s">
        <v>254</v>
      </c>
      <c r="N191" t="s">
        <v>422</v>
      </c>
      <c r="O191" t="s">
        <v>338</v>
      </c>
      <c r="P191">
        <v>1.9031507238226467E-3</v>
      </c>
      <c r="Q191" t="s">
        <v>254</v>
      </c>
      <c r="S191" t="s">
        <v>423</v>
      </c>
      <c r="T191" t="s">
        <v>338</v>
      </c>
      <c r="U191">
        <v>1.9093008256395115E-3</v>
      </c>
      <c r="V191" t="s">
        <v>254</v>
      </c>
      <c r="X191">
        <v>3.4246575342465752E-3</v>
      </c>
      <c r="Y191">
        <v>4.4651070283171336E-3</v>
      </c>
      <c r="Z191" t="s">
        <v>338</v>
      </c>
      <c r="AA191" t="s">
        <v>25</v>
      </c>
      <c r="AC191" t="s">
        <v>22</v>
      </c>
      <c r="AD191" t="s">
        <v>338</v>
      </c>
      <c r="AE191">
        <v>3.574907265202001E-3</v>
      </c>
      <c r="AG191" t="s">
        <v>97</v>
      </c>
      <c r="AH191" t="s">
        <v>338</v>
      </c>
      <c r="AI191">
        <v>9.3099233556961591E-2</v>
      </c>
    </row>
    <row r="192" spans="5:35" x14ac:dyDescent="0.45">
      <c r="E192" t="s">
        <v>232</v>
      </c>
      <c r="G192" t="s">
        <v>445</v>
      </c>
      <c r="I192" t="s">
        <v>252</v>
      </c>
      <c r="J192" t="s">
        <v>339</v>
      </c>
      <c r="K192">
        <v>2.1672954260398801E-2</v>
      </c>
      <c r="L192" t="s">
        <v>254</v>
      </c>
      <c r="N192" t="s">
        <v>422</v>
      </c>
      <c r="O192" t="s">
        <v>339</v>
      </c>
      <c r="P192">
        <v>4.1649210850342282E-3</v>
      </c>
      <c r="Q192" t="s">
        <v>254</v>
      </c>
      <c r="S192" t="s">
        <v>423</v>
      </c>
      <c r="T192" t="s">
        <v>339</v>
      </c>
      <c r="U192">
        <v>4.1037429973035623E-3</v>
      </c>
      <c r="V192" t="s">
        <v>254</v>
      </c>
      <c r="X192">
        <v>6.8493150684931503E-3</v>
      </c>
      <c r="Y192">
        <v>9.6860005469507522E-3</v>
      </c>
      <c r="Z192" t="s">
        <v>339</v>
      </c>
      <c r="AA192" t="s">
        <v>25</v>
      </c>
      <c r="AC192" t="s">
        <v>22</v>
      </c>
      <c r="AD192" t="s">
        <v>339</v>
      </c>
      <c r="AE192">
        <v>7.0864877136599435E-3</v>
      </c>
      <c r="AG192" t="s">
        <v>97</v>
      </c>
      <c r="AH192" t="s">
        <v>339</v>
      </c>
      <c r="AI192">
        <v>8.4660831315600982E-2</v>
      </c>
    </row>
    <row r="193" spans="5:35" x14ac:dyDescent="0.45">
      <c r="E193" t="s">
        <v>233</v>
      </c>
      <c r="G193" t="s">
        <v>445</v>
      </c>
      <c r="I193" t="s">
        <v>252</v>
      </c>
      <c r="J193" t="s">
        <v>340</v>
      </c>
      <c r="K193">
        <v>1.7863576824316899E-2</v>
      </c>
      <c r="L193" t="s">
        <v>254</v>
      </c>
      <c r="N193" t="s">
        <v>422</v>
      </c>
      <c r="O193" t="s">
        <v>340</v>
      </c>
      <c r="P193">
        <v>4.4016698199676558E-3</v>
      </c>
      <c r="Q193" t="s">
        <v>254</v>
      </c>
      <c r="S193" t="s">
        <v>423</v>
      </c>
      <c r="T193" t="s">
        <v>340</v>
      </c>
      <c r="U193">
        <v>4.3694499855494E-3</v>
      </c>
      <c r="V193" t="s">
        <v>254</v>
      </c>
      <c r="X193">
        <v>6.8493150684931503E-3</v>
      </c>
      <c r="Y193">
        <v>1.3325709171369611E-2</v>
      </c>
      <c r="Z193" t="s">
        <v>340</v>
      </c>
      <c r="AA193" t="s">
        <v>25</v>
      </c>
      <c r="AC193" t="s">
        <v>22</v>
      </c>
      <c r="AD193" t="s">
        <v>340</v>
      </c>
      <c r="AE193">
        <v>7.0450957821987653E-3</v>
      </c>
      <c r="AG193" t="s">
        <v>97</v>
      </c>
      <c r="AH193" t="s">
        <v>340</v>
      </c>
      <c r="AI193">
        <v>7.7376143864133162E-2</v>
      </c>
    </row>
    <row r="194" spans="5:35" x14ac:dyDescent="0.45">
      <c r="E194" t="s">
        <v>234</v>
      </c>
      <c r="G194" t="s">
        <v>445</v>
      </c>
      <c r="I194" t="s">
        <v>252</v>
      </c>
      <c r="J194" t="s">
        <v>341</v>
      </c>
      <c r="K194">
        <v>8.4792519699414589E-3</v>
      </c>
      <c r="L194" t="s">
        <v>254</v>
      </c>
      <c r="N194" t="s">
        <v>422</v>
      </c>
      <c r="O194" t="s">
        <v>341</v>
      </c>
      <c r="P194">
        <v>1.2887186560710915E-2</v>
      </c>
      <c r="Q194" t="s">
        <v>254</v>
      </c>
      <c r="S194" t="s">
        <v>423</v>
      </c>
      <c r="T194" t="s">
        <v>341</v>
      </c>
      <c r="U194">
        <v>1.3332085292744114E-2</v>
      </c>
      <c r="V194" t="s">
        <v>254</v>
      </c>
      <c r="X194">
        <v>2.0547945205479451E-2</v>
      </c>
      <c r="Y194">
        <v>1.8099097531263209E-2</v>
      </c>
      <c r="Z194" t="s">
        <v>341</v>
      </c>
      <c r="AA194" t="s">
        <v>25</v>
      </c>
      <c r="AC194" t="s">
        <v>22</v>
      </c>
      <c r="AD194" t="s">
        <v>341</v>
      </c>
      <c r="AE194">
        <v>1.8780194612187062E-2</v>
      </c>
      <c r="AG194" t="s">
        <v>97</v>
      </c>
      <c r="AH194" t="s">
        <v>341</v>
      </c>
      <c r="AI194">
        <v>0.17248752112874133</v>
      </c>
    </row>
    <row r="195" spans="5:35" x14ac:dyDescent="0.45">
      <c r="E195" t="s">
        <v>235</v>
      </c>
      <c r="G195" t="s">
        <v>445</v>
      </c>
      <c r="I195" t="s">
        <v>252</v>
      </c>
      <c r="J195" t="s">
        <v>703</v>
      </c>
      <c r="K195">
        <v>0</v>
      </c>
      <c r="L195" t="s">
        <v>254</v>
      </c>
      <c r="N195" t="s">
        <v>422</v>
      </c>
      <c r="O195" t="s">
        <v>703</v>
      </c>
      <c r="P195">
        <v>5.4770152836420053E-5</v>
      </c>
      <c r="Q195" t="s">
        <v>254</v>
      </c>
      <c r="S195" t="s">
        <v>423</v>
      </c>
      <c r="T195" t="s">
        <v>703</v>
      </c>
      <c r="U195">
        <v>2.3630048100569638E-5</v>
      </c>
      <c r="V195" t="s">
        <v>254</v>
      </c>
      <c r="X195">
        <v>1.1415525114155251E-4</v>
      </c>
      <c r="Y195">
        <v>2.1546544680075254E-5</v>
      </c>
      <c r="Z195" t="s">
        <v>703</v>
      </c>
      <c r="AA195" t="s">
        <v>25</v>
      </c>
      <c r="AC195" t="s">
        <v>22</v>
      </c>
      <c r="AD195" t="s">
        <v>703</v>
      </c>
      <c r="AE195">
        <v>9.0771051131926549E-5</v>
      </c>
      <c r="AG195" t="s">
        <v>97</v>
      </c>
      <c r="AH195" t="s">
        <v>703</v>
      </c>
      <c r="AI195">
        <v>0</v>
      </c>
    </row>
    <row r="196" spans="5:35" x14ac:dyDescent="0.45">
      <c r="E196" t="s">
        <v>236</v>
      </c>
      <c r="G196" t="s">
        <v>445</v>
      </c>
      <c r="I196" t="s">
        <v>252</v>
      </c>
      <c r="J196" t="s">
        <v>704</v>
      </c>
      <c r="K196">
        <v>0</v>
      </c>
      <c r="L196" t="s">
        <v>254</v>
      </c>
      <c r="N196" t="s">
        <v>422</v>
      </c>
      <c r="O196" t="s">
        <v>704</v>
      </c>
      <c r="P196">
        <v>6.967629986282713E-5</v>
      </c>
      <c r="Q196" t="s">
        <v>254</v>
      </c>
      <c r="S196" t="s">
        <v>423</v>
      </c>
      <c r="T196" t="s">
        <v>704</v>
      </c>
      <c r="U196">
        <v>2.7818468318092961E-5</v>
      </c>
      <c r="V196" t="s">
        <v>254</v>
      </c>
      <c r="X196">
        <v>1.1415525114155251E-4</v>
      </c>
      <c r="Y196">
        <v>1.4916838624667481E-5</v>
      </c>
      <c r="Z196" t="s">
        <v>704</v>
      </c>
      <c r="AA196" t="s">
        <v>25</v>
      </c>
      <c r="AC196" t="s">
        <v>22</v>
      </c>
      <c r="AD196" t="s">
        <v>704</v>
      </c>
      <c r="AE196">
        <v>8.4818100218130086E-5</v>
      </c>
      <c r="AG196" t="s">
        <v>97</v>
      </c>
      <c r="AH196" t="s">
        <v>704</v>
      </c>
      <c r="AI196">
        <v>0</v>
      </c>
    </row>
    <row r="197" spans="5:35" x14ac:dyDescent="0.45">
      <c r="E197" t="s">
        <v>237</v>
      </c>
      <c r="G197" t="s">
        <v>445</v>
      </c>
      <c r="I197" t="s">
        <v>252</v>
      </c>
      <c r="J197" t="s">
        <v>705</v>
      </c>
      <c r="K197">
        <v>0</v>
      </c>
      <c r="L197" t="s">
        <v>254</v>
      </c>
      <c r="N197" t="s">
        <v>422</v>
      </c>
      <c r="O197" t="s">
        <v>705</v>
      </c>
      <c r="P197">
        <v>8.2367524350068823E-5</v>
      </c>
      <c r="Q197" t="s">
        <v>254</v>
      </c>
      <c r="S197" t="s">
        <v>423</v>
      </c>
      <c r="T197" t="s">
        <v>705</v>
      </c>
      <c r="U197">
        <v>2.9738819183755693E-5</v>
      </c>
      <c r="V197" t="s">
        <v>254</v>
      </c>
      <c r="X197">
        <v>1.1415525114155251E-4</v>
      </c>
      <c r="Y197">
        <v>1.6574265138519424E-5</v>
      </c>
      <c r="Z197" t="s">
        <v>705</v>
      </c>
      <c r="AA197" t="s">
        <v>25</v>
      </c>
      <c r="AC197" t="s">
        <v>22</v>
      </c>
      <c r="AD197" t="s">
        <v>705</v>
      </c>
      <c r="AE197">
        <v>8.3360547803669629E-5</v>
      </c>
      <c r="AG197" t="s">
        <v>97</v>
      </c>
      <c r="AH197" t="s">
        <v>705</v>
      </c>
      <c r="AI197">
        <v>0</v>
      </c>
    </row>
    <row r="198" spans="5:35" x14ac:dyDescent="0.45">
      <c r="E198" t="s">
        <v>238</v>
      </c>
      <c r="G198" t="s">
        <v>445</v>
      </c>
      <c r="I198" t="s">
        <v>252</v>
      </c>
      <c r="J198" t="s">
        <v>706</v>
      </c>
      <c r="K198">
        <v>0</v>
      </c>
      <c r="L198" t="s">
        <v>254</v>
      </c>
      <c r="N198" t="s">
        <v>422</v>
      </c>
      <c r="O198" t="s">
        <v>706</v>
      </c>
      <c r="P198">
        <v>9.354771915514348E-5</v>
      </c>
      <c r="Q198" t="s">
        <v>254</v>
      </c>
      <c r="S198" t="s">
        <v>423</v>
      </c>
      <c r="T198" t="s">
        <v>706</v>
      </c>
      <c r="U198">
        <v>3.2682037939476962E-5</v>
      </c>
      <c r="V198" t="s">
        <v>254</v>
      </c>
      <c r="X198">
        <v>1.1415525114155251E-4</v>
      </c>
      <c r="Y198">
        <v>1.4585353321897093E-5</v>
      </c>
      <c r="Z198" t="s">
        <v>706</v>
      </c>
      <c r="AA198" t="s">
        <v>25</v>
      </c>
      <c r="AC198" t="s">
        <v>22</v>
      </c>
      <c r="AD198" t="s">
        <v>706</v>
      </c>
      <c r="AE198">
        <v>8.0951750655561261E-5</v>
      </c>
      <c r="AG198" t="s">
        <v>97</v>
      </c>
      <c r="AH198" t="s">
        <v>706</v>
      </c>
      <c r="AI198">
        <v>0</v>
      </c>
    </row>
    <row r="199" spans="5:35" x14ac:dyDescent="0.45">
      <c r="E199" t="s">
        <v>239</v>
      </c>
      <c r="G199" t="s">
        <v>445</v>
      </c>
      <c r="I199" t="s">
        <v>252</v>
      </c>
      <c r="J199" t="s">
        <v>707</v>
      </c>
      <c r="K199">
        <v>0</v>
      </c>
      <c r="L199" t="s">
        <v>254</v>
      </c>
      <c r="N199" t="s">
        <v>422</v>
      </c>
      <c r="O199" t="s">
        <v>707</v>
      </c>
      <c r="P199">
        <v>1.034829239996E-4</v>
      </c>
      <c r="Q199" t="s">
        <v>254</v>
      </c>
      <c r="S199" t="s">
        <v>423</v>
      </c>
      <c r="T199" t="s">
        <v>707</v>
      </c>
      <c r="U199">
        <v>3.7471015718411552E-5</v>
      </c>
      <c r="V199" t="s">
        <v>254</v>
      </c>
      <c r="X199">
        <v>1.1415525114155251E-4</v>
      </c>
      <c r="Y199">
        <v>2.1215059377304864E-5</v>
      </c>
      <c r="Z199" t="s">
        <v>707</v>
      </c>
      <c r="AA199" t="s">
        <v>25</v>
      </c>
      <c r="AC199" t="s">
        <v>22</v>
      </c>
      <c r="AD199" t="s">
        <v>707</v>
      </c>
      <c r="AE199">
        <v>8.6528806472996859E-5</v>
      </c>
      <c r="AG199" t="s">
        <v>97</v>
      </c>
      <c r="AH199" t="s">
        <v>707</v>
      </c>
      <c r="AI199">
        <v>0</v>
      </c>
    </row>
    <row r="200" spans="5:35" x14ac:dyDescent="0.45">
      <c r="E200" t="s">
        <v>240</v>
      </c>
      <c r="G200" t="s">
        <v>445</v>
      </c>
      <c r="I200" t="s">
        <v>252</v>
      </c>
      <c r="J200" t="s">
        <v>708</v>
      </c>
      <c r="K200">
        <v>4.3219911931864557E-6</v>
      </c>
      <c r="L200" t="s">
        <v>254</v>
      </c>
      <c r="N200" t="s">
        <v>422</v>
      </c>
      <c r="O200" t="s">
        <v>708</v>
      </c>
      <c r="P200">
        <v>1.106815551654E-4</v>
      </c>
      <c r="Q200" t="s">
        <v>254</v>
      </c>
      <c r="S200" t="s">
        <v>423</v>
      </c>
      <c r="T200" t="s">
        <v>708</v>
      </c>
      <c r="U200">
        <v>4.3114570738390896E-5</v>
      </c>
      <c r="V200" t="s">
        <v>254</v>
      </c>
      <c r="X200">
        <v>1.1415525114155251E-4</v>
      </c>
      <c r="Y200">
        <v>5.7678442682047593E-5</v>
      </c>
      <c r="Z200" t="s">
        <v>708</v>
      </c>
      <c r="AA200" t="s">
        <v>25</v>
      </c>
      <c r="AC200" t="s">
        <v>22</v>
      </c>
      <c r="AD200" t="s">
        <v>708</v>
      </c>
      <c r="AE200">
        <v>1.0225502989217561E-4</v>
      </c>
      <c r="AG200" t="s">
        <v>97</v>
      </c>
      <c r="AH200" t="s">
        <v>708</v>
      </c>
      <c r="AI200">
        <v>0</v>
      </c>
    </row>
    <row r="201" spans="5:35" x14ac:dyDescent="0.45">
      <c r="E201" t="s">
        <v>241</v>
      </c>
      <c r="G201" t="s">
        <v>445</v>
      </c>
      <c r="I201" t="s">
        <v>252</v>
      </c>
      <c r="J201" t="s">
        <v>709</v>
      </c>
      <c r="K201">
        <v>1.8653835092369999E-4</v>
      </c>
      <c r="L201" t="s">
        <v>254</v>
      </c>
      <c r="N201" t="s">
        <v>422</v>
      </c>
      <c r="O201" t="s">
        <v>709</v>
      </c>
      <c r="P201">
        <v>1.0866123135819999E-4</v>
      </c>
      <c r="Q201" t="s">
        <v>254</v>
      </c>
      <c r="S201" t="s">
        <v>423</v>
      </c>
      <c r="T201" t="s">
        <v>709</v>
      </c>
      <c r="U201">
        <v>4.8221200445737135E-5</v>
      </c>
      <c r="V201" t="s">
        <v>254</v>
      </c>
      <c r="X201">
        <v>1.1415525114155251E-4</v>
      </c>
      <c r="Y201">
        <v>1.6905750441289813E-4</v>
      </c>
      <c r="Z201" t="s">
        <v>709</v>
      </c>
      <c r="AA201" t="s">
        <v>25</v>
      </c>
      <c r="AC201" t="s">
        <v>22</v>
      </c>
      <c r="AD201" t="s">
        <v>709</v>
      </c>
      <c r="AE201">
        <v>1.1599693634008888E-4</v>
      </c>
      <c r="AG201" t="s">
        <v>97</v>
      </c>
      <c r="AH201" t="s">
        <v>709</v>
      </c>
      <c r="AI201">
        <v>0</v>
      </c>
    </row>
    <row r="202" spans="5:35" x14ac:dyDescent="0.45">
      <c r="E202" t="s">
        <v>242</v>
      </c>
      <c r="G202" t="s">
        <v>445</v>
      </c>
      <c r="I202" t="s">
        <v>252</v>
      </c>
      <c r="J202" t="s">
        <v>710</v>
      </c>
      <c r="K202">
        <v>2.9480363088769999E-4</v>
      </c>
      <c r="L202" t="s">
        <v>254</v>
      </c>
      <c r="N202" t="s">
        <v>422</v>
      </c>
      <c r="O202" t="s">
        <v>710</v>
      </c>
      <c r="P202">
        <v>1.0400635171619999E-4</v>
      </c>
      <c r="Q202" t="s">
        <v>254</v>
      </c>
      <c r="S202" t="s">
        <v>423</v>
      </c>
      <c r="T202" t="s">
        <v>710</v>
      </c>
      <c r="U202">
        <v>5.104292029687918E-5</v>
      </c>
      <c r="V202" t="s">
        <v>254</v>
      </c>
      <c r="X202">
        <v>1.1415525114155251E-4</v>
      </c>
      <c r="Y202">
        <v>1.9060404909297337E-4</v>
      </c>
      <c r="Z202" t="s">
        <v>710</v>
      </c>
      <c r="AA202" t="s">
        <v>25</v>
      </c>
      <c r="AC202" t="s">
        <v>22</v>
      </c>
      <c r="AD202" t="s">
        <v>710</v>
      </c>
      <c r="AE202">
        <v>1.2485476364481007E-4</v>
      </c>
      <c r="AG202" t="s">
        <v>97</v>
      </c>
      <c r="AH202" t="s">
        <v>710</v>
      </c>
      <c r="AI202">
        <v>0</v>
      </c>
    </row>
    <row r="203" spans="5:35" x14ac:dyDescent="0.45">
      <c r="E203" t="s">
        <v>559</v>
      </c>
      <c r="G203" t="s">
        <v>447</v>
      </c>
      <c r="I203" t="s">
        <v>252</v>
      </c>
      <c r="J203" t="s">
        <v>711</v>
      </c>
      <c r="K203">
        <v>3.6565329229359999E-4</v>
      </c>
      <c r="L203" t="s">
        <v>254</v>
      </c>
      <c r="N203" t="s">
        <v>422</v>
      </c>
      <c r="O203" t="s">
        <v>711</v>
      </c>
      <c r="P203">
        <v>8.1494806357995447E-5</v>
      </c>
      <c r="Q203" t="s">
        <v>254</v>
      </c>
      <c r="S203" t="s">
        <v>423</v>
      </c>
      <c r="T203" t="s">
        <v>711</v>
      </c>
      <c r="U203">
        <v>4.9557558334234857E-5</v>
      </c>
      <c r="V203" t="s">
        <v>254</v>
      </c>
      <c r="X203">
        <v>1.1415525114155251E-4</v>
      </c>
      <c r="Y203">
        <v>1.4585353321897094E-4</v>
      </c>
      <c r="Z203" t="s">
        <v>711</v>
      </c>
      <c r="AA203" t="s">
        <v>25</v>
      </c>
      <c r="AC203" t="s">
        <v>22</v>
      </c>
      <c r="AD203" t="s">
        <v>711</v>
      </c>
      <c r="AE203">
        <v>1.287901551638533E-4</v>
      </c>
      <c r="AG203" t="s">
        <v>97</v>
      </c>
      <c r="AH203" t="s">
        <v>711</v>
      </c>
      <c r="AI203">
        <v>0</v>
      </c>
    </row>
    <row r="204" spans="5:35" x14ac:dyDescent="0.45">
      <c r="E204" t="s">
        <v>560</v>
      </c>
      <c r="G204" t="s">
        <v>447</v>
      </c>
      <c r="I204" t="s">
        <v>252</v>
      </c>
      <c r="J204" t="s">
        <v>712</v>
      </c>
      <c r="K204">
        <v>4.0903283033209999E-4</v>
      </c>
      <c r="L204" t="s">
        <v>254</v>
      </c>
      <c r="N204" t="s">
        <v>422</v>
      </c>
      <c r="O204" t="s">
        <v>712</v>
      </c>
      <c r="P204">
        <v>7.9490185003327476E-5</v>
      </c>
      <c r="Q204" t="s">
        <v>254</v>
      </c>
      <c r="S204" t="s">
        <v>423</v>
      </c>
      <c r="T204" t="s">
        <v>712</v>
      </c>
      <c r="U204">
        <v>4.6855102315479058E-5</v>
      </c>
      <c r="V204" t="s">
        <v>254</v>
      </c>
      <c r="X204">
        <v>1.1415525114155251E-4</v>
      </c>
      <c r="Y204">
        <v>1.4452759200788939E-4</v>
      </c>
      <c r="Z204" t="s">
        <v>712</v>
      </c>
      <c r="AA204" t="s">
        <v>25</v>
      </c>
      <c r="AC204" t="s">
        <v>22</v>
      </c>
      <c r="AD204" t="s">
        <v>712</v>
      </c>
      <c r="AE204">
        <v>1.3233942314853949E-4</v>
      </c>
      <c r="AG204" t="s">
        <v>97</v>
      </c>
      <c r="AH204" t="s">
        <v>712</v>
      </c>
      <c r="AI204">
        <v>0</v>
      </c>
    </row>
    <row r="205" spans="5:35" x14ac:dyDescent="0.45">
      <c r="E205" t="s">
        <v>561</v>
      </c>
      <c r="G205" t="s">
        <v>447</v>
      </c>
      <c r="I205" t="s">
        <v>252</v>
      </c>
      <c r="J205" t="s">
        <v>713</v>
      </c>
      <c r="K205">
        <v>4.3214955725010001E-4</v>
      </c>
      <c r="L205" t="s">
        <v>254</v>
      </c>
      <c r="N205" t="s">
        <v>422</v>
      </c>
      <c r="O205" t="s">
        <v>713</v>
      </c>
      <c r="P205">
        <v>1.0151631624240001E-4</v>
      </c>
      <c r="Q205" t="s">
        <v>254</v>
      </c>
      <c r="S205" t="s">
        <v>423</v>
      </c>
      <c r="T205" t="s">
        <v>713</v>
      </c>
      <c r="U205">
        <v>4.0872958605331606E-5</v>
      </c>
      <c r="V205" t="s">
        <v>254</v>
      </c>
      <c r="X205">
        <v>1.1415525114155251E-4</v>
      </c>
      <c r="Y205">
        <v>1.408812536774151E-4</v>
      </c>
      <c r="Z205" t="s">
        <v>713</v>
      </c>
      <c r="AA205" t="s">
        <v>25</v>
      </c>
      <c r="AC205" t="s">
        <v>22</v>
      </c>
      <c r="AD205" t="s">
        <v>713</v>
      </c>
      <c r="AE205">
        <v>1.3338272382415332E-4</v>
      </c>
      <c r="AG205" t="s">
        <v>97</v>
      </c>
      <c r="AH205" t="s">
        <v>713</v>
      </c>
      <c r="AI205">
        <v>0</v>
      </c>
    </row>
    <row r="206" spans="5:35" x14ac:dyDescent="0.45">
      <c r="E206" t="s">
        <v>562</v>
      </c>
      <c r="G206" t="s">
        <v>447</v>
      </c>
      <c r="I206" t="s">
        <v>252</v>
      </c>
      <c r="J206" t="s">
        <v>714</v>
      </c>
      <c r="K206">
        <v>4.3518242043930002E-4</v>
      </c>
      <c r="L206" t="s">
        <v>254</v>
      </c>
      <c r="N206" t="s">
        <v>422</v>
      </c>
      <c r="O206" t="s">
        <v>714</v>
      </c>
      <c r="P206">
        <v>1.085183411613E-4</v>
      </c>
      <c r="Q206" t="s">
        <v>254</v>
      </c>
      <c r="S206" t="s">
        <v>423</v>
      </c>
      <c r="T206" t="s">
        <v>714</v>
      </c>
      <c r="U206">
        <v>4.2327218367064363E-5</v>
      </c>
      <c r="V206" t="s">
        <v>254</v>
      </c>
      <c r="X206">
        <v>1.1415525114155251E-4</v>
      </c>
      <c r="Y206">
        <v>1.4054976837464471E-4</v>
      </c>
      <c r="Z206" t="s">
        <v>714</v>
      </c>
      <c r="AA206" t="s">
        <v>25</v>
      </c>
      <c r="AC206" t="s">
        <v>22</v>
      </c>
      <c r="AD206" t="s">
        <v>714</v>
      </c>
      <c r="AE206">
        <v>1.3342875179513629E-4</v>
      </c>
      <c r="AG206" t="s">
        <v>97</v>
      </c>
      <c r="AH206" t="s">
        <v>714</v>
      </c>
      <c r="AI206">
        <v>0</v>
      </c>
    </row>
    <row r="207" spans="5:35" x14ac:dyDescent="0.45">
      <c r="E207" t="s">
        <v>563</v>
      </c>
      <c r="G207" t="s">
        <v>447</v>
      </c>
      <c r="I207" t="s">
        <v>252</v>
      </c>
      <c r="J207" t="s">
        <v>715</v>
      </c>
      <c r="K207">
        <v>4.2191744034979998E-4</v>
      </c>
      <c r="L207" t="s">
        <v>254</v>
      </c>
      <c r="N207" t="s">
        <v>422</v>
      </c>
      <c r="O207" t="s">
        <v>715</v>
      </c>
      <c r="P207">
        <v>1.1883842040219999E-4</v>
      </c>
      <c r="Q207" t="s">
        <v>254</v>
      </c>
      <c r="S207" t="s">
        <v>423</v>
      </c>
      <c r="T207" t="s">
        <v>715</v>
      </c>
      <c r="U207">
        <v>4.9475005871288593E-5</v>
      </c>
      <c r="V207" t="s">
        <v>254</v>
      </c>
      <c r="X207">
        <v>1.1415525114155251E-4</v>
      </c>
      <c r="Y207">
        <v>1.4253868019126702E-4</v>
      </c>
      <c r="Z207" t="s">
        <v>715</v>
      </c>
      <c r="AA207" t="s">
        <v>25</v>
      </c>
      <c r="AC207" t="s">
        <v>22</v>
      </c>
      <c r="AD207" t="s">
        <v>715</v>
      </c>
      <c r="AE207">
        <v>1.3489141842859485E-4</v>
      </c>
      <c r="AG207" t="s">
        <v>97</v>
      </c>
      <c r="AH207" t="s">
        <v>715</v>
      </c>
      <c r="AI207">
        <v>0</v>
      </c>
    </row>
    <row r="208" spans="5:35" x14ac:dyDescent="0.45">
      <c r="E208" t="s">
        <v>564</v>
      </c>
      <c r="G208" t="s">
        <v>447</v>
      </c>
      <c r="I208" t="s">
        <v>252</v>
      </c>
      <c r="J208" t="s">
        <v>716</v>
      </c>
      <c r="K208">
        <v>4.2190227113449998E-4</v>
      </c>
      <c r="L208" t="s">
        <v>254</v>
      </c>
      <c r="N208" t="s">
        <v>422</v>
      </c>
      <c r="O208" t="s">
        <v>716</v>
      </c>
      <c r="P208">
        <v>1.2879223774670001E-4</v>
      </c>
      <c r="Q208" t="s">
        <v>254</v>
      </c>
      <c r="S208" t="s">
        <v>423</v>
      </c>
      <c r="T208" t="s">
        <v>716</v>
      </c>
      <c r="U208">
        <v>5.8306999740428863E-5</v>
      </c>
      <c r="V208" t="s">
        <v>254</v>
      </c>
      <c r="X208">
        <v>1.1415525114155251E-4</v>
      </c>
      <c r="Y208">
        <v>1.4883690094390442E-4</v>
      </c>
      <c r="Z208" t="s">
        <v>716</v>
      </c>
      <c r="AA208" t="s">
        <v>25</v>
      </c>
      <c r="AC208" t="s">
        <v>22</v>
      </c>
      <c r="AD208" t="s">
        <v>716</v>
      </c>
      <c r="AE208">
        <v>1.3374071915402082E-4</v>
      </c>
      <c r="AG208" t="s">
        <v>97</v>
      </c>
      <c r="AH208" t="s">
        <v>716</v>
      </c>
      <c r="AI208">
        <v>0</v>
      </c>
    </row>
    <row r="209" spans="5:35" x14ac:dyDescent="0.45">
      <c r="E209" t="s">
        <v>565</v>
      </c>
      <c r="G209" t="s">
        <v>447</v>
      </c>
      <c r="I209" t="s">
        <v>252</v>
      </c>
      <c r="J209" t="s">
        <v>717</v>
      </c>
      <c r="K209">
        <v>4.2975962367180001E-4</v>
      </c>
      <c r="L209" t="s">
        <v>254</v>
      </c>
      <c r="N209" t="s">
        <v>422</v>
      </c>
      <c r="O209" t="s">
        <v>717</v>
      </c>
      <c r="P209">
        <v>1.3735196287710001E-4</v>
      </c>
      <c r="Q209" t="s">
        <v>254</v>
      </c>
      <c r="S209" t="s">
        <v>423</v>
      </c>
      <c r="T209" t="s">
        <v>717</v>
      </c>
      <c r="U209">
        <v>7.490094887115807E-5</v>
      </c>
      <c r="V209" t="s">
        <v>254</v>
      </c>
      <c r="X209">
        <v>1.1415525114155251E-4</v>
      </c>
      <c r="Y209">
        <v>1.5049432745775637E-4</v>
      </c>
      <c r="Z209" t="s">
        <v>717</v>
      </c>
      <c r="AA209" t="s">
        <v>25</v>
      </c>
      <c r="AC209" t="s">
        <v>22</v>
      </c>
      <c r="AD209" t="s">
        <v>717</v>
      </c>
      <c r="AE209">
        <v>1.3152114810884241E-4</v>
      </c>
      <c r="AG209" t="s">
        <v>97</v>
      </c>
      <c r="AH209" t="s">
        <v>717</v>
      </c>
      <c r="AI209">
        <v>0</v>
      </c>
    </row>
    <row r="210" spans="5:35" x14ac:dyDescent="0.45">
      <c r="E210" t="s">
        <v>566</v>
      </c>
      <c r="G210" t="s">
        <v>447</v>
      </c>
      <c r="I210" t="s">
        <v>252</v>
      </c>
      <c r="J210" t="s">
        <v>718</v>
      </c>
      <c r="K210">
        <v>4.2101342658189999E-4</v>
      </c>
      <c r="L210" t="s">
        <v>254</v>
      </c>
      <c r="N210" t="s">
        <v>422</v>
      </c>
      <c r="O210" t="s">
        <v>718</v>
      </c>
      <c r="P210">
        <v>1.4138123456070001E-4</v>
      </c>
      <c r="Q210" t="s">
        <v>254</v>
      </c>
      <c r="S210" t="s">
        <v>423</v>
      </c>
      <c r="T210" t="s">
        <v>718</v>
      </c>
      <c r="U210">
        <v>9.7534142493849367E-5</v>
      </c>
      <c r="V210" t="s">
        <v>254</v>
      </c>
      <c r="X210">
        <v>1.1415525114155251E-4</v>
      </c>
      <c r="Y210">
        <v>1.7237235744060203E-4</v>
      </c>
      <c r="Z210" t="s">
        <v>718</v>
      </c>
      <c r="AA210" t="s">
        <v>25</v>
      </c>
      <c r="AC210" t="s">
        <v>22</v>
      </c>
      <c r="AD210" t="s">
        <v>718</v>
      </c>
      <c r="AE210">
        <v>1.3023747914031757E-4</v>
      </c>
      <c r="AG210" t="s">
        <v>97</v>
      </c>
      <c r="AH210" t="s">
        <v>718</v>
      </c>
      <c r="AI210">
        <v>0</v>
      </c>
    </row>
    <row r="211" spans="5:35" x14ac:dyDescent="0.45">
      <c r="E211" t="s">
        <v>567</v>
      </c>
      <c r="G211" t="s">
        <v>447</v>
      </c>
      <c r="I211" t="s">
        <v>252</v>
      </c>
      <c r="J211" t="s">
        <v>719</v>
      </c>
      <c r="K211">
        <v>3.8878769282610001E-4</v>
      </c>
      <c r="L211" t="s">
        <v>254</v>
      </c>
      <c r="N211" t="s">
        <v>422</v>
      </c>
      <c r="O211" t="s">
        <v>719</v>
      </c>
      <c r="P211">
        <v>1.377695519393E-4</v>
      </c>
      <c r="Q211" t="s">
        <v>254</v>
      </c>
      <c r="S211" t="s">
        <v>423</v>
      </c>
      <c r="T211" t="s">
        <v>719</v>
      </c>
      <c r="U211">
        <v>1.1132253070729999E-4</v>
      </c>
      <c r="V211" t="s">
        <v>254</v>
      </c>
      <c r="X211">
        <v>1.1415525114155251E-4</v>
      </c>
      <c r="Y211">
        <v>2.2209515285616027E-4</v>
      </c>
      <c r="Z211" t="s">
        <v>719</v>
      </c>
      <c r="AA211" t="s">
        <v>25</v>
      </c>
      <c r="AC211" t="s">
        <v>22</v>
      </c>
      <c r="AD211" t="s">
        <v>719</v>
      </c>
      <c r="AE211">
        <v>1.295547309040703E-4</v>
      </c>
      <c r="AG211" t="s">
        <v>97</v>
      </c>
      <c r="AH211" t="s">
        <v>719</v>
      </c>
      <c r="AI211">
        <v>0</v>
      </c>
    </row>
    <row r="212" spans="5:35" x14ac:dyDescent="0.45">
      <c r="E212" t="s">
        <v>568</v>
      </c>
      <c r="G212" t="s">
        <v>447</v>
      </c>
      <c r="I212" t="s">
        <v>252</v>
      </c>
      <c r="J212" t="s">
        <v>720</v>
      </c>
      <c r="K212">
        <v>3.4470085622209998E-4</v>
      </c>
      <c r="L212" t="s">
        <v>254</v>
      </c>
      <c r="N212" t="s">
        <v>422</v>
      </c>
      <c r="O212" t="s">
        <v>720</v>
      </c>
      <c r="P212">
        <v>1.2772748562129999E-4</v>
      </c>
      <c r="Q212" t="s">
        <v>254</v>
      </c>
      <c r="S212" t="s">
        <v>423</v>
      </c>
      <c r="T212" t="s">
        <v>720</v>
      </c>
      <c r="U212">
        <v>1.2293728575410001E-4</v>
      </c>
      <c r="V212" t="s">
        <v>254</v>
      </c>
      <c r="X212">
        <v>1.1415525114155251E-4</v>
      </c>
      <c r="Y212">
        <v>2.2209515285616027E-4</v>
      </c>
      <c r="Z212" t="s">
        <v>720</v>
      </c>
      <c r="AA212" t="s">
        <v>25</v>
      </c>
      <c r="AC212" t="s">
        <v>22</v>
      </c>
      <c r="AD212" t="s">
        <v>720</v>
      </c>
      <c r="AE212">
        <v>1.295547309040703E-4</v>
      </c>
      <c r="AG212" t="s">
        <v>97</v>
      </c>
      <c r="AH212" t="s">
        <v>720</v>
      </c>
      <c r="AI212">
        <v>0</v>
      </c>
    </row>
    <row r="213" spans="5:35" x14ac:dyDescent="0.45">
      <c r="E213" t="s">
        <v>569</v>
      </c>
      <c r="G213" t="s">
        <v>447</v>
      </c>
      <c r="I213" t="s">
        <v>252</v>
      </c>
      <c r="J213" t="s">
        <v>721</v>
      </c>
      <c r="K213">
        <v>2.7143851944840002E-4</v>
      </c>
      <c r="L213" t="s">
        <v>254</v>
      </c>
      <c r="N213" t="s">
        <v>422</v>
      </c>
      <c r="O213" t="s">
        <v>721</v>
      </c>
      <c r="P213">
        <v>1.209781561438E-4</v>
      </c>
      <c r="Q213" t="s">
        <v>254</v>
      </c>
      <c r="S213" t="s">
        <v>423</v>
      </c>
      <c r="T213" t="s">
        <v>721</v>
      </c>
      <c r="U213">
        <v>1.3746820855580001E-4</v>
      </c>
      <c r="V213" t="s">
        <v>254</v>
      </c>
      <c r="X213">
        <v>1.1415525114155251E-4</v>
      </c>
      <c r="Y213">
        <v>1.7237235744060203E-4</v>
      </c>
      <c r="Z213" t="s">
        <v>721</v>
      </c>
      <c r="AA213" t="s">
        <v>25</v>
      </c>
      <c r="AC213" t="s">
        <v>22</v>
      </c>
      <c r="AD213" t="s">
        <v>721</v>
      </c>
      <c r="AE213">
        <v>1.288182833683429E-4</v>
      </c>
      <c r="AG213" t="s">
        <v>97</v>
      </c>
      <c r="AH213" t="s">
        <v>721</v>
      </c>
      <c r="AI213">
        <v>0</v>
      </c>
    </row>
    <row r="214" spans="5:35" x14ac:dyDescent="0.45">
      <c r="E214" t="s">
        <v>570</v>
      </c>
      <c r="G214" t="s">
        <v>447</v>
      </c>
      <c r="I214" t="s">
        <v>252</v>
      </c>
      <c r="J214" t="s">
        <v>722</v>
      </c>
      <c r="K214">
        <v>1.5707885643680001E-4</v>
      </c>
      <c r="L214" t="s">
        <v>254</v>
      </c>
      <c r="N214" t="s">
        <v>422</v>
      </c>
      <c r="O214" t="s">
        <v>722</v>
      </c>
      <c r="P214">
        <v>1.188387872004E-4</v>
      </c>
      <c r="Q214" t="s">
        <v>254</v>
      </c>
      <c r="S214" t="s">
        <v>423</v>
      </c>
      <c r="T214" t="s">
        <v>722</v>
      </c>
      <c r="U214">
        <v>1.4778488021910001E-4</v>
      </c>
      <c r="V214" t="s">
        <v>254</v>
      </c>
      <c r="X214">
        <v>1.1415525114155251E-4</v>
      </c>
      <c r="Y214">
        <v>1.5579809230208258E-4</v>
      </c>
      <c r="Z214" t="s">
        <v>722</v>
      </c>
      <c r="AA214" t="s">
        <v>25</v>
      </c>
      <c r="AC214" t="s">
        <v>22</v>
      </c>
      <c r="AD214" t="s">
        <v>722</v>
      </c>
      <c r="AE214">
        <v>1.265501272426825E-4</v>
      </c>
      <c r="AG214" t="s">
        <v>97</v>
      </c>
      <c r="AH214" t="s">
        <v>722</v>
      </c>
      <c r="AI214">
        <v>0</v>
      </c>
    </row>
    <row r="215" spans="5:35" x14ac:dyDescent="0.45">
      <c r="E215" t="s">
        <v>571</v>
      </c>
      <c r="G215" t="s">
        <v>447</v>
      </c>
      <c r="I215" t="s">
        <v>252</v>
      </c>
      <c r="J215" t="s">
        <v>723</v>
      </c>
      <c r="K215">
        <v>5.2492031099501024E-8</v>
      </c>
      <c r="L215" t="s">
        <v>254</v>
      </c>
      <c r="N215" t="s">
        <v>422</v>
      </c>
      <c r="O215" t="s">
        <v>723</v>
      </c>
      <c r="P215">
        <v>1.144067628656E-4</v>
      </c>
      <c r="Q215" t="s">
        <v>254</v>
      </c>
      <c r="S215" t="s">
        <v>423</v>
      </c>
      <c r="T215" t="s">
        <v>723</v>
      </c>
      <c r="U215">
        <v>1.503847985412E-4</v>
      </c>
      <c r="V215" t="s">
        <v>254</v>
      </c>
      <c r="X215">
        <v>1.1415525114155251E-4</v>
      </c>
      <c r="Y215">
        <v>1.093901499142282E-4</v>
      </c>
      <c r="Z215" t="s">
        <v>723</v>
      </c>
      <c r="AA215" t="s">
        <v>25</v>
      </c>
      <c r="AC215" t="s">
        <v>22</v>
      </c>
      <c r="AD215" t="s">
        <v>723</v>
      </c>
      <c r="AE215">
        <v>1.1899131156348046E-4</v>
      </c>
      <c r="AG215" t="s">
        <v>97</v>
      </c>
      <c r="AH215" t="s">
        <v>723</v>
      </c>
      <c r="AI215">
        <v>0</v>
      </c>
    </row>
    <row r="216" spans="5:35" x14ac:dyDescent="0.45">
      <c r="E216" t="s">
        <v>572</v>
      </c>
      <c r="G216" t="s">
        <v>447</v>
      </c>
      <c r="I216" t="s">
        <v>252</v>
      </c>
      <c r="J216" t="s">
        <v>724</v>
      </c>
      <c r="K216">
        <v>0</v>
      </c>
      <c r="L216" t="s">
        <v>254</v>
      </c>
      <c r="N216" t="s">
        <v>422</v>
      </c>
      <c r="O216" t="s">
        <v>724</v>
      </c>
      <c r="P216">
        <v>1.058373842204E-4</v>
      </c>
      <c r="Q216" t="s">
        <v>254</v>
      </c>
      <c r="S216" t="s">
        <v>423</v>
      </c>
      <c r="T216" t="s">
        <v>724</v>
      </c>
      <c r="U216">
        <v>1.445543881783E-4</v>
      </c>
      <c r="V216" t="s">
        <v>254</v>
      </c>
      <c r="X216">
        <v>1.1415525114155251E-4</v>
      </c>
      <c r="Y216">
        <v>7.9556472664893237E-5</v>
      </c>
      <c r="Z216" t="s">
        <v>724</v>
      </c>
      <c r="AA216" t="s">
        <v>25</v>
      </c>
      <c r="AC216" t="s">
        <v>22</v>
      </c>
      <c r="AD216" t="s">
        <v>724</v>
      </c>
      <c r="AE216">
        <v>1.1496897832146938E-4</v>
      </c>
      <c r="AG216" t="s">
        <v>97</v>
      </c>
      <c r="AH216" t="s">
        <v>724</v>
      </c>
      <c r="AI216">
        <v>0</v>
      </c>
    </row>
    <row r="217" spans="5:35" x14ac:dyDescent="0.45">
      <c r="E217" t="s">
        <v>573</v>
      </c>
      <c r="G217" t="s">
        <v>447</v>
      </c>
      <c r="I217" t="s">
        <v>252</v>
      </c>
      <c r="J217" t="s">
        <v>725</v>
      </c>
      <c r="K217">
        <v>0</v>
      </c>
      <c r="L217" t="s">
        <v>254</v>
      </c>
      <c r="N217" t="s">
        <v>422</v>
      </c>
      <c r="O217" t="s">
        <v>725</v>
      </c>
      <c r="P217">
        <v>9.7451362080472524E-5</v>
      </c>
      <c r="Q217" t="s">
        <v>254</v>
      </c>
      <c r="S217" t="s">
        <v>423</v>
      </c>
      <c r="T217" t="s">
        <v>725</v>
      </c>
      <c r="U217">
        <v>1.386001776758E-4</v>
      </c>
      <c r="V217" t="s">
        <v>254</v>
      </c>
      <c r="X217">
        <v>1.1415525114155251E-4</v>
      </c>
      <c r="Y217">
        <v>5.6352501470966035E-5</v>
      </c>
      <c r="Z217" t="s">
        <v>725</v>
      </c>
      <c r="AA217" t="s">
        <v>25</v>
      </c>
      <c r="AC217" t="s">
        <v>22</v>
      </c>
      <c r="AD217" t="s">
        <v>725</v>
      </c>
      <c r="AE217">
        <v>1.1301790377369161E-4</v>
      </c>
      <c r="AG217" t="s">
        <v>97</v>
      </c>
      <c r="AH217" t="s">
        <v>725</v>
      </c>
      <c r="AI217">
        <v>0</v>
      </c>
    </row>
    <row r="218" spans="5:35" x14ac:dyDescent="0.45">
      <c r="E218" t="s">
        <v>574</v>
      </c>
      <c r="G218" t="s">
        <v>447</v>
      </c>
      <c r="I218" t="s">
        <v>252</v>
      </c>
      <c r="J218" t="s">
        <v>726</v>
      </c>
      <c r="K218">
        <v>0</v>
      </c>
      <c r="L218" t="s">
        <v>254</v>
      </c>
      <c r="N218" t="s">
        <v>422</v>
      </c>
      <c r="O218" t="s">
        <v>726</v>
      </c>
      <c r="P218">
        <v>8.6821212122032654E-5</v>
      </c>
      <c r="Q218" t="s">
        <v>254</v>
      </c>
      <c r="S218" t="s">
        <v>423</v>
      </c>
      <c r="T218" t="s">
        <v>726</v>
      </c>
      <c r="U218">
        <v>1.2708437295439999E-4</v>
      </c>
      <c r="V218" t="s">
        <v>254</v>
      </c>
      <c r="X218">
        <v>1.1415525114155251E-4</v>
      </c>
      <c r="Y218">
        <v>2.9833677249334962E-5</v>
      </c>
      <c r="Z218" t="s">
        <v>726</v>
      </c>
      <c r="AA218" t="s">
        <v>25</v>
      </c>
      <c r="AC218" t="s">
        <v>22</v>
      </c>
      <c r="AD218" t="s">
        <v>726</v>
      </c>
      <c r="AE218">
        <v>1.0594238178981069E-4</v>
      </c>
      <c r="AG218" t="s">
        <v>97</v>
      </c>
      <c r="AH218" t="s">
        <v>726</v>
      </c>
      <c r="AI218">
        <v>0</v>
      </c>
    </row>
    <row r="219" spans="5:35" x14ac:dyDescent="0.45">
      <c r="E219" t="s">
        <v>575</v>
      </c>
      <c r="G219" t="s">
        <v>447</v>
      </c>
      <c r="I219" t="s">
        <v>252</v>
      </c>
      <c r="J219" t="s">
        <v>366</v>
      </c>
      <c r="K219">
        <v>8.038752817470891E-4</v>
      </c>
      <c r="L219" t="s">
        <v>254</v>
      </c>
      <c r="N219" t="s">
        <v>422</v>
      </c>
      <c r="O219" t="s">
        <v>366</v>
      </c>
      <c r="P219">
        <v>1.6835040087666071E-2</v>
      </c>
      <c r="Q219" t="s">
        <v>254</v>
      </c>
      <c r="S219" t="s">
        <v>423</v>
      </c>
      <c r="T219" t="s">
        <v>366</v>
      </c>
      <c r="U219">
        <v>1.6379627243211563E-2</v>
      </c>
      <c r="V219" t="s">
        <v>254</v>
      </c>
      <c r="X219">
        <v>2.2374429223744292E-2</v>
      </c>
      <c r="Y219">
        <v>8.8360722306474754E-3</v>
      </c>
      <c r="Z219" t="s">
        <v>366</v>
      </c>
      <c r="AA219" t="s">
        <v>25</v>
      </c>
      <c r="AC219" t="s">
        <v>22</v>
      </c>
      <c r="AD219" t="s">
        <v>366</v>
      </c>
      <c r="AE219">
        <v>1.6382294287085822E-2</v>
      </c>
      <c r="AG219" t="s">
        <v>97</v>
      </c>
      <c r="AH219" t="s">
        <v>366</v>
      </c>
      <c r="AI219">
        <v>0.24772227276469239</v>
      </c>
    </row>
    <row r="220" spans="5:35" x14ac:dyDescent="0.45">
      <c r="E220" t="s">
        <v>576</v>
      </c>
      <c r="G220" t="s">
        <v>447</v>
      </c>
      <c r="I220" t="s">
        <v>252</v>
      </c>
      <c r="J220" t="s">
        <v>367</v>
      </c>
      <c r="K220">
        <v>3.8155110647591366E-3</v>
      </c>
      <c r="L220" t="s">
        <v>254</v>
      </c>
      <c r="N220" t="s">
        <v>422</v>
      </c>
      <c r="O220" t="s">
        <v>367</v>
      </c>
      <c r="P220">
        <v>2.0767618394675487E-3</v>
      </c>
      <c r="Q220" t="s">
        <v>254</v>
      </c>
      <c r="S220" t="s">
        <v>423</v>
      </c>
      <c r="T220" t="s">
        <v>367</v>
      </c>
      <c r="U220">
        <v>2.2514979192524141E-3</v>
      </c>
      <c r="V220" t="s">
        <v>254</v>
      </c>
      <c r="X220">
        <v>3.1963470319634705E-3</v>
      </c>
      <c r="Y220">
        <v>5.3369133746032542E-3</v>
      </c>
      <c r="Z220" t="s">
        <v>367</v>
      </c>
      <c r="AA220" t="s">
        <v>25</v>
      </c>
      <c r="AC220" t="s">
        <v>22</v>
      </c>
      <c r="AD220" t="s">
        <v>367</v>
      </c>
      <c r="AE220">
        <v>3.1144462628640681E-3</v>
      </c>
      <c r="AG220" t="s">
        <v>97</v>
      </c>
      <c r="AH220" t="s">
        <v>367</v>
      </c>
      <c r="AI220">
        <v>8.4299791234248467E-2</v>
      </c>
    </row>
    <row r="221" spans="5:35" x14ac:dyDescent="0.45">
      <c r="E221" t="s">
        <v>577</v>
      </c>
      <c r="G221" t="s">
        <v>447</v>
      </c>
      <c r="I221" t="s">
        <v>252</v>
      </c>
      <c r="J221" t="s">
        <v>368</v>
      </c>
      <c r="K221">
        <v>1.3630775962321828E-2</v>
      </c>
      <c r="L221" t="s">
        <v>254</v>
      </c>
      <c r="N221" t="s">
        <v>422</v>
      </c>
      <c r="O221" t="s">
        <v>368</v>
      </c>
      <c r="P221">
        <v>4.2459102458549322E-3</v>
      </c>
      <c r="Q221" t="s">
        <v>254</v>
      </c>
      <c r="S221" t="s">
        <v>423</v>
      </c>
      <c r="T221" t="s">
        <v>368</v>
      </c>
      <c r="U221">
        <v>4.5982595653521578E-3</v>
      </c>
      <c r="V221" t="s">
        <v>254</v>
      </c>
      <c r="X221">
        <v>6.392694063926941E-3</v>
      </c>
      <c r="Y221">
        <v>8.1306715063520895E-3</v>
      </c>
      <c r="Z221" t="s">
        <v>368</v>
      </c>
      <c r="AA221" t="s">
        <v>25</v>
      </c>
      <c r="AC221" t="s">
        <v>22</v>
      </c>
      <c r="AD221" t="s">
        <v>368</v>
      </c>
      <c r="AE221">
        <v>6.612706990207563E-3</v>
      </c>
      <c r="AG221" t="s">
        <v>97</v>
      </c>
      <c r="AH221" t="s">
        <v>368</v>
      </c>
      <c r="AI221">
        <v>7.2933044001813441E-2</v>
      </c>
    </row>
    <row r="222" spans="5:35" x14ac:dyDescent="0.45">
      <c r="E222" t="s">
        <v>578</v>
      </c>
      <c r="G222" t="s">
        <v>447</v>
      </c>
      <c r="I222" t="s">
        <v>252</v>
      </c>
      <c r="J222" t="s">
        <v>369</v>
      </c>
      <c r="K222">
        <v>2.50481535269893E-2</v>
      </c>
      <c r="L222" t="s">
        <v>254</v>
      </c>
      <c r="N222" t="s">
        <v>422</v>
      </c>
      <c r="O222" t="s">
        <v>369</v>
      </c>
      <c r="P222">
        <v>6.5572412848404083E-3</v>
      </c>
      <c r="Q222" t="s">
        <v>254</v>
      </c>
      <c r="S222" t="s">
        <v>423</v>
      </c>
      <c r="T222" t="s">
        <v>369</v>
      </c>
      <c r="U222">
        <v>6.7182314111576087E-3</v>
      </c>
      <c r="V222" t="s">
        <v>254</v>
      </c>
      <c r="X222">
        <v>9.5890410958904115E-3</v>
      </c>
      <c r="Y222">
        <v>1.1871151662813155E-2</v>
      </c>
      <c r="Z222" t="s">
        <v>369</v>
      </c>
      <c r="AA222" t="s">
        <v>25</v>
      </c>
      <c r="AC222" t="s">
        <v>22</v>
      </c>
      <c r="AD222" t="s">
        <v>369</v>
      </c>
      <c r="AE222">
        <v>9.9609727885555804E-3</v>
      </c>
      <c r="AG222" t="s">
        <v>97</v>
      </c>
      <c r="AH222" t="s">
        <v>369</v>
      </c>
      <c r="AI222">
        <v>9.3312692822423271E-2</v>
      </c>
    </row>
    <row r="223" spans="5:35" x14ac:dyDescent="0.45">
      <c r="E223" t="s">
        <v>579</v>
      </c>
      <c r="G223" t="s">
        <v>447</v>
      </c>
      <c r="I223" t="s">
        <v>252</v>
      </c>
      <c r="J223" t="s">
        <v>370</v>
      </c>
      <c r="K223">
        <v>8.2055684953432004E-3</v>
      </c>
      <c r="L223" t="s">
        <v>254</v>
      </c>
      <c r="N223" t="s">
        <v>422</v>
      </c>
      <c r="O223" t="s">
        <v>370</v>
      </c>
      <c r="P223">
        <v>2.289217751337301E-3</v>
      </c>
      <c r="Q223" t="s">
        <v>254</v>
      </c>
      <c r="S223" t="s">
        <v>423</v>
      </c>
      <c r="T223" t="s">
        <v>370</v>
      </c>
      <c r="U223">
        <v>2.2765562944437687E-3</v>
      </c>
      <c r="V223" t="s">
        <v>254</v>
      </c>
      <c r="X223">
        <v>3.1963470319634705E-3</v>
      </c>
      <c r="Y223">
        <v>4.167433226429324E-3</v>
      </c>
      <c r="Z223" t="s">
        <v>370</v>
      </c>
      <c r="AA223" t="s">
        <v>25</v>
      </c>
      <c r="AC223" t="s">
        <v>22</v>
      </c>
      <c r="AD223" t="s">
        <v>370</v>
      </c>
      <c r="AE223">
        <v>3.2937200956237077E-3</v>
      </c>
      <c r="AG223" t="s">
        <v>97</v>
      </c>
      <c r="AH223" t="s">
        <v>370</v>
      </c>
      <c r="AI223">
        <v>9.5679831292998285E-2</v>
      </c>
    </row>
    <row r="224" spans="5:35" x14ac:dyDescent="0.45">
      <c r="E224" t="s">
        <v>580</v>
      </c>
      <c r="G224" t="s">
        <v>447</v>
      </c>
      <c r="I224" t="s">
        <v>252</v>
      </c>
      <c r="J224" t="s">
        <v>371</v>
      </c>
      <c r="K224">
        <v>1.6026342968821699E-2</v>
      </c>
      <c r="L224" t="s">
        <v>254</v>
      </c>
      <c r="N224" t="s">
        <v>422</v>
      </c>
      <c r="O224" t="s">
        <v>371</v>
      </c>
      <c r="P224">
        <v>4.8739485525949033E-3</v>
      </c>
      <c r="Q224" t="s">
        <v>254</v>
      </c>
      <c r="S224" t="s">
        <v>423</v>
      </c>
      <c r="T224" t="s">
        <v>371</v>
      </c>
      <c r="U224">
        <v>4.8619275677142396E-3</v>
      </c>
      <c r="V224" t="s">
        <v>254</v>
      </c>
      <c r="X224">
        <v>6.392694063926941E-3</v>
      </c>
      <c r="Y224">
        <v>9.0402671771540339E-3</v>
      </c>
      <c r="Z224" t="s">
        <v>371</v>
      </c>
      <c r="AA224" t="s">
        <v>25</v>
      </c>
      <c r="AC224" t="s">
        <v>22</v>
      </c>
      <c r="AD224" t="s">
        <v>371</v>
      </c>
      <c r="AE224">
        <v>6.5366585537057131E-3</v>
      </c>
      <c r="AG224" t="s">
        <v>97</v>
      </c>
      <c r="AH224" t="s">
        <v>371</v>
      </c>
      <c r="AI224">
        <v>9.0202615391816066E-2</v>
      </c>
    </row>
    <row r="225" spans="5:35" x14ac:dyDescent="0.45">
      <c r="E225" t="s">
        <v>581</v>
      </c>
      <c r="G225" t="s">
        <v>447</v>
      </c>
      <c r="I225" t="s">
        <v>252</v>
      </c>
      <c r="J225" t="s">
        <v>372</v>
      </c>
      <c r="K225">
        <v>1.184496505071312E-2</v>
      </c>
      <c r="L225" t="s">
        <v>254</v>
      </c>
      <c r="N225" t="s">
        <v>422</v>
      </c>
      <c r="O225" t="s">
        <v>372</v>
      </c>
      <c r="P225">
        <v>5.0724752341962933E-3</v>
      </c>
      <c r="Q225" t="s">
        <v>254</v>
      </c>
      <c r="S225" t="s">
        <v>423</v>
      </c>
      <c r="T225" t="s">
        <v>372</v>
      </c>
      <c r="U225">
        <v>5.3660546671627299E-3</v>
      </c>
      <c r="V225" t="s">
        <v>254</v>
      </c>
      <c r="X225">
        <v>6.392694063926941E-3</v>
      </c>
      <c r="Y225">
        <v>1.2437328559944975E-2</v>
      </c>
      <c r="Z225" t="s">
        <v>372</v>
      </c>
      <c r="AA225" t="s">
        <v>25</v>
      </c>
      <c r="AC225" t="s">
        <v>22</v>
      </c>
      <c r="AD225" t="s">
        <v>372</v>
      </c>
      <c r="AE225">
        <v>6.5180402394431052E-3</v>
      </c>
      <c r="AG225" t="s">
        <v>97</v>
      </c>
      <c r="AH225" t="s">
        <v>372</v>
      </c>
      <c r="AI225">
        <v>8.5614169608569046E-2</v>
      </c>
    </row>
    <row r="226" spans="5:35" x14ac:dyDescent="0.45">
      <c r="E226" t="s">
        <v>582</v>
      </c>
      <c r="G226" t="s">
        <v>447</v>
      </c>
      <c r="I226" t="s">
        <v>252</v>
      </c>
      <c r="J226" t="s">
        <v>373</v>
      </c>
      <c r="K226">
        <v>2.8610607794470624E-3</v>
      </c>
      <c r="L226" t="s">
        <v>254</v>
      </c>
      <c r="N226" t="s">
        <v>422</v>
      </c>
      <c r="O226" t="s">
        <v>373</v>
      </c>
      <c r="P226">
        <v>1.5705819087849033E-2</v>
      </c>
      <c r="Q226" t="s">
        <v>254</v>
      </c>
      <c r="S226" t="s">
        <v>423</v>
      </c>
      <c r="T226" t="s">
        <v>373</v>
      </c>
      <c r="U226">
        <v>1.5990356887277537E-2</v>
      </c>
      <c r="V226" t="s">
        <v>254</v>
      </c>
      <c r="X226">
        <v>1.9178082191780823E-2</v>
      </c>
      <c r="Y226">
        <v>1.6892491029178995E-2</v>
      </c>
      <c r="Z226" t="s">
        <v>373</v>
      </c>
      <c r="AA226" t="s">
        <v>25</v>
      </c>
      <c r="AC226" t="s">
        <v>22</v>
      </c>
      <c r="AD226" t="s">
        <v>373</v>
      </c>
      <c r="AE226">
        <v>1.7378266017146735E-2</v>
      </c>
      <c r="AG226" t="s">
        <v>97</v>
      </c>
      <c r="AH226" t="s">
        <v>373</v>
      </c>
      <c r="AI226">
        <v>0.1729238114614664</v>
      </c>
    </row>
    <row r="227" spans="5:35" x14ac:dyDescent="0.45">
      <c r="E227" t="s">
        <v>243</v>
      </c>
      <c r="G227" t="s">
        <v>155</v>
      </c>
      <c r="I227" t="s">
        <v>252</v>
      </c>
      <c r="J227" t="s">
        <v>727</v>
      </c>
      <c r="K227">
        <v>0</v>
      </c>
      <c r="L227" t="s">
        <v>254</v>
      </c>
      <c r="N227" t="s">
        <v>422</v>
      </c>
      <c r="O227" t="s">
        <v>727</v>
      </c>
      <c r="P227">
        <v>7.7988729531866018E-6</v>
      </c>
      <c r="Q227" t="s">
        <v>254</v>
      </c>
      <c r="S227" t="s">
        <v>423</v>
      </c>
      <c r="T227" t="s">
        <v>727</v>
      </c>
      <c r="U227">
        <v>9.4552101282672203E-6</v>
      </c>
      <c r="V227" t="s">
        <v>254</v>
      </c>
      <c r="X227">
        <v>1.1415525114155251E-4</v>
      </c>
      <c r="Y227">
        <v>2.1546544680075254E-5</v>
      </c>
      <c r="Z227" t="s">
        <v>727</v>
      </c>
      <c r="AA227" t="s">
        <v>25</v>
      </c>
      <c r="AC227" t="s">
        <v>22</v>
      </c>
      <c r="AD227" t="s">
        <v>727</v>
      </c>
      <c r="AE227">
        <v>8.0133306381066893E-5</v>
      </c>
      <c r="AG227" t="s">
        <v>97</v>
      </c>
      <c r="AH227" t="s">
        <v>727</v>
      </c>
      <c r="AI227">
        <v>0</v>
      </c>
    </row>
    <row r="228" spans="5:35" x14ac:dyDescent="0.45">
      <c r="E228" t="s">
        <v>244</v>
      </c>
      <c r="G228" t="s">
        <v>155</v>
      </c>
      <c r="I228" t="s">
        <v>252</v>
      </c>
      <c r="J228" t="s">
        <v>728</v>
      </c>
      <c r="K228">
        <v>0</v>
      </c>
      <c r="L228" t="s">
        <v>254</v>
      </c>
      <c r="N228" t="s">
        <v>422</v>
      </c>
      <c r="O228" t="s">
        <v>728</v>
      </c>
      <c r="P228">
        <v>6.133735935406136E-6</v>
      </c>
      <c r="Q228" t="s">
        <v>254</v>
      </c>
      <c r="S228" t="s">
        <v>423</v>
      </c>
      <c r="T228" t="s">
        <v>728</v>
      </c>
      <c r="U228">
        <v>7.6882258734501587E-6</v>
      </c>
      <c r="V228" t="s">
        <v>254</v>
      </c>
      <c r="X228">
        <v>1.1415525114155251E-4</v>
      </c>
      <c r="Y228">
        <v>1.4916838624667481E-5</v>
      </c>
      <c r="Z228" t="s">
        <v>728</v>
      </c>
      <c r="AA228" t="s">
        <v>25</v>
      </c>
      <c r="AC228" t="s">
        <v>22</v>
      </c>
      <c r="AD228" t="s">
        <v>728</v>
      </c>
      <c r="AE228">
        <v>7.901584952998053E-5</v>
      </c>
      <c r="AG228" t="s">
        <v>97</v>
      </c>
      <c r="AH228" t="s">
        <v>728</v>
      </c>
      <c r="AI228">
        <v>0</v>
      </c>
    </row>
    <row r="229" spans="5:35" x14ac:dyDescent="0.45">
      <c r="E229" t="s">
        <v>245</v>
      </c>
      <c r="G229" t="s">
        <v>155</v>
      </c>
      <c r="I229" t="s">
        <v>252</v>
      </c>
      <c r="J229" t="s">
        <v>729</v>
      </c>
      <c r="K229">
        <v>0</v>
      </c>
      <c r="L229" t="s">
        <v>254</v>
      </c>
      <c r="N229" t="s">
        <v>422</v>
      </c>
      <c r="O229" t="s">
        <v>729</v>
      </c>
      <c r="P229">
        <v>5.5009763945577636E-6</v>
      </c>
      <c r="Q229" t="s">
        <v>254</v>
      </c>
      <c r="S229" t="s">
        <v>423</v>
      </c>
      <c r="T229" t="s">
        <v>729</v>
      </c>
      <c r="U229">
        <v>6.6998186040782446E-6</v>
      </c>
      <c r="V229" t="s">
        <v>254</v>
      </c>
      <c r="X229">
        <v>1.1415525114155251E-4</v>
      </c>
      <c r="Y229">
        <v>1.6574265138519424E-5</v>
      </c>
      <c r="Z229" t="s">
        <v>729</v>
      </c>
      <c r="AA229" t="s">
        <v>25</v>
      </c>
      <c r="AC229" t="s">
        <v>22</v>
      </c>
      <c r="AD229" t="s">
        <v>729</v>
      </c>
      <c r="AE229">
        <v>7.901584952998053E-5</v>
      </c>
      <c r="AG229" t="s">
        <v>97</v>
      </c>
      <c r="AH229" t="s">
        <v>729</v>
      </c>
      <c r="AI229">
        <v>0</v>
      </c>
    </row>
    <row r="230" spans="5:35" x14ac:dyDescent="0.45">
      <c r="E230" t="s">
        <v>246</v>
      </c>
      <c r="G230" t="s">
        <v>155</v>
      </c>
      <c r="I230" t="s">
        <v>252</v>
      </c>
      <c r="J230" t="s">
        <v>730</v>
      </c>
      <c r="K230">
        <v>0</v>
      </c>
      <c r="L230" t="s">
        <v>254</v>
      </c>
      <c r="N230" t="s">
        <v>422</v>
      </c>
      <c r="O230" t="s">
        <v>730</v>
      </c>
      <c r="P230">
        <v>5.204529712570276E-6</v>
      </c>
      <c r="Q230" t="s">
        <v>254</v>
      </c>
      <c r="S230" t="s">
        <v>423</v>
      </c>
      <c r="T230" t="s">
        <v>730</v>
      </c>
      <c r="U230">
        <v>6.4395850310266432E-6</v>
      </c>
      <c r="V230" t="s">
        <v>254</v>
      </c>
      <c r="X230">
        <v>1.1415525114155251E-4</v>
      </c>
      <c r="Y230">
        <v>1.4585353321897093E-5</v>
      </c>
      <c r="Z230" t="s">
        <v>730</v>
      </c>
      <c r="AA230" t="s">
        <v>25</v>
      </c>
      <c r="AC230" t="s">
        <v>22</v>
      </c>
      <c r="AD230" t="s">
        <v>730</v>
      </c>
      <c r="AE230">
        <v>8.0048921767598126E-5</v>
      </c>
      <c r="AG230" t="s">
        <v>97</v>
      </c>
      <c r="AH230" t="s">
        <v>730</v>
      </c>
      <c r="AI230">
        <v>0</v>
      </c>
    </row>
    <row r="231" spans="5:35" x14ac:dyDescent="0.45">
      <c r="E231" t="s">
        <v>247</v>
      </c>
      <c r="G231" t="s">
        <v>155</v>
      </c>
      <c r="I231" t="s">
        <v>252</v>
      </c>
      <c r="J231" t="s">
        <v>731</v>
      </c>
      <c r="K231">
        <v>0</v>
      </c>
      <c r="L231" t="s">
        <v>254</v>
      </c>
      <c r="N231" t="s">
        <v>422</v>
      </c>
      <c r="O231" t="s">
        <v>731</v>
      </c>
      <c r="P231">
        <v>5.6979969579611403E-6</v>
      </c>
      <c r="Q231" t="s">
        <v>254</v>
      </c>
      <c r="S231" t="s">
        <v>423</v>
      </c>
      <c r="T231" t="s">
        <v>731</v>
      </c>
      <c r="U231">
        <v>6.2274982923490295E-6</v>
      </c>
      <c r="V231" t="s">
        <v>254</v>
      </c>
      <c r="X231">
        <v>1.1415525114155251E-4</v>
      </c>
      <c r="Y231">
        <v>2.1215059377304864E-5</v>
      </c>
      <c r="Z231" t="s">
        <v>731</v>
      </c>
      <c r="AA231" t="s">
        <v>25</v>
      </c>
      <c r="AC231" t="s">
        <v>22</v>
      </c>
      <c r="AD231" t="s">
        <v>731</v>
      </c>
      <c r="AE231">
        <v>8.6653935603653198E-5</v>
      </c>
      <c r="AG231" t="s">
        <v>97</v>
      </c>
      <c r="AH231" t="s">
        <v>731</v>
      </c>
      <c r="AI231">
        <v>0</v>
      </c>
    </row>
    <row r="232" spans="5:35" x14ac:dyDescent="0.45">
      <c r="E232" t="s">
        <v>248</v>
      </c>
      <c r="G232" t="s">
        <v>155</v>
      </c>
      <c r="I232" t="s">
        <v>252</v>
      </c>
      <c r="J232" t="s">
        <v>732</v>
      </c>
      <c r="K232">
        <v>0</v>
      </c>
      <c r="L232" t="s">
        <v>254</v>
      </c>
      <c r="N232" t="s">
        <v>422</v>
      </c>
      <c r="O232" t="s">
        <v>732</v>
      </c>
      <c r="P232">
        <v>6.143305292490462E-6</v>
      </c>
      <c r="Q232" t="s">
        <v>254</v>
      </c>
      <c r="S232" t="s">
        <v>423</v>
      </c>
      <c r="T232" t="s">
        <v>732</v>
      </c>
      <c r="U232">
        <v>5.7463803203439855E-6</v>
      </c>
      <c r="V232" t="s">
        <v>254</v>
      </c>
      <c r="X232">
        <v>1.1415525114155251E-4</v>
      </c>
      <c r="Y232">
        <v>5.7678442682047593E-5</v>
      </c>
      <c r="Z232" t="s">
        <v>732</v>
      </c>
      <c r="AA232" t="s">
        <v>25</v>
      </c>
      <c r="AC232" t="s">
        <v>22</v>
      </c>
      <c r="AD232" t="s">
        <v>732</v>
      </c>
      <c r="AE232">
        <v>1.0224974643838024E-4</v>
      </c>
      <c r="AG232" t="s">
        <v>97</v>
      </c>
      <c r="AH232" t="s">
        <v>732</v>
      </c>
      <c r="AI232">
        <v>0</v>
      </c>
    </row>
    <row r="233" spans="5:35" x14ac:dyDescent="0.45">
      <c r="E233" t="s">
        <v>249</v>
      </c>
      <c r="G233" t="s">
        <v>155</v>
      </c>
      <c r="I233" t="s">
        <v>252</v>
      </c>
      <c r="J233" t="s">
        <v>733</v>
      </c>
      <c r="K233">
        <v>9.6980899820552984E-7</v>
      </c>
      <c r="L233" t="s">
        <v>254</v>
      </c>
      <c r="N233" t="s">
        <v>422</v>
      </c>
      <c r="O233" t="s">
        <v>733</v>
      </c>
      <c r="P233">
        <v>6.9676725997364693E-6</v>
      </c>
      <c r="Q233" t="s">
        <v>254</v>
      </c>
      <c r="S233" t="s">
        <v>423</v>
      </c>
      <c r="T233" t="s">
        <v>733</v>
      </c>
      <c r="U233">
        <v>5.0986106688587846E-6</v>
      </c>
      <c r="V233" t="s">
        <v>254</v>
      </c>
      <c r="X233">
        <v>1.1415525114155251E-4</v>
      </c>
      <c r="Y233">
        <v>1.6905750441289813E-4</v>
      </c>
      <c r="Z233" t="s">
        <v>733</v>
      </c>
      <c r="AA233" t="s">
        <v>25</v>
      </c>
      <c r="AC233" t="s">
        <v>22</v>
      </c>
      <c r="AD233" t="s">
        <v>733</v>
      </c>
      <c r="AE233">
        <v>1.1409939185699398E-4</v>
      </c>
      <c r="AG233" t="s">
        <v>97</v>
      </c>
      <c r="AH233" t="s">
        <v>733</v>
      </c>
      <c r="AI233">
        <v>0</v>
      </c>
    </row>
    <row r="234" spans="5:35" x14ac:dyDescent="0.45">
      <c r="E234" t="s">
        <v>250</v>
      </c>
      <c r="G234" t="s">
        <v>155</v>
      </c>
      <c r="I234" t="s">
        <v>252</v>
      </c>
      <c r="J234" t="s">
        <v>734</v>
      </c>
      <c r="K234">
        <v>1.128515048199E-4</v>
      </c>
      <c r="L234" t="s">
        <v>254</v>
      </c>
      <c r="N234" t="s">
        <v>422</v>
      </c>
      <c r="O234" t="s">
        <v>734</v>
      </c>
      <c r="P234">
        <v>7.9659939191059851E-6</v>
      </c>
      <c r="Q234" t="s">
        <v>254</v>
      </c>
      <c r="S234" t="s">
        <v>423</v>
      </c>
      <c r="T234" t="s">
        <v>734</v>
      </c>
      <c r="U234">
        <v>4.7024113982935758E-6</v>
      </c>
      <c r="V234" t="s">
        <v>254</v>
      </c>
      <c r="X234">
        <v>1.1415525114155251E-4</v>
      </c>
      <c r="Y234">
        <v>1.9060404909297337E-4</v>
      </c>
      <c r="Z234" t="s">
        <v>734</v>
      </c>
      <c r="AA234" t="s">
        <v>25</v>
      </c>
      <c r="AC234" t="s">
        <v>22</v>
      </c>
      <c r="AD234" t="s">
        <v>734</v>
      </c>
      <c r="AE234">
        <v>1.2277055016828421E-4</v>
      </c>
      <c r="AG234" t="s">
        <v>97</v>
      </c>
      <c r="AH234" t="s">
        <v>734</v>
      </c>
      <c r="AI234">
        <v>0</v>
      </c>
    </row>
    <row r="235" spans="5:35" x14ac:dyDescent="0.45">
      <c r="I235" t="s">
        <v>252</v>
      </c>
      <c r="J235" t="s">
        <v>735</v>
      </c>
      <c r="K235">
        <v>1.9654832156739999E-4</v>
      </c>
      <c r="L235" t="s">
        <v>254</v>
      </c>
      <c r="N235" t="s">
        <v>422</v>
      </c>
      <c r="O235" t="s">
        <v>735</v>
      </c>
      <c r="P235">
        <v>7.9730558642827294E-6</v>
      </c>
      <c r="Q235" t="s">
        <v>254</v>
      </c>
      <c r="S235" t="s">
        <v>423</v>
      </c>
      <c r="T235" t="s">
        <v>735</v>
      </c>
      <c r="U235">
        <v>4.9597455903637021E-6</v>
      </c>
      <c r="V235" t="s">
        <v>254</v>
      </c>
      <c r="X235">
        <v>1.1415525114155251E-4</v>
      </c>
      <c r="Y235">
        <v>1.4585353321897094E-4</v>
      </c>
      <c r="Z235" t="s">
        <v>735</v>
      </c>
      <c r="AA235" t="s">
        <v>25</v>
      </c>
      <c r="AC235" t="s">
        <v>22</v>
      </c>
      <c r="AD235" t="s">
        <v>735</v>
      </c>
      <c r="AE235">
        <v>1.2746028898954825E-4</v>
      </c>
      <c r="AG235" t="s">
        <v>97</v>
      </c>
      <c r="AH235" t="s">
        <v>735</v>
      </c>
      <c r="AI235">
        <v>0</v>
      </c>
    </row>
    <row r="236" spans="5:35" x14ac:dyDescent="0.45">
      <c r="I236" t="s">
        <v>252</v>
      </c>
      <c r="J236" t="s">
        <v>736</v>
      </c>
      <c r="K236">
        <v>2.7249706554510002E-4</v>
      </c>
      <c r="L236" t="s">
        <v>254</v>
      </c>
      <c r="N236" t="s">
        <v>422</v>
      </c>
      <c r="O236" t="s">
        <v>736</v>
      </c>
      <c r="P236">
        <v>4.9295853229951588E-6</v>
      </c>
      <c r="Q236" t="s">
        <v>254</v>
      </c>
      <c r="S236" t="s">
        <v>423</v>
      </c>
      <c r="T236" t="s">
        <v>736</v>
      </c>
      <c r="U236">
        <v>8.0252328807766679E-6</v>
      </c>
      <c r="V236" t="s">
        <v>254</v>
      </c>
      <c r="X236">
        <v>1.1415525114155251E-4</v>
      </c>
      <c r="Y236">
        <v>1.4452759200788939E-4</v>
      </c>
      <c r="Z236" t="s">
        <v>736</v>
      </c>
      <c r="AA236" t="s">
        <v>25</v>
      </c>
      <c r="AC236" t="s">
        <v>22</v>
      </c>
      <c r="AD236" t="s">
        <v>736</v>
      </c>
      <c r="AE236">
        <v>1.2730174820060693E-4</v>
      </c>
      <c r="AG236" t="s">
        <v>97</v>
      </c>
      <c r="AH236" t="s">
        <v>736</v>
      </c>
      <c r="AI236">
        <v>0</v>
      </c>
    </row>
    <row r="237" spans="5:35" x14ac:dyDescent="0.45">
      <c r="I237" t="s">
        <v>252</v>
      </c>
      <c r="J237" t="s">
        <v>737</v>
      </c>
      <c r="K237">
        <v>3.1690920896569998E-4</v>
      </c>
      <c r="L237" t="s">
        <v>254</v>
      </c>
      <c r="N237" t="s">
        <v>422</v>
      </c>
      <c r="O237" t="s">
        <v>737</v>
      </c>
      <c r="P237">
        <v>1.28176198922374E-6</v>
      </c>
      <c r="Q237" t="s">
        <v>254</v>
      </c>
      <c r="S237" t="s">
        <v>423</v>
      </c>
      <c r="T237" t="s">
        <v>737</v>
      </c>
      <c r="U237">
        <v>7.1794046118942272E-6</v>
      </c>
      <c r="V237" t="s">
        <v>254</v>
      </c>
      <c r="X237">
        <v>1.1415525114155251E-4</v>
      </c>
      <c r="Y237">
        <v>1.408812536774151E-4</v>
      </c>
      <c r="Z237" t="s">
        <v>737</v>
      </c>
      <c r="AA237" t="s">
        <v>25</v>
      </c>
      <c r="AC237" t="s">
        <v>22</v>
      </c>
      <c r="AD237" t="s">
        <v>737</v>
      </c>
      <c r="AE237">
        <v>1.2741426101856531E-4</v>
      </c>
      <c r="AG237" t="s">
        <v>97</v>
      </c>
      <c r="AH237" t="s">
        <v>737</v>
      </c>
      <c r="AI237">
        <v>0</v>
      </c>
    </row>
    <row r="238" spans="5:35" x14ac:dyDescent="0.45">
      <c r="I238" t="s">
        <v>252</v>
      </c>
      <c r="J238" t="s">
        <v>738</v>
      </c>
      <c r="K238">
        <v>3.3291893012600001E-4</v>
      </c>
      <c r="L238" t="s">
        <v>254</v>
      </c>
      <c r="N238" t="s">
        <v>422</v>
      </c>
      <c r="O238" t="s">
        <v>738</v>
      </c>
      <c r="P238">
        <v>2.0434868413139346E-6</v>
      </c>
      <c r="Q238" t="s">
        <v>254</v>
      </c>
      <c r="S238" t="s">
        <v>423</v>
      </c>
      <c r="T238" t="s">
        <v>738</v>
      </c>
      <c r="U238">
        <v>6.004328433880243E-6</v>
      </c>
      <c r="V238" t="s">
        <v>254</v>
      </c>
      <c r="X238">
        <v>1.1415525114155251E-4</v>
      </c>
      <c r="Y238">
        <v>1.4054976837464471E-4</v>
      </c>
      <c r="Z238" t="s">
        <v>738</v>
      </c>
      <c r="AA238" t="s">
        <v>25</v>
      </c>
      <c r="AC238" t="s">
        <v>22</v>
      </c>
      <c r="AD238" t="s">
        <v>738</v>
      </c>
      <c r="AE238">
        <v>1.2730174820060696E-4</v>
      </c>
      <c r="AG238" t="s">
        <v>97</v>
      </c>
      <c r="AH238" t="s">
        <v>738</v>
      </c>
      <c r="AI238">
        <v>0</v>
      </c>
    </row>
    <row r="239" spans="5:35" x14ac:dyDescent="0.45">
      <c r="I239" t="s">
        <v>252</v>
      </c>
      <c r="J239" t="s">
        <v>739</v>
      </c>
      <c r="K239">
        <v>3.1316942691530001E-4</v>
      </c>
      <c r="L239" t="s">
        <v>254</v>
      </c>
      <c r="N239" t="s">
        <v>422</v>
      </c>
      <c r="O239" t="s">
        <v>739</v>
      </c>
      <c r="P239">
        <v>2.5623332144238328E-6</v>
      </c>
      <c r="Q239" t="s">
        <v>254</v>
      </c>
      <c r="S239" t="s">
        <v>423</v>
      </c>
      <c r="T239" t="s">
        <v>739</v>
      </c>
      <c r="U239">
        <v>5.7764917773054467E-6</v>
      </c>
      <c r="V239" t="s">
        <v>254</v>
      </c>
      <c r="X239">
        <v>1.1415525114155251E-4</v>
      </c>
      <c r="Y239">
        <v>1.4253868019126702E-4</v>
      </c>
      <c r="Z239" t="s">
        <v>739</v>
      </c>
      <c r="AA239" t="s">
        <v>25</v>
      </c>
      <c r="AC239" t="s">
        <v>22</v>
      </c>
      <c r="AD239" t="s">
        <v>739</v>
      </c>
      <c r="AE239">
        <v>1.2794869690386745E-4</v>
      </c>
      <c r="AG239" t="s">
        <v>97</v>
      </c>
      <c r="AH239" t="s">
        <v>739</v>
      </c>
      <c r="AI239">
        <v>0</v>
      </c>
    </row>
    <row r="240" spans="5:35" x14ac:dyDescent="0.45">
      <c r="I240" t="s">
        <v>252</v>
      </c>
      <c r="J240" t="s">
        <v>740</v>
      </c>
      <c r="K240">
        <v>3.2376914224840003E-4</v>
      </c>
      <c r="L240" t="s">
        <v>254</v>
      </c>
      <c r="N240" t="s">
        <v>422</v>
      </c>
      <c r="O240" t="s">
        <v>740</v>
      </c>
      <c r="P240">
        <v>3.4515491240956103E-6</v>
      </c>
      <c r="Q240" t="s">
        <v>254</v>
      </c>
      <c r="S240" t="s">
        <v>423</v>
      </c>
      <c r="T240" t="s">
        <v>740</v>
      </c>
      <c r="U240">
        <v>6.0740885701340953E-6</v>
      </c>
      <c r="V240" t="s">
        <v>254</v>
      </c>
      <c r="X240">
        <v>1.1415525114155251E-4</v>
      </c>
      <c r="Y240">
        <v>1.4883690094390442E-4</v>
      </c>
      <c r="Z240" t="s">
        <v>740</v>
      </c>
      <c r="AA240" t="s">
        <v>25</v>
      </c>
      <c r="AC240" t="s">
        <v>22</v>
      </c>
      <c r="AD240" t="s">
        <v>740</v>
      </c>
      <c r="AE240">
        <v>1.2770065728245927E-4</v>
      </c>
      <c r="AG240" t="s">
        <v>97</v>
      </c>
      <c r="AH240" t="s">
        <v>740</v>
      </c>
      <c r="AI240">
        <v>0</v>
      </c>
    </row>
    <row r="241" spans="9:35" x14ac:dyDescent="0.45">
      <c r="I241" t="s">
        <v>252</v>
      </c>
      <c r="J241" t="s">
        <v>741</v>
      </c>
      <c r="K241">
        <v>3.42575580119E-4</v>
      </c>
      <c r="L241" t="s">
        <v>254</v>
      </c>
      <c r="N241" t="s">
        <v>422</v>
      </c>
      <c r="O241" t="s">
        <v>741</v>
      </c>
      <c r="P241">
        <v>4.7241772696501588E-6</v>
      </c>
      <c r="Q241" t="s">
        <v>254</v>
      </c>
      <c r="S241" t="s">
        <v>423</v>
      </c>
      <c r="T241" t="s">
        <v>741</v>
      </c>
      <c r="U241">
        <v>8.1484646363902713E-6</v>
      </c>
      <c r="V241" t="s">
        <v>254</v>
      </c>
      <c r="X241">
        <v>1.1415525114155251E-4</v>
      </c>
      <c r="Y241">
        <v>1.5049432745775637E-4</v>
      </c>
      <c r="Z241" t="s">
        <v>741</v>
      </c>
      <c r="AA241" t="s">
        <v>25</v>
      </c>
      <c r="AC241" t="s">
        <v>22</v>
      </c>
      <c r="AD241" t="s">
        <v>741</v>
      </c>
      <c r="AE241">
        <v>1.2624310486799881E-4</v>
      </c>
      <c r="AG241" t="s">
        <v>97</v>
      </c>
      <c r="AH241" t="s">
        <v>741</v>
      </c>
      <c r="AI241">
        <v>0</v>
      </c>
    </row>
    <row r="242" spans="9:35" x14ac:dyDescent="0.45">
      <c r="I242" t="s">
        <v>252</v>
      </c>
      <c r="J242" t="s">
        <v>742</v>
      </c>
      <c r="K242">
        <v>3.3559014288069998E-4</v>
      </c>
      <c r="L242" t="s">
        <v>254</v>
      </c>
      <c r="N242" t="s">
        <v>422</v>
      </c>
      <c r="O242" t="s">
        <v>742</v>
      </c>
      <c r="P242">
        <v>5.6755518682629815E-6</v>
      </c>
      <c r="Q242" t="s">
        <v>254</v>
      </c>
      <c r="S242" t="s">
        <v>423</v>
      </c>
      <c r="T242" t="s">
        <v>742</v>
      </c>
      <c r="U242">
        <v>1.0501969906108424E-5</v>
      </c>
      <c r="V242" t="s">
        <v>254</v>
      </c>
      <c r="X242">
        <v>1.1415525114155251E-4</v>
      </c>
      <c r="Y242">
        <v>1.7237235744060203E-4</v>
      </c>
      <c r="Z242" t="s">
        <v>742</v>
      </c>
      <c r="AA242" t="s">
        <v>25</v>
      </c>
      <c r="AC242" t="s">
        <v>22</v>
      </c>
      <c r="AD242" t="s">
        <v>742</v>
      </c>
      <c r="AE242">
        <v>1.2624310486799881E-4</v>
      </c>
      <c r="AG242" t="s">
        <v>97</v>
      </c>
      <c r="AH242" t="s">
        <v>742</v>
      </c>
      <c r="AI242">
        <v>0</v>
      </c>
    </row>
    <row r="243" spans="9:35" x14ac:dyDescent="0.45">
      <c r="I243" t="s">
        <v>252</v>
      </c>
      <c r="J243" t="s">
        <v>743</v>
      </c>
      <c r="K243">
        <v>2.9461233865229997E-4</v>
      </c>
      <c r="L243" t="s">
        <v>254</v>
      </c>
      <c r="N243" t="s">
        <v>422</v>
      </c>
      <c r="O243" t="s">
        <v>743</v>
      </c>
      <c r="P243">
        <v>4.9377184503836712E-6</v>
      </c>
      <c r="Q243" t="s">
        <v>254</v>
      </c>
      <c r="S243" t="s">
        <v>423</v>
      </c>
      <c r="T243" t="s">
        <v>743</v>
      </c>
      <c r="U243">
        <v>9.6860627060283717E-6</v>
      </c>
      <c r="V243" t="s">
        <v>254</v>
      </c>
      <c r="X243">
        <v>1.1415525114155251E-4</v>
      </c>
      <c r="Y243">
        <v>2.2209515285616027E-4</v>
      </c>
      <c r="Z243" t="s">
        <v>743</v>
      </c>
      <c r="AA243" t="s">
        <v>25</v>
      </c>
      <c r="AC243" t="s">
        <v>22</v>
      </c>
      <c r="AD243" t="s">
        <v>743</v>
      </c>
      <c r="AE243">
        <v>1.2577515382967204E-4</v>
      </c>
      <c r="AG243" t="s">
        <v>97</v>
      </c>
      <c r="AH243" t="s">
        <v>743</v>
      </c>
      <c r="AI243">
        <v>0</v>
      </c>
    </row>
    <row r="244" spans="9:35" x14ac:dyDescent="0.45">
      <c r="I244" t="s">
        <v>252</v>
      </c>
      <c r="J244" t="s">
        <v>744</v>
      </c>
      <c r="K244">
        <v>2.0385980567559999E-4</v>
      </c>
      <c r="L244" t="s">
        <v>254</v>
      </c>
      <c r="N244" t="s">
        <v>422</v>
      </c>
      <c r="O244" t="s">
        <v>744</v>
      </c>
      <c r="P244">
        <v>6.3207927507327554E-6</v>
      </c>
      <c r="Q244" t="s">
        <v>254</v>
      </c>
      <c r="S244" t="s">
        <v>423</v>
      </c>
      <c r="T244" t="s">
        <v>744</v>
      </c>
      <c r="U244">
        <v>9.2319114265843445E-6</v>
      </c>
      <c r="V244" t="s">
        <v>254</v>
      </c>
      <c r="X244">
        <v>1.1415525114155251E-4</v>
      </c>
      <c r="Y244">
        <v>2.2209515285616027E-4</v>
      </c>
      <c r="Z244" t="s">
        <v>744</v>
      </c>
      <c r="AA244" t="s">
        <v>25</v>
      </c>
      <c r="AC244" t="s">
        <v>22</v>
      </c>
      <c r="AD244" t="s">
        <v>744</v>
      </c>
      <c r="AE244">
        <v>1.2502080652745126E-4</v>
      </c>
      <c r="AG244" t="s">
        <v>97</v>
      </c>
      <c r="AH244" t="s">
        <v>744</v>
      </c>
      <c r="AI244">
        <v>0</v>
      </c>
    </row>
    <row r="245" spans="9:35" x14ac:dyDescent="0.45">
      <c r="I245" t="s">
        <v>252</v>
      </c>
      <c r="J245" t="s">
        <v>745</v>
      </c>
      <c r="K245">
        <v>5.5080628930487843E-5</v>
      </c>
      <c r="L245" t="s">
        <v>254</v>
      </c>
      <c r="N245" t="s">
        <v>422</v>
      </c>
      <c r="O245" t="s">
        <v>745</v>
      </c>
      <c r="P245">
        <v>9.5480648024768687E-6</v>
      </c>
      <c r="Q245" t="s">
        <v>254</v>
      </c>
      <c r="S245" t="s">
        <v>423</v>
      </c>
      <c r="T245" t="s">
        <v>745</v>
      </c>
      <c r="U245">
        <v>9.7357882601549259E-6</v>
      </c>
      <c r="V245" t="s">
        <v>254</v>
      </c>
      <c r="X245">
        <v>1.1415525114155251E-4</v>
      </c>
      <c r="Y245">
        <v>1.7237235744060203E-4</v>
      </c>
      <c r="Z245" t="s">
        <v>745</v>
      </c>
      <c r="AA245" t="s">
        <v>25</v>
      </c>
      <c r="AC245" t="s">
        <v>22</v>
      </c>
      <c r="AD245" t="s">
        <v>745</v>
      </c>
      <c r="AE245">
        <v>1.2395960608534406E-4</v>
      </c>
      <c r="AG245" t="s">
        <v>97</v>
      </c>
      <c r="AH245" t="s">
        <v>745</v>
      </c>
      <c r="AI245">
        <v>0</v>
      </c>
    </row>
    <row r="246" spans="9:35" x14ac:dyDescent="0.45">
      <c r="I246" t="s">
        <v>252</v>
      </c>
      <c r="J246" t="s">
        <v>746</v>
      </c>
      <c r="K246">
        <v>0</v>
      </c>
      <c r="L246" t="s">
        <v>254</v>
      </c>
      <c r="N246" t="s">
        <v>422</v>
      </c>
      <c r="O246" t="s">
        <v>746</v>
      </c>
      <c r="P246">
        <v>1.0092610492353384E-5</v>
      </c>
      <c r="Q246" t="s">
        <v>254</v>
      </c>
      <c r="S246" t="s">
        <v>423</v>
      </c>
      <c r="T246" t="s">
        <v>746</v>
      </c>
      <c r="U246">
        <v>1.0730217062800386E-5</v>
      </c>
      <c r="V246" t="s">
        <v>254</v>
      </c>
      <c r="X246">
        <v>1.1415525114155251E-4</v>
      </c>
      <c r="Y246">
        <v>1.5579809230208258E-4</v>
      </c>
      <c r="Z246" t="s">
        <v>746</v>
      </c>
      <c r="AA246" t="s">
        <v>25</v>
      </c>
      <c r="AC246" t="s">
        <v>22</v>
      </c>
      <c r="AD246" t="s">
        <v>746</v>
      </c>
      <c r="AE246">
        <v>1.2203665974205589E-4</v>
      </c>
      <c r="AG246" t="s">
        <v>97</v>
      </c>
      <c r="AH246" t="s">
        <v>746</v>
      </c>
      <c r="AI246">
        <v>0</v>
      </c>
    </row>
    <row r="247" spans="9:35" x14ac:dyDescent="0.45">
      <c r="I247" t="s">
        <v>252</v>
      </c>
      <c r="J247" t="s">
        <v>747</v>
      </c>
      <c r="K247">
        <v>0</v>
      </c>
      <c r="L247" t="s">
        <v>254</v>
      </c>
      <c r="N247" t="s">
        <v>422</v>
      </c>
      <c r="O247" t="s">
        <v>747</v>
      </c>
      <c r="P247">
        <v>8.0735082390544852E-6</v>
      </c>
      <c r="Q247" t="s">
        <v>254</v>
      </c>
      <c r="S247" t="s">
        <v>423</v>
      </c>
      <c r="T247" t="s">
        <v>747</v>
      </c>
      <c r="U247">
        <v>1.065554759704089E-5</v>
      </c>
      <c r="V247" t="s">
        <v>254</v>
      </c>
      <c r="X247">
        <v>1.1415525114155251E-4</v>
      </c>
      <c r="Y247">
        <v>1.093901499142282E-4</v>
      </c>
      <c r="Z247" t="s">
        <v>747</v>
      </c>
      <c r="AA247" t="s">
        <v>25</v>
      </c>
      <c r="AC247" t="s">
        <v>22</v>
      </c>
      <c r="AD247" t="s">
        <v>747</v>
      </c>
      <c r="AE247">
        <v>1.160964943757547E-4</v>
      </c>
      <c r="AG247" t="s">
        <v>97</v>
      </c>
      <c r="AH247" t="s">
        <v>747</v>
      </c>
      <c r="AI247">
        <v>0</v>
      </c>
    </row>
    <row r="248" spans="9:35" x14ac:dyDescent="0.45">
      <c r="I248" t="s">
        <v>252</v>
      </c>
      <c r="J248" t="s">
        <v>748</v>
      </c>
      <c r="K248">
        <v>0</v>
      </c>
      <c r="L248" t="s">
        <v>254</v>
      </c>
      <c r="N248" t="s">
        <v>422</v>
      </c>
      <c r="O248" t="s">
        <v>748</v>
      </c>
      <c r="P248">
        <v>5.8722873825447073E-6</v>
      </c>
      <c r="Q248" t="s">
        <v>254</v>
      </c>
      <c r="S248" t="s">
        <v>423</v>
      </c>
      <c r="T248" t="s">
        <v>748</v>
      </c>
      <c r="U248">
        <v>8.7105351640318873E-6</v>
      </c>
      <c r="V248" t="s">
        <v>254</v>
      </c>
      <c r="X248">
        <v>1.1415525114155251E-4</v>
      </c>
      <c r="Y248">
        <v>7.9556472664893237E-5</v>
      </c>
      <c r="Z248" t="s">
        <v>748</v>
      </c>
      <c r="AA248" t="s">
        <v>25</v>
      </c>
      <c r="AC248" t="s">
        <v>22</v>
      </c>
      <c r="AD248" t="s">
        <v>748</v>
      </c>
      <c r="AE248">
        <v>1.0955540827717597E-4</v>
      </c>
      <c r="AG248" t="s">
        <v>97</v>
      </c>
      <c r="AH248" t="s">
        <v>748</v>
      </c>
      <c r="AI248">
        <v>0</v>
      </c>
    </row>
    <row r="249" spans="9:35" x14ac:dyDescent="0.45">
      <c r="I249" t="s">
        <v>252</v>
      </c>
      <c r="J249" t="s">
        <v>749</v>
      </c>
      <c r="K249">
        <v>0</v>
      </c>
      <c r="L249" t="s">
        <v>254</v>
      </c>
      <c r="N249" t="s">
        <v>422</v>
      </c>
      <c r="O249" t="s">
        <v>749</v>
      </c>
      <c r="P249">
        <v>1.0940157459685727E-5</v>
      </c>
      <c r="Q249" t="s">
        <v>254</v>
      </c>
      <c r="S249" t="s">
        <v>423</v>
      </c>
      <c r="T249" t="s">
        <v>749</v>
      </c>
      <c r="U249">
        <v>8.4033871436179016E-6</v>
      </c>
      <c r="V249" t="s">
        <v>254</v>
      </c>
      <c r="X249">
        <v>1.1415525114155251E-4</v>
      </c>
      <c r="Y249">
        <v>5.6352501470966035E-5</v>
      </c>
      <c r="Z249" t="s">
        <v>749</v>
      </c>
      <c r="AA249" t="s">
        <v>25</v>
      </c>
      <c r="AC249" t="s">
        <v>22</v>
      </c>
      <c r="AD249" t="s">
        <v>749</v>
      </c>
      <c r="AE249">
        <v>9.6181725597126389E-5</v>
      </c>
      <c r="AG249" t="s">
        <v>97</v>
      </c>
      <c r="AH249" t="s">
        <v>749</v>
      </c>
      <c r="AI249">
        <v>0</v>
      </c>
    </row>
    <row r="250" spans="9:35" x14ac:dyDescent="0.45">
      <c r="I250" t="s">
        <v>252</v>
      </c>
      <c r="J250" t="s">
        <v>750</v>
      </c>
      <c r="K250">
        <v>0</v>
      </c>
      <c r="L250" t="s">
        <v>254</v>
      </c>
      <c r="N250" t="s">
        <v>422</v>
      </c>
      <c r="O250" t="s">
        <v>750</v>
      </c>
      <c r="P250">
        <v>7.2415071841464544E-6</v>
      </c>
      <c r="Q250" t="s">
        <v>254</v>
      </c>
      <c r="S250" t="s">
        <v>423</v>
      </c>
      <c r="T250" t="s">
        <v>750</v>
      </c>
      <c r="U250">
        <v>7.4851182299046766E-6</v>
      </c>
      <c r="V250" t="s">
        <v>254</v>
      </c>
      <c r="X250">
        <v>1.1415525114155251E-4</v>
      </c>
      <c r="Y250">
        <v>2.9833677249334962E-5</v>
      </c>
      <c r="Z250" t="s">
        <v>750</v>
      </c>
      <c r="AA250" t="s">
        <v>25</v>
      </c>
      <c r="AC250" t="s">
        <v>22</v>
      </c>
      <c r="AD250" t="s">
        <v>750</v>
      </c>
      <c r="AE250">
        <v>8.6835490378086016E-5</v>
      </c>
      <c r="AG250" t="s">
        <v>97</v>
      </c>
      <c r="AH250" t="s">
        <v>750</v>
      </c>
      <c r="AI250">
        <v>0</v>
      </c>
    </row>
    <row r="251" spans="9:35" x14ac:dyDescent="0.45">
      <c r="I251" t="s">
        <v>252</v>
      </c>
      <c r="J251" t="s">
        <v>751</v>
      </c>
      <c r="K251">
        <v>0</v>
      </c>
      <c r="L251" t="s">
        <v>254</v>
      </c>
      <c r="N251" t="s">
        <v>422</v>
      </c>
      <c r="O251" t="s">
        <v>751</v>
      </c>
      <c r="P251">
        <v>3.1906148699199427E-5</v>
      </c>
      <c r="Q251" t="s">
        <v>254</v>
      </c>
      <c r="S251" t="s">
        <v>423</v>
      </c>
      <c r="T251" t="s">
        <v>751</v>
      </c>
      <c r="U251">
        <v>3.9771537295658766E-5</v>
      </c>
      <c r="V251" t="s">
        <v>254</v>
      </c>
      <c r="X251">
        <v>1.1415525114155251E-4</v>
      </c>
      <c r="Y251">
        <v>2.1546544680075254E-5</v>
      </c>
      <c r="Z251" t="s">
        <v>751</v>
      </c>
      <c r="AA251" t="s">
        <v>25</v>
      </c>
      <c r="AC251" t="s">
        <v>22</v>
      </c>
      <c r="AD251" t="s">
        <v>751</v>
      </c>
      <c r="AE251">
        <v>8.0133306381066906E-5</v>
      </c>
      <c r="AG251" t="s">
        <v>97</v>
      </c>
      <c r="AH251" t="s">
        <v>751</v>
      </c>
      <c r="AI251">
        <v>0</v>
      </c>
    </row>
    <row r="252" spans="9:35" x14ac:dyDescent="0.45">
      <c r="I252" t="s">
        <v>252</v>
      </c>
      <c r="J252" t="s">
        <v>752</v>
      </c>
      <c r="K252">
        <v>0</v>
      </c>
      <c r="L252" t="s">
        <v>254</v>
      </c>
      <c r="N252" t="s">
        <v>422</v>
      </c>
      <c r="O252" t="s">
        <v>752</v>
      </c>
      <c r="P252">
        <v>3.1294991697989145E-5</v>
      </c>
      <c r="Q252" t="s">
        <v>254</v>
      </c>
      <c r="S252" t="s">
        <v>423</v>
      </c>
      <c r="T252" t="s">
        <v>752</v>
      </c>
      <c r="U252">
        <v>3.5534524949985278E-5</v>
      </c>
      <c r="V252" t="s">
        <v>254</v>
      </c>
      <c r="X252">
        <v>1.1415525114155251E-4</v>
      </c>
      <c r="Y252">
        <v>1.4916838624667481E-5</v>
      </c>
      <c r="Z252" t="s">
        <v>752</v>
      </c>
      <c r="AA252" t="s">
        <v>25</v>
      </c>
      <c r="AC252" t="s">
        <v>22</v>
      </c>
      <c r="AD252" t="s">
        <v>752</v>
      </c>
      <c r="AE252">
        <v>7.901584952998053E-5</v>
      </c>
      <c r="AG252" t="s">
        <v>97</v>
      </c>
      <c r="AH252" t="s">
        <v>752</v>
      </c>
      <c r="AI252">
        <v>0</v>
      </c>
    </row>
    <row r="253" spans="9:35" x14ac:dyDescent="0.45">
      <c r="I253" t="s">
        <v>252</v>
      </c>
      <c r="J253" t="s">
        <v>753</v>
      </c>
      <c r="K253">
        <v>0</v>
      </c>
      <c r="L253" t="s">
        <v>254</v>
      </c>
      <c r="N253" t="s">
        <v>422</v>
      </c>
      <c r="O253" t="s">
        <v>753</v>
      </c>
      <c r="P253">
        <v>3.0735943182498923E-5</v>
      </c>
      <c r="Q253" t="s">
        <v>254</v>
      </c>
      <c r="S253" t="s">
        <v>423</v>
      </c>
      <c r="T253" t="s">
        <v>753</v>
      </c>
      <c r="U253">
        <v>3.2864067496697409E-5</v>
      </c>
      <c r="V253" t="s">
        <v>254</v>
      </c>
      <c r="X253">
        <v>1.1415525114155251E-4</v>
      </c>
      <c r="Y253">
        <v>1.6574265138519424E-5</v>
      </c>
      <c r="Z253" t="s">
        <v>753</v>
      </c>
      <c r="AA253" t="s">
        <v>25</v>
      </c>
      <c r="AC253" t="s">
        <v>22</v>
      </c>
      <c r="AD253" t="s">
        <v>753</v>
      </c>
      <c r="AE253">
        <v>7.901584952998053E-5</v>
      </c>
      <c r="AG253" t="s">
        <v>97</v>
      </c>
      <c r="AH253" t="s">
        <v>753</v>
      </c>
      <c r="AI253">
        <v>0</v>
      </c>
    </row>
    <row r="254" spans="9:35" x14ac:dyDescent="0.45">
      <c r="I254" t="s">
        <v>252</v>
      </c>
      <c r="J254" t="s">
        <v>754</v>
      </c>
      <c r="K254">
        <v>0</v>
      </c>
      <c r="L254" t="s">
        <v>254</v>
      </c>
      <c r="N254" t="s">
        <v>422</v>
      </c>
      <c r="O254" t="s">
        <v>754</v>
      </c>
      <c r="P254">
        <v>3.073102825111934E-5</v>
      </c>
      <c r="Q254" t="s">
        <v>254</v>
      </c>
      <c r="S254" t="s">
        <v>423</v>
      </c>
      <c r="T254" t="s">
        <v>754</v>
      </c>
      <c r="U254">
        <v>3.0869551288963338E-5</v>
      </c>
      <c r="V254" t="s">
        <v>254</v>
      </c>
      <c r="X254">
        <v>1.1415525114155251E-4</v>
      </c>
      <c r="Y254">
        <v>1.4585353321897093E-5</v>
      </c>
      <c r="Z254" t="s">
        <v>754</v>
      </c>
      <c r="AA254" t="s">
        <v>25</v>
      </c>
      <c r="AC254" t="s">
        <v>22</v>
      </c>
      <c r="AD254" t="s">
        <v>754</v>
      </c>
      <c r="AE254">
        <v>8.0048921767598126E-5</v>
      </c>
      <c r="AG254" t="s">
        <v>97</v>
      </c>
      <c r="AH254" t="s">
        <v>754</v>
      </c>
      <c r="AI254">
        <v>0</v>
      </c>
    </row>
    <row r="255" spans="9:35" x14ac:dyDescent="0.45">
      <c r="I255" t="s">
        <v>252</v>
      </c>
      <c r="J255" t="s">
        <v>755</v>
      </c>
      <c r="K255">
        <v>0</v>
      </c>
      <c r="L255" t="s">
        <v>254</v>
      </c>
      <c r="N255" t="s">
        <v>422</v>
      </c>
      <c r="O255" t="s">
        <v>755</v>
      </c>
      <c r="P255">
        <v>2.997846758931142E-5</v>
      </c>
      <c r="Q255" t="s">
        <v>254</v>
      </c>
      <c r="S255" t="s">
        <v>423</v>
      </c>
      <c r="T255" t="s">
        <v>755</v>
      </c>
      <c r="U255">
        <v>2.820041843411405E-5</v>
      </c>
      <c r="V255" t="s">
        <v>254</v>
      </c>
      <c r="X255">
        <v>1.1415525114155251E-4</v>
      </c>
      <c r="Y255">
        <v>2.1215059377304864E-5</v>
      </c>
      <c r="Z255" t="s">
        <v>755</v>
      </c>
      <c r="AA255" t="s">
        <v>25</v>
      </c>
      <c r="AC255" t="s">
        <v>22</v>
      </c>
      <c r="AD255" t="s">
        <v>755</v>
      </c>
      <c r="AE255">
        <v>8.6840604597084124E-5</v>
      </c>
      <c r="AG255" t="s">
        <v>97</v>
      </c>
      <c r="AH255" t="s">
        <v>755</v>
      </c>
      <c r="AI255">
        <v>0</v>
      </c>
    </row>
    <row r="256" spans="9:35" x14ac:dyDescent="0.45">
      <c r="I256" t="s">
        <v>252</v>
      </c>
      <c r="J256" t="s">
        <v>756</v>
      </c>
      <c r="K256">
        <v>0</v>
      </c>
      <c r="L256" t="s">
        <v>254</v>
      </c>
      <c r="N256" t="s">
        <v>422</v>
      </c>
      <c r="O256" t="s">
        <v>756</v>
      </c>
      <c r="P256">
        <v>3.0459138731807801E-5</v>
      </c>
      <c r="Q256" t="s">
        <v>254</v>
      </c>
      <c r="S256" t="s">
        <v>423</v>
      </c>
      <c r="T256" t="s">
        <v>756</v>
      </c>
      <c r="U256">
        <v>2.689804173468857E-5</v>
      </c>
      <c r="V256" t="s">
        <v>254</v>
      </c>
      <c r="X256">
        <v>1.1415525114155251E-4</v>
      </c>
      <c r="Y256">
        <v>5.7678442682047593E-5</v>
      </c>
      <c r="Z256" t="s">
        <v>756</v>
      </c>
      <c r="AA256" t="s">
        <v>25</v>
      </c>
      <c r="AC256" t="s">
        <v>22</v>
      </c>
      <c r="AD256" t="s">
        <v>756</v>
      </c>
      <c r="AE256">
        <v>1.0243385832231207E-4</v>
      </c>
      <c r="AG256" t="s">
        <v>97</v>
      </c>
      <c r="AH256" t="s">
        <v>756</v>
      </c>
      <c r="AI256">
        <v>0</v>
      </c>
    </row>
    <row r="257" spans="9:35" x14ac:dyDescent="0.45">
      <c r="I257" t="s">
        <v>252</v>
      </c>
      <c r="J257" t="s">
        <v>757</v>
      </c>
      <c r="K257">
        <v>4.2057934589133619E-7</v>
      </c>
      <c r="L257" t="s">
        <v>254</v>
      </c>
      <c r="N257" t="s">
        <v>422</v>
      </c>
      <c r="O257" t="s">
        <v>757</v>
      </c>
      <c r="P257">
        <v>3.3171117190108364E-5</v>
      </c>
      <c r="Q257" t="s">
        <v>254</v>
      </c>
      <c r="S257" t="s">
        <v>423</v>
      </c>
      <c r="T257" t="s">
        <v>757</v>
      </c>
      <c r="U257">
        <v>2.7750827675545807E-5</v>
      </c>
      <c r="V257" t="s">
        <v>254</v>
      </c>
      <c r="X257">
        <v>1.1415525114155251E-4</v>
      </c>
      <c r="Y257">
        <v>1.6905750441289813E-4</v>
      </c>
      <c r="Z257" t="s">
        <v>757</v>
      </c>
      <c r="AA257" t="s">
        <v>25</v>
      </c>
      <c r="AC257" t="s">
        <v>22</v>
      </c>
      <c r="AD257" t="s">
        <v>757</v>
      </c>
      <c r="AE257">
        <v>1.1428350374092581E-4</v>
      </c>
      <c r="AG257" t="s">
        <v>97</v>
      </c>
      <c r="AH257" t="s">
        <v>757</v>
      </c>
      <c r="AI257">
        <v>0</v>
      </c>
    </row>
    <row r="258" spans="9:35" x14ac:dyDescent="0.45">
      <c r="I258" t="s">
        <v>252</v>
      </c>
      <c r="J258" t="s">
        <v>758</v>
      </c>
      <c r="K258">
        <v>7.920650429448173E-5</v>
      </c>
      <c r="L258" t="s">
        <v>254</v>
      </c>
      <c r="N258" t="s">
        <v>422</v>
      </c>
      <c r="O258" t="s">
        <v>758</v>
      </c>
      <c r="P258">
        <v>3.1075350932897762E-5</v>
      </c>
      <c r="Q258" t="s">
        <v>254</v>
      </c>
      <c r="S258" t="s">
        <v>423</v>
      </c>
      <c r="T258" t="s">
        <v>758</v>
      </c>
      <c r="U258">
        <v>2.9073628080120008E-5</v>
      </c>
      <c r="V258" t="s">
        <v>254</v>
      </c>
      <c r="X258">
        <v>1.1415525114155251E-4</v>
      </c>
      <c r="Y258">
        <v>1.9060404909297337E-4</v>
      </c>
      <c r="Z258" t="s">
        <v>758</v>
      </c>
      <c r="AA258" t="s">
        <v>25</v>
      </c>
      <c r="AC258" t="s">
        <v>22</v>
      </c>
      <c r="AD258" t="s">
        <v>758</v>
      </c>
      <c r="AE258">
        <v>1.222591282684735E-4</v>
      </c>
      <c r="AG258" t="s">
        <v>97</v>
      </c>
      <c r="AH258" t="s">
        <v>758</v>
      </c>
      <c r="AI258">
        <v>0</v>
      </c>
    </row>
    <row r="259" spans="9:35" x14ac:dyDescent="0.45">
      <c r="I259" t="s">
        <v>252</v>
      </c>
      <c r="J259" t="s">
        <v>759</v>
      </c>
      <c r="K259">
        <v>1.4518628178089999E-4</v>
      </c>
      <c r="L259" t="s">
        <v>254</v>
      </c>
      <c r="N259" t="s">
        <v>422</v>
      </c>
      <c r="O259" t="s">
        <v>759</v>
      </c>
      <c r="P259">
        <v>2.559749757255029E-5</v>
      </c>
      <c r="Q259" t="s">
        <v>254</v>
      </c>
      <c r="S259" t="s">
        <v>423</v>
      </c>
      <c r="T259" t="s">
        <v>759</v>
      </c>
      <c r="U259">
        <v>3.0888147508942493E-5</v>
      </c>
      <c r="V259" t="s">
        <v>254</v>
      </c>
      <c r="X259">
        <v>1.1415525114155251E-4</v>
      </c>
      <c r="Y259">
        <v>1.4585353321897094E-4</v>
      </c>
      <c r="Z259" t="s">
        <v>759</v>
      </c>
      <c r="AA259" t="s">
        <v>25</v>
      </c>
      <c r="AC259" t="s">
        <v>22</v>
      </c>
      <c r="AD259" t="s">
        <v>759</v>
      </c>
      <c r="AE259">
        <v>1.2750120274153311E-4</v>
      </c>
      <c r="AG259" t="s">
        <v>97</v>
      </c>
      <c r="AH259" t="s">
        <v>759</v>
      </c>
      <c r="AI259">
        <v>0</v>
      </c>
    </row>
    <row r="260" spans="9:35" x14ac:dyDescent="0.45">
      <c r="I260" t="s">
        <v>252</v>
      </c>
      <c r="J260" t="s">
        <v>760</v>
      </c>
      <c r="K260">
        <v>2.041808831374E-4</v>
      </c>
      <c r="L260" t="s">
        <v>254</v>
      </c>
      <c r="N260" t="s">
        <v>422</v>
      </c>
      <c r="O260" t="s">
        <v>760</v>
      </c>
      <c r="P260">
        <v>2.1141155240731917E-5</v>
      </c>
      <c r="Q260" t="s">
        <v>254</v>
      </c>
      <c r="S260" t="s">
        <v>423</v>
      </c>
      <c r="T260" t="s">
        <v>760</v>
      </c>
      <c r="U260">
        <v>2.9542421315392777E-5</v>
      </c>
      <c r="V260" t="s">
        <v>254</v>
      </c>
      <c r="X260">
        <v>1.1415525114155251E-4</v>
      </c>
      <c r="Y260">
        <v>1.4452759200788939E-4</v>
      </c>
      <c r="Z260" t="s">
        <v>760</v>
      </c>
      <c r="AA260" t="s">
        <v>25</v>
      </c>
      <c r="AC260" t="s">
        <v>22</v>
      </c>
      <c r="AD260" t="s">
        <v>760</v>
      </c>
      <c r="AE260">
        <v>1.2756768758850849E-4</v>
      </c>
      <c r="AG260" t="s">
        <v>97</v>
      </c>
      <c r="AH260" t="s">
        <v>760</v>
      </c>
      <c r="AI260">
        <v>0</v>
      </c>
    </row>
    <row r="261" spans="9:35" x14ac:dyDescent="0.45">
      <c r="I261" t="s">
        <v>252</v>
      </c>
      <c r="J261" t="s">
        <v>761</v>
      </c>
      <c r="K261">
        <v>2.502357475638E-4</v>
      </c>
      <c r="L261" t="s">
        <v>254</v>
      </c>
      <c r="N261" t="s">
        <v>422</v>
      </c>
      <c r="O261" t="s">
        <v>761</v>
      </c>
      <c r="P261">
        <v>2.1184814862373397E-5</v>
      </c>
      <c r="Q261" t="s">
        <v>254</v>
      </c>
      <c r="S261" t="s">
        <v>423</v>
      </c>
      <c r="T261" t="s">
        <v>761</v>
      </c>
      <c r="U261">
        <v>4.1398065854470639E-5</v>
      </c>
      <c r="V261" t="s">
        <v>254</v>
      </c>
      <c r="X261">
        <v>1.1415525114155251E-4</v>
      </c>
      <c r="Y261">
        <v>1.408812536774151E-4</v>
      </c>
      <c r="Z261" t="s">
        <v>761</v>
      </c>
      <c r="AA261" t="s">
        <v>25</v>
      </c>
      <c r="AC261" t="s">
        <v>22</v>
      </c>
      <c r="AD261" t="s">
        <v>761</v>
      </c>
      <c r="AE261">
        <v>1.2748841719403784E-4</v>
      </c>
      <c r="AG261" t="s">
        <v>97</v>
      </c>
      <c r="AH261" t="s">
        <v>761</v>
      </c>
      <c r="AI261">
        <v>0</v>
      </c>
    </row>
    <row r="262" spans="9:35" x14ac:dyDescent="0.45">
      <c r="I262" t="s">
        <v>252</v>
      </c>
      <c r="J262" t="s">
        <v>762</v>
      </c>
      <c r="K262">
        <v>2.4183660186060001E-4</v>
      </c>
      <c r="L262" t="s">
        <v>254</v>
      </c>
      <c r="N262" t="s">
        <v>422</v>
      </c>
      <c r="O262" t="s">
        <v>762</v>
      </c>
      <c r="P262">
        <v>2.2556789224207856E-5</v>
      </c>
      <c r="Q262" t="s">
        <v>254</v>
      </c>
      <c r="S262" t="s">
        <v>423</v>
      </c>
      <c r="T262" t="s">
        <v>762</v>
      </c>
      <c r="U262">
        <v>5.2281014085653078E-5</v>
      </c>
      <c r="V262" t="s">
        <v>254</v>
      </c>
      <c r="X262">
        <v>1.1415525114155251E-4</v>
      </c>
      <c r="Y262">
        <v>1.4054976837464471E-4</v>
      </c>
      <c r="Z262" t="s">
        <v>762</v>
      </c>
      <c r="AA262" t="s">
        <v>25</v>
      </c>
      <c r="AC262" t="s">
        <v>22</v>
      </c>
      <c r="AD262" t="s">
        <v>762</v>
      </c>
      <c r="AE262">
        <v>1.2704603725070159E-4</v>
      </c>
      <c r="AG262" t="s">
        <v>97</v>
      </c>
      <c r="AH262" t="s">
        <v>762</v>
      </c>
      <c r="AI262">
        <v>0</v>
      </c>
    </row>
    <row r="263" spans="9:35" x14ac:dyDescent="0.45">
      <c r="I263" t="s">
        <v>252</v>
      </c>
      <c r="J263" t="s">
        <v>763</v>
      </c>
      <c r="K263">
        <v>2.1392690628139999E-4</v>
      </c>
      <c r="L263" t="s">
        <v>254</v>
      </c>
      <c r="N263" t="s">
        <v>422</v>
      </c>
      <c r="O263" t="s">
        <v>763</v>
      </c>
      <c r="P263">
        <v>2.6509234262134769E-5</v>
      </c>
      <c r="Q263" t="s">
        <v>254</v>
      </c>
      <c r="S263" t="s">
        <v>423</v>
      </c>
      <c r="T263" t="s">
        <v>763</v>
      </c>
      <c r="U263">
        <v>5.7767525616038342E-5</v>
      </c>
      <c r="V263" t="s">
        <v>254</v>
      </c>
      <c r="X263">
        <v>1.1415525114155251E-4</v>
      </c>
      <c r="Y263">
        <v>1.4253868019126702E-4</v>
      </c>
      <c r="Z263" t="s">
        <v>763</v>
      </c>
      <c r="AA263" t="s">
        <v>25</v>
      </c>
      <c r="AC263" t="s">
        <v>22</v>
      </c>
      <c r="AD263" t="s">
        <v>763</v>
      </c>
      <c r="AE263">
        <v>1.2704603725070159E-4</v>
      </c>
      <c r="AG263" t="s">
        <v>97</v>
      </c>
      <c r="AH263" t="s">
        <v>763</v>
      </c>
      <c r="AI263">
        <v>0</v>
      </c>
    </row>
    <row r="264" spans="9:35" x14ac:dyDescent="0.45">
      <c r="I264" t="s">
        <v>252</v>
      </c>
      <c r="J264" t="s">
        <v>764</v>
      </c>
      <c r="K264">
        <v>2.10345785809E-4</v>
      </c>
      <c r="L264" t="s">
        <v>254</v>
      </c>
      <c r="N264" t="s">
        <v>422</v>
      </c>
      <c r="O264" t="s">
        <v>764</v>
      </c>
      <c r="P264">
        <v>3.029445368942508E-5</v>
      </c>
      <c r="Q264" t="s">
        <v>254</v>
      </c>
      <c r="S264" t="s">
        <v>423</v>
      </c>
      <c r="T264" t="s">
        <v>764</v>
      </c>
      <c r="U264">
        <v>5.5520304496454096E-5</v>
      </c>
      <c r="V264" t="s">
        <v>254</v>
      </c>
      <c r="X264">
        <v>1.1415525114155251E-4</v>
      </c>
      <c r="Y264">
        <v>1.4883690094390442E-4</v>
      </c>
      <c r="Z264" t="s">
        <v>764</v>
      </c>
      <c r="AA264" t="s">
        <v>25</v>
      </c>
      <c r="AC264" t="s">
        <v>22</v>
      </c>
      <c r="AD264" t="s">
        <v>764</v>
      </c>
      <c r="AE264">
        <v>1.2581095336265877E-4</v>
      </c>
      <c r="AG264" t="s">
        <v>97</v>
      </c>
      <c r="AH264" t="s">
        <v>764</v>
      </c>
      <c r="AI264">
        <v>0</v>
      </c>
    </row>
    <row r="265" spans="9:35" x14ac:dyDescent="0.45">
      <c r="I265" t="s">
        <v>252</v>
      </c>
      <c r="J265" t="s">
        <v>765</v>
      </c>
      <c r="K265">
        <v>1.943573956904E-4</v>
      </c>
      <c r="L265" t="s">
        <v>254</v>
      </c>
      <c r="N265" t="s">
        <v>422</v>
      </c>
      <c r="O265" t="s">
        <v>765</v>
      </c>
      <c r="P265">
        <v>3.1274082998777582E-5</v>
      </c>
      <c r="Q265" t="s">
        <v>254</v>
      </c>
      <c r="S265" t="s">
        <v>423</v>
      </c>
      <c r="T265" t="s">
        <v>765</v>
      </c>
      <c r="U265">
        <v>5.0545618168607589E-5</v>
      </c>
      <c r="V265" t="s">
        <v>254</v>
      </c>
      <c r="X265">
        <v>1.1415525114155251E-4</v>
      </c>
      <c r="Y265">
        <v>1.5049432745775637E-4</v>
      </c>
      <c r="Z265" t="s">
        <v>765</v>
      </c>
      <c r="AA265" t="s">
        <v>25</v>
      </c>
      <c r="AC265" t="s">
        <v>22</v>
      </c>
      <c r="AD265" t="s">
        <v>765</v>
      </c>
      <c r="AE265">
        <v>1.2479578089153454E-4</v>
      </c>
      <c r="AG265" t="s">
        <v>97</v>
      </c>
      <c r="AH265" t="s">
        <v>765</v>
      </c>
      <c r="AI265">
        <v>0</v>
      </c>
    </row>
    <row r="266" spans="9:35" x14ac:dyDescent="0.45">
      <c r="I266" t="s">
        <v>252</v>
      </c>
      <c r="J266" t="s">
        <v>766</v>
      </c>
      <c r="K266">
        <v>1.995036049528E-4</v>
      </c>
      <c r="L266" t="s">
        <v>254</v>
      </c>
      <c r="N266" t="s">
        <v>422</v>
      </c>
      <c r="O266" t="s">
        <v>766</v>
      </c>
      <c r="P266">
        <v>3.2057964908343284E-5</v>
      </c>
      <c r="Q266" t="s">
        <v>254</v>
      </c>
      <c r="S266" t="s">
        <v>423</v>
      </c>
      <c r="T266" t="s">
        <v>766</v>
      </c>
      <c r="U266">
        <v>5.1026484633259998E-5</v>
      </c>
      <c r="V266" t="s">
        <v>254</v>
      </c>
      <c r="X266">
        <v>1.1415525114155251E-4</v>
      </c>
      <c r="Y266">
        <v>1.7237235744060203E-4</v>
      </c>
      <c r="Z266" t="s">
        <v>766</v>
      </c>
      <c r="AA266" t="s">
        <v>25</v>
      </c>
      <c r="AC266" t="s">
        <v>22</v>
      </c>
      <c r="AD266" t="s">
        <v>766</v>
      </c>
      <c r="AE266">
        <v>1.2479578089153454E-4</v>
      </c>
      <c r="AG266" t="s">
        <v>97</v>
      </c>
      <c r="AH266" t="s">
        <v>766</v>
      </c>
      <c r="AI266">
        <v>0</v>
      </c>
    </row>
    <row r="267" spans="9:35" x14ac:dyDescent="0.45">
      <c r="I267" t="s">
        <v>252</v>
      </c>
      <c r="J267" t="s">
        <v>767</v>
      </c>
      <c r="K267">
        <v>1.6573924479780001E-4</v>
      </c>
      <c r="L267" t="s">
        <v>254</v>
      </c>
      <c r="N267" t="s">
        <v>422</v>
      </c>
      <c r="O267" t="s">
        <v>767</v>
      </c>
      <c r="P267">
        <v>3.2454689719323502E-5</v>
      </c>
      <c r="Q267" t="s">
        <v>254</v>
      </c>
      <c r="S267" t="s">
        <v>423</v>
      </c>
      <c r="T267" t="s">
        <v>767</v>
      </c>
      <c r="U267">
        <v>5.6775026546545667E-5</v>
      </c>
      <c r="V267" t="s">
        <v>254</v>
      </c>
      <c r="X267">
        <v>1.1415525114155251E-4</v>
      </c>
      <c r="Y267">
        <v>2.2209515285616027E-4</v>
      </c>
      <c r="Z267" t="s">
        <v>767</v>
      </c>
      <c r="AA267" t="s">
        <v>25</v>
      </c>
      <c r="AC267" t="s">
        <v>22</v>
      </c>
      <c r="AD267" t="s">
        <v>767</v>
      </c>
      <c r="AE267">
        <v>1.2449915618964436E-4</v>
      </c>
      <c r="AG267" t="s">
        <v>97</v>
      </c>
      <c r="AH267" t="s">
        <v>767</v>
      </c>
      <c r="AI267">
        <v>0</v>
      </c>
    </row>
    <row r="268" spans="9:35" x14ac:dyDescent="0.45">
      <c r="I268" t="s">
        <v>252</v>
      </c>
      <c r="J268" t="s">
        <v>768</v>
      </c>
      <c r="K268">
        <v>1.296021840101E-4</v>
      </c>
      <c r="L268" t="s">
        <v>254</v>
      </c>
      <c r="N268" t="s">
        <v>422</v>
      </c>
      <c r="O268" t="s">
        <v>768</v>
      </c>
      <c r="P268">
        <v>3.6131670211112543E-5</v>
      </c>
      <c r="Q268" t="s">
        <v>254</v>
      </c>
      <c r="S268" t="s">
        <v>423</v>
      </c>
      <c r="T268" t="s">
        <v>768</v>
      </c>
      <c r="U268">
        <v>6.1719754257643888E-5</v>
      </c>
      <c r="V268" t="s">
        <v>254</v>
      </c>
      <c r="X268">
        <v>1.1415525114155251E-4</v>
      </c>
      <c r="Y268">
        <v>2.2209515285616027E-4</v>
      </c>
      <c r="Z268" t="s">
        <v>768</v>
      </c>
      <c r="AA268" t="s">
        <v>25</v>
      </c>
      <c r="AC268" t="s">
        <v>22</v>
      </c>
      <c r="AD268" t="s">
        <v>768</v>
      </c>
      <c r="AE268">
        <v>1.2449915618964436E-4</v>
      </c>
      <c r="AG268" t="s">
        <v>97</v>
      </c>
      <c r="AH268" t="s">
        <v>768</v>
      </c>
      <c r="AI268">
        <v>0</v>
      </c>
    </row>
    <row r="269" spans="9:35" x14ac:dyDescent="0.45">
      <c r="I269" t="s">
        <v>252</v>
      </c>
      <c r="J269" t="s">
        <v>769</v>
      </c>
      <c r="K269">
        <v>3.5836835413368332E-5</v>
      </c>
      <c r="L269" t="s">
        <v>254</v>
      </c>
      <c r="N269" t="s">
        <v>422</v>
      </c>
      <c r="O269" t="s">
        <v>769</v>
      </c>
      <c r="P269">
        <v>4.0696603219425038E-5</v>
      </c>
      <c r="Q269" t="s">
        <v>254</v>
      </c>
      <c r="S269" t="s">
        <v>423</v>
      </c>
      <c r="T269" t="s">
        <v>769</v>
      </c>
      <c r="U269">
        <v>6.3870972927719506E-5</v>
      </c>
      <c r="V269" t="s">
        <v>254</v>
      </c>
      <c r="X269">
        <v>1.1415525114155251E-4</v>
      </c>
      <c r="Y269">
        <v>1.7237235744060203E-4</v>
      </c>
      <c r="Z269" t="s">
        <v>769</v>
      </c>
      <c r="AA269" t="s">
        <v>25</v>
      </c>
      <c r="AC269" t="s">
        <v>22</v>
      </c>
      <c r="AD269" t="s">
        <v>769</v>
      </c>
      <c r="AE269">
        <v>1.2403376226081662E-4</v>
      </c>
      <c r="AG269" t="s">
        <v>97</v>
      </c>
      <c r="AH269" t="s">
        <v>769</v>
      </c>
      <c r="AI269">
        <v>0</v>
      </c>
    </row>
    <row r="270" spans="9:35" x14ac:dyDescent="0.45">
      <c r="I270" t="s">
        <v>252</v>
      </c>
      <c r="J270" t="s">
        <v>770</v>
      </c>
      <c r="K270">
        <v>0</v>
      </c>
      <c r="L270" t="s">
        <v>254</v>
      </c>
      <c r="N270" t="s">
        <v>422</v>
      </c>
      <c r="O270" t="s">
        <v>770</v>
      </c>
      <c r="P270">
        <v>4.2308317529541901E-5</v>
      </c>
      <c r="Q270" t="s">
        <v>254</v>
      </c>
      <c r="S270" t="s">
        <v>423</v>
      </c>
      <c r="T270" t="s">
        <v>770</v>
      </c>
      <c r="U270">
        <v>7.0200006663653894E-5</v>
      </c>
      <c r="V270" t="s">
        <v>254</v>
      </c>
      <c r="X270">
        <v>1.1415525114155251E-4</v>
      </c>
      <c r="Y270">
        <v>1.5579809230208258E-4</v>
      </c>
      <c r="Z270" t="s">
        <v>770</v>
      </c>
      <c r="AA270" t="s">
        <v>25</v>
      </c>
      <c r="AC270" t="s">
        <v>22</v>
      </c>
      <c r="AD270" t="s">
        <v>770</v>
      </c>
      <c r="AE270">
        <v>1.2184487652962686E-4</v>
      </c>
      <c r="AG270" t="s">
        <v>97</v>
      </c>
      <c r="AH270" t="s">
        <v>770</v>
      </c>
      <c r="AI270">
        <v>0</v>
      </c>
    </row>
    <row r="271" spans="9:35" x14ac:dyDescent="0.45">
      <c r="I271" t="s">
        <v>252</v>
      </c>
      <c r="J271" t="s">
        <v>771</v>
      </c>
      <c r="K271">
        <v>0</v>
      </c>
      <c r="L271" t="s">
        <v>254</v>
      </c>
      <c r="N271" t="s">
        <v>422</v>
      </c>
      <c r="O271" t="s">
        <v>771</v>
      </c>
      <c r="P271">
        <v>4.3387743658370177E-5</v>
      </c>
      <c r="Q271" t="s">
        <v>254</v>
      </c>
      <c r="S271" t="s">
        <v>423</v>
      </c>
      <c r="T271" t="s">
        <v>771</v>
      </c>
      <c r="U271">
        <v>7.4371481878776055E-5</v>
      </c>
      <c r="V271" t="s">
        <v>254</v>
      </c>
      <c r="X271">
        <v>1.1415525114155251E-4</v>
      </c>
      <c r="Y271">
        <v>1.093901499142282E-4</v>
      </c>
      <c r="Z271" t="s">
        <v>771</v>
      </c>
      <c r="AA271" t="s">
        <v>25</v>
      </c>
      <c r="AC271" t="s">
        <v>22</v>
      </c>
      <c r="AD271" t="s">
        <v>771</v>
      </c>
      <c r="AE271">
        <v>1.1550068786247523E-4</v>
      </c>
      <c r="AG271" t="s">
        <v>97</v>
      </c>
      <c r="AH271" t="s">
        <v>771</v>
      </c>
      <c r="AI271">
        <v>0</v>
      </c>
    </row>
    <row r="272" spans="9:35" x14ac:dyDescent="0.45">
      <c r="I272" t="s">
        <v>252</v>
      </c>
      <c r="J272" t="s">
        <v>772</v>
      </c>
      <c r="K272">
        <v>0</v>
      </c>
      <c r="L272" t="s">
        <v>254</v>
      </c>
      <c r="N272" t="s">
        <v>422</v>
      </c>
      <c r="O272" t="s">
        <v>772</v>
      </c>
      <c r="P272">
        <v>5.1022474600594536E-5</v>
      </c>
      <c r="Q272" t="s">
        <v>254</v>
      </c>
      <c r="S272" t="s">
        <v>423</v>
      </c>
      <c r="T272" t="s">
        <v>772</v>
      </c>
      <c r="U272">
        <v>1.002858985674E-4</v>
      </c>
      <c r="V272" t="s">
        <v>254</v>
      </c>
      <c r="X272">
        <v>1.1415525114155251E-4</v>
      </c>
      <c r="Y272">
        <v>7.9556472664893237E-5</v>
      </c>
      <c r="Z272" t="s">
        <v>772</v>
      </c>
      <c r="AA272" t="s">
        <v>25</v>
      </c>
      <c r="AC272" t="s">
        <v>22</v>
      </c>
      <c r="AD272" t="s">
        <v>772</v>
      </c>
      <c r="AE272">
        <v>1.0886754582193058E-4</v>
      </c>
      <c r="AG272" t="s">
        <v>97</v>
      </c>
      <c r="AH272" t="s">
        <v>772</v>
      </c>
      <c r="AI272">
        <v>0</v>
      </c>
    </row>
    <row r="273" spans="9:35" x14ac:dyDescent="0.45">
      <c r="I273" t="s">
        <v>252</v>
      </c>
      <c r="J273" t="s">
        <v>773</v>
      </c>
      <c r="K273">
        <v>0</v>
      </c>
      <c r="L273" t="s">
        <v>254</v>
      </c>
      <c r="N273" t="s">
        <v>422</v>
      </c>
      <c r="O273" t="s">
        <v>773</v>
      </c>
      <c r="P273">
        <v>6.3286378759460268E-5</v>
      </c>
      <c r="Q273" t="s">
        <v>254</v>
      </c>
      <c r="S273" t="s">
        <v>423</v>
      </c>
      <c r="T273" t="s">
        <v>773</v>
      </c>
      <c r="U273">
        <v>1.090800101143E-4</v>
      </c>
      <c r="V273" t="s">
        <v>254</v>
      </c>
      <c r="X273">
        <v>1.1415525114155251E-4</v>
      </c>
      <c r="Y273">
        <v>5.6352501470966035E-5</v>
      </c>
      <c r="Z273" t="s">
        <v>773</v>
      </c>
      <c r="AA273" t="s">
        <v>25</v>
      </c>
      <c r="AC273" t="s">
        <v>22</v>
      </c>
      <c r="AD273" t="s">
        <v>773</v>
      </c>
      <c r="AE273">
        <v>9.5015683665558001E-5</v>
      </c>
      <c r="AG273" t="s">
        <v>97</v>
      </c>
      <c r="AH273" t="s">
        <v>773</v>
      </c>
      <c r="AI273">
        <v>0</v>
      </c>
    </row>
    <row r="274" spans="9:35" x14ac:dyDescent="0.45">
      <c r="I274" t="s">
        <v>252</v>
      </c>
      <c r="J274" t="s">
        <v>774</v>
      </c>
      <c r="K274">
        <v>0</v>
      </c>
      <c r="L274" t="s">
        <v>254</v>
      </c>
      <c r="N274" t="s">
        <v>422</v>
      </c>
      <c r="O274" t="s">
        <v>774</v>
      </c>
      <c r="P274">
        <v>6.9594129018796553E-5</v>
      </c>
      <c r="Q274" t="s">
        <v>254</v>
      </c>
      <c r="S274" t="s">
        <v>423</v>
      </c>
      <c r="T274" t="s">
        <v>774</v>
      </c>
      <c r="U274">
        <v>9.5785287045516674E-5</v>
      </c>
      <c r="V274" t="s">
        <v>254</v>
      </c>
      <c r="X274">
        <v>1.1415525114155251E-4</v>
      </c>
      <c r="Y274">
        <v>2.9833677249334962E-5</v>
      </c>
      <c r="Z274" t="s">
        <v>774</v>
      </c>
      <c r="AA274" t="s">
        <v>25</v>
      </c>
      <c r="AC274" t="s">
        <v>22</v>
      </c>
      <c r="AD274" t="s">
        <v>774</v>
      </c>
      <c r="AE274">
        <v>8.6201327222320756E-5</v>
      </c>
      <c r="AG274" t="s">
        <v>97</v>
      </c>
      <c r="AH274" t="s">
        <v>774</v>
      </c>
      <c r="AI274">
        <v>0</v>
      </c>
    </row>
    <row r="275" spans="9:35" x14ac:dyDescent="0.45">
      <c r="I275" t="s">
        <v>252</v>
      </c>
      <c r="J275" t="s">
        <v>398</v>
      </c>
      <c r="K275">
        <v>3.2958281595258512E-7</v>
      </c>
      <c r="L275" t="s">
        <v>254</v>
      </c>
      <c r="N275" t="s">
        <v>422</v>
      </c>
      <c r="O275" t="s">
        <v>398</v>
      </c>
      <c r="P275">
        <v>3.0255303475093649E-2</v>
      </c>
      <c r="Q275" t="s">
        <v>254</v>
      </c>
      <c r="S275" t="s">
        <v>423</v>
      </c>
      <c r="T275" t="s">
        <v>398</v>
      </c>
      <c r="U275">
        <v>2.8375152617209153E-2</v>
      </c>
      <c r="V275" t="s">
        <v>254</v>
      </c>
      <c r="X275">
        <v>2.3972602739726026E-2</v>
      </c>
      <c r="Y275">
        <v>9.4672202471222967E-3</v>
      </c>
      <c r="Z275" t="s">
        <v>398</v>
      </c>
      <c r="AA275" t="s">
        <v>25</v>
      </c>
      <c r="AC275" t="s">
        <v>22</v>
      </c>
      <c r="AD275" t="s">
        <v>398</v>
      </c>
      <c r="AE275">
        <v>1.7837200321866847E-2</v>
      </c>
      <c r="AG275" t="s">
        <v>97</v>
      </c>
      <c r="AH275" t="s">
        <v>398</v>
      </c>
      <c r="AI275">
        <v>0.26305983625738283</v>
      </c>
    </row>
    <row r="276" spans="9:35" x14ac:dyDescent="0.45">
      <c r="I276" t="s">
        <v>252</v>
      </c>
      <c r="J276" t="s">
        <v>399</v>
      </c>
      <c r="K276">
        <v>1.8894385383750045E-3</v>
      </c>
      <c r="L276" t="s">
        <v>254</v>
      </c>
      <c r="N276" t="s">
        <v>422</v>
      </c>
      <c r="O276" t="s">
        <v>399</v>
      </c>
      <c r="P276">
        <v>4.4009561147549227E-3</v>
      </c>
      <c r="Q276" t="s">
        <v>254</v>
      </c>
      <c r="S276" t="s">
        <v>423</v>
      </c>
      <c r="T276" t="s">
        <v>399</v>
      </c>
      <c r="U276">
        <v>4.125167345420371E-3</v>
      </c>
      <c r="V276" t="s">
        <v>254</v>
      </c>
      <c r="X276">
        <v>3.4246575342465752E-3</v>
      </c>
      <c r="Y276">
        <v>5.7181214727892006E-3</v>
      </c>
      <c r="Z276" t="s">
        <v>399</v>
      </c>
      <c r="AA276" t="s">
        <v>25</v>
      </c>
      <c r="AC276" t="s">
        <v>22</v>
      </c>
      <c r="AD276" t="s">
        <v>399</v>
      </c>
      <c r="AE276">
        <v>3.3974500057201073E-3</v>
      </c>
      <c r="AG276" t="s">
        <v>97</v>
      </c>
      <c r="AH276" t="s">
        <v>399</v>
      </c>
      <c r="AI276">
        <v>8.2214485700139228E-2</v>
      </c>
    </row>
    <row r="277" spans="9:35" x14ac:dyDescent="0.45">
      <c r="I277" t="s">
        <v>252</v>
      </c>
      <c r="J277" t="s">
        <v>400</v>
      </c>
      <c r="K277">
        <v>1.0676505814580843E-2</v>
      </c>
      <c r="L277" t="s">
        <v>254</v>
      </c>
      <c r="N277" t="s">
        <v>422</v>
      </c>
      <c r="O277" t="s">
        <v>400</v>
      </c>
      <c r="P277">
        <v>8.7447967228656189E-3</v>
      </c>
      <c r="Q277" t="s">
        <v>254</v>
      </c>
      <c r="S277" t="s">
        <v>423</v>
      </c>
      <c r="T277" t="s">
        <v>400</v>
      </c>
      <c r="U277">
        <v>8.212666948226378E-3</v>
      </c>
      <c r="V277" t="s">
        <v>254</v>
      </c>
      <c r="X277">
        <v>6.8493150684931503E-3</v>
      </c>
      <c r="Y277">
        <v>8.7114337568058101E-3</v>
      </c>
      <c r="Z277" t="s">
        <v>400</v>
      </c>
      <c r="AA277" t="s">
        <v>25</v>
      </c>
      <c r="AC277" t="s">
        <v>22</v>
      </c>
      <c r="AD277" t="s">
        <v>400</v>
      </c>
      <c r="AE277">
        <v>7.2234766777005714E-3</v>
      </c>
      <c r="AG277" t="s">
        <v>97</v>
      </c>
      <c r="AH277" t="s">
        <v>400</v>
      </c>
      <c r="AI277">
        <v>6.5076799778503558E-2</v>
      </c>
    </row>
    <row r="278" spans="9:35" x14ac:dyDescent="0.45">
      <c r="I278" t="s">
        <v>252</v>
      </c>
      <c r="J278" t="s">
        <v>401</v>
      </c>
      <c r="K278">
        <v>2.1599764677723583E-2</v>
      </c>
      <c r="L278" t="s">
        <v>254</v>
      </c>
      <c r="N278" t="s">
        <v>422</v>
      </c>
      <c r="O278" t="s">
        <v>401</v>
      </c>
      <c r="P278">
        <v>1.2666300820893865E-2</v>
      </c>
      <c r="Q278" t="s">
        <v>254</v>
      </c>
      <c r="S278" t="s">
        <v>423</v>
      </c>
      <c r="T278" t="s">
        <v>401</v>
      </c>
      <c r="U278">
        <v>1.2137164068627594E-2</v>
      </c>
      <c r="V278" t="s">
        <v>254</v>
      </c>
      <c r="X278">
        <v>1.0273972602739725E-2</v>
      </c>
      <c r="Y278">
        <v>1.2719091067299805E-2</v>
      </c>
      <c r="Z278" t="s">
        <v>401</v>
      </c>
      <c r="AA278" t="s">
        <v>25</v>
      </c>
      <c r="AC278" t="s">
        <v>22</v>
      </c>
      <c r="AD278" t="s">
        <v>401</v>
      </c>
      <c r="AE278">
        <v>1.0824769224247225E-2</v>
      </c>
      <c r="AG278" t="s">
        <v>97</v>
      </c>
      <c r="AH278" t="s">
        <v>401</v>
      </c>
      <c r="AI278">
        <v>6.7200095683181083E-2</v>
      </c>
    </row>
    <row r="279" spans="9:35" x14ac:dyDescent="0.45">
      <c r="I279" t="s">
        <v>252</v>
      </c>
      <c r="J279" t="s">
        <v>402</v>
      </c>
      <c r="K279">
        <v>7.2116084937533E-3</v>
      </c>
      <c r="L279" t="s">
        <v>254</v>
      </c>
      <c r="N279" t="s">
        <v>422</v>
      </c>
      <c r="O279" t="s">
        <v>402</v>
      </c>
      <c r="P279">
        <v>4.2240373745210027E-3</v>
      </c>
      <c r="Q279" t="s">
        <v>254</v>
      </c>
      <c r="S279" t="s">
        <v>423</v>
      </c>
      <c r="T279" t="s">
        <v>402</v>
      </c>
      <c r="U279">
        <v>4.086282630695757E-3</v>
      </c>
      <c r="V279" t="s">
        <v>254</v>
      </c>
      <c r="X279">
        <v>3.4246575342465752E-3</v>
      </c>
      <c r="Y279">
        <v>4.4651070283171336E-3</v>
      </c>
      <c r="Z279" t="s">
        <v>402</v>
      </c>
      <c r="AA279" t="s">
        <v>25</v>
      </c>
      <c r="AC279" t="s">
        <v>22</v>
      </c>
      <c r="AD279" t="s">
        <v>402</v>
      </c>
      <c r="AE279">
        <v>3.5734277243354672E-3</v>
      </c>
      <c r="AG279" t="s">
        <v>97</v>
      </c>
      <c r="AH279" t="s">
        <v>402</v>
      </c>
      <c r="AI279">
        <v>6.8315177437679564E-2</v>
      </c>
    </row>
    <row r="280" spans="9:35" x14ac:dyDescent="0.45">
      <c r="I280" t="s">
        <v>252</v>
      </c>
      <c r="J280" t="s">
        <v>403</v>
      </c>
      <c r="K280">
        <v>1.3467566279089901E-2</v>
      </c>
      <c r="L280" t="s">
        <v>254</v>
      </c>
      <c r="N280" t="s">
        <v>422</v>
      </c>
      <c r="O280" t="s">
        <v>403</v>
      </c>
      <c r="P280">
        <v>8.3202554751643856E-3</v>
      </c>
      <c r="Q280" t="s">
        <v>254</v>
      </c>
      <c r="S280" t="s">
        <v>423</v>
      </c>
      <c r="T280" t="s">
        <v>403</v>
      </c>
      <c r="U280">
        <v>8.2252095794322216E-3</v>
      </c>
      <c r="V280" t="s">
        <v>254</v>
      </c>
      <c r="X280">
        <v>6.8493150684931503E-3</v>
      </c>
      <c r="Y280">
        <v>9.6860005469507522E-3</v>
      </c>
      <c r="Z280" t="s">
        <v>403</v>
      </c>
      <c r="AA280" t="s">
        <v>25</v>
      </c>
      <c r="AC280" t="s">
        <v>22</v>
      </c>
      <c r="AD280" t="s">
        <v>403</v>
      </c>
      <c r="AE280">
        <v>7.0962170092611788E-3</v>
      </c>
      <c r="AG280" t="s">
        <v>97</v>
      </c>
      <c r="AH280" t="s">
        <v>403</v>
      </c>
      <c r="AI280">
        <v>7.2017419221504619E-2</v>
      </c>
    </row>
    <row r="281" spans="9:35" x14ac:dyDescent="0.45">
      <c r="I281" t="s">
        <v>252</v>
      </c>
      <c r="J281" t="s">
        <v>404</v>
      </c>
      <c r="K281">
        <v>7.3895520967013515E-3</v>
      </c>
      <c r="L281" t="s">
        <v>254</v>
      </c>
      <c r="N281" t="s">
        <v>422</v>
      </c>
      <c r="O281" t="s">
        <v>404</v>
      </c>
      <c r="P281">
        <v>7.9573931829231559E-3</v>
      </c>
      <c r="Q281" t="s">
        <v>254</v>
      </c>
      <c r="S281" t="s">
        <v>423</v>
      </c>
      <c r="T281" t="s">
        <v>404</v>
      </c>
      <c r="U281">
        <v>8.2248320986135701E-3</v>
      </c>
      <c r="V281" t="s">
        <v>254</v>
      </c>
      <c r="X281">
        <v>6.8493150684931503E-3</v>
      </c>
      <c r="Y281">
        <v>1.3325709171369611E-2</v>
      </c>
      <c r="Z281" t="s">
        <v>404</v>
      </c>
      <c r="AA281" t="s">
        <v>25</v>
      </c>
      <c r="AC281" t="s">
        <v>22</v>
      </c>
      <c r="AD281" t="s">
        <v>404</v>
      </c>
      <c r="AE281">
        <v>7.1016968949176506E-3</v>
      </c>
      <c r="AG281" t="s">
        <v>97</v>
      </c>
      <c r="AH281" t="s">
        <v>404</v>
      </c>
      <c r="AI281">
        <v>7.5509858746363845E-2</v>
      </c>
    </row>
    <row r="282" spans="9:35" x14ac:dyDescent="0.45">
      <c r="I282" t="s">
        <v>252</v>
      </c>
      <c r="J282" t="s">
        <v>405</v>
      </c>
      <c r="K282">
        <v>2.0476372471086324E-5</v>
      </c>
      <c r="L282" t="s">
        <v>254</v>
      </c>
      <c r="N282" t="s">
        <v>422</v>
      </c>
      <c r="O282" t="s">
        <v>405</v>
      </c>
      <c r="P282">
        <v>2.4872076320919353E-2</v>
      </c>
      <c r="Q282" t="s">
        <v>254</v>
      </c>
      <c r="S282" t="s">
        <v>423</v>
      </c>
      <c r="T282" t="s">
        <v>405</v>
      </c>
      <c r="U282">
        <v>2.4324988555285421E-2</v>
      </c>
      <c r="V282" t="s">
        <v>254</v>
      </c>
      <c r="X282">
        <v>2.0547945205479451E-2</v>
      </c>
      <c r="Y282">
        <v>1.8099097531263209E-2</v>
      </c>
      <c r="Z282" t="s">
        <v>405</v>
      </c>
      <c r="AA282" t="s">
        <v>25</v>
      </c>
      <c r="AC282" t="s">
        <v>22</v>
      </c>
      <c r="AD282" t="s">
        <v>405</v>
      </c>
      <c r="AE282">
        <v>1.8971914935860104E-2</v>
      </c>
      <c r="AG282" t="s">
        <v>97</v>
      </c>
      <c r="AH282" t="s">
        <v>405</v>
      </c>
      <c r="AI282">
        <v>0.16799096954101778</v>
      </c>
    </row>
    <row r="283" spans="9:35" x14ac:dyDescent="0.45">
      <c r="I283" t="s">
        <v>252</v>
      </c>
      <c r="J283" t="s">
        <v>775</v>
      </c>
      <c r="K283">
        <v>0</v>
      </c>
      <c r="L283" t="s">
        <v>254</v>
      </c>
      <c r="N283" t="s">
        <v>422</v>
      </c>
      <c r="O283" t="s">
        <v>775</v>
      </c>
      <c r="P283">
        <v>9.7861174501138776E-5</v>
      </c>
      <c r="Q283" t="s">
        <v>254</v>
      </c>
      <c r="S283" t="s">
        <v>423</v>
      </c>
      <c r="T283" t="s">
        <v>775</v>
      </c>
      <c r="U283">
        <v>5.9387460831685087E-5</v>
      </c>
      <c r="V283" t="s">
        <v>254</v>
      </c>
      <c r="X283">
        <v>1.1415525114155251E-4</v>
      </c>
      <c r="Y283">
        <v>2.1546544680075254E-5</v>
      </c>
      <c r="Z283" t="s">
        <v>775</v>
      </c>
      <c r="AA283" t="s">
        <v>25</v>
      </c>
      <c r="AC283" t="s">
        <v>22</v>
      </c>
      <c r="AD283" t="s">
        <v>775</v>
      </c>
      <c r="AE283">
        <v>8.0596943278523202E-5</v>
      </c>
      <c r="AG283" t="s">
        <v>97</v>
      </c>
      <c r="AH283" t="s">
        <v>775</v>
      </c>
      <c r="AI283">
        <v>0</v>
      </c>
    </row>
    <row r="284" spans="9:35" x14ac:dyDescent="0.45">
      <c r="I284" t="s">
        <v>252</v>
      </c>
      <c r="J284" t="s">
        <v>776</v>
      </c>
      <c r="K284">
        <v>0</v>
      </c>
      <c r="L284" t="s">
        <v>254</v>
      </c>
      <c r="N284" t="s">
        <v>422</v>
      </c>
      <c r="O284" t="s">
        <v>776</v>
      </c>
      <c r="P284">
        <v>9.17445444914729E-5</v>
      </c>
      <c r="Q284" t="s">
        <v>254</v>
      </c>
      <c r="S284" t="s">
        <v>423</v>
      </c>
      <c r="T284" t="s">
        <v>776</v>
      </c>
      <c r="U284">
        <v>5.4724259709233895E-5</v>
      </c>
      <c r="V284" t="s">
        <v>254</v>
      </c>
      <c r="X284">
        <v>1.1415525114155251E-4</v>
      </c>
      <c r="Y284">
        <v>1.4916838624667481E-5</v>
      </c>
      <c r="Z284" t="s">
        <v>776</v>
      </c>
      <c r="AA284" t="s">
        <v>25</v>
      </c>
      <c r="AC284" t="s">
        <v>22</v>
      </c>
      <c r="AD284" t="s">
        <v>776</v>
      </c>
      <c r="AE284">
        <v>7.9479486427436852E-5</v>
      </c>
      <c r="AG284" t="s">
        <v>97</v>
      </c>
      <c r="AH284" t="s">
        <v>776</v>
      </c>
      <c r="AI284">
        <v>0</v>
      </c>
    </row>
    <row r="285" spans="9:35" x14ac:dyDescent="0.45">
      <c r="I285" t="s">
        <v>252</v>
      </c>
      <c r="J285" t="s">
        <v>777</v>
      </c>
      <c r="K285">
        <v>0</v>
      </c>
      <c r="L285" t="s">
        <v>254</v>
      </c>
      <c r="N285" t="s">
        <v>422</v>
      </c>
      <c r="O285" t="s">
        <v>777</v>
      </c>
      <c r="P285">
        <v>8.1619687297072437E-5</v>
      </c>
      <c r="Q285" t="s">
        <v>254</v>
      </c>
      <c r="S285" t="s">
        <v>423</v>
      </c>
      <c r="T285" t="s">
        <v>777</v>
      </c>
      <c r="U285">
        <v>4.6323909516104896E-5</v>
      </c>
      <c r="V285" t="s">
        <v>254</v>
      </c>
      <c r="X285">
        <v>1.1415525114155251E-4</v>
      </c>
      <c r="Y285">
        <v>1.6574265138519424E-5</v>
      </c>
      <c r="Z285" t="s">
        <v>777</v>
      </c>
      <c r="AA285" t="s">
        <v>25</v>
      </c>
      <c r="AC285" t="s">
        <v>22</v>
      </c>
      <c r="AD285" t="s">
        <v>777</v>
      </c>
      <c r="AE285">
        <v>7.9479486427436852E-5</v>
      </c>
      <c r="AG285" t="s">
        <v>97</v>
      </c>
      <c r="AH285" t="s">
        <v>777</v>
      </c>
      <c r="AI285">
        <v>0</v>
      </c>
    </row>
    <row r="286" spans="9:35" x14ac:dyDescent="0.45">
      <c r="I286" t="s">
        <v>252</v>
      </c>
      <c r="J286" t="s">
        <v>778</v>
      </c>
      <c r="K286">
        <v>0</v>
      </c>
      <c r="L286" t="s">
        <v>254</v>
      </c>
      <c r="N286" t="s">
        <v>422</v>
      </c>
      <c r="O286" t="s">
        <v>778</v>
      </c>
      <c r="P286">
        <v>6.8297067156095165E-5</v>
      </c>
      <c r="Q286" t="s">
        <v>254</v>
      </c>
      <c r="S286" t="s">
        <v>423</v>
      </c>
      <c r="T286" t="s">
        <v>778</v>
      </c>
      <c r="U286">
        <v>3.7380359217782633E-5</v>
      </c>
      <c r="V286" t="s">
        <v>254</v>
      </c>
      <c r="X286">
        <v>1.1415525114155251E-4</v>
      </c>
      <c r="Y286">
        <v>1.4585353321897093E-5</v>
      </c>
      <c r="Z286" t="s">
        <v>778</v>
      </c>
      <c r="AA286" t="s">
        <v>25</v>
      </c>
      <c r="AC286" t="s">
        <v>22</v>
      </c>
      <c r="AD286" t="s">
        <v>778</v>
      </c>
      <c r="AE286">
        <v>8.0172463101680353E-5</v>
      </c>
      <c r="AG286" t="s">
        <v>97</v>
      </c>
      <c r="AH286" t="s">
        <v>778</v>
      </c>
      <c r="AI286">
        <v>0</v>
      </c>
    </row>
    <row r="287" spans="9:35" x14ac:dyDescent="0.45">
      <c r="I287" t="s">
        <v>252</v>
      </c>
      <c r="J287" t="s">
        <v>779</v>
      </c>
      <c r="K287">
        <v>0</v>
      </c>
      <c r="L287" t="s">
        <v>254</v>
      </c>
      <c r="N287" t="s">
        <v>422</v>
      </c>
      <c r="O287" t="s">
        <v>779</v>
      </c>
      <c r="P287">
        <v>5.7033050043509011E-5</v>
      </c>
      <c r="Q287" t="s">
        <v>254</v>
      </c>
      <c r="S287" t="s">
        <v>423</v>
      </c>
      <c r="T287" t="s">
        <v>779</v>
      </c>
      <c r="U287">
        <v>3.1932376857894668E-5</v>
      </c>
      <c r="V287" t="s">
        <v>254</v>
      </c>
      <c r="X287">
        <v>1.1415525114155251E-4</v>
      </c>
      <c r="Y287">
        <v>2.1215059377304864E-5</v>
      </c>
      <c r="Z287" t="s">
        <v>779</v>
      </c>
      <c r="AA287" t="s">
        <v>25</v>
      </c>
      <c r="AC287" t="s">
        <v>22</v>
      </c>
      <c r="AD287" t="s">
        <v>779</v>
      </c>
      <c r="AE287">
        <v>8.7659679714908865E-5</v>
      </c>
      <c r="AG287" t="s">
        <v>97</v>
      </c>
      <c r="AH287" t="s">
        <v>779</v>
      </c>
      <c r="AI287">
        <v>0</v>
      </c>
    </row>
    <row r="288" spans="9:35" x14ac:dyDescent="0.45">
      <c r="I288" t="s">
        <v>252</v>
      </c>
      <c r="J288" t="s">
        <v>780</v>
      </c>
      <c r="K288">
        <v>0</v>
      </c>
      <c r="L288" t="s">
        <v>254</v>
      </c>
      <c r="N288" t="s">
        <v>422</v>
      </c>
      <c r="O288" t="s">
        <v>780</v>
      </c>
      <c r="P288">
        <v>4.5326129032376207E-5</v>
      </c>
      <c r="Q288" t="s">
        <v>254</v>
      </c>
      <c r="S288" t="s">
        <v>423</v>
      </c>
      <c r="T288" t="s">
        <v>780</v>
      </c>
      <c r="U288">
        <v>3.1999497642304355E-5</v>
      </c>
      <c r="V288" t="s">
        <v>254</v>
      </c>
      <c r="X288">
        <v>1.1415525114155251E-4</v>
      </c>
      <c r="Y288">
        <v>5.7678442682047593E-5</v>
      </c>
      <c r="Z288" t="s">
        <v>780</v>
      </c>
      <c r="AA288" t="s">
        <v>25</v>
      </c>
      <c r="AC288" t="s">
        <v>22</v>
      </c>
      <c r="AD288" t="s">
        <v>780</v>
      </c>
      <c r="AE288">
        <v>1.0353677259453177E-4</v>
      </c>
      <c r="AG288" t="s">
        <v>97</v>
      </c>
      <c r="AH288" t="s">
        <v>780</v>
      </c>
      <c r="AI288">
        <v>0</v>
      </c>
    </row>
    <row r="289" spans="9:35" x14ac:dyDescent="0.45">
      <c r="I289" t="s">
        <v>252</v>
      </c>
      <c r="J289" t="s">
        <v>781</v>
      </c>
      <c r="K289">
        <v>0</v>
      </c>
      <c r="L289" t="s">
        <v>254</v>
      </c>
      <c r="N289" t="s">
        <v>422</v>
      </c>
      <c r="O289" t="s">
        <v>781</v>
      </c>
      <c r="P289">
        <v>3.7063175501710265E-5</v>
      </c>
      <c r="Q289" t="s">
        <v>254</v>
      </c>
      <c r="S289" t="s">
        <v>423</v>
      </c>
      <c r="T289" t="s">
        <v>781</v>
      </c>
      <c r="U289">
        <v>3.6259533575544147E-5</v>
      </c>
      <c r="V289" t="s">
        <v>254</v>
      </c>
      <c r="X289">
        <v>1.1415525114155251E-4</v>
      </c>
      <c r="Y289">
        <v>1.6905750441289813E-4</v>
      </c>
      <c r="Z289" t="s">
        <v>781</v>
      </c>
      <c r="AA289" t="s">
        <v>25</v>
      </c>
      <c r="AC289" t="s">
        <v>22</v>
      </c>
      <c r="AD289" t="s">
        <v>781</v>
      </c>
      <c r="AE289">
        <v>1.154452315316237E-4</v>
      </c>
      <c r="AG289" t="s">
        <v>97</v>
      </c>
      <c r="AH289" t="s">
        <v>781</v>
      </c>
      <c r="AI289">
        <v>0</v>
      </c>
    </row>
    <row r="290" spans="9:35" x14ac:dyDescent="0.45">
      <c r="I290" t="s">
        <v>252</v>
      </c>
      <c r="J290" t="s">
        <v>782</v>
      </c>
      <c r="K290">
        <v>9.0334138585175903E-6</v>
      </c>
      <c r="L290" t="s">
        <v>254</v>
      </c>
      <c r="N290" t="s">
        <v>422</v>
      </c>
      <c r="O290" t="s">
        <v>782</v>
      </c>
      <c r="P290">
        <v>3.3532755016108434E-5</v>
      </c>
      <c r="Q290" t="s">
        <v>254</v>
      </c>
      <c r="S290" t="s">
        <v>423</v>
      </c>
      <c r="T290" t="s">
        <v>782</v>
      </c>
      <c r="U290">
        <v>4.3421479995823941E-5</v>
      </c>
      <c r="V290" t="s">
        <v>254</v>
      </c>
      <c r="X290">
        <v>1.1415525114155251E-4</v>
      </c>
      <c r="Y290">
        <v>1.9060404909297337E-4</v>
      </c>
      <c r="Z290" t="s">
        <v>782</v>
      </c>
      <c r="AA290" t="s">
        <v>25</v>
      </c>
      <c r="AC290" t="s">
        <v>22</v>
      </c>
      <c r="AD290" t="s">
        <v>782</v>
      </c>
      <c r="AE290">
        <v>1.237149236515626E-4</v>
      </c>
      <c r="AG290" t="s">
        <v>97</v>
      </c>
      <c r="AH290" t="s">
        <v>782</v>
      </c>
      <c r="AI290">
        <v>0</v>
      </c>
    </row>
    <row r="291" spans="9:35" x14ac:dyDescent="0.45">
      <c r="I291" t="s">
        <v>252</v>
      </c>
      <c r="J291" t="s">
        <v>783</v>
      </c>
      <c r="K291">
        <v>2.0556703859368821E-5</v>
      </c>
      <c r="L291" t="s">
        <v>254</v>
      </c>
      <c r="N291" t="s">
        <v>422</v>
      </c>
      <c r="O291" t="s">
        <v>783</v>
      </c>
      <c r="P291">
        <v>3.678040721535254E-5</v>
      </c>
      <c r="Q291" t="s">
        <v>254</v>
      </c>
      <c r="S291" t="s">
        <v>423</v>
      </c>
      <c r="T291" t="s">
        <v>783</v>
      </c>
      <c r="U291">
        <v>4.4728712479117963E-5</v>
      </c>
      <c r="V291" t="s">
        <v>254</v>
      </c>
      <c r="X291">
        <v>1.1415525114155251E-4</v>
      </c>
      <c r="Y291">
        <v>1.4585353321897094E-4</v>
      </c>
      <c r="Z291" t="s">
        <v>783</v>
      </c>
      <c r="AA291" t="s">
        <v>25</v>
      </c>
      <c r="AC291" t="s">
        <v>22</v>
      </c>
      <c r="AD291" t="s">
        <v>783</v>
      </c>
      <c r="AE291">
        <v>1.2900046898610607E-4</v>
      </c>
      <c r="AG291" t="s">
        <v>97</v>
      </c>
      <c r="AH291" t="s">
        <v>783</v>
      </c>
      <c r="AI291">
        <v>0</v>
      </c>
    </row>
    <row r="292" spans="9:35" x14ac:dyDescent="0.45">
      <c r="I292" t="s">
        <v>252</v>
      </c>
      <c r="J292" t="s">
        <v>784</v>
      </c>
      <c r="K292">
        <v>4.8089032513694401E-5</v>
      </c>
      <c r="L292" t="s">
        <v>254</v>
      </c>
      <c r="N292" t="s">
        <v>422</v>
      </c>
      <c r="O292" t="s">
        <v>784</v>
      </c>
      <c r="P292">
        <v>4.7032954806351401E-5</v>
      </c>
      <c r="Q292" t="s">
        <v>254</v>
      </c>
      <c r="S292" t="s">
        <v>423</v>
      </c>
      <c r="T292" t="s">
        <v>784</v>
      </c>
      <c r="U292">
        <v>4.8078302989471812E-5</v>
      </c>
      <c r="V292" t="s">
        <v>254</v>
      </c>
      <c r="X292">
        <v>1.1415525114155251E-4</v>
      </c>
      <c r="Y292">
        <v>1.4452759200788939E-4</v>
      </c>
      <c r="Z292" t="s">
        <v>784</v>
      </c>
      <c r="AA292" t="s">
        <v>25</v>
      </c>
      <c r="AC292" t="s">
        <v>22</v>
      </c>
      <c r="AD292" t="s">
        <v>784</v>
      </c>
      <c r="AE292">
        <v>1.2919225219853509E-4</v>
      </c>
      <c r="AG292" t="s">
        <v>97</v>
      </c>
      <c r="AH292" t="s">
        <v>784</v>
      </c>
      <c r="AI292">
        <v>0</v>
      </c>
    </row>
    <row r="293" spans="9:35" x14ac:dyDescent="0.45">
      <c r="I293" t="s">
        <v>252</v>
      </c>
      <c r="J293" t="s">
        <v>785</v>
      </c>
      <c r="K293">
        <v>6.5109730370232395E-5</v>
      </c>
      <c r="L293" t="s">
        <v>254</v>
      </c>
      <c r="N293" t="s">
        <v>422</v>
      </c>
      <c r="O293" t="s">
        <v>785</v>
      </c>
      <c r="P293">
        <v>4.6386308209034086E-5</v>
      </c>
      <c r="Q293" t="s">
        <v>254</v>
      </c>
      <c r="S293" t="s">
        <v>423</v>
      </c>
      <c r="T293" t="s">
        <v>785</v>
      </c>
      <c r="U293">
        <v>3.4330633824535552E-5</v>
      </c>
      <c r="V293" t="s">
        <v>254</v>
      </c>
      <c r="X293">
        <v>1.1415525114155251E-4</v>
      </c>
      <c r="Y293">
        <v>1.408812536774151E-4</v>
      </c>
      <c r="Z293" t="s">
        <v>785</v>
      </c>
      <c r="AA293" t="s">
        <v>25</v>
      </c>
      <c r="AC293" t="s">
        <v>22</v>
      </c>
      <c r="AD293" t="s">
        <v>785</v>
      </c>
      <c r="AE293">
        <v>1.2855297482377171E-4</v>
      </c>
      <c r="AG293" t="s">
        <v>97</v>
      </c>
      <c r="AH293" t="s">
        <v>785</v>
      </c>
      <c r="AI293">
        <v>0</v>
      </c>
    </row>
    <row r="294" spans="9:35" x14ac:dyDescent="0.45">
      <c r="I294" t="s">
        <v>252</v>
      </c>
      <c r="J294" t="s">
        <v>786</v>
      </c>
      <c r="K294">
        <v>8.0021373601952596E-5</v>
      </c>
      <c r="L294" t="s">
        <v>254</v>
      </c>
      <c r="N294" t="s">
        <v>422</v>
      </c>
      <c r="O294" t="s">
        <v>786</v>
      </c>
      <c r="P294">
        <v>4.1738434984777838E-5</v>
      </c>
      <c r="Q294" t="s">
        <v>254</v>
      </c>
      <c r="S294" t="s">
        <v>423</v>
      </c>
      <c r="T294" t="s">
        <v>786</v>
      </c>
      <c r="U294">
        <v>2.7228344473333641E-5</v>
      </c>
      <c r="V294" t="s">
        <v>254</v>
      </c>
      <c r="X294">
        <v>1.1415525114155251E-4</v>
      </c>
      <c r="Y294">
        <v>1.4054976837464471E-4</v>
      </c>
      <c r="Z294" t="s">
        <v>786</v>
      </c>
      <c r="AA294" t="s">
        <v>25</v>
      </c>
      <c r="AC294" t="s">
        <v>22</v>
      </c>
      <c r="AD294" t="s">
        <v>786</v>
      </c>
      <c r="AE294">
        <v>1.2827424988837488E-4</v>
      </c>
      <c r="AG294" t="s">
        <v>97</v>
      </c>
      <c r="AH294" t="s">
        <v>786</v>
      </c>
      <c r="AI294">
        <v>0</v>
      </c>
    </row>
    <row r="295" spans="9:35" x14ac:dyDescent="0.45">
      <c r="I295" t="s">
        <v>252</v>
      </c>
      <c r="J295" t="s">
        <v>787</v>
      </c>
      <c r="K295">
        <v>8.6285751434163894E-5</v>
      </c>
      <c r="L295" t="s">
        <v>254</v>
      </c>
      <c r="N295" t="s">
        <v>422</v>
      </c>
      <c r="O295" t="s">
        <v>787</v>
      </c>
      <c r="P295">
        <v>3.670830866473902E-5</v>
      </c>
      <c r="Q295" t="s">
        <v>254</v>
      </c>
      <c r="S295" t="s">
        <v>423</v>
      </c>
      <c r="T295" t="s">
        <v>787</v>
      </c>
      <c r="U295">
        <v>2.3804649301162137E-5</v>
      </c>
      <c r="V295" t="s">
        <v>254</v>
      </c>
      <c r="X295">
        <v>1.1415525114155251E-4</v>
      </c>
      <c r="Y295">
        <v>1.4253868019126702E-4</v>
      </c>
      <c r="Z295" t="s">
        <v>787</v>
      </c>
      <c r="AA295" t="s">
        <v>25</v>
      </c>
      <c r="AC295" t="s">
        <v>22</v>
      </c>
      <c r="AD295" t="s">
        <v>787</v>
      </c>
      <c r="AE295">
        <v>1.2807223823794968E-4</v>
      </c>
      <c r="AG295" t="s">
        <v>97</v>
      </c>
      <c r="AH295" t="s">
        <v>787</v>
      </c>
      <c r="AI295">
        <v>0</v>
      </c>
    </row>
    <row r="296" spans="9:35" x14ac:dyDescent="0.45">
      <c r="I296" t="s">
        <v>252</v>
      </c>
      <c r="J296" t="s">
        <v>788</v>
      </c>
      <c r="K296">
        <v>7.3896738601165619E-5</v>
      </c>
      <c r="L296" t="s">
        <v>254</v>
      </c>
      <c r="N296" t="s">
        <v>422</v>
      </c>
      <c r="O296" t="s">
        <v>788</v>
      </c>
      <c r="P296">
        <v>3.489561008707134E-5</v>
      </c>
      <c r="Q296" t="s">
        <v>254</v>
      </c>
      <c r="S296" t="s">
        <v>423</v>
      </c>
      <c r="T296" t="s">
        <v>788</v>
      </c>
      <c r="U296">
        <v>2.1677043889411551E-5</v>
      </c>
      <c r="V296" t="s">
        <v>254</v>
      </c>
      <c r="X296">
        <v>1.1415525114155251E-4</v>
      </c>
      <c r="Y296">
        <v>1.4883690094390442E-4</v>
      </c>
      <c r="Z296" t="s">
        <v>788</v>
      </c>
      <c r="AA296" t="s">
        <v>25</v>
      </c>
      <c r="AC296" t="s">
        <v>22</v>
      </c>
      <c r="AD296" t="s">
        <v>788</v>
      </c>
      <c r="AE296">
        <v>1.2674509840794092E-4</v>
      </c>
      <c r="AG296" t="s">
        <v>97</v>
      </c>
      <c r="AH296" t="s">
        <v>788</v>
      </c>
      <c r="AI296">
        <v>0</v>
      </c>
    </row>
    <row r="297" spans="9:35" x14ac:dyDescent="0.45">
      <c r="I297" t="s">
        <v>252</v>
      </c>
      <c r="J297" t="s">
        <v>789</v>
      </c>
      <c r="K297">
        <v>5.3427429989832818E-5</v>
      </c>
      <c r="L297" t="s">
        <v>254</v>
      </c>
      <c r="N297" t="s">
        <v>422</v>
      </c>
      <c r="O297" t="s">
        <v>789</v>
      </c>
      <c r="P297">
        <v>3.1058330704890955E-5</v>
      </c>
      <c r="Q297" t="s">
        <v>254</v>
      </c>
      <c r="S297" t="s">
        <v>423</v>
      </c>
      <c r="T297" t="s">
        <v>789</v>
      </c>
      <c r="U297">
        <v>2.4533747039669616E-5</v>
      </c>
      <c r="V297" t="s">
        <v>254</v>
      </c>
      <c r="X297">
        <v>1.1415525114155251E-4</v>
      </c>
      <c r="Y297">
        <v>1.5049432745775637E-4</v>
      </c>
      <c r="Z297" t="s">
        <v>789</v>
      </c>
      <c r="AA297" t="s">
        <v>25</v>
      </c>
      <c r="AC297" t="s">
        <v>22</v>
      </c>
      <c r="AD297" t="s">
        <v>789</v>
      </c>
      <c r="AE297">
        <v>1.2572992593681668E-4</v>
      </c>
      <c r="AG297" t="s">
        <v>97</v>
      </c>
      <c r="AH297" t="s">
        <v>789</v>
      </c>
      <c r="AI297">
        <v>0</v>
      </c>
    </row>
    <row r="298" spans="9:35" x14ac:dyDescent="0.45">
      <c r="I298" t="s">
        <v>252</v>
      </c>
      <c r="J298" t="s">
        <v>790</v>
      </c>
      <c r="K298">
        <v>3.6376504555143534E-5</v>
      </c>
      <c r="L298" t="s">
        <v>254</v>
      </c>
      <c r="N298" t="s">
        <v>422</v>
      </c>
      <c r="O298" t="s">
        <v>790</v>
      </c>
      <c r="P298">
        <v>2.9593233949128871E-5</v>
      </c>
      <c r="Q298" t="s">
        <v>254</v>
      </c>
      <c r="S298" t="s">
        <v>423</v>
      </c>
      <c r="T298" t="s">
        <v>790</v>
      </c>
      <c r="U298">
        <v>3.0323057737089731E-5</v>
      </c>
      <c r="V298" t="s">
        <v>254</v>
      </c>
      <c r="X298">
        <v>1.1415525114155251E-4</v>
      </c>
      <c r="Y298">
        <v>1.7237235744060203E-4</v>
      </c>
      <c r="Z298" t="s">
        <v>790</v>
      </c>
      <c r="AA298" t="s">
        <v>25</v>
      </c>
      <c r="AC298" t="s">
        <v>22</v>
      </c>
      <c r="AD298" t="s">
        <v>790</v>
      </c>
      <c r="AE298">
        <v>1.264714876915422E-4</v>
      </c>
      <c r="AG298" t="s">
        <v>97</v>
      </c>
      <c r="AH298" t="s">
        <v>790</v>
      </c>
      <c r="AI298">
        <v>0</v>
      </c>
    </row>
    <row r="299" spans="9:35" x14ac:dyDescent="0.45">
      <c r="I299" t="s">
        <v>252</v>
      </c>
      <c r="J299" t="s">
        <v>791</v>
      </c>
      <c r="K299">
        <v>3.417571217596635E-5</v>
      </c>
      <c r="L299" t="s">
        <v>254</v>
      </c>
      <c r="N299" t="s">
        <v>422</v>
      </c>
      <c r="O299" t="s">
        <v>791</v>
      </c>
      <c r="P299">
        <v>3.1954975393872658E-5</v>
      </c>
      <c r="Q299" t="s">
        <v>254</v>
      </c>
      <c r="S299" t="s">
        <v>423</v>
      </c>
      <c r="T299" t="s">
        <v>791</v>
      </c>
      <c r="U299">
        <v>3.7828177582040697E-5</v>
      </c>
      <c r="V299" t="s">
        <v>254</v>
      </c>
      <c r="X299">
        <v>1.1415525114155251E-4</v>
      </c>
      <c r="Y299">
        <v>2.2209515285616027E-4</v>
      </c>
      <c r="Z299" t="s">
        <v>791</v>
      </c>
      <c r="AA299" t="s">
        <v>25</v>
      </c>
      <c r="AC299" t="s">
        <v>22</v>
      </c>
      <c r="AD299" t="s">
        <v>791</v>
      </c>
      <c r="AE299">
        <v>1.2659422894749676E-4</v>
      </c>
      <c r="AG299" t="s">
        <v>97</v>
      </c>
      <c r="AH299" t="s">
        <v>791</v>
      </c>
      <c r="AI299">
        <v>0</v>
      </c>
    </row>
    <row r="300" spans="9:35" x14ac:dyDescent="0.45">
      <c r="I300" t="s">
        <v>252</v>
      </c>
      <c r="J300" t="s">
        <v>792</v>
      </c>
      <c r="K300">
        <v>1.6368511106915271E-5</v>
      </c>
      <c r="L300" t="s">
        <v>254</v>
      </c>
      <c r="N300" t="s">
        <v>422</v>
      </c>
      <c r="O300" t="s">
        <v>792</v>
      </c>
      <c r="P300">
        <v>3.4203538829517562E-5</v>
      </c>
      <c r="Q300" t="s">
        <v>254</v>
      </c>
      <c r="S300" t="s">
        <v>423</v>
      </c>
      <c r="T300" t="s">
        <v>792</v>
      </c>
      <c r="U300">
        <v>4.5256506566443606E-5</v>
      </c>
      <c r="V300" t="s">
        <v>254</v>
      </c>
      <c r="X300">
        <v>1.1415525114155251E-4</v>
      </c>
      <c r="Y300">
        <v>2.2209515285616027E-4</v>
      </c>
      <c r="Z300" t="s">
        <v>792</v>
      </c>
      <c r="AA300" t="s">
        <v>25</v>
      </c>
      <c r="AC300" t="s">
        <v>22</v>
      </c>
      <c r="AD300" t="s">
        <v>792</v>
      </c>
      <c r="AE300">
        <v>1.2672208442244946E-4</v>
      </c>
      <c r="AG300" t="s">
        <v>97</v>
      </c>
      <c r="AH300" t="s">
        <v>792</v>
      </c>
      <c r="AI300">
        <v>0</v>
      </c>
    </row>
    <row r="301" spans="9:35" x14ac:dyDescent="0.45">
      <c r="I301" t="s">
        <v>252</v>
      </c>
      <c r="J301" t="s">
        <v>793</v>
      </c>
      <c r="K301">
        <v>0</v>
      </c>
      <c r="L301" t="s">
        <v>254</v>
      </c>
      <c r="N301" t="s">
        <v>422</v>
      </c>
      <c r="O301" t="s">
        <v>793</v>
      </c>
      <c r="P301">
        <v>4.0397438706509603E-5</v>
      </c>
      <c r="Q301" t="s">
        <v>254</v>
      </c>
      <c r="S301" t="s">
        <v>423</v>
      </c>
      <c r="T301" t="s">
        <v>793</v>
      </c>
      <c r="U301">
        <v>5.5531733886607037E-5</v>
      </c>
      <c r="V301" t="s">
        <v>254</v>
      </c>
      <c r="X301">
        <v>1.1415525114155251E-4</v>
      </c>
      <c r="Y301">
        <v>1.7237235744060203E-4</v>
      </c>
      <c r="Z301" t="s">
        <v>793</v>
      </c>
      <c r="AA301" t="s">
        <v>25</v>
      </c>
      <c r="AC301" t="s">
        <v>22</v>
      </c>
      <c r="AD301" t="s">
        <v>793</v>
      </c>
      <c r="AE301">
        <v>1.2631550401209996E-4</v>
      </c>
      <c r="AG301" t="s">
        <v>97</v>
      </c>
      <c r="AH301" t="s">
        <v>793</v>
      </c>
      <c r="AI301">
        <v>0</v>
      </c>
    </row>
    <row r="302" spans="9:35" x14ac:dyDescent="0.45">
      <c r="I302" t="s">
        <v>252</v>
      </c>
      <c r="J302" t="s">
        <v>794</v>
      </c>
      <c r="K302">
        <v>0</v>
      </c>
      <c r="L302" t="s">
        <v>254</v>
      </c>
      <c r="N302" t="s">
        <v>422</v>
      </c>
      <c r="O302" t="s">
        <v>794</v>
      </c>
      <c r="P302">
        <v>4.2955997607403368E-5</v>
      </c>
      <c r="Q302" t="s">
        <v>254</v>
      </c>
      <c r="S302" t="s">
        <v>423</v>
      </c>
      <c r="T302" t="s">
        <v>794</v>
      </c>
      <c r="U302">
        <v>5.6910344565885558E-5</v>
      </c>
      <c r="V302" t="s">
        <v>254</v>
      </c>
      <c r="X302">
        <v>1.1415525114155251E-4</v>
      </c>
      <c r="Y302">
        <v>1.5579809230208258E-4</v>
      </c>
      <c r="Z302" t="s">
        <v>794</v>
      </c>
      <c r="AA302" t="s">
        <v>25</v>
      </c>
      <c r="AC302" t="s">
        <v>22</v>
      </c>
      <c r="AD302" t="s">
        <v>794</v>
      </c>
      <c r="AE302">
        <v>1.2217810084263147E-4</v>
      </c>
      <c r="AG302" t="s">
        <v>97</v>
      </c>
      <c r="AH302" t="s">
        <v>794</v>
      </c>
      <c r="AI302">
        <v>0</v>
      </c>
    </row>
    <row r="303" spans="9:35" x14ac:dyDescent="0.45">
      <c r="I303" t="s">
        <v>252</v>
      </c>
      <c r="J303" t="s">
        <v>795</v>
      </c>
      <c r="K303">
        <v>0</v>
      </c>
      <c r="L303" t="s">
        <v>254</v>
      </c>
      <c r="N303" t="s">
        <v>422</v>
      </c>
      <c r="O303" t="s">
        <v>795</v>
      </c>
      <c r="P303">
        <v>3.9813212886865783E-5</v>
      </c>
      <c r="Q303" t="s">
        <v>254</v>
      </c>
      <c r="S303" t="s">
        <v>423</v>
      </c>
      <c r="T303" t="s">
        <v>795</v>
      </c>
      <c r="U303">
        <v>5.7662720757579052E-5</v>
      </c>
      <c r="V303" t="s">
        <v>254</v>
      </c>
      <c r="X303">
        <v>1.1415525114155251E-4</v>
      </c>
      <c r="Y303">
        <v>1.093901499142282E-4</v>
      </c>
      <c r="Z303" t="s">
        <v>795</v>
      </c>
      <c r="AA303" t="s">
        <v>25</v>
      </c>
      <c r="AC303" t="s">
        <v>22</v>
      </c>
      <c r="AD303" t="s">
        <v>795</v>
      </c>
      <c r="AE303">
        <v>1.1258126889268385E-4</v>
      </c>
      <c r="AG303" t="s">
        <v>97</v>
      </c>
      <c r="AH303" t="s">
        <v>795</v>
      </c>
      <c r="AI303">
        <v>0</v>
      </c>
    </row>
    <row r="304" spans="9:35" x14ac:dyDescent="0.45">
      <c r="I304" t="s">
        <v>252</v>
      </c>
      <c r="J304" t="s">
        <v>796</v>
      </c>
      <c r="K304">
        <v>0</v>
      </c>
      <c r="L304" t="s">
        <v>254</v>
      </c>
      <c r="N304" t="s">
        <v>422</v>
      </c>
      <c r="O304" t="s">
        <v>796</v>
      </c>
      <c r="P304">
        <v>4.8753278483663015E-5</v>
      </c>
      <c r="Q304" t="s">
        <v>254</v>
      </c>
      <c r="S304" t="s">
        <v>423</v>
      </c>
      <c r="T304" t="s">
        <v>796</v>
      </c>
      <c r="U304">
        <v>6.7287768180030987E-5</v>
      </c>
      <c r="V304" t="s">
        <v>254</v>
      </c>
      <c r="X304">
        <v>1.1415525114155251E-4</v>
      </c>
      <c r="Y304">
        <v>7.9556472664893237E-5</v>
      </c>
      <c r="Z304" t="s">
        <v>796</v>
      </c>
      <c r="AA304" t="s">
        <v>25</v>
      </c>
      <c r="AC304" t="s">
        <v>22</v>
      </c>
      <c r="AD304" t="s">
        <v>796</v>
      </c>
      <c r="AE304">
        <v>1.055134182373001E-4</v>
      </c>
      <c r="AG304" t="s">
        <v>97</v>
      </c>
      <c r="AH304" t="s">
        <v>796</v>
      </c>
      <c r="AI304">
        <v>0</v>
      </c>
    </row>
    <row r="305" spans="9:35" x14ac:dyDescent="0.45">
      <c r="I305" t="s">
        <v>252</v>
      </c>
      <c r="J305" t="s">
        <v>797</v>
      </c>
      <c r="K305">
        <v>0</v>
      </c>
      <c r="L305" t="s">
        <v>254</v>
      </c>
      <c r="N305" t="s">
        <v>422</v>
      </c>
      <c r="O305" t="s">
        <v>797</v>
      </c>
      <c r="P305">
        <v>5.1769581538882179E-5</v>
      </c>
      <c r="Q305" t="s">
        <v>254</v>
      </c>
      <c r="S305" t="s">
        <v>423</v>
      </c>
      <c r="T305" t="s">
        <v>797</v>
      </c>
      <c r="U305">
        <v>7.331101821510716E-5</v>
      </c>
      <c r="V305" t="s">
        <v>254</v>
      </c>
      <c r="X305">
        <v>1.1415525114155251E-4</v>
      </c>
      <c r="Y305">
        <v>5.6352501470966035E-5</v>
      </c>
      <c r="Z305" t="s">
        <v>797</v>
      </c>
      <c r="AA305" t="s">
        <v>25</v>
      </c>
      <c r="AC305" t="s">
        <v>22</v>
      </c>
      <c r="AD305" t="s">
        <v>797</v>
      </c>
      <c r="AE305">
        <v>9.5052283276672407E-5</v>
      </c>
      <c r="AG305" t="s">
        <v>97</v>
      </c>
      <c r="AH305" t="s">
        <v>797</v>
      </c>
      <c r="AI305">
        <v>0</v>
      </c>
    </row>
    <row r="306" spans="9:35" x14ac:dyDescent="0.45">
      <c r="I306" t="s">
        <v>252</v>
      </c>
      <c r="J306" t="s">
        <v>798</v>
      </c>
      <c r="K306">
        <v>0</v>
      </c>
      <c r="L306" t="s">
        <v>254</v>
      </c>
      <c r="N306" t="s">
        <v>422</v>
      </c>
      <c r="O306" t="s">
        <v>798</v>
      </c>
      <c r="P306">
        <v>5.7250427442727571E-5</v>
      </c>
      <c r="Q306" t="s">
        <v>254</v>
      </c>
      <c r="S306" t="s">
        <v>423</v>
      </c>
      <c r="T306" t="s">
        <v>798</v>
      </c>
      <c r="U306">
        <v>8.3361365546509149E-5</v>
      </c>
      <c r="V306" t="s">
        <v>254</v>
      </c>
      <c r="X306">
        <v>1.1415525114155251E-4</v>
      </c>
      <c r="Y306">
        <v>2.9833677249334962E-5</v>
      </c>
      <c r="Z306" t="s">
        <v>798</v>
      </c>
      <c r="AA306" t="s">
        <v>25</v>
      </c>
      <c r="AC306" t="s">
        <v>22</v>
      </c>
      <c r="AD306" t="s">
        <v>798</v>
      </c>
      <c r="AE306">
        <v>8.6237926833435149E-5</v>
      </c>
      <c r="AG306" t="s">
        <v>97</v>
      </c>
      <c r="AH306" t="s">
        <v>798</v>
      </c>
      <c r="AI306">
        <v>0</v>
      </c>
    </row>
    <row r="307" spans="9:35" x14ac:dyDescent="0.45">
      <c r="I307" t="s">
        <v>252</v>
      </c>
      <c r="J307" t="s">
        <v>406</v>
      </c>
      <c r="K307">
        <v>0</v>
      </c>
      <c r="L307" t="s">
        <v>254</v>
      </c>
      <c r="N307" t="s">
        <v>422</v>
      </c>
      <c r="O307" t="s">
        <v>406</v>
      </c>
      <c r="P307">
        <v>2.931101114839732E-2</v>
      </c>
      <c r="Q307" t="s">
        <v>254</v>
      </c>
      <c r="S307" t="s">
        <v>423</v>
      </c>
      <c r="T307" t="s">
        <v>406</v>
      </c>
      <c r="U307">
        <v>2.7847033930216165E-2</v>
      </c>
      <c r="V307" t="s">
        <v>254</v>
      </c>
      <c r="X307">
        <v>2.3972602739726026E-2</v>
      </c>
      <c r="Y307">
        <v>9.4672202471222967E-3</v>
      </c>
      <c r="Z307" t="s">
        <v>406</v>
      </c>
      <c r="AA307" t="s">
        <v>25</v>
      </c>
      <c r="AC307" t="s">
        <v>22</v>
      </c>
      <c r="AD307" t="s">
        <v>406</v>
      </c>
      <c r="AE307">
        <v>2.0052436889231126E-2</v>
      </c>
      <c r="AG307" t="s">
        <v>97</v>
      </c>
      <c r="AH307" t="s">
        <v>406</v>
      </c>
      <c r="AI307">
        <v>0.29993685127360115</v>
      </c>
    </row>
    <row r="308" spans="9:35" x14ac:dyDescent="0.45">
      <c r="I308" t="s">
        <v>252</v>
      </c>
      <c r="J308" t="s">
        <v>407</v>
      </c>
      <c r="K308">
        <v>6.9595661734516304E-5</v>
      </c>
      <c r="L308" t="s">
        <v>254</v>
      </c>
      <c r="N308" t="s">
        <v>422</v>
      </c>
      <c r="O308" t="s">
        <v>407</v>
      </c>
      <c r="P308">
        <v>4.1448967536828552E-3</v>
      </c>
      <c r="Q308" t="s">
        <v>254</v>
      </c>
      <c r="S308" t="s">
        <v>423</v>
      </c>
      <c r="T308" t="s">
        <v>407</v>
      </c>
      <c r="U308">
        <v>3.9352607163494809E-3</v>
      </c>
      <c r="V308" t="s">
        <v>254</v>
      </c>
      <c r="X308">
        <v>3.4246575342465752E-3</v>
      </c>
      <c r="Y308">
        <v>5.7181214727892006E-3</v>
      </c>
      <c r="Z308" t="s">
        <v>407</v>
      </c>
      <c r="AA308" t="s">
        <v>25</v>
      </c>
      <c r="AC308" t="s">
        <v>22</v>
      </c>
      <c r="AD308" t="s">
        <v>407</v>
      </c>
      <c r="AE308">
        <v>3.9165735287244154E-3</v>
      </c>
      <c r="AG308" t="s">
        <v>97</v>
      </c>
      <c r="AH308" t="s">
        <v>407</v>
      </c>
      <c r="AI308">
        <v>9.6641572988210633E-2</v>
      </c>
    </row>
    <row r="309" spans="9:35" x14ac:dyDescent="0.45">
      <c r="I309" t="s">
        <v>252</v>
      </c>
      <c r="J309" t="s">
        <v>408</v>
      </c>
      <c r="K309">
        <v>6.1529025516527565E-3</v>
      </c>
      <c r="L309" t="s">
        <v>254</v>
      </c>
      <c r="N309" t="s">
        <v>422</v>
      </c>
      <c r="O309" t="s">
        <v>408</v>
      </c>
      <c r="P309">
        <v>8.1377139366058445E-3</v>
      </c>
      <c r="Q309" t="s">
        <v>254</v>
      </c>
      <c r="S309" t="s">
        <v>423</v>
      </c>
      <c r="T309" t="s">
        <v>408</v>
      </c>
      <c r="U309">
        <v>7.8562759010133449E-3</v>
      </c>
      <c r="V309" t="s">
        <v>254</v>
      </c>
      <c r="X309">
        <v>6.8493150684931503E-3</v>
      </c>
      <c r="Y309">
        <v>8.7114337568058101E-3</v>
      </c>
      <c r="Z309" t="s">
        <v>408</v>
      </c>
      <c r="AA309" t="s">
        <v>25</v>
      </c>
      <c r="AC309" t="s">
        <v>22</v>
      </c>
      <c r="AD309" t="s">
        <v>408</v>
      </c>
      <c r="AE309">
        <v>8.1700769192631136E-3</v>
      </c>
      <c r="AG309" t="s">
        <v>97</v>
      </c>
      <c r="AH309" t="s">
        <v>408</v>
      </c>
      <c r="AI309">
        <v>8.8318365814044064E-2</v>
      </c>
    </row>
    <row r="310" spans="9:35" x14ac:dyDescent="0.45">
      <c r="I310" t="s">
        <v>252</v>
      </c>
      <c r="J310" t="s">
        <v>409</v>
      </c>
      <c r="K310">
        <v>1.4808228014460098E-2</v>
      </c>
      <c r="L310" t="s">
        <v>254</v>
      </c>
      <c r="N310" t="s">
        <v>422</v>
      </c>
      <c r="O310" t="s">
        <v>409</v>
      </c>
      <c r="P310">
        <v>1.2782462221910021E-2</v>
      </c>
      <c r="Q310" t="s">
        <v>254</v>
      </c>
      <c r="S310" t="s">
        <v>423</v>
      </c>
      <c r="T310" t="s">
        <v>409</v>
      </c>
      <c r="U310">
        <v>1.1336376707505036E-2</v>
      </c>
      <c r="V310" t="s">
        <v>254</v>
      </c>
      <c r="X310">
        <v>1.0273972602739725E-2</v>
      </c>
      <c r="Y310">
        <v>1.2719091067299805E-2</v>
      </c>
      <c r="Z310" t="s">
        <v>409</v>
      </c>
      <c r="AA310" t="s">
        <v>25</v>
      </c>
      <c r="AC310" t="s">
        <v>22</v>
      </c>
      <c r="AD310" t="s">
        <v>409</v>
      </c>
      <c r="AE310">
        <v>1.2282637548432982E-2</v>
      </c>
      <c r="AG310" t="s">
        <v>97</v>
      </c>
      <c r="AH310" t="s">
        <v>409</v>
      </c>
      <c r="AI310">
        <v>8.524347860116066E-2</v>
      </c>
    </row>
    <row r="311" spans="9:35" x14ac:dyDescent="0.45">
      <c r="I311" t="s">
        <v>252</v>
      </c>
      <c r="J311" t="s">
        <v>410</v>
      </c>
      <c r="K311">
        <v>5.2665416862010123E-3</v>
      </c>
      <c r="L311" t="s">
        <v>254</v>
      </c>
      <c r="N311" t="s">
        <v>422</v>
      </c>
      <c r="O311" t="s">
        <v>410</v>
      </c>
      <c r="P311">
        <v>4.4544946420195762E-3</v>
      </c>
      <c r="Q311" t="s">
        <v>254</v>
      </c>
      <c r="S311" t="s">
        <v>423</v>
      </c>
      <c r="T311" t="s">
        <v>410</v>
      </c>
      <c r="U311">
        <v>3.666573427115692E-3</v>
      </c>
      <c r="V311" t="s">
        <v>254</v>
      </c>
      <c r="X311">
        <v>3.4246575342465752E-3</v>
      </c>
      <c r="Y311">
        <v>4.4651070283171336E-3</v>
      </c>
      <c r="Z311" t="s">
        <v>410</v>
      </c>
      <c r="AA311" t="s">
        <v>25</v>
      </c>
      <c r="AC311" t="s">
        <v>22</v>
      </c>
      <c r="AD311" t="s">
        <v>410</v>
      </c>
      <c r="AE311">
        <v>4.0651825043714063E-3</v>
      </c>
      <c r="AG311" t="s">
        <v>97</v>
      </c>
      <c r="AH311" t="s">
        <v>410</v>
      </c>
      <c r="AI311">
        <v>8.3883454206900465E-2</v>
      </c>
    </row>
    <row r="312" spans="9:35" x14ac:dyDescent="0.45">
      <c r="I312" t="s">
        <v>252</v>
      </c>
      <c r="J312" t="s">
        <v>411</v>
      </c>
      <c r="K312">
        <v>9.6719817741024918E-3</v>
      </c>
      <c r="L312" t="s">
        <v>254</v>
      </c>
      <c r="N312" t="s">
        <v>422</v>
      </c>
      <c r="O312" t="s">
        <v>411</v>
      </c>
      <c r="P312">
        <v>8.8934972559307334E-3</v>
      </c>
      <c r="Q312" t="s">
        <v>254</v>
      </c>
      <c r="S312" t="s">
        <v>423</v>
      </c>
      <c r="T312" t="s">
        <v>411</v>
      </c>
      <c r="U312">
        <v>7.4513489315056712E-3</v>
      </c>
      <c r="V312" t="s">
        <v>254</v>
      </c>
      <c r="X312">
        <v>6.8493150684931503E-3</v>
      </c>
      <c r="Y312">
        <v>9.6860005469507522E-3</v>
      </c>
      <c r="Z312" t="s">
        <v>411</v>
      </c>
      <c r="AA312" t="s">
        <v>25</v>
      </c>
      <c r="AC312" t="s">
        <v>22</v>
      </c>
      <c r="AD312" t="s">
        <v>411</v>
      </c>
      <c r="AE312">
        <v>8.1181445824468363E-3</v>
      </c>
      <c r="AG312" t="s">
        <v>97</v>
      </c>
      <c r="AH312" t="s">
        <v>411</v>
      </c>
      <c r="AI312">
        <v>9.0322808135314681E-2</v>
      </c>
    </row>
    <row r="313" spans="9:35" x14ac:dyDescent="0.45">
      <c r="I313" t="s">
        <v>252</v>
      </c>
      <c r="J313" t="s">
        <v>412</v>
      </c>
      <c r="K313">
        <v>3.0328701328589868E-3</v>
      </c>
      <c r="L313" t="s">
        <v>254</v>
      </c>
      <c r="N313" t="s">
        <v>422</v>
      </c>
      <c r="O313" t="s">
        <v>412</v>
      </c>
      <c r="P313">
        <v>8.9269866837705641E-3</v>
      </c>
      <c r="Q313" t="s">
        <v>254</v>
      </c>
      <c r="S313" t="s">
        <v>423</v>
      </c>
      <c r="T313" t="s">
        <v>412</v>
      </c>
      <c r="U313">
        <v>7.6402466940948379E-3</v>
      </c>
      <c r="V313" t="s">
        <v>254</v>
      </c>
      <c r="X313">
        <v>6.8493150684931503E-3</v>
      </c>
      <c r="Y313">
        <v>1.3325709171369611E-2</v>
      </c>
      <c r="Z313" t="s">
        <v>412</v>
      </c>
      <c r="AA313" t="s">
        <v>25</v>
      </c>
      <c r="AC313" t="s">
        <v>22</v>
      </c>
      <c r="AD313" t="s">
        <v>412</v>
      </c>
      <c r="AE313">
        <v>8.2616291106577238E-3</v>
      </c>
      <c r="AG313" t="s">
        <v>97</v>
      </c>
      <c r="AH313" t="s">
        <v>412</v>
      </c>
      <c r="AI313">
        <v>8.4411488885055563E-2</v>
      </c>
    </row>
    <row r="314" spans="9:35" x14ac:dyDescent="0.45">
      <c r="I314" t="s">
        <v>252</v>
      </c>
      <c r="J314" t="s">
        <v>413</v>
      </c>
      <c r="K314">
        <v>0</v>
      </c>
      <c r="L314" t="s">
        <v>254</v>
      </c>
      <c r="N314" t="s">
        <v>422</v>
      </c>
      <c r="O314" t="s">
        <v>413</v>
      </c>
      <c r="P314">
        <v>2.5727119340730506E-2</v>
      </c>
      <c r="Q314" t="s">
        <v>254</v>
      </c>
      <c r="S314" t="s">
        <v>423</v>
      </c>
      <c r="T314" t="s">
        <v>413</v>
      </c>
      <c r="U314">
        <v>2.3947295215002884E-2</v>
      </c>
      <c r="V314" t="s">
        <v>254</v>
      </c>
      <c r="X314">
        <v>2.0547945205479451E-2</v>
      </c>
      <c r="Y314">
        <v>1.8099097531263209E-2</v>
      </c>
      <c r="Z314" t="s">
        <v>413</v>
      </c>
      <c r="AA314" t="s">
        <v>25</v>
      </c>
      <c r="AC314" t="s">
        <v>22</v>
      </c>
      <c r="AD314" t="s">
        <v>413</v>
      </c>
      <c r="AE314">
        <v>2.1459757666207505E-2</v>
      </c>
      <c r="AG314" t="s">
        <v>97</v>
      </c>
      <c r="AH314" t="s">
        <v>413</v>
      </c>
      <c r="AI314">
        <v>0.20586110636602517</v>
      </c>
    </row>
    <row r="315" spans="9:35" x14ac:dyDescent="0.45">
      <c r="I315" t="s">
        <v>252</v>
      </c>
      <c r="J315" t="s">
        <v>414</v>
      </c>
      <c r="K315">
        <v>0</v>
      </c>
      <c r="L315" t="s">
        <v>254</v>
      </c>
      <c r="N315" t="s">
        <v>422</v>
      </c>
      <c r="O315" t="s">
        <v>414</v>
      </c>
      <c r="P315">
        <v>3.1146804888227204E-2</v>
      </c>
      <c r="Q315" t="s">
        <v>254</v>
      </c>
      <c r="S315" t="s">
        <v>423</v>
      </c>
      <c r="T315" t="s">
        <v>414</v>
      </c>
      <c r="U315">
        <v>2.8793009642577382E-2</v>
      </c>
      <c r="V315" t="s">
        <v>254</v>
      </c>
      <c r="X315">
        <v>2.4771689497716895E-2</v>
      </c>
      <c r="Y315">
        <v>9.7827942553597048E-3</v>
      </c>
      <c r="Z315" t="s">
        <v>414</v>
      </c>
      <c r="AA315" t="s">
        <v>25</v>
      </c>
      <c r="AC315" t="s">
        <v>22</v>
      </c>
      <c r="AD315" t="s">
        <v>414</v>
      </c>
      <c r="AE315">
        <v>2.1425280402942632E-2</v>
      </c>
      <c r="AG315" t="s">
        <v>97</v>
      </c>
      <c r="AH315" t="s">
        <v>414</v>
      </c>
      <c r="AI315">
        <v>0.2947027221455345</v>
      </c>
    </row>
    <row r="316" spans="9:35" x14ac:dyDescent="0.45">
      <c r="I316" t="s">
        <v>252</v>
      </c>
      <c r="J316" t="s">
        <v>415</v>
      </c>
      <c r="K316">
        <v>0</v>
      </c>
      <c r="L316" t="s">
        <v>254</v>
      </c>
      <c r="N316" t="s">
        <v>422</v>
      </c>
      <c r="O316" t="s">
        <v>415</v>
      </c>
      <c r="P316">
        <v>4.31761190741473E-3</v>
      </c>
      <c r="Q316" t="s">
        <v>254</v>
      </c>
      <c r="S316" t="s">
        <v>423</v>
      </c>
      <c r="T316" t="s">
        <v>415</v>
      </c>
      <c r="U316">
        <v>4.1199438315051417E-3</v>
      </c>
      <c r="V316" t="s">
        <v>254</v>
      </c>
      <c r="X316">
        <v>3.5388127853881279E-3</v>
      </c>
      <c r="Y316">
        <v>5.9087255218821738E-3</v>
      </c>
      <c r="Z316" t="s">
        <v>415</v>
      </c>
      <c r="AA316" t="s">
        <v>25</v>
      </c>
      <c r="AC316" t="s">
        <v>22</v>
      </c>
      <c r="AD316" t="s">
        <v>415</v>
      </c>
      <c r="AE316">
        <v>4.1125234349494791E-3</v>
      </c>
      <c r="AG316" t="s">
        <v>97</v>
      </c>
      <c r="AH316" t="s">
        <v>415</v>
      </c>
      <c r="AI316">
        <v>8.4630227908339517E-2</v>
      </c>
    </row>
    <row r="317" spans="9:35" x14ac:dyDescent="0.45">
      <c r="I317" t="s">
        <v>252</v>
      </c>
      <c r="J317" t="s">
        <v>416</v>
      </c>
      <c r="K317">
        <v>6.4038723485293526E-3</v>
      </c>
      <c r="L317" t="s">
        <v>254</v>
      </c>
      <c r="N317" t="s">
        <v>422</v>
      </c>
      <c r="O317" t="s">
        <v>416</v>
      </c>
      <c r="P317">
        <v>8.5232327838381788E-3</v>
      </c>
      <c r="Q317" t="s">
        <v>254</v>
      </c>
      <c r="S317" t="s">
        <v>423</v>
      </c>
      <c r="T317" t="s">
        <v>416</v>
      </c>
      <c r="U317">
        <v>8.239040986961408E-3</v>
      </c>
      <c r="V317" t="s">
        <v>254</v>
      </c>
      <c r="X317">
        <v>7.0776255707762558E-3</v>
      </c>
      <c r="Y317">
        <v>9.0018148820326695E-3</v>
      </c>
      <c r="Z317" t="s">
        <v>416</v>
      </c>
      <c r="AA317" t="s">
        <v>25</v>
      </c>
      <c r="AC317" t="s">
        <v>22</v>
      </c>
      <c r="AD317" t="s">
        <v>416</v>
      </c>
      <c r="AE317">
        <v>8.5682569926429156E-3</v>
      </c>
      <c r="AG317" t="s">
        <v>97</v>
      </c>
      <c r="AH317" t="s">
        <v>416</v>
      </c>
      <c r="AI317">
        <v>7.9188707784562995E-2</v>
      </c>
    </row>
    <row r="318" spans="9:35" x14ac:dyDescent="0.45">
      <c r="I318" t="s">
        <v>252</v>
      </c>
      <c r="J318" t="s">
        <v>417</v>
      </c>
      <c r="K318">
        <v>1.8568084035886397E-2</v>
      </c>
      <c r="L318" t="s">
        <v>254</v>
      </c>
      <c r="N318" t="s">
        <v>422</v>
      </c>
      <c r="O318" t="s">
        <v>417</v>
      </c>
      <c r="P318">
        <v>1.243096882230536E-2</v>
      </c>
      <c r="Q318" t="s">
        <v>254</v>
      </c>
      <c r="S318" t="s">
        <v>423</v>
      </c>
      <c r="T318" t="s">
        <v>417</v>
      </c>
      <c r="U318">
        <v>1.207865958376843E-2</v>
      </c>
      <c r="V318" t="s">
        <v>254</v>
      </c>
      <c r="X318">
        <v>1.0616438356164383E-2</v>
      </c>
      <c r="Y318">
        <v>1.3143060769543132E-2</v>
      </c>
      <c r="Z318" t="s">
        <v>417</v>
      </c>
      <c r="AA318" t="s">
        <v>25</v>
      </c>
      <c r="AC318" t="s">
        <v>22</v>
      </c>
      <c r="AD318" t="s">
        <v>417</v>
      </c>
      <c r="AE318">
        <v>1.2785028667649806E-2</v>
      </c>
      <c r="AG318" t="s">
        <v>97</v>
      </c>
      <c r="AH318" t="s">
        <v>417</v>
      </c>
      <c r="AI318">
        <v>8.0668699840730218E-2</v>
      </c>
    </row>
    <row r="319" spans="9:35" x14ac:dyDescent="0.45">
      <c r="I319" t="s">
        <v>252</v>
      </c>
      <c r="J319" t="s">
        <v>418</v>
      </c>
      <c r="K319">
        <v>6.5515329450327254E-3</v>
      </c>
      <c r="L319" t="s">
        <v>254</v>
      </c>
      <c r="N319" t="s">
        <v>422</v>
      </c>
      <c r="O319" t="s">
        <v>418</v>
      </c>
      <c r="P319">
        <v>4.1898215208638848E-3</v>
      </c>
      <c r="Q319" t="s">
        <v>254</v>
      </c>
      <c r="S319" t="s">
        <v>423</v>
      </c>
      <c r="T319" t="s">
        <v>418</v>
      </c>
      <c r="U319">
        <v>3.9982360424480265E-3</v>
      </c>
      <c r="V319" t="s">
        <v>254</v>
      </c>
      <c r="X319">
        <v>3.5388127853881279E-3</v>
      </c>
      <c r="Y319">
        <v>4.6139439292610376E-3</v>
      </c>
      <c r="Z319" t="s">
        <v>418</v>
      </c>
      <c r="AA319" t="s">
        <v>25</v>
      </c>
      <c r="AC319" t="s">
        <v>22</v>
      </c>
      <c r="AD319" t="s">
        <v>418</v>
      </c>
      <c r="AE319">
        <v>4.2043748081554795E-3</v>
      </c>
      <c r="AG319" t="s">
        <v>97</v>
      </c>
      <c r="AH319" t="s">
        <v>418</v>
      </c>
      <c r="AI319">
        <v>7.6650597053711245E-2</v>
      </c>
    </row>
    <row r="320" spans="9:35" x14ac:dyDescent="0.45">
      <c r="I320" t="s">
        <v>252</v>
      </c>
      <c r="J320" t="s">
        <v>419</v>
      </c>
      <c r="K320">
        <v>1.3234551289396075E-2</v>
      </c>
      <c r="L320" t="s">
        <v>254</v>
      </c>
      <c r="N320" t="s">
        <v>422</v>
      </c>
      <c r="O320" t="s">
        <v>419</v>
      </c>
      <c r="P320">
        <v>8.4239938906834257E-3</v>
      </c>
      <c r="Q320" t="s">
        <v>254</v>
      </c>
      <c r="S320" t="s">
        <v>423</v>
      </c>
      <c r="T320" t="s">
        <v>419</v>
      </c>
      <c r="U320">
        <v>8.1432231404651167E-3</v>
      </c>
      <c r="V320" t="s">
        <v>254</v>
      </c>
      <c r="X320">
        <v>7.0776255707762558E-3</v>
      </c>
      <c r="Y320">
        <v>1.0008867231849112E-2</v>
      </c>
      <c r="Z320" t="s">
        <v>419</v>
      </c>
      <c r="AA320" t="s">
        <v>25</v>
      </c>
      <c r="AC320" t="s">
        <v>22</v>
      </c>
      <c r="AD320" t="s">
        <v>419</v>
      </c>
      <c r="AE320">
        <v>8.4036328402033542E-3</v>
      </c>
      <c r="AG320" t="s">
        <v>97</v>
      </c>
      <c r="AH320" t="s">
        <v>419</v>
      </c>
      <c r="AI320">
        <v>7.9590932437562545E-2</v>
      </c>
    </row>
    <row r="321" spans="9:35" x14ac:dyDescent="0.45">
      <c r="I321" t="s">
        <v>252</v>
      </c>
      <c r="J321" t="s">
        <v>420</v>
      </c>
      <c r="K321">
        <v>3.9746287768223278E-3</v>
      </c>
      <c r="L321" t="s">
        <v>254</v>
      </c>
      <c r="N321" t="s">
        <v>422</v>
      </c>
      <c r="O321" t="s">
        <v>420</v>
      </c>
      <c r="P321">
        <v>8.7486588963055899E-3</v>
      </c>
      <c r="Q321" t="s">
        <v>254</v>
      </c>
      <c r="S321" t="s">
        <v>423</v>
      </c>
      <c r="T321" t="s">
        <v>420</v>
      </c>
      <c r="U321">
        <v>8.3249273270211421E-3</v>
      </c>
      <c r="V321" t="s">
        <v>254</v>
      </c>
      <c r="X321">
        <v>7.0776255707762558E-3</v>
      </c>
      <c r="Y321">
        <v>1.376989947708193E-2</v>
      </c>
      <c r="Z321" t="s">
        <v>420</v>
      </c>
      <c r="AA321" t="s">
        <v>25</v>
      </c>
      <c r="AC321" t="s">
        <v>22</v>
      </c>
      <c r="AD321" t="s">
        <v>420</v>
      </c>
      <c r="AE321">
        <v>8.6302720122139603E-3</v>
      </c>
      <c r="AG321" t="s">
        <v>97</v>
      </c>
      <c r="AH321" t="s">
        <v>420</v>
      </c>
      <c r="AI321">
        <v>7.2305314486669214E-2</v>
      </c>
    </row>
    <row r="322" spans="9:35" x14ac:dyDescent="0.45">
      <c r="I322" t="s">
        <v>252</v>
      </c>
      <c r="J322" t="s">
        <v>421</v>
      </c>
      <c r="K322">
        <v>0</v>
      </c>
      <c r="L322" t="s">
        <v>254</v>
      </c>
      <c r="N322" t="s">
        <v>422</v>
      </c>
      <c r="O322" t="s">
        <v>421</v>
      </c>
      <c r="P322">
        <v>2.8229797330429289E-2</v>
      </c>
      <c r="Q322" t="s">
        <v>254</v>
      </c>
      <c r="S322" t="s">
        <v>423</v>
      </c>
      <c r="T322" t="s">
        <v>421</v>
      </c>
      <c r="U322">
        <v>2.4994685761360526E-2</v>
      </c>
      <c r="V322" t="s">
        <v>254</v>
      </c>
      <c r="X322">
        <v>2.1232876712328767E-2</v>
      </c>
      <c r="Y322">
        <v>1.8702400782305319E-2</v>
      </c>
      <c r="Z322" t="s">
        <v>421</v>
      </c>
      <c r="AA322" t="s">
        <v>25</v>
      </c>
      <c r="AC322" t="s">
        <v>22</v>
      </c>
      <c r="AD322" t="s">
        <v>421</v>
      </c>
      <c r="AE322">
        <v>2.2314284150476777E-2</v>
      </c>
      <c r="AG322" t="s">
        <v>97</v>
      </c>
      <c r="AH322" t="s">
        <v>421</v>
      </c>
      <c r="AI322">
        <v>0.19559280053890871</v>
      </c>
    </row>
    <row r="323" spans="9:35" x14ac:dyDescent="0.45">
      <c r="AC323" t="s">
        <v>19</v>
      </c>
      <c r="AD323" t="s">
        <v>253</v>
      </c>
      <c r="AE323">
        <v>2.2819327001616388E-2</v>
      </c>
    </row>
    <row r="324" spans="9:35" x14ac:dyDescent="0.45">
      <c r="AC324" t="s">
        <v>19</v>
      </c>
      <c r="AD324" t="s">
        <v>255</v>
      </c>
      <c r="AE324">
        <v>3.3415997738122142E-3</v>
      </c>
    </row>
    <row r="325" spans="9:35" x14ac:dyDescent="0.45">
      <c r="AC325" t="s">
        <v>19</v>
      </c>
      <c r="AD325" t="s">
        <v>256</v>
      </c>
      <c r="AE325">
        <v>6.7002569228082768E-3</v>
      </c>
    </row>
    <row r="326" spans="9:35" x14ac:dyDescent="0.45">
      <c r="AC326" t="s">
        <v>19</v>
      </c>
      <c r="AD326" t="s">
        <v>257</v>
      </c>
      <c r="AE326">
        <v>1.0055872254917766E-2</v>
      </c>
    </row>
    <row r="327" spans="9:35" x14ac:dyDescent="0.45">
      <c r="AC327" t="s">
        <v>19</v>
      </c>
      <c r="AD327" t="s">
        <v>258</v>
      </c>
      <c r="AE327">
        <v>3.3505810248658932E-3</v>
      </c>
    </row>
    <row r="328" spans="9:35" x14ac:dyDescent="0.45">
      <c r="AC328" t="s">
        <v>19</v>
      </c>
      <c r="AD328" t="s">
        <v>259</v>
      </c>
      <c r="AE328">
        <v>6.7017195458464966E-3</v>
      </c>
    </row>
    <row r="329" spans="9:35" x14ac:dyDescent="0.45">
      <c r="AC329" t="s">
        <v>19</v>
      </c>
      <c r="AD329" t="s">
        <v>260</v>
      </c>
      <c r="AE329">
        <v>6.7090998406440835E-3</v>
      </c>
    </row>
    <row r="330" spans="9:35" x14ac:dyDescent="0.45">
      <c r="AC330" t="s">
        <v>19</v>
      </c>
      <c r="AD330" t="s">
        <v>261</v>
      </c>
      <c r="AE330">
        <v>1.9839944905413277E-2</v>
      </c>
    </row>
    <row r="331" spans="9:35" x14ac:dyDescent="0.45">
      <c r="AC331" t="s">
        <v>19</v>
      </c>
      <c r="AD331" t="s">
        <v>583</v>
      </c>
      <c r="AE331">
        <v>1.1186123736435609E-4</v>
      </c>
    </row>
    <row r="332" spans="9:35" x14ac:dyDescent="0.45">
      <c r="AC332" t="s">
        <v>19</v>
      </c>
      <c r="AD332" t="s">
        <v>584</v>
      </c>
      <c r="AE332">
        <v>1.1170284488370019E-4</v>
      </c>
    </row>
    <row r="333" spans="9:35" x14ac:dyDescent="0.45">
      <c r="AC333" t="s">
        <v>19</v>
      </c>
      <c r="AD333" t="s">
        <v>585</v>
      </c>
      <c r="AE333">
        <v>1.1166802503132184E-4</v>
      </c>
    </row>
    <row r="334" spans="9:35" x14ac:dyDescent="0.45">
      <c r="AC334" t="s">
        <v>19</v>
      </c>
      <c r="AD334" t="s">
        <v>586</v>
      </c>
      <c r="AE334">
        <v>1.116914905840116E-4</v>
      </c>
    </row>
    <row r="335" spans="9:35" x14ac:dyDescent="0.45">
      <c r="AC335" t="s">
        <v>19</v>
      </c>
      <c r="AD335" t="s">
        <v>587</v>
      </c>
      <c r="AE335">
        <v>1.1223384763247018E-4</v>
      </c>
    </row>
    <row r="336" spans="9:35" x14ac:dyDescent="0.45">
      <c r="AC336" t="s">
        <v>19</v>
      </c>
      <c r="AD336" t="s">
        <v>588</v>
      </c>
      <c r="AE336">
        <v>1.1443336472047926E-4</v>
      </c>
    </row>
    <row r="337" spans="29:31" x14ac:dyDescent="0.45">
      <c r="AC337" t="s">
        <v>19</v>
      </c>
      <c r="AD337" t="s">
        <v>589</v>
      </c>
      <c r="AE337">
        <v>1.1554513989832089E-4</v>
      </c>
    </row>
    <row r="338" spans="29:31" x14ac:dyDescent="0.45">
      <c r="AC338" t="s">
        <v>19</v>
      </c>
      <c r="AD338" t="s">
        <v>590</v>
      </c>
      <c r="AE338">
        <v>1.1605400176269811E-4</v>
      </c>
    </row>
    <row r="339" spans="29:31" x14ac:dyDescent="0.45">
      <c r="AC339" t="s">
        <v>19</v>
      </c>
      <c r="AD339" t="s">
        <v>591</v>
      </c>
      <c r="AE339">
        <v>1.1609374181160821E-4</v>
      </c>
    </row>
    <row r="340" spans="29:31" x14ac:dyDescent="0.45">
      <c r="AC340" t="s">
        <v>19</v>
      </c>
      <c r="AD340" t="s">
        <v>592</v>
      </c>
      <c r="AE340">
        <v>1.1609809429315549E-4</v>
      </c>
    </row>
    <row r="341" spans="29:31" x14ac:dyDescent="0.45">
      <c r="AC341" t="s">
        <v>19</v>
      </c>
      <c r="AD341" t="s">
        <v>593</v>
      </c>
      <c r="AE341">
        <v>1.1604605375291611E-4</v>
      </c>
    </row>
    <row r="342" spans="29:31" x14ac:dyDescent="0.45">
      <c r="AC342" t="s">
        <v>19</v>
      </c>
      <c r="AD342" t="s">
        <v>594</v>
      </c>
      <c r="AE342">
        <v>1.1604605375291611E-4</v>
      </c>
    </row>
    <row r="343" spans="29:31" x14ac:dyDescent="0.45">
      <c r="AC343" t="s">
        <v>19</v>
      </c>
      <c r="AD343" t="s">
        <v>595</v>
      </c>
      <c r="AE343">
        <v>1.1597565709484681E-4</v>
      </c>
    </row>
    <row r="344" spans="29:31" x14ac:dyDescent="0.45">
      <c r="AC344" t="s">
        <v>19</v>
      </c>
      <c r="AD344" t="s">
        <v>596</v>
      </c>
      <c r="AE344">
        <v>1.1595995031361093E-4</v>
      </c>
    </row>
    <row r="345" spans="29:31" x14ac:dyDescent="0.45">
      <c r="AC345" t="s">
        <v>19</v>
      </c>
      <c r="AD345" t="s">
        <v>597</v>
      </c>
      <c r="AE345">
        <v>1.1594727134562532E-4</v>
      </c>
    </row>
    <row r="346" spans="29:31" x14ac:dyDescent="0.45">
      <c r="AC346" t="s">
        <v>19</v>
      </c>
      <c r="AD346" t="s">
        <v>598</v>
      </c>
      <c r="AE346">
        <v>1.1594727134562532E-4</v>
      </c>
    </row>
    <row r="347" spans="29:31" x14ac:dyDescent="0.45">
      <c r="AC347" t="s">
        <v>19</v>
      </c>
      <c r="AD347" t="s">
        <v>599</v>
      </c>
      <c r="AE347">
        <v>1.1600044731583359E-4</v>
      </c>
    </row>
    <row r="348" spans="29:31" x14ac:dyDescent="0.45">
      <c r="AC348" t="s">
        <v>19</v>
      </c>
      <c r="AD348" t="s">
        <v>600</v>
      </c>
      <c r="AE348">
        <v>1.1604264746300953E-4</v>
      </c>
    </row>
    <row r="349" spans="29:31" x14ac:dyDescent="0.45">
      <c r="AC349" t="s">
        <v>19</v>
      </c>
      <c r="AD349" t="s">
        <v>601</v>
      </c>
      <c r="AE349">
        <v>1.1604264746300953E-4</v>
      </c>
    </row>
    <row r="350" spans="29:31" x14ac:dyDescent="0.45">
      <c r="AC350" t="s">
        <v>19</v>
      </c>
      <c r="AD350" t="s">
        <v>602</v>
      </c>
      <c r="AE350">
        <v>1.157258625016977E-4</v>
      </c>
    </row>
    <row r="351" spans="29:31" x14ac:dyDescent="0.45">
      <c r="AC351" t="s">
        <v>19</v>
      </c>
      <c r="AD351" t="s">
        <v>603</v>
      </c>
      <c r="AE351">
        <v>1.145145479632527E-4</v>
      </c>
    </row>
    <row r="352" spans="29:31" x14ac:dyDescent="0.45">
      <c r="AC352" t="s">
        <v>19</v>
      </c>
      <c r="AD352" t="s">
        <v>604</v>
      </c>
      <c r="AE352">
        <v>1.1387984261066023E-4</v>
      </c>
    </row>
    <row r="353" spans="29:31" x14ac:dyDescent="0.45">
      <c r="AC353" t="s">
        <v>19</v>
      </c>
      <c r="AD353" t="s">
        <v>605</v>
      </c>
      <c r="AE353">
        <v>1.1320937121404868E-4</v>
      </c>
    </row>
    <row r="354" spans="29:31" x14ac:dyDescent="0.45">
      <c r="AC354" t="s">
        <v>19</v>
      </c>
      <c r="AD354" t="s">
        <v>606</v>
      </c>
      <c r="AE354">
        <v>1.1204044606110776E-4</v>
      </c>
    </row>
    <row r="355" spans="29:31" x14ac:dyDescent="0.45">
      <c r="AC355" t="s">
        <v>19</v>
      </c>
      <c r="AD355" t="s">
        <v>607</v>
      </c>
      <c r="AE355">
        <v>1.118275529419466E-4</v>
      </c>
    </row>
    <row r="356" spans="29:31" x14ac:dyDescent="0.45">
      <c r="AC356" t="s">
        <v>19</v>
      </c>
      <c r="AD356" t="s">
        <v>608</v>
      </c>
      <c r="AE356">
        <v>1.1160349476142498E-4</v>
      </c>
    </row>
    <row r="357" spans="29:31" x14ac:dyDescent="0.45">
      <c r="AC357" t="s">
        <v>19</v>
      </c>
      <c r="AD357" t="s">
        <v>609</v>
      </c>
      <c r="AE357">
        <v>1.115686749090466E-4</v>
      </c>
    </row>
    <row r="358" spans="29:31" x14ac:dyDescent="0.45">
      <c r="AC358" t="s">
        <v>19</v>
      </c>
      <c r="AD358" t="s">
        <v>610</v>
      </c>
      <c r="AE358">
        <v>1.1162260783256744E-4</v>
      </c>
    </row>
    <row r="359" spans="29:31" x14ac:dyDescent="0.45">
      <c r="AC359" t="s">
        <v>19</v>
      </c>
      <c r="AD359" t="s">
        <v>611</v>
      </c>
      <c r="AE359">
        <v>1.1207942915670526E-4</v>
      </c>
    </row>
    <row r="360" spans="29:31" x14ac:dyDescent="0.45">
      <c r="AC360" t="s">
        <v>19</v>
      </c>
      <c r="AD360" t="s">
        <v>612</v>
      </c>
      <c r="AE360">
        <v>1.1359995912333636E-4</v>
      </c>
    </row>
    <row r="361" spans="29:31" x14ac:dyDescent="0.45">
      <c r="AC361" t="s">
        <v>19</v>
      </c>
      <c r="AD361" t="s">
        <v>613</v>
      </c>
      <c r="AE361">
        <v>1.1483341454617408E-4</v>
      </c>
    </row>
    <row r="362" spans="29:31" x14ac:dyDescent="0.45">
      <c r="AC362" t="s">
        <v>19</v>
      </c>
      <c r="AD362" t="s">
        <v>614</v>
      </c>
      <c r="AE362">
        <v>1.1538409808107099E-4</v>
      </c>
    </row>
    <row r="363" spans="29:31" x14ac:dyDescent="0.45">
      <c r="AC363" t="s">
        <v>19</v>
      </c>
      <c r="AD363" t="s">
        <v>615</v>
      </c>
      <c r="AE363">
        <v>1.1561194102815545E-4</v>
      </c>
    </row>
    <row r="364" spans="29:31" x14ac:dyDescent="0.45">
      <c r="AC364" t="s">
        <v>19</v>
      </c>
      <c r="AD364" t="s">
        <v>616</v>
      </c>
      <c r="AE364">
        <v>1.156851762611469E-4</v>
      </c>
    </row>
    <row r="365" spans="29:31" x14ac:dyDescent="0.45">
      <c r="AC365" t="s">
        <v>19</v>
      </c>
      <c r="AD365" t="s">
        <v>617</v>
      </c>
      <c r="AE365">
        <v>1.1563767744078294E-4</v>
      </c>
    </row>
    <row r="366" spans="29:31" x14ac:dyDescent="0.45">
      <c r="AC366" t="s">
        <v>19</v>
      </c>
      <c r="AD366" t="s">
        <v>618</v>
      </c>
      <c r="AE366">
        <v>1.1555498029138435E-4</v>
      </c>
    </row>
    <row r="367" spans="29:31" x14ac:dyDescent="0.45">
      <c r="AC367" t="s">
        <v>19</v>
      </c>
      <c r="AD367" t="s">
        <v>619</v>
      </c>
      <c r="AE367">
        <v>1.1547133695034502E-4</v>
      </c>
    </row>
    <row r="368" spans="29:31" x14ac:dyDescent="0.45">
      <c r="AC368" t="s">
        <v>19</v>
      </c>
      <c r="AD368" t="s">
        <v>620</v>
      </c>
      <c r="AE368">
        <v>1.1546187503393786E-4</v>
      </c>
    </row>
    <row r="369" spans="29:31" x14ac:dyDescent="0.45">
      <c r="AC369" t="s">
        <v>19</v>
      </c>
      <c r="AD369" t="s">
        <v>621</v>
      </c>
      <c r="AE369">
        <v>1.154034003905416E-4</v>
      </c>
    </row>
    <row r="370" spans="29:31" x14ac:dyDescent="0.45">
      <c r="AC370" t="s">
        <v>19</v>
      </c>
      <c r="AD370" t="s">
        <v>622</v>
      </c>
      <c r="AE370">
        <v>1.1537539311797638E-4</v>
      </c>
    </row>
    <row r="371" spans="29:31" x14ac:dyDescent="0.45">
      <c r="AC371" t="s">
        <v>19</v>
      </c>
      <c r="AD371" t="s">
        <v>623</v>
      </c>
      <c r="AE371">
        <v>1.1546887685207917E-4</v>
      </c>
    </row>
    <row r="372" spans="29:31" x14ac:dyDescent="0.45">
      <c r="AC372" t="s">
        <v>19</v>
      </c>
      <c r="AD372" t="s">
        <v>624</v>
      </c>
      <c r="AE372">
        <v>1.155644422077915E-4</v>
      </c>
    </row>
    <row r="373" spans="29:31" x14ac:dyDescent="0.45">
      <c r="AC373" t="s">
        <v>19</v>
      </c>
      <c r="AD373" t="s">
        <v>625</v>
      </c>
      <c r="AE373">
        <v>1.1562916171601649E-4</v>
      </c>
    </row>
    <row r="374" spans="29:31" x14ac:dyDescent="0.45">
      <c r="AC374" t="s">
        <v>19</v>
      </c>
      <c r="AD374" t="s">
        <v>626</v>
      </c>
      <c r="AE374">
        <v>1.1551183395256767E-4</v>
      </c>
    </row>
    <row r="375" spans="29:31" x14ac:dyDescent="0.45">
      <c r="AC375" t="s">
        <v>19</v>
      </c>
      <c r="AD375" t="s">
        <v>627</v>
      </c>
      <c r="AE375">
        <v>1.1455504496547536E-4</v>
      </c>
    </row>
    <row r="376" spans="29:31" x14ac:dyDescent="0.45">
      <c r="AC376" t="s">
        <v>19</v>
      </c>
      <c r="AD376" t="s">
        <v>628</v>
      </c>
      <c r="AE376">
        <v>1.1377159828696228E-4</v>
      </c>
    </row>
    <row r="377" spans="29:31" x14ac:dyDescent="0.45">
      <c r="AC377" t="s">
        <v>19</v>
      </c>
      <c r="AD377" t="s">
        <v>629</v>
      </c>
      <c r="AE377">
        <v>1.1302297146082756E-4</v>
      </c>
    </row>
    <row r="378" spans="29:31" x14ac:dyDescent="0.45">
      <c r="AC378" t="s">
        <v>19</v>
      </c>
      <c r="AD378" t="s">
        <v>630</v>
      </c>
      <c r="AE378">
        <v>1.1203722900952933E-4</v>
      </c>
    </row>
    <row r="379" spans="29:31" x14ac:dyDescent="0.45">
      <c r="AC379" t="s">
        <v>19</v>
      </c>
      <c r="AD379" t="s">
        <v>286</v>
      </c>
      <c r="AE379">
        <v>2.1271741957469715E-2</v>
      </c>
    </row>
    <row r="380" spans="29:31" x14ac:dyDescent="0.45">
      <c r="AC380" t="s">
        <v>19</v>
      </c>
      <c r="AD380" t="s">
        <v>287</v>
      </c>
      <c r="AE380">
        <v>3.1136905858532228E-3</v>
      </c>
    </row>
    <row r="381" spans="29:31" x14ac:dyDescent="0.45">
      <c r="AC381" t="s">
        <v>19</v>
      </c>
      <c r="AD381" t="s">
        <v>288</v>
      </c>
      <c r="AE381">
        <v>6.2401019613625638E-3</v>
      </c>
    </row>
    <row r="382" spans="29:31" x14ac:dyDescent="0.45">
      <c r="AC382" t="s">
        <v>19</v>
      </c>
      <c r="AD382" t="s">
        <v>289</v>
      </c>
      <c r="AE382">
        <v>9.356956044347357E-3</v>
      </c>
    </row>
    <row r="383" spans="29:31" x14ac:dyDescent="0.45">
      <c r="AC383" t="s">
        <v>19</v>
      </c>
      <c r="AD383" t="s">
        <v>290</v>
      </c>
      <c r="AE383">
        <v>3.1169685721733204E-3</v>
      </c>
    </row>
    <row r="384" spans="29:31" x14ac:dyDescent="0.45">
      <c r="AC384" t="s">
        <v>19</v>
      </c>
      <c r="AD384" t="s">
        <v>291</v>
      </c>
      <c r="AE384">
        <v>6.2343496839019933E-3</v>
      </c>
    </row>
    <row r="385" spans="29:31" x14ac:dyDescent="0.45">
      <c r="AC385" t="s">
        <v>19</v>
      </c>
      <c r="AD385" t="s">
        <v>292</v>
      </c>
      <c r="AE385">
        <v>6.2429403470463845E-3</v>
      </c>
    </row>
    <row r="386" spans="29:31" x14ac:dyDescent="0.45">
      <c r="AC386" t="s">
        <v>19</v>
      </c>
      <c r="AD386" t="s">
        <v>293</v>
      </c>
      <c r="AE386">
        <v>1.8465823668312151E-2</v>
      </c>
    </row>
    <row r="387" spans="29:31" x14ac:dyDescent="0.45">
      <c r="AC387" t="s">
        <v>19</v>
      </c>
      <c r="AD387" t="s">
        <v>631</v>
      </c>
      <c r="AE387">
        <v>1.1191495284911358E-4</v>
      </c>
    </row>
    <row r="388" spans="29:31" x14ac:dyDescent="0.45">
      <c r="AC388" t="s">
        <v>19</v>
      </c>
      <c r="AD388" t="s">
        <v>632</v>
      </c>
      <c r="AE388">
        <v>1.1175182941025409E-4</v>
      </c>
    </row>
    <row r="389" spans="29:31" x14ac:dyDescent="0.45">
      <c r="AC389" t="s">
        <v>19</v>
      </c>
      <c r="AD389" t="s">
        <v>633</v>
      </c>
      <c r="AE389">
        <v>1.1174728769037867E-4</v>
      </c>
    </row>
    <row r="390" spans="29:31" x14ac:dyDescent="0.45">
      <c r="AC390" t="s">
        <v>19</v>
      </c>
      <c r="AD390" t="s">
        <v>634</v>
      </c>
      <c r="AE390">
        <v>1.1171946965614161E-4</v>
      </c>
    </row>
    <row r="391" spans="29:31" x14ac:dyDescent="0.45">
      <c r="AC391" t="s">
        <v>19</v>
      </c>
      <c r="AD391" t="s">
        <v>635</v>
      </c>
      <c r="AE391">
        <v>1.1229797122527555E-4</v>
      </c>
    </row>
    <row r="392" spans="29:31" x14ac:dyDescent="0.45">
      <c r="AC392" t="s">
        <v>19</v>
      </c>
      <c r="AD392" t="s">
        <v>636</v>
      </c>
      <c r="AE392">
        <v>1.1440514000915072E-4</v>
      </c>
    </row>
    <row r="393" spans="29:31" x14ac:dyDescent="0.45">
      <c r="AC393" t="s">
        <v>19</v>
      </c>
      <c r="AD393" t="s">
        <v>637</v>
      </c>
      <c r="AE393">
        <v>1.15482095334614E-4</v>
      </c>
    </row>
    <row r="394" spans="29:31" x14ac:dyDescent="0.45">
      <c r="AC394" t="s">
        <v>19</v>
      </c>
      <c r="AD394" t="s">
        <v>638</v>
      </c>
      <c r="AE394">
        <v>1.1599095719899122E-4</v>
      </c>
    </row>
    <row r="395" spans="29:31" x14ac:dyDescent="0.45">
      <c r="AC395" t="s">
        <v>19</v>
      </c>
      <c r="AD395" t="s">
        <v>639</v>
      </c>
      <c r="AE395">
        <v>1.1604659326746534E-4</v>
      </c>
    </row>
    <row r="396" spans="29:31" x14ac:dyDescent="0.45">
      <c r="AC396" t="s">
        <v>19</v>
      </c>
      <c r="AD396" t="s">
        <v>640</v>
      </c>
      <c r="AE396">
        <v>1.1612115316875378E-4</v>
      </c>
    </row>
    <row r="397" spans="29:31" x14ac:dyDescent="0.45">
      <c r="AC397" t="s">
        <v>19</v>
      </c>
      <c r="AD397" t="s">
        <v>641</v>
      </c>
      <c r="AE397">
        <v>1.1609182122789157E-4</v>
      </c>
    </row>
    <row r="398" spans="29:31" x14ac:dyDescent="0.45">
      <c r="AC398" t="s">
        <v>19</v>
      </c>
      <c r="AD398" t="s">
        <v>642</v>
      </c>
      <c r="AE398">
        <v>1.1601574741997799E-4</v>
      </c>
    </row>
    <row r="399" spans="29:31" x14ac:dyDescent="0.45">
      <c r="AC399" t="s">
        <v>19</v>
      </c>
      <c r="AD399" t="s">
        <v>643</v>
      </c>
      <c r="AE399">
        <v>1.1600363616697681E-4</v>
      </c>
    </row>
    <row r="400" spans="29:31" x14ac:dyDescent="0.45">
      <c r="AC400" t="s">
        <v>19</v>
      </c>
      <c r="AD400" t="s">
        <v>644</v>
      </c>
      <c r="AE400">
        <v>1.1594572923856498E-4</v>
      </c>
    </row>
    <row r="401" spans="29:31" x14ac:dyDescent="0.45">
      <c r="AC401" t="s">
        <v>19</v>
      </c>
      <c r="AD401" t="s">
        <v>645</v>
      </c>
      <c r="AE401">
        <v>1.1593305027057938E-4</v>
      </c>
    </row>
    <row r="402" spans="29:31" x14ac:dyDescent="0.45">
      <c r="AC402" t="s">
        <v>19</v>
      </c>
      <c r="AD402" t="s">
        <v>646</v>
      </c>
      <c r="AE402">
        <v>1.1597543965608346E-4</v>
      </c>
    </row>
    <row r="403" spans="29:31" x14ac:dyDescent="0.45">
      <c r="AC403" t="s">
        <v>19</v>
      </c>
      <c r="AD403" t="s">
        <v>647</v>
      </c>
      <c r="AE403">
        <v>1.1605075651068449E-4</v>
      </c>
    </row>
    <row r="404" spans="29:31" x14ac:dyDescent="0.45">
      <c r="AC404" t="s">
        <v>19</v>
      </c>
      <c r="AD404" t="s">
        <v>648</v>
      </c>
      <c r="AE404">
        <v>1.161417801465214E-4</v>
      </c>
    </row>
    <row r="405" spans="29:31" x14ac:dyDescent="0.45">
      <c r="AC405" t="s">
        <v>19</v>
      </c>
      <c r="AD405" t="s">
        <v>649</v>
      </c>
      <c r="AE405">
        <v>1.1613458909005194E-4</v>
      </c>
    </row>
    <row r="406" spans="29:31" x14ac:dyDescent="0.45">
      <c r="AC406" t="s">
        <v>19</v>
      </c>
      <c r="AD406" t="s">
        <v>650</v>
      </c>
      <c r="AE406">
        <v>1.1570899209005777E-4</v>
      </c>
    </row>
    <row r="407" spans="29:31" x14ac:dyDescent="0.45">
      <c r="AC407" t="s">
        <v>19</v>
      </c>
      <c r="AD407" t="s">
        <v>651</v>
      </c>
      <c r="AE407">
        <v>1.1442803784685606E-4</v>
      </c>
    </row>
    <row r="408" spans="29:31" x14ac:dyDescent="0.45">
      <c r="AC408" t="s">
        <v>19</v>
      </c>
      <c r="AD408" t="s">
        <v>652</v>
      </c>
      <c r="AE408">
        <v>1.1379560335420128E-4</v>
      </c>
    </row>
    <row r="409" spans="29:31" x14ac:dyDescent="0.45">
      <c r="AC409" t="s">
        <v>19</v>
      </c>
      <c r="AD409" t="s">
        <v>653</v>
      </c>
      <c r="AE409">
        <v>1.1327709033508874E-4</v>
      </c>
    </row>
    <row r="410" spans="29:31" x14ac:dyDescent="0.45">
      <c r="AC410" t="s">
        <v>19</v>
      </c>
      <c r="AD410" t="s">
        <v>654</v>
      </c>
      <c r="AE410">
        <v>1.1214922989935495E-4</v>
      </c>
    </row>
    <row r="411" spans="29:31" x14ac:dyDescent="0.45">
      <c r="AC411" t="s">
        <v>19</v>
      </c>
      <c r="AD411" t="s">
        <v>294</v>
      </c>
      <c r="AE411">
        <v>2.4432411551340204E-2</v>
      </c>
    </row>
    <row r="412" spans="29:31" x14ac:dyDescent="0.45">
      <c r="AC412" t="s">
        <v>19</v>
      </c>
      <c r="AD412" t="s">
        <v>295</v>
      </c>
      <c r="AE412">
        <v>3.5675608551710924E-3</v>
      </c>
    </row>
    <row r="413" spans="29:31" x14ac:dyDescent="0.45">
      <c r="AC413" t="s">
        <v>19</v>
      </c>
      <c r="AD413" t="s">
        <v>296</v>
      </c>
      <c r="AE413">
        <v>7.1577780799408084E-3</v>
      </c>
    </row>
    <row r="414" spans="29:31" x14ac:dyDescent="0.45">
      <c r="AC414" t="s">
        <v>19</v>
      </c>
      <c r="AD414" t="s">
        <v>297</v>
      </c>
      <c r="AE414">
        <v>1.0730786917340819E-2</v>
      </c>
    </row>
    <row r="415" spans="29:31" x14ac:dyDescent="0.45">
      <c r="AC415" t="s">
        <v>19</v>
      </c>
      <c r="AD415" t="s">
        <v>298</v>
      </c>
      <c r="AE415">
        <v>3.5732902347939584E-3</v>
      </c>
    </row>
    <row r="416" spans="29:31" x14ac:dyDescent="0.45">
      <c r="AC416" t="s">
        <v>19</v>
      </c>
      <c r="AD416" t="s">
        <v>299</v>
      </c>
      <c r="AE416">
        <v>7.1447781637506797E-3</v>
      </c>
    </row>
    <row r="417" spans="29:31" x14ac:dyDescent="0.45">
      <c r="AC417" t="s">
        <v>19</v>
      </c>
      <c r="AD417" t="s">
        <v>300</v>
      </c>
      <c r="AE417">
        <v>7.1547004970102151E-3</v>
      </c>
    </row>
    <row r="418" spans="29:31" x14ac:dyDescent="0.45">
      <c r="AC418" t="s">
        <v>19</v>
      </c>
      <c r="AD418" t="s">
        <v>301</v>
      </c>
      <c r="AE418">
        <v>2.1210920477999422E-2</v>
      </c>
    </row>
    <row r="419" spans="29:31" x14ac:dyDescent="0.45">
      <c r="AC419" t="s">
        <v>19</v>
      </c>
      <c r="AD419" t="s">
        <v>302</v>
      </c>
      <c r="AE419">
        <v>2.3682791462922036E-2</v>
      </c>
    </row>
    <row r="420" spans="29:31" x14ac:dyDescent="0.45">
      <c r="AC420" t="s">
        <v>19</v>
      </c>
      <c r="AD420" t="s">
        <v>303</v>
      </c>
      <c r="AE420">
        <v>3.4533939736514372E-3</v>
      </c>
    </row>
    <row r="421" spans="29:31" x14ac:dyDescent="0.45">
      <c r="AC421" t="s">
        <v>19</v>
      </c>
      <c r="AD421" t="s">
        <v>304</v>
      </c>
      <c r="AE421">
        <v>6.9207834463373653E-3</v>
      </c>
    </row>
    <row r="422" spans="29:31" x14ac:dyDescent="0.45">
      <c r="AC422" t="s">
        <v>19</v>
      </c>
      <c r="AD422" t="s">
        <v>305</v>
      </c>
      <c r="AE422">
        <v>1.0370268134606019E-2</v>
      </c>
    </row>
    <row r="423" spans="29:31" x14ac:dyDescent="0.45">
      <c r="AC423" t="s">
        <v>19</v>
      </c>
      <c r="AD423" t="s">
        <v>306</v>
      </c>
      <c r="AE423">
        <v>3.4537794521258651E-3</v>
      </c>
    </row>
    <row r="424" spans="29:31" x14ac:dyDescent="0.45">
      <c r="AC424" t="s">
        <v>19</v>
      </c>
      <c r="AD424" t="s">
        <v>307</v>
      </c>
      <c r="AE424">
        <v>6.9054458690796829E-3</v>
      </c>
    </row>
    <row r="425" spans="29:31" x14ac:dyDescent="0.45">
      <c r="AC425" t="s">
        <v>19</v>
      </c>
      <c r="AD425" t="s">
        <v>308</v>
      </c>
      <c r="AE425">
        <v>6.906657562094784E-3</v>
      </c>
    </row>
    <row r="426" spans="29:31" x14ac:dyDescent="0.45">
      <c r="AC426" t="s">
        <v>19</v>
      </c>
      <c r="AD426" t="s">
        <v>309</v>
      </c>
      <c r="AE426">
        <v>2.0495156606258523E-2</v>
      </c>
    </row>
    <row r="427" spans="29:31" x14ac:dyDescent="0.45">
      <c r="AC427" t="s">
        <v>19</v>
      </c>
      <c r="AD427" t="s">
        <v>310</v>
      </c>
      <c r="AE427">
        <v>2.3662888123059323E-2</v>
      </c>
    </row>
    <row r="428" spans="29:31" x14ac:dyDescent="0.45">
      <c r="AC428" t="s">
        <v>19</v>
      </c>
      <c r="AD428" t="s">
        <v>311</v>
      </c>
      <c r="AE428">
        <v>3.4482093827895473E-3</v>
      </c>
    </row>
    <row r="429" spans="29:31" x14ac:dyDescent="0.45">
      <c r="AC429" t="s">
        <v>19</v>
      </c>
      <c r="AD429" t="s">
        <v>312</v>
      </c>
      <c r="AE429">
        <v>6.9133764121640118E-3</v>
      </c>
    </row>
    <row r="430" spans="29:31" x14ac:dyDescent="0.45">
      <c r="AC430" t="s">
        <v>19</v>
      </c>
      <c r="AD430" t="s">
        <v>313</v>
      </c>
      <c r="AE430">
        <v>1.0364844289725858E-2</v>
      </c>
    </row>
    <row r="431" spans="29:31" x14ac:dyDescent="0.45">
      <c r="AC431" t="s">
        <v>19</v>
      </c>
      <c r="AD431" t="s">
        <v>314</v>
      </c>
      <c r="AE431">
        <v>3.4521415660100359E-3</v>
      </c>
    </row>
    <row r="432" spans="29:31" x14ac:dyDescent="0.45">
      <c r="AC432" t="s">
        <v>19</v>
      </c>
      <c r="AD432" t="s">
        <v>315</v>
      </c>
      <c r="AE432">
        <v>6.9011542655025519E-3</v>
      </c>
    </row>
    <row r="433" spans="29:31" x14ac:dyDescent="0.45">
      <c r="AC433" t="s">
        <v>19</v>
      </c>
      <c r="AD433" t="s">
        <v>316</v>
      </c>
      <c r="AE433">
        <v>6.9019206807315308E-3</v>
      </c>
    </row>
    <row r="434" spans="29:31" x14ac:dyDescent="0.45">
      <c r="AC434" t="s">
        <v>19</v>
      </c>
      <c r="AD434" t="s">
        <v>317</v>
      </c>
      <c r="AE434">
        <v>2.0510059711238621E-2</v>
      </c>
    </row>
    <row r="435" spans="29:31" x14ac:dyDescent="0.45">
      <c r="AC435" t="s">
        <v>19</v>
      </c>
      <c r="AD435" t="s">
        <v>655</v>
      </c>
      <c r="AE435">
        <v>1.1225530474079097E-4</v>
      </c>
    </row>
    <row r="436" spans="29:31" x14ac:dyDescent="0.45">
      <c r="AC436" t="s">
        <v>19</v>
      </c>
      <c r="AD436" t="s">
        <v>656</v>
      </c>
      <c r="AE436">
        <v>1.1210202169499494E-4</v>
      </c>
    </row>
    <row r="437" spans="29:31" x14ac:dyDescent="0.45">
      <c r="AC437" t="s">
        <v>19</v>
      </c>
      <c r="AD437" t="s">
        <v>657</v>
      </c>
      <c r="AE437">
        <v>1.1210202169499494E-4</v>
      </c>
    </row>
    <row r="438" spans="29:31" x14ac:dyDescent="0.45">
      <c r="AC438" t="s">
        <v>19</v>
      </c>
      <c r="AD438" t="s">
        <v>658</v>
      </c>
      <c r="AE438">
        <v>1.1218225874612766E-4</v>
      </c>
    </row>
    <row r="439" spans="29:31" x14ac:dyDescent="0.45">
      <c r="AC439" t="s">
        <v>19</v>
      </c>
      <c r="AD439" t="s">
        <v>659</v>
      </c>
      <c r="AE439">
        <v>1.1284478213295721E-4</v>
      </c>
    </row>
    <row r="440" spans="29:31" x14ac:dyDescent="0.45">
      <c r="AC440" t="s">
        <v>19</v>
      </c>
      <c r="AD440" t="s">
        <v>660</v>
      </c>
      <c r="AE440">
        <v>1.1419670074921265E-4</v>
      </c>
    </row>
    <row r="441" spans="29:31" x14ac:dyDescent="0.45">
      <c r="AC441" t="s">
        <v>19</v>
      </c>
      <c r="AD441" t="s">
        <v>661</v>
      </c>
      <c r="AE441">
        <v>1.1503502654288729E-4</v>
      </c>
    </row>
    <row r="442" spans="29:31" x14ac:dyDescent="0.45">
      <c r="AC442" t="s">
        <v>19</v>
      </c>
      <c r="AD442" t="s">
        <v>662</v>
      </c>
      <c r="AE442">
        <v>1.1558078988125243E-4</v>
      </c>
    </row>
    <row r="443" spans="29:31" x14ac:dyDescent="0.45">
      <c r="AC443" t="s">
        <v>19</v>
      </c>
      <c r="AD443" t="s">
        <v>663</v>
      </c>
      <c r="AE443">
        <v>1.1575413218983166E-4</v>
      </c>
    </row>
    <row r="444" spans="29:31" x14ac:dyDescent="0.45">
      <c r="AC444" t="s">
        <v>19</v>
      </c>
      <c r="AD444" t="s">
        <v>664</v>
      </c>
      <c r="AE444">
        <v>1.1575829543305081E-4</v>
      </c>
    </row>
    <row r="445" spans="29:31" x14ac:dyDescent="0.45">
      <c r="AC445" t="s">
        <v>19</v>
      </c>
      <c r="AD445" t="s">
        <v>665</v>
      </c>
      <c r="AE445">
        <v>1.1572025852909402E-4</v>
      </c>
    </row>
    <row r="446" spans="29:31" x14ac:dyDescent="0.45">
      <c r="AC446" t="s">
        <v>19</v>
      </c>
      <c r="AD446" t="s">
        <v>666</v>
      </c>
      <c r="AE446">
        <v>1.1570038850463898E-4</v>
      </c>
    </row>
    <row r="447" spans="29:31" x14ac:dyDescent="0.45">
      <c r="AC447" t="s">
        <v>19</v>
      </c>
      <c r="AD447" t="s">
        <v>667</v>
      </c>
      <c r="AE447">
        <v>1.1562753174830383E-4</v>
      </c>
    </row>
    <row r="448" spans="29:31" x14ac:dyDescent="0.45">
      <c r="AC448" t="s">
        <v>19</v>
      </c>
      <c r="AD448" t="s">
        <v>668</v>
      </c>
      <c r="AE448">
        <v>1.1555335032367167E-4</v>
      </c>
    </row>
    <row r="449" spans="29:31" x14ac:dyDescent="0.45">
      <c r="AC449" t="s">
        <v>19</v>
      </c>
      <c r="AD449" t="s">
        <v>669</v>
      </c>
      <c r="AE449">
        <v>1.1545116162647429E-4</v>
      </c>
    </row>
    <row r="450" spans="29:31" x14ac:dyDescent="0.45">
      <c r="AC450" t="s">
        <v>19</v>
      </c>
      <c r="AD450" t="s">
        <v>670</v>
      </c>
      <c r="AE450">
        <v>1.1545778496795933E-4</v>
      </c>
    </row>
    <row r="451" spans="29:31" x14ac:dyDescent="0.45">
      <c r="AC451" t="s">
        <v>19</v>
      </c>
      <c r="AD451" t="s">
        <v>671</v>
      </c>
      <c r="AE451">
        <v>1.1543129160201926E-4</v>
      </c>
    </row>
    <row r="452" spans="29:31" x14ac:dyDescent="0.45">
      <c r="AC452" t="s">
        <v>19</v>
      </c>
      <c r="AD452" t="s">
        <v>672</v>
      </c>
      <c r="AE452">
        <v>1.1543129160201926E-4</v>
      </c>
    </row>
    <row r="453" spans="29:31" x14ac:dyDescent="0.45">
      <c r="AC453" t="s">
        <v>19</v>
      </c>
      <c r="AD453" t="s">
        <v>673</v>
      </c>
      <c r="AE453">
        <v>1.1539174079143733E-4</v>
      </c>
    </row>
    <row r="454" spans="29:31" x14ac:dyDescent="0.45">
      <c r="AC454" t="s">
        <v>19</v>
      </c>
      <c r="AD454" t="s">
        <v>674</v>
      </c>
      <c r="AE454">
        <v>1.1524035012892271E-4</v>
      </c>
    </row>
    <row r="455" spans="29:31" x14ac:dyDescent="0.45">
      <c r="AC455" t="s">
        <v>19</v>
      </c>
      <c r="AD455" t="s">
        <v>675</v>
      </c>
      <c r="AE455">
        <v>1.1477652698664359E-4</v>
      </c>
    </row>
    <row r="456" spans="29:31" x14ac:dyDescent="0.45">
      <c r="AC456" t="s">
        <v>19</v>
      </c>
      <c r="AD456" t="s">
        <v>676</v>
      </c>
      <c r="AE456">
        <v>1.1427353151043882E-4</v>
      </c>
    </row>
    <row r="457" spans="29:31" x14ac:dyDescent="0.45">
      <c r="AC457" t="s">
        <v>19</v>
      </c>
      <c r="AD457" t="s">
        <v>677</v>
      </c>
      <c r="AE457">
        <v>1.1317859854380192E-4</v>
      </c>
    </row>
    <row r="458" spans="29:31" x14ac:dyDescent="0.45">
      <c r="AC458" t="s">
        <v>19</v>
      </c>
      <c r="AD458" t="s">
        <v>678</v>
      </c>
      <c r="AE458">
        <v>1.1269850090530249E-4</v>
      </c>
    </row>
    <row r="459" spans="29:31" x14ac:dyDescent="0.45">
      <c r="AC459" t="s">
        <v>19</v>
      </c>
      <c r="AD459" t="s">
        <v>318</v>
      </c>
      <c r="AE459">
        <v>2.2853640239106601E-2</v>
      </c>
    </row>
    <row r="460" spans="29:31" x14ac:dyDescent="0.45">
      <c r="AC460" t="s">
        <v>19</v>
      </c>
      <c r="AD460" t="s">
        <v>319</v>
      </c>
      <c r="AE460">
        <v>3.3226721257853201E-3</v>
      </c>
    </row>
    <row r="461" spans="29:31" x14ac:dyDescent="0.45">
      <c r="AC461" t="s">
        <v>19</v>
      </c>
      <c r="AD461" t="s">
        <v>320</v>
      </c>
      <c r="AE461">
        <v>6.6759391690348734E-3</v>
      </c>
    </row>
    <row r="462" spans="29:31" x14ac:dyDescent="0.45">
      <c r="AC462" t="s">
        <v>19</v>
      </c>
      <c r="AD462" t="s">
        <v>321</v>
      </c>
      <c r="AE462">
        <v>1.0016900422281927E-2</v>
      </c>
    </row>
    <row r="463" spans="29:31" x14ac:dyDescent="0.45">
      <c r="AC463" t="s">
        <v>19</v>
      </c>
      <c r="AD463" t="s">
        <v>322</v>
      </c>
      <c r="AE463">
        <v>3.336999548847374E-3</v>
      </c>
    </row>
    <row r="464" spans="29:31" x14ac:dyDescent="0.45">
      <c r="AC464" t="s">
        <v>19</v>
      </c>
      <c r="AD464" t="s">
        <v>323</v>
      </c>
      <c r="AE464">
        <v>6.669564675951368E-3</v>
      </c>
    </row>
    <row r="465" spans="29:31" x14ac:dyDescent="0.45">
      <c r="AC465" t="s">
        <v>19</v>
      </c>
      <c r="AD465" t="s">
        <v>324</v>
      </c>
      <c r="AE465">
        <v>6.6672637271194745E-3</v>
      </c>
    </row>
    <row r="466" spans="29:31" x14ac:dyDescent="0.45">
      <c r="AC466" t="s">
        <v>19</v>
      </c>
      <c r="AD466" t="s">
        <v>325</v>
      </c>
      <c r="AE466">
        <v>1.9842727472352589E-2</v>
      </c>
    </row>
    <row r="467" spans="29:31" x14ac:dyDescent="0.45">
      <c r="AC467" t="s">
        <v>19</v>
      </c>
      <c r="AD467" t="s">
        <v>679</v>
      </c>
      <c r="AE467">
        <v>1.1233253763346441E-4</v>
      </c>
    </row>
    <row r="468" spans="29:31" x14ac:dyDescent="0.45">
      <c r="AC468" t="s">
        <v>19</v>
      </c>
      <c r="AD468" t="s">
        <v>680</v>
      </c>
      <c r="AE468">
        <v>1.1221956235156288E-4</v>
      </c>
    </row>
    <row r="469" spans="29:31" x14ac:dyDescent="0.45">
      <c r="AC469" t="s">
        <v>19</v>
      </c>
      <c r="AD469" t="s">
        <v>681</v>
      </c>
      <c r="AE469">
        <v>1.1221956235156288E-4</v>
      </c>
    </row>
    <row r="470" spans="29:31" x14ac:dyDescent="0.45">
      <c r="AC470" t="s">
        <v>19</v>
      </c>
      <c r="AD470" t="s">
        <v>682</v>
      </c>
      <c r="AE470">
        <v>1.1228276795316272E-4</v>
      </c>
    </row>
    <row r="471" spans="29:31" x14ac:dyDescent="0.45">
      <c r="AC471" t="s">
        <v>19</v>
      </c>
      <c r="AD471" t="s">
        <v>683</v>
      </c>
      <c r="AE471">
        <v>1.1279238677085253E-4</v>
      </c>
    </row>
    <row r="472" spans="29:31" x14ac:dyDescent="0.45">
      <c r="AC472" t="s">
        <v>19</v>
      </c>
      <c r="AD472" t="s">
        <v>684</v>
      </c>
      <c r="AE472">
        <v>1.1390056642045942E-4</v>
      </c>
    </row>
    <row r="473" spans="29:31" x14ac:dyDescent="0.45">
      <c r="AC473" t="s">
        <v>19</v>
      </c>
      <c r="AD473" t="s">
        <v>685</v>
      </c>
      <c r="AE473">
        <v>1.1484581186953501E-4</v>
      </c>
    </row>
    <row r="474" spans="29:31" x14ac:dyDescent="0.45">
      <c r="AC474" t="s">
        <v>19</v>
      </c>
      <c r="AD474" t="s">
        <v>686</v>
      </c>
      <c r="AE474">
        <v>1.1555848341332251E-4</v>
      </c>
    </row>
    <row r="475" spans="29:31" x14ac:dyDescent="0.45">
      <c r="AC475" t="s">
        <v>19</v>
      </c>
      <c r="AD475" t="s">
        <v>687</v>
      </c>
      <c r="AE475">
        <v>1.1591481918521626E-4</v>
      </c>
    </row>
    <row r="476" spans="29:31" x14ac:dyDescent="0.45">
      <c r="AC476" t="s">
        <v>19</v>
      </c>
      <c r="AD476" t="s">
        <v>688</v>
      </c>
      <c r="AE476">
        <v>1.1592182100335756E-4</v>
      </c>
    </row>
    <row r="477" spans="29:31" x14ac:dyDescent="0.45">
      <c r="AC477" t="s">
        <v>19</v>
      </c>
      <c r="AD477" t="s">
        <v>689</v>
      </c>
      <c r="AE477">
        <v>1.1588227019277564E-4</v>
      </c>
    </row>
    <row r="478" spans="29:31" x14ac:dyDescent="0.45">
      <c r="AC478" t="s">
        <v>19</v>
      </c>
      <c r="AD478" t="s">
        <v>690</v>
      </c>
      <c r="AE478">
        <v>1.1584101623724041E-4</v>
      </c>
    </row>
    <row r="479" spans="29:31" x14ac:dyDescent="0.45">
      <c r="AC479" t="s">
        <v>19</v>
      </c>
      <c r="AD479" t="s">
        <v>691</v>
      </c>
      <c r="AE479">
        <v>1.1585142434528828E-4</v>
      </c>
    </row>
    <row r="480" spans="29:31" x14ac:dyDescent="0.45">
      <c r="AC480" t="s">
        <v>19</v>
      </c>
      <c r="AD480" t="s">
        <v>692</v>
      </c>
      <c r="AE480">
        <v>1.157753505373747E-4</v>
      </c>
    </row>
    <row r="481" spans="29:31" x14ac:dyDescent="0.45">
      <c r="AC481" t="s">
        <v>19</v>
      </c>
      <c r="AD481" t="s">
        <v>693</v>
      </c>
      <c r="AE481">
        <v>1.1565783353559773E-4</v>
      </c>
    </row>
    <row r="482" spans="29:31" x14ac:dyDescent="0.45">
      <c r="AC482" t="s">
        <v>19</v>
      </c>
      <c r="AD482" t="s">
        <v>694</v>
      </c>
      <c r="AE482">
        <v>1.1563039397801696E-4</v>
      </c>
    </row>
    <row r="483" spans="29:31" x14ac:dyDescent="0.45">
      <c r="AC483" t="s">
        <v>19</v>
      </c>
      <c r="AD483" t="s">
        <v>695</v>
      </c>
      <c r="AE483">
        <v>1.1561828272501579E-4</v>
      </c>
    </row>
    <row r="484" spans="29:31" x14ac:dyDescent="0.45">
      <c r="AC484" t="s">
        <v>19</v>
      </c>
      <c r="AD484" t="s">
        <v>696</v>
      </c>
      <c r="AE484">
        <v>1.1563569265120496E-4</v>
      </c>
    </row>
    <row r="485" spans="29:31" x14ac:dyDescent="0.45">
      <c r="AC485" t="s">
        <v>19</v>
      </c>
      <c r="AD485" t="s">
        <v>697</v>
      </c>
      <c r="AE485">
        <v>1.1559406021901346E-4</v>
      </c>
    </row>
    <row r="486" spans="29:31" x14ac:dyDescent="0.45">
      <c r="AC486" t="s">
        <v>19</v>
      </c>
      <c r="AD486" t="s">
        <v>698</v>
      </c>
      <c r="AE486">
        <v>1.1539289987619718E-4</v>
      </c>
    </row>
    <row r="487" spans="29:31" x14ac:dyDescent="0.45">
      <c r="AC487" t="s">
        <v>19</v>
      </c>
      <c r="AD487" t="s">
        <v>699</v>
      </c>
      <c r="AE487">
        <v>1.147954744742489E-4</v>
      </c>
    </row>
    <row r="488" spans="29:31" x14ac:dyDescent="0.45">
      <c r="AC488" t="s">
        <v>19</v>
      </c>
      <c r="AD488" t="s">
        <v>700</v>
      </c>
      <c r="AE488">
        <v>1.1415225339688997E-4</v>
      </c>
    </row>
    <row r="489" spans="29:31" x14ac:dyDescent="0.45">
      <c r="AC489" t="s">
        <v>19</v>
      </c>
      <c r="AD489" t="s">
        <v>701</v>
      </c>
      <c r="AE489">
        <v>1.1341763020703784E-4</v>
      </c>
    </row>
    <row r="490" spans="29:31" x14ac:dyDescent="0.45">
      <c r="AC490" t="s">
        <v>19</v>
      </c>
      <c r="AD490" t="s">
        <v>702</v>
      </c>
      <c r="AE490">
        <v>1.1275491758188015E-4</v>
      </c>
    </row>
    <row r="491" spans="29:31" x14ac:dyDescent="0.45">
      <c r="AC491" t="s">
        <v>19</v>
      </c>
      <c r="AD491" t="s">
        <v>326</v>
      </c>
      <c r="AE491">
        <v>2.4439674861368808E-2</v>
      </c>
    </row>
    <row r="492" spans="29:31" x14ac:dyDescent="0.45">
      <c r="AC492" t="s">
        <v>19</v>
      </c>
      <c r="AD492" t="s">
        <v>327</v>
      </c>
      <c r="AE492">
        <v>3.5519802367630954E-3</v>
      </c>
    </row>
    <row r="493" spans="29:31" x14ac:dyDescent="0.45">
      <c r="AC493" t="s">
        <v>19</v>
      </c>
      <c r="AD493" t="s">
        <v>328</v>
      </c>
      <c r="AE493">
        <v>7.1320585804889019E-3</v>
      </c>
    </row>
    <row r="494" spans="29:31" x14ac:dyDescent="0.45">
      <c r="AC494" t="s">
        <v>19</v>
      </c>
      <c r="AD494" t="s">
        <v>329</v>
      </c>
      <c r="AE494">
        <v>1.0711635821121786E-2</v>
      </c>
    </row>
    <row r="495" spans="29:31" x14ac:dyDescent="0.45">
      <c r="AC495" t="s">
        <v>19</v>
      </c>
      <c r="AD495" t="s">
        <v>330</v>
      </c>
      <c r="AE495">
        <v>3.569633712680596E-3</v>
      </c>
    </row>
    <row r="496" spans="29:31" x14ac:dyDescent="0.45">
      <c r="AC496" t="s">
        <v>19</v>
      </c>
      <c r="AD496" t="s">
        <v>331</v>
      </c>
      <c r="AE496">
        <v>7.1329040973390472E-3</v>
      </c>
    </row>
    <row r="497" spans="29:31" x14ac:dyDescent="0.45">
      <c r="AC497" t="s">
        <v>19</v>
      </c>
      <c r="AD497" t="s">
        <v>332</v>
      </c>
      <c r="AE497">
        <v>7.1296043486112131E-3</v>
      </c>
    </row>
    <row r="498" spans="29:31" x14ac:dyDescent="0.45">
      <c r="AC498" t="s">
        <v>19</v>
      </c>
      <c r="AD498" t="s">
        <v>333</v>
      </c>
      <c r="AE498">
        <v>2.1224910512777185E-2</v>
      </c>
    </row>
    <row r="499" spans="29:31" x14ac:dyDescent="0.45">
      <c r="AC499" t="s">
        <v>19</v>
      </c>
      <c r="AD499" t="s">
        <v>334</v>
      </c>
      <c r="AE499">
        <v>2.3639865001950183E-2</v>
      </c>
    </row>
    <row r="500" spans="29:31" x14ac:dyDescent="0.45">
      <c r="AC500" t="s">
        <v>19</v>
      </c>
      <c r="AD500" t="s">
        <v>335</v>
      </c>
      <c r="AE500">
        <v>3.4368288049173041E-3</v>
      </c>
    </row>
    <row r="501" spans="29:31" x14ac:dyDescent="0.45">
      <c r="AC501" t="s">
        <v>19</v>
      </c>
      <c r="AD501" t="s">
        <v>336</v>
      </c>
      <c r="AE501">
        <v>6.9044612571747838E-3</v>
      </c>
    </row>
    <row r="502" spans="29:31" x14ac:dyDescent="0.45">
      <c r="AC502" t="s">
        <v>19</v>
      </c>
      <c r="AD502" t="s">
        <v>337</v>
      </c>
      <c r="AE502">
        <v>1.0364577352276741E-2</v>
      </c>
    </row>
    <row r="503" spans="29:31" x14ac:dyDescent="0.45">
      <c r="AC503" t="s">
        <v>19</v>
      </c>
      <c r="AD503" t="s">
        <v>338</v>
      </c>
      <c r="AE503">
        <v>3.453622003395065E-3</v>
      </c>
    </row>
    <row r="504" spans="29:31" x14ac:dyDescent="0.45">
      <c r="AC504" t="s">
        <v>19</v>
      </c>
      <c r="AD504" t="s">
        <v>339</v>
      </c>
      <c r="AE504">
        <v>6.9025575195936625E-3</v>
      </c>
    </row>
    <row r="505" spans="29:31" x14ac:dyDescent="0.45">
      <c r="AC505" t="s">
        <v>19</v>
      </c>
      <c r="AD505" t="s">
        <v>340</v>
      </c>
      <c r="AE505">
        <v>6.8994943187760073E-3</v>
      </c>
    </row>
    <row r="506" spans="29:31" x14ac:dyDescent="0.45">
      <c r="AC506" t="s">
        <v>19</v>
      </c>
      <c r="AD506" t="s">
        <v>341</v>
      </c>
      <c r="AE506">
        <v>2.0524194834584737E-2</v>
      </c>
    </row>
    <row r="507" spans="29:31" x14ac:dyDescent="0.45">
      <c r="AC507" t="s">
        <v>19</v>
      </c>
      <c r="AD507" t="s">
        <v>703</v>
      </c>
      <c r="AE507">
        <v>1.1301955090174058E-4</v>
      </c>
    </row>
    <row r="508" spans="29:31" x14ac:dyDescent="0.45">
      <c r="AC508" t="s">
        <v>19</v>
      </c>
      <c r="AD508" t="s">
        <v>704</v>
      </c>
      <c r="AE508">
        <v>1.125790040738231E-4</v>
      </c>
    </row>
    <row r="509" spans="29:31" x14ac:dyDescent="0.45">
      <c r="AC509" t="s">
        <v>19</v>
      </c>
      <c r="AD509" t="s">
        <v>705</v>
      </c>
      <c r="AE509">
        <v>1.1247113822678142E-4</v>
      </c>
    </row>
    <row r="510" spans="29:31" x14ac:dyDescent="0.45">
      <c r="AC510" t="s">
        <v>19</v>
      </c>
      <c r="AD510" t="s">
        <v>706</v>
      </c>
      <c r="AE510">
        <v>1.1229287572167049E-4</v>
      </c>
    </row>
    <row r="511" spans="29:31" x14ac:dyDescent="0.45">
      <c r="AC511" t="s">
        <v>19</v>
      </c>
      <c r="AD511" t="s">
        <v>707</v>
      </c>
      <c r="AE511">
        <v>1.1270560451535093E-4</v>
      </c>
    </row>
    <row r="512" spans="29:31" x14ac:dyDescent="0.45">
      <c r="AC512" t="s">
        <v>19</v>
      </c>
      <c r="AD512" t="s">
        <v>708</v>
      </c>
      <c r="AE512">
        <v>1.1386942023343197E-4</v>
      </c>
    </row>
    <row r="513" spans="29:31" x14ac:dyDescent="0.45">
      <c r="AC513" t="s">
        <v>19</v>
      </c>
      <c r="AD513" t="s">
        <v>709</v>
      </c>
      <c r="AE513">
        <v>1.1488638700887381E-4</v>
      </c>
    </row>
    <row r="514" spans="29:31" x14ac:dyDescent="0.45">
      <c r="AC514" t="s">
        <v>19</v>
      </c>
      <c r="AD514" t="s">
        <v>710</v>
      </c>
      <c r="AE514">
        <v>1.1554190857756206E-4</v>
      </c>
    </row>
    <row r="515" spans="29:31" x14ac:dyDescent="0.45">
      <c r="AC515" t="s">
        <v>19</v>
      </c>
      <c r="AD515" t="s">
        <v>711</v>
      </c>
      <c r="AE515">
        <v>1.1583314636457454E-4</v>
      </c>
    </row>
    <row r="516" spans="29:31" x14ac:dyDescent="0.45">
      <c r="AC516" t="s">
        <v>19</v>
      </c>
      <c r="AD516" t="s">
        <v>712</v>
      </c>
      <c r="AE516">
        <v>1.1609580916403739E-4</v>
      </c>
    </row>
    <row r="517" spans="29:31" x14ac:dyDescent="0.45">
      <c r="AC517" t="s">
        <v>19</v>
      </c>
      <c r="AD517" t="s">
        <v>713</v>
      </c>
      <c r="AE517">
        <v>1.1617301840191984E-4</v>
      </c>
    </row>
    <row r="518" spans="29:31" x14ac:dyDescent="0.45">
      <c r="AC518" t="s">
        <v>19</v>
      </c>
      <c r="AD518" t="s">
        <v>714</v>
      </c>
      <c r="AE518">
        <v>1.1617642469182642E-4</v>
      </c>
    </row>
    <row r="519" spans="29:31" x14ac:dyDescent="0.45">
      <c r="AC519" t="s">
        <v>19</v>
      </c>
      <c r="AD519" t="s">
        <v>715</v>
      </c>
      <c r="AE519">
        <v>1.1628466901552435E-4</v>
      </c>
    </row>
    <row r="520" spans="29:31" x14ac:dyDescent="0.45">
      <c r="AC520" t="s">
        <v>19</v>
      </c>
      <c r="AD520" t="s">
        <v>716</v>
      </c>
      <c r="AE520">
        <v>1.161995117678599E-4</v>
      </c>
    </row>
    <row r="521" spans="29:31" x14ac:dyDescent="0.45">
      <c r="AC521" t="s">
        <v>19</v>
      </c>
      <c r="AD521" t="s">
        <v>717</v>
      </c>
      <c r="AE521">
        <v>1.1603525289903155E-4</v>
      </c>
    </row>
    <row r="522" spans="29:31" x14ac:dyDescent="0.45">
      <c r="AC522" t="s">
        <v>19</v>
      </c>
      <c r="AD522" t="s">
        <v>718</v>
      </c>
      <c r="AE522">
        <v>1.1594025525830363E-4</v>
      </c>
    </row>
    <row r="523" spans="29:31" x14ac:dyDescent="0.45">
      <c r="AC523" t="s">
        <v>19</v>
      </c>
      <c r="AD523" t="s">
        <v>719</v>
      </c>
      <c r="AE523">
        <v>1.1588972862468938E-4</v>
      </c>
    </row>
    <row r="524" spans="29:31" x14ac:dyDescent="0.45">
      <c r="AC524" t="s">
        <v>19</v>
      </c>
      <c r="AD524" t="s">
        <v>720</v>
      </c>
      <c r="AE524">
        <v>1.1588972862468938E-4</v>
      </c>
    </row>
    <row r="525" spans="29:31" x14ac:dyDescent="0.45">
      <c r="AC525" t="s">
        <v>19</v>
      </c>
      <c r="AD525" t="s">
        <v>721</v>
      </c>
      <c r="AE525">
        <v>1.1583522798618412E-4</v>
      </c>
    </row>
    <row r="526" spans="29:31" x14ac:dyDescent="0.45">
      <c r="AC526" t="s">
        <v>19</v>
      </c>
      <c r="AD526" t="s">
        <v>722</v>
      </c>
      <c r="AE526">
        <v>1.1566737358912104E-4</v>
      </c>
    </row>
    <row r="527" spans="29:31" x14ac:dyDescent="0.45">
      <c r="AC527" t="s">
        <v>19</v>
      </c>
      <c r="AD527" t="s">
        <v>723</v>
      </c>
      <c r="AE527">
        <v>1.1510798509112958E-4</v>
      </c>
    </row>
    <row r="528" spans="29:31" x14ac:dyDescent="0.45">
      <c r="AC528" t="s">
        <v>19</v>
      </c>
      <c r="AD528" t="s">
        <v>724</v>
      </c>
      <c r="AE528">
        <v>1.1481031320096024E-4</v>
      </c>
    </row>
    <row r="529" spans="29:31" x14ac:dyDescent="0.45">
      <c r="AC529" t="s">
        <v>19</v>
      </c>
      <c r="AD529" t="s">
        <v>725</v>
      </c>
      <c r="AE529">
        <v>1.1466592435658692E-4</v>
      </c>
    </row>
    <row r="530" spans="29:31" x14ac:dyDescent="0.45">
      <c r="AC530" t="s">
        <v>19</v>
      </c>
      <c r="AD530" t="s">
        <v>726</v>
      </c>
      <c r="AE530">
        <v>1.1414230190261454E-4</v>
      </c>
    </row>
    <row r="531" spans="29:31" x14ac:dyDescent="0.45">
      <c r="AC531" t="s">
        <v>19</v>
      </c>
      <c r="AD531" t="s">
        <v>366</v>
      </c>
      <c r="AE531">
        <v>2.2059550260080902E-2</v>
      </c>
    </row>
    <row r="532" spans="29:31" x14ac:dyDescent="0.45">
      <c r="AC532" t="s">
        <v>19</v>
      </c>
      <c r="AD532" t="s">
        <v>367</v>
      </c>
      <c r="AE532">
        <v>3.2086527933901181E-3</v>
      </c>
    </row>
    <row r="533" spans="29:31" x14ac:dyDescent="0.45">
      <c r="AC533" t="s">
        <v>19</v>
      </c>
      <c r="AD533" t="s">
        <v>368</v>
      </c>
      <c r="AE533">
        <v>6.4457096921195552E-3</v>
      </c>
    </row>
    <row r="534" spans="29:31" x14ac:dyDescent="0.45">
      <c r="AC534" t="s">
        <v>19</v>
      </c>
      <c r="AD534" t="s">
        <v>369</v>
      </c>
      <c r="AE534">
        <v>9.6716662489967648E-3</v>
      </c>
    </row>
    <row r="535" spans="29:31" x14ac:dyDescent="0.45">
      <c r="AC535" t="s">
        <v>19</v>
      </c>
      <c r="AD535" t="s">
        <v>370</v>
      </c>
      <c r="AE535">
        <v>3.2219199140995857E-3</v>
      </c>
    </row>
    <row r="536" spans="29:31" x14ac:dyDescent="0.45">
      <c r="AC536" t="s">
        <v>19</v>
      </c>
      <c r="AD536" t="s">
        <v>371</v>
      </c>
      <c r="AE536">
        <v>6.4400817442405748E-3</v>
      </c>
    </row>
    <row r="537" spans="29:31" x14ac:dyDescent="0.45">
      <c r="AC537" t="s">
        <v>19</v>
      </c>
      <c r="AD537" t="s">
        <v>372</v>
      </c>
      <c r="AE537">
        <v>6.4387038999733637E-3</v>
      </c>
    </row>
    <row r="538" spans="29:31" x14ac:dyDescent="0.45">
      <c r="AC538" t="s">
        <v>19</v>
      </c>
      <c r="AD538" t="s">
        <v>373</v>
      </c>
      <c r="AE538">
        <v>1.9155088049549681E-2</v>
      </c>
    </row>
    <row r="539" spans="29:31" x14ac:dyDescent="0.45">
      <c r="AC539" t="s">
        <v>19</v>
      </c>
      <c r="AD539" t="s">
        <v>727</v>
      </c>
      <c r="AE539">
        <v>1.1229342207103722E-4</v>
      </c>
    </row>
    <row r="540" spans="29:31" x14ac:dyDescent="0.45">
      <c r="AC540" t="s">
        <v>19</v>
      </c>
      <c r="AD540" t="s">
        <v>728</v>
      </c>
      <c r="AE540">
        <v>1.1221072492163863E-4</v>
      </c>
    </row>
    <row r="541" spans="29:31" x14ac:dyDescent="0.45">
      <c r="AC541" t="s">
        <v>19</v>
      </c>
      <c r="AD541" t="s">
        <v>729</v>
      </c>
      <c r="AE541">
        <v>1.1221072492163863E-4</v>
      </c>
    </row>
    <row r="542" spans="29:31" x14ac:dyDescent="0.45">
      <c r="AC542" t="s">
        <v>19</v>
      </c>
      <c r="AD542" t="s">
        <v>730</v>
      </c>
      <c r="AE542">
        <v>1.1228717720620851E-4</v>
      </c>
    </row>
    <row r="543" spans="29:31" x14ac:dyDescent="0.45">
      <c r="AC543" t="s">
        <v>19</v>
      </c>
      <c r="AD543" t="s">
        <v>731</v>
      </c>
      <c r="AE543">
        <v>1.1277597980780254E-4</v>
      </c>
    </row>
    <row r="544" spans="29:31" x14ac:dyDescent="0.45">
      <c r="AC544" t="s">
        <v>19</v>
      </c>
      <c r="AD544" t="s">
        <v>732</v>
      </c>
      <c r="AE544">
        <v>1.1393014437114824E-4</v>
      </c>
    </row>
    <row r="545" spans="29:31" x14ac:dyDescent="0.45">
      <c r="AC545" t="s">
        <v>19</v>
      </c>
      <c r="AD545" t="s">
        <v>733</v>
      </c>
      <c r="AE545">
        <v>1.148070747837641E-4</v>
      </c>
    </row>
    <row r="546" spans="29:31" x14ac:dyDescent="0.45">
      <c r="AC546" t="s">
        <v>19</v>
      </c>
      <c r="AD546" t="s">
        <v>734</v>
      </c>
      <c r="AE546">
        <v>1.1544878195449789E-4</v>
      </c>
    </row>
    <row r="547" spans="29:31" x14ac:dyDescent="0.45">
      <c r="AC547" t="s">
        <v>19</v>
      </c>
      <c r="AD547" t="s">
        <v>735</v>
      </c>
      <c r="AE547">
        <v>1.1579584504831264E-4</v>
      </c>
    </row>
    <row r="548" spans="29:31" x14ac:dyDescent="0.45">
      <c r="AC548" t="s">
        <v>19</v>
      </c>
      <c r="AD548" t="s">
        <v>736</v>
      </c>
      <c r="AE548">
        <v>1.1578411227196775E-4</v>
      </c>
    </row>
    <row r="549" spans="29:31" x14ac:dyDescent="0.45">
      <c r="AC549" t="s">
        <v>19</v>
      </c>
      <c r="AD549" t="s">
        <v>737</v>
      </c>
      <c r="AE549">
        <v>1.1579243875840606E-4</v>
      </c>
    </row>
    <row r="550" spans="29:31" x14ac:dyDescent="0.45">
      <c r="AC550" t="s">
        <v>19</v>
      </c>
      <c r="AD550" t="s">
        <v>738</v>
      </c>
      <c r="AE550">
        <v>1.1578411227196775E-4</v>
      </c>
    </row>
    <row r="551" spans="29:31" x14ac:dyDescent="0.45">
      <c r="AC551" t="s">
        <v>19</v>
      </c>
      <c r="AD551" t="s">
        <v>739</v>
      </c>
      <c r="AE551">
        <v>1.1583198956898801E-4</v>
      </c>
    </row>
    <row r="552" spans="29:31" x14ac:dyDescent="0.45">
      <c r="AC552" t="s">
        <v>19</v>
      </c>
      <c r="AD552" t="s">
        <v>740</v>
      </c>
      <c r="AE552">
        <v>1.158136334511581E-4</v>
      </c>
    </row>
    <row r="553" spans="29:31" x14ac:dyDescent="0.45">
      <c r="AC553" t="s">
        <v>19</v>
      </c>
      <c r="AD553" t="s">
        <v>741</v>
      </c>
      <c r="AE553">
        <v>1.1570576760411645E-4</v>
      </c>
    </row>
    <row r="554" spans="29:31" x14ac:dyDescent="0.45">
      <c r="AC554" t="s">
        <v>19</v>
      </c>
      <c r="AD554" t="s">
        <v>742</v>
      </c>
      <c r="AE554">
        <v>1.1570576760411645E-4</v>
      </c>
    </row>
    <row r="555" spans="29:31" x14ac:dyDescent="0.45">
      <c r="AC555" t="s">
        <v>19</v>
      </c>
      <c r="AD555" t="s">
        <v>743</v>
      </c>
      <c r="AE555">
        <v>1.1567113699006623E-4</v>
      </c>
    </row>
    <row r="556" spans="29:31" x14ac:dyDescent="0.45">
      <c r="AC556" t="s">
        <v>19</v>
      </c>
      <c r="AD556" t="s">
        <v>744</v>
      </c>
      <c r="AE556">
        <v>1.1561531168326397E-4</v>
      </c>
    </row>
    <row r="557" spans="29:31" x14ac:dyDescent="0.45">
      <c r="AC557" t="s">
        <v>19</v>
      </c>
      <c r="AD557" t="s">
        <v>745</v>
      </c>
      <c r="AE557">
        <v>1.1553677777708452E-4</v>
      </c>
    </row>
    <row r="558" spans="29:31" x14ac:dyDescent="0.45">
      <c r="AC558" t="s">
        <v>19</v>
      </c>
      <c r="AD558" t="s">
        <v>746</v>
      </c>
      <c r="AE558">
        <v>1.1539447055432078E-4</v>
      </c>
    </row>
    <row r="559" spans="29:31" x14ac:dyDescent="0.45">
      <c r="AC559" t="s">
        <v>19</v>
      </c>
      <c r="AD559" t="s">
        <v>747</v>
      </c>
      <c r="AE559">
        <v>1.14954869918044E-4</v>
      </c>
    </row>
    <row r="560" spans="29:31" x14ac:dyDescent="0.45">
      <c r="AC560" t="s">
        <v>19</v>
      </c>
      <c r="AD560" t="s">
        <v>748</v>
      </c>
      <c r="AE560">
        <v>1.1447079827465354E-4</v>
      </c>
    </row>
    <row r="561" spans="29:31" x14ac:dyDescent="0.45">
      <c r="AC561" t="s">
        <v>19</v>
      </c>
      <c r="AD561" t="s">
        <v>749</v>
      </c>
      <c r="AE561">
        <v>1.1348108181846431E-4</v>
      </c>
    </row>
    <row r="562" spans="29:31" x14ac:dyDescent="0.45">
      <c r="AC562" t="s">
        <v>19</v>
      </c>
      <c r="AD562" t="s">
        <v>750</v>
      </c>
      <c r="AE562">
        <v>1.1278941572910069E-4</v>
      </c>
    </row>
    <row r="563" spans="29:31" x14ac:dyDescent="0.45">
      <c r="AC563" t="s">
        <v>19</v>
      </c>
      <c r="AD563" t="s">
        <v>751</v>
      </c>
      <c r="AE563">
        <v>1.1229342207103722E-4</v>
      </c>
    </row>
    <row r="564" spans="29:31" x14ac:dyDescent="0.45">
      <c r="AC564" t="s">
        <v>19</v>
      </c>
      <c r="AD564" t="s">
        <v>752</v>
      </c>
      <c r="AE564">
        <v>1.1221072492163863E-4</v>
      </c>
    </row>
    <row r="565" spans="29:31" x14ac:dyDescent="0.45">
      <c r="AC565" t="s">
        <v>19</v>
      </c>
      <c r="AD565" t="s">
        <v>753</v>
      </c>
      <c r="AE565">
        <v>1.1221072492163863E-4</v>
      </c>
    </row>
    <row r="566" spans="29:31" x14ac:dyDescent="0.45">
      <c r="AC566" t="s">
        <v>19</v>
      </c>
      <c r="AD566" t="s">
        <v>754</v>
      </c>
      <c r="AE566">
        <v>1.1228717720620851E-4</v>
      </c>
    </row>
    <row r="567" spans="29:31" x14ac:dyDescent="0.45">
      <c r="AC567" t="s">
        <v>19</v>
      </c>
      <c r="AD567" t="s">
        <v>755</v>
      </c>
      <c r="AE567">
        <v>1.1278979420575699E-4</v>
      </c>
    </row>
    <row r="568" spans="29:31" x14ac:dyDescent="0.45">
      <c r="AC568" t="s">
        <v>19</v>
      </c>
      <c r="AD568" t="s">
        <v>756</v>
      </c>
      <c r="AE568">
        <v>1.1394376953077458E-4</v>
      </c>
    </row>
    <row r="569" spans="29:31" x14ac:dyDescent="0.45">
      <c r="AC569" t="s">
        <v>19</v>
      </c>
      <c r="AD569" t="s">
        <v>757</v>
      </c>
      <c r="AE569">
        <v>1.1482069994339041E-4</v>
      </c>
    </row>
    <row r="570" spans="29:31" x14ac:dyDescent="0.45">
      <c r="AC570" t="s">
        <v>19</v>
      </c>
      <c r="AD570" t="s">
        <v>758</v>
      </c>
      <c r="AE570">
        <v>1.1541093428886925E-4</v>
      </c>
    </row>
    <row r="571" spans="29:31" x14ac:dyDescent="0.45">
      <c r="AC571" t="s">
        <v>19</v>
      </c>
      <c r="AD571" t="s">
        <v>759</v>
      </c>
      <c r="AE571">
        <v>1.1579887286156294E-4</v>
      </c>
    </row>
    <row r="572" spans="29:31" x14ac:dyDescent="0.45">
      <c r="AC572" t="s">
        <v>19</v>
      </c>
      <c r="AD572" t="s">
        <v>760</v>
      </c>
      <c r="AE572">
        <v>1.1580379305809463E-4</v>
      </c>
    </row>
    <row r="573" spans="29:31" x14ac:dyDescent="0.45">
      <c r="AC573" t="s">
        <v>19</v>
      </c>
      <c r="AD573" t="s">
        <v>761</v>
      </c>
      <c r="AE573">
        <v>1.1579792666992221E-4</v>
      </c>
    </row>
    <row r="574" spans="29:31" x14ac:dyDescent="0.45">
      <c r="AC574" t="s">
        <v>19</v>
      </c>
      <c r="AD574" t="s">
        <v>762</v>
      </c>
      <c r="AE574">
        <v>1.1576518843915341E-4</v>
      </c>
    </row>
    <row r="575" spans="29:31" x14ac:dyDescent="0.45">
      <c r="AC575" t="s">
        <v>19</v>
      </c>
      <c r="AD575" t="s">
        <v>763</v>
      </c>
      <c r="AE575">
        <v>1.1576518843915341E-4</v>
      </c>
    </row>
    <row r="576" spans="29:31" x14ac:dyDescent="0.45">
      <c r="AC576" t="s">
        <v>19</v>
      </c>
      <c r="AD576" t="s">
        <v>764</v>
      </c>
      <c r="AE576">
        <v>1.1567378632666023E-4</v>
      </c>
    </row>
    <row r="577" spans="29:31" x14ac:dyDescent="0.45">
      <c r="AC577" t="s">
        <v>19</v>
      </c>
      <c r="AD577" t="s">
        <v>765</v>
      </c>
      <c r="AE577">
        <v>1.1559865871038736E-4</v>
      </c>
    </row>
    <row r="578" spans="29:31" x14ac:dyDescent="0.45">
      <c r="AC578" t="s">
        <v>19</v>
      </c>
      <c r="AD578" t="s">
        <v>766</v>
      </c>
      <c r="AE578">
        <v>1.1559865871038736E-4</v>
      </c>
    </row>
    <row r="579" spans="29:31" x14ac:dyDescent="0.45">
      <c r="AC579" t="s">
        <v>19</v>
      </c>
      <c r="AD579" t="s">
        <v>767</v>
      </c>
      <c r="AE579">
        <v>1.1557670706432275E-4</v>
      </c>
    </row>
    <row r="580" spans="29:31" x14ac:dyDescent="0.45">
      <c r="AC580" t="s">
        <v>19</v>
      </c>
      <c r="AD580" t="s">
        <v>768</v>
      </c>
      <c r="AE580">
        <v>1.1557670706432275E-4</v>
      </c>
    </row>
    <row r="581" spans="29:31" x14ac:dyDescent="0.45">
      <c r="AC581" t="s">
        <v>19</v>
      </c>
      <c r="AD581" t="s">
        <v>769</v>
      </c>
      <c r="AE581">
        <v>1.1554226568860068E-4</v>
      </c>
    </row>
    <row r="582" spans="29:31" x14ac:dyDescent="0.45">
      <c r="AC582" t="s">
        <v>19</v>
      </c>
      <c r="AD582" t="s">
        <v>770</v>
      </c>
      <c r="AE582">
        <v>1.1538027767971005E-4</v>
      </c>
    </row>
    <row r="583" spans="29:31" x14ac:dyDescent="0.45">
      <c r="AC583" t="s">
        <v>19</v>
      </c>
      <c r="AD583" t="s">
        <v>771</v>
      </c>
      <c r="AE583">
        <v>1.1491077738758662E-4</v>
      </c>
    </row>
    <row r="584" spans="29:31" x14ac:dyDescent="0.45">
      <c r="AC584" t="s">
        <v>19</v>
      </c>
      <c r="AD584" t="s">
        <v>772</v>
      </c>
      <c r="AE584">
        <v>1.1441989316438301E-4</v>
      </c>
    </row>
    <row r="585" spans="29:31" x14ac:dyDescent="0.45">
      <c r="AC585" t="s">
        <v>19</v>
      </c>
      <c r="AD585" t="s">
        <v>773</v>
      </c>
      <c r="AE585">
        <v>1.1339478914083097E-4</v>
      </c>
    </row>
    <row r="586" spans="29:31" x14ac:dyDescent="0.45">
      <c r="AC586" t="s">
        <v>19</v>
      </c>
      <c r="AD586" t="s">
        <v>774</v>
      </c>
      <c r="AE586">
        <v>1.1274248462372117E-4</v>
      </c>
    </row>
    <row r="587" spans="29:31" x14ac:dyDescent="0.45">
      <c r="AC587" t="s">
        <v>19</v>
      </c>
      <c r="AD587" t="s">
        <v>398</v>
      </c>
      <c r="AE587">
        <v>2.3636043239294163E-2</v>
      </c>
    </row>
    <row r="588" spans="29:31" x14ac:dyDescent="0.45">
      <c r="AC588" t="s">
        <v>19</v>
      </c>
      <c r="AD588" t="s">
        <v>399</v>
      </c>
      <c r="AE588">
        <v>3.4394282772118442E-3</v>
      </c>
    </row>
    <row r="589" spans="29:31" x14ac:dyDescent="0.45">
      <c r="AC589" t="s">
        <v>19</v>
      </c>
      <c r="AD589" t="s">
        <v>400</v>
      </c>
      <c r="AE589">
        <v>6.9105732766971545E-3</v>
      </c>
    </row>
    <row r="590" spans="29:31" x14ac:dyDescent="0.45">
      <c r="AC590" t="s">
        <v>19</v>
      </c>
      <c r="AD590" t="s">
        <v>401</v>
      </c>
      <c r="AE590">
        <v>1.0365086876475268E-2</v>
      </c>
    </row>
    <row r="591" spans="29:31" x14ac:dyDescent="0.45">
      <c r="AC591" t="s">
        <v>19</v>
      </c>
      <c r="AD591" t="s">
        <v>402</v>
      </c>
      <c r="AE591">
        <v>3.4524514697163353E-3</v>
      </c>
    </row>
    <row r="592" spans="29:31" x14ac:dyDescent="0.45">
      <c r="AC592" t="s">
        <v>19</v>
      </c>
      <c r="AD592" t="s">
        <v>403</v>
      </c>
      <c r="AE592">
        <v>6.9011554528204495E-3</v>
      </c>
    </row>
    <row r="593" spans="29:31" x14ac:dyDescent="0.45">
      <c r="AC593" t="s">
        <v>19</v>
      </c>
      <c r="AD593" t="s">
        <v>404</v>
      </c>
      <c r="AE593">
        <v>6.9015609905576604E-3</v>
      </c>
    </row>
    <row r="594" spans="29:31" x14ac:dyDescent="0.45">
      <c r="AC594" t="s">
        <v>19</v>
      </c>
      <c r="AD594" t="s">
        <v>405</v>
      </c>
      <c r="AE594">
        <v>2.0532016811640214E-2</v>
      </c>
    </row>
    <row r="595" spans="29:31" x14ac:dyDescent="0.45">
      <c r="AC595" t="s">
        <v>19</v>
      </c>
      <c r="AD595" t="s">
        <v>775</v>
      </c>
      <c r="AE595">
        <v>1.1223125026011064E-4</v>
      </c>
    </row>
    <row r="596" spans="29:31" x14ac:dyDescent="0.45">
      <c r="AC596" t="s">
        <v>19</v>
      </c>
      <c r="AD596" t="s">
        <v>776</v>
      </c>
      <c r="AE596">
        <v>1.1214855311071203E-4</v>
      </c>
    </row>
    <row r="597" spans="29:31" x14ac:dyDescent="0.45">
      <c r="AC597" t="s">
        <v>19</v>
      </c>
      <c r="AD597" t="s">
        <v>777</v>
      </c>
      <c r="AE597">
        <v>1.1214855311071203E-4</v>
      </c>
    </row>
    <row r="598" spans="29:31" x14ac:dyDescent="0.45">
      <c r="AC598" t="s">
        <v>19</v>
      </c>
      <c r="AD598" t="s">
        <v>778</v>
      </c>
      <c r="AE598">
        <v>1.1219983669763884E-4</v>
      </c>
    </row>
    <row r="599" spans="29:31" x14ac:dyDescent="0.45">
      <c r="AC599" t="s">
        <v>19</v>
      </c>
      <c r="AD599" t="s">
        <v>779</v>
      </c>
      <c r="AE599">
        <v>1.1275392652244231E-4</v>
      </c>
    </row>
    <row r="600" spans="29:31" x14ac:dyDescent="0.45">
      <c r="AC600" t="s">
        <v>19</v>
      </c>
      <c r="AD600" t="s">
        <v>780</v>
      </c>
      <c r="AE600">
        <v>1.1392890730188379E-4</v>
      </c>
    </row>
    <row r="601" spans="29:31" x14ac:dyDescent="0.45">
      <c r="AC601" t="s">
        <v>19</v>
      </c>
      <c r="AD601" t="s">
        <v>781</v>
      </c>
      <c r="AE601">
        <v>1.1481019019604695E-4</v>
      </c>
    </row>
    <row r="602" spans="29:31" x14ac:dyDescent="0.45">
      <c r="AC602" t="s">
        <v>19</v>
      </c>
      <c r="AD602" t="s">
        <v>782</v>
      </c>
      <c r="AE602">
        <v>1.1542218694926224E-4</v>
      </c>
    </row>
    <row r="603" spans="29:31" x14ac:dyDescent="0.45">
      <c r="AC603" t="s">
        <v>19</v>
      </c>
      <c r="AD603" t="s">
        <v>783</v>
      </c>
      <c r="AE603">
        <v>1.1581334257353437E-4</v>
      </c>
    </row>
    <row r="604" spans="29:31" x14ac:dyDescent="0.45">
      <c r="AC604" t="s">
        <v>19</v>
      </c>
      <c r="AD604" t="s">
        <v>784</v>
      </c>
      <c r="AE604">
        <v>1.1582753544814511E-4</v>
      </c>
    </row>
    <row r="605" spans="29:31" x14ac:dyDescent="0.45">
      <c r="AC605" t="s">
        <v>19</v>
      </c>
      <c r="AD605" t="s">
        <v>785</v>
      </c>
      <c r="AE605">
        <v>1.157802258661093E-4</v>
      </c>
    </row>
    <row r="606" spans="29:31" x14ac:dyDescent="0.45">
      <c r="AC606" t="s">
        <v>19</v>
      </c>
      <c r="AD606" t="s">
        <v>786</v>
      </c>
      <c r="AE606">
        <v>1.1575959888834168E-4</v>
      </c>
    </row>
    <row r="607" spans="29:31" x14ac:dyDescent="0.45">
      <c r="AC607" t="s">
        <v>19</v>
      </c>
      <c r="AD607" t="s">
        <v>787</v>
      </c>
      <c r="AE607">
        <v>1.1574464906041835E-4</v>
      </c>
    </row>
    <row r="608" spans="29:31" x14ac:dyDescent="0.45">
      <c r="AC608" t="s">
        <v>19</v>
      </c>
      <c r="AD608" t="s">
        <v>788</v>
      </c>
      <c r="AE608">
        <v>1.1564643436811201E-4</v>
      </c>
    </row>
    <row r="609" spans="29:31" x14ac:dyDescent="0.45">
      <c r="AC609" t="s">
        <v>19</v>
      </c>
      <c r="AD609" t="s">
        <v>789</v>
      </c>
      <c r="AE609">
        <v>1.1557130675183913E-4</v>
      </c>
    </row>
    <row r="610" spans="29:31" x14ac:dyDescent="0.45">
      <c r="AC610" t="s">
        <v>19</v>
      </c>
      <c r="AD610" t="s">
        <v>790</v>
      </c>
      <c r="AE610">
        <v>1.1562618586700067E-4</v>
      </c>
    </row>
    <row r="611" spans="29:31" x14ac:dyDescent="0.45">
      <c r="AC611" t="s">
        <v>19</v>
      </c>
      <c r="AD611" t="s">
        <v>791</v>
      </c>
      <c r="AE611">
        <v>1.1563526930675155E-4</v>
      </c>
    </row>
    <row r="612" spans="29:31" x14ac:dyDescent="0.45">
      <c r="AC612" t="s">
        <v>19</v>
      </c>
      <c r="AD612" t="s">
        <v>792</v>
      </c>
      <c r="AE612">
        <v>1.1564473122315872E-4</v>
      </c>
    </row>
    <row r="613" spans="29:31" x14ac:dyDescent="0.45">
      <c r="AC613" t="s">
        <v>19</v>
      </c>
      <c r="AD613" t="s">
        <v>793</v>
      </c>
      <c r="AE613">
        <v>1.1561464232898394E-4</v>
      </c>
    </row>
    <row r="614" spans="29:31" x14ac:dyDescent="0.45">
      <c r="AC614" t="s">
        <v>19</v>
      </c>
      <c r="AD614" t="s">
        <v>794</v>
      </c>
      <c r="AE614">
        <v>1.1530845471404814E-4</v>
      </c>
    </row>
    <row r="615" spans="29:31" x14ac:dyDescent="0.45">
      <c r="AC615" t="s">
        <v>19</v>
      </c>
      <c r="AD615" t="s">
        <v>795</v>
      </c>
      <c r="AE615">
        <v>1.1459824326852649E-4</v>
      </c>
    </row>
    <row r="616" spans="29:31" x14ac:dyDescent="0.45">
      <c r="AC616" t="s">
        <v>19</v>
      </c>
      <c r="AD616" t="s">
        <v>796</v>
      </c>
      <c r="AE616">
        <v>1.1407518852953853E-4</v>
      </c>
    </row>
    <row r="617" spans="29:31" x14ac:dyDescent="0.45">
      <c r="AC617" t="s">
        <v>19</v>
      </c>
      <c r="AD617" t="s">
        <v>797</v>
      </c>
      <c r="AE617">
        <v>1.1330101452910446E-4</v>
      </c>
    </row>
    <row r="618" spans="29:31" x14ac:dyDescent="0.45">
      <c r="AC618" t="s">
        <v>19</v>
      </c>
      <c r="AD618" t="s">
        <v>798</v>
      </c>
      <c r="AE618">
        <v>1.1264871001199466E-4</v>
      </c>
    </row>
    <row r="619" spans="29:31" x14ac:dyDescent="0.45">
      <c r="AC619" t="s">
        <v>19</v>
      </c>
      <c r="AD619" t="s">
        <v>406</v>
      </c>
      <c r="AE619">
        <v>2.3601944688261496E-2</v>
      </c>
    </row>
    <row r="620" spans="29:31" x14ac:dyDescent="0.45">
      <c r="AC620" t="s">
        <v>19</v>
      </c>
      <c r="AD620" t="s">
        <v>407</v>
      </c>
      <c r="AE620">
        <v>3.4495549500944142E-3</v>
      </c>
    </row>
    <row r="621" spans="29:31" x14ac:dyDescent="0.45">
      <c r="AC621" t="s">
        <v>19</v>
      </c>
      <c r="AD621" t="s">
        <v>408</v>
      </c>
      <c r="AE621">
        <v>6.9240443207816407E-3</v>
      </c>
    </row>
    <row r="622" spans="29:31" x14ac:dyDescent="0.45">
      <c r="AC622" t="s">
        <v>19</v>
      </c>
      <c r="AD622" t="s">
        <v>409</v>
      </c>
      <c r="AE622">
        <v>1.0388103253298267E-2</v>
      </c>
    </row>
    <row r="623" spans="29:31" x14ac:dyDescent="0.45">
      <c r="AC623" t="s">
        <v>19</v>
      </c>
      <c r="AD623" t="s">
        <v>410</v>
      </c>
      <c r="AE623">
        <v>3.4605527247727878E-3</v>
      </c>
    </row>
    <row r="624" spans="29:31" x14ac:dyDescent="0.45">
      <c r="AC624" t="s">
        <v>19</v>
      </c>
      <c r="AD624" t="s">
        <v>411</v>
      </c>
      <c r="AE624">
        <v>6.9202010795753792E-3</v>
      </c>
    </row>
    <row r="625" spans="29:31" x14ac:dyDescent="0.45">
      <c r="AC625" t="s">
        <v>19</v>
      </c>
      <c r="AD625" t="s">
        <v>412</v>
      </c>
      <c r="AE625">
        <v>6.9308196206441536E-3</v>
      </c>
    </row>
    <row r="626" spans="29:31" x14ac:dyDescent="0.45">
      <c r="AC626" t="s">
        <v>19</v>
      </c>
      <c r="AD626" t="s">
        <v>413</v>
      </c>
      <c r="AE626">
        <v>2.054638336964636E-2</v>
      </c>
    </row>
    <row r="627" spans="29:31" x14ac:dyDescent="0.45">
      <c r="AC627" t="s">
        <v>19</v>
      </c>
      <c r="AD627" t="s">
        <v>414</v>
      </c>
      <c r="AE627">
        <v>2.4416657413212691E-2</v>
      </c>
    </row>
    <row r="628" spans="29:31" x14ac:dyDescent="0.45">
      <c r="AC628" t="s">
        <v>19</v>
      </c>
      <c r="AD628" t="s">
        <v>415</v>
      </c>
      <c r="AE628">
        <v>3.5659298573304079E-3</v>
      </c>
    </row>
    <row r="629" spans="29:31" x14ac:dyDescent="0.45">
      <c r="AC629" t="s">
        <v>19</v>
      </c>
      <c r="AD629" t="s">
        <v>416</v>
      </c>
      <c r="AE629">
        <v>7.1572589045875478E-3</v>
      </c>
    </row>
    <row r="630" spans="29:31" x14ac:dyDescent="0.45">
      <c r="AC630" t="s">
        <v>19</v>
      </c>
      <c r="AD630" t="s">
        <v>417</v>
      </c>
      <c r="AE630">
        <v>1.07309036300797E-2</v>
      </c>
    </row>
    <row r="631" spans="29:31" x14ac:dyDescent="0.45">
      <c r="AC631" t="s">
        <v>19</v>
      </c>
      <c r="AD631" t="s">
        <v>418</v>
      </c>
      <c r="AE631">
        <v>3.5727272980773136E-3</v>
      </c>
    </row>
    <row r="632" spans="29:31" x14ac:dyDescent="0.45">
      <c r="AC632" t="s">
        <v>19</v>
      </c>
      <c r="AD632" t="s">
        <v>419</v>
      </c>
      <c r="AE632">
        <v>7.1450759302600121E-3</v>
      </c>
    </row>
    <row r="633" spans="29:31" x14ac:dyDescent="0.45">
      <c r="AC633" t="s">
        <v>19</v>
      </c>
      <c r="AD633" t="s">
        <v>420</v>
      </c>
      <c r="AE633">
        <v>7.1618483125216771E-3</v>
      </c>
    </row>
    <row r="634" spans="29:31" x14ac:dyDescent="0.45">
      <c r="AC634" t="s">
        <v>19</v>
      </c>
      <c r="AD634" t="s">
        <v>421</v>
      </c>
      <c r="AE634">
        <v>2.1220864479047526E-2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D0DB-34B9-4159-97FB-63D40FC14F92}">
  <dimension ref="A9:AN92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106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433</v>
      </c>
      <c r="F11" t="s">
        <v>157</v>
      </c>
      <c r="G11" t="s">
        <v>158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2.0972050716527215E-2</v>
      </c>
      <c r="Q11" t="s">
        <v>254</v>
      </c>
      <c r="S11" t="s">
        <v>423</v>
      </c>
      <c r="T11" t="s">
        <v>253</v>
      </c>
      <c r="U11">
        <v>2.2191555986468769E-2</v>
      </c>
      <c r="V11" t="s">
        <v>254</v>
      </c>
      <c r="X11">
        <v>2.2374429223744292E-2</v>
      </c>
      <c r="Y11">
        <v>8.8360722306474754E-3</v>
      </c>
      <c r="Z11" t="s">
        <v>253</v>
      </c>
      <c r="AA11" t="s">
        <v>25</v>
      </c>
      <c r="AC11" t="s">
        <v>22</v>
      </c>
      <c r="AD11" t="s">
        <v>253</v>
      </c>
      <c r="AE11">
        <v>2.0384114622039439E-2</v>
      </c>
      <c r="AG11" t="s">
        <v>97</v>
      </c>
      <c r="AH11" t="s">
        <v>253</v>
      </c>
      <c r="AI11">
        <v>0.29487170642348404</v>
      </c>
    </row>
    <row r="12" spans="1:40" x14ac:dyDescent="0.45">
      <c r="C12" t="s">
        <v>159</v>
      </c>
      <c r="D12" t="s">
        <v>158</v>
      </c>
      <c r="E12" t="s">
        <v>434</v>
      </c>
      <c r="F12" t="s">
        <v>154</v>
      </c>
      <c r="G12" t="s">
        <v>158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2.9429088195184611E-3</v>
      </c>
      <c r="Q12" t="s">
        <v>254</v>
      </c>
      <c r="S12" t="s">
        <v>423</v>
      </c>
      <c r="T12" t="s">
        <v>255</v>
      </c>
      <c r="U12">
        <v>3.1723081233073565E-3</v>
      </c>
      <c r="V12" t="s">
        <v>254</v>
      </c>
      <c r="X12">
        <v>3.1963470319634705E-3</v>
      </c>
      <c r="Y12">
        <v>5.3369133746032542E-3</v>
      </c>
      <c r="Z12" t="s">
        <v>255</v>
      </c>
      <c r="AA12" t="s">
        <v>25</v>
      </c>
      <c r="AC12" t="s">
        <v>22</v>
      </c>
      <c r="AD12" t="s">
        <v>255</v>
      </c>
      <c r="AE12">
        <v>3.9722520558003894E-3</v>
      </c>
      <c r="AG12" t="s">
        <v>97</v>
      </c>
      <c r="AH12" t="s">
        <v>255</v>
      </c>
      <c r="AI12">
        <v>6.3766717948537499E-2</v>
      </c>
    </row>
    <row r="13" spans="1:40" x14ac:dyDescent="0.45">
      <c r="C13" t="s">
        <v>161</v>
      </c>
      <c r="D13" t="s">
        <v>162</v>
      </c>
      <c r="E13" t="s">
        <v>435</v>
      </c>
      <c r="F13" t="s">
        <v>154</v>
      </c>
      <c r="G13" t="s">
        <v>158</v>
      </c>
      <c r="I13" t="s">
        <v>252</v>
      </c>
      <c r="J13" t="s">
        <v>256</v>
      </c>
      <c r="K13">
        <v>3.8395822310692603E-3</v>
      </c>
      <c r="L13" t="s">
        <v>254</v>
      </c>
      <c r="N13" t="s">
        <v>422</v>
      </c>
      <c r="O13" t="s">
        <v>256</v>
      </c>
      <c r="P13">
        <v>5.7691149163711644E-3</v>
      </c>
      <c r="Q13" t="s">
        <v>254</v>
      </c>
      <c r="S13" t="s">
        <v>423</v>
      </c>
      <c r="T13" t="s">
        <v>256</v>
      </c>
      <c r="U13">
        <v>6.2558808644144741E-3</v>
      </c>
      <c r="V13" t="s">
        <v>254</v>
      </c>
      <c r="X13">
        <v>6.392694063926941E-3</v>
      </c>
      <c r="Y13">
        <v>8.1306715063520895E-3</v>
      </c>
      <c r="Z13" t="s">
        <v>256</v>
      </c>
      <c r="AA13" t="s">
        <v>25</v>
      </c>
      <c r="AC13" t="s">
        <v>22</v>
      </c>
      <c r="AD13" t="s">
        <v>256</v>
      </c>
      <c r="AE13">
        <v>8.1701485680162542E-3</v>
      </c>
      <c r="AG13" t="s">
        <v>97</v>
      </c>
      <c r="AH13" t="s">
        <v>256</v>
      </c>
      <c r="AI13">
        <v>6.259255942745745E-2</v>
      </c>
    </row>
    <row r="14" spans="1:40" x14ac:dyDescent="0.45">
      <c r="C14" t="s">
        <v>165</v>
      </c>
      <c r="D14" t="s">
        <v>166</v>
      </c>
      <c r="E14" t="s">
        <v>436</v>
      </c>
      <c r="F14" t="s">
        <v>154</v>
      </c>
      <c r="G14" t="s">
        <v>158</v>
      </c>
      <c r="I14" t="s">
        <v>252</v>
      </c>
      <c r="J14" t="s">
        <v>257</v>
      </c>
      <c r="K14">
        <v>1.3820529856724823E-2</v>
      </c>
      <c r="L14" t="s">
        <v>254</v>
      </c>
      <c r="N14" t="s">
        <v>422</v>
      </c>
      <c r="O14" t="s">
        <v>257</v>
      </c>
      <c r="P14">
        <v>8.4606863947976722E-3</v>
      </c>
      <c r="Q14" t="s">
        <v>254</v>
      </c>
      <c r="S14" t="s">
        <v>423</v>
      </c>
      <c r="T14" t="s">
        <v>257</v>
      </c>
      <c r="U14">
        <v>9.2672983168098719E-3</v>
      </c>
      <c r="V14" t="s">
        <v>254</v>
      </c>
      <c r="X14">
        <v>9.5890410958904115E-3</v>
      </c>
      <c r="Y14">
        <v>1.1871151662813155E-2</v>
      </c>
      <c r="Z14" t="s">
        <v>257</v>
      </c>
      <c r="AA14" t="s">
        <v>25</v>
      </c>
      <c r="AC14" t="s">
        <v>22</v>
      </c>
      <c r="AD14" t="s">
        <v>257</v>
      </c>
      <c r="AE14">
        <v>1.2330726624202933E-2</v>
      </c>
      <c r="AG14" t="s">
        <v>97</v>
      </c>
      <c r="AH14" t="s">
        <v>257</v>
      </c>
      <c r="AI14">
        <v>5.7937858589274471E-2</v>
      </c>
    </row>
    <row r="15" spans="1:40" x14ac:dyDescent="0.45">
      <c r="C15" t="s">
        <v>169</v>
      </c>
      <c r="D15" t="s">
        <v>437</v>
      </c>
      <c r="E15" t="s">
        <v>438</v>
      </c>
      <c r="F15" t="s">
        <v>159</v>
      </c>
      <c r="G15" t="s">
        <v>158</v>
      </c>
      <c r="I15" t="s">
        <v>252</v>
      </c>
      <c r="J15" t="s">
        <v>258</v>
      </c>
      <c r="K15">
        <v>4.7973091735806269E-3</v>
      </c>
      <c r="L15" t="s">
        <v>254</v>
      </c>
      <c r="N15" t="s">
        <v>422</v>
      </c>
      <c r="O15" t="s">
        <v>258</v>
      </c>
      <c r="P15">
        <v>2.8372372143295353E-3</v>
      </c>
      <c r="Q15" t="s">
        <v>254</v>
      </c>
      <c r="S15" t="s">
        <v>423</v>
      </c>
      <c r="T15" t="s">
        <v>258</v>
      </c>
      <c r="U15">
        <v>3.1342741287368938E-3</v>
      </c>
      <c r="V15" t="s">
        <v>254</v>
      </c>
      <c r="X15">
        <v>3.1963470319634705E-3</v>
      </c>
      <c r="Y15">
        <v>4.167433226429324E-3</v>
      </c>
      <c r="Z15" t="s">
        <v>258</v>
      </c>
      <c r="AA15" t="s">
        <v>25</v>
      </c>
      <c r="AC15" t="s">
        <v>22</v>
      </c>
      <c r="AD15" t="s">
        <v>258</v>
      </c>
      <c r="AE15">
        <v>4.0922444190434728E-3</v>
      </c>
      <c r="AG15" t="s">
        <v>97</v>
      </c>
      <c r="AH15" t="s">
        <v>258</v>
      </c>
      <c r="AI15">
        <v>6.1596378290575959E-2</v>
      </c>
    </row>
    <row r="16" spans="1:40" x14ac:dyDescent="0.45">
      <c r="C16" t="s">
        <v>171</v>
      </c>
      <c r="D16" t="s">
        <v>439</v>
      </c>
      <c r="E16" t="s">
        <v>440</v>
      </c>
      <c r="F16" t="s">
        <v>159</v>
      </c>
      <c r="G16" t="s">
        <v>158</v>
      </c>
      <c r="I16" t="s">
        <v>252</v>
      </c>
      <c r="J16" t="s">
        <v>259</v>
      </c>
      <c r="K16">
        <v>9.9756515442571709E-3</v>
      </c>
      <c r="L16" t="s">
        <v>254</v>
      </c>
      <c r="N16" t="s">
        <v>422</v>
      </c>
      <c r="O16" t="s">
        <v>259</v>
      </c>
      <c r="P16">
        <v>5.5744000257213168E-3</v>
      </c>
      <c r="Q16" t="s">
        <v>254</v>
      </c>
      <c r="S16" t="s">
        <v>423</v>
      </c>
      <c r="T16" t="s">
        <v>259</v>
      </c>
      <c r="U16">
        <v>6.1836239027492851E-3</v>
      </c>
      <c r="V16" t="s">
        <v>254</v>
      </c>
      <c r="X16">
        <v>6.392694063926941E-3</v>
      </c>
      <c r="Y16">
        <v>9.0402671771540339E-3</v>
      </c>
      <c r="Z16" t="s">
        <v>259</v>
      </c>
      <c r="AA16" t="s">
        <v>25</v>
      </c>
      <c r="AC16" t="s">
        <v>22</v>
      </c>
      <c r="AD16" t="s">
        <v>259</v>
      </c>
      <c r="AE16">
        <v>8.193602376341572E-3</v>
      </c>
      <c r="AG16" t="s">
        <v>97</v>
      </c>
      <c r="AH16" t="s">
        <v>259</v>
      </c>
      <c r="AI16">
        <v>6.4200241131353808E-2</v>
      </c>
    </row>
    <row r="17" spans="3:35" x14ac:dyDescent="0.45">
      <c r="C17" t="s">
        <v>173</v>
      </c>
      <c r="D17" t="s">
        <v>441</v>
      </c>
      <c r="E17" t="s">
        <v>442</v>
      </c>
      <c r="F17" t="s">
        <v>169</v>
      </c>
      <c r="G17" t="s">
        <v>158</v>
      </c>
      <c r="I17" t="s">
        <v>252</v>
      </c>
      <c r="J17" t="s">
        <v>260</v>
      </c>
      <c r="K17">
        <v>3.8684531519990032E-3</v>
      </c>
      <c r="L17" t="s">
        <v>254</v>
      </c>
      <c r="N17" t="s">
        <v>422</v>
      </c>
      <c r="O17" t="s">
        <v>260</v>
      </c>
      <c r="P17">
        <v>5.6729169320422108E-3</v>
      </c>
      <c r="Q17" t="s">
        <v>254</v>
      </c>
      <c r="S17" t="s">
        <v>423</v>
      </c>
      <c r="T17" t="s">
        <v>260</v>
      </c>
      <c r="U17">
        <v>6.0484559496234123E-3</v>
      </c>
      <c r="V17" t="s">
        <v>254</v>
      </c>
      <c r="X17">
        <v>6.392694063926941E-3</v>
      </c>
      <c r="Y17">
        <v>1.2437328559944975E-2</v>
      </c>
      <c r="Z17" t="s">
        <v>260</v>
      </c>
      <c r="AA17" t="s">
        <v>25</v>
      </c>
      <c r="AC17" t="s">
        <v>22</v>
      </c>
      <c r="AD17" t="s">
        <v>260</v>
      </c>
      <c r="AE17">
        <v>8.2943218052902896E-3</v>
      </c>
      <c r="AG17" t="s">
        <v>97</v>
      </c>
      <c r="AH17" t="s">
        <v>260</v>
      </c>
      <c r="AI17">
        <v>5.4432266703229093E-2</v>
      </c>
    </row>
    <row r="18" spans="3:35" x14ac:dyDescent="0.45">
      <c r="C18" t="s">
        <v>164</v>
      </c>
      <c r="D18" t="s">
        <v>443</v>
      </c>
      <c r="E18" t="s">
        <v>444</v>
      </c>
      <c r="F18" t="s">
        <v>171</v>
      </c>
      <c r="G18" t="s">
        <v>158</v>
      </c>
      <c r="I18" t="s">
        <v>252</v>
      </c>
      <c r="J18" t="s">
        <v>261</v>
      </c>
      <c r="K18">
        <v>0</v>
      </c>
      <c r="L18" t="s">
        <v>254</v>
      </c>
      <c r="N18" t="s">
        <v>422</v>
      </c>
      <c r="O18" t="s">
        <v>261</v>
      </c>
      <c r="P18">
        <v>1.8323637158101463E-2</v>
      </c>
      <c r="Q18" t="s">
        <v>254</v>
      </c>
      <c r="S18" t="s">
        <v>423</v>
      </c>
      <c r="T18" t="s">
        <v>261</v>
      </c>
      <c r="U18">
        <v>1.8416665938047139E-2</v>
      </c>
      <c r="V18" t="s">
        <v>254</v>
      </c>
      <c r="X18">
        <v>1.9178082191780823E-2</v>
      </c>
      <c r="Y18">
        <v>1.6892491029178995E-2</v>
      </c>
      <c r="Z18" t="s">
        <v>261</v>
      </c>
      <c r="AA18" t="s">
        <v>25</v>
      </c>
      <c r="AC18" t="s">
        <v>22</v>
      </c>
      <c r="AD18" t="s">
        <v>261</v>
      </c>
      <c r="AE18">
        <v>2.1131716466073439E-2</v>
      </c>
      <c r="AG18" t="s">
        <v>97</v>
      </c>
      <c r="AH18" t="s">
        <v>261</v>
      </c>
      <c r="AI18">
        <v>0.19041638616975498</v>
      </c>
    </row>
    <row r="19" spans="3:35" x14ac:dyDescent="0.45">
      <c r="C19" t="s">
        <v>168</v>
      </c>
      <c r="D19" t="s">
        <v>445</v>
      </c>
      <c r="E19" t="s">
        <v>446</v>
      </c>
      <c r="F19" t="s">
        <v>173</v>
      </c>
      <c r="G19" t="s">
        <v>158</v>
      </c>
      <c r="I19" t="s">
        <v>252</v>
      </c>
      <c r="J19" t="s">
        <v>583</v>
      </c>
      <c r="K19">
        <v>0</v>
      </c>
      <c r="L19" t="s">
        <v>254</v>
      </c>
      <c r="N19" t="s">
        <v>422</v>
      </c>
      <c r="O19" t="s">
        <v>583</v>
      </c>
      <c r="P19">
        <v>2.1056430996379999E-4</v>
      </c>
      <c r="Q19" t="s">
        <v>254</v>
      </c>
      <c r="S19" t="s">
        <v>423</v>
      </c>
      <c r="T19" t="s">
        <v>583</v>
      </c>
      <c r="U19">
        <v>1.999500168632E-4</v>
      </c>
      <c r="V19" t="s">
        <v>254</v>
      </c>
      <c r="X19">
        <v>1.1415525114155251E-4</v>
      </c>
      <c r="Y19">
        <v>2.1546544680075254E-5</v>
      </c>
      <c r="Z19" t="s">
        <v>583</v>
      </c>
      <c r="AA19" t="s">
        <v>25</v>
      </c>
      <c r="AC19" t="s">
        <v>22</v>
      </c>
      <c r="AD19" t="s">
        <v>583</v>
      </c>
      <c r="AE19">
        <v>9.6600831775144397E-5</v>
      </c>
      <c r="AG19" t="s">
        <v>97</v>
      </c>
      <c r="AH19" t="s">
        <v>583</v>
      </c>
      <c r="AI19">
        <v>0</v>
      </c>
    </row>
    <row r="20" spans="3:35" x14ac:dyDescent="0.45">
      <c r="C20" t="s">
        <v>177</v>
      </c>
      <c r="D20" t="s">
        <v>447</v>
      </c>
      <c r="E20" t="s">
        <v>448</v>
      </c>
      <c r="F20" t="s">
        <v>164</v>
      </c>
      <c r="G20" t="s">
        <v>158</v>
      </c>
      <c r="I20" t="s">
        <v>252</v>
      </c>
      <c r="J20" t="s">
        <v>584</v>
      </c>
      <c r="K20">
        <v>0</v>
      </c>
      <c r="L20" t="s">
        <v>254</v>
      </c>
      <c r="N20" t="s">
        <v>422</v>
      </c>
      <c r="O20" t="s">
        <v>584</v>
      </c>
      <c r="P20">
        <v>2.046001752565E-4</v>
      </c>
      <c r="Q20" t="s">
        <v>254</v>
      </c>
      <c r="S20" t="s">
        <v>423</v>
      </c>
      <c r="T20" t="s">
        <v>584</v>
      </c>
      <c r="U20">
        <v>2.060124684947E-4</v>
      </c>
      <c r="V20" t="s">
        <v>254</v>
      </c>
      <c r="X20">
        <v>1.1415525114155251E-4</v>
      </c>
      <c r="Y20">
        <v>1.4916838624667481E-5</v>
      </c>
      <c r="Z20" t="s">
        <v>584</v>
      </c>
      <c r="AA20" t="s">
        <v>25</v>
      </c>
      <c r="AC20" t="s">
        <v>22</v>
      </c>
      <c r="AD20" t="s">
        <v>584</v>
      </c>
      <c r="AE20">
        <v>9.4460531124436654E-5</v>
      </c>
      <c r="AG20" t="s">
        <v>97</v>
      </c>
      <c r="AH20" t="s">
        <v>584</v>
      </c>
      <c r="AI20">
        <v>0</v>
      </c>
    </row>
    <row r="21" spans="3:35" x14ac:dyDescent="0.45">
      <c r="C21" t="s">
        <v>179</v>
      </c>
      <c r="D21" t="s">
        <v>801</v>
      </c>
      <c r="E21" t="s">
        <v>449</v>
      </c>
      <c r="F21" t="s">
        <v>164</v>
      </c>
      <c r="G21" t="s">
        <v>158</v>
      </c>
      <c r="I21" t="s">
        <v>252</v>
      </c>
      <c r="J21" t="s">
        <v>585</v>
      </c>
      <c r="K21">
        <v>0</v>
      </c>
      <c r="L21" t="s">
        <v>254</v>
      </c>
      <c r="N21" t="s">
        <v>422</v>
      </c>
      <c r="O21" t="s">
        <v>585</v>
      </c>
      <c r="P21">
        <v>2.042754691716E-4</v>
      </c>
      <c r="Q21" t="s">
        <v>254</v>
      </c>
      <c r="S21" t="s">
        <v>423</v>
      </c>
      <c r="T21" t="s">
        <v>585</v>
      </c>
      <c r="U21">
        <v>2.0685915188700001E-4</v>
      </c>
      <c r="V21" t="s">
        <v>254</v>
      </c>
      <c r="X21">
        <v>1.1415525114155251E-4</v>
      </c>
      <c r="Y21">
        <v>1.6574265138519424E-5</v>
      </c>
      <c r="Z21" t="s">
        <v>585</v>
      </c>
      <c r="AA21" t="s">
        <v>25</v>
      </c>
      <c r="AC21" t="s">
        <v>22</v>
      </c>
      <c r="AD21" t="s">
        <v>585</v>
      </c>
      <c r="AE21">
        <v>9.3990022976610821E-5</v>
      </c>
      <c r="AG21" t="s">
        <v>97</v>
      </c>
      <c r="AH21" t="s">
        <v>585</v>
      </c>
      <c r="AI21">
        <v>0</v>
      </c>
    </row>
    <row r="22" spans="3:35" x14ac:dyDescent="0.45">
      <c r="C22" t="s">
        <v>181</v>
      </c>
      <c r="D22" t="s">
        <v>802</v>
      </c>
      <c r="E22" t="s">
        <v>450</v>
      </c>
      <c r="F22" t="s">
        <v>168</v>
      </c>
      <c r="G22" t="s">
        <v>158</v>
      </c>
      <c r="I22" t="s">
        <v>252</v>
      </c>
      <c r="J22" t="s">
        <v>586</v>
      </c>
      <c r="K22">
        <v>0</v>
      </c>
      <c r="L22" t="s">
        <v>254</v>
      </c>
      <c r="N22" t="s">
        <v>422</v>
      </c>
      <c r="O22" t="s">
        <v>586</v>
      </c>
      <c r="P22">
        <v>2.1082621075140001E-4</v>
      </c>
      <c r="Q22" t="s">
        <v>254</v>
      </c>
      <c r="S22" t="s">
        <v>423</v>
      </c>
      <c r="T22" t="s">
        <v>586</v>
      </c>
      <c r="U22">
        <v>2.0584905426959999E-4</v>
      </c>
      <c r="V22" t="s">
        <v>254</v>
      </c>
      <c r="X22">
        <v>1.1415525114155251E-4</v>
      </c>
      <c r="Y22">
        <v>1.4585353321897093E-5</v>
      </c>
      <c r="Z22" t="s">
        <v>586</v>
      </c>
      <c r="AA22" t="s">
        <v>25</v>
      </c>
      <c r="AC22" t="s">
        <v>22</v>
      </c>
      <c r="AD22" t="s">
        <v>586</v>
      </c>
      <c r="AE22">
        <v>9.4307104554493444E-5</v>
      </c>
      <c r="AG22" t="s">
        <v>97</v>
      </c>
      <c r="AH22" t="s">
        <v>586</v>
      </c>
      <c r="AI22">
        <v>0</v>
      </c>
    </row>
    <row r="23" spans="3:35" x14ac:dyDescent="0.45">
      <c r="D23" t="s">
        <v>803</v>
      </c>
      <c r="E23" t="s">
        <v>451</v>
      </c>
      <c r="F23" t="s">
        <v>168</v>
      </c>
      <c r="G23" t="s">
        <v>158</v>
      </c>
      <c r="I23" t="s">
        <v>252</v>
      </c>
      <c r="J23" t="s">
        <v>587</v>
      </c>
      <c r="K23">
        <v>0</v>
      </c>
      <c r="L23" t="s">
        <v>254</v>
      </c>
      <c r="N23" t="s">
        <v>422</v>
      </c>
      <c r="O23" t="s">
        <v>587</v>
      </c>
      <c r="P23">
        <v>2.0699928057909999E-4</v>
      </c>
      <c r="Q23" t="s">
        <v>254</v>
      </c>
      <c r="S23" t="s">
        <v>423</v>
      </c>
      <c r="T23" t="s">
        <v>587</v>
      </c>
      <c r="U23">
        <v>2.0340840880630001E-4</v>
      </c>
      <c r="V23" t="s">
        <v>254</v>
      </c>
      <c r="X23">
        <v>1.1415525114155251E-4</v>
      </c>
      <c r="Y23">
        <v>2.1215059377304864E-5</v>
      </c>
      <c r="Z23" t="s">
        <v>587</v>
      </c>
      <c r="AA23" t="s">
        <v>25</v>
      </c>
      <c r="AC23" t="s">
        <v>22</v>
      </c>
      <c r="AD23" t="s">
        <v>587</v>
      </c>
      <c r="AE23">
        <v>1.0163578037878064E-4</v>
      </c>
      <c r="AG23" t="s">
        <v>97</v>
      </c>
      <c r="AH23" t="s">
        <v>587</v>
      </c>
      <c r="AI23">
        <v>0</v>
      </c>
    </row>
    <row r="24" spans="3:35" x14ac:dyDescent="0.45">
      <c r="D24" t="s">
        <v>804</v>
      </c>
      <c r="E24" t="s">
        <v>452</v>
      </c>
      <c r="F24" t="s">
        <v>168</v>
      </c>
      <c r="G24" t="s">
        <v>158</v>
      </c>
      <c r="I24" t="s">
        <v>252</v>
      </c>
      <c r="J24" t="s">
        <v>588</v>
      </c>
      <c r="K24">
        <v>0</v>
      </c>
      <c r="L24" t="s">
        <v>254</v>
      </c>
      <c r="N24" t="s">
        <v>422</v>
      </c>
      <c r="O24" t="s">
        <v>588</v>
      </c>
      <c r="P24">
        <v>1.901810498679E-4</v>
      </c>
      <c r="Q24" t="s">
        <v>254</v>
      </c>
      <c r="S24" t="s">
        <v>423</v>
      </c>
      <c r="T24" t="s">
        <v>588</v>
      </c>
      <c r="U24">
        <v>1.9690828776319999E-4</v>
      </c>
      <c r="V24" t="s">
        <v>254</v>
      </c>
      <c r="X24">
        <v>1.1415525114155251E-4</v>
      </c>
      <c r="Y24">
        <v>5.7678442682047593E-5</v>
      </c>
      <c r="Z24" t="s">
        <v>588</v>
      </c>
      <c r="AA24" t="s">
        <v>25</v>
      </c>
      <c r="AC24" t="s">
        <v>22</v>
      </c>
      <c r="AD24" t="s">
        <v>588</v>
      </c>
      <c r="AE24">
        <v>1.3135706408627895E-4</v>
      </c>
      <c r="AG24" t="s">
        <v>97</v>
      </c>
      <c r="AH24" t="s">
        <v>588</v>
      </c>
      <c r="AI24">
        <v>0</v>
      </c>
    </row>
    <row r="25" spans="3:35" x14ac:dyDescent="0.45">
      <c r="D25" t="s">
        <v>805</v>
      </c>
      <c r="E25" t="s">
        <v>453</v>
      </c>
      <c r="F25" t="s">
        <v>177</v>
      </c>
      <c r="G25" t="s">
        <v>158</v>
      </c>
      <c r="I25" t="s">
        <v>252</v>
      </c>
      <c r="J25" t="s">
        <v>589</v>
      </c>
      <c r="K25">
        <v>0</v>
      </c>
      <c r="L25" t="s">
        <v>254</v>
      </c>
      <c r="N25" t="s">
        <v>422</v>
      </c>
      <c r="O25" t="s">
        <v>589</v>
      </c>
      <c r="P25">
        <v>1.7986226691930001E-4</v>
      </c>
      <c r="Q25" t="s">
        <v>254</v>
      </c>
      <c r="S25" t="s">
        <v>423</v>
      </c>
      <c r="T25" t="s">
        <v>589</v>
      </c>
      <c r="U25">
        <v>1.984100192629E-4</v>
      </c>
      <c r="V25" t="s">
        <v>254</v>
      </c>
      <c r="X25">
        <v>1.1415525114155251E-4</v>
      </c>
      <c r="Y25">
        <v>1.6905750441289813E-4</v>
      </c>
      <c r="Z25" t="s">
        <v>589</v>
      </c>
      <c r="AA25" t="s">
        <v>25</v>
      </c>
      <c r="AC25" t="s">
        <v>22</v>
      </c>
      <c r="AD25" t="s">
        <v>589</v>
      </c>
      <c r="AE25">
        <v>1.4638008239321803E-4</v>
      </c>
      <c r="AG25" t="s">
        <v>97</v>
      </c>
      <c r="AH25" t="s">
        <v>589</v>
      </c>
      <c r="AI25">
        <v>0</v>
      </c>
    </row>
    <row r="26" spans="3:35" x14ac:dyDescent="0.45">
      <c r="D26" t="s">
        <v>806</v>
      </c>
      <c r="E26" t="s">
        <v>454</v>
      </c>
      <c r="F26" t="s">
        <v>177</v>
      </c>
      <c r="G26" t="s">
        <v>158</v>
      </c>
      <c r="I26" t="s">
        <v>252</v>
      </c>
      <c r="J26" t="s">
        <v>590</v>
      </c>
      <c r="K26">
        <v>0</v>
      </c>
      <c r="L26" t="s">
        <v>254</v>
      </c>
      <c r="N26" t="s">
        <v>422</v>
      </c>
      <c r="O26" t="s">
        <v>590</v>
      </c>
      <c r="P26">
        <v>1.780837323107E-4</v>
      </c>
      <c r="Q26" t="s">
        <v>254</v>
      </c>
      <c r="S26" t="s">
        <v>423</v>
      </c>
      <c r="T26" t="s">
        <v>590</v>
      </c>
      <c r="U26">
        <v>2.0263385072099999E-4</v>
      </c>
      <c r="V26" t="s">
        <v>254</v>
      </c>
      <c r="X26">
        <v>1.1415525114155251E-4</v>
      </c>
      <c r="Y26">
        <v>1.9060404909297337E-4</v>
      </c>
      <c r="Z26" t="s">
        <v>590</v>
      </c>
      <c r="AA26" t="s">
        <v>25</v>
      </c>
      <c r="AC26" t="s">
        <v>22</v>
      </c>
      <c r="AD26" t="s">
        <v>590</v>
      </c>
      <c r="AE26">
        <v>1.5325614983617276E-4</v>
      </c>
      <c r="AG26" t="s">
        <v>97</v>
      </c>
      <c r="AH26" t="s">
        <v>590</v>
      </c>
      <c r="AI26">
        <v>0</v>
      </c>
    </row>
    <row r="27" spans="3:35" x14ac:dyDescent="0.45">
      <c r="E27" t="s">
        <v>455</v>
      </c>
      <c r="G27" t="s">
        <v>158</v>
      </c>
      <c r="I27" t="s">
        <v>252</v>
      </c>
      <c r="J27" t="s">
        <v>591</v>
      </c>
      <c r="K27">
        <v>4.6948319313407433E-5</v>
      </c>
      <c r="L27" t="s">
        <v>254</v>
      </c>
      <c r="N27" t="s">
        <v>422</v>
      </c>
      <c r="O27" t="s">
        <v>591</v>
      </c>
      <c r="P27">
        <v>1.910180948787E-4</v>
      </c>
      <c r="Q27" t="s">
        <v>254</v>
      </c>
      <c r="S27" t="s">
        <v>423</v>
      </c>
      <c r="T27" t="s">
        <v>591</v>
      </c>
      <c r="U27">
        <v>2.0384034938559999E-4</v>
      </c>
      <c r="V27" t="s">
        <v>254</v>
      </c>
      <c r="X27">
        <v>1.1415525114155251E-4</v>
      </c>
      <c r="Y27">
        <v>1.4585353321897094E-4</v>
      </c>
      <c r="Z27" t="s">
        <v>591</v>
      </c>
      <c r="AA27" t="s">
        <v>25</v>
      </c>
      <c r="AC27" t="s">
        <v>22</v>
      </c>
      <c r="AD27" t="s">
        <v>591</v>
      </c>
      <c r="AE27">
        <v>1.5379314283097399E-4</v>
      </c>
      <c r="AG27" t="s">
        <v>97</v>
      </c>
      <c r="AH27" t="s">
        <v>591</v>
      </c>
      <c r="AI27">
        <v>0</v>
      </c>
    </row>
    <row r="28" spans="3:35" x14ac:dyDescent="0.45">
      <c r="E28" t="s">
        <v>456</v>
      </c>
      <c r="G28" t="s">
        <v>158</v>
      </c>
      <c r="I28" t="s">
        <v>252</v>
      </c>
      <c r="J28" t="s">
        <v>592</v>
      </c>
      <c r="K28">
        <v>1.4671351836869999E-4</v>
      </c>
      <c r="L28" t="s">
        <v>254</v>
      </c>
      <c r="N28" t="s">
        <v>422</v>
      </c>
      <c r="O28" t="s">
        <v>592</v>
      </c>
      <c r="P28">
        <v>1.9120744113959999E-4</v>
      </c>
      <c r="Q28" t="s">
        <v>254</v>
      </c>
      <c r="S28" t="s">
        <v>423</v>
      </c>
      <c r="T28" t="s">
        <v>592</v>
      </c>
      <c r="U28">
        <v>2.0302202187809999E-4</v>
      </c>
      <c r="V28" t="s">
        <v>254</v>
      </c>
      <c r="X28">
        <v>1.1415525114155251E-4</v>
      </c>
      <c r="Y28">
        <v>1.4452759200788939E-4</v>
      </c>
      <c r="Z28" t="s">
        <v>592</v>
      </c>
      <c r="AA28" t="s">
        <v>25</v>
      </c>
      <c r="AC28" t="s">
        <v>22</v>
      </c>
      <c r="AD28" t="s">
        <v>592</v>
      </c>
      <c r="AE28">
        <v>1.538519563494522E-4</v>
      </c>
      <c r="AG28" t="s">
        <v>97</v>
      </c>
      <c r="AH28" t="s">
        <v>592</v>
      </c>
      <c r="AI28">
        <v>0</v>
      </c>
    </row>
    <row r="29" spans="3:35" x14ac:dyDescent="0.45">
      <c r="E29" t="s">
        <v>457</v>
      </c>
      <c r="G29" t="s">
        <v>158</v>
      </c>
      <c r="I29" t="s">
        <v>252</v>
      </c>
      <c r="J29" t="s">
        <v>593</v>
      </c>
      <c r="K29">
        <v>2.050820859237E-4</v>
      </c>
      <c r="L29" t="s">
        <v>254</v>
      </c>
      <c r="N29" t="s">
        <v>422</v>
      </c>
      <c r="O29" t="s">
        <v>593</v>
      </c>
      <c r="P29">
        <v>1.84598907286E-4</v>
      </c>
      <c r="Q29" t="s">
        <v>254</v>
      </c>
      <c r="S29" t="s">
        <v>423</v>
      </c>
      <c r="T29" t="s">
        <v>593</v>
      </c>
      <c r="U29">
        <v>2.041542866041E-4</v>
      </c>
      <c r="V29" t="s">
        <v>254</v>
      </c>
      <c r="X29">
        <v>1.1415525114155251E-4</v>
      </c>
      <c r="Y29">
        <v>1.408812536774151E-4</v>
      </c>
      <c r="Z29" t="s">
        <v>593</v>
      </c>
      <c r="AA29" t="s">
        <v>25</v>
      </c>
      <c r="AC29" t="s">
        <v>22</v>
      </c>
      <c r="AD29" t="s">
        <v>593</v>
      </c>
      <c r="AE29">
        <v>1.531487512372125E-4</v>
      </c>
      <c r="AG29" t="s">
        <v>97</v>
      </c>
      <c r="AH29" t="s">
        <v>593</v>
      </c>
      <c r="AI29">
        <v>0</v>
      </c>
    </row>
    <row r="30" spans="3:35" x14ac:dyDescent="0.45">
      <c r="E30" t="s">
        <v>458</v>
      </c>
      <c r="G30" t="s">
        <v>158</v>
      </c>
      <c r="I30" t="s">
        <v>252</v>
      </c>
      <c r="J30" t="s">
        <v>594</v>
      </c>
      <c r="K30">
        <v>2.307142471243E-4</v>
      </c>
      <c r="L30" t="s">
        <v>254</v>
      </c>
      <c r="N30" t="s">
        <v>422</v>
      </c>
      <c r="O30" t="s">
        <v>594</v>
      </c>
      <c r="P30">
        <v>2.01403925641E-4</v>
      </c>
      <c r="Q30" t="s">
        <v>254</v>
      </c>
      <c r="S30" t="s">
        <v>423</v>
      </c>
      <c r="T30" t="s">
        <v>594</v>
      </c>
      <c r="U30">
        <v>2.095844797451E-4</v>
      </c>
      <c r="V30" t="s">
        <v>254</v>
      </c>
      <c r="X30">
        <v>1.1415525114155251E-4</v>
      </c>
      <c r="Y30">
        <v>1.4054976837464471E-4</v>
      </c>
      <c r="Z30" t="s">
        <v>594</v>
      </c>
      <c r="AA30" t="s">
        <v>25</v>
      </c>
      <c r="AC30" t="s">
        <v>22</v>
      </c>
      <c r="AD30" t="s">
        <v>594</v>
      </c>
      <c r="AE30">
        <v>1.531487512372125E-4</v>
      </c>
      <c r="AG30" t="s">
        <v>97</v>
      </c>
      <c r="AH30" t="s">
        <v>594</v>
      </c>
      <c r="AI30">
        <v>0</v>
      </c>
    </row>
    <row r="31" spans="3:35" x14ac:dyDescent="0.45">
      <c r="E31" t="s">
        <v>459</v>
      </c>
      <c r="G31" t="s">
        <v>158</v>
      </c>
      <c r="I31" t="s">
        <v>252</v>
      </c>
      <c r="J31" t="s">
        <v>595</v>
      </c>
      <c r="K31">
        <v>2.1608924638949999E-4</v>
      </c>
      <c r="L31" t="s">
        <v>254</v>
      </c>
      <c r="N31" t="s">
        <v>422</v>
      </c>
      <c r="O31" t="s">
        <v>595</v>
      </c>
      <c r="P31">
        <v>2.1738361621180001E-4</v>
      </c>
      <c r="Q31" t="s">
        <v>254</v>
      </c>
      <c r="S31" t="s">
        <v>423</v>
      </c>
      <c r="T31" t="s">
        <v>595</v>
      </c>
      <c r="U31">
        <v>2.1148542822750001E-4</v>
      </c>
      <c r="V31" t="s">
        <v>254</v>
      </c>
      <c r="X31">
        <v>1.1415525114155251E-4</v>
      </c>
      <c r="Y31">
        <v>1.4253868019126702E-4</v>
      </c>
      <c r="Z31" t="s">
        <v>595</v>
      </c>
      <c r="AA31" t="s">
        <v>25</v>
      </c>
      <c r="AC31" t="s">
        <v>22</v>
      </c>
      <c r="AD31" t="s">
        <v>595</v>
      </c>
      <c r="AE31">
        <v>1.5219750650356464E-4</v>
      </c>
      <c r="AG31" t="s">
        <v>97</v>
      </c>
      <c r="AH31" t="s">
        <v>595</v>
      </c>
      <c r="AI31">
        <v>0</v>
      </c>
    </row>
    <row r="32" spans="3:35" x14ac:dyDescent="0.45">
      <c r="E32" t="s">
        <v>460</v>
      </c>
      <c r="G32" t="s">
        <v>158</v>
      </c>
      <c r="I32" t="s">
        <v>252</v>
      </c>
      <c r="J32" t="s">
        <v>596</v>
      </c>
      <c r="K32">
        <v>2.0685974653239999E-4</v>
      </c>
      <c r="L32" t="s">
        <v>254</v>
      </c>
      <c r="N32" t="s">
        <v>422</v>
      </c>
      <c r="O32" t="s">
        <v>596</v>
      </c>
      <c r="P32">
        <v>2.366730001352E-4</v>
      </c>
      <c r="Q32" t="s">
        <v>254</v>
      </c>
      <c r="S32" t="s">
        <v>423</v>
      </c>
      <c r="T32" t="s">
        <v>596</v>
      </c>
      <c r="U32">
        <v>2.1189609475380001E-4</v>
      </c>
      <c r="V32" t="s">
        <v>254</v>
      </c>
      <c r="X32">
        <v>1.1415525114155251E-4</v>
      </c>
      <c r="Y32">
        <v>1.4883690094390442E-4</v>
      </c>
      <c r="Z32" t="s">
        <v>596</v>
      </c>
      <c r="AA32" t="s">
        <v>25</v>
      </c>
      <c r="AC32" t="s">
        <v>22</v>
      </c>
      <c r="AD32" t="s">
        <v>596</v>
      </c>
      <c r="AE32">
        <v>1.5198526641514319E-4</v>
      </c>
      <c r="AG32" t="s">
        <v>97</v>
      </c>
      <c r="AH32" t="s">
        <v>596</v>
      </c>
      <c r="AI32">
        <v>0</v>
      </c>
    </row>
    <row r="33" spans="5:35" x14ac:dyDescent="0.45">
      <c r="E33" t="s">
        <v>461</v>
      </c>
      <c r="G33" t="s">
        <v>158</v>
      </c>
      <c r="I33" t="s">
        <v>252</v>
      </c>
      <c r="J33" t="s">
        <v>597</v>
      </c>
      <c r="K33">
        <v>2.4804834378240002E-4</v>
      </c>
      <c r="L33" t="s">
        <v>254</v>
      </c>
      <c r="N33" t="s">
        <v>422</v>
      </c>
      <c r="O33" t="s">
        <v>597</v>
      </c>
      <c r="P33">
        <v>2.4780253096969999E-4</v>
      </c>
      <c r="Q33" t="s">
        <v>254</v>
      </c>
      <c r="S33" t="s">
        <v>423</v>
      </c>
      <c r="T33" t="s">
        <v>597</v>
      </c>
      <c r="U33">
        <v>2.1179051189709999E-4</v>
      </c>
      <c r="V33" t="s">
        <v>254</v>
      </c>
      <c r="X33">
        <v>1.1415525114155251E-4</v>
      </c>
      <c r="Y33">
        <v>1.5049432745775637E-4</v>
      </c>
      <c r="Z33" t="s">
        <v>597</v>
      </c>
      <c r="AA33" t="s">
        <v>25</v>
      </c>
      <c r="AC33" t="s">
        <v>22</v>
      </c>
      <c r="AD33" t="s">
        <v>597</v>
      </c>
      <c r="AE33">
        <v>1.518139400787066E-4</v>
      </c>
      <c r="AG33" t="s">
        <v>97</v>
      </c>
      <c r="AH33" t="s">
        <v>597</v>
      </c>
      <c r="AI33">
        <v>0</v>
      </c>
    </row>
    <row r="34" spans="5:35" x14ac:dyDescent="0.45">
      <c r="E34" t="s">
        <v>462</v>
      </c>
      <c r="G34" t="s">
        <v>158</v>
      </c>
      <c r="I34" t="s">
        <v>252</v>
      </c>
      <c r="J34" t="s">
        <v>598</v>
      </c>
      <c r="K34">
        <v>2.3026000089760001E-4</v>
      </c>
      <c r="L34" t="s">
        <v>254</v>
      </c>
      <c r="N34" t="s">
        <v>422</v>
      </c>
      <c r="O34" t="s">
        <v>598</v>
      </c>
      <c r="P34">
        <v>2.5325424100649998E-4</v>
      </c>
      <c r="Q34" t="s">
        <v>254</v>
      </c>
      <c r="S34" t="s">
        <v>423</v>
      </c>
      <c r="T34" t="s">
        <v>598</v>
      </c>
      <c r="U34">
        <v>2.108458990828E-4</v>
      </c>
      <c r="V34" t="s">
        <v>254</v>
      </c>
      <c r="X34">
        <v>1.1415525114155251E-4</v>
      </c>
      <c r="Y34">
        <v>1.7237235744060203E-4</v>
      </c>
      <c r="Z34" t="s">
        <v>598</v>
      </c>
      <c r="AA34" t="s">
        <v>25</v>
      </c>
      <c r="AC34" t="s">
        <v>22</v>
      </c>
      <c r="AD34" t="s">
        <v>598</v>
      </c>
      <c r="AE34">
        <v>1.518139400787066E-4</v>
      </c>
      <c r="AG34" t="s">
        <v>97</v>
      </c>
      <c r="AH34" t="s">
        <v>598</v>
      </c>
      <c r="AI34">
        <v>0</v>
      </c>
    </row>
    <row r="35" spans="5:35" x14ac:dyDescent="0.45">
      <c r="E35" t="s">
        <v>807</v>
      </c>
      <c r="G35" t="s">
        <v>162</v>
      </c>
      <c r="I35" t="s">
        <v>252</v>
      </c>
      <c r="J35" t="s">
        <v>599</v>
      </c>
      <c r="K35">
        <v>1.8212067637399999E-4</v>
      </c>
      <c r="L35" t="s">
        <v>254</v>
      </c>
      <c r="N35" t="s">
        <v>422</v>
      </c>
      <c r="O35" t="s">
        <v>599</v>
      </c>
      <c r="P35">
        <v>2.533745823676E-4</v>
      </c>
      <c r="Q35" t="s">
        <v>254</v>
      </c>
      <c r="S35" t="s">
        <v>423</v>
      </c>
      <c r="T35" t="s">
        <v>599</v>
      </c>
      <c r="U35">
        <v>2.1069575901389999E-4</v>
      </c>
      <c r="V35" t="s">
        <v>254</v>
      </c>
      <c r="X35">
        <v>1.1415525114155251E-4</v>
      </c>
      <c r="Y35">
        <v>2.2209515285616027E-4</v>
      </c>
      <c r="Z35" t="s">
        <v>599</v>
      </c>
      <c r="AA35" t="s">
        <v>25</v>
      </c>
      <c r="AC35" t="s">
        <v>22</v>
      </c>
      <c r="AD35" t="s">
        <v>599</v>
      </c>
      <c r="AE35">
        <v>1.5253248784794063E-4</v>
      </c>
      <c r="AG35" t="s">
        <v>97</v>
      </c>
      <c r="AH35" t="s">
        <v>599</v>
      </c>
      <c r="AI35">
        <v>0</v>
      </c>
    </row>
    <row r="36" spans="5:35" x14ac:dyDescent="0.45">
      <c r="E36" t="s">
        <v>808</v>
      </c>
      <c r="G36" t="s">
        <v>162</v>
      </c>
      <c r="I36" t="s">
        <v>252</v>
      </c>
      <c r="J36" t="s">
        <v>600</v>
      </c>
      <c r="K36">
        <v>1.098598775179E-4</v>
      </c>
      <c r="L36" t="s">
        <v>254</v>
      </c>
      <c r="N36" t="s">
        <v>422</v>
      </c>
      <c r="O36" t="s">
        <v>600</v>
      </c>
      <c r="P36">
        <v>2.5237469821870001E-4</v>
      </c>
      <c r="Q36" t="s">
        <v>254</v>
      </c>
      <c r="S36" t="s">
        <v>423</v>
      </c>
      <c r="T36" t="s">
        <v>600</v>
      </c>
      <c r="U36">
        <v>2.1040455159149999E-4</v>
      </c>
      <c r="V36" t="s">
        <v>254</v>
      </c>
      <c r="X36">
        <v>1.1415525114155251E-4</v>
      </c>
      <c r="Y36">
        <v>2.2209515285616027E-4</v>
      </c>
      <c r="Z36" t="s">
        <v>600</v>
      </c>
      <c r="AA36" t="s">
        <v>25</v>
      </c>
      <c r="AC36" t="s">
        <v>22</v>
      </c>
      <c r="AD36" t="s">
        <v>600</v>
      </c>
      <c r="AE36">
        <v>1.5310272326622955E-4</v>
      </c>
      <c r="AG36" t="s">
        <v>97</v>
      </c>
      <c r="AH36" t="s">
        <v>600</v>
      </c>
      <c r="AI36">
        <v>0</v>
      </c>
    </row>
    <row r="37" spans="5:35" x14ac:dyDescent="0.45">
      <c r="E37" t="s">
        <v>809</v>
      </c>
      <c r="G37" t="s">
        <v>162</v>
      </c>
      <c r="I37" t="s">
        <v>252</v>
      </c>
      <c r="J37" t="s">
        <v>601</v>
      </c>
      <c r="K37">
        <v>0</v>
      </c>
      <c r="L37" t="s">
        <v>254</v>
      </c>
      <c r="N37" t="s">
        <v>422</v>
      </c>
      <c r="O37" t="s">
        <v>601</v>
      </c>
      <c r="P37">
        <v>2.5014980379629999E-4</v>
      </c>
      <c r="Q37" t="s">
        <v>254</v>
      </c>
      <c r="S37" t="s">
        <v>423</v>
      </c>
      <c r="T37" t="s">
        <v>601</v>
      </c>
      <c r="U37">
        <v>2.097530981154E-4</v>
      </c>
      <c r="V37" t="s">
        <v>254</v>
      </c>
      <c r="X37">
        <v>1.1415525114155251E-4</v>
      </c>
      <c r="Y37">
        <v>1.7237235744060203E-4</v>
      </c>
      <c r="Z37" t="s">
        <v>601</v>
      </c>
      <c r="AA37" t="s">
        <v>25</v>
      </c>
      <c r="AC37" t="s">
        <v>22</v>
      </c>
      <c r="AD37" t="s">
        <v>601</v>
      </c>
      <c r="AE37">
        <v>1.5310272326622955E-4</v>
      </c>
      <c r="AG37" t="s">
        <v>97</v>
      </c>
      <c r="AH37" t="s">
        <v>601</v>
      </c>
      <c r="AI37">
        <v>0</v>
      </c>
    </row>
    <row r="38" spans="5:35" x14ac:dyDescent="0.45">
      <c r="E38" t="s">
        <v>810</v>
      </c>
      <c r="G38" t="s">
        <v>162</v>
      </c>
      <c r="I38" t="s">
        <v>252</v>
      </c>
      <c r="J38" t="s">
        <v>602</v>
      </c>
      <c r="K38">
        <v>0</v>
      </c>
      <c r="L38" t="s">
        <v>254</v>
      </c>
      <c r="N38" t="s">
        <v>422</v>
      </c>
      <c r="O38" t="s">
        <v>602</v>
      </c>
      <c r="P38">
        <v>2.4906425564960003E-4</v>
      </c>
      <c r="Q38" t="s">
        <v>254</v>
      </c>
      <c r="S38" t="s">
        <v>423</v>
      </c>
      <c r="T38" t="s">
        <v>602</v>
      </c>
      <c r="U38">
        <v>2.0910930395739999E-4</v>
      </c>
      <c r="V38" t="s">
        <v>254</v>
      </c>
      <c r="X38">
        <v>1.1415525114155251E-4</v>
      </c>
      <c r="Y38">
        <v>1.5579809230208258E-4</v>
      </c>
      <c r="Z38" t="s">
        <v>602</v>
      </c>
      <c r="AA38" t="s">
        <v>25</v>
      </c>
      <c r="AC38" t="s">
        <v>22</v>
      </c>
      <c r="AD38" t="s">
        <v>602</v>
      </c>
      <c r="AE38">
        <v>1.4882212196481407E-4</v>
      </c>
      <c r="AG38" t="s">
        <v>97</v>
      </c>
      <c r="AH38" t="s">
        <v>602</v>
      </c>
      <c r="AI38">
        <v>0</v>
      </c>
    </row>
    <row r="39" spans="5:35" x14ac:dyDescent="0.45">
      <c r="E39" t="s">
        <v>811</v>
      </c>
      <c r="G39" t="s">
        <v>162</v>
      </c>
      <c r="I39" t="s">
        <v>252</v>
      </c>
      <c r="J39" t="s">
        <v>603</v>
      </c>
      <c r="K39">
        <v>0</v>
      </c>
      <c r="L39" t="s">
        <v>254</v>
      </c>
      <c r="N39" t="s">
        <v>422</v>
      </c>
      <c r="O39" t="s">
        <v>603</v>
      </c>
      <c r="P39">
        <v>2.480609699588E-4</v>
      </c>
      <c r="Q39" t="s">
        <v>254</v>
      </c>
      <c r="S39" t="s">
        <v>423</v>
      </c>
      <c r="T39" t="s">
        <v>603</v>
      </c>
      <c r="U39">
        <v>2.0864114449030001E-4</v>
      </c>
      <c r="V39" t="s">
        <v>254</v>
      </c>
      <c r="X39">
        <v>1.1415525114155251E-4</v>
      </c>
      <c r="Y39">
        <v>1.093901499142282E-4</v>
      </c>
      <c r="Z39" t="s">
        <v>603</v>
      </c>
      <c r="AA39" t="s">
        <v>25</v>
      </c>
      <c r="AC39" t="s">
        <v>22</v>
      </c>
      <c r="AD39" t="s">
        <v>603</v>
      </c>
      <c r="AE39">
        <v>1.3245406406137291E-4</v>
      </c>
      <c r="AG39" t="s">
        <v>97</v>
      </c>
      <c r="AH39" t="s">
        <v>603</v>
      </c>
      <c r="AI39">
        <v>0</v>
      </c>
    </row>
    <row r="40" spans="5:35" x14ac:dyDescent="0.45">
      <c r="E40" t="s">
        <v>812</v>
      </c>
      <c r="G40" t="s">
        <v>162</v>
      </c>
      <c r="I40" t="s">
        <v>252</v>
      </c>
      <c r="J40" t="s">
        <v>604</v>
      </c>
      <c r="K40">
        <v>0</v>
      </c>
      <c r="L40" t="s">
        <v>254</v>
      </c>
      <c r="N40" t="s">
        <v>422</v>
      </c>
      <c r="O40" t="s">
        <v>604</v>
      </c>
      <c r="P40">
        <v>2.425521478744E-4</v>
      </c>
      <c r="Q40" t="s">
        <v>254</v>
      </c>
      <c r="S40" t="s">
        <v>423</v>
      </c>
      <c r="T40" t="s">
        <v>604</v>
      </c>
      <c r="U40">
        <v>2.0727499217090001E-4</v>
      </c>
      <c r="V40" t="s">
        <v>254</v>
      </c>
      <c r="X40">
        <v>1.1415525114155251E-4</v>
      </c>
      <c r="Y40">
        <v>7.9556472664893237E-5</v>
      </c>
      <c r="Z40" t="s">
        <v>604</v>
      </c>
      <c r="AA40" t="s">
        <v>25</v>
      </c>
      <c r="AC40" t="s">
        <v>22</v>
      </c>
      <c r="AD40" t="s">
        <v>604</v>
      </c>
      <c r="AE40">
        <v>1.2387751880154761E-4</v>
      </c>
      <c r="AG40" t="s">
        <v>97</v>
      </c>
      <c r="AH40" t="s">
        <v>604</v>
      </c>
      <c r="AI40">
        <v>0</v>
      </c>
    </row>
    <row r="41" spans="5:35" x14ac:dyDescent="0.45">
      <c r="E41" t="s">
        <v>813</v>
      </c>
      <c r="G41" t="s">
        <v>162</v>
      </c>
      <c r="I41" t="s">
        <v>252</v>
      </c>
      <c r="J41" t="s">
        <v>605</v>
      </c>
      <c r="K41">
        <v>0</v>
      </c>
      <c r="L41" t="s">
        <v>254</v>
      </c>
      <c r="N41" t="s">
        <v>422</v>
      </c>
      <c r="O41" t="s">
        <v>605</v>
      </c>
      <c r="P41">
        <v>2.3593409331049999E-4</v>
      </c>
      <c r="Q41" t="s">
        <v>254</v>
      </c>
      <c r="S41" t="s">
        <v>423</v>
      </c>
      <c r="T41" t="s">
        <v>605</v>
      </c>
      <c r="U41">
        <v>2.0413982350529999E-4</v>
      </c>
      <c r="V41" t="s">
        <v>254</v>
      </c>
      <c r="X41">
        <v>1.1415525114155251E-4</v>
      </c>
      <c r="Y41">
        <v>5.6352501470966035E-5</v>
      </c>
      <c r="Z41" t="s">
        <v>605</v>
      </c>
      <c r="AA41" t="s">
        <v>25</v>
      </c>
      <c r="AC41" t="s">
        <v>22</v>
      </c>
      <c r="AD41" t="s">
        <v>605</v>
      </c>
      <c r="AE41">
        <v>1.1481767984640122E-4</v>
      </c>
      <c r="AG41" t="s">
        <v>97</v>
      </c>
      <c r="AH41" t="s">
        <v>605</v>
      </c>
      <c r="AI41">
        <v>0</v>
      </c>
    </row>
    <row r="42" spans="5:35" x14ac:dyDescent="0.45">
      <c r="E42" t="s">
        <v>814</v>
      </c>
      <c r="G42" t="s">
        <v>162</v>
      </c>
      <c r="I42" t="s">
        <v>252</v>
      </c>
      <c r="J42" t="s">
        <v>606</v>
      </c>
      <c r="K42">
        <v>0</v>
      </c>
      <c r="L42" t="s">
        <v>254</v>
      </c>
      <c r="N42" t="s">
        <v>422</v>
      </c>
      <c r="O42" t="s">
        <v>606</v>
      </c>
      <c r="P42">
        <v>2.321022355572E-4</v>
      </c>
      <c r="Q42" t="s">
        <v>254</v>
      </c>
      <c r="S42" t="s">
        <v>423</v>
      </c>
      <c r="T42" t="s">
        <v>606</v>
      </c>
      <c r="U42">
        <v>2.0010877921810001E-4</v>
      </c>
      <c r="V42" t="s">
        <v>254</v>
      </c>
      <c r="X42">
        <v>1.1415525114155251E-4</v>
      </c>
      <c r="Y42">
        <v>2.9833677249334962E-5</v>
      </c>
      <c r="Z42" t="s">
        <v>606</v>
      </c>
      <c r="AA42" t="s">
        <v>25</v>
      </c>
      <c r="AC42" t="s">
        <v>22</v>
      </c>
      <c r="AD42" t="s">
        <v>606</v>
      </c>
      <c r="AE42">
        <v>9.9022414470748034E-5</v>
      </c>
      <c r="AG42" t="s">
        <v>97</v>
      </c>
      <c r="AH42" t="s">
        <v>606</v>
      </c>
      <c r="AI42">
        <v>0</v>
      </c>
    </row>
    <row r="43" spans="5:35" x14ac:dyDescent="0.45">
      <c r="E43" t="s">
        <v>815</v>
      </c>
      <c r="G43" t="s">
        <v>162</v>
      </c>
      <c r="I43" t="s">
        <v>252</v>
      </c>
      <c r="J43" t="s">
        <v>951</v>
      </c>
      <c r="K43">
        <v>0</v>
      </c>
      <c r="L43" t="s">
        <v>254</v>
      </c>
      <c r="N43" t="s">
        <v>422</v>
      </c>
      <c r="O43" t="s">
        <v>951</v>
      </c>
      <c r="P43">
        <v>2.3065515308970001E-4</v>
      </c>
      <c r="Q43" t="s">
        <v>254</v>
      </c>
      <c r="S43" t="s">
        <v>423</v>
      </c>
      <c r="T43" t="s">
        <v>951</v>
      </c>
      <c r="U43">
        <v>2.0023303860929999E-4</v>
      </c>
      <c r="V43" t="s">
        <v>254</v>
      </c>
      <c r="X43">
        <v>1.1415525114155251E-4</v>
      </c>
      <c r="Y43">
        <v>2.1546544680075254E-5</v>
      </c>
      <c r="Z43" t="s">
        <v>951</v>
      </c>
      <c r="AA43" t="s">
        <v>25</v>
      </c>
      <c r="AC43" t="s">
        <v>22</v>
      </c>
      <c r="AD43" t="s">
        <v>951</v>
      </c>
      <c r="AE43">
        <v>9.5746757202460551E-5</v>
      </c>
      <c r="AG43" t="s">
        <v>97</v>
      </c>
      <c r="AH43" t="s">
        <v>951</v>
      </c>
      <c r="AI43">
        <v>0</v>
      </c>
    </row>
    <row r="44" spans="5:35" x14ac:dyDescent="0.45">
      <c r="E44" t="s">
        <v>816</v>
      </c>
      <c r="G44" t="s">
        <v>162</v>
      </c>
      <c r="I44" t="s">
        <v>252</v>
      </c>
      <c r="J44" t="s">
        <v>952</v>
      </c>
      <c r="K44">
        <v>0</v>
      </c>
      <c r="L44" t="s">
        <v>254</v>
      </c>
      <c r="N44" t="s">
        <v>422</v>
      </c>
      <c r="O44" t="s">
        <v>952</v>
      </c>
      <c r="P44">
        <v>2.2903139682519999E-4</v>
      </c>
      <c r="Q44" t="s">
        <v>254</v>
      </c>
      <c r="S44" t="s">
        <v>423</v>
      </c>
      <c r="T44" t="s">
        <v>952</v>
      </c>
      <c r="U44">
        <v>1.9877062712149999E-4</v>
      </c>
      <c r="V44" t="s">
        <v>254</v>
      </c>
      <c r="X44">
        <v>1.1415525114155251E-4</v>
      </c>
      <c r="Y44">
        <v>1.4916838624667481E-5</v>
      </c>
      <c r="Z44" t="s">
        <v>952</v>
      </c>
      <c r="AA44" t="s">
        <v>25</v>
      </c>
      <c r="AC44" t="s">
        <v>22</v>
      </c>
      <c r="AD44" t="s">
        <v>952</v>
      </c>
      <c r="AE44">
        <v>9.315640527991938E-5</v>
      </c>
      <c r="AG44" t="s">
        <v>97</v>
      </c>
      <c r="AH44" t="s">
        <v>952</v>
      </c>
      <c r="AI44">
        <v>0</v>
      </c>
    </row>
    <row r="45" spans="5:35" x14ac:dyDescent="0.45">
      <c r="E45" t="s">
        <v>817</v>
      </c>
      <c r="G45" t="s">
        <v>162</v>
      </c>
      <c r="I45" t="s">
        <v>252</v>
      </c>
      <c r="J45" t="s">
        <v>953</v>
      </c>
      <c r="K45">
        <v>0</v>
      </c>
      <c r="L45" t="s">
        <v>254</v>
      </c>
      <c r="N45" t="s">
        <v>422</v>
      </c>
      <c r="O45" t="s">
        <v>953</v>
      </c>
      <c r="P45">
        <v>2.2684009778079999E-4</v>
      </c>
      <c r="Q45" t="s">
        <v>254</v>
      </c>
      <c r="S45" t="s">
        <v>423</v>
      </c>
      <c r="T45" t="s">
        <v>953</v>
      </c>
      <c r="U45">
        <v>1.967857748236E-4</v>
      </c>
      <c r="V45" t="s">
        <v>254</v>
      </c>
      <c r="X45">
        <v>1.1415525114155251E-4</v>
      </c>
      <c r="Y45">
        <v>1.6574265138519424E-5</v>
      </c>
      <c r="Z45" t="s">
        <v>953</v>
      </c>
      <c r="AA45" t="s">
        <v>25</v>
      </c>
      <c r="AC45" t="s">
        <v>22</v>
      </c>
      <c r="AD45" t="s">
        <v>953</v>
      </c>
      <c r="AE45">
        <v>9.2928822534503645E-5</v>
      </c>
      <c r="AG45" t="s">
        <v>97</v>
      </c>
      <c r="AH45" t="s">
        <v>953</v>
      </c>
      <c r="AI45">
        <v>0</v>
      </c>
    </row>
    <row r="46" spans="5:35" x14ac:dyDescent="0.45">
      <c r="E46" t="s">
        <v>818</v>
      </c>
      <c r="G46" t="s">
        <v>162</v>
      </c>
      <c r="I46" t="s">
        <v>252</v>
      </c>
      <c r="J46" t="s">
        <v>954</v>
      </c>
      <c r="K46">
        <v>0</v>
      </c>
      <c r="L46" t="s">
        <v>254</v>
      </c>
      <c r="N46" t="s">
        <v>422</v>
      </c>
      <c r="O46" t="s">
        <v>954</v>
      </c>
      <c r="P46">
        <v>2.2577313864970001E-4</v>
      </c>
      <c r="Q46" t="s">
        <v>254</v>
      </c>
      <c r="S46" t="s">
        <v>423</v>
      </c>
      <c r="T46" t="s">
        <v>954</v>
      </c>
      <c r="U46">
        <v>1.9512210037479999E-4</v>
      </c>
      <c r="V46" t="s">
        <v>254</v>
      </c>
      <c r="X46">
        <v>1.1415525114155251E-4</v>
      </c>
      <c r="Y46">
        <v>1.4585353321897093E-5</v>
      </c>
      <c r="Z46" t="s">
        <v>954</v>
      </c>
      <c r="AA46" t="s">
        <v>25</v>
      </c>
      <c r="AC46" t="s">
        <v>22</v>
      </c>
      <c r="AD46" t="s">
        <v>954</v>
      </c>
      <c r="AE46">
        <v>9.2928822534503645E-5</v>
      </c>
      <c r="AG46" t="s">
        <v>97</v>
      </c>
      <c r="AH46" t="s">
        <v>954</v>
      </c>
      <c r="AI46">
        <v>0</v>
      </c>
    </row>
    <row r="47" spans="5:35" x14ac:dyDescent="0.45">
      <c r="E47" t="s">
        <v>819</v>
      </c>
      <c r="G47" t="s">
        <v>162</v>
      </c>
      <c r="I47" t="s">
        <v>252</v>
      </c>
      <c r="J47" t="s">
        <v>955</v>
      </c>
      <c r="K47">
        <v>0</v>
      </c>
      <c r="L47" t="s">
        <v>254</v>
      </c>
      <c r="N47" t="s">
        <v>422</v>
      </c>
      <c r="O47" t="s">
        <v>955</v>
      </c>
      <c r="P47">
        <v>2.254855965816E-4</v>
      </c>
      <c r="Q47" t="s">
        <v>254</v>
      </c>
      <c r="S47" t="s">
        <v>423</v>
      </c>
      <c r="T47" t="s">
        <v>955</v>
      </c>
      <c r="U47">
        <v>1.9324940767229999E-4</v>
      </c>
      <c r="V47" t="s">
        <v>254</v>
      </c>
      <c r="X47">
        <v>1.1415525114155251E-4</v>
      </c>
      <c r="Y47">
        <v>2.1215059377304864E-5</v>
      </c>
      <c r="Z47" t="s">
        <v>955</v>
      </c>
      <c r="AA47" t="s">
        <v>25</v>
      </c>
      <c r="AC47" t="s">
        <v>22</v>
      </c>
      <c r="AD47" t="s">
        <v>955</v>
      </c>
      <c r="AE47">
        <v>9.9492922618573841E-5</v>
      </c>
      <c r="AG47" t="s">
        <v>97</v>
      </c>
      <c r="AH47" t="s">
        <v>955</v>
      </c>
      <c r="AI47">
        <v>0</v>
      </c>
    </row>
    <row r="48" spans="5:35" x14ac:dyDescent="0.45">
      <c r="E48" t="s">
        <v>820</v>
      </c>
      <c r="G48" t="s">
        <v>162</v>
      </c>
      <c r="I48" t="s">
        <v>252</v>
      </c>
      <c r="J48" t="s">
        <v>956</v>
      </c>
      <c r="K48">
        <v>0</v>
      </c>
      <c r="L48" t="s">
        <v>254</v>
      </c>
      <c r="N48" t="s">
        <v>422</v>
      </c>
      <c r="O48" t="s">
        <v>956</v>
      </c>
      <c r="P48">
        <v>2.2551917622469999E-4</v>
      </c>
      <c r="Q48" t="s">
        <v>254</v>
      </c>
      <c r="S48" t="s">
        <v>423</v>
      </c>
      <c r="T48" t="s">
        <v>956</v>
      </c>
      <c r="U48">
        <v>1.93136097522E-4</v>
      </c>
      <c r="V48" t="s">
        <v>254</v>
      </c>
      <c r="X48">
        <v>1.1415525114155251E-4</v>
      </c>
      <c r="Y48">
        <v>5.7678442682047593E-5</v>
      </c>
      <c r="Z48" t="s">
        <v>956</v>
      </c>
      <c r="AA48" t="s">
        <v>25</v>
      </c>
      <c r="AC48" t="s">
        <v>22</v>
      </c>
      <c r="AD48" t="s">
        <v>956</v>
      </c>
      <c r="AE48">
        <v>1.2104935569559449E-4</v>
      </c>
      <c r="AG48" t="s">
        <v>97</v>
      </c>
      <c r="AH48" t="s">
        <v>956</v>
      </c>
      <c r="AI48">
        <v>0</v>
      </c>
    </row>
    <row r="49" spans="5:35" x14ac:dyDescent="0.45">
      <c r="E49" t="s">
        <v>821</v>
      </c>
      <c r="G49" t="s">
        <v>162</v>
      </c>
      <c r="I49" t="s">
        <v>252</v>
      </c>
      <c r="J49" t="s">
        <v>957</v>
      </c>
      <c r="K49">
        <v>0</v>
      </c>
      <c r="L49" t="s">
        <v>254</v>
      </c>
      <c r="N49" t="s">
        <v>422</v>
      </c>
      <c r="O49" t="s">
        <v>957</v>
      </c>
      <c r="P49">
        <v>2.2400574347979999E-4</v>
      </c>
      <c r="Q49" t="s">
        <v>254</v>
      </c>
      <c r="S49" t="s">
        <v>423</v>
      </c>
      <c r="T49" t="s">
        <v>957</v>
      </c>
      <c r="U49">
        <v>1.9154688077809999E-4</v>
      </c>
      <c r="V49" t="s">
        <v>254</v>
      </c>
      <c r="X49">
        <v>1.1415525114155251E-4</v>
      </c>
      <c r="Y49">
        <v>1.6905750441289813E-4</v>
      </c>
      <c r="Z49" t="s">
        <v>957</v>
      </c>
      <c r="AA49" t="s">
        <v>25</v>
      </c>
      <c r="AC49" t="s">
        <v>22</v>
      </c>
      <c r="AD49" t="s">
        <v>957</v>
      </c>
      <c r="AE49">
        <v>1.3715403132063316E-4</v>
      </c>
      <c r="AG49" t="s">
        <v>97</v>
      </c>
      <c r="AH49" t="s">
        <v>957</v>
      </c>
      <c r="AI49">
        <v>0</v>
      </c>
    </row>
    <row r="50" spans="5:35" x14ac:dyDescent="0.45">
      <c r="E50" t="s">
        <v>822</v>
      </c>
      <c r="G50" t="s">
        <v>162</v>
      </c>
      <c r="I50" t="s">
        <v>252</v>
      </c>
      <c r="J50" t="s">
        <v>958</v>
      </c>
      <c r="K50">
        <v>0</v>
      </c>
      <c r="L50" t="s">
        <v>254</v>
      </c>
      <c r="N50" t="s">
        <v>422</v>
      </c>
      <c r="O50" t="s">
        <v>958</v>
      </c>
      <c r="P50">
        <v>2.2440726510630001E-4</v>
      </c>
      <c r="Q50" t="s">
        <v>254</v>
      </c>
      <c r="S50" t="s">
        <v>423</v>
      </c>
      <c r="T50" t="s">
        <v>958</v>
      </c>
      <c r="U50">
        <v>1.9151108567339999E-4</v>
      </c>
      <c r="V50" t="s">
        <v>254</v>
      </c>
      <c r="X50">
        <v>1.1415525114155251E-4</v>
      </c>
      <c r="Y50">
        <v>1.9060404909297337E-4</v>
      </c>
      <c r="Z50" t="s">
        <v>958</v>
      </c>
      <c r="AA50" t="s">
        <v>25</v>
      </c>
      <c r="AC50" t="s">
        <v>22</v>
      </c>
      <c r="AD50" t="s">
        <v>958</v>
      </c>
      <c r="AE50">
        <v>1.4832859983149676E-4</v>
      </c>
      <c r="AG50" t="s">
        <v>97</v>
      </c>
      <c r="AH50" t="s">
        <v>958</v>
      </c>
      <c r="AI50">
        <v>0</v>
      </c>
    </row>
    <row r="51" spans="5:35" x14ac:dyDescent="0.45">
      <c r="E51" t="s">
        <v>823</v>
      </c>
      <c r="G51" t="s">
        <v>162</v>
      </c>
      <c r="I51" t="s">
        <v>252</v>
      </c>
      <c r="J51" t="s">
        <v>959</v>
      </c>
      <c r="K51">
        <v>9.4330196356761823E-5</v>
      </c>
      <c r="L51" t="s">
        <v>254</v>
      </c>
      <c r="N51" t="s">
        <v>422</v>
      </c>
      <c r="O51" t="s">
        <v>959</v>
      </c>
      <c r="P51">
        <v>2.2400093887239999E-4</v>
      </c>
      <c r="Q51" t="s">
        <v>254</v>
      </c>
      <c r="S51" t="s">
        <v>423</v>
      </c>
      <c r="T51" t="s">
        <v>959</v>
      </c>
      <c r="U51">
        <v>1.9134280863600001E-4</v>
      </c>
      <c r="V51" t="s">
        <v>254</v>
      </c>
      <c r="X51">
        <v>1.1415525114155251E-4</v>
      </c>
      <c r="Y51">
        <v>1.4585353321897094E-4</v>
      </c>
      <c r="Z51" t="s">
        <v>959</v>
      </c>
      <c r="AA51" t="s">
        <v>25</v>
      </c>
      <c r="AC51" t="s">
        <v>22</v>
      </c>
      <c r="AD51" t="s">
        <v>959</v>
      </c>
      <c r="AE51">
        <v>1.5076041096509659E-4</v>
      </c>
      <c r="AG51" t="s">
        <v>97</v>
      </c>
      <c r="AH51" t="s">
        <v>959</v>
      </c>
      <c r="AI51">
        <v>0</v>
      </c>
    </row>
    <row r="52" spans="5:35" x14ac:dyDescent="0.45">
      <c r="E52" t="s">
        <v>824</v>
      </c>
      <c r="G52" t="s">
        <v>162</v>
      </c>
      <c r="I52" t="s">
        <v>252</v>
      </c>
      <c r="J52" t="s">
        <v>960</v>
      </c>
      <c r="K52">
        <v>1.570483496248E-4</v>
      </c>
      <c r="L52" t="s">
        <v>254</v>
      </c>
      <c r="N52" t="s">
        <v>422</v>
      </c>
      <c r="O52" t="s">
        <v>960</v>
      </c>
      <c r="P52">
        <v>2.230349584812E-4</v>
      </c>
      <c r="Q52" t="s">
        <v>254</v>
      </c>
      <c r="S52" t="s">
        <v>423</v>
      </c>
      <c r="T52" t="s">
        <v>960</v>
      </c>
      <c r="U52">
        <v>1.9175219930359999E-4</v>
      </c>
      <c r="V52" t="s">
        <v>254</v>
      </c>
      <c r="X52">
        <v>1.1415525114155251E-4</v>
      </c>
      <c r="Y52">
        <v>1.4452759200788939E-4</v>
      </c>
      <c r="Z52" t="s">
        <v>960</v>
      </c>
      <c r="AA52" t="s">
        <v>25</v>
      </c>
      <c r="AC52" t="s">
        <v>22</v>
      </c>
      <c r="AD52" t="s">
        <v>960</v>
      </c>
      <c r="AE52">
        <v>1.5074251119860321E-4</v>
      </c>
      <c r="AG52" t="s">
        <v>97</v>
      </c>
      <c r="AH52" t="s">
        <v>960</v>
      </c>
      <c r="AI52">
        <v>0</v>
      </c>
    </row>
    <row r="53" spans="5:35" x14ac:dyDescent="0.45">
      <c r="E53" t="s">
        <v>825</v>
      </c>
      <c r="G53" t="s">
        <v>162</v>
      </c>
      <c r="I53" t="s">
        <v>252</v>
      </c>
      <c r="J53" t="s">
        <v>961</v>
      </c>
      <c r="K53">
        <v>2.1093132442460001E-4</v>
      </c>
      <c r="L53" t="s">
        <v>254</v>
      </c>
      <c r="N53" t="s">
        <v>422</v>
      </c>
      <c r="O53" t="s">
        <v>961</v>
      </c>
      <c r="P53">
        <v>2.2219283671979999E-4</v>
      </c>
      <c r="Q53" t="s">
        <v>254</v>
      </c>
      <c r="S53" t="s">
        <v>423</v>
      </c>
      <c r="T53" t="s">
        <v>961</v>
      </c>
      <c r="U53">
        <v>1.9241244588490001E-4</v>
      </c>
      <c r="V53" t="s">
        <v>254</v>
      </c>
      <c r="X53">
        <v>1.1415525114155251E-4</v>
      </c>
      <c r="Y53">
        <v>1.408812536774151E-4</v>
      </c>
      <c r="Z53" t="s">
        <v>961</v>
      </c>
      <c r="AA53" t="s">
        <v>25</v>
      </c>
      <c r="AC53" t="s">
        <v>22</v>
      </c>
      <c r="AD53" t="s">
        <v>961</v>
      </c>
      <c r="AE53">
        <v>1.5067346924212878E-4</v>
      </c>
      <c r="AG53" t="s">
        <v>97</v>
      </c>
      <c r="AH53" t="s">
        <v>961</v>
      </c>
      <c r="AI53">
        <v>0</v>
      </c>
    </row>
    <row r="54" spans="5:35" x14ac:dyDescent="0.45">
      <c r="E54" t="s">
        <v>826</v>
      </c>
      <c r="G54" t="s">
        <v>162</v>
      </c>
      <c r="I54" t="s">
        <v>252</v>
      </c>
      <c r="J54" t="s">
        <v>962</v>
      </c>
      <c r="K54">
        <v>2.1944565506620001E-4</v>
      </c>
      <c r="L54" t="s">
        <v>254</v>
      </c>
      <c r="N54" t="s">
        <v>422</v>
      </c>
      <c r="O54" t="s">
        <v>962</v>
      </c>
      <c r="P54">
        <v>2.2245823152989999E-4</v>
      </c>
      <c r="Q54" t="s">
        <v>254</v>
      </c>
      <c r="S54" t="s">
        <v>423</v>
      </c>
      <c r="T54" t="s">
        <v>962</v>
      </c>
      <c r="U54">
        <v>1.9202356699349999E-4</v>
      </c>
      <c r="V54" t="s">
        <v>254</v>
      </c>
      <c r="X54">
        <v>1.1415525114155251E-4</v>
      </c>
      <c r="Y54">
        <v>1.4054976837464471E-4</v>
      </c>
      <c r="Z54" t="s">
        <v>962</v>
      </c>
      <c r="AA54" t="s">
        <v>25</v>
      </c>
      <c r="AC54" t="s">
        <v>22</v>
      </c>
      <c r="AD54" t="s">
        <v>962</v>
      </c>
      <c r="AE54">
        <v>1.5052259978168462E-4</v>
      </c>
      <c r="AG54" t="s">
        <v>97</v>
      </c>
      <c r="AH54" t="s">
        <v>962</v>
      </c>
      <c r="AI54">
        <v>0</v>
      </c>
    </row>
    <row r="55" spans="5:35" x14ac:dyDescent="0.45">
      <c r="E55" t="s">
        <v>827</v>
      </c>
      <c r="G55" t="s">
        <v>162</v>
      </c>
      <c r="I55" t="s">
        <v>252</v>
      </c>
      <c r="J55" t="s">
        <v>963</v>
      </c>
      <c r="K55">
        <v>1.9934566451650001E-4</v>
      </c>
      <c r="L55" t="s">
        <v>254</v>
      </c>
      <c r="N55" t="s">
        <v>422</v>
      </c>
      <c r="O55" t="s">
        <v>963</v>
      </c>
      <c r="P55">
        <v>2.229568254942E-4</v>
      </c>
      <c r="Q55" t="s">
        <v>254</v>
      </c>
      <c r="S55" t="s">
        <v>423</v>
      </c>
      <c r="T55" t="s">
        <v>963</v>
      </c>
      <c r="U55">
        <v>1.9209945035090001E-4</v>
      </c>
      <c r="V55" t="s">
        <v>254</v>
      </c>
      <c r="X55">
        <v>1.1415525114155251E-4</v>
      </c>
      <c r="Y55">
        <v>1.4253868019126702E-4</v>
      </c>
      <c r="Z55" t="s">
        <v>963</v>
      </c>
      <c r="AA55" t="s">
        <v>25</v>
      </c>
      <c r="AC55" t="s">
        <v>22</v>
      </c>
      <c r="AD55" t="s">
        <v>963</v>
      </c>
      <c r="AE55">
        <v>1.4969665341349036E-4</v>
      </c>
      <c r="AG55" t="s">
        <v>97</v>
      </c>
      <c r="AH55" t="s">
        <v>963</v>
      </c>
      <c r="AI55">
        <v>0</v>
      </c>
    </row>
    <row r="56" spans="5:35" x14ac:dyDescent="0.45">
      <c r="E56" t="s">
        <v>828</v>
      </c>
      <c r="G56" t="s">
        <v>162</v>
      </c>
      <c r="I56" t="s">
        <v>252</v>
      </c>
      <c r="J56" t="s">
        <v>964</v>
      </c>
      <c r="K56">
        <v>2.0269368884460001E-4</v>
      </c>
      <c r="L56" t="s">
        <v>254</v>
      </c>
      <c r="N56" t="s">
        <v>422</v>
      </c>
      <c r="O56" t="s">
        <v>964</v>
      </c>
      <c r="P56">
        <v>2.23355553614E-4</v>
      </c>
      <c r="Q56" t="s">
        <v>254</v>
      </c>
      <c r="S56" t="s">
        <v>423</v>
      </c>
      <c r="T56" t="s">
        <v>964</v>
      </c>
      <c r="U56">
        <v>1.9218088153250001E-4</v>
      </c>
      <c r="V56" t="s">
        <v>254</v>
      </c>
      <c r="X56">
        <v>1.1415525114155251E-4</v>
      </c>
      <c r="Y56">
        <v>1.4883690094390442E-4</v>
      </c>
      <c r="Z56" t="s">
        <v>964</v>
      </c>
      <c r="AA56" t="s">
        <v>25</v>
      </c>
      <c r="AC56" t="s">
        <v>22</v>
      </c>
      <c r="AD56" t="s">
        <v>964</v>
      </c>
      <c r="AE56">
        <v>1.4969665341349036E-4</v>
      </c>
      <c r="AG56" t="s">
        <v>97</v>
      </c>
      <c r="AH56" t="s">
        <v>964</v>
      </c>
      <c r="AI56">
        <v>0</v>
      </c>
    </row>
    <row r="57" spans="5:35" x14ac:dyDescent="0.45">
      <c r="E57" t="s">
        <v>829</v>
      </c>
      <c r="G57" t="s">
        <v>162</v>
      </c>
      <c r="I57" t="s">
        <v>252</v>
      </c>
      <c r="J57" t="s">
        <v>965</v>
      </c>
      <c r="K57">
        <v>2.1401415391030001E-4</v>
      </c>
      <c r="L57" t="s">
        <v>254</v>
      </c>
      <c r="N57" t="s">
        <v>422</v>
      </c>
      <c r="O57" t="s">
        <v>965</v>
      </c>
      <c r="P57">
        <v>2.2374513402910001E-4</v>
      </c>
      <c r="Q57" t="s">
        <v>254</v>
      </c>
      <c r="S57" t="s">
        <v>423</v>
      </c>
      <c r="T57" t="s">
        <v>965</v>
      </c>
      <c r="U57">
        <v>1.921570207137E-4</v>
      </c>
      <c r="V57" t="s">
        <v>254</v>
      </c>
      <c r="X57">
        <v>1.1415525114155251E-4</v>
      </c>
      <c r="Y57">
        <v>1.5049432745775637E-4</v>
      </c>
      <c r="Z57" t="s">
        <v>965</v>
      </c>
      <c r="AA57" t="s">
        <v>25</v>
      </c>
      <c r="AC57" t="s">
        <v>22</v>
      </c>
      <c r="AD57" t="s">
        <v>965</v>
      </c>
      <c r="AE57">
        <v>1.4890650657828282E-4</v>
      </c>
      <c r="AG57" t="s">
        <v>97</v>
      </c>
      <c r="AH57" t="s">
        <v>965</v>
      </c>
      <c r="AI57">
        <v>0</v>
      </c>
    </row>
    <row r="58" spans="5:35" x14ac:dyDescent="0.45">
      <c r="E58" t="s">
        <v>830</v>
      </c>
      <c r="G58" t="s">
        <v>162</v>
      </c>
      <c r="I58" t="s">
        <v>252</v>
      </c>
      <c r="J58" t="s">
        <v>966</v>
      </c>
      <c r="K58">
        <v>1.9450486295349999E-4</v>
      </c>
      <c r="L58" t="s">
        <v>254</v>
      </c>
      <c r="N58" t="s">
        <v>422</v>
      </c>
      <c r="O58" t="s">
        <v>966</v>
      </c>
      <c r="P58">
        <v>2.241833666531E-4</v>
      </c>
      <c r="Q58" t="s">
        <v>254</v>
      </c>
      <c r="S58" t="s">
        <v>423</v>
      </c>
      <c r="T58" t="s">
        <v>966</v>
      </c>
      <c r="U58">
        <v>1.921661929398E-4</v>
      </c>
      <c r="V58" t="s">
        <v>254</v>
      </c>
      <c r="X58">
        <v>1.1415525114155251E-4</v>
      </c>
      <c r="Y58">
        <v>1.7237235744060203E-4</v>
      </c>
      <c r="Z58" t="s">
        <v>966</v>
      </c>
      <c r="AA58" t="s">
        <v>25</v>
      </c>
      <c r="AC58" t="s">
        <v>22</v>
      </c>
      <c r="AD58" t="s">
        <v>966</v>
      </c>
      <c r="AE58">
        <v>1.4890650657828282E-4</v>
      </c>
      <c r="AG58" t="s">
        <v>97</v>
      </c>
      <c r="AH58" t="s">
        <v>966</v>
      </c>
      <c r="AI58">
        <v>0</v>
      </c>
    </row>
    <row r="59" spans="5:35" x14ac:dyDescent="0.45">
      <c r="E59" t="s">
        <v>156</v>
      </c>
      <c r="G59" t="s">
        <v>166</v>
      </c>
      <c r="I59" t="s">
        <v>252</v>
      </c>
      <c r="J59" t="s">
        <v>967</v>
      </c>
      <c r="K59">
        <v>1.464625424729E-4</v>
      </c>
      <c r="L59" t="s">
        <v>254</v>
      </c>
      <c r="N59" t="s">
        <v>422</v>
      </c>
      <c r="O59" t="s">
        <v>967</v>
      </c>
      <c r="P59">
        <v>2.261782748433E-4</v>
      </c>
      <c r="Q59" t="s">
        <v>254</v>
      </c>
      <c r="S59" t="s">
        <v>423</v>
      </c>
      <c r="T59" t="s">
        <v>967</v>
      </c>
      <c r="U59">
        <v>1.9254167452849999E-4</v>
      </c>
      <c r="V59" t="s">
        <v>254</v>
      </c>
      <c r="X59">
        <v>1.1415525114155251E-4</v>
      </c>
      <c r="Y59">
        <v>2.2209515285616027E-4</v>
      </c>
      <c r="Z59" t="s">
        <v>967</v>
      </c>
      <c r="AA59" t="s">
        <v>25</v>
      </c>
      <c r="AC59" t="s">
        <v>22</v>
      </c>
      <c r="AD59" t="s">
        <v>967</v>
      </c>
      <c r="AE59">
        <v>1.4826978631301852E-4</v>
      </c>
      <c r="AG59" t="s">
        <v>97</v>
      </c>
      <c r="AH59" t="s">
        <v>967</v>
      </c>
      <c r="AI59">
        <v>0</v>
      </c>
    </row>
    <row r="60" spans="5:35" x14ac:dyDescent="0.45">
      <c r="E60" t="s">
        <v>160</v>
      </c>
      <c r="G60" t="s">
        <v>166</v>
      </c>
      <c r="I60" t="s">
        <v>252</v>
      </c>
      <c r="J60" t="s">
        <v>968</v>
      </c>
      <c r="K60">
        <v>8.121846296704863E-5</v>
      </c>
      <c r="L60" t="s">
        <v>254</v>
      </c>
      <c r="N60" t="s">
        <v>422</v>
      </c>
      <c r="O60" t="s">
        <v>968</v>
      </c>
      <c r="P60">
        <v>2.2682149981350001E-4</v>
      </c>
      <c r="Q60" t="s">
        <v>254</v>
      </c>
      <c r="S60" t="s">
        <v>423</v>
      </c>
      <c r="T60" t="s">
        <v>968</v>
      </c>
      <c r="U60">
        <v>1.9257932733389999E-4</v>
      </c>
      <c r="V60" t="s">
        <v>254</v>
      </c>
      <c r="X60">
        <v>1.1415525114155251E-4</v>
      </c>
      <c r="Y60">
        <v>2.2209515285616027E-4</v>
      </c>
      <c r="Z60" t="s">
        <v>968</v>
      </c>
      <c r="AA60" t="s">
        <v>25</v>
      </c>
      <c r="AC60" t="s">
        <v>22</v>
      </c>
      <c r="AD60" t="s">
        <v>968</v>
      </c>
      <c r="AE60">
        <v>1.485510683579144E-4</v>
      </c>
      <c r="AG60" t="s">
        <v>97</v>
      </c>
      <c r="AH60" t="s">
        <v>968</v>
      </c>
      <c r="AI60">
        <v>0</v>
      </c>
    </row>
    <row r="61" spans="5:35" x14ac:dyDescent="0.45">
      <c r="E61" t="s">
        <v>163</v>
      </c>
      <c r="G61" t="s">
        <v>166</v>
      </c>
      <c r="I61" t="s">
        <v>252</v>
      </c>
      <c r="J61" t="s">
        <v>969</v>
      </c>
      <c r="K61">
        <v>0</v>
      </c>
      <c r="L61" t="s">
        <v>254</v>
      </c>
      <c r="N61" t="s">
        <v>422</v>
      </c>
      <c r="O61" t="s">
        <v>969</v>
      </c>
      <c r="P61">
        <v>2.2777041137859999E-4</v>
      </c>
      <c r="Q61" t="s">
        <v>254</v>
      </c>
      <c r="S61" t="s">
        <v>423</v>
      </c>
      <c r="T61" t="s">
        <v>969</v>
      </c>
      <c r="U61">
        <v>1.9277510570099999E-4</v>
      </c>
      <c r="V61" t="s">
        <v>254</v>
      </c>
      <c r="X61">
        <v>1.1415525114155251E-4</v>
      </c>
      <c r="Y61">
        <v>1.7237235744060203E-4</v>
      </c>
      <c r="Z61" t="s">
        <v>969</v>
      </c>
      <c r="AA61" t="s">
        <v>25</v>
      </c>
      <c r="AC61" t="s">
        <v>22</v>
      </c>
      <c r="AD61" t="s">
        <v>969</v>
      </c>
      <c r="AE61">
        <v>1.479143480926501E-4</v>
      </c>
      <c r="AG61" t="s">
        <v>97</v>
      </c>
      <c r="AH61" t="s">
        <v>969</v>
      </c>
      <c r="AI61">
        <v>0</v>
      </c>
    </row>
    <row r="62" spans="5:35" x14ac:dyDescent="0.45">
      <c r="E62" t="s">
        <v>167</v>
      </c>
      <c r="G62" t="s">
        <v>166</v>
      </c>
      <c r="I62" t="s">
        <v>252</v>
      </c>
      <c r="J62" t="s">
        <v>970</v>
      </c>
      <c r="K62">
        <v>0</v>
      </c>
      <c r="L62" t="s">
        <v>254</v>
      </c>
      <c r="N62" t="s">
        <v>422</v>
      </c>
      <c r="O62" t="s">
        <v>970</v>
      </c>
      <c r="P62">
        <v>2.2807985654629999E-4</v>
      </c>
      <c r="Q62" t="s">
        <v>254</v>
      </c>
      <c r="S62" t="s">
        <v>423</v>
      </c>
      <c r="T62" t="s">
        <v>970</v>
      </c>
      <c r="U62">
        <v>1.9297462785440001E-4</v>
      </c>
      <c r="V62" t="s">
        <v>254</v>
      </c>
      <c r="X62">
        <v>1.1415525114155251E-4</v>
      </c>
      <c r="Y62">
        <v>1.5579809230208258E-4</v>
      </c>
      <c r="Z62" t="s">
        <v>970</v>
      </c>
      <c r="AA62" t="s">
        <v>25</v>
      </c>
      <c r="AC62" t="s">
        <v>22</v>
      </c>
      <c r="AD62" t="s">
        <v>970</v>
      </c>
      <c r="AE62">
        <v>1.4529331085612028E-4</v>
      </c>
      <c r="AG62" t="s">
        <v>97</v>
      </c>
      <c r="AH62" t="s">
        <v>970</v>
      </c>
      <c r="AI62">
        <v>0</v>
      </c>
    </row>
    <row r="63" spans="5:35" x14ac:dyDescent="0.45">
      <c r="E63" t="s">
        <v>170</v>
      </c>
      <c r="G63" t="s">
        <v>166</v>
      </c>
      <c r="I63" t="s">
        <v>252</v>
      </c>
      <c r="J63" t="s">
        <v>971</v>
      </c>
      <c r="K63">
        <v>0</v>
      </c>
      <c r="L63" t="s">
        <v>254</v>
      </c>
      <c r="N63" t="s">
        <v>422</v>
      </c>
      <c r="O63" t="s">
        <v>971</v>
      </c>
      <c r="P63">
        <v>2.276185347577E-4</v>
      </c>
      <c r="Q63" t="s">
        <v>254</v>
      </c>
      <c r="S63" t="s">
        <v>423</v>
      </c>
      <c r="T63" t="s">
        <v>971</v>
      </c>
      <c r="U63">
        <v>1.931306941684E-4</v>
      </c>
      <c r="V63" t="s">
        <v>254</v>
      </c>
      <c r="X63">
        <v>1.1415525114155251E-4</v>
      </c>
      <c r="Y63">
        <v>1.093901499142282E-4</v>
      </c>
      <c r="Z63" t="s">
        <v>971</v>
      </c>
      <c r="AA63" t="s">
        <v>25</v>
      </c>
      <c r="AC63" t="s">
        <v>22</v>
      </c>
      <c r="AD63" t="s">
        <v>971</v>
      </c>
      <c r="AE63">
        <v>1.3180711535811239E-4</v>
      </c>
      <c r="AG63" t="s">
        <v>97</v>
      </c>
      <c r="AH63" t="s">
        <v>971</v>
      </c>
      <c r="AI63">
        <v>0</v>
      </c>
    </row>
    <row r="64" spans="5:35" x14ac:dyDescent="0.45">
      <c r="E64" t="s">
        <v>172</v>
      </c>
      <c r="G64" t="s">
        <v>166</v>
      </c>
      <c r="I64" t="s">
        <v>252</v>
      </c>
      <c r="J64" t="s">
        <v>972</v>
      </c>
      <c r="K64">
        <v>0</v>
      </c>
      <c r="L64" t="s">
        <v>254</v>
      </c>
      <c r="N64" t="s">
        <v>422</v>
      </c>
      <c r="O64" t="s">
        <v>972</v>
      </c>
      <c r="P64">
        <v>2.275038530361E-4</v>
      </c>
      <c r="Q64" t="s">
        <v>254</v>
      </c>
      <c r="S64" t="s">
        <v>423</v>
      </c>
      <c r="T64" t="s">
        <v>972</v>
      </c>
      <c r="U64">
        <v>1.934428629417E-4</v>
      </c>
      <c r="V64" t="s">
        <v>254</v>
      </c>
      <c r="X64">
        <v>1.1415525114155251E-4</v>
      </c>
      <c r="Y64">
        <v>7.9556472664893237E-5</v>
      </c>
      <c r="Z64" t="s">
        <v>972</v>
      </c>
      <c r="AA64" t="s">
        <v>25</v>
      </c>
      <c r="AC64" t="s">
        <v>22</v>
      </c>
      <c r="AD64" t="s">
        <v>972</v>
      </c>
      <c r="AE64">
        <v>1.2248389412456345E-4</v>
      </c>
      <c r="AG64" t="s">
        <v>97</v>
      </c>
      <c r="AH64" t="s">
        <v>972</v>
      </c>
      <c r="AI64">
        <v>0</v>
      </c>
    </row>
    <row r="65" spans="5:35" x14ac:dyDescent="0.45">
      <c r="E65" t="s">
        <v>174</v>
      </c>
      <c r="G65" t="s">
        <v>166</v>
      </c>
      <c r="I65" t="s">
        <v>252</v>
      </c>
      <c r="J65" t="s">
        <v>973</v>
      </c>
      <c r="K65">
        <v>0</v>
      </c>
      <c r="L65" t="s">
        <v>254</v>
      </c>
      <c r="N65" t="s">
        <v>422</v>
      </c>
      <c r="O65" t="s">
        <v>973</v>
      </c>
      <c r="P65">
        <v>2.290915655645E-4</v>
      </c>
      <c r="Q65" t="s">
        <v>254</v>
      </c>
      <c r="S65" t="s">
        <v>423</v>
      </c>
      <c r="T65" t="s">
        <v>973</v>
      </c>
      <c r="U65">
        <v>1.944115859433E-4</v>
      </c>
      <c r="V65" t="s">
        <v>254</v>
      </c>
      <c r="X65">
        <v>1.1415525114155251E-4</v>
      </c>
      <c r="Y65">
        <v>5.6352501470966035E-5</v>
      </c>
      <c r="Z65" t="s">
        <v>973</v>
      </c>
      <c r="AA65" t="s">
        <v>25</v>
      </c>
      <c r="AC65" t="s">
        <v>22</v>
      </c>
      <c r="AD65" t="s">
        <v>973</v>
      </c>
      <c r="AE65">
        <v>1.1221965659536291E-4</v>
      </c>
      <c r="AG65" t="s">
        <v>97</v>
      </c>
      <c r="AH65" t="s">
        <v>973</v>
      </c>
      <c r="AI65">
        <v>0</v>
      </c>
    </row>
    <row r="66" spans="5:35" x14ac:dyDescent="0.45">
      <c r="E66" t="s">
        <v>175</v>
      </c>
      <c r="G66" t="s">
        <v>166</v>
      </c>
      <c r="I66" t="s">
        <v>252</v>
      </c>
      <c r="J66" t="s">
        <v>974</v>
      </c>
      <c r="K66">
        <v>0</v>
      </c>
      <c r="L66" t="s">
        <v>254</v>
      </c>
      <c r="N66" t="s">
        <v>422</v>
      </c>
      <c r="O66" t="s">
        <v>974</v>
      </c>
      <c r="P66">
        <v>2.2769951820659999E-4</v>
      </c>
      <c r="Q66" t="s">
        <v>254</v>
      </c>
      <c r="S66" t="s">
        <v>423</v>
      </c>
      <c r="T66" t="s">
        <v>974</v>
      </c>
      <c r="U66">
        <v>1.943290351101E-4</v>
      </c>
      <c r="V66" t="s">
        <v>254</v>
      </c>
      <c r="X66">
        <v>1.1415525114155251E-4</v>
      </c>
      <c r="Y66">
        <v>2.9833677249334962E-5</v>
      </c>
      <c r="Z66" t="s">
        <v>974</v>
      </c>
      <c r="AA66" t="s">
        <v>25</v>
      </c>
      <c r="AC66" t="s">
        <v>22</v>
      </c>
      <c r="AD66" t="s">
        <v>974</v>
      </c>
      <c r="AE66">
        <v>9.9073556660729114E-5</v>
      </c>
      <c r="AG66" t="s">
        <v>97</v>
      </c>
      <c r="AH66" t="s">
        <v>974</v>
      </c>
      <c r="AI66">
        <v>0</v>
      </c>
    </row>
    <row r="67" spans="5:35" x14ac:dyDescent="0.45">
      <c r="E67" t="s">
        <v>176</v>
      </c>
      <c r="G67" t="s">
        <v>166</v>
      </c>
      <c r="I67" t="s">
        <v>252</v>
      </c>
      <c r="J67" t="s">
        <v>975</v>
      </c>
      <c r="K67">
        <v>0</v>
      </c>
      <c r="L67" t="s">
        <v>254</v>
      </c>
      <c r="N67" t="s">
        <v>422</v>
      </c>
      <c r="O67" t="s">
        <v>975</v>
      </c>
      <c r="P67">
        <v>2.260554079784E-4</v>
      </c>
      <c r="Q67" t="s">
        <v>254</v>
      </c>
      <c r="S67" t="s">
        <v>423</v>
      </c>
      <c r="T67" t="s">
        <v>975</v>
      </c>
      <c r="U67">
        <v>1.934748564057E-4</v>
      </c>
      <c r="V67" t="s">
        <v>254</v>
      </c>
      <c r="X67">
        <v>1.1415525114155251E-4</v>
      </c>
      <c r="Y67">
        <v>2.1546544680075254E-5</v>
      </c>
      <c r="Z67" t="s">
        <v>975</v>
      </c>
      <c r="AA67" t="s">
        <v>25</v>
      </c>
      <c r="AC67" t="s">
        <v>22</v>
      </c>
      <c r="AD67" t="s">
        <v>975</v>
      </c>
      <c r="AE67">
        <v>9.6145666284312887E-5</v>
      </c>
      <c r="AG67" t="s">
        <v>97</v>
      </c>
      <c r="AH67" t="s">
        <v>975</v>
      </c>
      <c r="AI67">
        <v>0</v>
      </c>
    </row>
    <row r="68" spans="5:35" x14ac:dyDescent="0.45">
      <c r="E68" t="s">
        <v>178</v>
      </c>
      <c r="G68" t="s">
        <v>166</v>
      </c>
      <c r="I68" t="s">
        <v>252</v>
      </c>
      <c r="J68" t="s">
        <v>976</v>
      </c>
      <c r="K68">
        <v>0</v>
      </c>
      <c r="L68" t="s">
        <v>254</v>
      </c>
      <c r="N68" t="s">
        <v>422</v>
      </c>
      <c r="O68" t="s">
        <v>976</v>
      </c>
      <c r="P68">
        <v>2.2694204312590001E-4</v>
      </c>
      <c r="Q68" t="s">
        <v>254</v>
      </c>
      <c r="S68" t="s">
        <v>423</v>
      </c>
      <c r="T68" t="s">
        <v>976</v>
      </c>
      <c r="U68">
        <v>1.9209057527560001E-4</v>
      </c>
      <c r="V68" t="s">
        <v>254</v>
      </c>
      <c r="X68">
        <v>1.1415525114155251E-4</v>
      </c>
      <c r="Y68">
        <v>1.4916838624667481E-5</v>
      </c>
      <c r="Z68" t="s">
        <v>976</v>
      </c>
      <c r="AA68" t="s">
        <v>25</v>
      </c>
      <c r="AC68" t="s">
        <v>22</v>
      </c>
      <c r="AD68" t="s">
        <v>976</v>
      </c>
      <c r="AE68">
        <v>9.3118048637433584E-5</v>
      </c>
      <c r="AG68" t="s">
        <v>97</v>
      </c>
      <c r="AH68" t="s">
        <v>976</v>
      </c>
      <c r="AI68">
        <v>0</v>
      </c>
    </row>
    <row r="69" spans="5:35" x14ac:dyDescent="0.45">
      <c r="E69" t="s">
        <v>180</v>
      </c>
      <c r="G69" t="s">
        <v>166</v>
      </c>
      <c r="I69" t="s">
        <v>252</v>
      </c>
      <c r="J69" t="s">
        <v>977</v>
      </c>
      <c r="K69">
        <v>0</v>
      </c>
      <c r="L69" t="s">
        <v>254</v>
      </c>
      <c r="N69" t="s">
        <v>422</v>
      </c>
      <c r="O69" t="s">
        <v>977</v>
      </c>
      <c r="P69">
        <v>2.230815852557E-4</v>
      </c>
      <c r="Q69" t="s">
        <v>254</v>
      </c>
      <c r="S69" t="s">
        <v>423</v>
      </c>
      <c r="T69" t="s">
        <v>977</v>
      </c>
      <c r="U69">
        <v>1.9122353830379999E-4</v>
      </c>
      <c r="V69" t="s">
        <v>254</v>
      </c>
      <c r="X69">
        <v>1.1415525114155251E-4</v>
      </c>
      <c r="Y69">
        <v>1.6574265138519424E-5</v>
      </c>
      <c r="Z69" t="s">
        <v>977</v>
      </c>
      <c r="AA69" t="s">
        <v>25</v>
      </c>
      <c r="AC69" t="s">
        <v>22</v>
      </c>
      <c r="AD69" t="s">
        <v>977</v>
      </c>
      <c r="AE69">
        <v>9.264754048960775E-5</v>
      </c>
      <c r="AG69" t="s">
        <v>97</v>
      </c>
      <c r="AH69" t="s">
        <v>977</v>
      </c>
      <c r="AI69">
        <v>0</v>
      </c>
    </row>
    <row r="70" spans="5:35" x14ac:dyDescent="0.45">
      <c r="E70" t="s">
        <v>182</v>
      </c>
      <c r="G70" t="s">
        <v>166</v>
      </c>
      <c r="I70" t="s">
        <v>252</v>
      </c>
      <c r="J70" t="s">
        <v>978</v>
      </c>
      <c r="K70">
        <v>0</v>
      </c>
      <c r="L70" t="s">
        <v>254</v>
      </c>
      <c r="N70" t="s">
        <v>422</v>
      </c>
      <c r="O70" t="s">
        <v>978</v>
      </c>
      <c r="P70">
        <v>2.2734393995380001E-4</v>
      </c>
      <c r="Q70" t="s">
        <v>254</v>
      </c>
      <c r="S70" t="s">
        <v>423</v>
      </c>
      <c r="T70" t="s">
        <v>978</v>
      </c>
      <c r="U70">
        <v>1.9063650883100001E-4</v>
      </c>
      <c r="V70" t="s">
        <v>254</v>
      </c>
      <c r="X70">
        <v>1.1415525114155251E-4</v>
      </c>
      <c r="Y70">
        <v>1.4585353321897093E-5</v>
      </c>
      <c r="Z70" t="s">
        <v>978</v>
      </c>
      <c r="AA70" t="s">
        <v>25</v>
      </c>
      <c r="AC70" t="s">
        <v>22</v>
      </c>
      <c r="AD70" t="s">
        <v>978</v>
      </c>
      <c r="AE70">
        <v>9.3376316696837993E-5</v>
      </c>
      <c r="AG70" t="s">
        <v>97</v>
      </c>
      <c r="AH70" t="s">
        <v>978</v>
      </c>
      <c r="AI70">
        <v>0</v>
      </c>
    </row>
    <row r="71" spans="5:35" x14ac:dyDescent="0.45">
      <c r="E71" t="s">
        <v>183</v>
      </c>
      <c r="G71" t="s">
        <v>166</v>
      </c>
      <c r="I71" t="s">
        <v>252</v>
      </c>
      <c r="J71" t="s">
        <v>979</v>
      </c>
      <c r="K71">
        <v>0</v>
      </c>
      <c r="L71" t="s">
        <v>254</v>
      </c>
      <c r="N71" t="s">
        <v>422</v>
      </c>
      <c r="O71" t="s">
        <v>979</v>
      </c>
      <c r="P71">
        <v>2.264380237252E-4</v>
      </c>
      <c r="Q71" t="s">
        <v>254</v>
      </c>
      <c r="S71" t="s">
        <v>423</v>
      </c>
      <c r="T71" t="s">
        <v>979</v>
      </c>
      <c r="U71">
        <v>1.9015628217890001E-4</v>
      </c>
      <c r="V71" t="s">
        <v>254</v>
      </c>
      <c r="X71">
        <v>1.1415525114155251E-4</v>
      </c>
      <c r="Y71">
        <v>2.1215059377304864E-5</v>
      </c>
      <c r="Z71" t="s">
        <v>979</v>
      </c>
      <c r="AA71" t="s">
        <v>25</v>
      </c>
      <c r="AC71" t="s">
        <v>22</v>
      </c>
      <c r="AD71" t="s">
        <v>979</v>
      </c>
      <c r="AE71">
        <v>9.9549179027553041E-5</v>
      </c>
      <c r="AG71" t="s">
        <v>97</v>
      </c>
      <c r="AH71" t="s">
        <v>979</v>
      </c>
      <c r="AI71">
        <v>0</v>
      </c>
    </row>
    <row r="72" spans="5:35" x14ac:dyDescent="0.45">
      <c r="E72" t="s">
        <v>184</v>
      </c>
      <c r="G72" t="s">
        <v>166</v>
      </c>
      <c r="I72" t="s">
        <v>252</v>
      </c>
      <c r="J72" t="s">
        <v>980</v>
      </c>
      <c r="K72">
        <v>0</v>
      </c>
      <c r="L72" t="s">
        <v>254</v>
      </c>
      <c r="N72" t="s">
        <v>422</v>
      </c>
      <c r="O72" t="s">
        <v>980</v>
      </c>
      <c r="P72">
        <v>2.265273145248E-4</v>
      </c>
      <c r="Q72" t="s">
        <v>254</v>
      </c>
      <c r="S72" t="s">
        <v>423</v>
      </c>
      <c r="T72" t="s">
        <v>980</v>
      </c>
      <c r="U72">
        <v>1.896132531879E-4</v>
      </c>
      <c r="V72" t="s">
        <v>254</v>
      </c>
      <c r="X72">
        <v>1.1415525114155251E-4</v>
      </c>
      <c r="Y72">
        <v>5.7678442682047593E-5</v>
      </c>
      <c r="Z72" t="s">
        <v>980</v>
      </c>
      <c r="AA72" t="s">
        <v>25</v>
      </c>
      <c r="AC72" t="s">
        <v>22</v>
      </c>
      <c r="AD72" t="s">
        <v>980</v>
      </c>
      <c r="AE72">
        <v>1.2009555385244754E-4</v>
      </c>
      <c r="AG72" t="s">
        <v>97</v>
      </c>
      <c r="AH72" t="s">
        <v>980</v>
      </c>
      <c r="AI72">
        <v>0</v>
      </c>
    </row>
    <row r="73" spans="5:35" x14ac:dyDescent="0.45">
      <c r="E73" t="s">
        <v>185</v>
      </c>
      <c r="G73" t="s">
        <v>166</v>
      </c>
      <c r="I73" t="s">
        <v>252</v>
      </c>
      <c r="J73" t="s">
        <v>981</v>
      </c>
      <c r="K73">
        <v>0</v>
      </c>
      <c r="L73" t="s">
        <v>254</v>
      </c>
      <c r="N73" t="s">
        <v>422</v>
      </c>
      <c r="O73" t="s">
        <v>981</v>
      </c>
      <c r="P73">
        <v>2.26959298143E-4</v>
      </c>
      <c r="Q73" t="s">
        <v>254</v>
      </c>
      <c r="S73" t="s">
        <v>423</v>
      </c>
      <c r="T73" t="s">
        <v>981</v>
      </c>
      <c r="U73">
        <v>1.8970586285779999E-4</v>
      </c>
      <c r="V73" t="s">
        <v>254</v>
      </c>
      <c r="X73">
        <v>1.1415525114155251E-4</v>
      </c>
      <c r="Y73">
        <v>1.6905750441289813E-4</v>
      </c>
      <c r="Z73" t="s">
        <v>981</v>
      </c>
      <c r="AA73" t="s">
        <v>25</v>
      </c>
      <c r="AC73" t="s">
        <v>22</v>
      </c>
      <c r="AD73" t="s">
        <v>981</v>
      </c>
      <c r="AE73">
        <v>1.3676279356727799E-4</v>
      </c>
      <c r="AG73" t="s">
        <v>97</v>
      </c>
      <c r="AH73" t="s">
        <v>981</v>
      </c>
      <c r="AI73">
        <v>0</v>
      </c>
    </row>
    <row r="74" spans="5:35" x14ac:dyDescent="0.45">
      <c r="E74" t="s">
        <v>186</v>
      </c>
      <c r="G74" t="s">
        <v>166</v>
      </c>
      <c r="I74" t="s">
        <v>252</v>
      </c>
      <c r="J74" t="s">
        <v>982</v>
      </c>
      <c r="K74">
        <v>0</v>
      </c>
      <c r="L74" t="s">
        <v>254</v>
      </c>
      <c r="N74" t="s">
        <v>422</v>
      </c>
      <c r="O74" t="s">
        <v>982</v>
      </c>
      <c r="P74">
        <v>2.2609253682889999E-4</v>
      </c>
      <c r="Q74" t="s">
        <v>254</v>
      </c>
      <c r="S74" t="s">
        <v>423</v>
      </c>
      <c r="T74" t="s">
        <v>982</v>
      </c>
      <c r="U74">
        <v>1.895260540895E-4</v>
      </c>
      <c r="V74" t="s">
        <v>254</v>
      </c>
      <c r="X74">
        <v>1.1415525114155251E-4</v>
      </c>
      <c r="Y74">
        <v>1.9060404909297337E-4</v>
      </c>
      <c r="Z74" t="s">
        <v>982</v>
      </c>
      <c r="AA74" t="s">
        <v>25</v>
      </c>
      <c r="AC74" t="s">
        <v>22</v>
      </c>
      <c r="AD74" t="s">
        <v>982</v>
      </c>
      <c r="AE74">
        <v>1.4420398220952351E-4</v>
      </c>
      <c r="AG74" t="s">
        <v>97</v>
      </c>
      <c r="AH74" t="s">
        <v>982</v>
      </c>
      <c r="AI74">
        <v>0</v>
      </c>
    </row>
    <row r="75" spans="5:35" x14ac:dyDescent="0.45">
      <c r="E75" t="s">
        <v>187</v>
      </c>
      <c r="G75" t="s">
        <v>166</v>
      </c>
      <c r="I75" t="s">
        <v>252</v>
      </c>
      <c r="J75" t="s">
        <v>983</v>
      </c>
      <c r="K75">
        <v>1.149179314192E-4</v>
      </c>
      <c r="L75" t="s">
        <v>254</v>
      </c>
      <c r="N75" t="s">
        <v>422</v>
      </c>
      <c r="O75" t="s">
        <v>983</v>
      </c>
      <c r="P75">
        <v>2.244790544585E-4</v>
      </c>
      <c r="Q75" t="s">
        <v>254</v>
      </c>
      <c r="S75" t="s">
        <v>423</v>
      </c>
      <c r="T75" t="s">
        <v>983</v>
      </c>
      <c r="U75">
        <v>1.892400787025E-4</v>
      </c>
      <c r="V75" t="s">
        <v>254</v>
      </c>
      <c r="X75">
        <v>1.1415525114155251E-4</v>
      </c>
      <c r="Y75">
        <v>1.4585353321897094E-4</v>
      </c>
      <c r="Z75" t="s">
        <v>983</v>
      </c>
      <c r="AA75" t="s">
        <v>25</v>
      </c>
      <c r="AC75" t="s">
        <v>22</v>
      </c>
      <c r="AD75" t="s">
        <v>983</v>
      </c>
      <c r="AE75">
        <v>1.4728274204638388E-4</v>
      </c>
      <c r="AG75" t="s">
        <v>97</v>
      </c>
      <c r="AH75" t="s">
        <v>983</v>
      </c>
      <c r="AI75">
        <v>0</v>
      </c>
    </row>
    <row r="76" spans="5:35" x14ac:dyDescent="0.45">
      <c r="E76" t="s">
        <v>188</v>
      </c>
      <c r="G76" t="s">
        <v>166</v>
      </c>
      <c r="I76" t="s">
        <v>252</v>
      </c>
      <c r="J76" t="s">
        <v>984</v>
      </c>
      <c r="K76">
        <v>2.2829857705129999E-4</v>
      </c>
      <c r="L76" t="s">
        <v>254</v>
      </c>
      <c r="N76" t="s">
        <v>422</v>
      </c>
      <c r="O76" t="s">
        <v>984</v>
      </c>
      <c r="P76">
        <v>2.22667396879E-4</v>
      </c>
      <c r="Q76" t="s">
        <v>254</v>
      </c>
      <c r="S76" t="s">
        <v>423</v>
      </c>
      <c r="T76" t="s">
        <v>984</v>
      </c>
      <c r="U76">
        <v>1.887854339867E-4</v>
      </c>
      <c r="V76" t="s">
        <v>254</v>
      </c>
      <c r="X76">
        <v>1.1415525114155251E-4</v>
      </c>
      <c r="Y76">
        <v>1.4452759200788939E-4</v>
      </c>
      <c r="Z76" t="s">
        <v>984</v>
      </c>
      <c r="AA76" t="s">
        <v>25</v>
      </c>
      <c r="AC76" t="s">
        <v>22</v>
      </c>
      <c r="AD76" t="s">
        <v>984</v>
      </c>
      <c r="AE76">
        <v>1.4827234342251758E-4</v>
      </c>
      <c r="AG76" t="s">
        <v>97</v>
      </c>
      <c r="AH76" t="s">
        <v>984</v>
      </c>
      <c r="AI76">
        <v>0</v>
      </c>
    </row>
    <row r="77" spans="5:35" x14ac:dyDescent="0.45">
      <c r="E77" t="s">
        <v>189</v>
      </c>
      <c r="G77" t="s">
        <v>166</v>
      </c>
      <c r="I77" t="s">
        <v>252</v>
      </c>
      <c r="J77" t="s">
        <v>985</v>
      </c>
      <c r="K77">
        <v>2.9698846431209998E-4</v>
      </c>
      <c r="L77" t="s">
        <v>254</v>
      </c>
      <c r="N77" t="s">
        <v>422</v>
      </c>
      <c r="O77" t="s">
        <v>985</v>
      </c>
      <c r="P77">
        <v>2.180532657406E-4</v>
      </c>
      <c r="Q77" t="s">
        <v>254</v>
      </c>
      <c r="S77" t="s">
        <v>423</v>
      </c>
      <c r="T77" t="s">
        <v>985</v>
      </c>
      <c r="U77">
        <v>1.8799732622120001E-4</v>
      </c>
      <c r="V77" t="s">
        <v>254</v>
      </c>
      <c r="X77">
        <v>1.1415525114155251E-4</v>
      </c>
      <c r="Y77">
        <v>1.408812536774151E-4</v>
      </c>
      <c r="Z77" t="s">
        <v>985</v>
      </c>
      <c r="AA77" t="s">
        <v>25</v>
      </c>
      <c r="AC77" t="s">
        <v>22</v>
      </c>
      <c r="AD77" t="s">
        <v>985</v>
      </c>
      <c r="AE77">
        <v>1.4763050893825514E-4</v>
      </c>
      <c r="AG77" t="s">
        <v>97</v>
      </c>
      <c r="AH77" t="s">
        <v>985</v>
      </c>
      <c r="AI77">
        <v>0</v>
      </c>
    </row>
    <row r="78" spans="5:35" x14ac:dyDescent="0.45">
      <c r="E78" t="s">
        <v>190</v>
      </c>
      <c r="G78" t="s">
        <v>166</v>
      </c>
      <c r="I78" t="s">
        <v>252</v>
      </c>
      <c r="J78" t="s">
        <v>986</v>
      </c>
      <c r="K78">
        <v>3.1263430619470002E-4</v>
      </c>
      <c r="L78" t="s">
        <v>254</v>
      </c>
      <c r="N78" t="s">
        <v>422</v>
      </c>
      <c r="O78" t="s">
        <v>986</v>
      </c>
      <c r="P78">
        <v>2.1044812718710001E-4</v>
      </c>
      <c r="Q78" t="s">
        <v>254</v>
      </c>
      <c r="S78" t="s">
        <v>423</v>
      </c>
      <c r="T78" t="s">
        <v>986</v>
      </c>
      <c r="U78">
        <v>1.885182335083E-4</v>
      </c>
      <c r="V78" t="s">
        <v>254</v>
      </c>
      <c r="X78">
        <v>1.1415525114155251E-4</v>
      </c>
      <c r="Y78">
        <v>1.4054976837464471E-4</v>
      </c>
      <c r="Z78" t="s">
        <v>986</v>
      </c>
      <c r="AA78" t="s">
        <v>25</v>
      </c>
      <c r="AC78" t="s">
        <v>22</v>
      </c>
      <c r="AD78" t="s">
        <v>986</v>
      </c>
      <c r="AE78">
        <v>1.4651305208716878E-4</v>
      </c>
      <c r="AG78" t="s">
        <v>97</v>
      </c>
      <c r="AH78" t="s">
        <v>986</v>
      </c>
      <c r="AI78">
        <v>0</v>
      </c>
    </row>
    <row r="79" spans="5:35" x14ac:dyDescent="0.45">
      <c r="E79" t="s">
        <v>191</v>
      </c>
      <c r="G79" t="s">
        <v>166</v>
      </c>
      <c r="I79" t="s">
        <v>252</v>
      </c>
      <c r="J79" t="s">
        <v>987</v>
      </c>
      <c r="K79">
        <v>2.5920715185910002E-4</v>
      </c>
      <c r="L79" t="s">
        <v>254</v>
      </c>
      <c r="N79" t="s">
        <v>422</v>
      </c>
      <c r="O79" t="s">
        <v>987</v>
      </c>
      <c r="P79">
        <v>2.0433881171729999E-4</v>
      </c>
      <c r="Q79" t="s">
        <v>254</v>
      </c>
      <c r="S79" t="s">
        <v>423</v>
      </c>
      <c r="T79" t="s">
        <v>987</v>
      </c>
      <c r="U79">
        <v>1.8887784701249999E-4</v>
      </c>
      <c r="V79" t="s">
        <v>254</v>
      </c>
      <c r="X79">
        <v>1.1415525114155251E-4</v>
      </c>
      <c r="Y79">
        <v>1.4253868019126702E-4</v>
      </c>
      <c r="Z79" t="s">
        <v>987</v>
      </c>
      <c r="AA79" t="s">
        <v>25</v>
      </c>
      <c r="AC79" t="s">
        <v>22</v>
      </c>
      <c r="AD79" t="s">
        <v>987</v>
      </c>
      <c r="AE79">
        <v>1.4538280968858717E-4</v>
      </c>
      <c r="AG79" t="s">
        <v>97</v>
      </c>
      <c r="AH79" t="s">
        <v>987</v>
      </c>
      <c r="AI79">
        <v>0</v>
      </c>
    </row>
    <row r="80" spans="5:35" x14ac:dyDescent="0.45">
      <c r="E80" t="s">
        <v>192</v>
      </c>
      <c r="G80" t="s">
        <v>166</v>
      </c>
      <c r="I80" t="s">
        <v>252</v>
      </c>
      <c r="J80" t="s">
        <v>988</v>
      </c>
      <c r="K80">
        <v>2.477749213051E-4</v>
      </c>
      <c r="L80" t="s">
        <v>254</v>
      </c>
      <c r="N80" t="s">
        <v>422</v>
      </c>
      <c r="O80" t="s">
        <v>988</v>
      </c>
      <c r="P80">
        <v>2.101097480552E-4</v>
      </c>
      <c r="Q80" t="s">
        <v>254</v>
      </c>
      <c r="S80" t="s">
        <v>423</v>
      </c>
      <c r="T80" t="s">
        <v>988</v>
      </c>
      <c r="U80">
        <v>1.8906998055689999E-4</v>
      </c>
      <c r="V80" t="s">
        <v>254</v>
      </c>
      <c r="X80">
        <v>1.1415525114155251E-4</v>
      </c>
      <c r="Y80">
        <v>1.4883690094390442E-4</v>
      </c>
      <c r="Z80" t="s">
        <v>988</v>
      </c>
      <c r="AA80" t="s">
        <v>25</v>
      </c>
      <c r="AC80" t="s">
        <v>22</v>
      </c>
      <c r="AD80" t="s">
        <v>988</v>
      </c>
      <c r="AE80">
        <v>1.452549542136345E-4</v>
      </c>
      <c r="AG80" t="s">
        <v>97</v>
      </c>
      <c r="AH80" t="s">
        <v>988</v>
      </c>
      <c r="AI80">
        <v>0</v>
      </c>
    </row>
    <row r="81" spans="5:35" x14ac:dyDescent="0.45">
      <c r="E81" t="s">
        <v>193</v>
      </c>
      <c r="G81" t="s">
        <v>166</v>
      </c>
      <c r="I81" t="s">
        <v>252</v>
      </c>
      <c r="J81" t="s">
        <v>989</v>
      </c>
      <c r="K81">
        <v>2.6381396511990002E-4</v>
      </c>
      <c r="L81" t="s">
        <v>254</v>
      </c>
      <c r="N81" t="s">
        <v>422</v>
      </c>
      <c r="O81" t="s">
        <v>989</v>
      </c>
      <c r="P81">
        <v>2.1242661700150001E-4</v>
      </c>
      <c r="Q81" t="s">
        <v>254</v>
      </c>
      <c r="S81" t="s">
        <v>423</v>
      </c>
      <c r="T81" t="s">
        <v>989</v>
      </c>
      <c r="U81">
        <v>1.889612122152E-4</v>
      </c>
      <c r="V81" t="s">
        <v>254</v>
      </c>
      <c r="X81">
        <v>1.1415525114155251E-4</v>
      </c>
      <c r="Y81">
        <v>1.5049432745775637E-4</v>
      </c>
      <c r="Z81" t="s">
        <v>989</v>
      </c>
      <c r="AA81" t="s">
        <v>25</v>
      </c>
      <c r="AC81" t="s">
        <v>22</v>
      </c>
      <c r="AD81" t="s">
        <v>989</v>
      </c>
      <c r="AE81">
        <v>1.4446480737842696E-4</v>
      </c>
      <c r="AG81" t="s">
        <v>97</v>
      </c>
      <c r="AH81" t="s">
        <v>989</v>
      </c>
      <c r="AI81">
        <v>0</v>
      </c>
    </row>
    <row r="82" spans="5:35" x14ac:dyDescent="0.45">
      <c r="E82" t="s">
        <v>194</v>
      </c>
      <c r="G82" t="s">
        <v>166</v>
      </c>
      <c r="I82" t="s">
        <v>252</v>
      </c>
      <c r="J82" t="s">
        <v>990</v>
      </c>
      <c r="K82">
        <v>2.1611228605080001E-4</v>
      </c>
      <c r="L82" t="s">
        <v>254</v>
      </c>
      <c r="N82" t="s">
        <v>422</v>
      </c>
      <c r="O82" t="s">
        <v>990</v>
      </c>
      <c r="P82">
        <v>2.1349683592130001E-4</v>
      </c>
      <c r="Q82" t="s">
        <v>254</v>
      </c>
      <c r="S82" t="s">
        <v>423</v>
      </c>
      <c r="T82" t="s">
        <v>990</v>
      </c>
      <c r="U82">
        <v>1.878585645929E-4</v>
      </c>
      <c r="V82" t="s">
        <v>254</v>
      </c>
      <c r="X82">
        <v>1.1415525114155251E-4</v>
      </c>
      <c r="Y82">
        <v>1.7237235744060203E-4</v>
      </c>
      <c r="Z82" t="s">
        <v>990</v>
      </c>
      <c r="AA82" t="s">
        <v>25</v>
      </c>
      <c r="AC82" t="s">
        <v>22</v>
      </c>
      <c r="AD82" t="s">
        <v>990</v>
      </c>
      <c r="AE82">
        <v>1.4408635517256706E-4</v>
      </c>
      <c r="AG82" t="s">
        <v>97</v>
      </c>
      <c r="AH82" t="s">
        <v>990</v>
      </c>
      <c r="AI82">
        <v>0</v>
      </c>
    </row>
    <row r="83" spans="5:35" x14ac:dyDescent="0.45">
      <c r="E83" t="s">
        <v>831</v>
      </c>
      <c r="G83" t="s">
        <v>437</v>
      </c>
      <c r="I83" t="s">
        <v>252</v>
      </c>
      <c r="J83" t="s">
        <v>991</v>
      </c>
      <c r="K83">
        <v>1.462981095404E-4</v>
      </c>
      <c r="L83" t="s">
        <v>254</v>
      </c>
      <c r="N83" t="s">
        <v>422</v>
      </c>
      <c r="O83" t="s">
        <v>991</v>
      </c>
      <c r="P83">
        <v>2.0987258242050001E-4</v>
      </c>
      <c r="Q83" t="s">
        <v>254</v>
      </c>
      <c r="S83" t="s">
        <v>423</v>
      </c>
      <c r="T83" t="s">
        <v>991</v>
      </c>
      <c r="U83">
        <v>1.8577027422230001E-4</v>
      </c>
      <c r="V83" t="s">
        <v>254</v>
      </c>
      <c r="X83">
        <v>1.1415525114155251E-4</v>
      </c>
      <c r="Y83">
        <v>2.2209515285616027E-4</v>
      </c>
      <c r="Z83" t="s">
        <v>991</v>
      </c>
      <c r="AA83" t="s">
        <v>25</v>
      </c>
      <c r="AC83" t="s">
        <v>22</v>
      </c>
      <c r="AD83" t="s">
        <v>991</v>
      </c>
      <c r="AE83">
        <v>1.4534956726509947E-4</v>
      </c>
      <c r="AG83" t="s">
        <v>97</v>
      </c>
      <c r="AH83" t="s">
        <v>991</v>
      </c>
      <c r="AI83">
        <v>0</v>
      </c>
    </row>
    <row r="84" spans="5:35" x14ac:dyDescent="0.45">
      <c r="E84" t="s">
        <v>832</v>
      </c>
      <c r="G84" t="s">
        <v>437</v>
      </c>
      <c r="I84" t="s">
        <v>252</v>
      </c>
      <c r="J84" t="s">
        <v>992</v>
      </c>
      <c r="K84">
        <v>6.4282137530427726E-5</v>
      </c>
      <c r="L84" t="s">
        <v>254</v>
      </c>
      <c r="N84" t="s">
        <v>422</v>
      </c>
      <c r="O84" t="s">
        <v>992</v>
      </c>
      <c r="P84">
        <v>2.033165610361E-4</v>
      </c>
      <c r="Q84" t="s">
        <v>254</v>
      </c>
      <c r="S84" t="s">
        <v>423</v>
      </c>
      <c r="T84" t="s">
        <v>992</v>
      </c>
      <c r="U84">
        <v>1.8404209355740001E-4</v>
      </c>
      <c r="V84" t="s">
        <v>254</v>
      </c>
      <c r="X84">
        <v>1.1415525114155251E-4</v>
      </c>
      <c r="Y84">
        <v>2.2209515285616027E-4</v>
      </c>
      <c r="Z84" t="s">
        <v>992</v>
      </c>
      <c r="AA84" t="s">
        <v>25</v>
      </c>
      <c r="AC84" t="s">
        <v>22</v>
      </c>
      <c r="AD84" t="s">
        <v>992</v>
      </c>
      <c r="AE84">
        <v>1.4664090756212148E-4</v>
      </c>
      <c r="AG84" t="s">
        <v>97</v>
      </c>
      <c r="AH84" t="s">
        <v>992</v>
      </c>
      <c r="AI84">
        <v>0</v>
      </c>
    </row>
    <row r="85" spans="5:35" x14ac:dyDescent="0.45">
      <c r="E85" t="s">
        <v>833</v>
      </c>
      <c r="G85" t="s">
        <v>437</v>
      </c>
      <c r="I85" t="s">
        <v>252</v>
      </c>
      <c r="J85" t="s">
        <v>993</v>
      </c>
      <c r="K85">
        <v>0</v>
      </c>
      <c r="L85" t="s">
        <v>254</v>
      </c>
      <c r="N85" t="s">
        <v>422</v>
      </c>
      <c r="O85" t="s">
        <v>993</v>
      </c>
      <c r="P85">
        <v>1.9893982493810001E-4</v>
      </c>
      <c r="Q85" t="s">
        <v>254</v>
      </c>
      <c r="S85" t="s">
        <v>423</v>
      </c>
      <c r="T85" t="s">
        <v>993</v>
      </c>
      <c r="U85">
        <v>1.8543353413789999E-4</v>
      </c>
      <c r="V85" t="s">
        <v>254</v>
      </c>
      <c r="X85">
        <v>1.1415525114155251E-4</v>
      </c>
      <c r="Y85">
        <v>1.7237235744060203E-4</v>
      </c>
      <c r="Z85" t="s">
        <v>993</v>
      </c>
      <c r="AA85" t="s">
        <v>25</v>
      </c>
      <c r="AC85" t="s">
        <v>22</v>
      </c>
      <c r="AD85" t="s">
        <v>993</v>
      </c>
      <c r="AE85">
        <v>1.4751543901079774E-4</v>
      </c>
      <c r="AG85" t="s">
        <v>97</v>
      </c>
      <c r="AH85" t="s">
        <v>993</v>
      </c>
      <c r="AI85">
        <v>0</v>
      </c>
    </row>
    <row r="86" spans="5:35" x14ac:dyDescent="0.45">
      <c r="E86" t="s">
        <v>834</v>
      </c>
      <c r="G86" t="s">
        <v>437</v>
      </c>
      <c r="I86" t="s">
        <v>252</v>
      </c>
      <c r="J86" t="s">
        <v>994</v>
      </c>
      <c r="K86">
        <v>0</v>
      </c>
      <c r="L86" t="s">
        <v>254</v>
      </c>
      <c r="N86" t="s">
        <v>422</v>
      </c>
      <c r="O86" t="s">
        <v>994</v>
      </c>
      <c r="P86">
        <v>1.961312592462E-4</v>
      </c>
      <c r="Q86" t="s">
        <v>254</v>
      </c>
      <c r="S86" t="s">
        <v>423</v>
      </c>
      <c r="T86" t="s">
        <v>994</v>
      </c>
      <c r="U86">
        <v>1.8814641283399999E-4</v>
      </c>
      <c r="V86" t="s">
        <v>254</v>
      </c>
      <c r="X86">
        <v>1.1415525114155251E-4</v>
      </c>
      <c r="Y86">
        <v>1.5579809230208258E-4</v>
      </c>
      <c r="Z86" t="s">
        <v>994</v>
      </c>
      <c r="AA86" t="s">
        <v>25</v>
      </c>
      <c r="AC86" t="s">
        <v>22</v>
      </c>
      <c r="AD86" t="s">
        <v>994</v>
      </c>
      <c r="AE86">
        <v>1.4593003112138461E-4</v>
      </c>
      <c r="AG86" t="s">
        <v>97</v>
      </c>
      <c r="AH86" t="s">
        <v>994</v>
      </c>
      <c r="AI86">
        <v>0</v>
      </c>
    </row>
    <row r="87" spans="5:35" x14ac:dyDescent="0.45">
      <c r="E87" t="s">
        <v>835</v>
      </c>
      <c r="G87" t="s">
        <v>437</v>
      </c>
      <c r="I87" t="s">
        <v>252</v>
      </c>
      <c r="J87" t="s">
        <v>995</v>
      </c>
      <c r="K87">
        <v>0</v>
      </c>
      <c r="L87" t="s">
        <v>254</v>
      </c>
      <c r="N87" t="s">
        <v>422</v>
      </c>
      <c r="O87" t="s">
        <v>995</v>
      </c>
      <c r="P87">
        <v>2.024250828655E-4</v>
      </c>
      <c r="Q87" t="s">
        <v>254</v>
      </c>
      <c r="S87" t="s">
        <v>423</v>
      </c>
      <c r="T87" t="s">
        <v>995</v>
      </c>
      <c r="U87">
        <v>1.9656456055879999E-4</v>
      </c>
      <c r="V87" t="s">
        <v>254</v>
      </c>
      <c r="X87">
        <v>1.1415525114155251E-4</v>
      </c>
      <c r="Y87">
        <v>1.093901499142282E-4</v>
      </c>
      <c r="Z87" t="s">
        <v>995</v>
      </c>
      <c r="AA87" t="s">
        <v>25</v>
      </c>
      <c r="AC87" t="s">
        <v>22</v>
      </c>
      <c r="AD87" t="s">
        <v>995</v>
      </c>
      <c r="AE87">
        <v>1.3300128549417035E-4</v>
      </c>
      <c r="AG87" t="s">
        <v>97</v>
      </c>
      <c r="AH87" t="s">
        <v>995</v>
      </c>
      <c r="AI87">
        <v>0</v>
      </c>
    </row>
    <row r="88" spans="5:35" x14ac:dyDescent="0.45">
      <c r="E88" t="s">
        <v>836</v>
      </c>
      <c r="G88" t="s">
        <v>437</v>
      </c>
      <c r="I88" t="s">
        <v>252</v>
      </c>
      <c r="J88" t="s">
        <v>996</v>
      </c>
      <c r="K88">
        <v>0</v>
      </c>
      <c r="L88" t="s">
        <v>254</v>
      </c>
      <c r="N88" t="s">
        <v>422</v>
      </c>
      <c r="O88" t="s">
        <v>996</v>
      </c>
      <c r="P88">
        <v>2.1212779973870001E-4</v>
      </c>
      <c r="Q88" t="s">
        <v>254</v>
      </c>
      <c r="S88" t="s">
        <v>423</v>
      </c>
      <c r="T88" t="s">
        <v>996</v>
      </c>
      <c r="U88">
        <v>2.057837074855E-4</v>
      </c>
      <c r="V88" t="s">
        <v>254</v>
      </c>
      <c r="X88">
        <v>1.1415525114155251E-4</v>
      </c>
      <c r="Y88">
        <v>7.9556472664893237E-5</v>
      </c>
      <c r="Z88" t="s">
        <v>996</v>
      </c>
      <c r="AA88" t="s">
        <v>25</v>
      </c>
      <c r="AC88" t="s">
        <v>22</v>
      </c>
      <c r="AD88" t="s">
        <v>996</v>
      </c>
      <c r="AE88">
        <v>1.2241485216808902E-4</v>
      </c>
      <c r="AG88" t="s">
        <v>97</v>
      </c>
      <c r="AH88" t="s">
        <v>996</v>
      </c>
      <c r="AI88">
        <v>0</v>
      </c>
    </row>
    <row r="89" spans="5:35" x14ac:dyDescent="0.45">
      <c r="E89" t="s">
        <v>837</v>
      </c>
      <c r="G89" t="s">
        <v>437</v>
      </c>
      <c r="I89" t="s">
        <v>252</v>
      </c>
      <c r="J89" t="s">
        <v>997</v>
      </c>
      <c r="K89">
        <v>0</v>
      </c>
      <c r="L89" t="s">
        <v>254</v>
      </c>
      <c r="N89" t="s">
        <v>422</v>
      </c>
      <c r="O89" t="s">
        <v>997</v>
      </c>
      <c r="P89">
        <v>2.1358129561370001E-4</v>
      </c>
      <c r="Q89" t="s">
        <v>254</v>
      </c>
      <c r="S89" t="s">
        <v>423</v>
      </c>
      <c r="T89" t="s">
        <v>997</v>
      </c>
      <c r="U89">
        <v>2.0500506056369999E-4</v>
      </c>
      <c r="V89" t="s">
        <v>254</v>
      </c>
      <c r="X89">
        <v>1.1415525114155251E-4</v>
      </c>
      <c r="Y89">
        <v>5.6352501470966035E-5</v>
      </c>
      <c r="Z89" t="s">
        <v>997</v>
      </c>
      <c r="AA89" t="s">
        <v>25</v>
      </c>
      <c r="AC89" t="s">
        <v>22</v>
      </c>
      <c r="AD89" t="s">
        <v>997</v>
      </c>
      <c r="AE89">
        <v>1.1229892698983357E-4</v>
      </c>
      <c r="AG89" t="s">
        <v>97</v>
      </c>
      <c r="AH89" t="s">
        <v>997</v>
      </c>
      <c r="AI89">
        <v>0</v>
      </c>
    </row>
    <row r="90" spans="5:35" x14ac:dyDescent="0.45">
      <c r="E90" t="s">
        <v>838</v>
      </c>
      <c r="G90" t="s">
        <v>437</v>
      </c>
      <c r="I90" t="s">
        <v>252</v>
      </c>
      <c r="J90" t="s">
        <v>998</v>
      </c>
      <c r="K90">
        <v>0</v>
      </c>
      <c r="L90" t="s">
        <v>254</v>
      </c>
      <c r="N90" t="s">
        <v>422</v>
      </c>
      <c r="O90" t="s">
        <v>998</v>
      </c>
      <c r="P90">
        <v>2.252220608744E-4</v>
      </c>
      <c r="Q90" t="s">
        <v>254</v>
      </c>
      <c r="S90" t="s">
        <v>423</v>
      </c>
      <c r="T90" t="s">
        <v>998</v>
      </c>
      <c r="U90">
        <v>2.0752072677489999E-4</v>
      </c>
      <c r="V90" t="s">
        <v>254</v>
      </c>
      <c r="X90">
        <v>1.1415525114155251E-4</v>
      </c>
      <c r="Y90">
        <v>2.9833677249334962E-5</v>
      </c>
      <c r="Z90" t="s">
        <v>998</v>
      </c>
      <c r="AA90" t="s">
        <v>25</v>
      </c>
      <c r="AC90" t="s">
        <v>22</v>
      </c>
      <c r="AD90" t="s">
        <v>998</v>
      </c>
      <c r="AE90">
        <v>9.8978943609264131E-5</v>
      </c>
      <c r="AG90" t="s">
        <v>97</v>
      </c>
      <c r="AH90" t="s">
        <v>998</v>
      </c>
      <c r="AI90">
        <v>0</v>
      </c>
    </row>
    <row r="91" spans="5:35" x14ac:dyDescent="0.45">
      <c r="E91" t="s">
        <v>839</v>
      </c>
      <c r="G91" t="s">
        <v>437</v>
      </c>
      <c r="I91" t="s">
        <v>252</v>
      </c>
      <c r="J91" t="s">
        <v>286</v>
      </c>
      <c r="K91">
        <v>0</v>
      </c>
      <c r="L91" t="s">
        <v>254</v>
      </c>
      <c r="N91" t="s">
        <v>422</v>
      </c>
      <c r="O91" t="s">
        <v>286</v>
      </c>
      <c r="P91">
        <v>2.3404515609021414E-2</v>
      </c>
      <c r="Q91" t="s">
        <v>254</v>
      </c>
      <c r="S91" t="s">
        <v>423</v>
      </c>
      <c r="T91" t="s">
        <v>286</v>
      </c>
      <c r="U91">
        <v>2.4342613393961755E-2</v>
      </c>
      <c r="V91" t="s">
        <v>254</v>
      </c>
      <c r="X91">
        <v>2.0776255707762557E-2</v>
      </c>
      <c r="Y91">
        <v>8.2049242141726559E-3</v>
      </c>
      <c r="Z91" t="s">
        <v>286</v>
      </c>
      <c r="AA91" t="s">
        <v>25</v>
      </c>
      <c r="AC91" t="s">
        <v>22</v>
      </c>
      <c r="AD91" t="s">
        <v>286</v>
      </c>
      <c r="AE91">
        <v>1.9591284080352715E-2</v>
      </c>
      <c r="AG91" t="s">
        <v>97</v>
      </c>
      <c r="AH91" t="s">
        <v>286</v>
      </c>
      <c r="AI91">
        <v>0.2916450767257146</v>
      </c>
    </row>
    <row r="92" spans="5:35" x14ac:dyDescent="0.45">
      <c r="E92" t="s">
        <v>840</v>
      </c>
      <c r="G92" t="s">
        <v>437</v>
      </c>
      <c r="I92" t="s">
        <v>252</v>
      </c>
      <c r="J92" t="s">
        <v>287</v>
      </c>
      <c r="K92">
        <v>8.3849719630973629E-5</v>
      </c>
      <c r="L92" t="s">
        <v>254</v>
      </c>
      <c r="N92" t="s">
        <v>422</v>
      </c>
      <c r="O92" t="s">
        <v>287</v>
      </c>
      <c r="P92">
        <v>3.3991545746770617E-3</v>
      </c>
      <c r="Q92" t="s">
        <v>254</v>
      </c>
      <c r="S92" t="s">
        <v>423</v>
      </c>
      <c r="T92" t="s">
        <v>287</v>
      </c>
      <c r="U92">
        <v>3.5407194843156162E-3</v>
      </c>
      <c r="V92" t="s">
        <v>254</v>
      </c>
      <c r="X92">
        <v>2.9680365296803654E-3</v>
      </c>
      <c r="Y92">
        <v>4.9557052764173069E-3</v>
      </c>
      <c r="Z92" t="s">
        <v>287</v>
      </c>
      <c r="AA92" t="s">
        <v>25</v>
      </c>
      <c r="AC92" t="s">
        <v>22</v>
      </c>
      <c r="AD92" t="s">
        <v>287</v>
      </c>
      <c r="AE92">
        <v>3.7637089968968413E-3</v>
      </c>
      <c r="AG92" t="s">
        <v>97</v>
      </c>
      <c r="AH92" t="s">
        <v>287</v>
      </c>
      <c r="AI92">
        <v>7.2042737813878377E-2</v>
      </c>
    </row>
    <row r="93" spans="5:35" x14ac:dyDescent="0.45">
      <c r="E93" t="s">
        <v>841</v>
      </c>
      <c r="G93" t="s">
        <v>437</v>
      </c>
      <c r="I93" t="s">
        <v>252</v>
      </c>
      <c r="J93" t="s">
        <v>288</v>
      </c>
      <c r="K93">
        <v>9.34463630168853E-3</v>
      </c>
      <c r="L93" t="s">
        <v>254</v>
      </c>
      <c r="N93" t="s">
        <v>422</v>
      </c>
      <c r="O93" t="s">
        <v>288</v>
      </c>
      <c r="P93">
        <v>6.733067586475224E-3</v>
      </c>
      <c r="Q93" t="s">
        <v>254</v>
      </c>
      <c r="S93" t="s">
        <v>423</v>
      </c>
      <c r="T93" t="s">
        <v>288</v>
      </c>
      <c r="U93">
        <v>7.105958646969405E-3</v>
      </c>
      <c r="V93" t="s">
        <v>254</v>
      </c>
      <c r="X93">
        <v>5.9360730593607308E-3</v>
      </c>
      <c r="Y93">
        <v>7.5499092558983689E-3</v>
      </c>
      <c r="Z93" t="s">
        <v>288</v>
      </c>
      <c r="AA93" t="s">
        <v>25</v>
      </c>
      <c r="AC93" t="s">
        <v>22</v>
      </c>
      <c r="AD93" t="s">
        <v>288</v>
      </c>
      <c r="AE93">
        <v>7.6986880738212854E-3</v>
      </c>
      <c r="AG93" t="s">
        <v>97</v>
      </c>
      <c r="AH93" t="s">
        <v>288</v>
      </c>
      <c r="AI93">
        <v>6.3654133597242701E-2</v>
      </c>
    </row>
    <row r="94" spans="5:35" x14ac:dyDescent="0.45">
      <c r="E94" t="s">
        <v>842</v>
      </c>
      <c r="G94" t="s">
        <v>437</v>
      </c>
      <c r="I94" t="s">
        <v>252</v>
      </c>
      <c r="J94" t="s">
        <v>289</v>
      </c>
      <c r="K94">
        <v>2.1083000217232108E-2</v>
      </c>
      <c r="L94" t="s">
        <v>254</v>
      </c>
      <c r="N94" t="s">
        <v>422</v>
      </c>
      <c r="O94" t="s">
        <v>289</v>
      </c>
      <c r="P94">
        <v>9.8080711952936682E-3</v>
      </c>
      <c r="Q94" t="s">
        <v>254</v>
      </c>
      <c r="S94" t="s">
        <v>423</v>
      </c>
      <c r="T94" t="s">
        <v>289</v>
      </c>
      <c r="U94">
        <v>1.0291819519044927E-2</v>
      </c>
      <c r="V94" t="s">
        <v>254</v>
      </c>
      <c r="X94">
        <v>8.9041095890410957E-3</v>
      </c>
      <c r="Y94">
        <v>1.1023212258326497E-2</v>
      </c>
      <c r="Z94" t="s">
        <v>289</v>
      </c>
      <c r="AA94" t="s">
        <v>25</v>
      </c>
      <c r="AC94" t="s">
        <v>22</v>
      </c>
      <c r="AD94" t="s">
        <v>289</v>
      </c>
      <c r="AE94">
        <v>1.1504655862299484E-2</v>
      </c>
      <c r="AG94" t="s">
        <v>97</v>
      </c>
      <c r="AH94" t="s">
        <v>289</v>
      </c>
      <c r="AI94">
        <v>6.2907058863093779E-2</v>
      </c>
    </row>
    <row r="95" spans="5:35" x14ac:dyDescent="0.45">
      <c r="E95" t="s">
        <v>843</v>
      </c>
      <c r="G95" t="s">
        <v>437</v>
      </c>
      <c r="I95" t="s">
        <v>252</v>
      </c>
      <c r="J95" t="s">
        <v>290</v>
      </c>
      <c r="K95">
        <v>6.5779298864558997E-3</v>
      </c>
      <c r="L95" t="s">
        <v>254</v>
      </c>
      <c r="N95" t="s">
        <v>422</v>
      </c>
      <c r="O95" t="s">
        <v>290</v>
      </c>
      <c r="P95">
        <v>3.3412296928201526E-3</v>
      </c>
      <c r="Q95" t="s">
        <v>254</v>
      </c>
      <c r="S95" t="s">
        <v>423</v>
      </c>
      <c r="T95" t="s">
        <v>290</v>
      </c>
      <c r="U95">
        <v>3.3656357275774489E-3</v>
      </c>
      <c r="V95" t="s">
        <v>254</v>
      </c>
      <c r="X95">
        <v>2.9680365296803654E-3</v>
      </c>
      <c r="Y95">
        <v>3.8697594245415152E-3</v>
      </c>
      <c r="Z95" t="s">
        <v>290</v>
      </c>
      <c r="AA95" t="s">
        <v>25</v>
      </c>
      <c r="AC95" t="s">
        <v>22</v>
      </c>
      <c r="AD95" t="s">
        <v>290</v>
      </c>
      <c r="AE95">
        <v>3.8077117371565529E-3</v>
      </c>
      <c r="AG95" t="s">
        <v>97</v>
      </c>
      <c r="AH95" t="s">
        <v>290</v>
      </c>
      <c r="AI95">
        <v>6.6622420811897287E-2</v>
      </c>
    </row>
    <row r="96" spans="5:35" x14ac:dyDescent="0.45">
      <c r="E96" t="s">
        <v>844</v>
      </c>
      <c r="G96" t="s">
        <v>437</v>
      </c>
      <c r="I96" t="s">
        <v>252</v>
      </c>
      <c r="J96" t="s">
        <v>291</v>
      </c>
      <c r="K96">
        <v>1.3761829119236126E-2</v>
      </c>
      <c r="L96" t="s">
        <v>254</v>
      </c>
      <c r="N96" t="s">
        <v>422</v>
      </c>
      <c r="O96" t="s">
        <v>291</v>
      </c>
      <c r="P96">
        <v>6.8431296952512558E-3</v>
      </c>
      <c r="Q96" t="s">
        <v>254</v>
      </c>
      <c r="S96" t="s">
        <v>423</v>
      </c>
      <c r="T96" t="s">
        <v>291</v>
      </c>
      <c r="U96">
        <v>6.894869123385397E-3</v>
      </c>
      <c r="V96" t="s">
        <v>254</v>
      </c>
      <c r="X96">
        <v>5.9360730593607308E-3</v>
      </c>
      <c r="Y96">
        <v>8.394533807357319E-3</v>
      </c>
      <c r="Z96" t="s">
        <v>291</v>
      </c>
      <c r="AA96" t="s">
        <v>25</v>
      </c>
      <c r="AC96" t="s">
        <v>22</v>
      </c>
      <c r="AD96" t="s">
        <v>291</v>
      </c>
      <c r="AE96">
        <v>7.6213406256939158E-3</v>
      </c>
      <c r="AG96" t="s">
        <v>97</v>
      </c>
      <c r="AH96" t="s">
        <v>291</v>
      </c>
      <c r="AI96">
        <v>7.0529194719301191E-2</v>
      </c>
    </row>
    <row r="97" spans="5:35" x14ac:dyDescent="0.45">
      <c r="E97" t="s">
        <v>845</v>
      </c>
      <c r="G97" t="s">
        <v>437</v>
      </c>
      <c r="I97" t="s">
        <v>252</v>
      </c>
      <c r="J97" t="s">
        <v>292</v>
      </c>
      <c r="K97">
        <v>9.6439045227326298E-3</v>
      </c>
      <c r="L97" t="s">
        <v>254</v>
      </c>
      <c r="N97" t="s">
        <v>422</v>
      </c>
      <c r="O97" t="s">
        <v>292</v>
      </c>
      <c r="P97">
        <v>6.7378235145733531E-3</v>
      </c>
      <c r="Q97" t="s">
        <v>254</v>
      </c>
      <c r="S97" t="s">
        <v>423</v>
      </c>
      <c r="T97" t="s">
        <v>292</v>
      </c>
      <c r="U97">
        <v>7.0042414344195537E-3</v>
      </c>
      <c r="V97" t="s">
        <v>254</v>
      </c>
      <c r="X97">
        <v>5.9360730593607308E-3</v>
      </c>
      <c r="Y97">
        <v>1.154894794852033E-2</v>
      </c>
      <c r="Z97" t="s">
        <v>292</v>
      </c>
      <c r="AA97" t="s">
        <v>25</v>
      </c>
      <c r="AC97" t="s">
        <v>22</v>
      </c>
      <c r="AD97" t="s">
        <v>292</v>
      </c>
      <c r="AE97">
        <v>7.7345822198594989E-3</v>
      </c>
      <c r="AG97" t="s">
        <v>97</v>
      </c>
      <c r="AH97" t="s">
        <v>292</v>
      </c>
      <c r="AI97">
        <v>5.9133067868003097E-2</v>
      </c>
    </row>
    <row r="98" spans="5:35" x14ac:dyDescent="0.45">
      <c r="E98" t="s">
        <v>846</v>
      </c>
      <c r="G98" t="s">
        <v>437</v>
      </c>
      <c r="I98" t="s">
        <v>252</v>
      </c>
      <c r="J98" t="s">
        <v>293</v>
      </c>
      <c r="K98">
        <v>3.0928607330769746E-4</v>
      </c>
      <c r="L98" t="s">
        <v>254</v>
      </c>
      <c r="N98" t="s">
        <v>422</v>
      </c>
      <c r="O98" t="s">
        <v>293</v>
      </c>
      <c r="P98">
        <v>2.0059576729918968E-2</v>
      </c>
      <c r="Q98" t="s">
        <v>254</v>
      </c>
      <c r="S98" t="s">
        <v>423</v>
      </c>
      <c r="T98" t="s">
        <v>293</v>
      </c>
      <c r="U98">
        <v>2.1104149043323681E-2</v>
      </c>
      <c r="V98" t="s">
        <v>254</v>
      </c>
      <c r="X98">
        <v>1.7808219178082191E-2</v>
      </c>
      <c r="Y98">
        <v>1.5685884527094782E-2</v>
      </c>
      <c r="Z98" t="s">
        <v>293</v>
      </c>
      <c r="AA98" t="s">
        <v>25</v>
      </c>
      <c r="AC98" t="s">
        <v>22</v>
      </c>
      <c r="AD98" t="s">
        <v>293</v>
      </c>
      <c r="AE98">
        <v>1.9796027471212403E-2</v>
      </c>
      <c r="AG98" t="s">
        <v>97</v>
      </c>
      <c r="AH98" t="s">
        <v>293</v>
      </c>
      <c r="AI98">
        <v>0.19179664251367456</v>
      </c>
    </row>
    <row r="99" spans="5:35" x14ac:dyDescent="0.45">
      <c r="E99" t="s">
        <v>847</v>
      </c>
      <c r="G99" t="s">
        <v>437</v>
      </c>
      <c r="I99" t="s">
        <v>252</v>
      </c>
      <c r="J99" t="s">
        <v>999</v>
      </c>
      <c r="K99">
        <v>0</v>
      </c>
      <c r="L99" t="s">
        <v>254</v>
      </c>
      <c r="N99" t="s">
        <v>422</v>
      </c>
      <c r="O99" t="s">
        <v>999</v>
      </c>
      <c r="P99">
        <v>2.4396749614770001E-4</v>
      </c>
      <c r="Q99" t="s">
        <v>254</v>
      </c>
      <c r="S99" t="s">
        <v>423</v>
      </c>
      <c r="T99" t="s">
        <v>999</v>
      </c>
      <c r="U99">
        <v>2.064494305321E-4</v>
      </c>
      <c r="V99" t="s">
        <v>254</v>
      </c>
      <c r="X99">
        <v>1.1415525114155251E-4</v>
      </c>
      <c r="Y99">
        <v>2.1546544680075254E-5</v>
      </c>
      <c r="Z99" t="s">
        <v>999</v>
      </c>
      <c r="AA99" t="s">
        <v>25</v>
      </c>
      <c r="AC99" t="s">
        <v>22</v>
      </c>
      <c r="AD99" t="s">
        <v>999</v>
      </c>
      <c r="AE99">
        <v>9.6924944753622958E-5</v>
      </c>
      <c r="AG99" t="s">
        <v>97</v>
      </c>
      <c r="AH99" t="s">
        <v>999</v>
      </c>
      <c r="AI99">
        <v>0</v>
      </c>
    </row>
    <row r="100" spans="5:35" x14ac:dyDescent="0.45">
      <c r="E100" t="s">
        <v>848</v>
      </c>
      <c r="G100" t="s">
        <v>437</v>
      </c>
      <c r="I100" t="s">
        <v>252</v>
      </c>
      <c r="J100" t="s">
        <v>1000</v>
      </c>
      <c r="K100">
        <v>0</v>
      </c>
      <c r="L100" t="s">
        <v>254</v>
      </c>
      <c r="N100" t="s">
        <v>422</v>
      </c>
      <c r="O100" t="s">
        <v>1000</v>
      </c>
      <c r="P100">
        <v>2.472280509763E-4</v>
      </c>
      <c r="Q100" t="s">
        <v>254</v>
      </c>
      <c r="S100" t="s">
        <v>423</v>
      </c>
      <c r="T100" t="s">
        <v>1000</v>
      </c>
      <c r="U100">
        <v>2.058010320893E-4</v>
      </c>
      <c r="V100" t="s">
        <v>254</v>
      </c>
      <c r="X100">
        <v>1.1415525114155251E-4</v>
      </c>
      <c r="Y100">
        <v>1.4916838624667481E-5</v>
      </c>
      <c r="Z100" t="s">
        <v>1000</v>
      </c>
      <c r="AA100" t="s">
        <v>25</v>
      </c>
      <c r="AC100" t="s">
        <v>22</v>
      </c>
      <c r="AD100" t="s">
        <v>1000</v>
      </c>
      <c r="AE100">
        <v>9.4122352742660362E-5</v>
      </c>
      <c r="AG100" t="s">
        <v>97</v>
      </c>
      <c r="AH100" t="s">
        <v>1000</v>
      </c>
      <c r="AI100">
        <v>0</v>
      </c>
    </row>
    <row r="101" spans="5:35" x14ac:dyDescent="0.45">
      <c r="E101" t="s">
        <v>849</v>
      </c>
      <c r="G101" t="s">
        <v>437</v>
      </c>
      <c r="I101" t="s">
        <v>252</v>
      </c>
      <c r="J101" t="s">
        <v>1001</v>
      </c>
      <c r="K101">
        <v>0</v>
      </c>
      <c r="L101" t="s">
        <v>254</v>
      </c>
      <c r="N101" t="s">
        <v>422</v>
      </c>
      <c r="O101" t="s">
        <v>1001</v>
      </c>
      <c r="P101">
        <v>2.495223563323E-4</v>
      </c>
      <c r="Q101" t="s">
        <v>254</v>
      </c>
      <c r="S101" t="s">
        <v>423</v>
      </c>
      <c r="T101" t="s">
        <v>1001</v>
      </c>
      <c r="U101">
        <v>2.0542279441160001E-4</v>
      </c>
      <c r="V101" t="s">
        <v>254</v>
      </c>
      <c r="X101">
        <v>1.1415525114155251E-4</v>
      </c>
      <c r="Y101">
        <v>1.6574265138519424E-5</v>
      </c>
      <c r="Z101" t="s">
        <v>1001</v>
      </c>
      <c r="AA101" t="s">
        <v>25</v>
      </c>
      <c r="AC101" t="s">
        <v>22</v>
      </c>
      <c r="AD101" t="s">
        <v>1001</v>
      </c>
      <c r="AE101">
        <v>9.3795042726781537E-5</v>
      </c>
      <c r="AG101" t="s">
        <v>97</v>
      </c>
      <c r="AH101" t="s">
        <v>1001</v>
      </c>
      <c r="AI101">
        <v>0</v>
      </c>
    </row>
    <row r="102" spans="5:35" x14ac:dyDescent="0.45">
      <c r="E102" t="s">
        <v>850</v>
      </c>
      <c r="G102" t="s">
        <v>437</v>
      </c>
      <c r="I102" t="s">
        <v>252</v>
      </c>
      <c r="J102" t="s">
        <v>1002</v>
      </c>
      <c r="K102">
        <v>0</v>
      </c>
      <c r="L102" t="s">
        <v>254</v>
      </c>
      <c r="N102" t="s">
        <v>422</v>
      </c>
      <c r="O102" t="s">
        <v>1002</v>
      </c>
      <c r="P102">
        <v>2.5178943094880001E-4</v>
      </c>
      <c r="Q102" t="s">
        <v>254</v>
      </c>
      <c r="S102" t="s">
        <v>423</v>
      </c>
      <c r="T102" t="s">
        <v>1002</v>
      </c>
      <c r="U102">
        <v>2.05518591247E-4</v>
      </c>
      <c r="V102" t="s">
        <v>254</v>
      </c>
      <c r="X102">
        <v>1.1415525114155251E-4</v>
      </c>
      <c r="Y102">
        <v>1.4585353321897093E-5</v>
      </c>
      <c r="Z102" t="s">
        <v>1002</v>
      </c>
      <c r="AA102" t="s">
        <v>25</v>
      </c>
      <c r="AC102" t="s">
        <v>22</v>
      </c>
      <c r="AD102" t="s">
        <v>1002</v>
      </c>
      <c r="AE102">
        <v>9.3795042726781537E-5</v>
      </c>
      <c r="AG102" t="s">
        <v>97</v>
      </c>
      <c r="AH102" t="s">
        <v>1002</v>
      </c>
      <c r="AI102">
        <v>0</v>
      </c>
    </row>
    <row r="103" spans="5:35" x14ac:dyDescent="0.45">
      <c r="E103" t="s">
        <v>851</v>
      </c>
      <c r="G103" t="s">
        <v>437</v>
      </c>
      <c r="I103" t="s">
        <v>252</v>
      </c>
      <c r="J103" t="s">
        <v>1003</v>
      </c>
      <c r="K103">
        <v>0</v>
      </c>
      <c r="L103" t="s">
        <v>254</v>
      </c>
      <c r="N103" t="s">
        <v>422</v>
      </c>
      <c r="O103" t="s">
        <v>1003</v>
      </c>
      <c r="P103">
        <v>2.5265711644479997E-4</v>
      </c>
      <c r="Q103" t="s">
        <v>254</v>
      </c>
      <c r="S103" t="s">
        <v>423</v>
      </c>
      <c r="T103" t="s">
        <v>1003</v>
      </c>
      <c r="U103">
        <v>2.057307557857E-4</v>
      </c>
      <c r="V103" t="s">
        <v>254</v>
      </c>
      <c r="X103">
        <v>1.1415525114155251E-4</v>
      </c>
      <c r="Y103">
        <v>2.1215059377304864E-5</v>
      </c>
      <c r="Z103" t="s">
        <v>1003</v>
      </c>
      <c r="AA103" t="s">
        <v>25</v>
      </c>
      <c r="AC103" t="s">
        <v>22</v>
      </c>
      <c r="AD103" t="s">
        <v>1003</v>
      </c>
      <c r="AE103">
        <v>1.0070179548372491E-4</v>
      </c>
      <c r="AG103" t="s">
        <v>97</v>
      </c>
      <c r="AH103" t="s">
        <v>1003</v>
      </c>
      <c r="AI103">
        <v>0</v>
      </c>
    </row>
    <row r="104" spans="5:35" x14ac:dyDescent="0.45">
      <c r="E104" t="s">
        <v>852</v>
      </c>
      <c r="G104" t="s">
        <v>437</v>
      </c>
      <c r="I104" t="s">
        <v>252</v>
      </c>
      <c r="J104" t="s">
        <v>1004</v>
      </c>
      <c r="K104">
        <v>0</v>
      </c>
      <c r="L104" t="s">
        <v>254</v>
      </c>
      <c r="N104" t="s">
        <v>422</v>
      </c>
      <c r="O104" t="s">
        <v>1004</v>
      </c>
      <c r="P104">
        <v>2.5245336151619998E-4</v>
      </c>
      <c r="Q104" t="s">
        <v>254</v>
      </c>
      <c r="S104" t="s">
        <v>423</v>
      </c>
      <c r="T104" t="s">
        <v>1004</v>
      </c>
      <c r="U104">
        <v>2.055808168567E-4</v>
      </c>
      <c r="V104" t="s">
        <v>254</v>
      </c>
      <c r="X104">
        <v>1.1415525114155251E-4</v>
      </c>
      <c r="Y104">
        <v>5.7678442682047593E-5</v>
      </c>
      <c r="Z104" t="s">
        <v>1004</v>
      </c>
      <c r="AA104" t="s">
        <v>25</v>
      </c>
      <c r="AC104" t="s">
        <v>22</v>
      </c>
      <c r="AD104" t="s">
        <v>1004</v>
      </c>
      <c r="AE104">
        <v>1.2460821219037566E-4</v>
      </c>
      <c r="AG104" t="s">
        <v>97</v>
      </c>
      <c r="AH104" t="s">
        <v>1004</v>
      </c>
      <c r="AI104">
        <v>0</v>
      </c>
    </row>
    <row r="105" spans="5:35" x14ac:dyDescent="0.45">
      <c r="E105" t="s">
        <v>853</v>
      </c>
      <c r="G105" t="s">
        <v>437</v>
      </c>
      <c r="I105" t="s">
        <v>252</v>
      </c>
      <c r="J105" t="s">
        <v>1005</v>
      </c>
      <c r="K105">
        <v>0</v>
      </c>
      <c r="L105" t="s">
        <v>254</v>
      </c>
      <c r="N105" t="s">
        <v>422</v>
      </c>
      <c r="O105" t="s">
        <v>1005</v>
      </c>
      <c r="P105">
        <v>2.5235276726190002E-4</v>
      </c>
      <c r="Q105" t="s">
        <v>254</v>
      </c>
      <c r="S105" t="s">
        <v>423</v>
      </c>
      <c r="T105" t="s">
        <v>1005</v>
      </c>
      <c r="U105">
        <v>2.0485635511400001E-4</v>
      </c>
      <c r="V105" t="s">
        <v>254</v>
      </c>
      <c r="X105">
        <v>1.1415525114155251E-4</v>
      </c>
      <c r="Y105">
        <v>1.6905750441289813E-4</v>
      </c>
      <c r="Z105" t="s">
        <v>1005</v>
      </c>
      <c r="AA105" t="s">
        <v>25</v>
      </c>
      <c r="AC105" t="s">
        <v>22</v>
      </c>
      <c r="AD105" t="s">
        <v>1005</v>
      </c>
      <c r="AE105">
        <v>1.4132915120468621E-4</v>
      </c>
      <c r="AG105" t="s">
        <v>97</v>
      </c>
      <c r="AH105" t="s">
        <v>1005</v>
      </c>
      <c r="AI105">
        <v>0</v>
      </c>
    </row>
    <row r="106" spans="5:35" x14ac:dyDescent="0.45">
      <c r="E106" t="s">
        <v>854</v>
      </c>
      <c r="G106" t="s">
        <v>437</v>
      </c>
      <c r="I106" t="s">
        <v>252</v>
      </c>
      <c r="J106" t="s">
        <v>1006</v>
      </c>
      <c r="K106">
        <v>0</v>
      </c>
      <c r="L106" t="s">
        <v>254</v>
      </c>
      <c r="N106" t="s">
        <v>422</v>
      </c>
      <c r="O106" t="s">
        <v>1006</v>
      </c>
      <c r="P106">
        <v>2.4967709307340002E-4</v>
      </c>
      <c r="Q106" t="s">
        <v>254</v>
      </c>
      <c r="S106" t="s">
        <v>423</v>
      </c>
      <c r="T106" t="s">
        <v>1006</v>
      </c>
      <c r="U106">
        <v>2.0387212823520001E-4</v>
      </c>
      <c r="V106" t="s">
        <v>254</v>
      </c>
      <c r="X106">
        <v>1.1415525114155251E-4</v>
      </c>
      <c r="Y106">
        <v>1.9060404909297337E-4</v>
      </c>
      <c r="Z106" t="s">
        <v>1006</v>
      </c>
      <c r="AA106" t="s">
        <v>25</v>
      </c>
      <c r="AC106" t="s">
        <v>22</v>
      </c>
      <c r="AD106" t="s">
        <v>1006</v>
      </c>
      <c r="AE106">
        <v>1.5320948193728857E-4</v>
      </c>
      <c r="AG106" t="s">
        <v>97</v>
      </c>
      <c r="AH106" t="s">
        <v>1006</v>
      </c>
      <c r="AI106">
        <v>0</v>
      </c>
    </row>
    <row r="107" spans="5:35" x14ac:dyDescent="0.45">
      <c r="E107" t="s">
        <v>463</v>
      </c>
      <c r="G107" t="s">
        <v>439</v>
      </c>
      <c r="I107" t="s">
        <v>252</v>
      </c>
      <c r="J107" t="s">
        <v>1007</v>
      </c>
      <c r="K107">
        <v>4.7235898110967063E-5</v>
      </c>
      <c r="L107" t="s">
        <v>254</v>
      </c>
      <c r="N107" t="s">
        <v>422</v>
      </c>
      <c r="O107" t="s">
        <v>1007</v>
      </c>
      <c r="P107">
        <v>2.503233117798E-4</v>
      </c>
      <c r="Q107" t="s">
        <v>254</v>
      </c>
      <c r="S107" t="s">
        <v>423</v>
      </c>
      <c r="T107" t="s">
        <v>1007</v>
      </c>
      <c r="U107">
        <v>2.0368834209189999E-4</v>
      </c>
      <c r="V107" t="s">
        <v>254</v>
      </c>
      <c r="X107">
        <v>1.1415525114155251E-4</v>
      </c>
      <c r="Y107">
        <v>1.4585353321897094E-4</v>
      </c>
      <c r="Z107" t="s">
        <v>1007</v>
      </c>
      <c r="AA107" t="s">
        <v>25</v>
      </c>
      <c r="AC107" t="s">
        <v>22</v>
      </c>
      <c r="AD107" t="s">
        <v>1007</v>
      </c>
      <c r="AE107">
        <v>1.5326829545576681E-4</v>
      </c>
      <c r="AG107" t="s">
        <v>97</v>
      </c>
      <c r="AH107" t="s">
        <v>1007</v>
      </c>
      <c r="AI107">
        <v>0</v>
      </c>
    </row>
    <row r="108" spans="5:35" x14ac:dyDescent="0.45">
      <c r="E108" t="s">
        <v>464</v>
      </c>
      <c r="G108" t="s">
        <v>439</v>
      </c>
      <c r="I108" t="s">
        <v>252</v>
      </c>
      <c r="J108" t="s">
        <v>1008</v>
      </c>
      <c r="K108">
        <v>1.033417785322E-4</v>
      </c>
      <c r="L108" t="s">
        <v>254</v>
      </c>
      <c r="N108" t="s">
        <v>422</v>
      </c>
      <c r="O108" t="s">
        <v>1008</v>
      </c>
      <c r="P108">
        <v>2.503605161411E-4</v>
      </c>
      <c r="Q108" t="s">
        <v>254</v>
      </c>
      <c r="S108" t="s">
        <v>423</v>
      </c>
      <c r="T108" t="s">
        <v>1008</v>
      </c>
      <c r="U108">
        <v>2.031205732205E-4</v>
      </c>
      <c r="V108" t="s">
        <v>254</v>
      </c>
      <c r="X108">
        <v>1.1415525114155251E-4</v>
      </c>
      <c r="Y108">
        <v>1.4452759200788939E-4</v>
      </c>
      <c r="Z108" t="s">
        <v>1008</v>
      </c>
      <c r="AA108" t="s">
        <v>25</v>
      </c>
      <c r="AC108" t="s">
        <v>22</v>
      </c>
      <c r="AD108" t="s">
        <v>1008</v>
      </c>
      <c r="AE108">
        <v>1.5377204602708033E-4</v>
      </c>
      <c r="AG108" t="s">
        <v>97</v>
      </c>
      <c r="AH108" t="s">
        <v>1008</v>
      </c>
      <c r="AI108">
        <v>0</v>
      </c>
    </row>
    <row r="109" spans="5:35" x14ac:dyDescent="0.45">
      <c r="E109" t="s">
        <v>465</v>
      </c>
      <c r="G109" t="s">
        <v>439</v>
      </c>
      <c r="I109" t="s">
        <v>252</v>
      </c>
      <c r="J109" t="s">
        <v>1009</v>
      </c>
      <c r="K109">
        <v>1.7026106435349999E-4</v>
      </c>
      <c r="L109" t="s">
        <v>254</v>
      </c>
      <c r="N109" t="s">
        <v>422</v>
      </c>
      <c r="O109" t="s">
        <v>1009</v>
      </c>
      <c r="P109">
        <v>2.4022815185260001E-4</v>
      </c>
      <c r="Q109" t="s">
        <v>254</v>
      </c>
      <c r="S109" t="s">
        <v>423</v>
      </c>
      <c r="T109" t="s">
        <v>1009</v>
      </c>
      <c r="U109">
        <v>2.044857032529E-4</v>
      </c>
      <c r="V109" t="s">
        <v>254</v>
      </c>
      <c r="X109">
        <v>1.1415525114155251E-4</v>
      </c>
      <c r="Y109">
        <v>1.408812536774151E-4</v>
      </c>
      <c r="Z109" t="s">
        <v>1009</v>
      </c>
      <c r="AA109" t="s">
        <v>25</v>
      </c>
      <c r="AC109" t="s">
        <v>22</v>
      </c>
      <c r="AD109" t="s">
        <v>1009</v>
      </c>
      <c r="AE109">
        <v>1.5361861945713712E-4</v>
      </c>
      <c r="AG109" t="s">
        <v>97</v>
      </c>
      <c r="AH109" t="s">
        <v>1009</v>
      </c>
      <c r="AI109">
        <v>0</v>
      </c>
    </row>
    <row r="110" spans="5:35" x14ac:dyDescent="0.45">
      <c r="E110" t="s">
        <v>466</v>
      </c>
      <c r="G110" t="s">
        <v>439</v>
      </c>
      <c r="I110" t="s">
        <v>252</v>
      </c>
      <c r="J110" t="s">
        <v>1010</v>
      </c>
      <c r="K110">
        <v>2.1861842818290001E-4</v>
      </c>
      <c r="L110" t="s">
        <v>254</v>
      </c>
      <c r="N110" t="s">
        <v>422</v>
      </c>
      <c r="O110" t="s">
        <v>1010</v>
      </c>
      <c r="P110">
        <v>2.421866917483E-4</v>
      </c>
      <c r="Q110" t="s">
        <v>254</v>
      </c>
      <c r="S110" t="s">
        <v>423</v>
      </c>
      <c r="T110" t="s">
        <v>1010</v>
      </c>
      <c r="U110">
        <v>2.0403991183140001E-4</v>
      </c>
      <c r="V110" t="s">
        <v>254</v>
      </c>
      <c r="X110">
        <v>1.1415525114155251E-4</v>
      </c>
      <c r="Y110">
        <v>1.4054976837464471E-4</v>
      </c>
      <c r="Z110" t="s">
        <v>1010</v>
      </c>
      <c r="AA110" t="s">
        <v>25</v>
      </c>
      <c r="AC110" t="s">
        <v>22</v>
      </c>
      <c r="AD110" t="s">
        <v>1010</v>
      </c>
      <c r="AE110">
        <v>1.5361861945713712E-4</v>
      </c>
      <c r="AG110" t="s">
        <v>97</v>
      </c>
      <c r="AH110" t="s">
        <v>1010</v>
      </c>
      <c r="AI110">
        <v>0</v>
      </c>
    </row>
    <row r="111" spans="5:35" x14ac:dyDescent="0.45">
      <c r="E111" t="s">
        <v>467</v>
      </c>
      <c r="G111" t="s">
        <v>439</v>
      </c>
      <c r="I111" t="s">
        <v>252</v>
      </c>
      <c r="J111" t="s">
        <v>1011</v>
      </c>
      <c r="K111">
        <v>1.90598689478E-4</v>
      </c>
      <c r="L111" t="s">
        <v>254</v>
      </c>
      <c r="N111" t="s">
        <v>422</v>
      </c>
      <c r="O111" t="s">
        <v>1011</v>
      </c>
      <c r="P111">
        <v>2.4591596520820002E-4</v>
      </c>
      <c r="Q111" t="s">
        <v>254</v>
      </c>
      <c r="S111" t="s">
        <v>423</v>
      </c>
      <c r="T111" t="s">
        <v>1011</v>
      </c>
      <c r="U111">
        <v>2.043579080285E-4</v>
      </c>
      <c r="V111" t="s">
        <v>254</v>
      </c>
      <c r="X111">
        <v>1.1415525114155251E-4</v>
      </c>
      <c r="Y111">
        <v>1.4253868019126702E-4</v>
      </c>
      <c r="Z111" t="s">
        <v>1011</v>
      </c>
      <c r="AA111" t="s">
        <v>25</v>
      </c>
      <c r="AC111" t="s">
        <v>22</v>
      </c>
      <c r="AD111" t="s">
        <v>1011</v>
      </c>
      <c r="AE111">
        <v>1.5350099242018067E-4</v>
      </c>
      <c r="AG111" t="s">
        <v>97</v>
      </c>
      <c r="AH111" t="s">
        <v>1011</v>
      </c>
      <c r="AI111">
        <v>0</v>
      </c>
    </row>
    <row r="112" spans="5:35" x14ac:dyDescent="0.45">
      <c r="E112" t="s">
        <v>468</v>
      </c>
      <c r="G112" t="s">
        <v>439</v>
      </c>
      <c r="I112" t="s">
        <v>252</v>
      </c>
      <c r="J112" t="s">
        <v>1012</v>
      </c>
      <c r="K112">
        <v>1.9469920708920001E-4</v>
      </c>
      <c r="L112" t="s">
        <v>254</v>
      </c>
      <c r="N112" t="s">
        <v>422</v>
      </c>
      <c r="O112" t="s">
        <v>1012</v>
      </c>
      <c r="P112">
        <v>2.5031515424630001E-4</v>
      </c>
      <c r="Q112" t="s">
        <v>254</v>
      </c>
      <c r="S112" t="s">
        <v>423</v>
      </c>
      <c r="T112" t="s">
        <v>1012</v>
      </c>
      <c r="U112">
        <v>2.0405162969850001E-4</v>
      </c>
      <c r="V112" t="s">
        <v>254</v>
      </c>
      <c r="X112">
        <v>1.1415525114155251E-4</v>
      </c>
      <c r="Y112">
        <v>1.4883690094390442E-4</v>
      </c>
      <c r="Z112" t="s">
        <v>1012</v>
      </c>
      <c r="AA112" t="s">
        <v>25</v>
      </c>
      <c r="AC112" t="s">
        <v>22</v>
      </c>
      <c r="AD112" t="s">
        <v>1012</v>
      </c>
      <c r="AE112">
        <v>1.5350099242018067E-4</v>
      </c>
      <c r="AG112" t="s">
        <v>97</v>
      </c>
      <c r="AH112" t="s">
        <v>1012</v>
      </c>
      <c r="AI112">
        <v>0</v>
      </c>
    </row>
    <row r="113" spans="5:35" x14ac:dyDescent="0.45">
      <c r="E113" t="s">
        <v>469</v>
      </c>
      <c r="G113" t="s">
        <v>439</v>
      </c>
      <c r="I113" t="s">
        <v>252</v>
      </c>
      <c r="J113" t="s">
        <v>1013</v>
      </c>
      <c r="K113">
        <v>2.0298432039280001E-4</v>
      </c>
      <c r="L113" t="s">
        <v>254</v>
      </c>
      <c r="N113" t="s">
        <v>422</v>
      </c>
      <c r="O113" t="s">
        <v>1013</v>
      </c>
      <c r="P113">
        <v>2.4666088739850001E-4</v>
      </c>
      <c r="Q113" t="s">
        <v>254</v>
      </c>
      <c r="S113" t="s">
        <v>423</v>
      </c>
      <c r="T113" t="s">
        <v>1013</v>
      </c>
      <c r="U113">
        <v>2.0075599699979999E-4</v>
      </c>
      <c r="V113" t="s">
        <v>254</v>
      </c>
      <c r="X113">
        <v>1.1415525114155251E-4</v>
      </c>
      <c r="Y113">
        <v>1.5049432745775637E-4</v>
      </c>
      <c r="Z113" t="s">
        <v>1013</v>
      </c>
      <c r="AA113" t="s">
        <v>25</v>
      </c>
      <c r="AC113" t="s">
        <v>22</v>
      </c>
      <c r="AD113" t="s">
        <v>1013</v>
      </c>
      <c r="AE113">
        <v>1.5332966608374408E-4</v>
      </c>
      <c r="AG113" t="s">
        <v>97</v>
      </c>
      <c r="AH113" t="s">
        <v>1013</v>
      </c>
      <c r="AI113">
        <v>0</v>
      </c>
    </row>
    <row r="114" spans="5:35" x14ac:dyDescent="0.45">
      <c r="E114" t="s">
        <v>470</v>
      </c>
      <c r="G114" t="s">
        <v>439</v>
      </c>
      <c r="I114" t="s">
        <v>252</v>
      </c>
      <c r="J114" t="s">
        <v>1014</v>
      </c>
      <c r="K114">
        <v>1.7828378447609999E-4</v>
      </c>
      <c r="L114" t="s">
        <v>254</v>
      </c>
      <c r="N114" t="s">
        <v>422</v>
      </c>
      <c r="O114" t="s">
        <v>1014</v>
      </c>
      <c r="P114">
        <v>2.38010933788E-4</v>
      </c>
      <c r="Q114" t="s">
        <v>254</v>
      </c>
      <c r="S114" t="s">
        <v>423</v>
      </c>
      <c r="T114" t="s">
        <v>1014</v>
      </c>
      <c r="U114">
        <v>1.979531908257E-4</v>
      </c>
      <c r="V114" t="s">
        <v>254</v>
      </c>
      <c r="X114">
        <v>1.1415525114155251E-4</v>
      </c>
      <c r="Y114">
        <v>1.7237235744060203E-4</v>
      </c>
      <c r="Z114" t="s">
        <v>1014</v>
      </c>
      <c r="AA114" t="s">
        <v>25</v>
      </c>
      <c r="AC114" t="s">
        <v>22</v>
      </c>
      <c r="AD114" t="s">
        <v>1014</v>
      </c>
      <c r="AE114">
        <v>1.5332966608374408E-4</v>
      </c>
      <c r="AG114" t="s">
        <v>97</v>
      </c>
      <c r="AH114" t="s">
        <v>1014</v>
      </c>
      <c r="AI114">
        <v>0</v>
      </c>
    </row>
    <row r="115" spans="5:35" x14ac:dyDescent="0.45">
      <c r="E115" t="s">
        <v>471</v>
      </c>
      <c r="G115" t="s">
        <v>439</v>
      </c>
      <c r="I115" t="s">
        <v>252</v>
      </c>
      <c r="J115" t="s">
        <v>1015</v>
      </c>
      <c r="K115">
        <v>1.172502673683E-4</v>
      </c>
      <c r="L115" t="s">
        <v>254</v>
      </c>
      <c r="N115" t="s">
        <v>422</v>
      </c>
      <c r="O115" t="s">
        <v>1015</v>
      </c>
      <c r="P115">
        <v>2.3988035670890001E-4</v>
      </c>
      <c r="Q115" t="s">
        <v>254</v>
      </c>
      <c r="S115" t="s">
        <v>423</v>
      </c>
      <c r="T115" t="s">
        <v>1015</v>
      </c>
      <c r="U115">
        <v>1.951868009203E-4</v>
      </c>
      <c r="V115" t="s">
        <v>254</v>
      </c>
      <c r="X115">
        <v>1.1415525114155251E-4</v>
      </c>
      <c r="Y115">
        <v>2.2209515285616027E-4</v>
      </c>
      <c r="Z115" t="s">
        <v>1015</v>
      </c>
      <c r="AA115" t="s">
        <v>25</v>
      </c>
      <c r="AC115" t="s">
        <v>22</v>
      </c>
      <c r="AD115" t="s">
        <v>1015</v>
      </c>
      <c r="AE115">
        <v>1.5416839799943361E-4</v>
      </c>
      <c r="AG115" t="s">
        <v>97</v>
      </c>
      <c r="AH115" t="s">
        <v>1015</v>
      </c>
      <c r="AI115">
        <v>0</v>
      </c>
    </row>
    <row r="116" spans="5:35" x14ac:dyDescent="0.45">
      <c r="E116" t="s">
        <v>472</v>
      </c>
      <c r="G116" t="s">
        <v>439</v>
      </c>
      <c r="I116" t="s">
        <v>252</v>
      </c>
      <c r="J116" t="s">
        <v>1016</v>
      </c>
      <c r="K116">
        <v>6.2834536814652695E-5</v>
      </c>
      <c r="L116" t="s">
        <v>254</v>
      </c>
      <c r="N116" t="s">
        <v>422</v>
      </c>
      <c r="O116" t="s">
        <v>1016</v>
      </c>
      <c r="P116">
        <v>2.4419677928080001E-4</v>
      </c>
      <c r="Q116" t="s">
        <v>254</v>
      </c>
      <c r="S116" t="s">
        <v>423</v>
      </c>
      <c r="T116" t="s">
        <v>1016</v>
      </c>
      <c r="U116">
        <v>1.9370692864590001E-4</v>
      </c>
      <c r="V116" t="s">
        <v>254</v>
      </c>
      <c r="X116">
        <v>1.1415525114155251E-4</v>
      </c>
      <c r="Y116">
        <v>2.2209515285616027E-4</v>
      </c>
      <c r="Z116" t="s">
        <v>1016</v>
      </c>
      <c r="AA116" t="s">
        <v>25</v>
      </c>
      <c r="AC116" t="s">
        <v>22</v>
      </c>
      <c r="AD116" t="s">
        <v>1016</v>
      </c>
      <c r="AE116">
        <v>1.5533188282150295E-4</v>
      </c>
      <c r="AG116" t="s">
        <v>97</v>
      </c>
      <c r="AH116" t="s">
        <v>1016</v>
      </c>
      <c r="AI116">
        <v>0</v>
      </c>
    </row>
    <row r="117" spans="5:35" x14ac:dyDescent="0.45">
      <c r="E117" t="s">
        <v>473</v>
      </c>
      <c r="G117" t="s">
        <v>439</v>
      </c>
      <c r="I117" t="s">
        <v>252</v>
      </c>
      <c r="J117" t="s">
        <v>1017</v>
      </c>
      <c r="K117">
        <v>0</v>
      </c>
      <c r="L117" t="s">
        <v>254</v>
      </c>
      <c r="N117" t="s">
        <v>422</v>
      </c>
      <c r="O117" t="s">
        <v>1017</v>
      </c>
      <c r="P117">
        <v>2.4241983707330001E-4</v>
      </c>
      <c r="Q117" t="s">
        <v>254</v>
      </c>
      <c r="S117" t="s">
        <v>423</v>
      </c>
      <c r="T117" t="s">
        <v>1017</v>
      </c>
      <c r="U117">
        <v>1.9310290108630001E-4</v>
      </c>
      <c r="V117" t="s">
        <v>254</v>
      </c>
      <c r="X117">
        <v>1.1415525114155251E-4</v>
      </c>
      <c r="Y117">
        <v>1.7237235744060203E-4</v>
      </c>
      <c r="Z117" t="s">
        <v>1017</v>
      </c>
      <c r="AA117" t="s">
        <v>25</v>
      </c>
      <c r="AC117" t="s">
        <v>22</v>
      </c>
      <c r="AD117" t="s">
        <v>1017</v>
      </c>
      <c r="AE117">
        <v>1.5577937698383728E-4</v>
      </c>
      <c r="AG117" t="s">
        <v>97</v>
      </c>
      <c r="AH117" t="s">
        <v>1017</v>
      </c>
      <c r="AI117">
        <v>0</v>
      </c>
    </row>
    <row r="118" spans="5:35" x14ac:dyDescent="0.45">
      <c r="E118" t="s">
        <v>474</v>
      </c>
      <c r="G118" t="s">
        <v>439</v>
      </c>
      <c r="I118" t="s">
        <v>252</v>
      </c>
      <c r="J118" t="s">
        <v>1018</v>
      </c>
      <c r="K118">
        <v>0</v>
      </c>
      <c r="L118" t="s">
        <v>254</v>
      </c>
      <c r="N118" t="s">
        <v>422</v>
      </c>
      <c r="O118" t="s">
        <v>1018</v>
      </c>
      <c r="P118">
        <v>2.45905690735E-4</v>
      </c>
      <c r="Q118" t="s">
        <v>254</v>
      </c>
      <c r="S118" t="s">
        <v>423</v>
      </c>
      <c r="T118" t="s">
        <v>1018</v>
      </c>
      <c r="U118">
        <v>1.9284531499000001E-4</v>
      </c>
      <c r="V118" t="s">
        <v>254</v>
      </c>
      <c r="X118">
        <v>1.1415525114155251E-4</v>
      </c>
      <c r="Y118">
        <v>1.5579809230208258E-4</v>
      </c>
      <c r="Z118" t="s">
        <v>1018</v>
      </c>
      <c r="AA118" t="s">
        <v>25</v>
      </c>
      <c r="AC118" t="s">
        <v>22</v>
      </c>
      <c r="AD118" t="s">
        <v>1018</v>
      </c>
      <c r="AE118">
        <v>1.4992103912150583E-4</v>
      </c>
      <c r="AG118" t="s">
        <v>97</v>
      </c>
      <c r="AH118" t="s">
        <v>1018</v>
      </c>
      <c r="AI118">
        <v>0</v>
      </c>
    </row>
    <row r="119" spans="5:35" x14ac:dyDescent="0.45">
      <c r="E119" t="s">
        <v>475</v>
      </c>
      <c r="G119" t="s">
        <v>439</v>
      </c>
      <c r="I119" t="s">
        <v>252</v>
      </c>
      <c r="J119" t="s">
        <v>1019</v>
      </c>
      <c r="K119">
        <v>0</v>
      </c>
      <c r="L119" t="s">
        <v>254</v>
      </c>
      <c r="N119" t="s">
        <v>422</v>
      </c>
      <c r="O119" t="s">
        <v>1019</v>
      </c>
      <c r="P119">
        <v>2.497674116342E-4</v>
      </c>
      <c r="Q119" t="s">
        <v>254</v>
      </c>
      <c r="S119" t="s">
        <v>423</v>
      </c>
      <c r="T119" t="s">
        <v>1019</v>
      </c>
      <c r="U119">
        <v>1.9501265351259999E-4</v>
      </c>
      <c r="V119" t="s">
        <v>254</v>
      </c>
      <c r="X119">
        <v>1.1415525114155251E-4</v>
      </c>
      <c r="Y119">
        <v>1.093901499142282E-4</v>
      </c>
      <c r="Z119" t="s">
        <v>1019</v>
      </c>
      <c r="AA119" t="s">
        <v>25</v>
      </c>
      <c r="AC119" t="s">
        <v>22</v>
      </c>
      <c r="AD119" t="s">
        <v>1019</v>
      </c>
      <c r="AE119">
        <v>1.3299297423777193E-4</v>
      </c>
      <c r="AG119" t="s">
        <v>97</v>
      </c>
      <c r="AH119" t="s">
        <v>1019</v>
      </c>
      <c r="AI119">
        <v>0</v>
      </c>
    </row>
    <row r="120" spans="5:35" x14ac:dyDescent="0.45">
      <c r="E120" t="s">
        <v>476</v>
      </c>
      <c r="G120" t="s">
        <v>439</v>
      </c>
      <c r="I120" t="s">
        <v>252</v>
      </c>
      <c r="J120" t="s">
        <v>1020</v>
      </c>
      <c r="K120">
        <v>0</v>
      </c>
      <c r="L120" t="s">
        <v>254</v>
      </c>
      <c r="N120" t="s">
        <v>422</v>
      </c>
      <c r="O120" t="s">
        <v>1020</v>
      </c>
      <c r="P120">
        <v>2.5129126230769998E-4</v>
      </c>
      <c r="Q120" t="s">
        <v>254</v>
      </c>
      <c r="S120" t="s">
        <v>423</v>
      </c>
      <c r="T120" t="s">
        <v>1020</v>
      </c>
      <c r="U120">
        <v>2.0721022645199999E-4</v>
      </c>
      <c r="V120" t="s">
        <v>254</v>
      </c>
      <c r="X120">
        <v>1.1415525114155251E-4</v>
      </c>
      <c r="Y120">
        <v>7.9556472664893237E-5</v>
      </c>
      <c r="Z120" t="s">
        <v>1020</v>
      </c>
      <c r="AA120" t="s">
        <v>25</v>
      </c>
      <c r="AC120" t="s">
        <v>22</v>
      </c>
      <c r="AD120" t="s">
        <v>1020</v>
      </c>
      <c r="AE120">
        <v>1.2444711429193529E-4</v>
      </c>
      <c r="AG120" t="s">
        <v>97</v>
      </c>
      <c r="AH120" t="s">
        <v>1020</v>
      </c>
      <c r="AI120">
        <v>0</v>
      </c>
    </row>
    <row r="121" spans="5:35" x14ac:dyDescent="0.45">
      <c r="E121" t="s">
        <v>477</v>
      </c>
      <c r="G121" t="s">
        <v>439</v>
      </c>
      <c r="I121" t="s">
        <v>252</v>
      </c>
      <c r="J121" t="s">
        <v>1021</v>
      </c>
      <c r="K121">
        <v>0</v>
      </c>
      <c r="L121" t="s">
        <v>254</v>
      </c>
      <c r="N121" t="s">
        <v>422</v>
      </c>
      <c r="O121" t="s">
        <v>1021</v>
      </c>
      <c r="P121">
        <v>2.546707149878E-4</v>
      </c>
      <c r="Q121" t="s">
        <v>254</v>
      </c>
      <c r="S121" t="s">
        <v>423</v>
      </c>
      <c r="T121" t="s">
        <v>1021</v>
      </c>
      <c r="U121">
        <v>2.1103107687400001E-4</v>
      </c>
      <c r="V121" t="s">
        <v>254</v>
      </c>
      <c r="X121">
        <v>1.1415525114155251E-4</v>
      </c>
      <c r="Y121">
        <v>5.6352501470966035E-5</v>
      </c>
      <c r="Z121" t="s">
        <v>1021</v>
      </c>
      <c r="AA121" t="s">
        <v>25</v>
      </c>
      <c r="AC121" t="s">
        <v>22</v>
      </c>
      <c r="AD121" t="s">
        <v>1021</v>
      </c>
      <c r="AE121">
        <v>1.1748154801651369E-4</v>
      </c>
      <c r="AG121" t="s">
        <v>97</v>
      </c>
      <c r="AH121" t="s">
        <v>1021</v>
      </c>
      <c r="AI121">
        <v>0</v>
      </c>
    </row>
    <row r="122" spans="5:35" x14ac:dyDescent="0.45">
      <c r="E122" t="s">
        <v>478</v>
      </c>
      <c r="G122" t="s">
        <v>439</v>
      </c>
      <c r="I122" t="s">
        <v>252</v>
      </c>
      <c r="J122" t="s">
        <v>1022</v>
      </c>
      <c r="K122">
        <v>0</v>
      </c>
      <c r="L122" t="s">
        <v>254</v>
      </c>
      <c r="N122" t="s">
        <v>422</v>
      </c>
      <c r="O122" t="s">
        <v>1022</v>
      </c>
      <c r="P122">
        <v>2.5376336041319999E-4</v>
      </c>
      <c r="Q122" t="s">
        <v>254</v>
      </c>
      <c r="S122" t="s">
        <v>423</v>
      </c>
      <c r="T122" t="s">
        <v>1022</v>
      </c>
      <c r="U122">
        <v>2.115874919414E-4</v>
      </c>
      <c r="V122" t="s">
        <v>254</v>
      </c>
      <c r="X122">
        <v>1.1415525114155251E-4</v>
      </c>
      <c r="Y122">
        <v>2.9833677249334962E-5</v>
      </c>
      <c r="Z122" t="s">
        <v>1022</v>
      </c>
      <c r="AA122" t="s">
        <v>25</v>
      </c>
      <c r="AC122" t="s">
        <v>22</v>
      </c>
      <c r="AD122" t="s">
        <v>1022</v>
      </c>
      <c r="AE122">
        <v>1.0180902389681506E-4</v>
      </c>
      <c r="AG122" t="s">
        <v>97</v>
      </c>
      <c r="AH122" t="s">
        <v>1022</v>
      </c>
      <c r="AI122">
        <v>0</v>
      </c>
    </row>
    <row r="123" spans="5:35" x14ac:dyDescent="0.45">
      <c r="E123" t="s">
        <v>479</v>
      </c>
      <c r="G123" t="s">
        <v>439</v>
      </c>
      <c r="I123" t="s">
        <v>252</v>
      </c>
      <c r="J123" t="s">
        <v>1023</v>
      </c>
      <c r="K123">
        <v>0</v>
      </c>
      <c r="L123" t="s">
        <v>254</v>
      </c>
      <c r="N123" t="s">
        <v>422</v>
      </c>
      <c r="O123" t="s">
        <v>1023</v>
      </c>
      <c r="P123">
        <v>2.491201969272E-4</v>
      </c>
      <c r="Q123" t="s">
        <v>254</v>
      </c>
      <c r="S123" t="s">
        <v>423</v>
      </c>
      <c r="T123" t="s">
        <v>1023</v>
      </c>
      <c r="U123">
        <v>2.1114052096200001E-4</v>
      </c>
      <c r="V123" t="s">
        <v>254</v>
      </c>
      <c r="X123">
        <v>1.1415525114155251E-4</v>
      </c>
      <c r="Y123">
        <v>2.1546544680075254E-5</v>
      </c>
      <c r="Z123" t="s">
        <v>1023</v>
      </c>
      <c r="AA123" t="s">
        <v>25</v>
      </c>
      <c r="AC123" t="s">
        <v>22</v>
      </c>
      <c r="AD123" t="s">
        <v>1023</v>
      </c>
      <c r="AE123">
        <v>9.9034560090342053E-5</v>
      </c>
      <c r="AG123" t="s">
        <v>97</v>
      </c>
      <c r="AH123" t="s">
        <v>1023</v>
      </c>
      <c r="AI123">
        <v>0</v>
      </c>
    </row>
    <row r="124" spans="5:35" x14ac:dyDescent="0.45">
      <c r="E124" t="s">
        <v>480</v>
      </c>
      <c r="G124" t="s">
        <v>439</v>
      </c>
      <c r="I124" t="s">
        <v>252</v>
      </c>
      <c r="J124" t="s">
        <v>1024</v>
      </c>
      <c r="K124">
        <v>0</v>
      </c>
      <c r="L124" t="s">
        <v>254</v>
      </c>
      <c r="N124" t="s">
        <v>422</v>
      </c>
      <c r="O124" t="s">
        <v>1024</v>
      </c>
      <c r="P124">
        <v>2.4785790174940001E-4</v>
      </c>
      <c r="Q124" t="s">
        <v>254</v>
      </c>
      <c r="S124" t="s">
        <v>423</v>
      </c>
      <c r="T124" t="s">
        <v>1024</v>
      </c>
      <c r="U124">
        <v>2.105963268138E-4</v>
      </c>
      <c r="V124" t="s">
        <v>254</v>
      </c>
      <c r="X124">
        <v>1.1415525114155251E-4</v>
      </c>
      <c r="Y124">
        <v>1.4916838624667481E-5</v>
      </c>
      <c r="Z124" t="s">
        <v>1024</v>
      </c>
      <c r="AA124" t="s">
        <v>25</v>
      </c>
      <c r="AC124" t="s">
        <v>22</v>
      </c>
      <c r="AD124" t="s">
        <v>1024</v>
      </c>
      <c r="AE124">
        <v>9.6830331702157989E-5</v>
      </c>
      <c r="AG124" t="s">
        <v>97</v>
      </c>
      <c r="AH124" t="s">
        <v>1024</v>
      </c>
      <c r="AI124">
        <v>0</v>
      </c>
    </row>
    <row r="125" spans="5:35" x14ac:dyDescent="0.45">
      <c r="E125" t="s">
        <v>481</v>
      </c>
      <c r="G125" t="s">
        <v>439</v>
      </c>
      <c r="I125" t="s">
        <v>252</v>
      </c>
      <c r="J125" t="s">
        <v>1025</v>
      </c>
      <c r="K125">
        <v>0</v>
      </c>
      <c r="L125" t="s">
        <v>254</v>
      </c>
      <c r="N125" t="s">
        <v>422</v>
      </c>
      <c r="O125" t="s">
        <v>1025</v>
      </c>
      <c r="P125">
        <v>2.4785371740590001E-4</v>
      </c>
      <c r="Q125" t="s">
        <v>254</v>
      </c>
      <c r="S125" t="s">
        <v>423</v>
      </c>
      <c r="T125" t="s">
        <v>1025</v>
      </c>
      <c r="U125">
        <v>2.101437983454E-4</v>
      </c>
      <c r="V125" t="s">
        <v>254</v>
      </c>
      <c r="X125">
        <v>1.1415525114155251E-4</v>
      </c>
      <c r="Y125">
        <v>1.6574265138519424E-5</v>
      </c>
      <c r="Z125" t="s">
        <v>1025</v>
      </c>
      <c r="AA125" t="s">
        <v>25</v>
      </c>
      <c r="AC125" t="s">
        <v>22</v>
      </c>
      <c r="AD125" t="s">
        <v>1025</v>
      </c>
      <c r="AE125">
        <v>9.6768961074180694E-5</v>
      </c>
      <c r="AG125" t="s">
        <v>97</v>
      </c>
      <c r="AH125" t="s">
        <v>1025</v>
      </c>
      <c r="AI125">
        <v>0</v>
      </c>
    </row>
    <row r="126" spans="5:35" x14ac:dyDescent="0.45">
      <c r="E126" t="s">
        <v>482</v>
      </c>
      <c r="G126" t="s">
        <v>439</v>
      </c>
      <c r="I126" t="s">
        <v>252</v>
      </c>
      <c r="J126" t="s">
        <v>1026</v>
      </c>
      <c r="K126">
        <v>0</v>
      </c>
      <c r="L126" t="s">
        <v>254</v>
      </c>
      <c r="N126" t="s">
        <v>422</v>
      </c>
      <c r="O126" t="s">
        <v>1026</v>
      </c>
      <c r="P126">
        <v>2.4645100617689999E-4</v>
      </c>
      <c r="Q126" t="s">
        <v>254</v>
      </c>
      <c r="S126" t="s">
        <v>423</v>
      </c>
      <c r="T126" t="s">
        <v>1026</v>
      </c>
      <c r="U126">
        <v>2.100625065495E-4</v>
      </c>
      <c r="V126" t="s">
        <v>254</v>
      </c>
      <c r="X126">
        <v>1.1415525114155251E-4</v>
      </c>
      <c r="Y126">
        <v>1.4585353321897093E-5</v>
      </c>
      <c r="Z126" t="s">
        <v>1026</v>
      </c>
      <c r="AA126" t="s">
        <v>25</v>
      </c>
      <c r="AC126" t="s">
        <v>22</v>
      </c>
      <c r="AD126" t="s">
        <v>1026</v>
      </c>
      <c r="AE126">
        <v>9.639306597781983E-5</v>
      </c>
      <c r="AG126" t="s">
        <v>97</v>
      </c>
      <c r="AH126" t="s">
        <v>1026</v>
      </c>
      <c r="AI126">
        <v>0</v>
      </c>
    </row>
    <row r="127" spans="5:35" x14ac:dyDescent="0.45">
      <c r="E127" t="s">
        <v>483</v>
      </c>
      <c r="G127" t="s">
        <v>439</v>
      </c>
      <c r="I127" t="s">
        <v>252</v>
      </c>
      <c r="J127" t="s">
        <v>1027</v>
      </c>
      <c r="K127">
        <v>0</v>
      </c>
      <c r="L127" t="s">
        <v>254</v>
      </c>
      <c r="N127" t="s">
        <v>422</v>
      </c>
      <c r="O127" t="s">
        <v>1027</v>
      </c>
      <c r="P127">
        <v>2.4364820245E-4</v>
      </c>
      <c r="Q127" t="s">
        <v>254</v>
      </c>
      <c r="S127" t="s">
        <v>423</v>
      </c>
      <c r="T127" t="s">
        <v>1027</v>
      </c>
      <c r="U127">
        <v>2.1000104943149999E-4</v>
      </c>
      <c r="V127" t="s">
        <v>254</v>
      </c>
      <c r="X127">
        <v>1.1415525114155251E-4</v>
      </c>
      <c r="Y127">
        <v>2.1215059377304864E-5</v>
      </c>
      <c r="Z127" t="s">
        <v>1027</v>
      </c>
      <c r="AA127" t="s">
        <v>25</v>
      </c>
      <c r="AC127" t="s">
        <v>22</v>
      </c>
      <c r="AD127" t="s">
        <v>1027</v>
      </c>
      <c r="AE127">
        <v>1.0421014971642623E-4</v>
      </c>
      <c r="AG127" t="s">
        <v>97</v>
      </c>
      <c r="AH127" t="s">
        <v>1027</v>
      </c>
      <c r="AI127">
        <v>0</v>
      </c>
    </row>
    <row r="128" spans="5:35" x14ac:dyDescent="0.45">
      <c r="E128" t="s">
        <v>484</v>
      </c>
      <c r="G128" t="s">
        <v>439</v>
      </c>
      <c r="I128" t="s">
        <v>252</v>
      </c>
      <c r="J128" t="s">
        <v>1028</v>
      </c>
      <c r="K128">
        <v>0</v>
      </c>
      <c r="L128" t="s">
        <v>254</v>
      </c>
      <c r="N128" t="s">
        <v>422</v>
      </c>
      <c r="O128" t="s">
        <v>1028</v>
      </c>
      <c r="P128">
        <v>2.4407240856600001E-4</v>
      </c>
      <c r="Q128" t="s">
        <v>254</v>
      </c>
      <c r="S128" t="s">
        <v>423</v>
      </c>
      <c r="T128" t="s">
        <v>1028</v>
      </c>
      <c r="U128">
        <v>2.0977903359390001E-4</v>
      </c>
      <c r="V128" t="s">
        <v>254</v>
      </c>
      <c r="X128">
        <v>1.1415525114155251E-4</v>
      </c>
      <c r="Y128">
        <v>5.7678442682047593E-5</v>
      </c>
      <c r="Z128" t="s">
        <v>1028</v>
      </c>
      <c r="AA128" t="s">
        <v>25</v>
      </c>
      <c r="AC128" t="s">
        <v>22</v>
      </c>
      <c r="AD128" t="s">
        <v>1028</v>
      </c>
      <c r="AE128">
        <v>1.3268356398838649E-4</v>
      </c>
      <c r="AG128" t="s">
        <v>97</v>
      </c>
      <c r="AH128" t="s">
        <v>1028</v>
      </c>
      <c r="AI128">
        <v>0</v>
      </c>
    </row>
    <row r="129" spans="5:35" x14ac:dyDescent="0.45">
      <c r="E129" t="s">
        <v>485</v>
      </c>
      <c r="G129" t="s">
        <v>439</v>
      </c>
      <c r="I129" t="s">
        <v>252</v>
      </c>
      <c r="J129" t="s">
        <v>1029</v>
      </c>
      <c r="K129">
        <v>0</v>
      </c>
      <c r="L129" t="s">
        <v>254</v>
      </c>
      <c r="N129" t="s">
        <v>422</v>
      </c>
      <c r="O129" t="s">
        <v>1029</v>
      </c>
      <c r="P129">
        <v>2.4185754302929999E-4</v>
      </c>
      <c r="Q129" t="s">
        <v>254</v>
      </c>
      <c r="S129" t="s">
        <v>423</v>
      </c>
      <c r="T129" t="s">
        <v>1029</v>
      </c>
      <c r="U129">
        <v>2.083888648935E-4</v>
      </c>
      <c r="V129" t="s">
        <v>254</v>
      </c>
      <c r="X129">
        <v>1.1415525114155251E-4</v>
      </c>
      <c r="Y129">
        <v>1.6905750441289813E-4</v>
      </c>
      <c r="Z129" t="s">
        <v>1029</v>
      </c>
      <c r="AA129" t="s">
        <v>25</v>
      </c>
      <c r="AC129" t="s">
        <v>22</v>
      </c>
      <c r="AD129" t="s">
        <v>1029</v>
      </c>
      <c r="AE129">
        <v>1.4723607414749969E-4</v>
      </c>
      <c r="AG129" t="s">
        <v>97</v>
      </c>
      <c r="AH129" t="s">
        <v>1029</v>
      </c>
      <c r="AI129">
        <v>0</v>
      </c>
    </row>
    <row r="130" spans="5:35" x14ac:dyDescent="0.45">
      <c r="E130" t="s">
        <v>486</v>
      </c>
      <c r="G130" t="s">
        <v>439</v>
      </c>
      <c r="I130" t="s">
        <v>252</v>
      </c>
      <c r="J130" t="s">
        <v>1030</v>
      </c>
      <c r="K130">
        <v>0</v>
      </c>
      <c r="L130" t="s">
        <v>254</v>
      </c>
      <c r="N130" t="s">
        <v>422</v>
      </c>
      <c r="O130" t="s">
        <v>1030</v>
      </c>
      <c r="P130">
        <v>2.3932879282609999E-4</v>
      </c>
      <c r="Q130" t="s">
        <v>254</v>
      </c>
      <c r="S130" t="s">
        <v>423</v>
      </c>
      <c r="T130" t="s">
        <v>1030</v>
      </c>
      <c r="U130">
        <v>2.0533720455050001E-4</v>
      </c>
      <c r="V130" t="s">
        <v>254</v>
      </c>
      <c r="X130">
        <v>1.1415525114155251E-4</v>
      </c>
      <c r="Y130">
        <v>1.9060404909297337E-4</v>
      </c>
      <c r="Z130" t="s">
        <v>1030</v>
      </c>
      <c r="AA130" t="s">
        <v>25</v>
      </c>
      <c r="AC130" t="s">
        <v>22</v>
      </c>
      <c r="AD130" t="s">
        <v>1030</v>
      </c>
      <c r="AE130">
        <v>1.5411214159045443E-4</v>
      </c>
      <c r="AG130" t="s">
        <v>97</v>
      </c>
      <c r="AH130" t="s">
        <v>1030</v>
      </c>
      <c r="AI130">
        <v>0</v>
      </c>
    </row>
    <row r="131" spans="5:35" x14ac:dyDescent="0.45">
      <c r="E131" t="s">
        <v>487</v>
      </c>
      <c r="G131" t="s">
        <v>441</v>
      </c>
      <c r="I131" t="s">
        <v>252</v>
      </c>
      <c r="J131" t="s">
        <v>1031</v>
      </c>
      <c r="K131">
        <v>6.7641199515952762E-5</v>
      </c>
      <c r="L131" t="s">
        <v>254</v>
      </c>
      <c r="N131" t="s">
        <v>422</v>
      </c>
      <c r="O131" t="s">
        <v>1031</v>
      </c>
      <c r="P131">
        <v>2.4237704190150001E-4</v>
      </c>
      <c r="Q131" t="s">
        <v>254</v>
      </c>
      <c r="S131" t="s">
        <v>423</v>
      </c>
      <c r="T131" t="s">
        <v>1031</v>
      </c>
      <c r="U131">
        <v>2.038566718229E-4</v>
      </c>
      <c r="V131" t="s">
        <v>254</v>
      </c>
      <c r="X131">
        <v>1.1415525114155251E-4</v>
      </c>
      <c r="Y131">
        <v>1.4585353321897094E-4</v>
      </c>
      <c r="Z131" t="s">
        <v>1031</v>
      </c>
      <c r="AA131" t="s">
        <v>25</v>
      </c>
      <c r="AC131" t="s">
        <v>22</v>
      </c>
      <c r="AD131" t="s">
        <v>1031</v>
      </c>
      <c r="AE131">
        <v>1.5486393178317615E-4</v>
      </c>
      <c r="AG131" t="s">
        <v>97</v>
      </c>
      <c r="AH131" t="s">
        <v>1031</v>
      </c>
      <c r="AI131">
        <v>0</v>
      </c>
    </row>
    <row r="132" spans="5:35" x14ac:dyDescent="0.45">
      <c r="E132" t="s">
        <v>488</v>
      </c>
      <c r="G132" t="s">
        <v>441</v>
      </c>
      <c r="I132" t="s">
        <v>252</v>
      </c>
      <c r="J132" t="s">
        <v>1032</v>
      </c>
      <c r="K132">
        <v>1.2596739187599999E-4</v>
      </c>
      <c r="L132" t="s">
        <v>254</v>
      </c>
      <c r="N132" t="s">
        <v>422</v>
      </c>
      <c r="O132" t="s">
        <v>1032</v>
      </c>
      <c r="P132">
        <v>2.412672843926E-4</v>
      </c>
      <c r="Q132" t="s">
        <v>254</v>
      </c>
      <c r="S132" t="s">
        <v>423</v>
      </c>
      <c r="T132" t="s">
        <v>1032</v>
      </c>
      <c r="U132">
        <v>2.033211249576E-4</v>
      </c>
      <c r="V132" t="s">
        <v>254</v>
      </c>
      <c r="X132">
        <v>1.1415525114155251E-4</v>
      </c>
      <c r="Y132">
        <v>1.4452759200788939E-4</v>
      </c>
      <c r="Z132" t="s">
        <v>1032</v>
      </c>
      <c r="AA132" t="s">
        <v>25</v>
      </c>
      <c r="AC132" t="s">
        <v>22</v>
      </c>
      <c r="AD132" t="s">
        <v>1032</v>
      </c>
      <c r="AE132">
        <v>1.558714329258032E-4</v>
      </c>
      <c r="AG132" t="s">
        <v>97</v>
      </c>
      <c r="AH132" t="s">
        <v>1032</v>
      </c>
      <c r="AI132">
        <v>0</v>
      </c>
    </row>
    <row r="133" spans="5:35" x14ac:dyDescent="0.45">
      <c r="E133" t="s">
        <v>489</v>
      </c>
      <c r="G133" t="s">
        <v>441</v>
      </c>
      <c r="I133" t="s">
        <v>252</v>
      </c>
      <c r="J133" t="s">
        <v>1033</v>
      </c>
      <c r="K133">
        <v>1.9734494170699999E-4</v>
      </c>
      <c r="L133" t="s">
        <v>254</v>
      </c>
      <c r="N133" t="s">
        <v>422</v>
      </c>
      <c r="O133" t="s">
        <v>1033</v>
      </c>
      <c r="P133">
        <v>2.4025685254900001E-4</v>
      </c>
      <c r="Q133" t="s">
        <v>254</v>
      </c>
      <c r="S133" t="s">
        <v>423</v>
      </c>
      <c r="T133" t="s">
        <v>1033</v>
      </c>
      <c r="U133">
        <v>2.0245655690130001E-4</v>
      </c>
      <c r="V133" t="s">
        <v>254</v>
      </c>
      <c r="X133">
        <v>1.1415525114155251E-4</v>
      </c>
      <c r="Y133">
        <v>1.408812536774151E-4</v>
      </c>
      <c r="Z133" t="s">
        <v>1033</v>
      </c>
      <c r="AA133" t="s">
        <v>25</v>
      </c>
      <c r="AC133" t="s">
        <v>22</v>
      </c>
      <c r="AD133" t="s">
        <v>1033</v>
      </c>
      <c r="AE133">
        <v>1.5547508095344994E-4</v>
      </c>
      <c r="AG133" t="s">
        <v>97</v>
      </c>
      <c r="AH133" t="s">
        <v>1033</v>
      </c>
      <c r="AI133">
        <v>0</v>
      </c>
    </row>
    <row r="134" spans="5:35" x14ac:dyDescent="0.45">
      <c r="E134" t="s">
        <v>490</v>
      </c>
      <c r="G134" t="s">
        <v>441</v>
      </c>
      <c r="I134" t="s">
        <v>252</v>
      </c>
      <c r="J134" t="s">
        <v>1034</v>
      </c>
      <c r="K134">
        <v>2.2362619685859999E-4</v>
      </c>
      <c r="L134" t="s">
        <v>254</v>
      </c>
      <c r="N134" t="s">
        <v>422</v>
      </c>
      <c r="O134" t="s">
        <v>1034</v>
      </c>
      <c r="P134">
        <v>2.4425755422099999E-4</v>
      </c>
      <c r="Q134" t="s">
        <v>254</v>
      </c>
      <c r="S134" t="s">
        <v>423</v>
      </c>
      <c r="T134" t="s">
        <v>1034</v>
      </c>
      <c r="U134">
        <v>2.0317636780070001E-4</v>
      </c>
      <c r="V134" t="s">
        <v>254</v>
      </c>
      <c r="X134">
        <v>1.1415525114155251E-4</v>
      </c>
      <c r="Y134">
        <v>1.4054976837464471E-4</v>
      </c>
      <c r="Z134" t="s">
        <v>1034</v>
      </c>
      <c r="AA134" t="s">
        <v>25</v>
      </c>
      <c r="AC134" t="s">
        <v>22</v>
      </c>
      <c r="AD134" t="s">
        <v>1034</v>
      </c>
      <c r="AE134">
        <v>1.5444712293483044E-4</v>
      </c>
      <c r="AG134" t="s">
        <v>97</v>
      </c>
      <c r="AH134" t="s">
        <v>1034</v>
      </c>
      <c r="AI134">
        <v>0</v>
      </c>
    </row>
    <row r="135" spans="5:35" x14ac:dyDescent="0.45">
      <c r="E135" t="s">
        <v>491</v>
      </c>
      <c r="G135" t="s">
        <v>441</v>
      </c>
      <c r="I135" t="s">
        <v>252</v>
      </c>
      <c r="J135" t="s">
        <v>1035</v>
      </c>
      <c r="K135">
        <v>2.212244508902E-4</v>
      </c>
      <c r="L135" t="s">
        <v>254</v>
      </c>
      <c r="N135" t="s">
        <v>422</v>
      </c>
      <c r="O135" t="s">
        <v>1035</v>
      </c>
      <c r="P135">
        <v>2.4504109693209997E-4</v>
      </c>
      <c r="Q135" t="s">
        <v>254</v>
      </c>
      <c r="S135" t="s">
        <v>423</v>
      </c>
      <c r="T135" t="s">
        <v>1035</v>
      </c>
      <c r="U135">
        <v>2.0709219998290001E-4</v>
      </c>
      <c r="V135" t="s">
        <v>254</v>
      </c>
      <c r="X135">
        <v>1.1415525114155251E-4</v>
      </c>
      <c r="Y135">
        <v>1.4253868019126702E-4</v>
      </c>
      <c r="Z135" t="s">
        <v>1035</v>
      </c>
      <c r="AA135" t="s">
        <v>25</v>
      </c>
      <c r="AC135" t="s">
        <v>22</v>
      </c>
      <c r="AD135" t="s">
        <v>1035</v>
      </c>
      <c r="AE135">
        <v>1.5428346792689104E-4</v>
      </c>
      <c r="AG135" t="s">
        <v>97</v>
      </c>
      <c r="AH135" t="s">
        <v>1035</v>
      </c>
      <c r="AI135">
        <v>0</v>
      </c>
    </row>
    <row r="136" spans="5:35" x14ac:dyDescent="0.45">
      <c r="E136" t="s">
        <v>492</v>
      </c>
      <c r="G136" t="s">
        <v>441</v>
      </c>
      <c r="I136" t="s">
        <v>252</v>
      </c>
      <c r="J136" t="s">
        <v>1036</v>
      </c>
      <c r="K136">
        <v>2.160955125248E-4</v>
      </c>
      <c r="L136" t="s">
        <v>254</v>
      </c>
      <c r="N136" t="s">
        <v>422</v>
      </c>
      <c r="O136" t="s">
        <v>1036</v>
      </c>
      <c r="P136">
        <v>2.4006564226539999E-4</v>
      </c>
      <c r="Q136" t="s">
        <v>254</v>
      </c>
      <c r="S136" t="s">
        <v>423</v>
      </c>
      <c r="T136" t="s">
        <v>1036</v>
      </c>
      <c r="U136">
        <v>2.086809871812E-4</v>
      </c>
      <c r="V136" t="s">
        <v>254</v>
      </c>
      <c r="X136">
        <v>1.1415525114155251E-4</v>
      </c>
      <c r="Y136">
        <v>1.4883690094390442E-4</v>
      </c>
      <c r="Z136" t="s">
        <v>1036</v>
      </c>
      <c r="AA136" t="s">
        <v>25</v>
      </c>
      <c r="AC136" t="s">
        <v>22</v>
      </c>
      <c r="AD136" t="s">
        <v>1036</v>
      </c>
      <c r="AE136">
        <v>1.5350099242018067E-4</v>
      </c>
      <c r="AG136" t="s">
        <v>97</v>
      </c>
      <c r="AH136" t="s">
        <v>1036</v>
      </c>
      <c r="AI136">
        <v>0</v>
      </c>
    </row>
    <row r="137" spans="5:35" x14ac:dyDescent="0.45">
      <c r="E137" t="s">
        <v>493</v>
      </c>
      <c r="G137" t="s">
        <v>441</v>
      </c>
      <c r="I137" t="s">
        <v>252</v>
      </c>
      <c r="J137" t="s">
        <v>1037</v>
      </c>
      <c r="K137">
        <v>2.432832629526E-4</v>
      </c>
      <c r="L137" t="s">
        <v>254</v>
      </c>
      <c r="N137" t="s">
        <v>422</v>
      </c>
      <c r="O137" t="s">
        <v>1037</v>
      </c>
      <c r="P137">
        <v>2.403193112628E-4</v>
      </c>
      <c r="Q137" t="s">
        <v>254</v>
      </c>
      <c r="S137" t="s">
        <v>423</v>
      </c>
      <c r="T137" t="s">
        <v>1037</v>
      </c>
      <c r="U137">
        <v>2.083774171574E-4</v>
      </c>
      <c r="V137" t="s">
        <v>254</v>
      </c>
      <c r="X137">
        <v>1.1415525114155251E-4</v>
      </c>
      <c r="Y137">
        <v>1.5049432745775637E-4</v>
      </c>
      <c r="Z137" t="s">
        <v>1037</v>
      </c>
      <c r="AA137" t="s">
        <v>25</v>
      </c>
      <c r="AC137" t="s">
        <v>22</v>
      </c>
      <c r="AD137" t="s">
        <v>1037</v>
      </c>
      <c r="AE137">
        <v>1.5332966608374408E-4</v>
      </c>
      <c r="AG137" t="s">
        <v>97</v>
      </c>
      <c r="AH137" t="s">
        <v>1037</v>
      </c>
      <c r="AI137">
        <v>0</v>
      </c>
    </row>
    <row r="138" spans="5:35" x14ac:dyDescent="0.45">
      <c r="E138" t="s">
        <v>494</v>
      </c>
      <c r="G138" t="s">
        <v>441</v>
      </c>
      <c r="I138" t="s">
        <v>252</v>
      </c>
      <c r="J138" t="s">
        <v>1038</v>
      </c>
      <c r="K138">
        <v>2.1018495199360001E-4</v>
      </c>
      <c r="L138" t="s">
        <v>254</v>
      </c>
      <c r="N138" t="s">
        <v>422</v>
      </c>
      <c r="O138" t="s">
        <v>1038</v>
      </c>
      <c r="P138">
        <v>2.4186474592759999E-4</v>
      </c>
      <c r="Q138" t="s">
        <v>254</v>
      </c>
      <c r="S138" t="s">
        <v>423</v>
      </c>
      <c r="T138" t="s">
        <v>1038</v>
      </c>
      <c r="U138">
        <v>2.0974442374669999E-4</v>
      </c>
      <c r="V138" t="s">
        <v>254</v>
      </c>
      <c r="X138">
        <v>1.1415525114155251E-4</v>
      </c>
      <c r="Y138">
        <v>1.7237235744060203E-4</v>
      </c>
      <c r="Z138" t="s">
        <v>1038</v>
      </c>
      <c r="AA138" t="s">
        <v>25</v>
      </c>
      <c r="AC138" t="s">
        <v>22</v>
      </c>
      <c r="AD138" t="s">
        <v>1038</v>
      </c>
      <c r="AE138">
        <v>1.5390245861153206E-4</v>
      </c>
      <c r="AG138" t="s">
        <v>97</v>
      </c>
      <c r="AH138" t="s">
        <v>1038</v>
      </c>
      <c r="AI138">
        <v>0</v>
      </c>
    </row>
    <row r="139" spans="5:35" x14ac:dyDescent="0.45">
      <c r="E139" t="s">
        <v>495</v>
      </c>
      <c r="G139" t="s">
        <v>441</v>
      </c>
      <c r="I139" t="s">
        <v>252</v>
      </c>
      <c r="J139" t="s">
        <v>1039</v>
      </c>
      <c r="K139">
        <v>1.5947017858879999E-4</v>
      </c>
      <c r="L139" t="s">
        <v>254</v>
      </c>
      <c r="N139" t="s">
        <v>422</v>
      </c>
      <c r="O139" t="s">
        <v>1039</v>
      </c>
      <c r="P139">
        <v>2.407213351645E-4</v>
      </c>
      <c r="Q139" t="s">
        <v>254</v>
      </c>
      <c r="S139" t="s">
        <v>423</v>
      </c>
      <c r="T139" t="s">
        <v>1039</v>
      </c>
      <c r="U139">
        <v>2.097517661946E-4</v>
      </c>
      <c r="V139" t="s">
        <v>254</v>
      </c>
      <c r="X139">
        <v>1.1415525114155251E-4</v>
      </c>
      <c r="Y139">
        <v>2.2209515285616027E-4</v>
      </c>
      <c r="Z139" t="s">
        <v>1039</v>
      </c>
      <c r="AA139" t="s">
        <v>25</v>
      </c>
      <c r="AC139" t="s">
        <v>22</v>
      </c>
      <c r="AD139" t="s">
        <v>1039</v>
      </c>
      <c r="AE139">
        <v>1.5492018819215534E-4</v>
      </c>
      <c r="AG139" t="s">
        <v>97</v>
      </c>
      <c r="AH139" t="s">
        <v>1039</v>
      </c>
      <c r="AI139">
        <v>0</v>
      </c>
    </row>
    <row r="140" spans="5:35" x14ac:dyDescent="0.45">
      <c r="E140" t="s">
        <v>496</v>
      </c>
      <c r="G140" t="s">
        <v>441</v>
      </c>
      <c r="I140" t="s">
        <v>252</v>
      </c>
      <c r="J140" t="s">
        <v>1040</v>
      </c>
      <c r="K140">
        <v>1.1388676746880001E-4</v>
      </c>
      <c r="L140" t="s">
        <v>254</v>
      </c>
      <c r="N140" t="s">
        <v>422</v>
      </c>
      <c r="O140" t="s">
        <v>1040</v>
      </c>
      <c r="P140">
        <v>2.4790117366519997E-4</v>
      </c>
      <c r="Q140" t="s">
        <v>254</v>
      </c>
      <c r="S140" t="s">
        <v>423</v>
      </c>
      <c r="T140" t="s">
        <v>1040</v>
      </c>
      <c r="U140">
        <v>2.1052235776590001E-4</v>
      </c>
      <c r="V140" t="s">
        <v>254</v>
      </c>
      <c r="X140">
        <v>1.1415525114155251E-4</v>
      </c>
      <c r="Y140">
        <v>2.2209515285616027E-4</v>
      </c>
      <c r="Z140" t="s">
        <v>1040</v>
      </c>
      <c r="AA140" t="s">
        <v>25</v>
      </c>
      <c r="AC140" t="s">
        <v>22</v>
      </c>
      <c r="AD140" t="s">
        <v>1040</v>
      </c>
      <c r="AE140">
        <v>1.5615015786120005E-4</v>
      </c>
      <c r="AG140" t="s">
        <v>97</v>
      </c>
      <c r="AH140" t="s">
        <v>1040</v>
      </c>
      <c r="AI140">
        <v>0</v>
      </c>
    </row>
    <row r="141" spans="5:35" x14ac:dyDescent="0.45">
      <c r="E141" t="s">
        <v>497</v>
      </c>
      <c r="G141" t="s">
        <v>441</v>
      </c>
      <c r="I141" t="s">
        <v>252</v>
      </c>
      <c r="J141" t="s">
        <v>1041</v>
      </c>
      <c r="K141">
        <v>0</v>
      </c>
      <c r="L141" t="s">
        <v>254</v>
      </c>
      <c r="N141" t="s">
        <v>422</v>
      </c>
      <c r="O141" t="s">
        <v>1041</v>
      </c>
      <c r="P141">
        <v>2.4965364980190002E-4</v>
      </c>
      <c r="Q141" t="s">
        <v>254</v>
      </c>
      <c r="S141" t="s">
        <v>423</v>
      </c>
      <c r="T141" t="s">
        <v>1041</v>
      </c>
      <c r="U141">
        <v>2.1073668381670001E-4</v>
      </c>
      <c r="V141" t="s">
        <v>254</v>
      </c>
      <c r="X141">
        <v>1.1415525114155251E-4</v>
      </c>
      <c r="Y141">
        <v>1.7237235744060203E-4</v>
      </c>
      <c r="Z141" t="s">
        <v>1041</v>
      </c>
      <c r="AA141" t="s">
        <v>25</v>
      </c>
      <c r="AC141" t="s">
        <v>22</v>
      </c>
      <c r="AD141" t="s">
        <v>1041</v>
      </c>
      <c r="AE141">
        <v>1.56052987700236E-4</v>
      </c>
      <c r="AG141" t="s">
        <v>97</v>
      </c>
      <c r="AH141" t="s">
        <v>1041</v>
      </c>
      <c r="AI141">
        <v>0</v>
      </c>
    </row>
    <row r="142" spans="5:35" x14ac:dyDescent="0.45">
      <c r="E142" t="s">
        <v>498</v>
      </c>
      <c r="G142" t="s">
        <v>441</v>
      </c>
      <c r="I142" t="s">
        <v>252</v>
      </c>
      <c r="J142" t="s">
        <v>1042</v>
      </c>
      <c r="K142">
        <v>0</v>
      </c>
      <c r="L142" t="s">
        <v>254</v>
      </c>
      <c r="N142" t="s">
        <v>422</v>
      </c>
      <c r="O142" t="s">
        <v>1042</v>
      </c>
      <c r="P142">
        <v>2.4920867381750001E-4</v>
      </c>
      <c r="Q142" t="s">
        <v>254</v>
      </c>
      <c r="S142" t="s">
        <v>423</v>
      </c>
      <c r="T142" t="s">
        <v>1042</v>
      </c>
      <c r="U142">
        <v>2.110049155758E-4</v>
      </c>
      <c r="V142" t="s">
        <v>254</v>
      </c>
      <c r="X142">
        <v>1.1415525114155251E-4</v>
      </c>
      <c r="Y142">
        <v>1.5579809230208258E-4</v>
      </c>
      <c r="Z142" t="s">
        <v>1042</v>
      </c>
      <c r="AA142" t="s">
        <v>25</v>
      </c>
      <c r="AC142" t="s">
        <v>22</v>
      </c>
      <c r="AD142" t="s">
        <v>1042</v>
      </c>
      <c r="AE142">
        <v>1.5030204843686479E-4</v>
      </c>
      <c r="AG142" t="s">
        <v>97</v>
      </c>
      <c r="AH142" t="s">
        <v>1042</v>
      </c>
      <c r="AI142">
        <v>0</v>
      </c>
    </row>
    <row r="143" spans="5:35" x14ac:dyDescent="0.45">
      <c r="E143" t="s">
        <v>499</v>
      </c>
      <c r="G143" t="s">
        <v>441</v>
      </c>
      <c r="I143" t="s">
        <v>252</v>
      </c>
      <c r="J143" t="s">
        <v>1043</v>
      </c>
      <c r="K143">
        <v>0</v>
      </c>
      <c r="L143" t="s">
        <v>254</v>
      </c>
      <c r="N143" t="s">
        <v>422</v>
      </c>
      <c r="O143" t="s">
        <v>1043</v>
      </c>
      <c r="P143">
        <v>2.5142737776599999E-4</v>
      </c>
      <c r="Q143" t="s">
        <v>254</v>
      </c>
      <c r="S143" t="s">
        <v>423</v>
      </c>
      <c r="T143" t="s">
        <v>1043</v>
      </c>
      <c r="U143">
        <v>2.1110346346529999E-4</v>
      </c>
      <c r="V143" t="s">
        <v>254</v>
      </c>
      <c r="X143">
        <v>1.1415525114155251E-4</v>
      </c>
      <c r="Y143">
        <v>1.093901499142282E-4</v>
      </c>
      <c r="Z143" t="s">
        <v>1043</v>
      </c>
      <c r="AA143" t="s">
        <v>25</v>
      </c>
      <c r="AC143" t="s">
        <v>22</v>
      </c>
      <c r="AD143" t="s">
        <v>1043</v>
      </c>
      <c r="AE143">
        <v>1.3299297423777193E-4</v>
      </c>
      <c r="AG143" t="s">
        <v>97</v>
      </c>
      <c r="AH143" t="s">
        <v>1043</v>
      </c>
      <c r="AI143">
        <v>0</v>
      </c>
    </row>
    <row r="144" spans="5:35" x14ac:dyDescent="0.45">
      <c r="E144" t="s">
        <v>500</v>
      </c>
      <c r="G144" t="s">
        <v>441</v>
      </c>
      <c r="I144" t="s">
        <v>252</v>
      </c>
      <c r="J144" t="s">
        <v>1044</v>
      </c>
      <c r="K144">
        <v>0</v>
      </c>
      <c r="L144" t="s">
        <v>254</v>
      </c>
      <c r="N144" t="s">
        <v>422</v>
      </c>
      <c r="O144" t="s">
        <v>1044</v>
      </c>
      <c r="P144">
        <v>2.5064620888540001E-4</v>
      </c>
      <c r="Q144" t="s">
        <v>254</v>
      </c>
      <c r="S144" t="s">
        <v>423</v>
      </c>
      <c r="T144" t="s">
        <v>1044</v>
      </c>
      <c r="U144">
        <v>2.1107867973570001E-4</v>
      </c>
      <c r="V144" t="s">
        <v>254</v>
      </c>
      <c r="X144">
        <v>1.1415525114155251E-4</v>
      </c>
      <c r="Y144">
        <v>7.9556472664893237E-5</v>
      </c>
      <c r="Z144" t="s">
        <v>1044</v>
      </c>
      <c r="AA144" t="s">
        <v>25</v>
      </c>
      <c r="AC144" t="s">
        <v>22</v>
      </c>
      <c r="AD144" t="s">
        <v>1044</v>
      </c>
      <c r="AE144">
        <v>1.2444711429193529E-4</v>
      </c>
      <c r="AG144" t="s">
        <v>97</v>
      </c>
      <c r="AH144" t="s">
        <v>1044</v>
      </c>
      <c r="AI144">
        <v>0</v>
      </c>
    </row>
    <row r="145" spans="5:35" x14ac:dyDescent="0.45">
      <c r="E145" t="s">
        <v>501</v>
      </c>
      <c r="G145" t="s">
        <v>441</v>
      </c>
      <c r="I145" t="s">
        <v>252</v>
      </c>
      <c r="J145" t="s">
        <v>1045</v>
      </c>
      <c r="K145">
        <v>0</v>
      </c>
      <c r="L145" t="s">
        <v>254</v>
      </c>
      <c r="N145" t="s">
        <v>422</v>
      </c>
      <c r="O145" t="s">
        <v>1045</v>
      </c>
      <c r="P145">
        <v>2.4780908224909999E-4</v>
      </c>
      <c r="Q145" t="s">
        <v>254</v>
      </c>
      <c r="S145" t="s">
        <v>423</v>
      </c>
      <c r="T145" t="s">
        <v>1045</v>
      </c>
      <c r="U145">
        <v>2.0924722221659999E-4</v>
      </c>
      <c r="V145" t="s">
        <v>254</v>
      </c>
      <c r="X145">
        <v>1.1415525114155251E-4</v>
      </c>
      <c r="Y145">
        <v>5.6352501470966035E-5</v>
      </c>
      <c r="Z145" t="s">
        <v>1045</v>
      </c>
      <c r="AA145" t="s">
        <v>25</v>
      </c>
      <c r="AC145" t="s">
        <v>22</v>
      </c>
      <c r="AD145" t="s">
        <v>1045</v>
      </c>
      <c r="AE145">
        <v>1.1744063426452884E-4</v>
      </c>
      <c r="AG145" t="s">
        <v>97</v>
      </c>
      <c r="AH145" t="s">
        <v>1045</v>
      </c>
      <c r="AI145">
        <v>0</v>
      </c>
    </row>
    <row r="146" spans="5:35" x14ac:dyDescent="0.45">
      <c r="E146" t="s">
        <v>502</v>
      </c>
      <c r="G146" t="s">
        <v>441</v>
      </c>
      <c r="I146" t="s">
        <v>252</v>
      </c>
      <c r="J146" t="s">
        <v>1046</v>
      </c>
      <c r="K146">
        <v>0</v>
      </c>
      <c r="L146" t="s">
        <v>254</v>
      </c>
      <c r="N146" t="s">
        <v>422</v>
      </c>
      <c r="O146" t="s">
        <v>1046</v>
      </c>
      <c r="P146">
        <v>2.4442462880590001E-4</v>
      </c>
      <c r="Q146" t="s">
        <v>254</v>
      </c>
      <c r="S146" t="s">
        <v>423</v>
      </c>
      <c r="T146" t="s">
        <v>1046</v>
      </c>
      <c r="U146">
        <v>2.064752203105E-4</v>
      </c>
      <c r="V146" t="s">
        <v>254</v>
      </c>
      <c r="X146">
        <v>1.1415525114155251E-4</v>
      </c>
      <c r="Y146">
        <v>2.9833677249334962E-5</v>
      </c>
      <c r="Z146" t="s">
        <v>1046</v>
      </c>
      <c r="AA146" t="s">
        <v>25</v>
      </c>
      <c r="AC146" t="s">
        <v>22</v>
      </c>
      <c r="AD146" t="s">
        <v>1046</v>
      </c>
      <c r="AE146">
        <v>1.0220026165017024E-4</v>
      </c>
      <c r="AG146" t="s">
        <v>97</v>
      </c>
      <c r="AH146" t="s">
        <v>1046</v>
      </c>
      <c r="AI146">
        <v>0</v>
      </c>
    </row>
    <row r="147" spans="5:35" x14ac:dyDescent="0.45">
      <c r="E147" t="s">
        <v>503</v>
      </c>
      <c r="G147" t="s">
        <v>441</v>
      </c>
      <c r="I147" t="s">
        <v>252</v>
      </c>
      <c r="J147" t="s">
        <v>294</v>
      </c>
      <c r="K147">
        <v>1.6104140391799037E-5</v>
      </c>
      <c r="L147" t="s">
        <v>254</v>
      </c>
      <c r="N147" t="s">
        <v>422</v>
      </c>
      <c r="O147" t="s">
        <v>294</v>
      </c>
      <c r="P147">
        <v>2.422069263148147E-2</v>
      </c>
      <c r="Q147" t="s">
        <v>254</v>
      </c>
      <c r="S147" t="s">
        <v>423</v>
      </c>
      <c r="T147" t="s">
        <v>294</v>
      </c>
      <c r="U147">
        <v>2.5901969336789985E-2</v>
      </c>
      <c r="V147" t="s">
        <v>254</v>
      </c>
      <c r="X147">
        <v>2.4771689497716895E-2</v>
      </c>
      <c r="Y147">
        <v>9.7827942553597048E-3</v>
      </c>
      <c r="Z147" t="s">
        <v>294</v>
      </c>
      <c r="AA147" t="s">
        <v>25</v>
      </c>
      <c r="AC147" t="s">
        <v>22</v>
      </c>
      <c r="AD147" t="s">
        <v>294</v>
      </c>
      <c r="AE147">
        <v>2.1673230553283358E-2</v>
      </c>
      <c r="AG147" t="s">
        <v>97</v>
      </c>
      <c r="AH147" t="s">
        <v>294</v>
      </c>
      <c r="AI147">
        <v>0.29189958109755287</v>
      </c>
    </row>
    <row r="148" spans="5:35" x14ac:dyDescent="0.45">
      <c r="E148" t="s">
        <v>504</v>
      </c>
      <c r="G148" t="s">
        <v>441</v>
      </c>
      <c r="I148" t="s">
        <v>252</v>
      </c>
      <c r="J148" t="s">
        <v>295</v>
      </c>
      <c r="K148">
        <v>2.4930351960390073E-3</v>
      </c>
      <c r="L148" t="s">
        <v>254</v>
      </c>
      <c r="N148" t="s">
        <v>422</v>
      </c>
      <c r="O148" t="s">
        <v>295</v>
      </c>
      <c r="P148">
        <v>3.5730988300244175E-3</v>
      </c>
      <c r="Q148" t="s">
        <v>254</v>
      </c>
      <c r="S148" t="s">
        <v>423</v>
      </c>
      <c r="T148" t="s">
        <v>295</v>
      </c>
      <c r="U148">
        <v>3.8899664386824219E-3</v>
      </c>
      <c r="V148" t="s">
        <v>254</v>
      </c>
      <c r="X148">
        <v>3.5388127853881279E-3</v>
      </c>
      <c r="Y148">
        <v>5.9087255218821738E-3</v>
      </c>
      <c r="Z148" t="s">
        <v>295</v>
      </c>
      <c r="AA148" t="s">
        <v>25</v>
      </c>
      <c r="AC148" t="s">
        <v>22</v>
      </c>
      <c r="AD148" t="s">
        <v>295</v>
      </c>
      <c r="AE148">
        <v>4.1395725431968974E-3</v>
      </c>
      <c r="AG148" t="s">
        <v>97</v>
      </c>
      <c r="AH148" t="s">
        <v>295</v>
      </c>
      <c r="AI148">
        <v>7.1225832716647064E-2</v>
      </c>
    </row>
    <row r="149" spans="5:35" x14ac:dyDescent="0.45">
      <c r="E149" t="s">
        <v>505</v>
      </c>
      <c r="G149" t="s">
        <v>441</v>
      </c>
      <c r="I149" t="s">
        <v>252</v>
      </c>
      <c r="J149" t="s">
        <v>296</v>
      </c>
      <c r="K149">
        <v>1.2217569584091117E-2</v>
      </c>
      <c r="L149" t="s">
        <v>254</v>
      </c>
      <c r="N149" t="s">
        <v>422</v>
      </c>
      <c r="O149" t="s">
        <v>296</v>
      </c>
      <c r="P149">
        <v>6.9748728034219332E-3</v>
      </c>
      <c r="Q149" t="s">
        <v>254</v>
      </c>
      <c r="S149" t="s">
        <v>423</v>
      </c>
      <c r="T149" t="s">
        <v>296</v>
      </c>
      <c r="U149">
        <v>7.7357545072605522E-3</v>
      </c>
      <c r="V149" t="s">
        <v>254</v>
      </c>
      <c r="X149">
        <v>7.0776255707762558E-3</v>
      </c>
      <c r="Y149">
        <v>9.0018148820326695E-3</v>
      </c>
      <c r="Z149" t="s">
        <v>296</v>
      </c>
      <c r="AA149" t="s">
        <v>25</v>
      </c>
      <c r="AC149" t="s">
        <v>22</v>
      </c>
      <c r="AD149" t="s">
        <v>296</v>
      </c>
      <c r="AE149">
        <v>8.58529246405847E-3</v>
      </c>
      <c r="AG149" t="s">
        <v>97</v>
      </c>
      <c r="AH149" t="s">
        <v>296</v>
      </c>
      <c r="AI149">
        <v>7.2679836004472698E-2</v>
      </c>
    </row>
    <row r="150" spans="5:35" x14ac:dyDescent="0.45">
      <c r="E150" t="s">
        <v>506</v>
      </c>
      <c r="G150" t="s">
        <v>441</v>
      </c>
      <c r="I150" t="s">
        <v>252</v>
      </c>
      <c r="J150" t="s">
        <v>297</v>
      </c>
      <c r="K150">
        <v>2.6485135909388655E-2</v>
      </c>
      <c r="L150" t="s">
        <v>254</v>
      </c>
      <c r="N150" t="s">
        <v>422</v>
      </c>
      <c r="O150" t="s">
        <v>297</v>
      </c>
      <c r="P150">
        <v>9.9778372938310565E-3</v>
      </c>
      <c r="Q150" t="s">
        <v>254</v>
      </c>
      <c r="S150" t="s">
        <v>423</v>
      </c>
      <c r="T150" t="s">
        <v>297</v>
      </c>
      <c r="U150">
        <v>1.1131790036312329E-2</v>
      </c>
      <c r="V150" t="s">
        <v>254</v>
      </c>
      <c r="X150">
        <v>1.0616438356164383E-2</v>
      </c>
      <c r="Y150">
        <v>1.3143060769543132E-2</v>
      </c>
      <c r="Z150" t="s">
        <v>297</v>
      </c>
      <c r="AA150" t="s">
        <v>25</v>
      </c>
      <c r="AC150" t="s">
        <v>22</v>
      </c>
      <c r="AD150" t="s">
        <v>297</v>
      </c>
      <c r="AE150">
        <v>1.2798481632623615E-2</v>
      </c>
      <c r="AG150" t="s">
        <v>97</v>
      </c>
      <c r="AH150" t="s">
        <v>297</v>
      </c>
      <c r="AI150">
        <v>7.8130437900502558E-2</v>
      </c>
    </row>
    <row r="151" spans="5:35" x14ac:dyDescent="0.45">
      <c r="E151" t="s">
        <v>507</v>
      </c>
      <c r="G151" t="s">
        <v>441</v>
      </c>
      <c r="I151" t="s">
        <v>252</v>
      </c>
      <c r="J151" t="s">
        <v>298</v>
      </c>
      <c r="K151">
        <v>8.7555444167293581E-3</v>
      </c>
      <c r="L151" t="s">
        <v>254</v>
      </c>
      <c r="N151" t="s">
        <v>422</v>
      </c>
      <c r="O151" t="s">
        <v>298</v>
      </c>
      <c r="P151">
        <v>3.3727831130503645E-3</v>
      </c>
      <c r="Q151" t="s">
        <v>254</v>
      </c>
      <c r="S151" t="s">
        <v>423</v>
      </c>
      <c r="T151" t="s">
        <v>298</v>
      </c>
      <c r="U151">
        <v>3.7073872357237798E-3</v>
      </c>
      <c r="V151" t="s">
        <v>254</v>
      </c>
      <c r="X151">
        <v>3.5388127853881279E-3</v>
      </c>
      <c r="Y151">
        <v>4.6139439292610376E-3</v>
      </c>
      <c r="Z151" t="s">
        <v>298</v>
      </c>
      <c r="AA151" t="s">
        <v>25</v>
      </c>
      <c r="AC151" t="s">
        <v>22</v>
      </c>
      <c r="AD151" t="s">
        <v>298</v>
      </c>
      <c r="AE151">
        <v>4.2169915903902391E-3</v>
      </c>
      <c r="AG151" t="s">
        <v>97</v>
      </c>
      <c r="AH151" t="s">
        <v>298</v>
      </c>
      <c r="AI151">
        <v>8.3300670632449947E-2</v>
      </c>
    </row>
    <row r="152" spans="5:35" x14ac:dyDescent="0.45">
      <c r="E152" t="s">
        <v>508</v>
      </c>
      <c r="G152" t="s">
        <v>441</v>
      </c>
      <c r="I152" t="s">
        <v>252</v>
      </c>
      <c r="J152" t="s">
        <v>299</v>
      </c>
      <c r="K152">
        <v>1.7586171126462422E-2</v>
      </c>
      <c r="L152" t="s">
        <v>254</v>
      </c>
      <c r="N152" t="s">
        <v>422</v>
      </c>
      <c r="O152" t="s">
        <v>299</v>
      </c>
      <c r="P152">
        <v>6.8659250177975891E-3</v>
      </c>
      <c r="Q152" t="s">
        <v>254</v>
      </c>
      <c r="S152" t="s">
        <v>423</v>
      </c>
      <c r="T152" t="s">
        <v>299</v>
      </c>
      <c r="U152">
        <v>7.5891430150184756E-3</v>
      </c>
      <c r="V152" t="s">
        <v>254</v>
      </c>
      <c r="X152">
        <v>7.0776255707762558E-3</v>
      </c>
      <c r="Y152">
        <v>1.0008867231849112E-2</v>
      </c>
      <c r="Z152" t="s">
        <v>299</v>
      </c>
      <c r="AA152" t="s">
        <v>25</v>
      </c>
      <c r="AC152" t="s">
        <v>22</v>
      </c>
      <c r="AD152" t="s">
        <v>299</v>
      </c>
      <c r="AE152">
        <v>8.4096292699114943E-3</v>
      </c>
      <c r="AG152" t="s">
        <v>97</v>
      </c>
      <c r="AH152" t="s">
        <v>299</v>
      </c>
      <c r="AI152">
        <v>8.7356154406409425E-2</v>
      </c>
    </row>
    <row r="153" spans="5:35" x14ac:dyDescent="0.45">
      <c r="E153" t="s">
        <v>509</v>
      </c>
      <c r="G153" t="s">
        <v>441</v>
      </c>
      <c r="I153" t="s">
        <v>252</v>
      </c>
      <c r="J153" t="s">
        <v>300</v>
      </c>
      <c r="K153">
        <v>1.277606612294124E-2</v>
      </c>
      <c r="L153" t="s">
        <v>254</v>
      </c>
      <c r="N153" t="s">
        <v>422</v>
      </c>
      <c r="O153" t="s">
        <v>300</v>
      </c>
      <c r="P153">
        <v>7.0954673722035053E-3</v>
      </c>
      <c r="Q153" t="s">
        <v>254</v>
      </c>
      <c r="S153" t="s">
        <v>423</v>
      </c>
      <c r="T153" t="s">
        <v>300</v>
      </c>
      <c r="U153">
        <v>7.9151255246372714E-3</v>
      </c>
      <c r="V153" t="s">
        <v>254</v>
      </c>
      <c r="X153">
        <v>7.0776255707762558E-3</v>
      </c>
      <c r="Y153">
        <v>1.376989947708193E-2</v>
      </c>
      <c r="Z153" t="s">
        <v>300</v>
      </c>
      <c r="AA153" t="s">
        <v>25</v>
      </c>
      <c r="AC153" t="s">
        <v>22</v>
      </c>
      <c r="AD153" t="s">
        <v>300</v>
      </c>
      <c r="AE153">
        <v>8.5437061922753639E-3</v>
      </c>
      <c r="AG153" t="s">
        <v>97</v>
      </c>
      <c r="AH153" t="s">
        <v>300</v>
      </c>
      <c r="AI153">
        <v>7.7419278474670117E-2</v>
      </c>
    </row>
    <row r="154" spans="5:35" x14ac:dyDescent="0.45">
      <c r="E154" t="s">
        <v>510</v>
      </c>
      <c r="G154" t="s">
        <v>441</v>
      </c>
      <c r="I154" t="s">
        <v>252</v>
      </c>
      <c r="J154" t="s">
        <v>301</v>
      </c>
      <c r="K154">
        <v>3.0355034137326403E-3</v>
      </c>
      <c r="L154" t="s">
        <v>254</v>
      </c>
      <c r="N154" t="s">
        <v>422</v>
      </c>
      <c r="O154" t="s">
        <v>301</v>
      </c>
      <c r="P154">
        <v>2.2133431122873554E-2</v>
      </c>
      <c r="Q154" t="s">
        <v>254</v>
      </c>
      <c r="S154" t="s">
        <v>423</v>
      </c>
      <c r="T154" t="s">
        <v>301</v>
      </c>
      <c r="U154">
        <v>2.3731888608555678E-2</v>
      </c>
      <c r="V154" t="s">
        <v>254</v>
      </c>
      <c r="X154">
        <v>2.1232876712328767E-2</v>
      </c>
      <c r="Y154">
        <v>1.8702400782305319E-2</v>
      </c>
      <c r="Z154" t="s">
        <v>301</v>
      </c>
      <c r="AA154" t="s">
        <v>25</v>
      </c>
      <c r="AC154" t="s">
        <v>22</v>
      </c>
      <c r="AD154" t="s">
        <v>301</v>
      </c>
      <c r="AE154">
        <v>2.220997456358997E-2</v>
      </c>
      <c r="AG154" t="s">
        <v>97</v>
      </c>
      <c r="AH154" t="s">
        <v>301</v>
      </c>
      <c r="AI154">
        <v>0.19728339884766566</v>
      </c>
    </row>
    <row r="155" spans="5:35" x14ac:dyDescent="0.45">
      <c r="E155" t="s">
        <v>511</v>
      </c>
      <c r="G155" t="s">
        <v>443</v>
      </c>
      <c r="I155" t="s">
        <v>252</v>
      </c>
      <c r="J155" t="s">
        <v>302</v>
      </c>
      <c r="K155">
        <v>2.4944652964232262E-3</v>
      </c>
      <c r="L155" t="s">
        <v>254</v>
      </c>
      <c r="N155" t="s">
        <v>422</v>
      </c>
      <c r="O155" t="s">
        <v>302</v>
      </c>
      <c r="P155">
        <v>2.7681132667217855E-2</v>
      </c>
      <c r="Q155" t="s">
        <v>254</v>
      </c>
      <c r="S155" t="s">
        <v>423</v>
      </c>
      <c r="T155" t="s">
        <v>302</v>
      </c>
      <c r="U155">
        <v>2.7873206943640528E-2</v>
      </c>
      <c r="V155" t="s">
        <v>254</v>
      </c>
      <c r="X155">
        <v>2.3972602739726026E-2</v>
      </c>
      <c r="Y155">
        <v>9.4672202471222967E-3</v>
      </c>
      <c r="Z155" t="s">
        <v>302</v>
      </c>
      <c r="AA155" t="s">
        <v>25</v>
      </c>
      <c r="AC155" t="s">
        <v>22</v>
      </c>
      <c r="AD155" t="s">
        <v>302</v>
      </c>
      <c r="AE155">
        <v>1.9928596464069401E-2</v>
      </c>
      <c r="AG155" t="s">
        <v>97</v>
      </c>
      <c r="AH155" t="s">
        <v>302</v>
      </c>
      <c r="AI155">
        <v>0.27785577591947086</v>
      </c>
    </row>
    <row r="156" spans="5:35" x14ac:dyDescent="0.45">
      <c r="E156" t="s">
        <v>512</v>
      </c>
      <c r="G156" t="s">
        <v>443</v>
      </c>
      <c r="I156" t="s">
        <v>252</v>
      </c>
      <c r="J156" t="s">
        <v>303</v>
      </c>
      <c r="K156">
        <v>5.1159918965719819E-3</v>
      </c>
      <c r="L156" t="s">
        <v>254</v>
      </c>
      <c r="N156" t="s">
        <v>422</v>
      </c>
      <c r="O156" t="s">
        <v>303</v>
      </c>
      <c r="P156">
        <v>3.71907315514738E-3</v>
      </c>
      <c r="Q156" t="s">
        <v>254</v>
      </c>
      <c r="S156" t="s">
        <v>423</v>
      </c>
      <c r="T156" t="s">
        <v>303</v>
      </c>
      <c r="U156">
        <v>3.7231555410848502E-3</v>
      </c>
      <c r="V156" t="s">
        <v>254</v>
      </c>
      <c r="X156">
        <v>3.4246575342465752E-3</v>
      </c>
      <c r="Y156">
        <v>5.7181214727892006E-3</v>
      </c>
      <c r="Z156" t="s">
        <v>303</v>
      </c>
      <c r="AA156" t="s">
        <v>25</v>
      </c>
      <c r="AC156" t="s">
        <v>22</v>
      </c>
      <c r="AD156" t="s">
        <v>303</v>
      </c>
      <c r="AE156">
        <v>3.7946926128766649E-3</v>
      </c>
      <c r="AG156" t="s">
        <v>97</v>
      </c>
      <c r="AH156" t="s">
        <v>303</v>
      </c>
      <c r="AI156">
        <v>7.4794780557807972E-2</v>
      </c>
    </row>
    <row r="157" spans="5:35" x14ac:dyDescent="0.45">
      <c r="E157" t="s">
        <v>513</v>
      </c>
      <c r="G157" t="s">
        <v>443</v>
      </c>
      <c r="I157" t="s">
        <v>252</v>
      </c>
      <c r="J157" t="s">
        <v>304</v>
      </c>
      <c r="K157">
        <v>1.5772344864832602E-2</v>
      </c>
      <c r="L157" t="s">
        <v>254</v>
      </c>
      <c r="N157" t="s">
        <v>422</v>
      </c>
      <c r="O157" t="s">
        <v>304</v>
      </c>
      <c r="P157">
        <v>7.3237708627581222E-3</v>
      </c>
      <c r="Q157" t="s">
        <v>254</v>
      </c>
      <c r="S157" t="s">
        <v>423</v>
      </c>
      <c r="T157" t="s">
        <v>304</v>
      </c>
      <c r="U157">
        <v>7.2380689982444726E-3</v>
      </c>
      <c r="V157" t="s">
        <v>254</v>
      </c>
      <c r="X157">
        <v>6.8493150684931503E-3</v>
      </c>
      <c r="Y157">
        <v>8.7114337568058101E-3</v>
      </c>
      <c r="Z157" t="s">
        <v>304</v>
      </c>
      <c r="AA157" t="s">
        <v>25</v>
      </c>
      <c r="AC157" t="s">
        <v>22</v>
      </c>
      <c r="AD157" t="s">
        <v>304</v>
      </c>
      <c r="AE157">
        <v>7.7785013729748257E-3</v>
      </c>
      <c r="AG157" t="s">
        <v>97</v>
      </c>
      <c r="AH157" t="s">
        <v>304</v>
      </c>
      <c r="AI157">
        <v>7.330637502080628E-2</v>
      </c>
    </row>
    <row r="158" spans="5:35" x14ac:dyDescent="0.45">
      <c r="E158" t="s">
        <v>514</v>
      </c>
      <c r="G158" t="s">
        <v>443</v>
      </c>
      <c r="I158" t="s">
        <v>252</v>
      </c>
      <c r="J158" t="s">
        <v>305</v>
      </c>
      <c r="K158">
        <v>2.82518210893829E-2</v>
      </c>
      <c r="L158" t="s">
        <v>254</v>
      </c>
      <c r="N158" t="s">
        <v>422</v>
      </c>
      <c r="O158" t="s">
        <v>305</v>
      </c>
      <c r="P158">
        <v>1.0732055062834039E-2</v>
      </c>
      <c r="Q158" t="s">
        <v>254</v>
      </c>
      <c r="S158" t="s">
        <v>423</v>
      </c>
      <c r="T158" t="s">
        <v>305</v>
      </c>
      <c r="U158">
        <v>1.0485600995887521E-2</v>
      </c>
      <c r="V158" t="s">
        <v>254</v>
      </c>
      <c r="X158">
        <v>1.0273972602739725E-2</v>
      </c>
      <c r="Y158">
        <v>1.2719091067299805E-2</v>
      </c>
      <c r="Z158" t="s">
        <v>305</v>
      </c>
      <c r="AA158" t="s">
        <v>25</v>
      </c>
      <c r="AC158" t="s">
        <v>22</v>
      </c>
      <c r="AD158" t="s">
        <v>305</v>
      </c>
      <c r="AE158">
        <v>1.1520369217820046E-2</v>
      </c>
      <c r="AG158" t="s">
        <v>97</v>
      </c>
      <c r="AH158" t="s">
        <v>305</v>
      </c>
      <c r="AI158">
        <v>6.9585259375130937E-2</v>
      </c>
    </row>
    <row r="159" spans="5:35" x14ac:dyDescent="0.45">
      <c r="E159" t="s">
        <v>515</v>
      </c>
      <c r="G159" t="s">
        <v>443</v>
      </c>
      <c r="I159" t="s">
        <v>252</v>
      </c>
      <c r="J159" t="s">
        <v>306</v>
      </c>
      <c r="K159">
        <v>9.1413712135646995E-3</v>
      </c>
      <c r="L159" t="s">
        <v>254</v>
      </c>
      <c r="N159" t="s">
        <v>422</v>
      </c>
      <c r="O159" t="s">
        <v>306</v>
      </c>
      <c r="P159">
        <v>3.7518861291754814E-3</v>
      </c>
      <c r="Q159" t="s">
        <v>254</v>
      </c>
      <c r="S159" t="s">
        <v>423</v>
      </c>
      <c r="T159" t="s">
        <v>306</v>
      </c>
      <c r="U159">
        <v>3.5812458448567083E-3</v>
      </c>
      <c r="V159" t="s">
        <v>254</v>
      </c>
      <c r="X159">
        <v>3.4246575342465752E-3</v>
      </c>
      <c r="Y159">
        <v>4.4651070283171336E-3</v>
      </c>
      <c r="Z159" t="s">
        <v>306</v>
      </c>
      <c r="AA159" t="s">
        <v>25</v>
      </c>
      <c r="AC159" t="s">
        <v>22</v>
      </c>
      <c r="AD159" t="s">
        <v>306</v>
      </c>
      <c r="AE159">
        <v>3.799901444926237E-3</v>
      </c>
      <c r="AG159" t="s">
        <v>97</v>
      </c>
      <c r="AH159" t="s">
        <v>306</v>
      </c>
      <c r="AI159">
        <v>7.5531060198747779E-2</v>
      </c>
    </row>
    <row r="160" spans="5:35" x14ac:dyDescent="0.45">
      <c r="E160" t="s">
        <v>516</v>
      </c>
      <c r="G160" t="s">
        <v>443</v>
      </c>
      <c r="I160" t="s">
        <v>252</v>
      </c>
      <c r="J160" t="s">
        <v>307</v>
      </c>
      <c r="K160">
        <v>1.7140077917634298E-2</v>
      </c>
      <c r="L160" t="s">
        <v>254</v>
      </c>
      <c r="N160" t="s">
        <v>422</v>
      </c>
      <c r="O160" t="s">
        <v>307</v>
      </c>
      <c r="P160">
        <v>7.8351823959872668E-3</v>
      </c>
      <c r="Q160" t="s">
        <v>254</v>
      </c>
      <c r="S160" t="s">
        <v>423</v>
      </c>
      <c r="T160" t="s">
        <v>307</v>
      </c>
      <c r="U160">
        <v>7.4052957927088084E-3</v>
      </c>
      <c r="V160" t="s">
        <v>254</v>
      </c>
      <c r="X160">
        <v>6.8493150684931503E-3</v>
      </c>
      <c r="Y160">
        <v>9.6860005469507522E-3</v>
      </c>
      <c r="Z160" t="s">
        <v>307</v>
      </c>
      <c r="AA160" t="s">
        <v>25</v>
      </c>
      <c r="AC160" t="s">
        <v>22</v>
      </c>
      <c r="AD160" t="s">
        <v>307</v>
      </c>
      <c r="AE160">
        <v>7.5712502051860425E-3</v>
      </c>
      <c r="AG160" t="s">
        <v>97</v>
      </c>
      <c r="AH160" t="s">
        <v>307</v>
      </c>
      <c r="AI160">
        <v>7.7040330198470786E-2</v>
      </c>
    </row>
    <row r="161" spans="5:35" x14ac:dyDescent="0.45">
      <c r="E161" t="s">
        <v>517</v>
      </c>
      <c r="G161" t="s">
        <v>443</v>
      </c>
      <c r="I161" t="s">
        <v>252</v>
      </c>
      <c r="J161" t="s">
        <v>308</v>
      </c>
      <c r="K161">
        <v>1.2811795978889037E-2</v>
      </c>
      <c r="L161" t="s">
        <v>254</v>
      </c>
      <c r="N161" t="s">
        <v>422</v>
      </c>
      <c r="O161" t="s">
        <v>308</v>
      </c>
      <c r="P161">
        <v>7.8732075451391336E-3</v>
      </c>
      <c r="Q161" t="s">
        <v>254</v>
      </c>
      <c r="S161" t="s">
        <v>423</v>
      </c>
      <c r="T161" t="s">
        <v>308</v>
      </c>
      <c r="U161">
        <v>7.6548170311039939E-3</v>
      </c>
      <c r="V161" t="s">
        <v>254</v>
      </c>
      <c r="X161">
        <v>6.8493150684931503E-3</v>
      </c>
      <c r="Y161">
        <v>1.3325709171369611E-2</v>
      </c>
      <c r="Z161" t="s">
        <v>308</v>
      </c>
      <c r="AA161" t="s">
        <v>25</v>
      </c>
      <c r="AC161" t="s">
        <v>22</v>
      </c>
      <c r="AD161" t="s">
        <v>308</v>
      </c>
      <c r="AE161">
        <v>7.5876233773084813E-3</v>
      </c>
      <c r="AG161" t="s">
        <v>97</v>
      </c>
      <c r="AH161" t="s">
        <v>308</v>
      </c>
      <c r="AI161">
        <v>7.4017133247418876E-2</v>
      </c>
    </row>
    <row r="162" spans="5:35" x14ac:dyDescent="0.45">
      <c r="E162" t="s">
        <v>518</v>
      </c>
      <c r="G162" t="s">
        <v>443</v>
      </c>
      <c r="I162" t="s">
        <v>252</v>
      </c>
      <c r="J162" t="s">
        <v>309</v>
      </c>
      <c r="K162">
        <v>4.9040794776632072E-3</v>
      </c>
      <c r="L162" t="s">
        <v>254</v>
      </c>
      <c r="N162" t="s">
        <v>422</v>
      </c>
      <c r="O162" t="s">
        <v>309</v>
      </c>
      <c r="P162">
        <v>2.3314738567736269E-2</v>
      </c>
      <c r="Q162" t="s">
        <v>254</v>
      </c>
      <c r="S162" t="s">
        <v>423</v>
      </c>
      <c r="T162" t="s">
        <v>309</v>
      </c>
      <c r="U162">
        <v>2.3608513409972137E-2</v>
      </c>
      <c r="V162" t="s">
        <v>254</v>
      </c>
      <c r="X162">
        <v>2.0547945205479451E-2</v>
      </c>
      <c r="Y162">
        <v>1.8099097531263209E-2</v>
      </c>
      <c r="Z162" t="s">
        <v>309</v>
      </c>
      <c r="AA162" t="s">
        <v>25</v>
      </c>
      <c r="AC162" t="s">
        <v>22</v>
      </c>
      <c r="AD162" t="s">
        <v>309</v>
      </c>
      <c r="AE162">
        <v>1.9725011261502445E-2</v>
      </c>
      <c r="AG162" t="s">
        <v>97</v>
      </c>
      <c r="AH162" t="s">
        <v>309</v>
      </c>
      <c r="AI162">
        <v>0.17311711242521777</v>
      </c>
    </row>
    <row r="163" spans="5:35" x14ac:dyDescent="0.45">
      <c r="E163" t="s">
        <v>519</v>
      </c>
      <c r="G163" t="s">
        <v>443</v>
      </c>
      <c r="I163" t="s">
        <v>252</v>
      </c>
      <c r="J163" t="s">
        <v>310</v>
      </c>
      <c r="K163">
        <v>3.7198364484186922E-3</v>
      </c>
      <c r="L163" t="s">
        <v>254</v>
      </c>
      <c r="N163" t="s">
        <v>422</v>
      </c>
      <c r="O163" t="s">
        <v>310</v>
      </c>
      <c r="P163">
        <v>2.3141827800676862E-2</v>
      </c>
      <c r="Q163" t="s">
        <v>254</v>
      </c>
      <c r="S163" t="s">
        <v>423</v>
      </c>
      <c r="T163" t="s">
        <v>310</v>
      </c>
      <c r="U163">
        <v>2.3855397916309983E-2</v>
      </c>
      <c r="V163" t="s">
        <v>254</v>
      </c>
      <c r="X163">
        <v>2.3972602739726026E-2</v>
      </c>
      <c r="Y163">
        <v>9.4672202471222967E-3</v>
      </c>
      <c r="Z163" t="s">
        <v>310</v>
      </c>
      <c r="AA163" t="s">
        <v>25</v>
      </c>
      <c r="AC163" t="s">
        <v>22</v>
      </c>
      <c r="AD163" t="s">
        <v>310</v>
      </c>
      <c r="AE163">
        <v>1.8757359454574709E-2</v>
      </c>
      <c r="AG163" t="s">
        <v>97</v>
      </c>
      <c r="AH163" t="s">
        <v>310</v>
      </c>
      <c r="AI163">
        <v>0.28095175213315726</v>
      </c>
    </row>
    <row r="164" spans="5:35" x14ac:dyDescent="0.45">
      <c r="E164" t="s">
        <v>520</v>
      </c>
      <c r="G164" t="s">
        <v>443</v>
      </c>
      <c r="I164" t="s">
        <v>252</v>
      </c>
      <c r="J164" t="s">
        <v>311</v>
      </c>
      <c r="K164">
        <v>5.3103860891898372E-3</v>
      </c>
      <c r="L164" t="s">
        <v>254</v>
      </c>
      <c r="N164" t="s">
        <v>422</v>
      </c>
      <c r="O164" t="s">
        <v>311</v>
      </c>
      <c r="P164">
        <v>3.2669494403835633E-3</v>
      </c>
      <c r="Q164" t="s">
        <v>254</v>
      </c>
      <c r="S164" t="s">
        <v>423</v>
      </c>
      <c r="T164" t="s">
        <v>311</v>
      </c>
      <c r="U164">
        <v>3.272516522947657E-3</v>
      </c>
      <c r="V164" t="s">
        <v>254</v>
      </c>
      <c r="X164">
        <v>3.4246575342465752E-3</v>
      </c>
      <c r="Y164">
        <v>5.7181214727892006E-3</v>
      </c>
      <c r="Z164" t="s">
        <v>311</v>
      </c>
      <c r="AA164" t="s">
        <v>25</v>
      </c>
      <c r="AC164" t="s">
        <v>22</v>
      </c>
      <c r="AD164" t="s">
        <v>311</v>
      </c>
      <c r="AE164">
        <v>3.5957364813694196E-3</v>
      </c>
      <c r="AG164" t="s">
        <v>97</v>
      </c>
      <c r="AH164" t="s">
        <v>311</v>
      </c>
      <c r="AI164">
        <v>7.8193507167671594E-2</v>
      </c>
    </row>
    <row r="165" spans="5:35" x14ac:dyDescent="0.45">
      <c r="E165" t="s">
        <v>521</v>
      </c>
      <c r="G165" t="s">
        <v>443</v>
      </c>
      <c r="I165" t="s">
        <v>252</v>
      </c>
      <c r="J165" t="s">
        <v>312</v>
      </c>
      <c r="K165">
        <v>1.5576045221788607E-2</v>
      </c>
      <c r="L165" t="s">
        <v>254</v>
      </c>
      <c r="N165" t="s">
        <v>422</v>
      </c>
      <c r="O165" t="s">
        <v>312</v>
      </c>
      <c r="P165">
        <v>6.5852305024471838E-3</v>
      </c>
      <c r="Q165" t="s">
        <v>254</v>
      </c>
      <c r="S165" t="s">
        <v>423</v>
      </c>
      <c r="T165" t="s">
        <v>312</v>
      </c>
      <c r="U165">
        <v>6.3651770996877221E-3</v>
      </c>
      <c r="V165" t="s">
        <v>254</v>
      </c>
      <c r="X165">
        <v>6.8493150684931503E-3</v>
      </c>
      <c r="Y165">
        <v>8.7114337568058101E-3</v>
      </c>
      <c r="Z165" t="s">
        <v>312</v>
      </c>
      <c r="AA165" t="s">
        <v>25</v>
      </c>
      <c r="AC165" t="s">
        <v>22</v>
      </c>
      <c r="AD165" t="s">
        <v>312</v>
      </c>
      <c r="AE165">
        <v>7.4206155449490193E-3</v>
      </c>
      <c r="AG165" t="s">
        <v>97</v>
      </c>
      <c r="AH165" t="s">
        <v>312</v>
      </c>
      <c r="AI165">
        <v>7.1730550225425516E-2</v>
      </c>
    </row>
    <row r="166" spans="5:35" x14ac:dyDescent="0.45">
      <c r="E166" t="s">
        <v>522</v>
      </c>
      <c r="G166" t="s">
        <v>443</v>
      </c>
      <c r="I166" t="s">
        <v>252</v>
      </c>
      <c r="J166" t="s">
        <v>313</v>
      </c>
      <c r="K166">
        <v>2.8677936640461501E-2</v>
      </c>
      <c r="L166" t="s">
        <v>254</v>
      </c>
      <c r="N166" t="s">
        <v>422</v>
      </c>
      <c r="O166" t="s">
        <v>313</v>
      </c>
      <c r="P166">
        <v>9.4733448250303234E-3</v>
      </c>
      <c r="Q166" t="s">
        <v>254</v>
      </c>
      <c r="S166" t="s">
        <v>423</v>
      </c>
      <c r="T166" t="s">
        <v>313</v>
      </c>
      <c r="U166">
        <v>9.1734338081178573E-3</v>
      </c>
      <c r="V166" t="s">
        <v>254</v>
      </c>
      <c r="X166">
        <v>1.0273972602739725E-2</v>
      </c>
      <c r="Y166">
        <v>1.2719091067299805E-2</v>
      </c>
      <c r="Z166" t="s">
        <v>313</v>
      </c>
      <c r="AA166" t="s">
        <v>25</v>
      </c>
      <c r="AC166" t="s">
        <v>22</v>
      </c>
      <c r="AD166" t="s">
        <v>313</v>
      </c>
      <c r="AE166">
        <v>1.1060382894782639E-2</v>
      </c>
      <c r="AG166" t="s">
        <v>97</v>
      </c>
      <c r="AH166" t="s">
        <v>313</v>
      </c>
      <c r="AI166">
        <v>7.3070749406427327E-2</v>
      </c>
    </row>
    <row r="167" spans="5:35" x14ac:dyDescent="0.45">
      <c r="E167" t="s">
        <v>523</v>
      </c>
      <c r="G167" t="s">
        <v>443</v>
      </c>
      <c r="I167" t="s">
        <v>252</v>
      </c>
      <c r="J167" t="s">
        <v>314</v>
      </c>
      <c r="K167">
        <v>9.4961490084065001E-3</v>
      </c>
      <c r="L167" t="s">
        <v>254</v>
      </c>
      <c r="N167" t="s">
        <v>422</v>
      </c>
      <c r="O167" t="s">
        <v>314</v>
      </c>
      <c r="P167">
        <v>3.3664117868135433E-3</v>
      </c>
      <c r="Q167" t="s">
        <v>254</v>
      </c>
      <c r="S167" t="s">
        <v>423</v>
      </c>
      <c r="T167" t="s">
        <v>314</v>
      </c>
      <c r="U167">
        <v>3.1824657610005228E-3</v>
      </c>
      <c r="V167" t="s">
        <v>254</v>
      </c>
      <c r="X167">
        <v>3.4246575342465752E-3</v>
      </c>
      <c r="Y167">
        <v>4.4651070283171336E-3</v>
      </c>
      <c r="Z167" t="s">
        <v>314</v>
      </c>
      <c r="AA167" t="s">
        <v>25</v>
      </c>
      <c r="AC167" t="s">
        <v>22</v>
      </c>
      <c r="AD167" t="s">
        <v>314</v>
      </c>
      <c r="AE167">
        <v>3.6488706596502513E-3</v>
      </c>
      <c r="AG167" t="s">
        <v>97</v>
      </c>
      <c r="AH167" t="s">
        <v>314</v>
      </c>
      <c r="AI167">
        <v>7.557435371384158E-2</v>
      </c>
    </row>
    <row r="168" spans="5:35" x14ac:dyDescent="0.45">
      <c r="E168" t="s">
        <v>524</v>
      </c>
      <c r="G168" t="s">
        <v>443</v>
      </c>
      <c r="I168" t="s">
        <v>252</v>
      </c>
      <c r="J168" t="s">
        <v>315</v>
      </c>
      <c r="K168">
        <v>1.75469090912076E-2</v>
      </c>
      <c r="L168" t="s">
        <v>254</v>
      </c>
      <c r="N168" t="s">
        <v>422</v>
      </c>
      <c r="O168" t="s">
        <v>315</v>
      </c>
      <c r="P168">
        <v>6.9911731141908831E-3</v>
      </c>
      <c r="Q168" t="s">
        <v>254</v>
      </c>
      <c r="S168" t="s">
        <v>423</v>
      </c>
      <c r="T168" t="s">
        <v>315</v>
      </c>
      <c r="U168">
        <v>6.6327164370889946E-3</v>
      </c>
      <c r="V168" t="s">
        <v>254</v>
      </c>
      <c r="X168">
        <v>6.8493150684931503E-3</v>
      </c>
      <c r="Y168">
        <v>9.6860005469507522E-3</v>
      </c>
      <c r="Z168" t="s">
        <v>315</v>
      </c>
      <c r="AA168" t="s">
        <v>25</v>
      </c>
      <c r="AC168" t="s">
        <v>22</v>
      </c>
      <c r="AD168" t="s">
        <v>315</v>
      </c>
      <c r="AE168">
        <v>7.2554620708431524E-3</v>
      </c>
      <c r="AG168" t="s">
        <v>97</v>
      </c>
      <c r="AH168" t="s">
        <v>315</v>
      </c>
      <c r="AI168">
        <v>7.8928481327651623E-2</v>
      </c>
    </row>
    <row r="169" spans="5:35" x14ac:dyDescent="0.45">
      <c r="E169" t="s">
        <v>525</v>
      </c>
      <c r="G169" t="s">
        <v>443</v>
      </c>
      <c r="I169" t="s">
        <v>252</v>
      </c>
      <c r="J169" t="s">
        <v>316</v>
      </c>
      <c r="K169">
        <v>1.3164371033725964E-2</v>
      </c>
      <c r="L169" t="s">
        <v>254</v>
      </c>
      <c r="N169" t="s">
        <v>422</v>
      </c>
      <c r="O169" t="s">
        <v>316</v>
      </c>
      <c r="P169">
        <v>6.9155994963220786E-3</v>
      </c>
      <c r="Q169" t="s">
        <v>254</v>
      </c>
      <c r="S169" t="s">
        <v>423</v>
      </c>
      <c r="T169" t="s">
        <v>316</v>
      </c>
      <c r="U169">
        <v>6.9118385733856046E-3</v>
      </c>
      <c r="V169" t="s">
        <v>254</v>
      </c>
      <c r="X169">
        <v>6.8493150684931503E-3</v>
      </c>
      <c r="Y169">
        <v>1.3325709171369611E-2</v>
      </c>
      <c r="Z169" t="s">
        <v>316</v>
      </c>
      <c r="AA169" t="s">
        <v>25</v>
      </c>
      <c r="AC169" t="s">
        <v>22</v>
      </c>
      <c r="AD169" t="s">
        <v>316</v>
      </c>
      <c r="AE169">
        <v>7.2658183643143186E-3</v>
      </c>
      <c r="AG169" t="s">
        <v>97</v>
      </c>
      <c r="AH169" t="s">
        <v>316</v>
      </c>
      <c r="AI169">
        <v>7.7631524724186107E-2</v>
      </c>
    </row>
    <row r="170" spans="5:35" x14ac:dyDescent="0.45">
      <c r="E170" t="s">
        <v>526</v>
      </c>
      <c r="G170" t="s">
        <v>443</v>
      </c>
      <c r="I170" t="s">
        <v>252</v>
      </c>
      <c r="J170" t="s">
        <v>317</v>
      </c>
      <c r="K170">
        <v>6.4296661092613531E-3</v>
      </c>
      <c r="L170" t="s">
        <v>254</v>
      </c>
      <c r="N170" t="s">
        <v>422</v>
      </c>
      <c r="O170" t="s">
        <v>317</v>
      </c>
      <c r="P170">
        <v>1.9929693899080957E-2</v>
      </c>
      <c r="Q170" t="s">
        <v>254</v>
      </c>
      <c r="S170" t="s">
        <v>423</v>
      </c>
      <c r="T170" t="s">
        <v>317</v>
      </c>
      <c r="U170">
        <v>2.0807254263984099E-2</v>
      </c>
      <c r="V170" t="s">
        <v>254</v>
      </c>
      <c r="X170">
        <v>2.0547945205479451E-2</v>
      </c>
      <c r="Y170">
        <v>1.8099097531263209E-2</v>
      </c>
      <c r="Z170" t="s">
        <v>317</v>
      </c>
      <c r="AA170" t="s">
        <v>25</v>
      </c>
      <c r="AC170" t="s">
        <v>22</v>
      </c>
      <c r="AD170" t="s">
        <v>317</v>
      </c>
      <c r="AE170">
        <v>1.9152999847620835E-2</v>
      </c>
      <c r="AG170" t="s">
        <v>97</v>
      </c>
      <c r="AH170" t="s">
        <v>317</v>
      </c>
      <c r="AI170">
        <v>0.1704762083752891</v>
      </c>
    </row>
    <row r="171" spans="5:35" x14ac:dyDescent="0.45">
      <c r="E171" t="s">
        <v>527</v>
      </c>
      <c r="G171" t="s">
        <v>443</v>
      </c>
      <c r="I171" t="s">
        <v>252</v>
      </c>
      <c r="J171" t="s">
        <v>1047</v>
      </c>
      <c r="K171">
        <v>0</v>
      </c>
      <c r="L171" t="s">
        <v>254</v>
      </c>
      <c r="N171" t="s">
        <v>422</v>
      </c>
      <c r="O171" t="s">
        <v>1047</v>
      </c>
      <c r="P171">
        <v>1.287236839412E-4</v>
      </c>
      <c r="Q171" t="s">
        <v>254</v>
      </c>
      <c r="S171" t="s">
        <v>423</v>
      </c>
      <c r="T171" t="s">
        <v>1047</v>
      </c>
      <c r="U171">
        <v>1.5097048710969999E-4</v>
      </c>
      <c r="V171" t="s">
        <v>254</v>
      </c>
      <c r="X171">
        <v>1.1415525114155251E-4</v>
      </c>
      <c r="Y171">
        <v>2.1546544680075254E-5</v>
      </c>
      <c r="Z171" t="s">
        <v>1047</v>
      </c>
      <c r="AA171" t="s">
        <v>25</v>
      </c>
      <c r="AC171" t="s">
        <v>22</v>
      </c>
      <c r="AD171" t="s">
        <v>1047</v>
      </c>
      <c r="AE171">
        <v>8.3576334584994043E-5</v>
      </c>
      <c r="AG171" t="s">
        <v>97</v>
      </c>
      <c r="AH171" t="s">
        <v>1047</v>
      </c>
      <c r="AI171">
        <v>0</v>
      </c>
    </row>
    <row r="172" spans="5:35" x14ac:dyDescent="0.45">
      <c r="E172" t="s">
        <v>528</v>
      </c>
      <c r="G172" t="s">
        <v>443</v>
      </c>
      <c r="I172" t="s">
        <v>252</v>
      </c>
      <c r="J172" t="s">
        <v>1048</v>
      </c>
      <c r="K172">
        <v>0</v>
      </c>
      <c r="L172" t="s">
        <v>254</v>
      </c>
      <c r="N172" t="s">
        <v>422</v>
      </c>
      <c r="O172" t="s">
        <v>1048</v>
      </c>
      <c r="P172">
        <v>1.2915860792809999E-4</v>
      </c>
      <c r="Q172" t="s">
        <v>254</v>
      </c>
      <c r="S172" t="s">
        <v>423</v>
      </c>
      <c r="T172" t="s">
        <v>1048</v>
      </c>
      <c r="U172">
        <v>1.5302635140860001E-4</v>
      </c>
      <c r="V172" t="s">
        <v>254</v>
      </c>
      <c r="X172">
        <v>1.1415525114155251E-4</v>
      </c>
      <c r="Y172">
        <v>1.4916838624667481E-5</v>
      </c>
      <c r="Z172" t="s">
        <v>1048</v>
      </c>
      <c r="AA172" t="s">
        <v>25</v>
      </c>
      <c r="AC172" t="s">
        <v>22</v>
      </c>
      <c r="AD172" t="s">
        <v>1048</v>
      </c>
      <c r="AE172">
        <v>8.1505075890760716E-5</v>
      </c>
      <c r="AG172" t="s">
        <v>97</v>
      </c>
      <c r="AH172" t="s">
        <v>1048</v>
      </c>
      <c r="AI172">
        <v>0</v>
      </c>
    </row>
    <row r="173" spans="5:35" x14ac:dyDescent="0.45">
      <c r="E173" t="s">
        <v>529</v>
      </c>
      <c r="G173" t="s">
        <v>443</v>
      </c>
      <c r="I173" t="s">
        <v>252</v>
      </c>
      <c r="J173" t="s">
        <v>1049</v>
      </c>
      <c r="K173">
        <v>0</v>
      </c>
      <c r="L173" t="s">
        <v>254</v>
      </c>
      <c r="N173" t="s">
        <v>422</v>
      </c>
      <c r="O173" t="s">
        <v>1049</v>
      </c>
      <c r="P173">
        <v>1.25538467786E-4</v>
      </c>
      <c r="Q173" t="s">
        <v>254</v>
      </c>
      <c r="S173" t="s">
        <v>423</v>
      </c>
      <c r="T173" t="s">
        <v>1049</v>
      </c>
      <c r="U173">
        <v>1.5173235996480001E-4</v>
      </c>
      <c r="V173" t="s">
        <v>254</v>
      </c>
      <c r="X173">
        <v>1.1415525114155251E-4</v>
      </c>
      <c r="Y173">
        <v>1.6574265138519424E-5</v>
      </c>
      <c r="Z173" t="s">
        <v>1049</v>
      </c>
      <c r="AA173" t="s">
        <v>25</v>
      </c>
      <c r="AC173" t="s">
        <v>22</v>
      </c>
      <c r="AD173" t="s">
        <v>1049</v>
      </c>
      <c r="AE173">
        <v>8.1505075890760716E-5</v>
      </c>
      <c r="AG173" t="s">
        <v>97</v>
      </c>
      <c r="AH173" t="s">
        <v>1049</v>
      </c>
      <c r="AI173">
        <v>0</v>
      </c>
    </row>
    <row r="174" spans="5:35" x14ac:dyDescent="0.45">
      <c r="E174" t="s">
        <v>530</v>
      </c>
      <c r="G174" t="s">
        <v>443</v>
      </c>
      <c r="I174" t="s">
        <v>252</v>
      </c>
      <c r="J174" t="s">
        <v>1050</v>
      </c>
      <c r="K174">
        <v>0</v>
      </c>
      <c r="L174" t="s">
        <v>254</v>
      </c>
      <c r="N174" t="s">
        <v>422</v>
      </c>
      <c r="O174" t="s">
        <v>1050</v>
      </c>
      <c r="P174">
        <v>1.1572893500469999E-4</v>
      </c>
      <c r="Q174" t="s">
        <v>254</v>
      </c>
      <c r="S174" t="s">
        <v>423</v>
      </c>
      <c r="T174" t="s">
        <v>1050</v>
      </c>
      <c r="U174">
        <v>1.4439083735679999E-4</v>
      </c>
      <c r="V174" t="s">
        <v>254</v>
      </c>
      <c r="X174">
        <v>1.1415525114155251E-4</v>
      </c>
      <c r="Y174">
        <v>1.4585353321897093E-5</v>
      </c>
      <c r="Z174" t="s">
        <v>1050</v>
      </c>
      <c r="AA174" t="s">
        <v>25</v>
      </c>
      <c r="AC174" t="s">
        <v>22</v>
      </c>
      <c r="AD174" t="s">
        <v>1050</v>
      </c>
      <c r="AE174">
        <v>8.2589290318359391E-5</v>
      </c>
      <c r="AG174" t="s">
        <v>97</v>
      </c>
      <c r="AH174" t="s">
        <v>1050</v>
      </c>
      <c r="AI174">
        <v>0</v>
      </c>
    </row>
    <row r="175" spans="5:35" x14ac:dyDescent="0.45">
      <c r="E175" t="s">
        <v>531</v>
      </c>
      <c r="G175" t="s">
        <v>443</v>
      </c>
      <c r="I175" t="s">
        <v>252</v>
      </c>
      <c r="J175" t="s">
        <v>1051</v>
      </c>
      <c r="K175">
        <v>0</v>
      </c>
      <c r="L175" t="s">
        <v>254</v>
      </c>
      <c r="N175" t="s">
        <v>422</v>
      </c>
      <c r="O175" t="s">
        <v>1051</v>
      </c>
      <c r="P175">
        <v>1.061134285212E-4</v>
      </c>
      <c r="Q175" t="s">
        <v>254</v>
      </c>
      <c r="S175" t="s">
        <v>423</v>
      </c>
      <c r="T175" t="s">
        <v>1051</v>
      </c>
      <c r="U175">
        <v>1.3830691628010001E-4</v>
      </c>
      <c r="V175" t="s">
        <v>254</v>
      </c>
      <c r="X175">
        <v>1.1415525114155251E-4</v>
      </c>
      <c r="Y175">
        <v>2.1215059377304864E-5</v>
      </c>
      <c r="Z175" t="s">
        <v>1051</v>
      </c>
      <c r="AA175" t="s">
        <v>25</v>
      </c>
      <c r="AC175" t="s">
        <v>22</v>
      </c>
      <c r="AD175" t="s">
        <v>1051</v>
      </c>
      <c r="AE175">
        <v>9.1541730674545536E-5</v>
      </c>
      <c r="AG175" t="s">
        <v>97</v>
      </c>
      <c r="AH175" t="s">
        <v>1051</v>
      </c>
      <c r="AI175">
        <v>0</v>
      </c>
    </row>
    <row r="176" spans="5:35" x14ac:dyDescent="0.45">
      <c r="E176" t="s">
        <v>532</v>
      </c>
      <c r="G176" t="s">
        <v>443</v>
      </c>
      <c r="I176" t="s">
        <v>252</v>
      </c>
      <c r="J176" t="s">
        <v>1052</v>
      </c>
      <c r="K176">
        <v>3.253872454144057E-5</v>
      </c>
      <c r="L176" t="s">
        <v>254</v>
      </c>
      <c r="N176" t="s">
        <v>422</v>
      </c>
      <c r="O176" t="s">
        <v>1052</v>
      </c>
      <c r="P176">
        <v>9.4202407603038416E-5</v>
      </c>
      <c r="Q176" t="s">
        <v>254</v>
      </c>
      <c r="S176" t="s">
        <v>423</v>
      </c>
      <c r="T176" t="s">
        <v>1052</v>
      </c>
      <c r="U176">
        <v>1.330210591181E-4</v>
      </c>
      <c r="V176" t="s">
        <v>254</v>
      </c>
      <c r="X176">
        <v>1.1415525114155251E-4</v>
      </c>
      <c r="Y176">
        <v>5.7678442682047593E-5</v>
      </c>
      <c r="Z176" t="s">
        <v>1052</v>
      </c>
      <c r="AA176" t="s">
        <v>25</v>
      </c>
      <c r="AC176" t="s">
        <v>22</v>
      </c>
      <c r="AD176" t="s">
        <v>1052</v>
      </c>
      <c r="AE176">
        <v>1.0980972093578342E-4</v>
      </c>
      <c r="AG176" t="s">
        <v>97</v>
      </c>
      <c r="AH176" t="s">
        <v>1052</v>
      </c>
      <c r="AI176">
        <v>0</v>
      </c>
    </row>
    <row r="177" spans="5:35" x14ac:dyDescent="0.45">
      <c r="E177" t="s">
        <v>533</v>
      </c>
      <c r="G177" t="s">
        <v>443</v>
      </c>
      <c r="I177" t="s">
        <v>252</v>
      </c>
      <c r="J177" t="s">
        <v>1053</v>
      </c>
      <c r="K177">
        <v>1.698306901565E-4</v>
      </c>
      <c r="L177" t="s">
        <v>254</v>
      </c>
      <c r="N177" t="s">
        <v>422</v>
      </c>
      <c r="O177" t="s">
        <v>1053</v>
      </c>
      <c r="P177">
        <v>9.14346242288505E-5</v>
      </c>
      <c r="Q177" t="s">
        <v>254</v>
      </c>
      <c r="S177" t="s">
        <v>423</v>
      </c>
      <c r="T177" t="s">
        <v>1053</v>
      </c>
      <c r="U177">
        <v>1.307674220834E-4</v>
      </c>
      <c r="V177" t="s">
        <v>254</v>
      </c>
      <c r="X177">
        <v>1.1415525114155251E-4</v>
      </c>
      <c r="Y177">
        <v>1.6905750441289813E-4</v>
      </c>
      <c r="Z177" t="s">
        <v>1053</v>
      </c>
      <c r="AA177" t="s">
        <v>25</v>
      </c>
      <c r="AC177" t="s">
        <v>22</v>
      </c>
      <c r="AD177" t="s">
        <v>1053</v>
      </c>
      <c r="AE177">
        <v>1.2113771601659023E-4</v>
      </c>
      <c r="AG177" t="s">
        <v>97</v>
      </c>
      <c r="AH177" t="s">
        <v>1053</v>
      </c>
      <c r="AI177">
        <v>0</v>
      </c>
    </row>
    <row r="178" spans="5:35" x14ac:dyDescent="0.45">
      <c r="E178" t="s">
        <v>534</v>
      </c>
      <c r="G178" t="s">
        <v>443</v>
      </c>
      <c r="I178" t="s">
        <v>252</v>
      </c>
      <c r="J178" t="s">
        <v>1054</v>
      </c>
      <c r="K178">
        <v>2.609233992972E-4</v>
      </c>
      <c r="L178" t="s">
        <v>254</v>
      </c>
      <c r="N178" t="s">
        <v>422</v>
      </c>
      <c r="O178" t="s">
        <v>1054</v>
      </c>
      <c r="P178">
        <v>9.2120689164757561E-5</v>
      </c>
      <c r="Q178" t="s">
        <v>254</v>
      </c>
      <c r="S178" t="s">
        <v>423</v>
      </c>
      <c r="T178" t="s">
        <v>1054</v>
      </c>
      <c r="U178">
        <v>1.2767998914189999E-4</v>
      </c>
      <c r="V178" t="s">
        <v>254</v>
      </c>
      <c r="X178">
        <v>1.1415525114155251E-4</v>
      </c>
      <c r="Y178">
        <v>1.9060404909297337E-4</v>
      </c>
      <c r="Z178" t="s">
        <v>1054</v>
      </c>
      <c r="AA178" t="s">
        <v>25</v>
      </c>
      <c r="AC178" t="s">
        <v>22</v>
      </c>
      <c r="AD178" t="s">
        <v>1054</v>
      </c>
      <c r="AE178">
        <v>1.2851241981186041E-4</v>
      </c>
      <c r="AG178" t="s">
        <v>97</v>
      </c>
      <c r="AH178" t="s">
        <v>1054</v>
      </c>
      <c r="AI178">
        <v>0</v>
      </c>
    </row>
    <row r="179" spans="5:35" x14ac:dyDescent="0.45">
      <c r="E179" t="s">
        <v>855</v>
      </c>
      <c r="G179" t="s">
        <v>445</v>
      </c>
      <c r="I179" t="s">
        <v>252</v>
      </c>
      <c r="J179" t="s">
        <v>1055</v>
      </c>
      <c r="K179">
        <v>3.4176866843149998E-4</v>
      </c>
      <c r="L179" t="s">
        <v>254</v>
      </c>
      <c r="N179" t="s">
        <v>422</v>
      </c>
      <c r="O179" t="s">
        <v>1055</v>
      </c>
      <c r="P179">
        <v>1.12880742096E-4</v>
      </c>
      <c r="Q179" t="s">
        <v>254</v>
      </c>
      <c r="S179" t="s">
        <v>423</v>
      </c>
      <c r="T179" t="s">
        <v>1055</v>
      </c>
      <c r="U179">
        <v>1.31274882358E-4</v>
      </c>
      <c r="V179" t="s">
        <v>254</v>
      </c>
      <c r="X179">
        <v>1.1415525114155251E-4</v>
      </c>
      <c r="Y179">
        <v>1.4585353321897094E-4</v>
      </c>
      <c r="Z179" t="s">
        <v>1055</v>
      </c>
      <c r="AA179" t="s">
        <v>25</v>
      </c>
      <c r="AC179" t="s">
        <v>22</v>
      </c>
      <c r="AD179" t="s">
        <v>1055</v>
      </c>
      <c r="AE179">
        <v>1.3085473211299335E-4</v>
      </c>
      <c r="AG179" t="s">
        <v>97</v>
      </c>
      <c r="AH179" t="s">
        <v>1055</v>
      </c>
      <c r="AI179">
        <v>0</v>
      </c>
    </row>
    <row r="180" spans="5:35" x14ac:dyDescent="0.45">
      <c r="E180" t="s">
        <v>856</v>
      </c>
      <c r="G180" t="s">
        <v>445</v>
      </c>
      <c r="I180" t="s">
        <v>252</v>
      </c>
      <c r="J180" t="s">
        <v>1056</v>
      </c>
      <c r="K180">
        <v>3.7741924708040002E-4</v>
      </c>
      <c r="L180" t="s">
        <v>254</v>
      </c>
      <c r="N180" t="s">
        <v>422</v>
      </c>
      <c r="O180" t="s">
        <v>1056</v>
      </c>
      <c r="P180">
        <v>1.2821898722520001E-4</v>
      </c>
      <c r="Q180" t="s">
        <v>254</v>
      </c>
      <c r="S180" t="s">
        <v>423</v>
      </c>
      <c r="T180" t="s">
        <v>1056</v>
      </c>
      <c r="U180">
        <v>1.352446124388E-4</v>
      </c>
      <c r="V180" t="s">
        <v>254</v>
      </c>
      <c r="X180">
        <v>1.1415525114155251E-4</v>
      </c>
      <c r="Y180">
        <v>1.4452759200788939E-4</v>
      </c>
      <c r="Z180" t="s">
        <v>1056</v>
      </c>
      <c r="AA180" t="s">
        <v>25</v>
      </c>
      <c r="AC180" t="s">
        <v>22</v>
      </c>
      <c r="AD180" t="s">
        <v>1056</v>
      </c>
      <c r="AE180">
        <v>1.3091098852197254E-4</v>
      </c>
      <c r="AG180" t="s">
        <v>97</v>
      </c>
      <c r="AH180" t="s">
        <v>1056</v>
      </c>
      <c r="AI180">
        <v>0</v>
      </c>
    </row>
    <row r="181" spans="5:35" x14ac:dyDescent="0.45">
      <c r="E181" t="s">
        <v>857</v>
      </c>
      <c r="G181" t="s">
        <v>445</v>
      </c>
      <c r="I181" t="s">
        <v>252</v>
      </c>
      <c r="J181" t="s">
        <v>1057</v>
      </c>
      <c r="K181">
        <v>3.8386835404870002E-4</v>
      </c>
      <c r="L181" t="s">
        <v>254</v>
      </c>
      <c r="N181" t="s">
        <v>422</v>
      </c>
      <c r="O181" t="s">
        <v>1057</v>
      </c>
      <c r="P181">
        <v>1.437829142126E-4</v>
      </c>
      <c r="Q181" t="s">
        <v>254</v>
      </c>
      <c r="S181" t="s">
        <v>423</v>
      </c>
      <c r="T181" t="s">
        <v>1057</v>
      </c>
      <c r="U181">
        <v>1.4262598697980001E-4</v>
      </c>
      <c r="V181" t="s">
        <v>254</v>
      </c>
      <c r="X181">
        <v>1.1415525114155251E-4</v>
      </c>
      <c r="Y181">
        <v>1.408812536774151E-4</v>
      </c>
      <c r="Z181" t="s">
        <v>1057</v>
      </c>
      <c r="AA181" t="s">
        <v>25</v>
      </c>
      <c r="AC181" t="s">
        <v>22</v>
      </c>
      <c r="AD181" t="s">
        <v>1057</v>
      </c>
      <c r="AE181">
        <v>1.303970095126628E-4</v>
      </c>
      <c r="AG181" t="s">
        <v>97</v>
      </c>
      <c r="AH181" t="s">
        <v>1057</v>
      </c>
      <c r="AI181">
        <v>0</v>
      </c>
    </row>
    <row r="182" spans="5:35" x14ac:dyDescent="0.45">
      <c r="E182" t="s">
        <v>858</v>
      </c>
      <c r="G182" t="s">
        <v>445</v>
      </c>
      <c r="I182" t="s">
        <v>252</v>
      </c>
      <c r="J182" t="s">
        <v>1058</v>
      </c>
      <c r="K182">
        <v>3.9463675883810002E-4</v>
      </c>
      <c r="L182" t="s">
        <v>254</v>
      </c>
      <c r="N182" t="s">
        <v>422</v>
      </c>
      <c r="O182" t="s">
        <v>1058</v>
      </c>
      <c r="P182">
        <v>1.553638799006E-4</v>
      </c>
      <c r="Q182" t="s">
        <v>254</v>
      </c>
      <c r="S182" t="s">
        <v>423</v>
      </c>
      <c r="T182" t="s">
        <v>1058</v>
      </c>
      <c r="U182">
        <v>1.5360102811709999E-4</v>
      </c>
      <c r="V182" t="s">
        <v>254</v>
      </c>
      <c r="X182">
        <v>1.1415525114155251E-4</v>
      </c>
      <c r="Y182">
        <v>1.4054976837464471E-4</v>
      </c>
      <c r="Z182" t="s">
        <v>1058</v>
      </c>
      <c r="AA182" t="s">
        <v>25</v>
      </c>
      <c r="AC182" t="s">
        <v>22</v>
      </c>
      <c r="AD182" t="s">
        <v>1058</v>
      </c>
      <c r="AE182">
        <v>1.3012851301526219E-4</v>
      </c>
      <c r="AG182" t="s">
        <v>97</v>
      </c>
      <c r="AH182" t="s">
        <v>1058</v>
      </c>
      <c r="AI182">
        <v>0</v>
      </c>
    </row>
    <row r="183" spans="5:35" x14ac:dyDescent="0.45">
      <c r="E183" t="s">
        <v>859</v>
      </c>
      <c r="G183" t="s">
        <v>445</v>
      </c>
      <c r="I183" t="s">
        <v>252</v>
      </c>
      <c r="J183" t="s">
        <v>1059</v>
      </c>
      <c r="K183">
        <v>3.8985902953640001E-4</v>
      </c>
      <c r="L183" t="s">
        <v>254</v>
      </c>
      <c r="N183" t="s">
        <v>422</v>
      </c>
      <c r="O183" t="s">
        <v>1059</v>
      </c>
      <c r="P183">
        <v>1.7379985595799999E-4</v>
      </c>
      <c r="Q183" t="s">
        <v>254</v>
      </c>
      <c r="S183" t="s">
        <v>423</v>
      </c>
      <c r="T183" t="s">
        <v>1059</v>
      </c>
      <c r="U183">
        <v>1.665413363485E-4</v>
      </c>
      <c r="V183" t="s">
        <v>254</v>
      </c>
      <c r="X183">
        <v>1.1415525114155251E-4</v>
      </c>
      <c r="Y183">
        <v>1.4253868019126702E-4</v>
      </c>
      <c r="Z183" t="s">
        <v>1059</v>
      </c>
      <c r="AA183" t="s">
        <v>25</v>
      </c>
      <c r="AC183" t="s">
        <v>22</v>
      </c>
      <c r="AD183" t="s">
        <v>1059</v>
      </c>
      <c r="AE183">
        <v>1.291440258581266E-4</v>
      </c>
      <c r="AG183" t="s">
        <v>97</v>
      </c>
      <c r="AH183" t="s">
        <v>1059</v>
      </c>
      <c r="AI183">
        <v>0</v>
      </c>
    </row>
    <row r="184" spans="5:35" x14ac:dyDescent="0.45">
      <c r="E184" t="s">
        <v>860</v>
      </c>
      <c r="G184" t="s">
        <v>445</v>
      </c>
      <c r="I184" t="s">
        <v>252</v>
      </c>
      <c r="J184" t="s">
        <v>1060</v>
      </c>
      <c r="K184">
        <v>3.9179629451460002E-4</v>
      </c>
      <c r="L184" t="s">
        <v>254</v>
      </c>
      <c r="N184" t="s">
        <v>422</v>
      </c>
      <c r="O184" t="s">
        <v>1060</v>
      </c>
      <c r="P184">
        <v>1.956960350473E-4</v>
      </c>
      <c r="Q184" t="s">
        <v>254</v>
      </c>
      <c r="S184" t="s">
        <v>423</v>
      </c>
      <c r="T184" t="s">
        <v>1060</v>
      </c>
      <c r="U184">
        <v>1.735446979869E-4</v>
      </c>
      <c r="V184" t="s">
        <v>254</v>
      </c>
      <c r="X184">
        <v>1.1415525114155251E-4</v>
      </c>
      <c r="Y184">
        <v>1.4883690094390442E-4</v>
      </c>
      <c r="Z184" t="s">
        <v>1060</v>
      </c>
      <c r="AA184" t="s">
        <v>25</v>
      </c>
      <c r="AC184" t="s">
        <v>22</v>
      </c>
      <c r="AD184" t="s">
        <v>1060</v>
      </c>
      <c r="AE184">
        <v>1.2814163893449764E-4</v>
      </c>
      <c r="AG184" t="s">
        <v>97</v>
      </c>
      <c r="AH184" t="s">
        <v>1060</v>
      </c>
      <c r="AI184">
        <v>0</v>
      </c>
    </row>
    <row r="185" spans="5:35" x14ac:dyDescent="0.45">
      <c r="E185" t="s">
        <v>861</v>
      </c>
      <c r="G185" t="s">
        <v>445</v>
      </c>
      <c r="I185" t="s">
        <v>252</v>
      </c>
      <c r="J185" t="s">
        <v>1061</v>
      </c>
      <c r="K185">
        <v>3.7960314063260002E-4</v>
      </c>
      <c r="L185" t="s">
        <v>254</v>
      </c>
      <c r="N185" t="s">
        <v>422</v>
      </c>
      <c r="O185" t="s">
        <v>1061</v>
      </c>
      <c r="P185">
        <v>1.9651240534230001E-4</v>
      </c>
      <c r="Q185" t="s">
        <v>254</v>
      </c>
      <c r="S185" t="s">
        <v>423</v>
      </c>
      <c r="T185" t="s">
        <v>1061</v>
      </c>
      <c r="U185">
        <v>1.832968004166E-4</v>
      </c>
      <c r="V185" t="s">
        <v>254</v>
      </c>
      <c r="X185">
        <v>1.1415525114155251E-4</v>
      </c>
      <c r="Y185">
        <v>1.5049432745775637E-4</v>
      </c>
      <c r="Z185" t="s">
        <v>1061</v>
      </c>
      <c r="AA185" t="s">
        <v>25</v>
      </c>
      <c r="AC185" t="s">
        <v>22</v>
      </c>
      <c r="AD185" t="s">
        <v>1061</v>
      </c>
      <c r="AE185">
        <v>1.2676079980500877E-4</v>
      </c>
      <c r="AG185" t="s">
        <v>97</v>
      </c>
      <c r="AH185" t="s">
        <v>1061</v>
      </c>
      <c r="AI185">
        <v>0</v>
      </c>
    </row>
    <row r="186" spans="5:35" x14ac:dyDescent="0.45">
      <c r="E186" t="s">
        <v>862</v>
      </c>
      <c r="G186" t="s">
        <v>445</v>
      </c>
      <c r="I186" t="s">
        <v>252</v>
      </c>
      <c r="J186" t="s">
        <v>1062</v>
      </c>
      <c r="K186">
        <v>3.2973237791550001E-4</v>
      </c>
      <c r="L186" t="s">
        <v>254</v>
      </c>
      <c r="N186" t="s">
        <v>422</v>
      </c>
      <c r="O186" t="s">
        <v>1062</v>
      </c>
      <c r="P186">
        <v>1.9585505295280001E-4</v>
      </c>
      <c r="Q186" t="s">
        <v>254</v>
      </c>
      <c r="S186" t="s">
        <v>423</v>
      </c>
      <c r="T186" t="s">
        <v>1062</v>
      </c>
      <c r="U186">
        <v>1.9397204579509999E-4</v>
      </c>
      <c r="V186" t="s">
        <v>254</v>
      </c>
      <c r="X186">
        <v>1.1415525114155251E-4</v>
      </c>
      <c r="Y186">
        <v>1.7237235744060203E-4</v>
      </c>
      <c r="Z186" t="s">
        <v>1062</v>
      </c>
      <c r="AA186" t="s">
        <v>25</v>
      </c>
      <c r="AC186" t="s">
        <v>22</v>
      </c>
      <c r="AD186" t="s">
        <v>1062</v>
      </c>
      <c r="AE186">
        <v>1.2685029863747566E-4</v>
      </c>
      <c r="AG186" t="s">
        <v>97</v>
      </c>
      <c r="AH186" t="s">
        <v>1062</v>
      </c>
      <c r="AI186">
        <v>0</v>
      </c>
    </row>
    <row r="187" spans="5:35" x14ac:dyDescent="0.45">
      <c r="E187" t="s">
        <v>863</v>
      </c>
      <c r="G187" t="s">
        <v>445</v>
      </c>
      <c r="I187" t="s">
        <v>252</v>
      </c>
      <c r="J187" t="s">
        <v>1063</v>
      </c>
      <c r="K187">
        <v>2.6778846185969999E-4</v>
      </c>
      <c r="L187" t="s">
        <v>254</v>
      </c>
      <c r="N187" t="s">
        <v>422</v>
      </c>
      <c r="O187" t="s">
        <v>1063</v>
      </c>
      <c r="P187">
        <v>2.004607452052E-4</v>
      </c>
      <c r="Q187" t="s">
        <v>254</v>
      </c>
      <c r="S187" t="s">
        <v>423</v>
      </c>
      <c r="T187" t="s">
        <v>1063</v>
      </c>
      <c r="U187">
        <v>1.8633193743839999E-4</v>
      </c>
      <c r="V187" t="s">
        <v>254</v>
      </c>
      <c r="X187">
        <v>1.1415525114155251E-4</v>
      </c>
      <c r="Y187">
        <v>2.2209515285616027E-4</v>
      </c>
      <c r="Z187" t="s">
        <v>1063</v>
      </c>
      <c r="AA187" t="s">
        <v>25</v>
      </c>
      <c r="AC187" t="s">
        <v>22</v>
      </c>
      <c r="AD187" t="s">
        <v>1063</v>
      </c>
      <c r="AE187">
        <v>1.2649230330760819E-4</v>
      </c>
      <c r="AG187" t="s">
        <v>97</v>
      </c>
      <c r="AH187" t="s">
        <v>1063</v>
      </c>
      <c r="AI187">
        <v>0</v>
      </c>
    </row>
    <row r="188" spans="5:35" x14ac:dyDescent="0.45">
      <c r="E188" t="s">
        <v>864</v>
      </c>
      <c r="G188" t="s">
        <v>445</v>
      </c>
      <c r="I188" t="s">
        <v>252</v>
      </c>
      <c r="J188" t="s">
        <v>1064</v>
      </c>
      <c r="K188">
        <v>1.9545476081400001E-4</v>
      </c>
      <c r="L188" t="s">
        <v>254</v>
      </c>
      <c r="N188" t="s">
        <v>422</v>
      </c>
      <c r="O188" t="s">
        <v>1064</v>
      </c>
      <c r="P188">
        <v>1.973939680818E-4</v>
      </c>
      <c r="Q188" t="s">
        <v>254</v>
      </c>
      <c r="S188" t="s">
        <v>423</v>
      </c>
      <c r="T188" t="s">
        <v>1064</v>
      </c>
      <c r="U188">
        <v>1.9786007378719999E-4</v>
      </c>
      <c r="V188" t="s">
        <v>254</v>
      </c>
      <c r="X188">
        <v>1.1415525114155251E-4</v>
      </c>
      <c r="Y188">
        <v>2.2209515285616027E-4</v>
      </c>
      <c r="Z188" t="s">
        <v>1064</v>
      </c>
      <c r="AA188" t="s">
        <v>25</v>
      </c>
      <c r="AC188" t="s">
        <v>22</v>
      </c>
      <c r="AD188" t="s">
        <v>1064</v>
      </c>
      <c r="AE188">
        <v>1.2649230330760816E-4</v>
      </c>
      <c r="AG188" t="s">
        <v>97</v>
      </c>
      <c r="AH188" t="s">
        <v>1064</v>
      </c>
      <c r="AI188">
        <v>0</v>
      </c>
    </row>
    <row r="189" spans="5:35" x14ac:dyDescent="0.45">
      <c r="E189" t="s">
        <v>865</v>
      </c>
      <c r="G189" t="s">
        <v>445</v>
      </c>
      <c r="I189" t="s">
        <v>252</v>
      </c>
      <c r="J189" t="s">
        <v>1065</v>
      </c>
      <c r="K189">
        <v>1.3002888281430001E-4</v>
      </c>
      <c r="L189" t="s">
        <v>254</v>
      </c>
      <c r="N189" t="s">
        <v>422</v>
      </c>
      <c r="O189" t="s">
        <v>1065</v>
      </c>
      <c r="P189">
        <v>2.1189321467090001E-4</v>
      </c>
      <c r="Q189" t="s">
        <v>254</v>
      </c>
      <c r="S189" t="s">
        <v>423</v>
      </c>
      <c r="T189" t="s">
        <v>1065</v>
      </c>
      <c r="U189">
        <v>1.9864137136539999E-4</v>
      </c>
      <c r="V189" t="s">
        <v>254</v>
      </c>
      <c r="X189">
        <v>1.1415525114155251E-4</v>
      </c>
      <c r="Y189">
        <v>1.7237235744060203E-4</v>
      </c>
      <c r="Z189" t="s">
        <v>1065</v>
      </c>
      <c r="AA189" t="s">
        <v>25</v>
      </c>
      <c r="AC189" t="s">
        <v>22</v>
      </c>
      <c r="AD189" t="s">
        <v>1065</v>
      </c>
      <c r="AE189">
        <v>1.2595786742230599E-4</v>
      </c>
      <c r="AG189" t="s">
        <v>97</v>
      </c>
      <c r="AH189" t="s">
        <v>1065</v>
      </c>
      <c r="AI189">
        <v>0</v>
      </c>
    </row>
    <row r="190" spans="5:35" x14ac:dyDescent="0.45">
      <c r="E190" t="s">
        <v>866</v>
      </c>
      <c r="G190" t="s">
        <v>445</v>
      </c>
      <c r="I190" t="s">
        <v>252</v>
      </c>
      <c r="J190" t="s">
        <v>1066</v>
      </c>
      <c r="K190">
        <v>3.8966423612431421E-5</v>
      </c>
      <c r="L190" t="s">
        <v>254</v>
      </c>
      <c r="N190" t="s">
        <v>422</v>
      </c>
      <c r="O190" t="s">
        <v>1066</v>
      </c>
      <c r="P190">
        <v>2.1945123983390001E-4</v>
      </c>
      <c r="Q190" t="s">
        <v>254</v>
      </c>
      <c r="S190" t="s">
        <v>423</v>
      </c>
      <c r="T190" t="s">
        <v>1066</v>
      </c>
      <c r="U190">
        <v>2.040846359682E-4</v>
      </c>
      <c r="V190" t="s">
        <v>254</v>
      </c>
      <c r="X190">
        <v>1.1415525114155251E-4</v>
      </c>
      <c r="Y190">
        <v>1.5579809230208258E-4</v>
      </c>
      <c r="Z190" t="s">
        <v>1066</v>
      </c>
      <c r="AA190" t="s">
        <v>25</v>
      </c>
      <c r="AC190" t="s">
        <v>22</v>
      </c>
      <c r="AD190" t="s">
        <v>1066</v>
      </c>
      <c r="AE190">
        <v>1.2391217982306323E-4</v>
      </c>
      <c r="AG190" t="s">
        <v>97</v>
      </c>
      <c r="AH190" t="s">
        <v>1066</v>
      </c>
      <c r="AI190">
        <v>0</v>
      </c>
    </row>
    <row r="191" spans="5:35" x14ac:dyDescent="0.45">
      <c r="E191" t="s">
        <v>867</v>
      </c>
      <c r="G191" t="s">
        <v>445</v>
      </c>
      <c r="I191" t="s">
        <v>252</v>
      </c>
      <c r="J191" t="s">
        <v>1067</v>
      </c>
      <c r="K191">
        <v>0</v>
      </c>
      <c r="L191" t="s">
        <v>254</v>
      </c>
      <c r="N191" t="s">
        <v>422</v>
      </c>
      <c r="O191" t="s">
        <v>1067</v>
      </c>
      <c r="P191">
        <v>2.2584394715550001E-4</v>
      </c>
      <c r="Q191" t="s">
        <v>254</v>
      </c>
      <c r="S191" t="s">
        <v>423</v>
      </c>
      <c r="T191" t="s">
        <v>1067</v>
      </c>
      <c r="U191">
        <v>2.028783226309E-4</v>
      </c>
      <c r="V191" t="s">
        <v>254</v>
      </c>
      <c r="X191">
        <v>1.1415525114155251E-4</v>
      </c>
      <c r="Y191">
        <v>1.093901499142282E-4</v>
      </c>
      <c r="Z191" t="s">
        <v>1067</v>
      </c>
      <c r="AA191" t="s">
        <v>25</v>
      </c>
      <c r="AC191" t="s">
        <v>22</v>
      </c>
      <c r="AD191" t="s">
        <v>1067</v>
      </c>
      <c r="AE191">
        <v>1.176447044408832E-4</v>
      </c>
      <c r="AG191" t="s">
        <v>97</v>
      </c>
      <c r="AH191" t="s">
        <v>1067</v>
      </c>
      <c r="AI191">
        <v>0</v>
      </c>
    </row>
    <row r="192" spans="5:35" x14ac:dyDescent="0.45">
      <c r="E192" t="s">
        <v>868</v>
      </c>
      <c r="G192" t="s">
        <v>445</v>
      </c>
      <c r="I192" t="s">
        <v>252</v>
      </c>
      <c r="J192" t="s">
        <v>1068</v>
      </c>
      <c r="K192">
        <v>0</v>
      </c>
      <c r="L192" t="s">
        <v>254</v>
      </c>
      <c r="N192" t="s">
        <v>422</v>
      </c>
      <c r="O192" t="s">
        <v>1068</v>
      </c>
      <c r="P192">
        <v>2.2539315081180001E-4</v>
      </c>
      <c r="Q192" t="s">
        <v>254</v>
      </c>
      <c r="S192" t="s">
        <v>423</v>
      </c>
      <c r="T192" t="s">
        <v>1068</v>
      </c>
      <c r="U192">
        <v>2.0335880435769999E-4</v>
      </c>
      <c r="V192" t="s">
        <v>254</v>
      </c>
      <c r="X192">
        <v>1.1415525114155251E-4</v>
      </c>
      <c r="Y192">
        <v>7.9556472664893237E-5</v>
      </c>
      <c r="Z192" t="s">
        <v>1068</v>
      </c>
      <c r="AA192" t="s">
        <v>25</v>
      </c>
      <c r="AC192" t="s">
        <v>22</v>
      </c>
      <c r="AD192" t="s">
        <v>1068</v>
      </c>
      <c r="AE192">
        <v>1.1084790739239911E-4</v>
      </c>
      <c r="AG192" t="s">
        <v>97</v>
      </c>
      <c r="AH192" t="s">
        <v>1068</v>
      </c>
      <c r="AI192">
        <v>0</v>
      </c>
    </row>
    <row r="193" spans="5:35" x14ac:dyDescent="0.45">
      <c r="E193" t="s">
        <v>869</v>
      </c>
      <c r="G193" t="s">
        <v>445</v>
      </c>
      <c r="I193" t="s">
        <v>252</v>
      </c>
      <c r="J193" t="s">
        <v>1069</v>
      </c>
      <c r="K193">
        <v>0</v>
      </c>
      <c r="L193" t="s">
        <v>254</v>
      </c>
      <c r="N193" t="s">
        <v>422</v>
      </c>
      <c r="O193" t="s">
        <v>1069</v>
      </c>
      <c r="P193">
        <v>2.1909817479160001E-4</v>
      </c>
      <c r="Q193" t="s">
        <v>254</v>
      </c>
      <c r="S193" t="s">
        <v>423</v>
      </c>
      <c r="T193" t="s">
        <v>1069</v>
      </c>
      <c r="U193">
        <v>2.040555259872E-4</v>
      </c>
      <c r="V193" t="s">
        <v>254</v>
      </c>
      <c r="X193">
        <v>1.1415525114155251E-4</v>
      </c>
      <c r="Y193">
        <v>5.6352501470966035E-5</v>
      </c>
      <c r="Z193" t="s">
        <v>1069</v>
      </c>
      <c r="AA193" t="s">
        <v>25</v>
      </c>
      <c r="AC193" t="s">
        <v>22</v>
      </c>
      <c r="AD193" t="s">
        <v>1069</v>
      </c>
      <c r="AE193">
        <v>9.6052471830875824E-5</v>
      </c>
      <c r="AG193" t="s">
        <v>97</v>
      </c>
      <c r="AH193" t="s">
        <v>1069</v>
      </c>
      <c r="AI193">
        <v>0</v>
      </c>
    </row>
    <row r="194" spans="5:35" x14ac:dyDescent="0.45">
      <c r="E194" t="s">
        <v>870</v>
      </c>
      <c r="G194" t="s">
        <v>445</v>
      </c>
      <c r="I194" t="s">
        <v>252</v>
      </c>
      <c r="J194" t="s">
        <v>1070</v>
      </c>
      <c r="K194">
        <v>0</v>
      </c>
      <c r="L194" t="s">
        <v>254</v>
      </c>
      <c r="N194" t="s">
        <v>422</v>
      </c>
      <c r="O194" t="s">
        <v>1070</v>
      </c>
      <c r="P194">
        <v>2.1316766693040001E-4</v>
      </c>
      <c r="Q194" t="s">
        <v>254</v>
      </c>
      <c r="S194" t="s">
        <v>423</v>
      </c>
      <c r="T194" t="s">
        <v>1070</v>
      </c>
      <c r="U194">
        <v>2.050207451722E-4</v>
      </c>
      <c r="V194" t="s">
        <v>254</v>
      </c>
      <c r="X194">
        <v>1.1415525114155251E-4</v>
      </c>
      <c r="Y194">
        <v>2.9833677249334962E-5</v>
      </c>
      <c r="Z194" t="s">
        <v>1070</v>
      </c>
      <c r="AA194" t="s">
        <v>25</v>
      </c>
      <c r="AC194" t="s">
        <v>22</v>
      </c>
      <c r="AD194" t="s">
        <v>1070</v>
      </c>
      <c r="AE194">
        <v>8.9565085031777206E-5</v>
      </c>
      <c r="AG194" t="s">
        <v>97</v>
      </c>
      <c r="AH194" t="s">
        <v>1070</v>
      </c>
      <c r="AI194">
        <v>0</v>
      </c>
    </row>
    <row r="195" spans="5:35" x14ac:dyDescent="0.45">
      <c r="E195" t="s">
        <v>871</v>
      </c>
      <c r="G195" t="s">
        <v>445</v>
      </c>
      <c r="I195" t="s">
        <v>252</v>
      </c>
      <c r="J195" t="s">
        <v>318</v>
      </c>
      <c r="K195">
        <v>5.3130882821773064E-3</v>
      </c>
      <c r="L195" t="s">
        <v>254</v>
      </c>
      <c r="N195" t="s">
        <v>422</v>
      </c>
      <c r="O195" t="s">
        <v>318</v>
      </c>
      <c r="P195">
        <v>2.3105401938735025E-2</v>
      </c>
      <c r="Q195" t="s">
        <v>254</v>
      </c>
      <c r="S195" t="s">
        <v>423</v>
      </c>
      <c r="T195" t="s">
        <v>318</v>
      </c>
      <c r="U195">
        <v>2.4662653413541E-2</v>
      </c>
      <c r="V195" t="s">
        <v>254</v>
      </c>
      <c r="X195">
        <v>2.3173515981735161E-2</v>
      </c>
      <c r="Y195">
        <v>9.151646238884887E-3</v>
      </c>
      <c r="Z195" t="s">
        <v>318</v>
      </c>
      <c r="AA195" t="s">
        <v>25</v>
      </c>
      <c r="AC195" t="s">
        <v>22</v>
      </c>
      <c r="AD195" t="s">
        <v>318</v>
      </c>
      <c r="AE195">
        <v>1.6872522505151397E-2</v>
      </c>
      <c r="AG195" t="s">
        <v>97</v>
      </c>
      <c r="AH195" t="s">
        <v>318</v>
      </c>
      <c r="AI195">
        <v>0.2515717169293743</v>
      </c>
    </row>
    <row r="196" spans="5:35" x14ac:dyDescent="0.45">
      <c r="E196" t="s">
        <v>872</v>
      </c>
      <c r="G196" t="s">
        <v>445</v>
      </c>
      <c r="I196" t="s">
        <v>252</v>
      </c>
      <c r="J196" t="s">
        <v>319</v>
      </c>
      <c r="K196">
        <v>5.8746110931034729E-3</v>
      </c>
      <c r="L196" t="s">
        <v>254</v>
      </c>
      <c r="N196" t="s">
        <v>422</v>
      </c>
      <c r="O196" t="s">
        <v>319</v>
      </c>
      <c r="P196">
        <v>3.0443884847182554E-3</v>
      </c>
      <c r="Q196" t="s">
        <v>254</v>
      </c>
      <c r="S196" t="s">
        <v>423</v>
      </c>
      <c r="T196" t="s">
        <v>319</v>
      </c>
      <c r="U196">
        <v>3.2967885165502663E-3</v>
      </c>
      <c r="V196" t="s">
        <v>254</v>
      </c>
      <c r="X196">
        <v>3.3105022831050228E-3</v>
      </c>
      <c r="Y196">
        <v>5.5275174236962274E-3</v>
      </c>
      <c r="Z196" t="s">
        <v>319</v>
      </c>
      <c r="AA196" t="s">
        <v>25</v>
      </c>
      <c r="AC196" t="s">
        <v>22</v>
      </c>
      <c r="AD196" t="s">
        <v>319</v>
      </c>
      <c r="AE196">
        <v>3.1922879125536167E-3</v>
      </c>
      <c r="AG196" t="s">
        <v>97</v>
      </c>
      <c r="AH196" t="s">
        <v>319</v>
      </c>
      <c r="AI196">
        <v>8.9104448570437311E-2</v>
      </c>
    </row>
    <row r="197" spans="5:35" x14ac:dyDescent="0.45">
      <c r="E197" t="s">
        <v>873</v>
      </c>
      <c r="G197" t="s">
        <v>445</v>
      </c>
      <c r="I197" t="s">
        <v>252</v>
      </c>
      <c r="J197" t="s">
        <v>320</v>
      </c>
      <c r="K197">
        <v>1.64485404283705E-2</v>
      </c>
      <c r="L197" t="s">
        <v>254</v>
      </c>
      <c r="N197" t="s">
        <v>422</v>
      </c>
      <c r="O197" t="s">
        <v>320</v>
      </c>
      <c r="P197">
        <v>5.9964149540601263E-3</v>
      </c>
      <c r="Q197" t="s">
        <v>254</v>
      </c>
      <c r="S197" t="s">
        <v>423</v>
      </c>
      <c r="T197" t="s">
        <v>320</v>
      </c>
      <c r="U197">
        <v>6.303761927910153E-3</v>
      </c>
      <c r="V197" t="s">
        <v>254</v>
      </c>
      <c r="X197">
        <v>6.6210045662100456E-3</v>
      </c>
      <c r="Y197">
        <v>8.4210526315789489E-3</v>
      </c>
      <c r="Z197" t="s">
        <v>320</v>
      </c>
      <c r="AA197" t="s">
        <v>25</v>
      </c>
      <c r="AC197" t="s">
        <v>22</v>
      </c>
      <c r="AD197" t="s">
        <v>320</v>
      </c>
      <c r="AE197">
        <v>6.7979939462572015E-3</v>
      </c>
      <c r="AG197" t="s">
        <v>97</v>
      </c>
      <c r="AH197" t="s">
        <v>320</v>
      </c>
      <c r="AI197">
        <v>8.2015317613576944E-2</v>
      </c>
    </row>
    <row r="198" spans="5:35" x14ac:dyDescent="0.45">
      <c r="E198" t="s">
        <v>874</v>
      </c>
      <c r="G198" t="s">
        <v>445</v>
      </c>
      <c r="I198" t="s">
        <v>252</v>
      </c>
      <c r="J198" t="s">
        <v>321</v>
      </c>
      <c r="K198">
        <v>2.9693771726741001E-2</v>
      </c>
      <c r="L198" t="s">
        <v>254</v>
      </c>
      <c r="N198" t="s">
        <v>422</v>
      </c>
      <c r="O198" t="s">
        <v>321</v>
      </c>
      <c r="P198">
        <v>8.7579712490890443E-3</v>
      </c>
      <c r="Q198" t="s">
        <v>254</v>
      </c>
      <c r="S198" t="s">
        <v>423</v>
      </c>
      <c r="T198" t="s">
        <v>321</v>
      </c>
      <c r="U198">
        <v>8.9521641073438372E-3</v>
      </c>
      <c r="V198" t="s">
        <v>254</v>
      </c>
      <c r="X198">
        <v>9.9315068493150693E-3</v>
      </c>
      <c r="Y198">
        <v>1.2295121365056482E-2</v>
      </c>
      <c r="Z198" t="s">
        <v>321</v>
      </c>
      <c r="AA198" t="s">
        <v>25</v>
      </c>
      <c r="AC198" t="s">
        <v>22</v>
      </c>
      <c r="AD198" t="s">
        <v>321</v>
      </c>
      <c r="AE198">
        <v>1.0237416263456339E-2</v>
      </c>
      <c r="AG198" t="s">
        <v>97</v>
      </c>
      <c r="AH198" t="s">
        <v>321</v>
      </c>
      <c r="AI198">
        <v>9.2473658604806053E-2</v>
      </c>
    </row>
    <row r="199" spans="5:35" x14ac:dyDescent="0.45">
      <c r="E199" t="s">
        <v>875</v>
      </c>
      <c r="G199" t="s">
        <v>445</v>
      </c>
      <c r="I199" t="s">
        <v>252</v>
      </c>
      <c r="J199" t="s">
        <v>322</v>
      </c>
      <c r="K199">
        <v>9.9479380159764007E-3</v>
      </c>
      <c r="L199" t="s">
        <v>254</v>
      </c>
      <c r="N199" t="s">
        <v>422</v>
      </c>
      <c r="O199" t="s">
        <v>322</v>
      </c>
      <c r="P199">
        <v>3.1886434785906533E-3</v>
      </c>
      <c r="Q199" t="s">
        <v>254</v>
      </c>
      <c r="S199" t="s">
        <v>423</v>
      </c>
      <c r="T199" t="s">
        <v>322</v>
      </c>
      <c r="U199">
        <v>3.2117891377322571E-3</v>
      </c>
      <c r="V199" t="s">
        <v>254</v>
      </c>
      <c r="X199">
        <v>3.3105022831050228E-3</v>
      </c>
      <c r="Y199">
        <v>4.3162701273732288E-3</v>
      </c>
      <c r="Z199" t="s">
        <v>322</v>
      </c>
      <c r="AA199" t="s">
        <v>25</v>
      </c>
      <c r="AC199" t="s">
        <v>22</v>
      </c>
      <c r="AD199" t="s">
        <v>322</v>
      </c>
      <c r="AE199">
        <v>3.3858892298364528E-3</v>
      </c>
      <c r="AG199" t="s">
        <v>97</v>
      </c>
      <c r="AH199" t="s">
        <v>322</v>
      </c>
      <c r="AI199">
        <v>9.6584841357892692E-2</v>
      </c>
    </row>
    <row r="200" spans="5:35" x14ac:dyDescent="0.45">
      <c r="E200" t="s">
        <v>876</v>
      </c>
      <c r="G200" t="s">
        <v>445</v>
      </c>
      <c r="I200" t="s">
        <v>252</v>
      </c>
      <c r="J200" t="s">
        <v>323</v>
      </c>
      <c r="K200">
        <v>1.8458908696193901E-2</v>
      </c>
      <c r="L200" t="s">
        <v>254</v>
      </c>
      <c r="N200" t="s">
        <v>422</v>
      </c>
      <c r="O200" t="s">
        <v>323</v>
      </c>
      <c r="P200">
        <v>6.6918257774767611E-3</v>
      </c>
      <c r="Q200" t="s">
        <v>254</v>
      </c>
      <c r="S200" t="s">
        <v>423</v>
      </c>
      <c r="T200" t="s">
        <v>323</v>
      </c>
      <c r="U200">
        <v>6.8057749865150933E-3</v>
      </c>
      <c r="V200" t="s">
        <v>254</v>
      </c>
      <c r="X200">
        <v>6.6210045662100456E-3</v>
      </c>
      <c r="Y200">
        <v>9.3631338620523939E-3</v>
      </c>
      <c r="Z200" t="s">
        <v>323</v>
      </c>
      <c r="AA200" t="s">
        <v>25</v>
      </c>
      <c r="AC200" t="s">
        <v>22</v>
      </c>
      <c r="AD200" t="s">
        <v>323</v>
      </c>
      <c r="AE200">
        <v>6.7118577127815863E-3</v>
      </c>
      <c r="AG200" t="s">
        <v>97</v>
      </c>
      <c r="AH200" t="s">
        <v>323</v>
      </c>
      <c r="AI200">
        <v>9.3931621541696986E-2</v>
      </c>
    </row>
    <row r="201" spans="5:35" x14ac:dyDescent="0.45">
      <c r="E201" t="s">
        <v>877</v>
      </c>
      <c r="G201" t="s">
        <v>445</v>
      </c>
      <c r="I201" t="s">
        <v>252</v>
      </c>
      <c r="J201" t="s">
        <v>324</v>
      </c>
      <c r="K201">
        <v>1.4408692702616485E-2</v>
      </c>
      <c r="L201" t="s">
        <v>254</v>
      </c>
      <c r="N201" t="s">
        <v>422</v>
      </c>
      <c r="O201" t="s">
        <v>324</v>
      </c>
      <c r="P201">
        <v>6.8106094245303818E-3</v>
      </c>
      <c r="Q201" t="s">
        <v>254</v>
      </c>
      <c r="S201" t="s">
        <v>423</v>
      </c>
      <c r="T201" t="s">
        <v>324</v>
      </c>
      <c r="U201">
        <v>6.9980421937943463E-3</v>
      </c>
      <c r="V201" t="s">
        <v>254</v>
      </c>
      <c r="X201">
        <v>6.6210045662100456E-3</v>
      </c>
      <c r="Y201">
        <v>1.2881518865657292E-2</v>
      </c>
      <c r="Z201" t="s">
        <v>324</v>
      </c>
      <c r="AA201" t="s">
        <v>25</v>
      </c>
      <c r="AC201" t="s">
        <v>22</v>
      </c>
      <c r="AD201" t="s">
        <v>324</v>
      </c>
      <c r="AE201">
        <v>6.6807658183825952E-3</v>
      </c>
      <c r="AG201" t="s">
        <v>97</v>
      </c>
      <c r="AH201" t="s">
        <v>324</v>
      </c>
      <c r="AI201">
        <v>9.3000054983332081E-2</v>
      </c>
    </row>
    <row r="202" spans="5:35" x14ac:dyDescent="0.45">
      <c r="E202" t="s">
        <v>878</v>
      </c>
      <c r="G202" t="s">
        <v>445</v>
      </c>
      <c r="I202" t="s">
        <v>252</v>
      </c>
      <c r="J202" t="s">
        <v>325</v>
      </c>
      <c r="K202">
        <v>8.1044631261844545E-3</v>
      </c>
      <c r="L202" t="s">
        <v>254</v>
      </c>
      <c r="N202" t="s">
        <v>422</v>
      </c>
      <c r="O202" t="s">
        <v>325</v>
      </c>
      <c r="P202">
        <v>2.0093413502942595E-2</v>
      </c>
      <c r="Q202" t="s">
        <v>254</v>
      </c>
      <c r="S202" t="s">
        <v>423</v>
      </c>
      <c r="T202" t="s">
        <v>325</v>
      </c>
      <c r="U202">
        <v>2.1269432207235359E-2</v>
      </c>
      <c r="V202" t="s">
        <v>254</v>
      </c>
      <c r="X202">
        <v>1.9863013698630139E-2</v>
      </c>
      <c r="Y202">
        <v>1.7495794280221105E-2</v>
      </c>
      <c r="Z202" t="s">
        <v>325</v>
      </c>
      <c r="AA202" t="s">
        <v>25</v>
      </c>
      <c r="AC202" t="s">
        <v>22</v>
      </c>
      <c r="AD202" t="s">
        <v>325</v>
      </c>
      <c r="AE202">
        <v>1.7892926737046899E-2</v>
      </c>
      <c r="AG202" t="s">
        <v>97</v>
      </c>
      <c r="AH202" t="s">
        <v>325</v>
      </c>
      <c r="AI202">
        <v>0.17676358069015286</v>
      </c>
    </row>
    <row r="203" spans="5:35" x14ac:dyDescent="0.45">
      <c r="E203" t="s">
        <v>195</v>
      </c>
      <c r="G203" t="s">
        <v>447</v>
      </c>
      <c r="I203" t="s">
        <v>252</v>
      </c>
      <c r="J203" t="s">
        <v>1071</v>
      </c>
      <c r="K203">
        <v>0</v>
      </c>
      <c r="L203" t="s">
        <v>254</v>
      </c>
      <c r="N203" t="s">
        <v>422</v>
      </c>
      <c r="O203" t="s">
        <v>1071</v>
      </c>
      <c r="P203">
        <v>9.584810172261794E-5</v>
      </c>
      <c r="Q203" t="s">
        <v>254</v>
      </c>
      <c r="S203" t="s">
        <v>423</v>
      </c>
      <c r="T203" t="s">
        <v>1071</v>
      </c>
      <c r="U203">
        <v>6.7620803584636123E-5</v>
      </c>
      <c r="V203" t="s">
        <v>254</v>
      </c>
      <c r="X203">
        <v>1.1415525114155251E-4</v>
      </c>
      <c r="Y203">
        <v>2.1546544680075254E-5</v>
      </c>
      <c r="Z203" t="s">
        <v>1071</v>
      </c>
      <c r="AA203" t="s">
        <v>25</v>
      </c>
      <c r="AC203" t="s">
        <v>22</v>
      </c>
      <c r="AD203" t="s">
        <v>1071</v>
      </c>
      <c r="AE203">
        <v>7.9778644967771757E-5</v>
      </c>
      <c r="AG203" t="s">
        <v>97</v>
      </c>
      <c r="AH203" t="s">
        <v>1071</v>
      </c>
      <c r="AI203">
        <v>0</v>
      </c>
    </row>
    <row r="204" spans="5:35" x14ac:dyDescent="0.45">
      <c r="E204" t="s">
        <v>196</v>
      </c>
      <c r="G204" t="s">
        <v>447</v>
      </c>
      <c r="I204" t="s">
        <v>252</v>
      </c>
      <c r="J204" t="s">
        <v>1072</v>
      </c>
      <c r="K204">
        <v>0</v>
      </c>
      <c r="L204" t="s">
        <v>254</v>
      </c>
      <c r="N204" t="s">
        <v>422</v>
      </c>
      <c r="O204" t="s">
        <v>1072</v>
      </c>
      <c r="P204">
        <v>9.7969105253993099E-5</v>
      </c>
      <c r="Q204" t="s">
        <v>254</v>
      </c>
      <c r="S204" t="s">
        <v>423</v>
      </c>
      <c r="T204" t="s">
        <v>1072</v>
      </c>
      <c r="U204">
        <v>7.2489365452301359E-5</v>
      </c>
      <c r="V204" t="s">
        <v>254</v>
      </c>
      <c r="X204">
        <v>1.1415525114155251E-4</v>
      </c>
      <c r="Y204">
        <v>1.4916838624667481E-5</v>
      </c>
      <c r="Z204" t="s">
        <v>1072</v>
      </c>
      <c r="AA204" t="s">
        <v>25</v>
      </c>
      <c r="AC204" t="s">
        <v>22</v>
      </c>
      <c r="AD204" t="s">
        <v>1072</v>
      </c>
      <c r="AE204">
        <v>7.8252050596836842E-5</v>
      </c>
      <c r="AG204" t="s">
        <v>97</v>
      </c>
      <c r="AH204" t="s">
        <v>1072</v>
      </c>
      <c r="AI204">
        <v>0</v>
      </c>
    </row>
    <row r="205" spans="5:35" x14ac:dyDescent="0.45">
      <c r="E205" t="s">
        <v>197</v>
      </c>
      <c r="G205" t="s">
        <v>447</v>
      </c>
      <c r="I205" t="s">
        <v>252</v>
      </c>
      <c r="J205" t="s">
        <v>1073</v>
      </c>
      <c r="K205">
        <v>0</v>
      </c>
      <c r="L205" t="s">
        <v>254</v>
      </c>
      <c r="N205" t="s">
        <v>422</v>
      </c>
      <c r="O205" t="s">
        <v>1073</v>
      </c>
      <c r="P205">
        <v>1.007007719329E-4</v>
      </c>
      <c r="Q205" t="s">
        <v>254</v>
      </c>
      <c r="S205" t="s">
        <v>423</v>
      </c>
      <c r="T205" t="s">
        <v>1073</v>
      </c>
      <c r="U205">
        <v>7.2414032462992948E-5</v>
      </c>
      <c r="V205" t="s">
        <v>254</v>
      </c>
      <c r="X205">
        <v>1.1415525114155251E-4</v>
      </c>
      <c r="Y205">
        <v>1.6574265138519424E-5</v>
      </c>
      <c r="Z205" t="s">
        <v>1073</v>
      </c>
      <c r="AA205" t="s">
        <v>25</v>
      </c>
      <c r="AC205" t="s">
        <v>22</v>
      </c>
      <c r="AD205" t="s">
        <v>1073</v>
      </c>
      <c r="AE205">
        <v>7.8252050596836842E-5</v>
      </c>
      <c r="AG205" t="s">
        <v>97</v>
      </c>
      <c r="AH205" t="s">
        <v>1073</v>
      </c>
      <c r="AI205">
        <v>0</v>
      </c>
    </row>
    <row r="206" spans="5:35" x14ac:dyDescent="0.45">
      <c r="E206" t="s">
        <v>198</v>
      </c>
      <c r="G206" t="s">
        <v>447</v>
      </c>
      <c r="I206" t="s">
        <v>252</v>
      </c>
      <c r="J206" t="s">
        <v>1074</v>
      </c>
      <c r="K206">
        <v>0</v>
      </c>
      <c r="L206" t="s">
        <v>254</v>
      </c>
      <c r="N206" t="s">
        <v>422</v>
      </c>
      <c r="O206" t="s">
        <v>1074</v>
      </c>
      <c r="P206">
        <v>9.7311976072983198E-5</v>
      </c>
      <c r="Q206" t="s">
        <v>254</v>
      </c>
      <c r="S206" t="s">
        <v>423</v>
      </c>
      <c r="T206" t="s">
        <v>1074</v>
      </c>
      <c r="U206">
        <v>6.8011932709950015E-5</v>
      </c>
      <c r="V206" t="s">
        <v>254</v>
      </c>
      <c r="X206">
        <v>1.1415525114155251E-4</v>
      </c>
      <c r="Y206">
        <v>1.4585353321897093E-5</v>
      </c>
      <c r="Z206" t="s">
        <v>1074</v>
      </c>
      <c r="AA206" t="s">
        <v>25</v>
      </c>
      <c r="AC206" t="s">
        <v>22</v>
      </c>
      <c r="AD206" t="s">
        <v>1074</v>
      </c>
      <c r="AE206">
        <v>7.9106125169520702E-5</v>
      </c>
      <c r="AG206" t="s">
        <v>97</v>
      </c>
      <c r="AH206" t="s">
        <v>1074</v>
      </c>
      <c r="AI206">
        <v>0</v>
      </c>
    </row>
    <row r="207" spans="5:35" x14ac:dyDescent="0.45">
      <c r="E207" t="s">
        <v>199</v>
      </c>
      <c r="G207" t="s">
        <v>447</v>
      </c>
      <c r="I207" t="s">
        <v>252</v>
      </c>
      <c r="J207" t="s">
        <v>1075</v>
      </c>
      <c r="K207">
        <v>0</v>
      </c>
      <c r="L207" t="s">
        <v>254</v>
      </c>
      <c r="N207" t="s">
        <v>422</v>
      </c>
      <c r="O207" t="s">
        <v>1075</v>
      </c>
      <c r="P207">
        <v>9.1754568876118402E-5</v>
      </c>
      <c r="Q207" t="s">
        <v>254</v>
      </c>
      <c r="S207" t="s">
        <v>423</v>
      </c>
      <c r="T207" t="s">
        <v>1075</v>
      </c>
      <c r="U207">
        <v>6.401730204284975E-5</v>
      </c>
      <c r="V207" t="s">
        <v>254</v>
      </c>
      <c r="X207">
        <v>1.1415525114155251E-4</v>
      </c>
      <c r="Y207">
        <v>2.1215059377304864E-5</v>
      </c>
      <c r="Z207" t="s">
        <v>1075</v>
      </c>
      <c r="AA207" t="s">
        <v>25</v>
      </c>
      <c r="AC207" t="s">
        <v>22</v>
      </c>
      <c r="AD207" t="s">
        <v>1075</v>
      </c>
      <c r="AE207">
        <v>8.5992421050471655E-5</v>
      </c>
      <c r="AG207" t="s">
        <v>97</v>
      </c>
      <c r="AH207" t="s">
        <v>1075</v>
      </c>
      <c r="AI207">
        <v>0</v>
      </c>
    </row>
    <row r="208" spans="5:35" x14ac:dyDescent="0.45">
      <c r="E208" t="s">
        <v>200</v>
      </c>
      <c r="G208" t="s">
        <v>447</v>
      </c>
      <c r="I208" t="s">
        <v>252</v>
      </c>
      <c r="J208" t="s">
        <v>1076</v>
      </c>
      <c r="K208">
        <v>9.3662420556243434E-5</v>
      </c>
      <c r="L208" t="s">
        <v>254</v>
      </c>
      <c r="N208" t="s">
        <v>422</v>
      </c>
      <c r="O208" t="s">
        <v>1076</v>
      </c>
      <c r="P208">
        <v>8.8489110883024482E-5</v>
      </c>
      <c r="Q208" t="s">
        <v>254</v>
      </c>
      <c r="S208" t="s">
        <v>423</v>
      </c>
      <c r="T208" t="s">
        <v>1076</v>
      </c>
      <c r="U208">
        <v>6.132551415059398E-5</v>
      </c>
      <c r="V208" t="s">
        <v>254</v>
      </c>
      <c r="X208">
        <v>1.1415525114155251E-4</v>
      </c>
      <c r="Y208">
        <v>5.7678442682047593E-5</v>
      </c>
      <c r="Z208" t="s">
        <v>1076</v>
      </c>
      <c r="AA208" t="s">
        <v>25</v>
      </c>
      <c r="AC208" t="s">
        <v>22</v>
      </c>
      <c r="AD208" t="s">
        <v>1076</v>
      </c>
      <c r="AE208">
        <v>1.0096685427692871E-4</v>
      </c>
      <c r="AG208" t="s">
        <v>97</v>
      </c>
      <c r="AH208" t="s">
        <v>1076</v>
      </c>
      <c r="AI208">
        <v>0</v>
      </c>
    </row>
    <row r="209" spans="5:35" x14ac:dyDescent="0.45">
      <c r="E209" t="s">
        <v>201</v>
      </c>
      <c r="G209" t="s">
        <v>447</v>
      </c>
      <c r="I209" t="s">
        <v>252</v>
      </c>
      <c r="J209" t="s">
        <v>1077</v>
      </c>
      <c r="K209">
        <v>2.0827039871050001E-4</v>
      </c>
      <c r="L209" t="s">
        <v>254</v>
      </c>
      <c r="N209" t="s">
        <v>422</v>
      </c>
      <c r="O209" t="s">
        <v>1077</v>
      </c>
      <c r="P209">
        <v>8.0937807103898812E-5</v>
      </c>
      <c r="Q209" t="s">
        <v>254</v>
      </c>
      <c r="S209" t="s">
        <v>423</v>
      </c>
      <c r="T209" t="s">
        <v>1077</v>
      </c>
      <c r="U209">
        <v>6.12035539205878E-5</v>
      </c>
      <c r="V209" t="s">
        <v>254</v>
      </c>
      <c r="X209">
        <v>1.1415525114155251E-4</v>
      </c>
      <c r="Y209">
        <v>1.6905750441289813E-4</v>
      </c>
      <c r="Z209" t="s">
        <v>1077</v>
      </c>
      <c r="AA209" t="s">
        <v>25</v>
      </c>
      <c r="AC209" t="s">
        <v>22</v>
      </c>
      <c r="AD209" t="s">
        <v>1077</v>
      </c>
      <c r="AE209">
        <v>1.1373961622470071E-4</v>
      </c>
      <c r="AG209" t="s">
        <v>97</v>
      </c>
      <c r="AH209" t="s">
        <v>1077</v>
      </c>
      <c r="AI209">
        <v>0</v>
      </c>
    </row>
    <row r="210" spans="5:35" x14ac:dyDescent="0.45">
      <c r="E210" t="s">
        <v>202</v>
      </c>
      <c r="G210" t="s">
        <v>447</v>
      </c>
      <c r="I210" t="s">
        <v>252</v>
      </c>
      <c r="J210" t="s">
        <v>1078</v>
      </c>
      <c r="K210">
        <v>3.0953597514919999E-4</v>
      </c>
      <c r="L210" t="s">
        <v>254</v>
      </c>
      <c r="N210" t="s">
        <v>422</v>
      </c>
      <c r="O210" t="s">
        <v>1078</v>
      </c>
      <c r="P210">
        <v>7.9794303751280844E-5</v>
      </c>
      <c r="Q210" t="s">
        <v>254</v>
      </c>
      <c r="S210" t="s">
        <v>423</v>
      </c>
      <c r="T210" t="s">
        <v>1078</v>
      </c>
      <c r="U210">
        <v>6.2987316268489125E-5</v>
      </c>
      <c r="V210" t="s">
        <v>254</v>
      </c>
      <c r="X210">
        <v>1.1415525114155251E-4</v>
      </c>
      <c r="Y210">
        <v>1.9060404909297337E-4</v>
      </c>
      <c r="Z210" t="s">
        <v>1078</v>
      </c>
      <c r="AA210" t="s">
        <v>25</v>
      </c>
      <c r="AC210" t="s">
        <v>22</v>
      </c>
      <c r="AD210" t="s">
        <v>1078</v>
      </c>
      <c r="AE210">
        <v>1.2336969059813601E-4</v>
      </c>
      <c r="AG210" t="s">
        <v>97</v>
      </c>
      <c r="AH210" t="s">
        <v>1078</v>
      </c>
      <c r="AI210">
        <v>0</v>
      </c>
    </row>
    <row r="211" spans="5:35" x14ac:dyDescent="0.45">
      <c r="E211" t="s">
        <v>203</v>
      </c>
      <c r="G211" t="s">
        <v>447</v>
      </c>
      <c r="I211" t="s">
        <v>252</v>
      </c>
      <c r="J211" t="s">
        <v>1079</v>
      </c>
      <c r="K211">
        <v>3.8001333876320001E-4</v>
      </c>
      <c r="L211" t="s">
        <v>254</v>
      </c>
      <c r="N211" t="s">
        <v>422</v>
      </c>
      <c r="O211" t="s">
        <v>1079</v>
      </c>
      <c r="P211">
        <v>9.0734030775733635E-5</v>
      </c>
      <c r="Q211" t="s">
        <v>254</v>
      </c>
      <c r="S211" t="s">
        <v>423</v>
      </c>
      <c r="T211" t="s">
        <v>1079</v>
      </c>
      <c r="U211">
        <v>6.5120300670361126E-5</v>
      </c>
      <c r="V211" t="s">
        <v>254</v>
      </c>
      <c r="X211">
        <v>1.1415525114155251E-4</v>
      </c>
      <c r="Y211">
        <v>1.4585353321897094E-4</v>
      </c>
      <c r="Z211" t="s">
        <v>1079</v>
      </c>
      <c r="AA211" t="s">
        <v>25</v>
      </c>
      <c r="AC211" t="s">
        <v>22</v>
      </c>
      <c r="AD211" t="s">
        <v>1079</v>
      </c>
      <c r="AE211">
        <v>1.2818472778485367E-4</v>
      </c>
      <c r="AG211" t="s">
        <v>97</v>
      </c>
      <c r="AH211" t="s">
        <v>1079</v>
      </c>
      <c r="AI211">
        <v>0</v>
      </c>
    </row>
    <row r="212" spans="5:35" x14ac:dyDescent="0.45">
      <c r="E212" t="s">
        <v>204</v>
      </c>
      <c r="G212" t="s">
        <v>447</v>
      </c>
      <c r="I212" t="s">
        <v>252</v>
      </c>
      <c r="J212" t="s">
        <v>1080</v>
      </c>
      <c r="K212">
        <v>4.2847358038940002E-4</v>
      </c>
      <c r="L212" t="s">
        <v>254</v>
      </c>
      <c r="N212" t="s">
        <v>422</v>
      </c>
      <c r="O212" t="s">
        <v>1080</v>
      </c>
      <c r="P212">
        <v>1.06122668944E-4</v>
      </c>
      <c r="Q212" t="s">
        <v>254</v>
      </c>
      <c r="S212" t="s">
        <v>423</v>
      </c>
      <c r="T212" t="s">
        <v>1080</v>
      </c>
      <c r="U212">
        <v>6.7363457821511413E-5</v>
      </c>
      <c r="V212" t="s">
        <v>254</v>
      </c>
      <c r="X212">
        <v>1.1415525114155251E-4</v>
      </c>
      <c r="Y212">
        <v>1.4452759200788939E-4</v>
      </c>
      <c r="Z212" t="s">
        <v>1080</v>
      </c>
      <c r="AA212" t="s">
        <v>25</v>
      </c>
      <c r="AC212" t="s">
        <v>22</v>
      </c>
      <c r="AD212" t="s">
        <v>1080</v>
      </c>
      <c r="AE212">
        <v>1.2827934083631864E-4</v>
      </c>
      <c r="AG212" t="s">
        <v>97</v>
      </c>
      <c r="AH212" t="s">
        <v>1080</v>
      </c>
      <c r="AI212">
        <v>0</v>
      </c>
    </row>
    <row r="213" spans="5:35" x14ac:dyDescent="0.45">
      <c r="E213" t="s">
        <v>205</v>
      </c>
      <c r="G213" t="s">
        <v>447</v>
      </c>
      <c r="I213" t="s">
        <v>252</v>
      </c>
      <c r="J213" t="s">
        <v>1081</v>
      </c>
      <c r="K213">
        <v>4.5037973311380002E-4</v>
      </c>
      <c r="L213" t="s">
        <v>254</v>
      </c>
      <c r="N213" t="s">
        <v>422</v>
      </c>
      <c r="O213" t="s">
        <v>1081</v>
      </c>
      <c r="P213">
        <v>1.219030304638E-4</v>
      </c>
      <c r="Q213" t="s">
        <v>254</v>
      </c>
      <c r="S213" t="s">
        <v>423</v>
      </c>
      <c r="T213" t="s">
        <v>1081</v>
      </c>
      <c r="U213">
        <v>7.478028688813361E-5</v>
      </c>
      <c r="V213" t="s">
        <v>254</v>
      </c>
      <c r="X213">
        <v>1.1415525114155251E-4</v>
      </c>
      <c r="Y213">
        <v>1.408812536774151E-4</v>
      </c>
      <c r="Z213" t="s">
        <v>1081</v>
      </c>
      <c r="AA213" t="s">
        <v>25</v>
      </c>
      <c r="AC213" t="s">
        <v>22</v>
      </c>
      <c r="AD213" t="s">
        <v>1081</v>
      </c>
      <c r="AE213">
        <v>1.2774490495101647E-4</v>
      </c>
      <c r="AG213" t="s">
        <v>97</v>
      </c>
      <c r="AH213" t="s">
        <v>1081</v>
      </c>
      <c r="AI213">
        <v>0</v>
      </c>
    </row>
    <row r="214" spans="5:35" x14ac:dyDescent="0.45">
      <c r="E214" t="s">
        <v>206</v>
      </c>
      <c r="G214" t="s">
        <v>447</v>
      </c>
      <c r="I214" t="s">
        <v>252</v>
      </c>
      <c r="J214" t="s">
        <v>1082</v>
      </c>
      <c r="K214">
        <v>4.5231048343400001E-4</v>
      </c>
      <c r="L214" t="s">
        <v>254</v>
      </c>
      <c r="N214" t="s">
        <v>422</v>
      </c>
      <c r="O214" t="s">
        <v>1082</v>
      </c>
      <c r="P214">
        <v>1.290874873877E-4</v>
      </c>
      <c r="Q214" t="s">
        <v>254</v>
      </c>
      <c r="S214" t="s">
        <v>423</v>
      </c>
      <c r="T214" t="s">
        <v>1082</v>
      </c>
      <c r="U214">
        <v>8.6887171745707347E-5</v>
      </c>
      <c r="V214" t="s">
        <v>254</v>
      </c>
      <c r="X214">
        <v>1.1415525114155251E-4</v>
      </c>
      <c r="Y214">
        <v>1.4054976837464471E-4</v>
      </c>
      <c r="Z214" t="s">
        <v>1082</v>
      </c>
      <c r="AA214" t="s">
        <v>25</v>
      </c>
      <c r="AC214" t="s">
        <v>22</v>
      </c>
      <c r="AD214" t="s">
        <v>1082</v>
      </c>
      <c r="AE214">
        <v>1.2718745508022281E-4</v>
      </c>
      <c r="AG214" t="s">
        <v>97</v>
      </c>
      <c r="AH214" t="s">
        <v>1082</v>
      </c>
      <c r="AI214">
        <v>0</v>
      </c>
    </row>
    <row r="215" spans="5:35" x14ac:dyDescent="0.45">
      <c r="E215" t="s">
        <v>207</v>
      </c>
      <c r="G215" t="s">
        <v>447</v>
      </c>
      <c r="I215" t="s">
        <v>252</v>
      </c>
      <c r="J215" t="s">
        <v>1083</v>
      </c>
      <c r="K215">
        <v>4.361153266103E-4</v>
      </c>
      <c r="L215" t="s">
        <v>254</v>
      </c>
      <c r="N215" t="s">
        <v>422</v>
      </c>
      <c r="O215" t="s">
        <v>1083</v>
      </c>
      <c r="P215">
        <v>1.3838605432440001E-4</v>
      </c>
      <c r="Q215" t="s">
        <v>254</v>
      </c>
      <c r="S215" t="s">
        <v>423</v>
      </c>
      <c r="T215" t="s">
        <v>1083</v>
      </c>
      <c r="U215">
        <v>1.0515676816319999E-4</v>
      </c>
      <c r="V215" t="s">
        <v>254</v>
      </c>
      <c r="X215">
        <v>1.1415525114155251E-4</v>
      </c>
      <c r="Y215">
        <v>1.4253868019126702E-4</v>
      </c>
      <c r="Z215" t="s">
        <v>1083</v>
      </c>
      <c r="AA215" t="s">
        <v>25</v>
      </c>
      <c r="AC215" t="s">
        <v>22</v>
      </c>
      <c r="AD215" t="s">
        <v>1083</v>
      </c>
      <c r="AE215">
        <v>1.2732809610267078E-4</v>
      </c>
      <c r="AG215" t="s">
        <v>97</v>
      </c>
      <c r="AH215" t="s">
        <v>1083</v>
      </c>
      <c r="AI215">
        <v>0</v>
      </c>
    </row>
    <row r="216" spans="5:35" x14ac:dyDescent="0.45">
      <c r="E216" t="s">
        <v>208</v>
      </c>
      <c r="G216" t="s">
        <v>447</v>
      </c>
      <c r="I216" t="s">
        <v>252</v>
      </c>
      <c r="J216" t="s">
        <v>1084</v>
      </c>
      <c r="K216">
        <v>4.3154637853480001E-4</v>
      </c>
      <c r="L216" t="s">
        <v>254</v>
      </c>
      <c r="N216" t="s">
        <v>422</v>
      </c>
      <c r="O216" t="s">
        <v>1084</v>
      </c>
      <c r="P216">
        <v>1.4983494814E-4</v>
      </c>
      <c r="Q216" t="s">
        <v>254</v>
      </c>
      <c r="S216" t="s">
        <v>423</v>
      </c>
      <c r="T216" t="s">
        <v>1084</v>
      </c>
      <c r="U216">
        <v>1.219448809362E-4</v>
      </c>
      <c r="V216" t="s">
        <v>254</v>
      </c>
      <c r="X216">
        <v>1.1415525114155251E-4</v>
      </c>
      <c r="Y216">
        <v>1.4883690094390442E-4</v>
      </c>
      <c r="Z216" t="s">
        <v>1084</v>
      </c>
      <c r="AA216" t="s">
        <v>25</v>
      </c>
      <c r="AC216" t="s">
        <v>22</v>
      </c>
      <c r="AD216" t="s">
        <v>1084</v>
      </c>
      <c r="AE216">
        <v>1.2630013808405128E-4</v>
      </c>
      <c r="AG216" t="s">
        <v>97</v>
      </c>
      <c r="AH216" t="s">
        <v>1084</v>
      </c>
      <c r="AI216">
        <v>0</v>
      </c>
    </row>
    <row r="217" spans="5:35" x14ac:dyDescent="0.45">
      <c r="E217" t="s">
        <v>209</v>
      </c>
      <c r="G217" t="s">
        <v>447</v>
      </c>
      <c r="I217" t="s">
        <v>252</v>
      </c>
      <c r="J217" t="s">
        <v>1085</v>
      </c>
      <c r="K217">
        <v>4.3315599627200002E-4</v>
      </c>
      <c r="L217" t="s">
        <v>254</v>
      </c>
      <c r="N217" t="s">
        <v>422</v>
      </c>
      <c r="O217" t="s">
        <v>1085</v>
      </c>
      <c r="P217">
        <v>1.6311410800380001E-4</v>
      </c>
      <c r="Q217" t="s">
        <v>254</v>
      </c>
      <c r="S217" t="s">
        <v>423</v>
      </c>
      <c r="T217" t="s">
        <v>1085</v>
      </c>
      <c r="U217">
        <v>1.3357511741379999E-4</v>
      </c>
      <c r="V217" t="s">
        <v>254</v>
      </c>
      <c r="X217">
        <v>1.1415525114155251E-4</v>
      </c>
      <c r="Y217">
        <v>1.5049432745775637E-4</v>
      </c>
      <c r="Z217" t="s">
        <v>1085</v>
      </c>
      <c r="AA217" t="s">
        <v>25</v>
      </c>
      <c r="AC217" t="s">
        <v>22</v>
      </c>
      <c r="AD217" t="s">
        <v>1085</v>
      </c>
      <c r="AE217">
        <v>1.2471217308513907E-4</v>
      </c>
      <c r="AG217" t="s">
        <v>97</v>
      </c>
      <c r="AH217" t="s">
        <v>1085</v>
      </c>
      <c r="AI217">
        <v>0</v>
      </c>
    </row>
    <row r="218" spans="5:35" x14ac:dyDescent="0.45">
      <c r="E218" t="s">
        <v>210</v>
      </c>
      <c r="G218" t="s">
        <v>447</v>
      </c>
      <c r="I218" t="s">
        <v>252</v>
      </c>
      <c r="J218" t="s">
        <v>1086</v>
      </c>
      <c r="K218">
        <v>4.1880921975469997E-4</v>
      </c>
      <c r="L218" t="s">
        <v>254</v>
      </c>
      <c r="N218" t="s">
        <v>422</v>
      </c>
      <c r="O218" t="s">
        <v>1086</v>
      </c>
      <c r="P218">
        <v>1.7656037044900001E-4</v>
      </c>
      <c r="Q218" t="s">
        <v>254</v>
      </c>
      <c r="S218" t="s">
        <v>423</v>
      </c>
      <c r="T218" t="s">
        <v>1086</v>
      </c>
      <c r="U218">
        <v>1.3538966740019999E-4</v>
      </c>
      <c r="V218" t="s">
        <v>254</v>
      </c>
      <c r="X218">
        <v>1.1415525114155251E-4</v>
      </c>
      <c r="Y218">
        <v>1.7237235744060203E-4</v>
      </c>
      <c r="Z218" t="s">
        <v>1086</v>
      </c>
      <c r="AA218" t="s">
        <v>25</v>
      </c>
      <c r="AC218" t="s">
        <v>22</v>
      </c>
      <c r="AD218" t="s">
        <v>1086</v>
      </c>
      <c r="AE218">
        <v>1.2434139220777633E-4</v>
      </c>
      <c r="AG218" t="s">
        <v>97</v>
      </c>
      <c r="AH218" t="s">
        <v>1086</v>
      </c>
      <c r="AI218">
        <v>0</v>
      </c>
    </row>
    <row r="219" spans="5:35" x14ac:dyDescent="0.45">
      <c r="E219" t="s">
        <v>211</v>
      </c>
      <c r="G219" t="s">
        <v>447</v>
      </c>
      <c r="I219" t="s">
        <v>252</v>
      </c>
      <c r="J219" t="s">
        <v>1087</v>
      </c>
      <c r="K219">
        <v>3.8293641988480001E-4</v>
      </c>
      <c r="L219" t="s">
        <v>254</v>
      </c>
      <c r="N219" t="s">
        <v>422</v>
      </c>
      <c r="O219" t="s">
        <v>1087</v>
      </c>
      <c r="P219">
        <v>1.868248053021E-4</v>
      </c>
      <c r="Q219" t="s">
        <v>254</v>
      </c>
      <c r="S219" t="s">
        <v>423</v>
      </c>
      <c r="T219" t="s">
        <v>1087</v>
      </c>
      <c r="U219">
        <v>1.2509385277700001E-4</v>
      </c>
      <c r="V219" t="s">
        <v>254</v>
      </c>
      <c r="X219">
        <v>1.1415525114155251E-4</v>
      </c>
      <c r="Y219">
        <v>2.2209515285616027E-4</v>
      </c>
      <c r="Z219" t="s">
        <v>1087</v>
      </c>
      <c r="AA219" t="s">
        <v>25</v>
      </c>
      <c r="AC219" t="s">
        <v>22</v>
      </c>
      <c r="AD219" t="s">
        <v>1087</v>
      </c>
      <c r="AE219">
        <v>1.241777371998369E-4</v>
      </c>
      <c r="AG219" t="s">
        <v>97</v>
      </c>
      <c r="AH219" t="s">
        <v>1087</v>
      </c>
      <c r="AI219">
        <v>0</v>
      </c>
    </row>
    <row r="220" spans="5:35" x14ac:dyDescent="0.45">
      <c r="E220" t="s">
        <v>212</v>
      </c>
      <c r="G220" t="s">
        <v>447</v>
      </c>
      <c r="I220" t="s">
        <v>252</v>
      </c>
      <c r="J220" t="s">
        <v>1088</v>
      </c>
      <c r="K220">
        <v>3.2993983970080001E-4</v>
      </c>
      <c r="L220" t="s">
        <v>254</v>
      </c>
      <c r="N220" t="s">
        <v>422</v>
      </c>
      <c r="O220" t="s">
        <v>1088</v>
      </c>
      <c r="P220">
        <v>1.9049942072669999E-4</v>
      </c>
      <c r="Q220" t="s">
        <v>254</v>
      </c>
      <c r="S220" t="s">
        <v>423</v>
      </c>
      <c r="T220" t="s">
        <v>1088</v>
      </c>
      <c r="U220">
        <v>1.160886038156E-4</v>
      </c>
      <c r="V220" t="s">
        <v>254</v>
      </c>
      <c r="X220">
        <v>1.1415525114155251E-4</v>
      </c>
      <c r="Y220">
        <v>2.2209515285616027E-4</v>
      </c>
      <c r="Z220" t="s">
        <v>1088</v>
      </c>
      <c r="AA220" t="s">
        <v>25</v>
      </c>
      <c r="AC220" t="s">
        <v>22</v>
      </c>
      <c r="AD220" t="s">
        <v>1088</v>
      </c>
      <c r="AE220">
        <v>1.2441299127374984E-4</v>
      </c>
      <c r="AG220" t="s">
        <v>97</v>
      </c>
      <c r="AH220" t="s">
        <v>1088</v>
      </c>
      <c r="AI220">
        <v>0</v>
      </c>
    </row>
    <row r="221" spans="5:35" x14ac:dyDescent="0.45">
      <c r="E221" t="s">
        <v>213</v>
      </c>
      <c r="G221" t="s">
        <v>447</v>
      </c>
      <c r="I221" t="s">
        <v>252</v>
      </c>
      <c r="J221" t="s">
        <v>1089</v>
      </c>
      <c r="K221">
        <v>2.5495869388839998E-4</v>
      </c>
      <c r="L221" t="s">
        <v>254</v>
      </c>
      <c r="N221" t="s">
        <v>422</v>
      </c>
      <c r="O221" t="s">
        <v>1089</v>
      </c>
      <c r="P221">
        <v>1.869457730788E-4</v>
      </c>
      <c r="Q221" t="s">
        <v>254</v>
      </c>
      <c r="S221" t="s">
        <v>423</v>
      </c>
      <c r="T221" t="s">
        <v>1089</v>
      </c>
      <c r="U221">
        <v>1.170813471472E-4</v>
      </c>
      <c r="V221" t="s">
        <v>254</v>
      </c>
      <c r="X221">
        <v>1.1415525114155251E-4</v>
      </c>
      <c r="Y221">
        <v>1.7237235744060203E-4</v>
      </c>
      <c r="Z221" t="s">
        <v>1089</v>
      </c>
      <c r="AA221" t="s">
        <v>25</v>
      </c>
      <c r="AC221" t="s">
        <v>22</v>
      </c>
      <c r="AD221" t="s">
        <v>1089</v>
      </c>
      <c r="AE221">
        <v>1.2385042718395805E-4</v>
      </c>
      <c r="AG221" t="s">
        <v>97</v>
      </c>
      <c r="AH221" t="s">
        <v>1089</v>
      </c>
      <c r="AI221">
        <v>0</v>
      </c>
    </row>
    <row r="222" spans="5:35" x14ac:dyDescent="0.45">
      <c r="E222" t="s">
        <v>214</v>
      </c>
      <c r="G222" t="s">
        <v>447</v>
      </c>
      <c r="I222" t="s">
        <v>252</v>
      </c>
      <c r="J222" t="s">
        <v>1090</v>
      </c>
      <c r="K222">
        <v>1.5508970583470001E-4</v>
      </c>
      <c r="L222" t="s">
        <v>254</v>
      </c>
      <c r="N222" t="s">
        <v>422</v>
      </c>
      <c r="O222" t="s">
        <v>1090</v>
      </c>
      <c r="P222">
        <v>1.887454789827E-4</v>
      </c>
      <c r="Q222" t="s">
        <v>254</v>
      </c>
      <c r="S222" t="s">
        <v>423</v>
      </c>
      <c r="T222" t="s">
        <v>1090</v>
      </c>
      <c r="U222">
        <v>1.2452644987900001E-4</v>
      </c>
      <c r="V222" t="s">
        <v>254</v>
      </c>
      <c r="X222">
        <v>1.1415525114155251E-4</v>
      </c>
      <c r="Y222">
        <v>1.5579809230208258E-4</v>
      </c>
      <c r="Z222" t="s">
        <v>1090</v>
      </c>
      <c r="AA222" t="s">
        <v>25</v>
      </c>
      <c r="AC222" t="s">
        <v>22</v>
      </c>
      <c r="AD222" t="s">
        <v>1090</v>
      </c>
      <c r="AE222">
        <v>1.2113221978646425E-4</v>
      </c>
      <c r="AG222" t="s">
        <v>97</v>
      </c>
      <c r="AH222" t="s">
        <v>1090</v>
      </c>
      <c r="AI222">
        <v>0</v>
      </c>
    </row>
    <row r="223" spans="5:35" x14ac:dyDescent="0.45">
      <c r="E223" t="s">
        <v>215</v>
      </c>
      <c r="G223" t="s">
        <v>447</v>
      </c>
      <c r="I223" t="s">
        <v>252</v>
      </c>
      <c r="J223" t="s">
        <v>1091</v>
      </c>
      <c r="K223">
        <v>1.3387852519512884E-5</v>
      </c>
      <c r="L223" t="s">
        <v>254</v>
      </c>
      <c r="N223" t="s">
        <v>422</v>
      </c>
      <c r="O223" t="s">
        <v>1091</v>
      </c>
      <c r="P223">
        <v>1.949896770294E-4</v>
      </c>
      <c r="Q223" t="s">
        <v>254</v>
      </c>
      <c r="S223" t="s">
        <v>423</v>
      </c>
      <c r="T223" t="s">
        <v>1091</v>
      </c>
      <c r="U223">
        <v>1.3384935975769999E-4</v>
      </c>
      <c r="V223" t="s">
        <v>254</v>
      </c>
      <c r="X223">
        <v>1.1415525114155251E-4</v>
      </c>
      <c r="Y223">
        <v>1.093901499142282E-4</v>
      </c>
      <c r="Z223" t="s">
        <v>1091</v>
      </c>
      <c r="AA223" t="s">
        <v>25</v>
      </c>
      <c r="AC223" t="s">
        <v>22</v>
      </c>
      <c r="AD223" t="s">
        <v>1091</v>
      </c>
      <c r="AE223">
        <v>1.1305942509795249E-4</v>
      </c>
      <c r="AG223" t="s">
        <v>97</v>
      </c>
      <c r="AH223" t="s">
        <v>1091</v>
      </c>
      <c r="AI223">
        <v>0</v>
      </c>
    </row>
    <row r="224" spans="5:35" x14ac:dyDescent="0.45">
      <c r="E224" t="s">
        <v>216</v>
      </c>
      <c r="G224" t="s">
        <v>447</v>
      </c>
      <c r="I224" t="s">
        <v>252</v>
      </c>
      <c r="J224" t="s">
        <v>1092</v>
      </c>
      <c r="K224">
        <v>0</v>
      </c>
      <c r="L224" t="s">
        <v>254</v>
      </c>
      <c r="N224" t="s">
        <v>422</v>
      </c>
      <c r="O224" t="s">
        <v>1092</v>
      </c>
      <c r="P224">
        <v>1.917274774464E-4</v>
      </c>
      <c r="Q224" t="s">
        <v>254</v>
      </c>
      <c r="S224" t="s">
        <v>423</v>
      </c>
      <c r="T224" t="s">
        <v>1092</v>
      </c>
      <c r="U224">
        <v>1.4576199627000001E-4</v>
      </c>
      <c r="V224" t="s">
        <v>254</v>
      </c>
      <c r="X224">
        <v>1.1415525114155251E-4</v>
      </c>
      <c r="Y224">
        <v>7.9556472664893237E-5</v>
      </c>
      <c r="Z224" t="s">
        <v>1092</v>
      </c>
      <c r="AA224" t="s">
        <v>25</v>
      </c>
      <c r="AC224" t="s">
        <v>22</v>
      </c>
      <c r="AD224" t="s">
        <v>1092</v>
      </c>
      <c r="AE224">
        <v>1.0436780991066981E-4</v>
      </c>
      <c r="AG224" t="s">
        <v>97</v>
      </c>
      <c r="AH224" t="s">
        <v>1092</v>
      </c>
      <c r="AI224">
        <v>0</v>
      </c>
    </row>
    <row r="225" spans="5:35" x14ac:dyDescent="0.45">
      <c r="E225" t="s">
        <v>217</v>
      </c>
      <c r="G225" t="s">
        <v>447</v>
      </c>
      <c r="I225" t="s">
        <v>252</v>
      </c>
      <c r="J225" t="s">
        <v>1093</v>
      </c>
      <c r="K225">
        <v>0</v>
      </c>
      <c r="L225" t="s">
        <v>254</v>
      </c>
      <c r="N225" t="s">
        <v>422</v>
      </c>
      <c r="O225" t="s">
        <v>1093</v>
      </c>
      <c r="P225">
        <v>1.841725000568E-4</v>
      </c>
      <c r="Q225" t="s">
        <v>254</v>
      </c>
      <c r="S225" t="s">
        <v>423</v>
      </c>
      <c r="T225" t="s">
        <v>1093</v>
      </c>
      <c r="U225">
        <v>1.4379430447430001E-4</v>
      </c>
      <c r="V225" t="s">
        <v>254</v>
      </c>
      <c r="X225">
        <v>1.1415525114155251E-4</v>
      </c>
      <c r="Y225">
        <v>5.6352501470966035E-5</v>
      </c>
      <c r="Z225" t="s">
        <v>1093</v>
      </c>
      <c r="AA225" t="s">
        <v>25</v>
      </c>
      <c r="AC225" t="s">
        <v>22</v>
      </c>
      <c r="AD225" t="s">
        <v>1093</v>
      </c>
      <c r="AE225">
        <v>9.4441110835344265E-5</v>
      </c>
      <c r="AG225" t="s">
        <v>97</v>
      </c>
      <c r="AH225" t="s">
        <v>1093</v>
      </c>
      <c r="AI225">
        <v>0</v>
      </c>
    </row>
    <row r="226" spans="5:35" x14ac:dyDescent="0.45">
      <c r="E226" t="s">
        <v>218</v>
      </c>
      <c r="G226" t="s">
        <v>447</v>
      </c>
      <c r="I226" t="s">
        <v>252</v>
      </c>
      <c r="J226" t="s">
        <v>1094</v>
      </c>
      <c r="K226">
        <v>0</v>
      </c>
      <c r="L226" t="s">
        <v>254</v>
      </c>
      <c r="N226" t="s">
        <v>422</v>
      </c>
      <c r="O226" t="s">
        <v>1094</v>
      </c>
      <c r="P226">
        <v>1.741785966888E-4</v>
      </c>
      <c r="Q226" t="s">
        <v>254</v>
      </c>
      <c r="S226" t="s">
        <v>423</v>
      </c>
      <c r="T226" t="s">
        <v>1094</v>
      </c>
      <c r="U226">
        <v>1.3805709828840001E-4</v>
      </c>
      <c r="V226" t="s">
        <v>254</v>
      </c>
      <c r="X226">
        <v>1.1415525114155251E-4</v>
      </c>
      <c r="Y226">
        <v>2.9833677249334962E-5</v>
      </c>
      <c r="Z226" t="s">
        <v>1094</v>
      </c>
      <c r="AA226" t="s">
        <v>25</v>
      </c>
      <c r="AC226" t="s">
        <v>22</v>
      </c>
      <c r="AD226" t="s">
        <v>1094</v>
      </c>
      <c r="AE226">
        <v>8.548611336965908E-5</v>
      </c>
      <c r="AG226" t="s">
        <v>97</v>
      </c>
      <c r="AH226" t="s">
        <v>1094</v>
      </c>
      <c r="AI226">
        <v>0</v>
      </c>
    </row>
    <row r="227" spans="5:35" x14ac:dyDescent="0.45">
      <c r="E227" t="s">
        <v>879</v>
      </c>
      <c r="G227" t="s">
        <v>801</v>
      </c>
      <c r="I227" t="s">
        <v>252</v>
      </c>
      <c r="J227" t="s">
        <v>326</v>
      </c>
      <c r="K227">
        <v>5.5257821463143121E-3</v>
      </c>
      <c r="L227" t="s">
        <v>254</v>
      </c>
      <c r="N227" t="s">
        <v>422</v>
      </c>
      <c r="O227" t="s">
        <v>326</v>
      </c>
      <c r="P227">
        <v>1.7095091406748468E-2</v>
      </c>
      <c r="Q227" t="s">
        <v>254</v>
      </c>
      <c r="S227" t="s">
        <v>423</v>
      </c>
      <c r="T227" t="s">
        <v>326</v>
      </c>
      <c r="U227">
        <v>1.758711772615687E-2</v>
      </c>
      <c r="V227" t="s">
        <v>254</v>
      </c>
      <c r="X227">
        <v>2.3972602739726026E-2</v>
      </c>
      <c r="Y227">
        <v>9.4672202471222967E-3</v>
      </c>
      <c r="Z227" t="s">
        <v>326</v>
      </c>
      <c r="AA227" t="s">
        <v>25</v>
      </c>
      <c r="AC227" t="s">
        <v>22</v>
      </c>
      <c r="AD227" t="s">
        <v>326</v>
      </c>
      <c r="AE227">
        <v>1.8241377054863197E-2</v>
      </c>
      <c r="AG227" t="s">
        <v>97</v>
      </c>
      <c r="AH227" t="s">
        <v>326</v>
      </c>
      <c r="AI227">
        <v>0.24246515021240556</v>
      </c>
    </row>
    <row r="228" spans="5:35" x14ac:dyDescent="0.45">
      <c r="E228" t="s">
        <v>880</v>
      </c>
      <c r="G228" t="s">
        <v>801</v>
      </c>
      <c r="I228" t="s">
        <v>252</v>
      </c>
      <c r="J228" t="s">
        <v>327</v>
      </c>
      <c r="K228">
        <v>7.2994771326024901E-3</v>
      </c>
      <c r="L228" t="s">
        <v>254</v>
      </c>
      <c r="N228" t="s">
        <v>422</v>
      </c>
      <c r="O228" t="s">
        <v>327</v>
      </c>
      <c r="P228">
        <v>1.9228882733720095E-3</v>
      </c>
      <c r="Q228" t="s">
        <v>254</v>
      </c>
      <c r="S228" t="s">
        <v>423</v>
      </c>
      <c r="T228" t="s">
        <v>327</v>
      </c>
      <c r="U228">
        <v>2.5088116322360037E-3</v>
      </c>
      <c r="V228" t="s">
        <v>254</v>
      </c>
      <c r="X228">
        <v>3.4246575342465752E-3</v>
      </c>
      <c r="Y228">
        <v>5.7181214727892006E-3</v>
      </c>
      <c r="Z228" t="s">
        <v>327</v>
      </c>
      <c r="AA228" t="s">
        <v>25</v>
      </c>
      <c r="AC228" t="s">
        <v>22</v>
      </c>
      <c r="AD228" t="s">
        <v>327</v>
      </c>
      <c r="AE228">
        <v>3.3906221588528435E-3</v>
      </c>
      <c r="AG228" t="s">
        <v>97</v>
      </c>
      <c r="AH228" t="s">
        <v>327</v>
      </c>
      <c r="AI228">
        <v>8.6201087313086733E-2</v>
      </c>
    </row>
    <row r="229" spans="5:35" x14ac:dyDescent="0.45">
      <c r="E229" t="s">
        <v>881</v>
      </c>
      <c r="G229" t="s">
        <v>801</v>
      </c>
      <c r="I229" t="s">
        <v>252</v>
      </c>
      <c r="J229" t="s">
        <v>328</v>
      </c>
      <c r="K229">
        <v>2.0005126739569813E-2</v>
      </c>
      <c r="L229" t="s">
        <v>254</v>
      </c>
      <c r="N229" t="s">
        <v>422</v>
      </c>
      <c r="O229" t="s">
        <v>328</v>
      </c>
      <c r="P229">
        <v>3.7309328455647577E-3</v>
      </c>
      <c r="Q229" t="s">
        <v>254</v>
      </c>
      <c r="S229" t="s">
        <v>423</v>
      </c>
      <c r="T229" t="s">
        <v>328</v>
      </c>
      <c r="U229">
        <v>5.0545031066362026E-3</v>
      </c>
      <c r="V229" t="s">
        <v>254</v>
      </c>
      <c r="X229">
        <v>6.8493150684931503E-3</v>
      </c>
      <c r="Y229">
        <v>8.7114337568058101E-3</v>
      </c>
      <c r="Z229" t="s">
        <v>328</v>
      </c>
      <c r="AA229" t="s">
        <v>25</v>
      </c>
      <c r="AC229" t="s">
        <v>22</v>
      </c>
      <c r="AD229" t="s">
        <v>328</v>
      </c>
      <c r="AE229">
        <v>7.1530812812915477E-3</v>
      </c>
      <c r="AG229" t="s">
        <v>97</v>
      </c>
      <c r="AH229" t="s">
        <v>328</v>
      </c>
      <c r="AI229">
        <v>8.1800928087016889E-2</v>
      </c>
    </row>
    <row r="230" spans="5:35" x14ac:dyDescent="0.45">
      <c r="E230" t="s">
        <v>882</v>
      </c>
      <c r="G230" t="s">
        <v>801</v>
      </c>
      <c r="I230" t="s">
        <v>252</v>
      </c>
      <c r="J230" t="s">
        <v>329</v>
      </c>
      <c r="K230">
        <v>3.4952963042968799E-2</v>
      </c>
      <c r="L230" t="s">
        <v>254</v>
      </c>
      <c r="N230" t="s">
        <v>422</v>
      </c>
      <c r="O230" t="s">
        <v>329</v>
      </c>
      <c r="P230">
        <v>5.8465514429570115E-3</v>
      </c>
      <c r="Q230" t="s">
        <v>254</v>
      </c>
      <c r="S230" t="s">
        <v>423</v>
      </c>
      <c r="T230" t="s">
        <v>329</v>
      </c>
      <c r="U230">
        <v>7.2501107263542152E-3</v>
      </c>
      <c r="V230" t="s">
        <v>254</v>
      </c>
      <c r="X230">
        <v>1.0273972602739725E-2</v>
      </c>
      <c r="Y230">
        <v>1.2719091067299805E-2</v>
      </c>
      <c r="Z230" t="s">
        <v>329</v>
      </c>
      <c r="AA230" t="s">
        <v>25</v>
      </c>
      <c r="AC230" t="s">
        <v>22</v>
      </c>
      <c r="AD230" t="s">
        <v>329</v>
      </c>
      <c r="AE230">
        <v>1.0911886294256105E-2</v>
      </c>
      <c r="AG230" t="s">
        <v>97</v>
      </c>
      <c r="AH230" t="s">
        <v>329</v>
      </c>
      <c r="AI230">
        <v>7.7482949677251778E-2</v>
      </c>
    </row>
    <row r="231" spans="5:35" x14ac:dyDescent="0.45">
      <c r="E231" t="s">
        <v>883</v>
      </c>
      <c r="G231" t="s">
        <v>801</v>
      </c>
      <c r="I231" t="s">
        <v>252</v>
      </c>
      <c r="J231" t="s">
        <v>330</v>
      </c>
      <c r="K231">
        <v>1.14464159984642E-2</v>
      </c>
      <c r="L231" t="s">
        <v>254</v>
      </c>
      <c r="N231" t="s">
        <v>422</v>
      </c>
      <c r="O231" t="s">
        <v>330</v>
      </c>
      <c r="P231">
        <v>2.2304232898099378E-3</v>
      </c>
      <c r="Q231" t="s">
        <v>254</v>
      </c>
      <c r="S231" t="s">
        <v>423</v>
      </c>
      <c r="T231" t="s">
        <v>330</v>
      </c>
      <c r="U231">
        <v>2.46073473016947E-3</v>
      </c>
      <c r="V231" t="s">
        <v>254</v>
      </c>
      <c r="X231">
        <v>3.4246575342465752E-3</v>
      </c>
      <c r="Y231">
        <v>4.4651070283171336E-3</v>
      </c>
      <c r="Z231" t="s">
        <v>330</v>
      </c>
      <c r="AA231" t="s">
        <v>25</v>
      </c>
      <c r="AC231" t="s">
        <v>22</v>
      </c>
      <c r="AD231" t="s">
        <v>330</v>
      </c>
      <c r="AE231">
        <v>3.6259708458172262E-3</v>
      </c>
      <c r="AG231" t="s">
        <v>97</v>
      </c>
      <c r="AH231" t="s">
        <v>330</v>
      </c>
      <c r="AI231">
        <v>6.7582284767949252E-2</v>
      </c>
    </row>
    <row r="232" spans="5:35" x14ac:dyDescent="0.45">
      <c r="E232" t="s">
        <v>884</v>
      </c>
      <c r="G232" t="s">
        <v>801</v>
      </c>
      <c r="I232" t="s">
        <v>252</v>
      </c>
      <c r="J232" t="s">
        <v>331</v>
      </c>
      <c r="K232">
        <v>2.1887622396663E-2</v>
      </c>
      <c r="L232" t="s">
        <v>254</v>
      </c>
      <c r="N232" t="s">
        <v>422</v>
      </c>
      <c r="O232" t="s">
        <v>331</v>
      </c>
      <c r="P232">
        <v>4.806229952585935E-3</v>
      </c>
      <c r="Q232" t="s">
        <v>254</v>
      </c>
      <c r="S232" t="s">
        <v>423</v>
      </c>
      <c r="T232" t="s">
        <v>331</v>
      </c>
      <c r="U232">
        <v>5.0637870115156063E-3</v>
      </c>
      <c r="V232" t="s">
        <v>254</v>
      </c>
      <c r="X232">
        <v>6.8493150684931503E-3</v>
      </c>
      <c r="Y232">
        <v>9.6860005469507522E-3</v>
      </c>
      <c r="Z232" t="s">
        <v>331</v>
      </c>
      <c r="AA232" t="s">
        <v>25</v>
      </c>
      <c r="AC232" t="s">
        <v>22</v>
      </c>
      <c r="AD232" t="s">
        <v>331</v>
      </c>
      <c r="AE232">
        <v>7.1679636585760386E-3</v>
      </c>
      <c r="AG232" t="s">
        <v>97</v>
      </c>
      <c r="AH232" t="s">
        <v>331</v>
      </c>
      <c r="AI232">
        <v>6.3041754027164387E-2</v>
      </c>
    </row>
    <row r="233" spans="5:35" x14ac:dyDescent="0.45">
      <c r="E233" t="s">
        <v>885</v>
      </c>
      <c r="G233" t="s">
        <v>801</v>
      </c>
      <c r="I233" t="s">
        <v>252</v>
      </c>
      <c r="J233" t="s">
        <v>332</v>
      </c>
      <c r="K233">
        <v>1.7277543597864337E-2</v>
      </c>
      <c r="L233" t="s">
        <v>254</v>
      </c>
      <c r="N233" t="s">
        <v>422</v>
      </c>
      <c r="O233" t="s">
        <v>332</v>
      </c>
      <c r="P233">
        <v>5.2643492741292833E-3</v>
      </c>
      <c r="Q233" t="s">
        <v>254</v>
      </c>
      <c r="S233" t="s">
        <v>423</v>
      </c>
      <c r="T233" t="s">
        <v>332</v>
      </c>
      <c r="U233">
        <v>5.2534644218914612E-3</v>
      </c>
      <c r="V233" t="s">
        <v>254</v>
      </c>
      <c r="X233">
        <v>6.8493150684931503E-3</v>
      </c>
      <c r="Y233">
        <v>1.3325709171369611E-2</v>
      </c>
      <c r="Z233" t="s">
        <v>332</v>
      </c>
      <c r="AA233" t="s">
        <v>25</v>
      </c>
      <c r="AC233" t="s">
        <v>22</v>
      </c>
      <c r="AD233" t="s">
        <v>332</v>
      </c>
      <c r="AE233">
        <v>7.1242677714562132E-3</v>
      </c>
      <c r="AG233" t="s">
        <v>97</v>
      </c>
      <c r="AH233" t="s">
        <v>332</v>
      </c>
      <c r="AI233">
        <v>6.1542333184769094E-2</v>
      </c>
    </row>
    <row r="234" spans="5:35" x14ac:dyDescent="0.45">
      <c r="E234" t="s">
        <v>886</v>
      </c>
      <c r="G234" t="s">
        <v>801</v>
      </c>
      <c r="I234" t="s">
        <v>252</v>
      </c>
      <c r="J234" t="s">
        <v>333</v>
      </c>
      <c r="K234">
        <v>9.6987551577984322E-3</v>
      </c>
      <c r="L234" t="s">
        <v>254</v>
      </c>
      <c r="N234" t="s">
        <v>422</v>
      </c>
      <c r="O234" t="s">
        <v>333</v>
      </c>
      <c r="P234">
        <v>1.6617036713055613E-2</v>
      </c>
      <c r="Q234" t="s">
        <v>254</v>
      </c>
      <c r="S234" t="s">
        <v>423</v>
      </c>
      <c r="T234" t="s">
        <v>333</v>
      </c>
      <c r="U234">
        <v>1.5644248817112509E-2</v>
      </c>
      <c r="V234" t="s">
        <v>254</v>
      </c>
      <c r="X234">
        <v>2.0547945205479451E-2</v>
      </c>
      <c r="Y234">
        <v>1.8099097531263209E-2</v>
      </c>
      <c r="Z234" t="s">
        <v>333</v>
      </c>
      <c r="AA234" t="s">
        <v>25</v>
      </c>
      <c r="AC234" t="s">
        <v>22</v>
      </c>
      <c r="AD234" t="s">
        <v>333</v>
      </c>
      <c r="AE234">
        <v>1.9233346509795583E-2</v>
      </c>
      <c r="AG234" t="s">
        <v>97</v>
      </c>
      <c r="AH234" t="s">
        <v>333</v>
      </c>
      <c r="AI234">
        <v>0.14004864471716449</v>
      </c>
    </row>
    <row r="235" spans="5:35" x14ac:dyDescent="0.45">
      <c r="E235" t="s">
        <v>887</v>
      </c>
      <c r="G235" t="s">
        <v>801</v>
      </c>
      <c r="I235" t="s">
        <v>252</v>
      </c>
      <c r="J235" t="s">
        <v>1095</v>
      </c>
      <c r="K235">
        <v>0</v>
      </c>
      <c r="L235" t="s">
        <v>254</v>
      </c>
      <c r="N235" t="s">
        <v>422</v>
      </c>
      <c r="O235" t="s">
        <v>1095</v>
      </c>
      <c r="P235">
        <v>1.3915439278240001E-4</v>
      </c>
      <c r="Q235" t="s">
        <v>254</v>
      </c>
      <c r="S235" t="s">
        <v>423</v>
      </c>
      <c r="T235" t="s">
        <v>1095</v>
      </c>
      <c r="U235">
        <v>1.8646912693829999E-4</v>
      </c>
      <c r="V235" t="s">
        <v>254</v>
      </c>
      <c r="X235">
        <v>1.1415525114155251E-4</v>
      </c>
      <c r="Y235">
        <v>2.1546544680075254E-5</v>
      </c>
      <c r="Z235" t="s">
        <v>1095</v>
      </c>
      <c r="AA235" t="s">
        <v>25</v>
      </c>
      <c r="AC235" t="s">
        <v>22</v>
      </c>
      <c r="AD235" t="s">
        <v>1095</v>
      </c>
      <c r="AE235">
        <v>8.0721718071917318E-5</v>
      </c>
      <c r="AG235" t="s">
        <v>97</v>
      </c>
      <c r="AH235" t="s">
        <v>1095</v>
      </c>
      <c r="AI235">
        <v>0</v>
      </c>
    </row>
    <row r="236" spans="5:35" x14ac:dyDescent="0.45">
      <c r="E236" t="s">
        <v>888</v>
      </c>
      <c r="G236" t="s">
        <v>801</v>
      </c>
      <c r="I236" t="s">
        <v>252</v>
      </c>
      <c r="J236" t="s">
        <v>1096</v>
      </c>
      <c r="K236">
        <v>0</v>
      </c>
      <c r="L236" t="s">
        <v>254</v>
      </c>
      <c r="N236" t="s">
        <v>422</v>
      </c>
      <c r="O236" t="s">
        <v>1096</v>
      </c>
      <c r="P236">
        <v>1.4096728888019999E-4</v>
      </c>
      <c r="Q236" t="s">
        <v>254</v>
      </c>
      <c r="S236" t="s">
        <v>423</v>
      </c>
      <c r="T236" t="s">
        <v>1096</v>
      </c>
      <c r="U236">
        <v>1.8658360396409999E-4</v>
      </c>
      <c r="V236" t="s">
        <v>254</v>
      </c>
      <c r="X236">
        <v>1.1415525114155251E-4</v>
      </c>
      <c r="Y236">
        <v>1.4916838624667481E-5</v>
      </c>
      <c r="Z236" t="s">
        <v>1096</v>
      </c>
      <c r="AA236" t="s">
        <v>25</v>
      </c>
      <c r="AC236" t="s">
        <v>22</v>
      </c>
      <c r="AD236" t="s">
        <v>1096</v>
      </c>
      <c r="AE236">
        <v>7.9082610883024043E-5</v>
      </c>
      <c r="AG236" t="s">
        <v>97</v>
      </c>
      <c r="AH236" t="s">
        <v>1096</v>
      </c>
      <c r="AI236">
        <v>0</v>
      </c>
    </row>
    <row r="237" spans="5:35" x14ac:dyDescent="0.45">
      <c r="E237" t="s">
        <v>889</v>
      </c>
      <c r="G237" t="s">
        <v>801</v>
      </c>
      <c r="I237" t="s">
        <v>252</v>
      </c>
      <c r="J237" t="s">
        <v>1097</v>
      </c>
      <c r="K237">
        <v>0</v>
      </c>
      <c r="L237" t="s">
        <v>254</v>
      </c>
      <c r="N237" t="s">
        <v>422</v>
      </c>
      <c r="O237" t="s">
        <v>1097</v>
      </c>
      <c r="P237">
        <v>1.4546820634260001E-4</v>
      </c>
      <c r="Q237" t="s">
        <v>254</v>
      </c>
      <c r="S237" t="s">
        <v>423</v>
      </c>
      <c r="T237" t="s">
        <v>1097</v>
      </c>
      <c r="U237">
        <v>1.8452424866780001E-4</v>
      </c>
      <c r="V237" t="s">
        <v>254</v>
      </c>
      <c r="X237">
        <v>1.1415525114155251E-4</v>
      </c>
      <c r="Y237">
        <v>1.6574265138519424E-5</v>
      </c>
      <c r="Z237" t="s">
        <v>1097</v>
      </c>
      <c r="AA237" t="s">
        <v>25</v>
      </c>
      <c r="AC237" t="s">
        <v>22</v>
      </c>
      <c r="AD237" t="s">
        <v>1097</v>
      </c>
      <c r="AE237">
        <v>7.8427990851266365E-5</v>
      </c>
      <c r="AG237" t="s">
        <v>97</v>
      </c>
      <c r="AH237" t="s">
        <v>1097</v>
      </c>
      <c r="AI237">
        <v>0</v>
      </c>
    </row>
    <row r="238" spans="5:35" x14ac:dyDescent="0.45">
      <c r="E238" t="s">
        <v>890</v>
      </c>
      <c r="G238" t="s">
        <v>801</v>
      </c>
      <c r="I238" t="s">
        <v>252</v>
      </c>
      <c r="J238" t="s">
        <v>1098</v>
      </c>
      <c r="K238">
        <v>0</v>
      </c>
      <c r="L238" t="s">
        <v>254</v>
      </c>
      <c r="N238" t="s">
        <v>422</v>
      </c>
      <c r="O238" t="s">
        <v>1098</v>
      </c>
      <c r="P238">
        <v>1.5529740986219999E-4</v>
      </c>
      <c r="Q238" t="s">
        <v>254</v>
      </c>
      <c r="S238" t="s">
        <v>423</v>
      </c>
      <c r="T238" t="s">
        <v>1098</v>
      </c>
      <c r="U238">
        <v>1.7966448993540001E-4</v>
      </c>
      <c r="V238" t="s">
        <v>254</v>
      </c>
      <c r="X238">
        <v>1.1415525114155251E-4</v>
      </c>
      <c r="Y238">
        <v>1.4585353321897093E-5</v>
      </c>
      <c r="Z238" t="s">
        <v>1098</v>
      </c>
      <c r="AA238" t="s">
        <v>25</v>
      </c>
      <c r="AC238" t="s">
        <v>22</v>
      </c>
      <c r="AD238" t="s">
        <v>1098</v>
      </c>
      <c r="AE238">
        <v>7.9041697131039193E-5</v>
      </c>
      <c r="AG238" t="s">
        <v>97</v>
      </c>
      <c r="AH238" t="s">
        <v>1098</v>
      </c>
      <c r="AI238">
        <v>0</v>
      </c>
    </row>
    <row r="239" spans="5:35" x14ac:dyDescent="0.45">
      <c r="E239" t="s">
        <v>891</v>
      </c>
      <c r="G239" t="s">
        <v>801</v>
      </c>
      <c r="I239" t="s">
        <v>252</v>
      </c>
      <c r="J239" t="s">
        <v>1099</v>
      </c>
      <c r="K239">
        <v>0</v>
      </c>
      <c r="L239" t="s">
        <v>254</v>
      </c>
      <c r="N239" t="s">
        <v>422</v>
      </c>
      <c r="O239" t="s">
        <v>1099</v>
      </c>
      <c r="P239">
        <v>1.638886144233E-4</v>
      </c>
      <c r="Q239" t="s">
        <v>254</v>
      </c>
      <c r="S239" t="s">
        <v>423</v>
      </c>
      <c r="T239" t="s">
        <v>1099</v>
      </c>
      <c r="U239">
        <v>1.781597542583E-4</v>
      </c>
      <c r="V239" t="s">
        <v>254</v>
      </c>
      <c r="X239">
        <v>1.1415525114155251E-4</v>
      </c>
      <c r="Y239">
        <v>2.1215059377304864E-5</v>
      </c>
      <c r="Z239" t="s">
        <v>1099</v>
      </c>
      <c r="AA239" t="s">
        <v>25</v>
      </c>
      <c r="AC239" t="s">
        <v>22</v>
      </c>
      <c r="AD239" t="s">
        <v>1099</v>
      </c>
      <c r="AE239">
        <v>8.5639039638597104E-5</v>
      </c>
      <c r="AG239" t="s">
        <v>97</v>
      </c>
      <c r="AH239" t="s">
        <v>1099</v>
      </c>
      <c r="AI239">
        <v>0</v>
      </c>
    </row>
    <row r="240" spans="5:35" x14ac:dyDescent="0.45">
      <c r="E240" t="s">
        <v>892</v>
      </c>
      <c r="G240" t="s">
        <v>801</v>
      </c>
      <c r="I240" t="s">
        <v>252</v>
      </c>
      <c r="J240" t="s">
        <v>1100</v>
      </c>
      <c r="K240">
        <v>4.7182299718988142E-6</v>
      </c>
      <c r="L240" t="s">
        <v>254</v>
      </c>
      <c r="N240" t="s">
        <v>422</v>
      </c>
      <c r="O240" t="s">
        <v>1100</v>
      </c>
      <c r="P240">
        <v>1.731628565143E-4</v>
      </c>
      <c r="Q240" t="s">
        <v>254</v>
      </c>
      <c r="S240" t="s">
        <v>423</v>
      </c>
      <c r="T240" t="s">
        <v>1100</v>
      </c>
      <c r="U240">
        <v>1.8399333880090001E-4</v>
      </c>
      <c r="V240" t="s">
        <v>254</v>
      </c>
      <c r="X240">
        <v>1.1415525114155251E-4</v>
      </c>
      <c r="Y240">
        <v>5.7678442682047593E-5</v>
      </c>
      <c r="Z240" t="s">
        <v>1100</v>
      </c>
      <c r="AA240" t="s">
        <v>25</v>
      </c>
      <c r="AC240" t="s">
        <v>22</v>
      </c>
      <c r="AD240" t="s">
        <v>1100</v>
      </c>
      <c r="AE240">
        <v>1.007362141210087E-4</v>
      </c>
      <c r="AG240" t="s">
        <v>97</v>
      </c>
      <c r="AH240" t="s">
        <v>1100</v>
      </c>
      <c r="AI240">
        <v>0</v>
      </c>
    </row>
    <row r="241" spans="5:35" x14ac:dyDescent="0.45">
      <c r="E241" t="s">
        <v>893</v>
      </c>
      <c r="G241" t="s">
        <v>801</v>
      </c>
      <c r="I241" t="s">
        <v>252</v>
      </c>
      <c r="J241" t="s">
        <v>1101</v>
      </c>
      <c r="K241">
        <v>1.602258989185E-4</v>
      </c>
      <c r="L241" t="s">
        <v>254</v>
      </c>
      <c r="N241" t="s">
        <v>422</v>
      </c>
      <c r="O241" t="s">
        <v>1101</v>
      </c>
      <c r="P241">
        <v>1.8813580325550001E-4</v>
      </c>
      <c r="Q241" t="s">
        <v>254</v>
      </c>
      <c r="S241" t="s">
        <v>423</v>
      </c>
      <c r="T241" t="s">
        <v>1101</v>
      </c>
      <c r="U241">
        <v>1.9339245107080001E-4</v>
      </c>
      <c r="V241" t="s">
        <v>254</v>
      </c>
      <c r="X241">
        <v>1.1415525114155251E-4</v>
      </c>
      <c r="Y241">
        <v>1.6905750441289813E-4</v>
      </c>
      <c r="Z241" t="s">
        <v>1101</v>
      </c>
      <c r="AA241" t="s">
        <v>25</v>
      </c>
      <c r="AC241" t="s">
        <v>22</v>
      </c>
      <c r="AD241" t="s">
        <v>1101</v>
      </c>
      <c r="AE241">
        <v>1.1313563808191892E-4</v>
      </c>
      <c r="AG241" t="s">
        <v>97</v>
      </c>
      <c r="AH241" t="s">
        <v>1101</v>
      </c>
      <c r="AI241">
        <v>0</v>
      </c>
    </row>
    <row r="242" spans="5:35" x14ac:dyDescent="0.45">
      <c r="E242" t="s">
        <v>894</v>
      </c>
      <c r="G242" t="s">
        <v>801</v>
      </c>
      <c r="I242" t="s">
        <v>252</v>
      </c>
      <c r="J242" t="s">
        <v>1102</v>
      </c>
      <c r="K242">
        <v>2.5112544223229998E-4</v>
      </c>
      <c r="L242" t="s">
        <v>254</v>
      </c>
      <c r="N242" t="s">
        <v>422</v>
      </c>
      <c r="O242" t="s">
        <v>1102</v>
      </c>
      <c r="P242">
        <v>2.0428582908929999E-4</v>
      </c>
      <c r="Q242" t="s">
        <v>254</v>
      </c>
      <c r="S242" t="s">
        <v>423</v>
      </c>
      <c r="T242" t="s">
        <v>1102</v>
      </c>
      <c r="U242">
        <v>1.9775629385960001E-4</v>
      </c>
      <c r="V242" t="s">
        <v>254</v>
      </c>
      <c r="X242">
        <v>1.1415525114155251E-4</v>
      </c>
      <c r="Y242">
        <v>1.9060404909297337E-4</v>
      </c>
      <c r="Z242" t="s">
        <v>1102</v>
      </c>
      <c r="AA242" t="s">
        <v>25</v>
      </c>
      <c r="AC242" t="s">
        <v>22</v>
      </c>
      <c r="AD242" t="s">
        <v>1102</v>
      </c>
      <c r="AE242">
        <v>1.2224150500804825E-4</v>
      </c>
      <c r="AG242" t="s">
        <v>97</v>
      </c>
      <c r="AH242" t="s">
        <v>1102</v>
      </c>
      <c r="AI242">
        <v>0</v>
      </c>
    </row>
    <row r="243" spans="5:35" x14ac:dyDescent="0.45">
      <c r="E243" t="s">
        <v>895</v>
      </c>
      <c r="G243" t="s">
        <v>801</v>
      </c>
      <c r="I243" t="s">
        <v>252</v>
      </c>
      <c r="J243" t="s">
        <v>1103</v>
      </c>
      <c r="K243">
        <v>3.3193388872710002E-4</v>
      </c>
      <c r="L243" t="s">
        <v>254</v>
      </c>
      <c r="N243" t="s">
        <v>422</v>
      </c>
      <c r="O243" t="s">
        <v>1103</v>
      </c>
      <c r="P243">
        <v>2.169743434538E-4</v>
      </c>
      <c r="Q243" t="s">
        <v>254</v>
      </c>
      <c r="S243" t="s">
        <v>423</v>
      </c>
      <c r="T243" t="s">
        <v>1103</v>
      </c>
      <c r="U243">
        <v>2.051151328919E-4</v>
      </c>
      <c r="V243" t="s">
        <v>254</v>
      </c>
      <c r="X243">
        <v>1.1415525114155251E-4</v>
      </c>
      <c r="Y243">
        <v>1.4585353321897094E-4</v>
      </c>
      <c r="Z243" t="s">
        <v>1103</v>
      </c>
      <c r="AA243" t="s">
        <v>25</v>
      </c>
      <c r="AC243" t="s">
        <v>22</v>
      </c>
      <c r="AD243" t="s">
        <v>1103</v>
      </c>
      <c r="AE243">
        <v>1.2566291751778179E-4</v>
      </c>
      <c r="AG243" t="s">
        <v>97</v>
      </c>
      <c r="AH243" t="s">
        <v>1103</v>
      </c>
      <c r="AI243">
        <v>0</v>
      </c>
    </row>
    <row r="244" spans="5:35" x14ac:dyDescent="0.45">
      <c r="E244" t="s">
        <v>896</v>
      </c>
      <c r="G244" t="s">
        <v>801</v>
      </c>
      <c r="I244" t="s">
        <v>252</v>
      </c>
      <c r="J244" t="s">
        <v>1104</v>
      </c>
      <c r="K244">
        <v>3.8472894685670001E-4</v>
      </c>
      <c r="L244" t="s">
        <v>254</v>
      </c>
      <c r="N244" t="s">
        <v>422</v>
      </c>
      <c r="O244" t="s">
        <v>1104</v>
      </c>
      <c r="P244">
        <v>2.236570622607E-4</v>
      </c>
      <c r="Q244" t="s">
        <v>254</v>
      </c>
      <c r="S244" t="s">
        <v>423</v>
      </c>
      <c r="T244" t="s">
        <v>1104</v>
      </c>
      <c r="U244">
        <v>2.0473654663380001E-4</v>
      </c>
      <c r="V244" t="s">
        <v>254</v>
      </c>
      <c r="X244">
        <v>1.1415525114155251E-4</v>
      </c>
      <c r="Y244">
        <v>1.4452759200788939E-4</v>
      </c>
      <c r="Z244" t="s">
        <v>1104</v>
      </c>
      <c r="AA244" t="s">
        <v>25</v>
      </c>
      <c r="AC244" t="s">
        <v>22</v>
      </c>
      <c r="AD244" t="s">
        <v>1104</v>
      </c>
      <c r="AE244">
        <v>1.266627473319117E-4</v>
      </c>
      <c r="AG244" t="s">
        <v>97</v>
      </c>
      <c r="AH244" t="s">
        <v>1104</v>
      </c>
      <c r="AI244">
        <v>0</v>
      </c>
    </row>
    <row r="245" spans="5:35" x14ac:dyDescent="0.45">
      <c r="E245" t="s">
        <v>897</v>
      </c>
      <c r="G245" t="s">
        <v>801</v>
      </c>
      <c r="I245" t="s">
        <v>252</v>
      </c>
      <c r="J245" t="s">
        <v>1105</v>
      </c>
      <c r="K245">
        <v>3.9057380124260001E-4</v>
      </c>
      <c r="L245" t="s">
        <v>254</v>
      </c>
      <c r="N245" t="s">
        <v>422</v>
      </c>
      <c r="O245" t="s">
        <v>1105</v>
      </c>
      <c r="P245">
        <v>2.2201589698989999E-4</v>
      </c>
      <c r="Q245" t="s">
        <v>254</v>
      </c>
      <c r="S245" t="s">
        <v>423</v>
      </c>
      <c r="T245" t="s">
        <v>1105</v>
      </c>
      <c r="U245">
        <v>2.002076251873E-4</v>
      </c>
      <c r="V245" t="s">
        <v>254</v>
      </c>
      <c r="X245">
        <v>1.1415525114155251E-4</v>
      </c>
      <c r="Y245">
        <v>1.408812536774151E-4</v>
      </c>
      <c r="Z245" t="s">
        <v>1105</v>
      </c>
      <c r="AA245" t="s">
        <v>25</v>
      </c>
      <c r="AC245" t="s">
        <v>22</v>
      </c>
      <c r="AD245" t="s">
        <v>1105</v>
      </c>
      <c r="AE245">
        <v>1.2660137670393441E-4</v>
      </c>
      <c r="AG245" t="s">
        <v>97</v>
      </c>
      <c r="AH245" t="s">
        <v>1105</v>
      </c>
      <c r="AI245">
        <v>0</v>
      </c>
    </row>
    <row r="246" spans="5:35" x14ac:dyDescent="0.45">
      <c r="E246" t="s">
        <v>898</v>
      </c>
      <c r="G246" t="s">
        <v>801</v>
      </c>
      <c r="I246" t="s">
        <v>252</v>
      </c>
      <c r="J246" t="s">
        <v>1106</v>
      </c>
      <c r="K246">
        <v>3.8933956257270001E-4</v>
      </c>
      <c r="L246" t="s">
        <v>254</v>
      </c>
      <c r="N246" t="s">
        <v>422</v>
      </c>
      <c r="O246" t="s">
        <v>1106</v>
      </c>
      <c r="P246">
        <v>2.2711228891880001E-4</v>
      </c>
      <c r="Q246" t="s">
        <v>254</v>
      </c>
      <c r="S246" t="s">
        <v>423</v>
      </c>
      <c r="T246" t="s">
        <v>1106</v>
      </c>
      <c r="U246">
        <v>1.9735962268950001E-4</v>
      </c>
      <c r="V246" t="s">
        <v>254</v>
      </c>
      <c r="X246">
        <v>1.1415525114155251E-4</v>
      </c>
      <c r="Y246">
        <v>1.4054976837464471E-4</v>
      </c>
      <c r="Z246" t="s">
        <v>1106</v>
      </c>
      <c r="AA246" t="s">
        <v>25</v>
      </c>
      <c r="AC246" t="s">
        <v>22</v>
      </c>
      <c r="AD246" t="s">
        <v>1106</v>
      </c>
      <c r="AE246">
        <v>1.2634566575402904E-4</v>
      </c>
      <c r="AG246" t="s">
        <v>97</v>
      </c>
      <c r="AH246" t="s">
        <v>1106</v>
      </c>
      <c r="AI246">
        <v>0</v>
      </c>
    </row>
    <row r="247" spans="5:35" x14ac:dyDescent="0.45">
      <c r="E247" t="s">
        <v>899</v>
      </c>
      <c r="G247" t="s">
        <v>801</v>
      </c>
      <c r="I247" t="s">
        <v>252</v>
      </c>
      <c r="J247" t="s">
        <v>1107</v>
      </c>
      <c r="K247">
        <v>3.668061942396E-4</v>
      </c>
      <c r="L247" t="s">
        <v>254</v>
      </c>
      <c r="N247" t="s">
        <v>422</v>
      </c>
      <c r="O247" t="s">
        <v>1107</v>
      </c>
      <c r="P247">
        <v>2.2738652160650001E-4</v>
      </c>
      <c r="Q247" t="s">
        <v>254</v>
      </c>
      <c r="S247" t="s">
        <v>423</v>
      </c>
      <c r="T247" t="s">
        <v>1107</v>
      </c>
      <c r="U247">
        <v>1.9287727253530001E-4</v>
      </c>
      <c r="V247" t="s">
        <v>254</v>
      </c>
      <c r="X247">
        <v>1.1415525114155251E-4</v>
      </c>
      <c r="Y247">
        <v>1.4253868019126702E-4</v>
      </c>
      <c r="Z247" t="s">
        <v>1107</v>
      </c>
      <c r="AA247" t="s">
        <v>25</v>
      </c>
      <c r="AC247" t="s">
        <v>22</v>
      </c>
      <c r="AD247" t="s">
        <v>1107</v>
      </c>
      <c r="AE247">
        <v>1.2634566575402904E-4</v>
      </c>
      <c r="AG247" t="s">
        <v>97</v>
      </c>
      <c r="AH247" t="s">
        <v>1107</v>
      </c>
      <c r="AI247">
        <v>0</v>
      </c>
    </row>
    <row r="248" spans="5:35" x14ac:dyDescent="0.45">
      <c r="E248" t="s">
        <v>900</v>
      </c>
      <c r="G248" t="s">
        <v>801</v>
      </c>
      <c r="I248" t="s">
        <v>252</v>
      </c>
      <c r="J248" t="s">
        <v>1108</v>
      </c>
      <c r="K248">
        <v>3.7308263217380002E-4</v>
      </c>
      <c r="L248" t="s">
        <v>254</v>
      </c>
      <c r="N248" t="s">
        <v>422</v>
      </c>
      <c r="O248" t="s">
        <v>1108</v>
      </c>
      <c r="P248">
        <v>2.3029915058180001E-4</v>
      </c>
      <c r="Q248" t="s">
        <v>254</v>
      </c>
      <c r="S248" t="s">
        <v>423</v>
      </c>
      <c r="T248" t="s">
        <v>1108</v>
      </c>
      <c r="U248">
        <v>1.881981700434E-4</v>
      </c>
      <c r="V248" t="s">
        <v>254</v>
      </c>
      <c r="X248">
        <v>1.1415525114155251E-4</v>
      </c>
      <c r="Y248">
        <v>1.4883690094390442E-4</v>
      </c>
      <c r="Z248" t="s">
        <v>1108</v>
      </c>
      <c r="AA248" t="s">
        <v>25</v>
      </c>
      <c r="AC248" t="s">
        <v>22</v>
      </c>
      <c r="AD248" t="s">
        <v>1108</v>
      </c>
      <c r="AE248">
        <v>1.2543789188186507E-4</v>
      </c>
      <c r="AG248" t="s">
        <v>97</v>
      </c>
      <c r="AH248" t="s">
        <v>1108</v>
      </c>
      <c r="AI248">
        <v>0</v>
      </c>
    </row>
    <row r="249" spans="5:35" x14ac:dyDescent="0.45">
      <c r="E249" t="s">
        <v>901</v>
      </c>
      <c r="G249" t="s">
        <v>801</v>
      </c>
      <c r="I249" t="s">
        <v>252</v>
      </c>
      <c r="J249" t="s">
        <v>1109</v>
      </c>
      <c r="K249">
        <v>3.9557864750060001E-4</v>
      </c>
      <c r="L249" t="s">
        <v>254</v>
      </c>
      <c r="N249" t="s">
        <v>422</v>
      </c>
      <c r="O249" t="s">
        <v>1109</v>
      </c>
      <c r="P249">
        <v>2.3135907600449999E-4</v>
      </c>
      <c r="Q249" t="s">
        <v>254</v>
      </c>
      <c r="S249" t="s">
        <v>423</v>
      </c>
      <c r="T249" t="s">
        <v>1109</v>
      </c>
      <c r="U249">
        <v>1.846033244875E-4</v>
      </c>
      <c r="V249" t="s">
        <v>254</v>
      </c>
      <c r="X249">
        <v>1.1415525114155251E-4</v>
      </c>
      <c r="Y249">
        <v>1.5049432745775637E-4</v>
      </c>
      <c r="Z249" t="s">
        <v>1109</v>
      </c>
      <c r="AA249" t="s">
        <v>25</v>
      </c>
      <c r="AC249" t="s">
        <v>22</v>
      </c>
      <c r="AD249" t="s">
        <v>1109</v>
      </c>
      <c r="AE249">
        <v>1.2442271941074087E-4</v>
      </c>
      <c r="AG249" t="s">
        <v>97</v>
      </c>
      <c r="AH249" t="s">
        <v>1109</v>
      </c>
      <c r="AI249">
        <v>0</v>
      </c>
    </row>
    <row r="250" spans="5:35" x14ac:dyDescent="0.45">
      <c r="E250" t="s">
        <v>902</v>
      </c>
      <c r="G250" t="s">
        <v>801</v>
      </c>
      <c r="I250" t="s">
        <v>252</v>
      </c>
      <c r="J250" t="s">
        <v>1110</v>
      </c>
      <c r="K250">
        <v>3.7121922415880003E-4</v>
      </c>
      <c r="L250" t="s">
        <v>254</v>
      </c>
      <c r="N250" t="s">
        <v>422</v>
      </c>
      <c r="O250" t="s">
        <v>1110</v>
      </c>
      <c r="P250">
        <v>2.3258083836810001E-4</v>
      </c>
      <c r="Q250" t="s">
        <v>254</v>
      </c>
      <c r="S250" t="s">
        <v>423</v>
      </c>
      <c r="T250" t="s">
        <v>1110</v>
      </c>
      <c r="U250">
        <v>1.8378893114800001E-4</v>
      </c>
      <c r="V250" t="s">
        <v>254</v>
      </c>
      <c r="X250">
        <v>1.1415525114155251E-4</v>
      </c>
      <c r="Y250">
        <v>1.7237235744060203E-4</v>
      </c>
      <c r="Z250" t="s">
        <v>1110</v>
      </c>
      <c r="AA250" t="s">
        <v>25</v>
      </c>
      <c r="AC250" t="s">
        <v>22</v>
      </c>
      <c r="AD250" t="s">
        <v>1110</v>
      </c>
      <c r="AE250">
        <v>1.2444573339623233E-4</v>
      </c>
      <c r="AG250" t="s">
        <v>97</v>
      </c>
      <c r="AH250" t="s">
        <v>1110</v>
      </c>
      <c r="AI250">
        <v>0</v>
      </c>
    </row>
    <row r="251" spans="5:35" x14ac:dyDescent="0.45">
      <c r="E251" t="s">
        <v>535</v>
      </c>
      <c r="G251" t="s">
        <v>802</v>
      </c>
      <c r="I251" t="s">
        <v>252</v>
      </c>
      <c r="J251" t="s">
        <v>1111</v>
      </c>
      <c r="K251">
        <v>3.5087984537970001E-4</v>
      </c>
      <c r="L251" t="s">
        <v>254</v>
      </c>
      <c r="N251" t="s">
        <v>422</v>
      </c>
      <c r="O251" t="s">
        <v>1111</v>
      </c>
      <c r="P251">
        <v>2.3535366265779999E-4</v>
      </c>
      <c r="Q251" t="s">
        <v>254</v>
      </c>
      <c r="S251" t="s">
        <v>423</v>
      </c>
      <c r="T251" t="s">
        <v>1111</v>
      </c>
      <c r="U251">
        <v>1.8128333204030001E-4</v>
      </c>
      <c r="V251" t="s">
        <v>254</v>
      </c>
      <c r="X251">
        <v>1.1415525114155251E-4</v>
      </c>
      <c r="Y251">
        <v>2.2209515285616027E-4</v>
      </c>
      <c r="Z251" t="s">
        <v>1111</v>
      </c>
      <c r="AA251" t="s">
        <v>25</v>
      </c>
      <c r="AC251" t="s">
        <v>22</v>
      </c>
      <c r="AD251" t="s">
        <v>1111</v>
      </c>
      <c r="AE251">
        <v>1.2409029517586391E-4</v>
      </c>
      <c r="AG251" t="s">
        <v>97</v>
      </c>
      <c r="AH251" t="s">
        <v>1111</v>
      </c>
      <c r="AI251">
        <v>0</v>
      </c>
    </row>
    <row r="252" spans="5:35" x14ac:dyDescent="0.45">
      <c r="E252" t="s">
        <v>536</v>
      </c>
      <c r="G252" t="s">
        <v>802</v>
      </c>
      <c r="I252" t="s">
        <v>252</v>
      </c>
      <c r="J252" t="s">
        <v>1112</v>
      </c>
      <c r="K252">
        <v>3.1499387189200002E-4</v>
      </c>
      <c r="L252" t="s">
        <v>254</v>
      </c>
      <c r="N252" t="s">
        <v>422</v>
      </c>
      <c r="O252" t="s">
        <v>1112</v>
      </c>
      <c r="P252">
        <v>2.3330994721159999E-4</v>
      </c>
      <c r="Q252" t="s">
        <v>254</v>
      </c>
      <c r="S252" t="s">
        <v>423</v>
      </c>
      <c r="T252" t="s">
        <v>1112</v>
      </c>
      <c r="U252">
        <v>1.6938394709460001E-4</v>
      </c>
      <c r="V252" t="s">
        <v>254</v>
      </c>
      <c r="X252">
        <v>1.1415525114155251E-4</v>
      </c>
      <c r="Y252">
        <v>2.2209515285616027E-4</v>
      </c>
      <c r="Z252" t="s">
        <v>1112</v>
      </c>
      <c r="AA252" t="s">
        <v>25</v>
      </c>
      <c r="AC252" t="s">
        <v>22</v>
      </c>
      <c r="AD252" t="s">
        <v>1112</v>
      </c>
      <c r="AE252">
        <v>1.2388572641593967E-4</v>
      </c>
      <c r="AG252" t="s">
        <v>97</v>
      </c>
      <c r="AH252" t="s">
        <v>1112</v>
      </c>
      <c r="AI252">
        <v>0</v>
      </c>
    </row>
    <row r="253" spans="5:35" x14ac:dyDescent="0.45">
      <c r="E253" t="s">
        <v>537</v>
      </c>
      <c r="G253" t="s">
        <v>802</v>
      </c>
      <c r="I253" t="s">
        <v>252</v>
      </c>
      <c r="J253" t="s">
        <v>1113</v>
      </c>
      <c r="K253">
        <v>2.618405638672E-4</v>
      </c>
      <c r="L253" t="s">
        <v>254</v>
      </c>
      <c r="N253" t="s">
        <v>422</v>
      </c>
      <c r="O253" t="s">
        <v>1113</v>
      </c>
      <c r="P253">
        <v>2.2211978687519999E-4</v>
      </c>
      <c r="Q253" t="s">
        <v>254</v>
      </c>
      <c r="S253" t="s">
        <v>423</v>
      </c>
      <c r="T253" t="s">
        <v>1113</v>
      </c>
      <c r="U253">
        <v>1.547382721332E-4</v>
      </c>
      <c r="V253" t="s">
        <v>254</v>
      </c>
      <c r="X253">
        <v>1.1415525114155251E-4</v>
      </c>
      <c r="Y253">
        <v>1.7237235744060203E-4</v>
      </c>
      <c r="Z253" t="s">
        <v>1113</v>
      </c>
      <c r="AA253" t="s">
        <v>25</v>
      </c>
      <c r="AC253" t="s">
        <v>22</v>
      </c>
      <c r="AD253" t="s">
        <v>1113</v>
      </c>
      <c r="AE253">
        <v>1.2343823225360528E-4</v>
      </c>
      <c r="AG253" t="s">
        <v>97</v>
      </c>
      <c r="AH253" t="s">
        <v>1113</v>
      </c>
      <c r="AI253">
        <v>0</v>
      </c>
    </row>
    <row r="254" spans="5:35" x14ac:dyDescent="0.45">
      <c r="E254" t="s">
        <v>538</v>
      </c>
      <c r="G254" t="s">
        <v>802</v>
      </c>
      <c r="I254" t="s">
        <v>252</v>
      </c>
      <c r="J254" t="s">
        <v>1114</v>
      </c>
      <c r="K254">
        <v>1.499437527045E-4</v>
      </c>
      <c r="L254" t="s">
        <v>254</v>
      </c>
      <c r="N254" t="s">
        <v>422</v>
      </c>
      <c r="O254" t="s">
        <v>1114</v>
      </c>
      <c r="P254">
        <v>2.0752067608280001E-4</v>
      </c>
      <c r="Q254" t="s">
        <v>254</v>
      </c>
      <c r="S254" t="s">
        <v>423</v>
      </c>
      <c r="T254" t="s">
        <v>1114</v>
      </c>
      <c r="U254">
        <v>1.461485537762E-4</v>
      </c>
      <c r="V254" t="s">
        <v>254</v>
      </c>
      <c r="X254">
        <v>1.1415525114155251E-4</v>
      </c>
      <c r="Y254">
        <v>1.5579809230208258E-4</v>
      </c>
      <c r="Z254" t="s">
        <v>1114</v>
      </c>
      <c r="AA254" t="s">
        <v>25</v>
      </c>
      <c r="AC254" t="s">
        <v>22</v>
      </c>
      <c r="AD254" t="s">
        <v>1114</v>
      </c>
      <c r="AE254">
        <v>1.2083253767406983E-4</v>
      </c>
      <c r="AG254" t="s">
        <v>97</v>
      </c>
      <c r="AH254" t="s">
        <v>1114</v>
      </c>
      <c r="AI254">
        <v>0</v>
      </c>
    </row>
    <row r="255" spans="5:35" x14ac:dyDescent="0.45">
      <c r="E255" t="s">
        <v>539</v>
      </c>
      <c r="G255" t="s">
        <v>802</v>
      </c>
      <c r="I255" t="s">
        <v>252</v>
      </c>
      <c r="J255" t="s">
        <v>1115</v>
      </c>
      <c r="K255">
        <v>7.7068147786903206E-8</v>
      </c>
      <c r="L255" t="s">
        <v>254</v>
      </c>
      <c r="N255" t="s">
        <v>422</v>
      </c>
      <c r="O255" t="s">
        <v>1115</v>
      </c>
      <c r="P255">
        <v>1.9232549826210001E-4</v>
      </c>
      <c r="Q255" t="s">
        <v>254</v>
      </c>
      <c r="S255" t="s">
        <v>423</v>
      </c>
      <c r="T255" t="s">
        <v>1115</v>
      </c>
      <c r="U255">
        <v>1.406989495654E-4</v>
      </c>
      <c r="V255" t="s">
        <v>254</v>
      </c>
      <c r="X255">
        <v>1.1415525114155251E-4</v>
      </c>
      <c r="Y255">
        <v>1.093901499142282E-4</v>
      </c>
      <c r="Z255" t="s">
        <v>1115</v>
      </c>
      <c r="AA255" t="s">
        <v>25</v>
      </c>
      <c r="AC255" t="s">
        <v>22</v>
      </c>
      <c r="AD255" t="s">
        <v>1115</v>
      </c>
      <c r="AE255">
        <v>1.1445766369292953E-4</v>
      </c>
      <c r="AG255" t="s">
        <v>97</v>
      </c>
      <c r="AH255" t="s">
        <v>1115</v>
      </c>
      <c r="AI255">
        <v>0</v>
      </c>
    </row>
    <row r="256" spans="5:35" x14ac:dyDescent="0.45">
      <c r="E256" t="s">
        <v>540</v>
      </c>
      <c r="G256" t="s">
        <v>802</v>
      </c>
      <c r="I256" t="s">
        <v>252</v>
      </c>
      <c r="J256" t="s">
        <v>1116</v>
      </c>
      <c r="K256">
        <v>0</v>
      </c>
      <c r="L256" t="s">
        <v>254</v>
      </c>
      <c r="N256" t="s">
        <v>422</v>
      </c>
      <c r="O256" t="s">
        <v>1116</v>
      </c>
      <c r="P256">
        <v>1.8279369042220001E-4</v>
      </c>
      <c r="Q256" t="s">
        <v>254</v>
      </c>
      <c r="S256" t="s">
        <v>423</v>
      </c>
      <c r="T256" t="s">
        <v>1116</v>
      </c>
      <c r="U256">
        <v>1.5306304032610001E-4</v>
      </c>
      <c r="V256" t="s">
        <v>254</v>
      </c>
      <c r="X256">
        <v>1.1415525114155251E-4</v>
      </c>
      <c r="Y256">
        <v>7.9556472664893237E-5</v>
      </c>
      <c r="Z256" t="s">
        <v>1116</v>
      </c>
      <c r="AA256" t="s">
        <v>25</v>
      </c>
      <c r="AC256" t="s">
        <v>22</v>
      </c>
      <c r="AD256" t="s">
        <v>1116</v>
      </c>
      <c r="AE256">
        <v>1.1064501342984084E-4</v>
      </c>
      <c r="AG256" t="s">
        <v>97</v>
      </c>
      <c r="AH256" t="s">
        <v>1116</v>
      </c>
      <c r="AI256">
        <v>0</v>
      </c>
    </row>
    <row r="257" spans="5:35" x14ac:dyDescent="0.45">
      <c r="E257" t="s">
        <v>541</v>
      </c>
      <c r="G257" t="s">
        <v>802</v>
      </c>
      <c r="I257" t="s">
        <v>252</v>
      </c>
      <c r="J257" t="s">
        <v>1117</v>
      </c>
      <c r="K257">
        <v>0</v>
      </c>
      <c r="L257" t="s">
        <v>254</v>
      </c>
      <c r="N257" t="s">
        <v>422</v>
      </c>
      <c r="O257" t="s">
        <v>1117</v>
      </c>
      <c r="P257">
        <v>1.801362427241E-4</v>
      </c>
      <c r="Q257" t="s">
        <v>254</v>
      </c>
      <c r="S257" t="s">
        <v>423</v>
      </c>
      <c r="T257" t="s">
        <v>1117</v>
      </c>
      <c r="U257">
        <v>1.5907044431660001E-4</v>
      </c>
      <c r="V257" t="s">
        <v>254</v>
      </c>
      <c r="X257">
        <v>1.1415525114155251E-4</v>
      </c>
      <c r="Y257">
        <v>5.6352501470966035E-5</v>
      </c>
      <c r="Z257" t="s">
        <v>1117</v>
      </c>
      <c r="AA257" t="s">
        <v>25</v>
      </c>
      <c r="AC257" t="s">
        <v>22</v>
      </c>
      <c r="AD257" t="s">
        <v>1117</v>
      </c>
      <c r="AE257">
        <v>1.0440822336164947E-4</v>
      </c>
      <c r="AG257" t="s">
        <v>97</v>
      </c>
      <c r="AH257" t="s">
        <v>1117</v>
      </c>
      <c r="AI257">
        <v>0</v>
      </c>
    </row>
    <row r="258" spans="5:35" x14ac:dyDescent="0.45">
      <c r="E258" t="s">
        <v>542</v>
      </c>
      <c r="G258" t="s">
        <v>802</v>
      </c>
      <c r="I258" t="s">
        <v>252</v>
      </c>
      <c r="J258" t="s">
        <v>1118</v>
      </c>
      <c r="K258">
        <v>0</v>
      </c>
      <c r="L258" t="s">
        <v>254</v>
      </c>
      <c r="N258" t="s">
        <v>422</v>
      </c>
      <c r="O258" t="s">
        <v>1118</v>
      </c>
      <c r="P258">
        <v>1.709870474266E-4</v>
      </c>
      <c r="Q258" t="s">
        <v>254</v>
      </c>
      <c r="S258" t="s">
        <v>423</v>
      </c>
      <c r="T258" t="s">
        <v>1118</v>
      </c>
      <c r="U258">
        <v>1.7360722279460001E-4</v>
      </c>
      <c r="V258" t="s">
        <v>254</v>
      </c>
      <c r="X258">
        <v>1.1415525114155251E-4</v>
      </c>
      <c r="Y258">
        <v>2.9833677249334962E-5</v>
      </c>
      <c r="Z258" t="s">
        <v>1118</v>
      </c>
      <c r="AA258" t="s">
        <v>25</v>
      </c>
      <c r="AC258" t="s">
        <v>22</v>
      </c>
      <c r="AD258" t="s">
        <v>1118</v>
      </c>
      <c r="AE258">
        <v>9.4847190944688617E-5</v>
      </c>
      <c r="AG258" t="s">
        <v>97</v>
      </c>
      <c r="AH258" t="s">
        <v>1118</v>
      </c>
      <c r="AI258">
        <v>0</v>
      </c>
    </row>
    <row r="259" spans="5:35" x14ac:dyDescent="0.45">
      <c r="E259" t="s">
        <v>543</v>
      </c>
      <c r="G259" t="s">
        <v>802</v>
      </c>
      <c r="I259" t="s">
        <v>252</v>
      </c>
      <c r="J259" t="s">
        <v>334</v>
      </c>
      <c r="K259">
        <v>3.6111007243295416E-3</v>
      </c>
      <c r="L259" t="s">
        <v>254</v>
      </c>
      <c r="N259" t="s">
        <v>422</v>
      </c>
      <c r="O259" t="s">
        <v>334</v>
      </c>
      <c r="P259">
        <v>1.2756560621845443E-2</v>
      </c>
      <c r="Q259" t="s">
        <v>254</v>
      </c>
      <c r="S259" t="s">
        <v>423</v>
      </c>
      <c r="T259" t="s">
        <v>334</v>
      </c>
      <c r="U259">
        <v>1.306314614249148E-2</v>
      </c>
      <c r="V259" t="s">
        <v>254</v>
      </c>
      <c r="X259">
        <v>2.3173515981735161E-2</v>
      </c>
      <c r="Y259">
        <v>9.151646238884887E-3</v>
      </c>
      <c r="Z259" t="s">
        <v>334</v>
      </c>
      <c r="AA259" t="s">
        <v>25</v>
      </c>
      <c r="AC259" t="s">
        <v>22</v>
      </c>
      <c r="AD259" t="s">
        <v>334</v>
      </c>
      <c r="AE259">
        <v>1.7172527109883269E-2</v>
      </c>
      <c r="AG259" t="s">
        <v>97</v>
      </c>
      <c r="AH259" t="s">
        <v>334</v>
      </c>
      <c r="AI259">
        <v>0.26013136287342542</v>
      </c>
    </row>
    <row r="260" spans="5:35" x14ac:dyDescent="0.45">
      <c r="E260" t="s">
        <v>544</v>
      </c>
      <c r="G260" t="s">
        <v>802</v>
      </c>
      <c r="I260" t="s">
        <v>252</v>
      </c>
      <c r="J260" t="s">
        <v>335</v>
      </c>
      <c r="K260">
        <v>6.3074616022322522E-3</v>
      </c>
      <c r="L260" t="s">
        <v>254</v>
      </c>
      <c r="N260" t="s">
        <v>422</v>
      </c>
      <c r="O260" t="s">
        <v>335</v>
      </c>
      <c r="P260">
        <v>1.5371677663346796E-3</v>
      </c>
      <c r="Q260" t="s">
        <v>254</v>
      </c>
      <c r="S260" t="s">
        <v>423</v>
      </c>
      <c r="T260" t="s">
        <v>335</v>
      </c>
      <c r="U260">
        <v>1.7462930794047535E-3</v>
      </c>
      <c r="V260" t="s">
        <v>254</v>
      </c>
      <c r="X260">
        <v>3.3105022831050228E-3</v>
      </c>
      <c r="Y260">
        <v>5.5275174236962274E-3</v>
      </c>
      <c r="Z260" t="s">
        <v>335</v>
      </c>
      <c r="AA260" t="s">
        <v>25</v>
      </c>
      <c r="AC260" t="s">
        <v>22</v>
      </c>
      <c r="AD260" t="s">
        <v>335</v>
      </c>
      <c r="AE260">
        <v>3.225029422749986E-3</v>
      </c>
      <c r="AG260" t="s">
        <v>97</v>
      </c>
      <c r="AH260" t="s">
        <v>335</v>
      </c>
      <c r="AI260">
        <v>0.10290099132041841</v>
      </c>
    </row>
    <row r="261" spans="5:35" x14ac:dyDescent="0.45">
      <c r="E261" t="s">
        <v>545</v>
      </c>
      <c r="G261" t="s">
        <v>802</v>
      </c>
      <c r="I261" t="s">
        <v>252</v>
      </c>
      <c r="J261" t="s">
        <v>336</v>
      </c>
      <c r="K261">
        <v>1.8461898905264E-2</v>
      </c>
      <c r="L261" t="s">
        <v>254</v>
      </c>
      <c r="N261" t="s">
        <v>422</v>
      </c>
      <c r="O261" t="s">
        <v>336</v>
      </c>
      <c r="P261">
        <v>3.0419734949966495E-3</v>
      </c>
      <c r="Q261" t="s">
        <v>254</v>
      </c>
      <c r="S261" t="s">
        <v>423</v>
      </c>
      <c r="T261" t="s">
        <v>336</v>
      </c>
      <c r="U261">
        <v>3.487889481773841E-3</v>
      </c>
      <c r="V261" t="s">
        <v>254</v>
      </c>
      <c r="X261">
        <v>6.6210045662100456E-3</v>
      </c>
      <c r="Y261">
        <v>8.4210526315789489E-3</v>
      </c>
      <c r="Z261" t="s">
        <v>336</v>
      </c>
      <c r="AA261" t="s">
        <v>25</v>
      </c>
      <c r="AC261" t="s">
        <v>22</v>
      </c>
      <c r="AD261" t="s">
        <v>336</v>
      </c>
      <c r="AE261">
        <v>6.8563988875565609E-3</v>
      </c>
      <c r="AG261" t="s">
        <v>97</v>
      </c>
      <c r="AH261" t="s">
        <v>336</v>
      </c>
      <c r="AI261">
        <v>9.7551181360746364E-2</v>
      </c>
    </row>
    <row r="262" spans="5:35" x14ac:dyDescent="0.45">
      <c r="E262" t="s">
        <v>546</v>
      </c>
      <c r="G262" t="s">
        <v>802</v>
      </c>
      <c r="I262" t="s">
        <v>252</v>
      </c>
      <c r="J262" t="s">
        <v>337</v>
      </c>
      <c r="K262">
        <v>3.2209554526289097E-2</v>
      </c>
      <c r="L262" t="s">
        <v>254</v>
      </c>
      <c r="N262" t="s">
        <v>422</v>
      </c>
      <c r="O262" t="s">
        <v>337</v>
      </c>
      <c r="P262">
        <v>4.7781379934874017E-3</v>
      </c>
      <c r="Q262" t="s">
        <v>254</v>
      </c>
      <c r="S262" t="s">
        <v>423</v>
      </c>
      <c r="T262" t="s">
        <v>337</v>
      </c>
      <c r="U262">
        <v>5.1309788372344584E-3</v>
      </c>
      <c r="V262" t="s">
        <v>254</v>
      </c>
      <c r="X262">
        <v>9.9315068493150693E-3</v>
      </c>
      <c r="Y262">
        <v>1.2295121365056482E-2</v>
      </c>
      <c r="Z262" t="s">
        <v>337</v>
      </c>
      <c r="AA262" t="s">
        <v>25</v>
      </c>
      <c r="AC262" t="s">
        <v>22</v>
      </c>
      <c r="AD262" t="s">
        <v>337</v>
      </c>
      <c r="AE262">
        <v>1.03798046322036E-2</v>
      </c>
      <c r="AG262" t="s">
        <v>97</v>
      </c>
      <c r="AH262" t="s">
        <v>337</v>
      </c>
      <c r="AI262">
        <v>9.7620038816903731E-2</v>
      </c>
    </row>
    <row r="263" spans="5:35" x14ac:dyDescent="0.45">
      <c r="E263" t="s">
        <v>547</v>
      </c>
      <c r="G263" t="s">
        <v>802</v>
      </c>
      <c r="I263" t="s">
        <v>252</v>
      </c>
      <c r="J263" t="s">
        <v>338</v>
      </c>
      <c r="K263">
        <v>1.0562396952404299E-2</v>
      </c>
      <c r="L263" t="s">
        <v>254</v>
      </c>
      <c r="N263" t="s">
        <v>422</v>
      </c>
      <c r="O263" t="s">
        <v>338</v>
      </c>
      <c r="P263">
        <v>1.8482182618127095E-3</v>
      </c>
      <c r="Q263" t="s">
        <v>254</v>
      </c>
      <c r="S263" t="s">
        <v>423</v>
      </c>
      <c r="T263" t="s">
        <v>338</v>
      </c>
      <c r="U263">
        <v>1.8469060022092338E-3</v>
      </c>
      <c r="V263" t="s">
        <v>254</v>
      </c>
      <c r="X263">
        <v>3.3105022831050228E-3</v>
      </c>
      <c r="Y263">
        <v>4.3162701273732288E-3</v>
      </c>
      <c r="Z263" t="s">
        <v>338</v>
      </c>
      <c r="AA263" t="s">
        <v>25</v>
      </c>
      <c r="AC263" t="s">
        <v>22</v>
      </c>
      <c r="AD263" t="s">
        <v>338</v>
      </c>
      <c r="AE263">
        <v>3.4435472149915995E-3</v>
      </c>
      <c r="AG263" t="s">
        <v>97</v>
      </c>
      <c r="AH263" t="s">
        <v>338</v>
      </c>
      <c r="AI263">
        <v>9.5989347944063441E-2</v>
      </c>
    </row>
    <row r="264" spans="5:35" x14ac:dyDescent="0.45">
      <c r="E264" t="s">
        <v>548</v>
      </c>
      <c r="G264" t="s">
        <v>802</v>
      </c>
      <c r="I264" t="s">
        <v>252</v>
      </c>
      <c r="J264" t="s">
        <v>339</v>
      </c>
      <c r="K264">
        <v>2.0897341803033299E-2</v>
      </c>
      <c r="L264" t="s">
        <v>254</v>
      </c>
      <c r="N264" t="s">
        <v>422</v>
      </c>
      <c r="O264" t="s">
        <v>339</v>
      </c>
      <c r="P264">
        <v>4.0746375469146983E-3</v>
      </c>
      <c r="Q264" t="s">
        <v>254</v>
      </c>
      <c r="S264" t="s">
        <v>423</v>
      </c>
      <c r="T264" t="s">
        <v>339</v>
      </c>
      <c r="U264">
        <v>3.9886311791594098E-3</v>
      </c>
      <c r="V264" t="s">
        <v>254</v>
      </c>
      <c r="X264">
        <v>6.6210045662100456E-3</v>
      </c>
      <c r="Y264">
        <v>9.3631338620523939E-3</v>
      </c>
      <c r="Z264" t="s">
        <v>339</v>
      </c>
      <c r="AA264" t="s">
        <v>25</v>
      </c>
      <c r="AC264" t="s">
        <v>22</v>
      </c>
      <c r="AD264" t="s">
        <v>339</v>
      </c>
      <c r="AE264">
        <v>6.826380979147173E-3</v>
      </c>
      <c r="AG264" t="s">
        <v>97</v>
      </c>
      <c r="AH264" t="s">
        <v>339</v>
      </c>
      <c r="AI264">
        <v>8.7488166812166313E-2</v>
      </c>
    </row>
    <row r="265" spans="5:35" x14ac:dyDescent="0.45">
      <c r="E265" t="s">
        <v>549</v>
      </c>
      <c r="G265" t="s">
        <v>802</v>
      </c>
      <c r="I265" t="s">
        <v>252</v>
      </c>
      <c r="J265" t="s">
        <v>340</v>
      </c>
      <c r="K265">
        <v>1.7230970735853401E-2</v>
      </c>
      <c r="L265" t="s">
        <v>254</v>
      </c>
      <c r="N265" t="s">
        <v>422</v>
      </c>
      <c r="O265" t="s">
        <v>340</v>
      </c>
      <c r="P265">
        <v>4.3081201330242977E-3</v>
      </c>
      <c r="Q265" t="s">
        <v>254</v>
      </c>
      <c r="S265" t="s">
        <v>423</v>
      </c>
      <c r="T265" t="s">
        <v>340</v>
      </c>
      <c r="U265">
        <v>4.2673195444824022E-3</v>
      </c>
      <c r="V265" t="s">
        <v>254</v>
      </c>
      <c r="X265">
        <v>6.6210045662100456E-3</v>
      </c>
      <c r="Y265">
        <v>1.2881518865657292E-2</v>
      </c>
      <c r="Z265" t="s">
        <v>340</v>
      </c>
      <c r="AA265" t="s">
        <v>25</v>
      </c>
      <c r="AC265" t="s">
        <v>22</v>
      </c>
      <c r="AD265" t="s">
        <v>340</v>
      </c>
      <c r="AE265">
        <v>6.789824541748703E-3</v>
      </c>
      <c r="AG265" t="s">
        <v>97</v>
      </c>
      <c r="AH265" t="s">
        <v>340</v>
      </c>
      <c r="AI265">
        <v>7.9787882191757031E-2</v>
      </c>
    </row>
    <row r="266" spans="5:35" x14ac:dyDescent="0.45">
      <c r="E266" t="s">
        <v>550</v>
      </c>
      <c r="G266" t="s">
        <v>802</v>
      </c>
      <c r="I266" t="s">
        <v>252</v>
      </c>
      <c r="J266" t="s">
        <v>341</v>
      </c>
      <c r="K266">
        <v>8.226635699257006E-3</v>
      </c>
      <c r="L266" t="s">
        <v>254</v>
      </c>
      <c r="N266" t="s">
        <v>422</v>
      </c>
      <c r="O266" t="s">
        <v>341</v>
      </c>
      <c r="P266">
        <v>1.2664631011675686E-2</v>
      </c>
      <c r="Q266" t="s">
        <v>254</v>
      </c>
      <c r="S266" t="s">
        <v>423</v>
      </c>
      <c r="T266" t="s">
        <v>341</v>
      </c>
      <c r="U266">
        <v>1.3139796095706776E-2</v>
      </c>
      <c r="V266" t="s">
        <v>254</v>
      </c>
      <c r="X266">
        <v>1.9863013698630139E-2</v>
      </c>
      <c r="Y266">
        <v>1.7495794280221105E-2</v>
      </c>
      <c r="Z266" t="s">
        <v>341</v>
      </c>
      <c r="AA266" t="s">
        <v>25</v>
      </c>
      <c r="AC266" t="s">
        <v>22</v>
      </c>
      <c r="AD266" t="s">
        <v>341</v>
      </c>
      <c r="AE266">
        <v>1.8128415188947165E-2</v>
      </c>
      <c r="AG266" t="s">
        <v>97</v>
      </c>
      <c r="AH266" t="s">
        <v>341</v>
      </c>
      <c r="AI266">
        <v>0.17368929635668828</v>
      </c>
    </row>
    <row r="267" spans="5:35" x14ac:dyDescent="0.45">
      <c r="E267" t="s">
        <v>551</v>
      </c>
      <c r="G267" t="s">
        <v>802</v>
      </c>
      <c r="I267" t="s">
        <v>252</v>
      </c>
      <c r="J267" t="s">
        <v>1119</v>
      </c>
      <c r="K267">
        <v>0</v>
      </c>
      <c r="L267" t="s">
        <v>254</v>
      </c>
      <c r="N267" t="s">
        <v>422</v>
      </c>
      <c r="O267" t="s">
        <v>1119</v>
      </c>
      <c r="P267">
        <v>5.4770152836420053E-5</v>
      </c>
      <c r="Q267" t="s">
        <v>254</v>
      </c>
      <c r="S267" t="s">
        <v>423</v>
      </c>
      <c r="T267" t="s">
        <v>1119</v>
      </c>
      <c r="U267">
        <v>2.3630048100569638E-5</v>
      </c>
      <c r="V267" t="s">
        <v>254</v>
      </c>
      <c r="X267">
        <v>1.1415525114155251E-4</v>
      </c>
      <c r="Y267">
        <v>2.1546544680075254E-5</v>
      </c>
      <c r="Z267" t="s">
        <v>1119</v>
      </c>
      <c r="AA267" t="s">
        <v>25</v>
      </c>
      <c r="AC267" t="s">
        <v>22</v>
      </c>
      <c r="AD267" t="s">
        <v>1119</v>
      </c>
      <c r="AE267">
        <v>9.0771051131926549E-5</v>
      </c>
      <c r="AG267" t="s">
        <v>97</v>
      </c>
      <c r="AH267" t="s">
        <v>1119</v>
      </c>
      <c r="AI267">
        <v>0</v>
      </c>
    </row>
    <row r="268" spans="5:35" x14ac:dyDescent="0.45">
      <c r="E268" t="s">
        <v>552</v>
      </c>
      <c r="G268" t="s">
        <v>802</v>
      </c>
      <c r="I268" t="s">
        <v>252</v>
      </c>
      <c r="J268" t="s">
        <v>1120</v>
      </c>
      <c r="K268">
        <v>0</v>
      </c>
      <c r="L268" t="s">
        <v>254</v>
      </c>
      <c r="N268" t="s">
        <v>422</v>
      </c>
      <c r="O268" t="s">
        <v>1120</v>
      </c>
      <c r="P268">
        <v>6.967629986282713E-5</v>
      </c>
      <c r="Q268" t="s">
        <v>254</v>
      </c>
      <c r="S268" t="s">
        <v>423</v>
      </c>
      <c r="T268" t="s">
        <v>1120</v>
      </c>
      <c r="U268">
        <v>2.7818468318092961E-5</v>
      </c>
      <c r="V268" t="s">
        <v>254</v>
      </c>
      <c r="X268">
        <v>1.1415525114155251E-4</v>
      </c>
      <c r="Y268">
        <v>1.4916838624667481E-5</v>
      </c>
      <c r="Z268" t="s">
        <v>1120</v>
      </c>
      <c r="AA268" t="s">
        <v>25</v>
      </c>
      <c r="AC268" t="s">
        <v>22</v>
      </c>
      <c r="AD268" t="s">
        <v>1120</v>
      </c>
      <c r="AE268">
        <v>8.4818100218130086E-5</v>
      </c>
      <c r="AG268" t="s">
        <v>97</v>
      </c>
      <c r="AH268" t="s">
        <v>1120</v>
      </c>
      <c r="AI268">
        <v>0</v>
      </c>
    </row>
    <row r="269" spans="5:35" x14ac:dyDescent="0.45">
      <c r="E269" t="s">
        <v>553</v>
      </c>
      <c r="G269" t="s">
        <v>802</v>
      </c>
      <c r="I269" t="s">
        <v>252</v>
      </c>
      <c r="J269" t="s">
        <v>1121</v>
      </c>
      <c r="K269">
        <v>0</v>
      </c>
      <c r="L269" t="s">
        <v>254</v>
      </c>
      <c r="N269" t="s">
        <v>422</v>
      </c>
      <c r="O269" t="s">
        <v>1121</v>
      </c>
      <c r="P269">
        <v>8.2367524350068823E-5</v>
      </c>
      <c r="Q269" t="s">
        <v>254</v>
      </c>
      <c r="S269" t="s">
        <v>423</v>
      </c>
      <c r="T269" t="s">
        <v>1121</v>
      </c>
      <c r="U269">
        <v>2.9738819183755693E-5</v>
      </c>
      <c r="V269" t="s">
        <v>254</v>
      </c>
      <c r="X269">
        <v>1.1415525114155251E-4</v>
      </c>
      <c r="Y269">
        <v>1.6574265138519424E-5</v>
      </c>
      <c r="Z269" t="s">
        <v>1121</v>
      </c>
      <c r="AA269" t="s">
        <v>25</v>
      </c>
      <c r="AC269" t="s">
        <v>22</v>
      </c>
      <c r="AD269" t="s">
        <v>1121</v>
      </c>
      <c r="AE269">
        <v>8.3360547803669629E-5</v>
      </c>
      <c r="AG269" t="s">
        <v>97</v>
      </c>
      <c r="AH269" t="s">
        <v>1121</v>
      </c>
      <c r="AI269">
        <v>0</v>
      </c>
    </row>
    <row r="270" spans="5:35" x14ac:dyDescent="0.45">
      <c r="E270" t="s">
        <v>554</v>
      </c>
      <c r="G270" t="s">
        <v>802</v>
      </c>
      <c r="I270" t="s">
        <v>252</v>
      </c>
      <c r="J270" t="s">
        <v>1122</v>
      </c>
      <c r="K270">
        <v>0</v>
      </c>
      <c r="L270" t="s">
        <v>254</v>
      </c>
      <c r="N270" t="s">
        <v>422</v>
      </c>
      <c r="O270" t="s">
        <v>1122</v>
      </c>
      <c r="P270">
        <v>9.354771915514348E-5</v>
      </c>
      <c r="Q270" t="s">
        <v>254</v>
      </c>
      <c r="S270" t="s">
        <v>423</v>
      </c>
      <c r="T270" t="s">
        <v>1122</v>
      </c>
      <c r="U270">
        <v>3.2682037939476962E-5</v>
      </c>
      <c r="V270" t="s">
        <v>254</v>
      </c>
      <c r="X270">
        <v>1.1415525114155251E-4</v>
      </c>
      <c r="Y270">
        <v>1.4585353321897093E-5</v>
      </c>
      <c r="Z270" t="s">
        <v>1122</v>
      </c>
      <c r="AA270" t="s">
        <v>25</v>
      </c>
      <c r="AC270" t="s">
        <v>22</v>
      </c>
      <c r="AD270" t="s">
        <v>1122</v>
      </c>
      <c r="AE270">
        <v>8.0951750655561261E-5</v>
      </c>
      <c r="AG270" t="s">
        <v>97</v>
      </c>
      <c r="AH270" t="s">
        <v>1122</v>
      </c>
      <c r="AI270">
        <v>0</v>
      </c>
    </row>
    <row r="271" spans="5:35" x14ac:dyDescent="0.45">
      <c r="E271" t="s">
        <v>555</v>
      </c>
      <c r="G271" t="s">
        <v>802</v>
      </c>
      <c r="I271" t="s">
        <v>252</v>
      </c>
      <c r="J271" t="s">
        <v>1123</v>
      </c>
      <c r="K271">
        <v>0</v>
      </c>
      <c r="L271" t="s">
        <v>254</v>
      </c>
      <c r="N271" t="s">
        <v>422</v>
      </c>
      <c r="O271" t="s">
        <v>1123</v>
      </c>
      <c r="P271">
        <v>1.034829239996E-4</v>
      </c>
      <c r="Q271" t="s">
        <v>254</v>
      </c>
      <c r="S271" t="s">
        <v>423</v>
      </c>
      <c r="T271" t="s">
        <v>1123</v>
      </c>
      <c r="U271">
        <v>3.7471015718411552E-5</v>
      </c>
      <c r="V271" t="s">
        <v>254</v>
      </c>
      <c r="X271">
        <v>1.1415525114155251E-4</v>
      </c>
      <c r="Y271">
        <v>2.1215059377304864E-5</v>
      </c>
      <c r="Z271" t="s">
        <v>1123</v>
      </c>
      <c r="AA271" t="s">
        <v>25</v>
      </c>
      <c r="AC271" t="s">
        <v>22</v>
      </c>
      <c r="AD271" t="s">
        <v>1123</v>
      </c>
      <c r="AE271">
        <v>8.6528806472996859E-5</v>
      </c>
      <c r="AG271" t="s">
        <v>97</v>
      </c>
      <c r="AH271" t="s">
        <v>1123</v>
      </c>
      <c r="AI271">
        <v>0</v>
      </c>
    </row>
    <row r="272" spans="5:35" x14ac:dyDescent="0.45">
      <c r="E272" t="s">
        <v>556</v>
      </c>
      <c r="G272" t="s">
        <v>802</v>
      </c>
      <c r="I272" t="s">
        <v>252</v>
      </c>
      <c r="J272" t="s">
        <v>1124</v>
      </c>
      <c r="K272">
        <v>4.3219911931864557E-6</v>
      </c>
      <c r="L272" t="s">
        <v>254</v>
      </c>
      <c r="N272" t="s">
        <v>422</v>
      </c>
      <c r="O272" t="s">
        <v>1124</v>
      </c>
      <c r="P272">
        <v>1.106815551654E-4</v>
      </c>
      <c r="Q272" t="s">
        <v>254</v>
      </c>
      <c r="S272" t="s">
        <v>423</v>
      </c>
      <c r="T272" t="s">
        <v>1124</v>
      </c>
      <c r="U272">
        <v>4.3114570738390896E-5</v>
      </c>
      <c r="V272" t="s">
        <v>254</v>
      </c>
      <c r="X272">
        <v>1.1415525114155251E-4</v>
      </c>
      <c r="Y272">
        <v>5.7678442682047593E-5</v>
      </c>
      <c r="Z272" t="s">
        <v>1124</v>
      </c>
      <c r="AA272" t="s">
        <v>25</v>
      </c>
      <c r="AC272" t="s">
        <v>22</v>
      </c>
      <c r="AD272" t="s">
        <v>1124</v>
      </c>
      <c r="AE272">
        <v>1.0225502989217561E-4</v>
      </c>
      <c r="AG272" t="s">
        <v>97</v>
      </c>
      <c r="AH272" t="s">
        <v>1124</v>
      </c>
      <c r="AI272">
        <v>0</v>
      </c>
    </row>
    <row r="273" spans="5:35" x14ac:dyDescent="0.45">
      <c r="E273" t="s">
        <v>557</v>
      </c>
      <c r="G273" t="s">
        <v>802</v>
      </c>
      <c r="I273" t="s">
        <v>252</v>
      </c>
      <c r="J273" t="s">
        <v>1125</v>
      </c>
      <c r="K273">
        <v>1.8653835092369999E-4</v>
      </c>
      <c r="L273" t="s">
        <v>254</v>
      </c>
      <c r="N273" t="s">
        <v>422</v>
      </c>
      <c r="O273" t="s">
        <v>1125</v>
      </c>
      <c r="P273">
        <v>1.0866123135819999E-4</v>
      </c>
      <c r="Q273" t="s">
        <v>254</v>
      </c>
      <c r="S273" t="s">
        <v>423</v>
      </c>
      <c r="T273" t="s">
        <v>1125</v>
      </c>
      <c r="U273">
        <v>4.8221200445737135E-5</v>
      </c>
      <c r="V273" t="s">
        <v>254</v>
      </c>
      <c r="X273">
        <v>1.1415525114155251E-4</v>
      </c>
      <c r="Y273">
        <v>1.6905750441289813E-4</v>
      </c>
      <c r="Z273" t="s">
        <v>1125</v>
      </c>
      <c r="AA273" t="s">
        <v>25</v>
      </c>
      <c r="AC273" t="s">
        <v>22</v>
      </c>
      <c r="AD273" t="s">
        <v>1125</v>
      </c>
      <c r="AE273">
        <v>1.1599693634008888E-4</v>
      </c>
      <c r="AG273" t="s">
        <v>97</v>
      </c>
      <c r="AH273" t="s">
        <v>1125</v>
      </c>
      <c r="AI273">
        <v>0</v>
      </c>
    </row>
    <row r="274" spans="5:35" x14ac:dyDescent="0.45">
      <c r="E274" t="s">
        <v>558</v>
      </c>
      <c r="G274" t="s">
        <v>802</v>
      </c>
      <c r="I274" t="s">
        <v>252</v>
      </c>
      <c r="J274" t="s">
        <v>1126</v>
      </c>
      <c r="K274">
        <v>2.9480363088769999E-4</v>
      </c>
      <c r="L274" t="s">
        <v>254</v>
      </c>
      <c r="N274" t="s">
        <v>422</v>
      </c>
      <c r="O274" t="s">
        <v>1126</v>
      </c>
      <c r="P274">
        <v>1.0400635171619999E-4</v>
      </c>
      <c r="Q274" t="s">
        <v>254</v>
      </c>
      <c r="S274" t="s">
        <v>423</v>
      </c>
      <c r="T274" t="s">
        <v>1126</v>
      </c>
      <c r="U274">
        <v>5.104292029687918E-5</v>
      </c>
      <c r="V274" t="s">
        <v>254</v>
      </c>
      <c r="X274">
        <v>1.1415525114155251E-4</v>
      </c>
      <c r="Y274">
        <v>1.9060404909297337E-4</v>
      </c>
      <c r="Z274" t="s">
        <v>1126</v>
      </c>
      <c r="AA274" t="s">
        <v>25</v>
      </c>
      <c r="AC274" t="s">
        <v>22</v>
      </c>
      <c r="AD274" t="s">
        <v>1126</v>
      </c>
      <c r="AE274">
        <v>1.2485476364481007E-4</v>
      </c>
      <c r="AG274" t="s">
        <v>97</v>
      </c>
      <c r="AH274" t="s">
        <v>1126</v>
      </c>
      <c r="AI274">
        <v>0</v>
      </c>
    </row>
    <row r="275" spans="5:35" x14ac:dyDescent="0.45">
      <c r="E275" t="s">
        <v>903</v>
      </c>
      <c r="G275" t="s">
        <v>803</v>
      </c>
      <c r="I275" t="s">
        <v>252</v>
      </c>
      <c r="J275" t="s">
        <v>1127</v>
      </c>
      <c r="K275">
        <v>3.6565329229359999E-4</v>
      </c>
      <c r="L275" t="s">
        <v>254</v>
      </c>
      <c r="N275" t="s">
        <v>422</v>
      </c>
      <c r="O275" t="s">
        <v>1127</v>
      </c>
      <c r="P275">
        <v>8.1494806357995447E-5</v>
      </c>
      <c r="Q275" t="s">
        <v>254</v>
      </c>
      <c r="S275" t="s">
        <v>423</v>
      </c>
      <c r="T275" t="s">
        <v>1127</v>
      </c>
      <c r="U275">
        <v>4.9557558334234857E-5</v>
      </c>
      <c r="V275" t="s">
        <v>254</v>
      </c>
      <c r="X275">
        <v>1.1415525114155251E-4</v>
      </c>
      <c r="Y275">
        <v>1.4585353321897094E-4</v>
      </c>
      <c r="Z275" t="s">
        <v>1127</v>
      </c>
      <c r="AA275" t="s">
        <v>25</v>
      </c>
      <c r="AC275" t="s">
        <v>22</v>
      </c>
      <c r="AD275" t="s">
        <v>1127</v>
      </c>
      <c r="AE275">
        <v>1.287901551638533E-4</v>
      </c>
      <c r="AG275" t="s">
        <v>97</v>
      </c>
      <c r="AH275" t="s">
        <v>1127</v>
      </c>
      <c r="AI275">
        <v>0</v>
      </c>
    </row>
    <row r="276" spans="5:35" x14ac:dyDescent="0.45">
      <c r="E276" t="s">
        <v>904</v>
      </c>
      <c r="G276" t="s">
        <v>803</v>
      </c>
      <c r="I276" t="s">
        <v>252</v>
      </c>
      <c r="J276" t="s">
        <v>1128</v>
      </c>
      <c r="K276">
        <v>4.0903283033209999E-4</v>
      </c>
      <c r="L276" t="s">
        <v>254</v>
      </c>
      <c r="N276" t="s">
        <v>422</v>
      </c>
      <c r="O276" t="s">
        <v>1128</v>
      </c>
      <c r="P276">
        <v>7.9490185003327476E-5</v>
      </c>
      <c r="Q276" t="s">
        <v>254</v>
      </c>
      <c r="S276" t="s">
        <v>423</v>
      </c>
      <c r="T276" t="s">
        <v>1128</v>
      </c>
      <c r="U276">
        <v>4.6855102315479058E-5</v>
      </c>
      <c r="V276" t="s">
        <v>254</v>
      </c>
      <c r="X276">
        <v>1.1415525114155251E-4</v>
      </c>
      <c r="Y276">
        <v>1.4452759200788939E-4</v>
      </c>
      <c r="Z276" t="s">
        <v>1128</v>
      </c>
      <c r="AA276" t="s">
        <v>25</v>
      </c>
      <c r="AC276" t="s">
        <v>22</v>
      </c>
      <c r="AD276" t="s">
        <v>1128</v>
      </c>
      <c r="AE276">
        <v>1.3233942314853949E-4</v>
      </c>
      <c r="AG276" t="s">
        <v>97</v>
      </c>
      <c r="AH276" t="s">
        <v>1128</v>
      </c>
      <c r="AI276">
        <v>0</v>
      </c>
    </row>
    <row r="277" spans="5:35" x14ac:dyDescent="0.45">
      <c r="E277" t="s">
        <v>905</v>
      </c>
      <c r="G277" t="s">
        <v>803</v>
      </c>
      <c r="I277" t="s">
        <v>252</v>
      </c>
      <c r="J277" t="s">
        <v>1129</v>
      </c>
      <c r="K277">
        <v>4.3214955725010001E-4</v>
      </c>
      <c r="L277" t="s">
        <v>254</v>
      </c>
      <c r="N277" t="s">
        <v>422</v>
      </c>
      <c r="O277" t="s">
        <v>1129</v>
      </c>
      <c r="P277">
        <v>1.0151631624240001E-4</v>
      </c>
      <c r="Q277" t="s">
        <v>254</v>
      </c>
      <c r="S277" t="s">
        <v>423</v>
      </c>
      <c r="T277" t="s">
        <v>1129</v>
      </c>
      <c r="U277">
        <v>4.0872958605331606E-5</v>
      </c>
      <c r="V277" t="s">
        <v>254</v>
      </c>
      <c r="X277">
        <v>1.1415525114155251E-4</v>
      </c>
      <c r="Y277">
        <v>1.408812536774151E-4</v>
      </c>
      <c r="Z277" t="s">
        <v>1129</v>
      </c>
      <c r="AA277" t="s">
        <v>25</v>
      </c>
      <c r="AC277" t="s">
        <v>22</v>
      </c>
      <c r="AD277" t="s">
        <v>1129</v>
      </c>
      <c r="AE277">
        <v>1.3338272382415332E-4</v>
      </c>
      <c r="AG277" t="s">
        <v>97</v>
      </c>
      <c r="AH277" t="s">
        <v>1129</v>
      </c>
      <c r="AI277">
        <v>0</v>
      </c>
    </row>
    <row r="278" spans="5:35" x14ac:dyDescent="0.45">
      <c r="E278" t="s">
        <v>906</v>
      </c>
      <c r="G278" t="s">
        <v>803</v>
      </c>
      <c r="I278" t="s">
        <v>252</v>
      </c>
      <c r="J278" t="s">
        <v>1130</v>
      </c>
      <c r="K278">
        <v>4.3518242043930002E-4</v>
      </c>
      <c r="L278" t="s">
        <v>254</v>
      </c>
      <c r="N278" t="s">
        <v>422</v>
      </c>
      <c r="O278" t="s">
        <v>1130</v>
      </c>
      <c r="P278">
        <v>1.085183411613E-4</v>
      </c>
      <c r="Q278" t="s">
        <v>254</v>
      </c>
      <c r="S278" t="s">
        <v>423</v>
      </c>
      <c r="T278" t="s">
        <v>1130</v>
      </c>
      <c r="U278">
        <v>4.2327218367064363E-5</v>
      </c>
      <c r="V278" t="s">
        <v>254</v>
      </c>
      <c r="X278">
        <v>1.1415525114155251E-4</v>
      </c>
      <c r="Y278">
        <v>1.4054976837464471E-4</v>
      </c>
      <c r="Z278" t="s">
        <v>1130</v>
      </c>
      <c r="AA278" t="s">
        <v>25</v>
      </c>
      <c r="AC278" t="s">
        <v>22</v>
      </c>
      <c r="AD278" t="s">
        <v>1130</v>
      </c>
      <c r="AE278">
        <v>1.3342875179513629E-4</v>
      </c>
      <c r="AG278" t="s">
        <v>97</v>
      </c>
      <c r="AH278" t="s">
        <v>1130</v>
      </c>
      <c r="AI278">
        <v>0</v>
      </c>
    </row>
    <row r="279" spans="5:35" x14ac:dyDescent="0.45">
      <c r="E279" t="s">
        <v>907</v>
      </c>
      <c r="G279" t="s">
        <v>803</v>
      </c>
      <c r="I279" t="s">
        <v>252</v>
      </c>
      <c r="J279" t="s">
        <v>1131</v>
      </c>
      <c r="K279">
        <v>4.2191744034979998E-4</v>
      </c>
      <c r="L279" t="s">
        <v>254</v>
      </c>
      <c r="N279" t="s">
        <v>422</v>
      </c>
      <c r="O279" t="s">
        <v>1131</v>
      </c>
      <c r="P279">
        <v>1.1883842040219999E-4</v>
      </c>
      <c r="Q279" t="s">
        <v>254</v>
      </c>
      <c r="S279" t="s">
        <v>423</v>
      </c>
      <c r="T279" t="s">
        <v>1131</v>
      </c>
      <c r="U279">
        <v>4.9475005871288593E-5</v>
      </c>
      <c r="V279" t="s">
        <v>254</v>
      </c>
      <c r="X279">
        <v>1.1415525114155251E-4</v>
      </c>
      <c r="Y279">
        <v>1.4253868019126702E-4</v>
      </c>
      <c r="Z279" t="s">
        <v>1131</v>
      </c>
      <c r="AA279" t="s">
        <v>25</v>
      </c>
      <c r="AC279" t="s">
        <v>22</v>
      </c>
      <c r="AD279" t="s">
        <v>1131</v>
      </c>
      <c r="AE279">
        <v>1.3489141842859485E-4</v>
      </c>
      <c r="AG279" t="s">
        <v>97</v>
      </c>
      <c r="AH279" t="s">
        <v>1131</v>
      </c>
      <c r="AI279">
        <v>0</v>
      </c>
    </row>
    <row r="280" spans="5:35" x14ac:dyDescent="0.45">
      <c r="E280" t="s">
        <v>908</v>
      </c>
      <c r="G280" t="s">
        <v>803</v>
      </c>
      <c r="I280" t="s">
        <v>252</v>
      </c>
      <c r="J280" t="s">
        <v>1132</v>
      </c>
      <c r="K280">
        <v>4.2190227113449998E-4</v>
      </c>
      <c r="L280" t="s">
        <v>254</v>
      </c>
      <c r="N280" t="s">
        <v>422</v>
      </c>
      <c r="O280" t="s">
        <v>1132</v>
      </c>
      <c r="P280">
        <v>1.2879223774670001E-4</v>
      </c>
      <c r="Q280" t="s">
        <v>254</v>
      </c>
      <c r="S280" t="s">
        <v>423</v>
      </c>
      <c r="T280" t="s">
        <v>1132</v>
      </c>
      <c r="U280">
        <v>5.8306999740428863E-5</v>
      </c>
      <c r="V280" t="s">
        <v>254</v>
      </c>
      <c r="X280">
        <v>1.1415525114155251E-4</v>
      </c>
      <c r="Y280">
        <v>1.4883690094390442E-4</v>
      </c>
      <c r="Z280" t="s">
        <v>1132</v>
      </c>
      <c r="AA280" t="s">
        <v>25</v>
      </c>
      <c r="AC280" t="s">
        <v>22</v>
      </c>
      <c r="AD280" t="s">
        <v>1132</v>
      </c>
      <c r="AE280">
        <v>1.3374071915402082E-4</v>
      </c>
      <c r="AG280" t="s">
        <v>97</v>
      </c>
      <c r="AH280" t="s">
        <v>1132</v>
      </c>
      <c r="AI280">
        <v>0</v>
      </c>
    </row>
    <row r="281" spans="5:35" x14ac:dyDescent="0.45">
      <c r="E281" t="s">
        <v>909</v>
      </c>
      <c r="G281" t="s">
        <v>803</v>
      </c>
      <c r="I281" t="s">
        <v>252</v>
      </c>
      <c r="J281" t="s">
        <v>1133</v>
      </c>
      <c r="K281">
        <v>4.2975962367180001E-4</v>
      </c>
      <c r="L281" t="s">
        <v>254</v>
      </c>
      <c r="N281" t="s">
        <v>422</v>
      </c>
      <c r="O281" t="s">
        <v>1133</v>
      </c>
      <c r="P281">
        <v>1.3735196287710001E-4</v>
      </c>
      <c r="Q281" t="s">
        <v>254</v>
      </c>
      <c r="S281" t="s">
        <v>423</v>
      </c>
      <c r="T281" t="s">
        <v>1133</v>
      </c>
      <c r="U281">
        <v>7.490094887115807E-5</v>
      </c>
      <c r="V281" t="s">
        <v>254</v>
      </c>
      <c r="X281">
        <v>1.1415525114155251E-4</v>
      </c>
      <c r="Y281">
        <v>1.5049432745775637E-4</v>
      </c>
      <c r="Z281" t="s">
        <v>1133</v>
      </c>
      <c r="AA281" t="s">
        <v>25</v>
      </c>
      <c r="AC281" t="s">
        <v>22</v>
      </c>
      <c r="AD281" t="s">
        <v>1133</v>
      </c>
      <c r="AE281">
        <v>1.3152114810884241E-4</v>
      </c>
      <c r="AG281" t="s">
        <v>97</v>
      </c>
      <c r="AH281" t="s">
        <v>1133</v>
      </c>
      <c r="AI281">
        <v>0</v>
      </c>
    </row>
    <row r="282" spans="5:35" x14ac:dyDescent="0.45">
      <c r="E282" t="s">
        <v>910</v>
      </c>
      <c r="G282" t="s">
        <v>803</v>
      </c>
      <c r="I282" t="s">
        <v>252</v>
      </c>
      <c r="J282" t="s">
        <v>1134</v>
      </c>
      <c r="K282">
        <v>4.2101342658189999E-4</v>
      </c>
      <c r="L282" t="s">
        <v>254</v>
      </c>
      <c r="N282" t="s">
        <v>422</v>
      </c>
      <c r="O282" t="s">
        <v>1134</v>
      </c>
      <c r="P282">
        <v>1.4138123456070001E-4</v>
      </c>
      <c r="Q282" t="s">
        <v>254</v>
      </c>
      <c r="S282" t="s">
        <v>423</v>
      </c>
      <c r="T282" t="s">
        <v>1134</v>
      </c>
      <c r="U282">
        <v>9.7534142493849367E-5</v>
      </c>
      <c r="V282" t="s">
        <v>254</v>
      </c>
      <c r="X282">
        <v>1.1415525114155251E-4</v>
      </c>
      <c r="Y282">
        <v>1.7237235744060203E-4</v>
      </c>
      <c r="Z282" t="s">
        <v>1134</v>
      </c>
      <c r="AA282" t="s">
        <v>25</v>
      </c>
      <c r="AC282" t="s">
        <v>22</v>
      </c>
      <c r="AD282" t="s">
        <v>1134</v>
      </c>
      <c r="AE282">
        <v>1.3023747914031757E-4</v>
      </c>
      <c r="AG282" t="s">
        <v>97</v>
      </c>
      <c r="AH282" t="s">
        <v>1134</v>
      </c>
      <c r="AI282">
        <v>0</v>
      </c>
    </row>
    <row r="283" spans="5:35" x14ac:dyDescent="0.45">
      <c r="E283" t="s">
        <v>911</v>
      </c>
      <c r="G283" t="s">
        <v>803</v>
      </c>
      <c r="I283" t="s">
        <v>252</v>
      </c>
      <c r="J283" t="s">
        <v>1135</v>
      </c>
      <c r="K283">
        <v>3.8878769282610001E-4</v>
      </c>
      <c r="L283" t="s">
        <v>254</v>
      </c>
      <c r="N283" t="s">
        <v>422</v>
      </c>
      <c r="O283" t="s">
        <v>1135</v>
      </c>
      <c r="P283">
        <v>1.377695519393E-4</v>
      </c>
      <c r="Q283" t="s">
        <v>254</v>
      </c>
      <c r="S283" t="s">
        <v>423</v>
      </c>
      <c r="T283" t="s">
        <v>1135</v>
      </c>
      <c r="U283">
        <v>1.1132253070729999E-4</v>
      </c>
      <c r="V283" t="s">
        <v>254</v>
      </c>
      <c r="X283">
        <v>1.1415525114155251E-4</v>
      </c>
      <c r="Y283">
        <v>2.2209515285616027E-4</v>
      </c>
      <c r="Z283" t="s">
        <v>1135</v>
      </c>
      <c r="AA283" t="s">
        <v>25</v>
      </c>
      <c r="AC283" t="s">
        <v>22</v>
      </c>
      <c r="AD283" t="s">
        <v>1135</v>
      </c>
      <c r="AE283">
        <v>1.295547309040703E-4</v>
      </c>
      <c r="AG283" t="s">
        <v>97</v>
      </c>
      <c r="AH283" t="s">
        <v>1135</v>
      </c>
      <c r="AI283">
        <v>0</v>
      </c>
    </row>
    <row r="284" spans="5:35" x14ac:dyDescent="0.45">
      <c r="E284" t="s">
        <v>912</v>
      </c>
      <c r="G284" t="s">
        <v>803</v>
      </c>
      <c r="I284" t="s">
        <v>252</v>
      </c>
      <c r="J284" t="s">
        <v>1136</v>
      </c>
      <c r="K284">
        <v>3.4470085622209998E-4</v>
      </c>
      <c r="L284" t="s">
        <v>254</v>
      </c>
      <c r="N284" t="s">
        <v>422</v>
      </c>
      <c r="O284" t="s">
        <v>1136</v>
      </c>
      <c r="P284">
        <v>1.2772748562129999E-4</v>
      </c>
      <c r="Q284" t="s">
        <v>254</v>
      </c>
      <c r="S284" t="s">
        <v>423</v>
      </c>
      <c r="T284" t="s">
        <v>1136</v>
      </c>
      <c r="U284">
        <v>1.2293728575410001E-4</v>
      </c>
      <c r="V284" t="s">
        <v>254</v>
      </c>
      <c r="X284">
        <v>1.1415525114155251E-4</v>
      </c>
      <c r="Y284">
        <v>2.2209515285616027E-4</v>
      </c>
      <c r="Z284" t="s">
        <v>1136</v>
      </c>
      <c r="AA284" t="s">
        <v>25</v>
      </c>
      <c r="AC284" t="s">
        <v>22</v>
      </c>
      <c r="AD284" t="s">
        <v>1136</v>
      </c>
      <c r="AE284">
        <v>1.295547309040703E-4</v>
      </c>
      <c r="AG284" t="s">
        <v>97</v>
      </c>
      <c r="AH284" t="s">
        <v>1136</v>
      </c>
      <c r="AI284">
        <v>0</v>
      </c>
    </row>
    <row r="285" spans="5:35" x14ac:dyDescent="0.45">
      <c r="E285" t="s">
        <v>913</v>
      </c>
      <c r="G285" t="s">
        <v>803</v>
      </c>
      <c r="I285" t="s">
        <v>252</v>
      </c>
      <c r="J285" t="s">
        <v>1137</v>
      </c>
      <c r="K285">
        <v>2.7143851944840002E-4</v>
      </c>
      <c r="L285" t="s">
        <v>254</v>
      </c>
      <c r="N285" t="s">
        <v>422</v>
      </c>
      <c r="O285" t="s">
        <v>1137</v>
      </c>
      <c r="P285">
        <v>1.209781561438E-4</v>
      </c>
      <c r="Q285" t="s">
        <v>254</v>
      </c>
      <c r="S285" t="s">
        <v>423</v>
      </c>
      <c r="T285" t="s">
        <v>1137</v>
      </c>
      <c r="U285">
        <v>1.3746820855580001E-4</v>
      </c>
      <c r="V285" t="s">
        <v>254</v>
      </c>
      <c r="X285">
        <v>1.1415525114155251E-4</v>
      </c>
      <c r="Y285">
        <v>1.7237235744060203E-4</v>
      </c>
      <c r="Z285" t="s">
        <v>1137</v>
      </c>
      <c r="AA285" t="s">
        <v>25</v>
      </c>
      <c r="AC285" t="s">
        <v>22</v>
      </c>
      <c r="AD285" t="s">
        <v>1137</v>
      </c>
      <c r="AE285">
        <v>1.288182833683429E-4</v>
      </c>
      <c r="AG285" t="s">
        <v>97</v>
      </c>
      <c r="AH285" t="s">
        <v>1137</v>
      </c>
      <c r="AI285">
        <v>0</v>
      </c>
    </row>
    <row r="286" spans="5:35" x14ac:dyDescent="0.45">
      <c r="E286" t="s">
        <v>914</v>
      </c>
      <c r="G286" t="s">
        <v>803</v>
      </c>
      <c r="I286" t="s">
        <v>252</v>
      </c>
      <c r="J286" t="s">
        <v>1138</v>
      </c>
      <c r="K286">
        <v>1.5707885643680001E-4</v>
      </c>
      <c r="L286" t="s">
        <v>254</v>
      </c>
      <c r="N286" t="s">
        <v>422</v>
      </c>
      <c r="O286" t="s">
        <v>1138</v>
      </c>
      <c r="P286">
        <v>1.188387872004E-4</v>
      </c>
      <c r="Q286" t="s">
        <v>254</v>
      </c>
      <c r="S286" t="s">
        <v>423</v>
      </c>
      <c r="T286" t="s">
        <v>1138</v>
      </c>
      <c r="U286">
        <v>1.4778488021910001E-4</v>
      </c>
      <c r="V286" t="s">
        <v>254</v>
      </c>
      <c r="X286">
        <v>1.1415525114155251E-4</v>
      </c>
      <c r="Y286">
        <v>1.5579809230208258E-4</v>
      </c>
      <c r="Z286" t="s">
        <v>1138</v>
      </c>
      <c r="AA286" t="s">
        <v>25</v>
      </c>
      <c r="AC286" t="s">
        <v>22</v>
      </c>
      <c r="AD286" t="s">
        <v>1138</v>
      </c>
      <c r="AE286">
        <v>1.265501272426825E-4</v>
      </c>
      <c r="AG286" t="s">
        <v>97</v>
      </c>
      <c r="AH286" t="s">
        <v>1138</v>
      </c>
      <c r="AI286">
        <v>0</v>
      </c>
    </row>
    <row r="287" spans="5:35" x14ac:dyDescent="0.45">
      <c r="E287" t="s">
        <v>915</v>
      </c>
      <c r="G287" t="s">
        <v>803</v>
      </c>
      <c r="I287" t="s">
        <v>252</v>
      </c>
      <c r="J287" t="s">
        <v>1139</v>
      </c>
      <c r="K287">
        <v>5.2492031099501024E-8</v>
      </c>
      <c r="L287" t="s">
        <v>254</v>
      </c>
      <c r="N287" t="s">
        <v>422</v>
      </c>
      <c r="O287" t="s">
        <v>1139</v>
      </c>
      <c r="P287">
        <v>1.144067628656E-4</v>
      </c>
      <c r="Q287" t="s">
        <v>254</v>
      </c>
      <c r="S287" t="s">
        <v>423</v>
      </c>
      <c r="T287" t="s">
        <v>1139</v>
      </c>
      <c r="U287">
        <v>1.503847985412E-4</v>
      </c>
      <c r="V287" t="s">
        <v>254</v>
      </c>
      <c r="X287">
        <v>1.1415525114155251E-4</v>
      </c>
      <c r="Y287">
        <v>1.093901499142282E-4</v>
      </c>
      <c r="Z287" t="s">
        <v>1139</v>
      </c>
      <c r="AA287" t="s">
        <v>25</v>
      </c>
      <c r="AC287" t="s">
        <v>22</v>
      </c>
      <c r="AD287" t="s">
        <v>1139</v>
      </c>
      <c r="AE287">
        <v>1.1899131156348046E-4</v>
      </c>
      <c r="AG287" t="s">
        <v>97</v>
      </c>
      <c r="AH287" t="s">
        <v>1139</v>
      </c>
      <c r="AI287">
        <v>0</v>
      </c>
    </row>
    <row r="288" spans="5:35" x14ac:dyDescent="0.45">
      <c r="E288" t="s">
        <v>916</v>
      </c>
      <c r="G288" t="s">
        <v>803</v>
      </c>
      <c r="I288" t="s">
        <v>252</v>
      </c>
      <c r="J288" t="s">
        <v>1140</v>
      </c>
      <c r="K288">
        <v>0</v>
      </c>
      <c r="L288" t="s">
        <v>254</v>
      </c>
      <c r="N288" t="s">
        <v>422</v>
      </c>
      <c r="O288" t="s">
        <v>1140</v>
      </c>
      <c r="P288">
        <v>1.058373842204E-4</v>
      </c>
      <c r="Q288" t="s">
        <v>254</v>
      </c>
      <c r="S288" t="s">
        <v>423</v>
      </c>
      <c r="T288" t="s">
        <v>1140</v>
      </c>
      <c r="U288">
        <v>1.445543881783E-4</v>
      </c>
      <c r="V288" t="s">
        <v>254</v>
      </c>
      <c r="X288">
        <v>1.1415525114155251E-4</v>
      </c>
      <c r="Y288">
        <v>7.9556472664893237E-5</v>
      </c>
      <c r="Z288" t="s">
        <v>1140</v>
      </c>
      <c r="AA288" t="s">
        <v>25</v>
      </c>
      <c r="AC288" t="s">
        <v>22</v>
      </c>
      <c r="AD288" t="s">
        <v>1140</v>
      </c>
      <c r="AE288">
        <v>1.1496897832146938E-4</v>
      </c>
      <c r="AG288" t="s">
        <v>97</v>
      </c>
      <c r="AH288" t="s">
        <v>1140</v>
      </c>
      <c r="AI288">
        <v>0</v>
      </c>
    </row>
    <row r="289" spans="5:35" x14ac:dyDescent="0.45">
      <c r="E289" t="s">
        <v>917</v>
      </c>
      <c r="G289" t="s">
        <v>803</v>
      </c>
      <c r="I289" t="s">
        <v>252</v>
      </c>
      <c r="J289" t="s">
        <v>1141</v>
      </c>
      <c r="K289">
        <v>0</v>
      </c>
      <c r="L289" t="s">
        <v>254</v>
      </c>
      <c r="N289" t="s">
        <v>422</v>
      </c>
      <c r="O289" t="s">
        <v>1141</v>
      </c>
      <c r="P289">
        <v>9.7451362080472524E-5</v>
      </c>
      <c r="Q289" t="s">
        <v>254</v>
      </c>
      <c r="S289" t="s">
        <v>423</v>
      </c>
      <c r="T289" t="s">
        <v>1141</v>
      </c>
      <c r="U289">
        <v>1.386001776758E-4</v>
      </c>
      <c r="V289" t="s">
        <v>254</v>
      </c>
      <c r="X289">
        <v>1.1415525114155251E-4</v>
      </c>
      <c r="Y289">
        <v>5.6352501470966035E-5</v>
      </c>
      <c r="Z289" t="s">
        <v>1141</v>
      </c>
      <c r="AA289" t="s">
        <v>25</v>
      </c>
      <c r="AC289" t="s">
        <v>22</v>
      </c>
      <c r="AD289" t="s">
        <v>1141</v>
      </c>
      <c r="AE289">
        <v>1.1301790377369161E-4</v>
      </c>
      <c r="AG289" t="s">
        <v>97</v>
      </c>
      <c r="AH289" t="s">
        <v>1141</v>
      </c>
      <c r="AI289">
        <v>0</v>
      </c>
    </row>
    <row r="290" spans="5:35" x14ac:dyDescent="0.45">
      <c r="E290" t="s">
        <v>918</v>
      </c>
      <c r="G290" t="s">
        <v>803</v>
      </c>
      <c r="I290" t="s">
        <v>252</v>
      </c>
      <c r="J290" t="s">
        <v>1142</v>
      </c>
      <c r="K290">
        <v>0</v>
      </c>
      <c r="L290" t="s">
        <v>254</v>
      </c>
      <c r="N290" t="s">
        <v>422</v>
      </c>
      <c r="O290" t="s">
        <v>1142</v>
      </c>
      <c r="P290">
        <v>8.6821212122032654E-5</v>
      </c>
      <c r="Q290" t="s">
        <v>254</v>
      </c>
      <c r="S290" t="s">
        <v>423</v>
      </c>
      <c r="T290" t="s">
        <v>1142</v>
      </c>
      <c r="U290">
        <v>1.2708437295439999E-4</v>
      </c>
      <c r="V290" t="s">
        <v>254</v>
      </c>
      <c r="X290">
        <v>1.1415525114155251E-4</v>
      </c>
      <c r="Y290">
        <v>2.9833677249334962E-5</v>
      </c>
      <c r="Z290" t="s">
        <v>1142</v>
      </c>
      <c r="AA290" t="s">
        <v>25</v>
      </c>
      <c r="AC290" t="s">
        <v>22</v>
      </c>
      <c r="AD290" t="s">
        <v>1142</v>
      </c>
      <c r="AE290">
        <v>1.0594238178981069E-4</v>
      </c>
      <c r="AG290" t="s">
        <v>97</v>
      </c>
      <c r="AH290" t="s">
        <v>1142</v>
      </c>
      <c r="AI290">
        <v>0</v>
      </c>
    </row>
    <row r="291" spans="5:35" x14ac:dyDescent="0.45">
      <c r="E291" t="s">
        <v>919</v>
      </c>
      <c r="G291" t="s">
        <v>803</v>
      </c>
      <c r="I291" t="s">
        <v>252</v>
      </c>
      <c r="J291" t="s">
        <v>1143</v>
      </c>
      <c r="K291">
        <v>0</v>
      </c>
      <c r="L291" t="s">
        <v>254</v>
      </c>
      <c r="N291" t="s">
        <v>422</v>
      </c>
      <c r="O291" t="s">
        <v>1143</v>
      </c>
      <c r="P291">
        <v>2.0515748853736219E-5</v>
      </c>
      <c r="Q291" t="s">
        <v>254</v>
      </c>
      <c r="S291" t="s">
        <v>423</v>
      </c>
      <c r="T291" t="s">
        <v>1143</v>
      </c>
      <c r="U291">
        <v>9.0390778326167358E-5</v>
      </c>
      <c r="V291" t="s">
        <v>254</v>
      </c>
      <c r="X291">
        <v>1.1415525114155251E-4</v>
      </c>
      <c r="Y291">
        <v>2.1546544680075254E-5</v>
      </c>
      <c r="Z291" t="s">
        <v>1143</v>
      </c>
      <c r="AA291" t="s">
        <v>25</v>
      </c>
      <c r="AC291" t="s">
        <v>22</v>
      </c>
      <c r="AD291" t="s">
        <v>1143</v>
      </c>
      <c r="AE291">
        <v>7.9680867234531715E-5</v>
      </c>
      <c r="AG291" t="s">
        <v>97</v>
      </c>
      <c r="AH291" t="s">
        <v>1143</v>
      </c>
      <c r="AI291">
        <v>0</v>
      </c>
    </row>
    <row r="292" spans="5:35" x14ac:dyDescent="0.45">
      <c r="E292" t="s">
        <v>920</v>
      </c>
      <c r="G292" t="s">
        <v>803</v>
      </c>
      <c r="I292" t="s">
        <v>252</v>
      </c>
      <c r="J292" t="s">
        <v>1144</v>
      </c>
      <c r="K292">
        <v>0</v>
      </c>
      <c r="L292" t="s">
        <v>254</v>
      </c>
      <c r="N292" t="s">
        <v>422</v>
      </c>
      <c r="O292" t="s">
        <v>1144</v>
      </c>
      <c r="P292">
        <v>2.3387151821614483E-5</v>
      </c>
      <c r="Q292" t="s">
        <v>254</v>
      </c>
      <c r="S292" t="s">
        <v>423</v>
      </c>
      <c r="T292" t="s">
        <v>1144</v>
      </c>
      <c r="U292">
        <v>9.1179346221202074E-5</v>
      </c>
      <c r="V292" t="s">
        <v>254</v>
      </c>
      <c r="X292">
        <v>1.1415525114155251E-4</v>
      </c>
      <c r="Y292">
        <v>1.4916838624667481E-5</v>
      </c>
      <c r="Z292" t="s">
        <v>1144</v>
      </c>
      <c r="AA292" t="s">
        <v>25</v>
      </c>
      <c r="AC292" t="s">
        <v>22</v>
      </c>
      <c r="AD292" t="s">
        <v>1144</v>
      </c>
      <c r="AE292">
        <v>7.8563410383445352E-5</v>
      </c>
      <c r="AG292" t="s">
        <v>97</v>
      </c>
      <c r="AH292" t="s">
        <v>1144</v>
      </c>
      <c r="AI292">
        <v>0</v>
      </c>
    </row>
    <row r="293" spans="5:35" x14ac:dyDescent="0.45">
      <c r="E293" t="s">
        <v>921</v>
      </c>
      <c r="G293" t="s">
        <v>803</v>
      </c>
      <c r="I293" t="s">
        <v>252</v>
      </c>
      <c r="J293" t="s">
        <v>1145</v>
      </c>
      <c r="K293">
        <v>0</v>
      </c>
      <c r="L293" t="s">
        <v>254</v>
      </c>
      <c r="N293" t="s">
        <v>422</v>
      </c>
      <c r="O293" t="s">
        <v>1145</v>
      </c>
      <c r="P293">
        <v>2.6102167383911919E-5</v>
      </c>
      <c r="Q293" t="s">
        <v>254</v>
      </c>
      <c r="S293" t="s">
        <v>423</v>
      </c>
      <c r="T293" t="s">
        <v>1145</v>
      </c>
      <c r="U293">
        <v>8.6052153386181085E-5</v>
      </c>
      <c r="V293" t="s">
        <v>254</v>
      </c>
      <c r="X293">
        <v>1.1415525114155251E-4</v>
      </c>
      <c r="Y293">
        <v>1.6574265138519424E-5</v>
      </c>
      <c r="Z293" t="s">
        <v>1145</v>
      </c>
      <c r="AA293" t="s">
        <v>25</v>
      </c>
      <c r="AC293" t="s">
        <v>22</v>
      </c>
      <c r="AD293" t="s">
        <v>1145</v>
      </c>
      <c r="AE293">
        <v>7.8563410383445352E-5</v>
      </c>
      <c r="AG293" t="s">
        <v>97</v>
      </c>
      <c r="AH293" t="s">
        <v>1145</v>
      </c>
      <c r="AI293">
        <v>0</v>
      </c>
    </row>
    <row r="294" spans="5:35" x14ac:dyDescent="0.45">
      <c r="E294" t="s">
        <v>922</v>
      </c>
      <c r="G294" t="s">
        <v>803</v>
      </c>
      <c r="I294" t="s">
        <v>252</v>
      </c>
      <c r="J294" t="s">
        <v>1146</v>
      </c>
      <c r="K294">
        <v>0</v>
      </c>
      <c r="L294" t="s">
        <v>254</v>
      </c>
      <c r="N294" t="s">
        <v>422</v>
      </c>
      <c r="O294" t="s">
        <v>1146</v>
      </c>
      <c r="P294">
        <v>2.7593190995407656E-5</v>
      </c>
      <c r="Q294" t="s">
        <v>254</v>
      </c>
      <c r="S294" t="s">
        <v>423</v>
      </c>
      <c r="T294" t="s">
        <v>1146</v>
      </c>
      <c r="U294">
        <v>9.72360387838314E-5</v>
      </c>
      <c r="V294" t="s">
        <v>254</v>
      </c>
      <c r="X294">
        <v>1.1415525114155251E-4</v>
      </c>
      <c r="Y294">
        <v>1.4585353321897093E-5</v>
      </c>
      <c r="Z294" t="s">
        <v>1146</v>
      </c>
      <c r="AA294" t="s">
        <v>25</v>
      </c>
      <c r="AC294" t="s">
        <v>22</v>
      </c>
      <c r="AD294" t="s">
        <v>1146</v>
      </c>
      <c r="AE294">
        <v>7.9427713394125427E-5</v>
      </c>
      <c r="AG294" t="s">
        <v>97</v>
      </c>
      <c r="AH294" t="s">
        <v>1146</v>
      </c>
      <c r="AI294">
        <v>0</v>
      </c>
    </row>
    <row r="295" spans="5:35" x14ac:dyDescent="0.45">
      <c r="E295" t="s">
        <v>923</v>
      </c>
      <c r="G295" t="s">
        <v>803</v>
      </c>
      <c r="I295" t="s">
        <v>252</v>
      </c>
      <c r="J295" t="s">
        <v>1147</v>
      </c>
      <c r="K295">
        <v>0</v>
      </c>
      <c r="L295" t="s">
        <v>254</v>
      </c>
      <c r="N295" t="s">
        <v>422</v>
      </c>
      <c r="O295" t="s">
        <v>1147</v>
      </c>
      <c r="P295">
        <v>2.8181622015951289E-5</v>
      </c>
      <c r="Q295" t="s">
        <v>254</v>
      </c>
      <c r="S295" t="s">
        <v>423</v>
      </c>
      <c r="T295" t="s">
        <v>1147</v>
      </c>
      <c r="U295">
        <v>1.064799593013E-4</v>
      </c>
      <c r="V295" t="s">
        <v>254</v>
      </c>
      <c r="X295">
        <v>1.1415525114155251E-4</v>
      </c>
      <c r="Y295">
        <v>2.1215059377304864E-5</v>
      </c>
      <c r="Z295" t="s">
        <v>1147</v>
      </c>
      <c r="AA295" t="s">
        <v>25</v>
      </c>
      <c r="AC295" t="s">
        <v>22</v>
      </c>
      <c r="AD295" t="s">
        <v>1147</v>
      </c>
      <c r="AE295">
        <v>8.5956013945208881E-5</v>
      </c>
      <c r="AG295" t="s">
        <v>97</v>
      </c>
      <c r="AH295" t="s">
        <v>1147</v>
      </c>
      <c r="AI295">
        <v>0</v>
      </c>
    </row>
    <row r="296" spans="5:35" x14ac:dyDescent="0.45">
      <c r="E296" t="s">
        <v>924</v>
      </c>
      <c r="G296" t="s">
        <v>803</v>
      </c>
      <c r="I296" t="s">
        <v>252</v>
      </c>
      <c r="J296" t="s">
        <v>1148</v>
      </c>
      <c r="K296">
        <v>0</v>
      </c>
      <c r="L296" t="s">
        <v>254</v>
      </c>
      <c r="N296" t="s">
        <v>422</v>
      </c>
      <c r="O296" t="s">
        <v>1148</v>
      </c>
      <c r="P296">
        <v>3.1754462593767682E-5</v>
      </c>
      <c r="Q296" t="s">
        <v>254</v>
      </c>
      <c r="S296" t="s">
        <v>423</v>
      </c>
      <c r="T296" t="s">
        <v>1148</v>
      </c>
      <c r="U296">
        <v>1.089973358533E-4</v>
      </c>
      <c r="V296" t="s">
        <v>254</v>
      </c>
      <c r="X296">
        <v>1.1415525114155251E-4</v>
      </c>
      <c r="Y296">
        <v>5.7678442682047593E-5</v>
      </c>
      <c r="Z296" t="s">
        <v>1148</v>
      </c>
      <c r="AA296" t="s">
        <v>25</v>
      </c>
      <c r="AC296" t="s">
        <v>22</v>
      </c>
      <c r="AD296" t="s">
        <v>1148</v>
      </c>
      <c r="AE296">
        <v>1.0116058702658072E-4</v>
      </c>
      <c r="AG296" t="s">
        <v>97</v>
      </c>
      <c r="AH296" t="s">
        <v>1148</v>
      </c>
      <c r="AI296">
        <v>0</v>
      </c>
    </row>
    <row r="297" spans="5:35" x14ac:dyDescent="0.45">
      <c r="E297" t="s">
        <v>925</v>
      </c>
      <c r="G297" t="s">
        <v>803</v>
      </c>
      <c r="I297" t="s">
        <v>252</v>
      </c>
      <c r="J297" t="s">
        <v>1149</v>
      </c>
      <c r="K297">
        <v>1.585018591566E-4</v>
      </c>
      <c r="L297" t="s">
        <v>254</v>
      </c>
      <c r="N297" t="s">
        <v>422</v>
      </c>
      <c r="O297" t="s">
        <v>1149</v>
      </c>
      <c r="P297">
        <v>3.7279120677594477E-5</v>
      </c>
      <c r="Q297" t="s">
        <v>254</v>
      </c>
      <c r="S297" t="s">
        <v>423</v>
      </c>
      <c r="T297" t="s">
        <v>1149</v>
      </c>
      <c r="U297">
        <v>1.091969745798E-4</v>
      </c>
      <c r="V297" t="s">
        <v>254</v>
      </c>
      <c r="X297">
        <v>1.1415525114155251E-4</v>
      </c>
      <c r="Y297">
        <v>1.6905750441289813E-4</v>
      </c>
      <c r="Z297" t="s">
        <v>1149</v>
      </c>
      <c r="AA297" t="s">
        <v>25</v>
      </c>
      <c r="AC297" t="s">
        <v>22</v>
      </c>
      <c r="AD297" t="s">
        <v>1149</v>
      </c>
      <c r="AE297">
        <v>1.1260109492534589E-4</v>
      </c>
      <c r="AG297" t="s">
        <v>97</v>
      </c>
      <c r="AH297" t="s">
        <v>1149</v>
      </c>
      <c r="AI297">
        <v>0</v>
      </c>
    </row>
    <row r="298" spans="5:35" x14ac:dyDescent="0.45">
      <c r="E298" t="s">
        <v>926</v>
      </c>
      <c r="G298" t="s">
        <v>803</v>
      </c>
      <c r="I298" t="s">
        <v>252</v>
      </c>
      <c r="J298" t="s">
        <v>1150</v>
      </c>
      <c r="K298">
        <v>2.7536655193819998E-4</v>
      </c>
      <c r="L298" t="s">
        <v>254</v>
      </c>
      <c r="N298" t="s">
        <v>422</v>
      </c>
      <c r="O298" t="s">
        <v>1150</v>
      </c>
      <c r="P298">
        <v>4.2679209407974138E-5</v>
      </c>
      <c r="Q298" t="s">
        <v>254</v>
      </c>
      <c r="S298" t="s">
        <v>423</v>
      </c>
      <c r="T298" t="s">
        <v>1150</v>
      </c>
      <c r="U298">
        <v>1.0423235145639999E-4</v>
      </c>
      <c r="V298" t="s">
        <v>254</v>
      </c>
      <c r="X298">
        <v>1.1415525114155251E-4</v>
      </c>
      <c r="Y298">
        <v>1.9060404909297337E-4</v>
      </c>
      <c r="Z298" t="s">
        <v>1150</v>
      </c>
      <c r="AA298" t="s">
        <v>25</v>
      </c>
      <c r="AC298" t="s">
        <v>22</v>
      </c>
      <c r="AD298" t="s">
        <v>1150</v>
      </c>
      <c r="AE298">
        <v>1.2295738839651239E-4</v>
      </c>
      <c r="AG298" t="s">
        <v>97</v>
      </c>
      <c r="AH298" t="s">
        <v>1150</v>
      </c>
      <c r="AI298">
        <v>0</v>
      </c>
    </row>
    <row r="299" spans="5:35" x14ac:dyDescent="0.45">
      <c r="E299" t="s">
        <v>219</v>
      </c>
      <c r="G299" t="s">
        <v>804</v>
      </c>
      <c r="I299" t="s">
        <v>252</v>
      </c>
      <c r="J299" t="s">
        <v>1151</v>
      </c>
      <c r="K299">
        <v>3.5449133516029998E-4</v>
      </c>
      <c r="L299" t="s">
        <v>254</v>
      </c>
      <c r="N299" t="s">
        <v>422</v>
      </c>
      <c r="O299" t="s">
        <v>1151</v>
      </c>
      <c r="P299">
        <v>4.6197530927544183E-5</v>
      </c>
      <c r="Q299" t="s">
        <v>254</v>
      </c>
      <c r="S299" t="s">
        <v>423</v>
      </c>
      <c r="T299" t="s">
        <v>1151</v>
      </c>
      <c r="U299">
        <v>9.7362301700937718E-5</v>
      </c>
      <c r="V299" t="s">
        <v>254</v>
      </c>
      <c r="X299">
        <v>1.1415525114155251E-4</v>
      </c>
      <c r="Y299">
        <v>1.4585353321897094E-4</v>
      </c>
      <c r="Z299" t="s">
        <v>1151</v>
      </c>
      <c r="AA299" t="s">
        <v>25</v>
      </c>
      <c r="AC299" t="s">
        <v>22</v>
      </c>
      <c r="AD299" t="s">
        <v>1151</v>
      </c>
      <c r="AE299">
        <v>1.2694647921503578E-4</v>
      </c>
      <c r="AG299" t="s">
        <v>97</v>
      </c>
      <c r="AH299" t="s">
        <v>1151</v>
      </c>
      <c r="AI299">
        <v>0</v>
      </c>
    </row>
    <row r="300" spans="5:35" x14ac:dyDescent="0.45">
      <c r="E300" t="s">
        <v>220</v>
      </c>
      <c r="G300" t="s">
        <v>804</v>
      </c>
      <c r="I300" t="s">
        <v>252</v>
      </c>
      <c r="J300" t="s">
        <v>1152</v>
      </c>
      <c r="K300">
        <v>4.0328024046269999E-4</v>
      </c>
      <c r="L300" t="s">
        <v>254</v>
      </c>
      <c r="N300" t="s">
        <v>422</v>
      </c>
      <c r="O300" t="s">
        <v>1152</v>
      </c>
      <c r="P300">
        <v>4.9367285494383786E-5</v>
      </c>
      <c r="Q300" t="s">
        <v>254</v>
      </c>
      <c r="S300" t="s">
        <v>423</v>
      </c>
      <c r="T300" t="s">
        <v>1152</v>
      </c>
      <c r="U300">
        <v>9.1696989474972739E-5</v>
      </c>
      <c r="V300" t="s">
        <v>254</v>
      </c>
      <c r="X300">
        <v>1.1415525114155251E-4</v>
      </c>
      <c r="Y300">
        <v>1.4452759200788939E-4</v>
      </c>
      <c r="Z300" t="s">
        <v>1152</v>
      </c>
      <c r="AA300" t="s">
        <v>25</v>
      </c>
      <c r="AC300" t="s">
        <v>22</v>
      </c>
      <c r="AD300" t="s">
        <v>1152</v>
      </c>
      <c r="AE300">
        <v>1.2886686844882492E-4</v>
      </c>
      <c r="AG300" t="s">
        <v>97</v>
      </c>
      <c r="AH300" t="s">
        <v>1152</v>
      </c>
      <c r="AI300">
        <v>0</v>
      </c>
    </row>
    <row r="301" spans="5:35" x14ac:dyDescent="0.45">
      <c r="E301" t="s">
        <v>221</v>
      </c>
      <c r="G301" t="s">
        <v>804</v>
      </c>
      <c r="I301" t="s">
        <v>252</v>
      </c>
      <c r="J301" t="s">
        <v>1153</v>
      </c>
      <c r="K301">
        <v>4.2392970123739999E-4</v>
      </c>
      <c r="L301" t="s">
        <v>254</v>
      </c>
      <c r="N301" t="s">
        <v>422</v>
      </c>
      <c r="O301" t="s">
        <v>1153</v>
      </c>
      <c r="P301">
        <v>5.9552947451448495E-5</v>
      </c>
      <c r="Q301" t="s">
        <v>254</v>
      </c>
      <c r="S301" t="s">
        <v>423</v>
      </c>
      <c r="T301" t="s">
        <v>1153</v>
      </c>
      <c r="U301">
        <v>8.3494467542541355E-5</v>
      </c>
      <c r="V301" t="s">
        <v>254</v>
      </c>
      <c r="X301">
        <v>1.1415525114155251E-4</v>
      </c>
      <c r="Y301">
        <v>1.408812536774151E-4</v>
      </c>
      <c r="Z301" t="s">
        <v>1153</v>
      </c>
      <c r="AA301" t="s">
        <v>25</v>
      </c>
      <c r="AC301" t="s">
        <v>22</v>
      </c>
      <c r="AD301" t="s">
        <v>1153</v>
      </c>
      <c r="AE301">
        <v>1.3041391969575227E-4</v>
      </c>
      <c r="AG301" t="s">
        <v>97</v>
      </c>
      <c r="AH301" t="s">
        <v>1153</v>
      </c>
      <c r="AI301">
        <v>0</v>
      </c>
    </row>
    <row r="302" spans="5:35" x14ac:dyDescent="0.45">
      <c r="E302" t="s">
        <v>222</v>
      </c>
      <c r="G302" t="s">
        <v>804</v>
      </c>
      <c r="I302" t="s">
        <v>252</v>
      </c>
      <c r="J302" t="s">
        <v>1154</v>
      </c>
      <c r="K302">
        <v>4.239507965019E-4</v>
      </c>
      <c r="L302" t="s">
        <v>254</v>
      </c>
      <c r="N302" t="s">
        <v>422</v>
      </c>
      <c r="O302" t="s">
        <v>1154</v>
      </c>
      <c r="P302">
        <v>6.1015805346783576E-5</v>
      </c>
      <c r="Q302" t="s">
        <v>254</v>
      </c>
      <c r="S302" t="s">
        <v>423</v>
      </c>
      <c r="T302" t="s">
        <v>1154</v>
      </c>
      <c r="U302">
        <v>7.8645651563884135E-5</v>
      </c>
      <c r="V302" t="s">
        <v>254</v>
      </c>
      <c r="X302">
        <v>1.1415525114155251E-4</v>
      </c>
      <c r="Y302">
        <v>1.4054976837464471E-4</v>
      </c>
      <c r="Z302" t="s">
        <v>1154</v>
      </c>
      <c r="AA302" t="s">
        <v>25</v>
      </c>
      <c r="AC302" t="s">
        <v>22</v>
      </c>
      <c r="AD302" t="s">
        <v>1154</v>
      </c>
      <c r="AE302">
        <v>1.3208371219863415E-4</v>
      </c>
      <c r="AG302" t="s">
        <v>97</v>
      </c>
      <c r="AH302" t="s">
        <v>1154</v>
      </c>
      <c r="AI302">
        <v>0</v>
      </c>
    </row>
    <row r="303" spans="5:35" x14ac:dyDescent="0.45">
      <c r="E303" t="s">
        <v>223</v>
      </c>
      <c r="G303" t="s">
        <v>804</v>
      </c>
      <c r="I303" t="s">
        <v>252</v>
      </c>
      <c r="J303" t="s">
        <v>1155</v>
      </c>
      <c r="K303">
        <v>4.0134049161039999E-4</v>
      </c>
      <c r="L303" t="s">
        <v>254</v>
      </c>
      <c r="N303" t="s">
        <v>422</v>
      </c>
      <c r="O303" t="s">
        <v>1155</v>
      </c>
      <c r="P303">
        <v>5.6247176944644313E-5</v>
      </c>
      <c r="Q303" t="s">
        <v>254</v>
      </c>
      <c r="S303" t="s">
        <v>423</v>
      </c>
      <c r="T303" t="s">
        <v>1155</v>
      </c>
      <c r="U303">
        <v>7.3605989816633453E-5</v>
      </c>
      <c r="V303" t="s">
        <v>254</v>
      </c>
      <c r="X303">
        <v>1.1415525114155251E-4</v>
      </c>
      <c r="Y303">
        <v>1.4253868019126702E-4</v>
      </c>
      <c r="Z303" t="s">
        <v>1155</v>
      </c>
      <c r="AA303" t="s">
        <v>25</v>
      </c>
      <c r="AC303" t="s">
        <v>22</v>
      </c>
      <c r="AD303" t="s">
        <v>1155</v>
      </c>
      <c r="AE303">
        <v>1.3256956300345435E-4</v>
      </c>
      <c r="AG303" t="s">
        <v>97</v>
      </c>
      <c r="AH303" t="s">
        <v>1155</v>
      </c>
      <c r="AI303">
        <v>0</v>
      </c>
    </row>
    <row r="304" spans="5:35" x14ac:dyDescent="0.45">
      <c r="E304" t="s">
        <v>224</v>
      </c>
      <c r="G304" t="s">
        <v>804</v>
      </c>
      <c r="I304" t="s">
        <v>252</v>
      </c>
      <c r="J304" t="s">
        <v>1156</v>
      </c>
      <c r="K304">
        <v>3.9949528233569999E-4</v>
      </c>
      <c r="L304" t="s">
        <v>254</v>
      </c>
      <c r="N304" t="s">
        <v>422</v>
      </c>
      <c r="O304" t="s">
        <v>1156</v>
      </c>
      <c r="P304">
        <v>5.4932462009937058E-5</v>
      </c>
      <c r="Q304" t="s">
        <v>254</v>
      </c>
      <c r="S304" t="s">
        <v>423</v>
      </c>
      <c r="T304" t="s">
        <v>1156</v>
      </c>
      <c r="U304">
        <v>6.2394823430277684E-5</v>
      </c>
      <c r="V304" t="s">
        <v>254</v>
      </c>
      <c r="X304">
        <v>1.1415525114155251E-4</v>
      </c>
      <c r="Y304">
        <v>1.4883690094390442E-4</v>
      </c>
      <c r="Z304" t="s">
        <v>1156</v>
      </c>
      <c r="AA304" t="s">
        <v>25</v>
      </c>
      <c r="AC304" t="s">
        <v>22</v>
      </c>
      <c r="AD304" t="s">
        <v>1156</v>
      </c>
      <c r="AE304">
        <v>1.3136005021040204E-4</v>
      </c>
      <c r="AG304" t="s">
        <v>97</v>
      </c>
      <c r="AH304" t="s">
        <v>1156</v>
      </c>
      <c r="AI304">
        <v>0</v>
      </c>
    </row>
    <row r="305" spans="5:35" x14ac:dyDescent="0.45">
      <c r="E305" t="s">
        <v>225</v>
      </c>
      <c r="G305" t="s">
        <v>804</v>
      </c>
      <c r="I305" t="s">
        <v>252</v>
      </c>
      <c r="J305" t="s">
        <v>1157</v>
      </c>
      <c r="K305">
        <v>3.9908597858960001E-4</v>
      </c>
      <c r="L305" t="s">
        <v>254</v>
      </c>
      <c r="N305" t="s">
        <v>422</v>
      </c>
      <c r="O305" t="s">
        <v>1157</v>
      </c>
      <c r="P305">
        <v>4.6423940150329921E-5</v>
      </c>
      <c r="Q305" t="s">
        <v>254</v>
      </c>
      <c r="S305" t="s">
        <v>423</v>
      </c>
      <c r="T305" t="s">
        <v>1157</v>
      </c>
      <c r="U305">
        <v>5.8256222192227832E-5</v>
      </c>
      <c r="V305" t="s">
        <v>254</v>
      </c>
      <c r="X305">
        <v>1.1415525114155251E-4</v>
      </c>
      <c r="Y305">
        <v>1.5049432745775637E-4</v>
      </c>
      <c r="Z305" t="s">
        <v>1157</v>
      </c>
      <c r="AA305" t="s">
        <v>25</v>
      </c>
      <c r="AC305" t="s">
        <v>22</v>
      </c>
      <c r="AD305" t="s">
        <v>1157</v>
      </c>
      <c r="AE305">
        <v>1.3066707353615855E-4</v>
      </c>
      <c r="AG305" t="s">
        <v>97</v>
      </c>
      <c r="AH305" t="s">
        <v>1157</v>
      </c>
      <c r="AI305">
        <v>0</v>
      </c>
    </row>
    <row r="306" spans="5:35" x14ac:dyDescent="0.45">
      <c r="E306" t="s">
        <v>226</v>
      </c>
      <c r="G306" t="s">
        <v>804</v>
      </c>
      <c r="I306" t="s">
        <v>252</v>
      </c>
      <c r="J306" t="s">
        <v>1158</v>
      </c>
      <c r="K306">
        <v>3.7652647877590002E-4</v>
      </c>
      <c r="L306" t="s">
        <v>254</v>
      </c>
      <c r="N306" t="s">
        <v>422</v>
      </c>
      <c r="O306" t="s">
        <v>1158</v>
      </c>
      <c r="P306">
        <v>4.3859597969199379E-5</v>
      </c>
      <c r="Q306" t="s">
        <v>254</v>
      </c>
      <c r="S306" t="s">
        <v>423</v>
      </c>
      <c r="T306" t="s">
        <v>1158</v>
      </c>
      <c r="U306">
        <v>5.6855595951924037E-5</v>
      </c>
      <c r="V306" t="s">
        <v>254</v>
      </c>
      <c r="X306">
        <v>1.1415525114155251E-4</v>
      </c>
      <c r="Y306">
        <v>1.7237235744060203E-4</v>
      </c>
      <c r="Z306" t="s">
        <v>1158</v>
      </c>
      <c r="AA306" t="s">
        <v>25</v>
      </c>
      <c r="AC306" t="s">
        <v>22</v>
      </c>
      <c r="AD306" t="s">
        <v>1158</v>
      </c>
      <c r="AE306">
        <v>1.294396609766129E-4</v>
      </c>
      <c r="AG306" t="s">
        <v>97</v>
      </c>
      <c r="AH306" t="s">
        <v>1158</v>
      </c>
      <c r="AI306">
        <v>0</v>
      </c>
    </row>
    <row r="307" spans="5:35" x14ac:dyDescent="0.45">
      <c r="E307" t="s">
        <v>227</v>
      </c>
      <c r="G307" t="s">
        <v>804</v>
      </c>
      <c r="I307" t="s">
        <v>252</v>
      </c>
      <c r="J307" t="s">
        <v>1159</v>
      </c>
      <c r="K307">
        <v>3.479350347615E-4</v>
      </c>
      <c r="L307" t="s">
        <v>254</v>
      </c>
      <c r="N307" t="s">
        <v>422</v>
      </c>
      <c r="O307" t="s">
        <v>1159</v>
      </c>
      <c r="P307">
        <v>4.6329871614061095E-5</v>
      </c>
      <c r="Q307" t="s">
        <v>254</v>
      </c>
      <c r="S307" t="s">
        <v>423</v>
      </c>
      <c r="T307" t="s">
        <v>1159</v>
      </c>
      <c r="U307">
        <v>5.3248517891668131E-5</v>
      </c>
      <c r="V307" t="s">
        <v>254</v>
      </c>
      <c r="X307">
        <v>1.1415525114155251E-4</v>
      </c>
      <c r="Y307">
        <v>2.2209515285616027E-4</v>
      </c>
      <c r="Z307" t="s">
        <v>1159</v>
      </c>
      <c r="AA307" t="s">
        <v>25</v>
      </c>
      <c r="AC307" t="s">
        <v>22</v>
      </c>
      <c r="AD307" t="s">
        <v>1159</v>
      </c>
      <c r="AE307">
        <v>1.2859837195142431E-4</v>
      </c>
      <c r="AG307" t="s">
        <v>97</v>
      </c>
      <c r="AH307" t="s">
        <v>1159</v>
      </c>
      <c r="AI307">
        <v>0</v>
      </c>
    </row>
    <row r="308" spans="5:35" x14ac:dyDescent="0.45">
      <c r="E308" t="s">
        <v>228</v>
      </c>
      <c r="G308" t="s">
        <v>804</v>
      </c>
      <c r="I308" t="s">
        <v>252</v>
      </c>
      <c r="J308" t="s">
        <v>1160</v>
      </c>
      <c r="K308">
        <v>2.84671053702E-4</v>
      </c>
      <c r="L308" t="s">
        <v>254</v>
      </c>
      <c r="N308" t="s">
        <v>422</v>
      </c>
      <c r="O308" t="s">
        <v>1160</v>
      </c>
      <c r="P308">
        <v>4.7219815329297678E-5</v>
      </c>
      <c r="Q308" t="s">
        <v>254</v>
      </c>
      <c r="S308" t="s">
        <v>423</v>
      </c>
      <c r="T308" t="s">
        <v>1160</v>
      </c>
      <c r="U308">
        <v>4.8881923175329132E-5</v>
      </c>
      <c r="V308" t="s">
        <v>254</v>
      </c>
      <c r="X308">
        <v>1.1415525114155251E-4</v>
      </c>
      <c r="Y308">
        <v>2.2209515285616027E-4</v>
      </c>
      <c r="Z308" t="s">
        <v>1160</v>
      </c>
      <c r="AA308" t="s">
        <v>25</v>
      </c>
      <c r="AC308" t="s">
        <v>22</v>
      </c>
      <c r="AD308" t="s">
        <v>1160</v>
      </c>
      <c r="AE308">
        <v>1.2667286849863703E-4</v>
      </c>
      <c r="AG308" t="s">
        <v>97</v>
      </c>
      <c r="AH308" t="s">
        <v>1160</v>
      </c>
      <c r="AI308">
        <v>0</v>
      </c>
    </row>
    <row r="309" spans="5:35" x14ac:dyDescent="0.45">
      <c r="E309" t="s">
        <v>229</v>
      </c>
      <c r="G309" t="s">
        <v>804</v>
      </c>
      <c r="I309" t="s">
        <v>252</v>
      </c>
      <c r="J309" t="s">
        <v>1161</v>
      </c>
      <c r="K309">
        <v>1.814488026196E-4</v>
      </c>
      <c r="L309" t="s">
        <v>254</v>
      </c>
      <c r="N309" t="s">
        <v>422</v>
      </c>
      <c r="O309" t="s">
        <v>1161</v>
      </c>
      <c r="P309">
        <v>4.3230440380343138E-5</v>
      </c>
      <c r="Q309" t="s">
        <v>254</v>
      </c>
      <c r="S309" t="s">
        <v>423</v>
      </c>
      <c r="T309" t="s">
        <v>1161</v>
      </c>
      <c r="U309">
        <v>4.2586551025289743E-5</v>
      </c>
      <c r="V309" t="s">
        <v>254</v>
      </c>
      <c r="X309">
        <v>1.1415525114155251E-4</v>
      </c>
      <c r="Y309">
        <v>1.7237235744060203E-4</v>
      </c>
      <c r="Z309" t="s">
        <v>1161</v>
      </c>
      <c r="AA309" t="s">
        <v>25</v>
      </c>
      <c r="AC309" t="s">
        <v>22</v>
      </c>
      <c r="AD309" t="s">
        <v>1161</v>
      </c>
      <c r="AE309">
        <v>1.2478572168833562E-4</v>
      </c>
      <c r="AG309" t="s">
        <v>97</v>
      </c>
      <c r="AH309" t="s">
        <v>1161</v>
      </c>
      <c r="AI309">
        <v>0</v>
      </c>
    </row>
    <row r="310" spans="5:35" x14ac:dyDescent="0.45">
      <c r="E310" t="s">
        <v>230</v>
      </c>
      <c r="G310" t="s">
        <v>804</v>
      </c>
      <c r="I310" t="s">
        <v>252</v>
      </c>
      <c r="J310" t="s">
        <v>1162</v>
      </c>
      <c r="K310">
        <v>7.1167468064852534E-5</v>
      </c>
      <c r="L310" t="s">
        <v>254</v>
      </c>
      <c r="N310" t="s">
        <v>422</v>
      </c>
      <c r="O310" t="s">
        <v>1162</v>
      </c>
      <c r="P310">
        <v>3.6838499606228968E-5</v>
      </c>
      <c r="Q310" t="s">
        <v>254</v>
      </c>
      <c r="S310" t="s">
        <v>423</v>
      </c>
      <c r="T310" t="s">
        <v>1162</v>
      </c>
      <c r="U310">
        <v>3.7454341226942817E-5</v>
      </c>
      <c r="V310" t="s">
        <v>254</v>
      </c>
      <c r="X310">
        <v>1.1415525114155251E-4</v>
      </c>
      <c r="Y310">
        <v>1.5579809230208258E-4</v>
      </c>
      <c r="Z310" t="s">
        <v>1162</v>
      </c>
      <c r="AA310" t="s">
        <v>25</v>
      </c>
      <c r="AC310" t="s">
        <v>22</v>
      </c>
      <c r="AD310" t="s">
        <v>1162</v>
      </c>
      <c r="AE310">
        <v>1.2194988725388532E-4</v>
      </c>
      <c r="AG310" t="s">
        <v>97</v>
      </c>
      <c r="AH310" t="s">
        <v>1162</v>
      </c>
      <c r="AI310">
        <v>0</v>
      </c>
    </row>
    <row r="311" spans="5:35" x14ac:dyDescent="0.45">
      <c r="E311" t="s">
        <v>231</v>
      </c>
      <c r="G311" t="s">
        <v>804</v>
      </c>
      <c r="I311" t="s">
        <v>252</v>
      </c>
      <c r="J311" t="s">
        <v>1163</v>
      </c>
      <c r="K311">
        <v>0</v>
      </c>
      <c r="L311" t="s">
        <v>254</v>
      </c>
      <c r="N311" t="s">
        <v>422</v>
      </c>
      <c r="O311" t="s">
        <v>1163</v>
      </c>
      <c r="P311">
        <v>3.1862284783039958E-5</v>
      </c>
      <c r="Q311" t="s">
        <v>254</v>
      </c>
      <c r="S311" t="s">
        <v>423</v>
      </c>
      <c r="T311" t="s">
        <v>1163</v>
      </c>
      <c r="U311">
        <v>3.4626521186587672E-5</v>
      </c>
      <c r="V311" t="s">
        <v>254</v>
      </c>
      <c r="X311">
        <v>1.1415525114155251E-4</v>
      </c>
      <c r="Y311">
        <v>1.093901499142282E-4</v>
      </c>
      <c r="Z311" t="s">
        <v>1163</v>
      </c>
      <c r="AA311" t="s">
        <v>25</v>
      </c>
      <c r="AC311" t="s">
        <v>22</v>
      </c>
      <c r="AD311" t="s">
        <v>1163</v>
      </c>
      <c r="AE311">
        <v>1.1554688506825548E-4</v>
      </c>
      <c r="AG311" t="s">
        <v>97</v>
      </c>
      <c r="AH311" t="s">
        <v>1163</v>
      </c>
      <c r="AI311">
        <v>0</v>
      </c>
    </row>
    <row r="312" spans="5:35" x14ac:dyDescent="0.45">
      <c r="E312" t="s">
        <v>232</v>
      </c>
      <c r="G312" t="s">
        <v>804</v>
      </c>
      <c r="I312" t="s">
        <v>252</v>
      </c>
      <c r="J312" t="s">
        <v>1164</v>
      </c>
      <c r="K312">
        <v>0</v>
      </c>
      <c r="L312" t="s">
        <v>254</v>
      </c>
      <c r="N312" t="s">
        <v>422</v>
      </c>
      <c r="O312" t="s">
        <v>1164</v>
      </c>
      <c r="P312">
        <v>3.050384677463262E-5</v>
      </c>
      <c r="Q312" t="s">
        <v>254</v>
      </c>
      <c r="S312" t="s">
        <v>423</v>
      </c>
      <c r="T312" t="s">
        <v>1164</v>
      </c>
      <c r="U312">
        <v>2.7987410104381943E-5</v>
      </c>
      <c r="V312" t="s">
        <v>254</v>
      </c>
      <c r="X312">
        <v>1.1415525114155251E-4</v>
      </c>
      <c r="Y312">
        <v>7.9556472664893237E-5</v>
      </c>
      <c r="Z312" t="s">
        <v>1164</v>
      </c>
      <c r="AA312" t="s">
        <v>25</v>
      </c>
      <c r="AC312" t="s">
        <v>22</v>
      </c>
      <c r="AD312" t="s">
        <v>1164</v>
      </c>
      <c r="AE312">
        <v>1.1008745628777633E-4</v>
      </c>
      <c r="AG312" t="s">
        <v>97</v>
      </c>
      <c r="AH312" t="s">
        <v>1164</v>
      </c>
      <c r="AI312">
        <v>0</v>
      </c>
    </row>
    <row r="313" spans="5:35" x14ac:dyDescent="0.45">
      <c r="E313" t="s">
        <v>233</v>
      </c>
      <c r="G313" t="s">
        <v>804</v>
      </c>
      <c r="I313" t="s">
        <v>252</v>
      </c>
      <c r="J313" t="s">
        <v>1165</v>
      </c>
      <c r="K313">
        <v>0</v>
      </c>
      <c r="L313" t="s">
        <v>254</v>
      </c>
      <c r="N313" t="s">
        <v>422</v>
      </c>
      <c r="O313" t="s">
        <v>1165</v>
      </c>
      <c r="P313">
        <v>3.5410165196304567E-5</v>
      </c>
      <c r="Q313" t="s">
        <v>254</v>
      </c>
      <c r="S313" t="s">
        <v>423</v>
      </c>
      <c r="T313" t="s">
        <v>1165</v>
      </c>
      <c r="U313">
        <v>2.4209381164072888E-5</v>
      </c>
      <c r="V313" t="s">
        <v>254</v>
      </c>
      <c r="X313">
        <v>1.1415525114155251E-4</v>
      </c>
      <c r="Y313">
        <v>5.6352501470966035E-5</v>
      </c>
      <c r="Z313" t="s">
        <v>1165</v>
      </c>
      <c r="AA313" t="s">
        <v>25</v>
      </c>
      <c r="AC313" t="s">
        <v>22</v>
      </c>
      <c r="AD313" t="s">
        <v>1165</v>
      </c>
      <c r="AE313">
        <v>9.5468461281687734E-5</v>
      </c>
      <c r="AG313" t="s">
        <v>97</v>
      </c>
      <c r="AH313" t="s">
        <v>1165</v>
      </c>
      <c r="AI313">
        <v>0</v>
      </c>
    </row>
    <row r="314" spans="5:35" x14ac:dyDescent="0.45">
      <c r="E314" t="s">
        <v>234</v>
      </c>
      <c r="G314" t="s">
        <v>804</v>
      </c>
      <c r="I314" t="s">
        <v>252</v>
      </c>
      <c r="J314" t="s">
        <v>1166</v>
      </c>
      <c r="K314">
        <v>0</v>
      </c>
      <c r="L314" t="s">
        <v>254</v>
      </c>
      <c r="N314" t="s">
        <v>422</v>
      </c>
      <c r="O314" t="s">
        <v>1166</v>
      </c>
      <c r="P314">
        <v>4.4710312294680517E-5</v>
      </c>
      <c r="Q314" t="s">
        <v>254</v>
      </c>
      <c r="S314" t="s">
        <v>423</v>
      </c>
      <c r="T314" t="s">
        <v>1166</v>
      </c>
      <c r="U314">
        <v>2.5424992330063091E-5</v>
      </c>
      <c r="V314" t="s">
        <v>254</v>
      </c>
      <c r="X314">
        <v>1.1415525114155251E-4</v>
      </c>
      <c r="Y314">
        <v>2.9833677249334962E-5</v>
      </c>
      <c r="Z314" t="s">
        <v>1166</v>
      </c>
      <c r="AA314" t="s">
        <v>25</v>
      </c>
      <c r="AC314" t="s">
        <v>22</v>
      </c>
      <c r="AD314" t="s">
        <v>1166</v>
      </c>
      <c r="AE314">
        <v>8.3941011659954755E-5</v>
      </c>
      <c r="AG314" t="s">
        <v>97</v>
      </c>
      <c r="AH314" t="s">
        <v>1166</v>
      </c>
      <c r="AI314">
        <v>0</v>
      </c>
    </row>
    <row r="315" spans="5:35" x14ac:dyDescent="0.45">
      <c r="E315" t="s">
        <v>235</v>
      </c>
      <c r="G315" t="s">
        <v>804</v>
      </c>
      <c r="I315" t="s">
        <v>252</v>
      </c>
      <c r="J315" t="s">
        <v>366</v>
      </c>
      <c r="K315">
        <v>8.038707266941566E-4</v>
      </c>
      <c r="L315" t="s">
        <v>254</v>
      </c>
      <c r="N315" t="s">
        <v>422</v>
      </c>
      <c r="O315" t="s">
        <v>366</v>
      </c>
      <c r="P315">
        <v>1.6478906463802737E-2</v>
      </c>
      <c r="Q315" t="s">
        <v>254</v>
      </c>
      <c r="S315" t="s">
        <v>423</v>
      </c>
      <c r="T315" t="s">
        <v>366</v>
      </c>
      <c r="U315">
        <v>1.5918588713976976E-2</v>
      </c>
      <c r="V315" t="s">
        <v>254</v>
      </c>
      <c r="X315">
        <v>2.1575342465753426E-2</v>
      </c>
      <c r="Y315">
        <v>8.5204982224100657E-3</v>
      </c>
      <c r="Z315" t="s">
        <v>366</v>
      </c>
      <c r="AA315" t="s">
        <v>25</v>
      </c>
      <c r="AC315" t="s">
        <v>22</v>
      </c>
      <c r="AD315" t="s">
        <v>366</v>
      </c>
      <c r="AE315">
        <v>1.5874945371971018E-2</v>
      </c>
      <c r="AG315" t="s">
        <v>97</v>
      </c>
      <c r="AH315" t="s">
        <v>366</v>
      </c>
      <c r="AI315">
        <v>0.24359517992057933</v>
      </c>
    </row>
    <row r="316" spans="5:35" x14ac:dyDescent="0.45">
      <c r="E316" t="s">
        <v>236</v>
      </c>
      <c r="G316" t="s">
        <v>804</v>
      </c>
      <c r="I316" t="s">
        <v>252</v>
      </c>
      <c r="J316" t="s">
        <v>367</v>
      </c>
      <c r="K316">
        <v>3.7303621819629509E-3</v>
      </c>
      <c r="L316" t="s">
        <v>254</v>
      </c>
      <c r="N316" t="s">
        <v>422</v>
      </c>
      <c r="O316" t="s">
        <v>367</v>
      </c>
      <c r="P316">
        <v>2.0415923468624845E-3</v>
      </c>
      <c r="Q316" t="s">
        <v>254</v>
      </c>
      <c r="S316" t="s">
        <v>423</v>
      </c>
      <c r="T316" t="s">
        <v>367</v>
      </c>
      <c r="U316">
        <v>2.2068530900727673E-3</v>
      </c>
      <c r="V316" t="s">
        <v>254</v>
      </c>
      <c r="X316">
        <v>3.0821917808219177E-3</v>
      </c>
      <c r="Y316">
        <v>5.146309325510281E-3</v>
      </c>
      <c r="Z316" t="s">
        <v>367</v>
      </c>
      <c r="AA316" t="s">
        <v>25</v>
      </c>
      <c r="AC316" t="s">
        <v>22</v>
      </c>
      <c r="AD316" t="s">
        <v>367</v>
      </c>
      <c r="AE316">
        <v>3.0271453785571541E-3</v>
      </c>
      <c r="AG316" t="s">
        <v>97</v>
      </c>
      <c r="AH316" t="s">
        <v>367</v>
      </c>
      <c r="AI316">
        <v>7.7996764887851899E-2</v>
      </c>
    </row>
    <row r="317" spans="5:35" x14ac:dyDescent="0.45">
      <c r="E317" t="s">
        <v>237</v>
      </c>
      <c r="G317" t="s">
        <v>804</v>
      </c>
      <c r="I317" t="s">
        <v>252</v>
      </c>
      <c r="J317" t="s">
        <v>368</v>
      </c>
      <c r="K317">
        <v>1.3293479508019627E-2</v>
      </c>
      <c r="L317" t="s">
        <v>254</v>
      </c>
      <c r="N317" t="s">
        <v>422</v>
      </c>
      <c r="O317" t="s">
        <v>368</v>
      </c>
      <c r="P317">
        <v>4.1874830434648772E-3</v>
      </c>
      <c r="Q317" t="s">
        <v>254</v>
      </c>
      <c r="S317" t="s">
        <v>423</v>
      </c>
      <c r="T317" t="s">
        <v>368</v>
      </c>
      <c r="U317">
        <v>4.5014905089164389E-3</v>
      </c>
      <c r="V317" t="s">
        <v>254</v>
      </c>
      <c r="X317">
        <v>6.1643835616438354E-3</v>
      </c>
      <c r="Y317">
        <v>7.8402903811252284E-3</v>
      </c>
      <c r="Z317" t="s">
        <v>368</v>
      </c>
      <c r="AA317" t="s">
        <v>25</v>
      </c>
      <c r="AC317" t="s">
        <v>22</v>
      </c>
      <c r="AD317" t="s">
        <v>368</v>
      </c>
      <c r="AE317">
        <v>6.4167661428241344E-3</v>
      </c>
      <c r="AG317" t="s">
        <v>97</v>
      </c>
      <c r="AH317" t="s">
        <v>368</v>
      </c>
      <c r="AI317">
        <v>6.7911694567540426E-2</v>
      </c>
    </row>
    <row r="318" spans="5:35" x14ac:dyDescent="0.45">
      <c r="E318" t="s">
        <v>238</v>
      </c>
      <c r="G318" t="s">
        <v>804</v>
      </c>
      <c r="I318" t="s">
        <v>252</v>
      </c>
      <c r="J318" t="s">
        <v>369</v>
      </c>
      <c r="K318">
        <v>2.4330122955308699E-2</v>
      </c>
      <c r="L318" t="s">
        <v>254</v>
      </c>
      <c r="N318" t="s">
        <v>422</v>
      </c>
      <c r="O318" t="s">
        <v>369</v>
      </c>
      <c r="P318">
        <v>6.5029751555139076E-3</v>
      </c>
      <c r="Q318" t="s">
        <v>254</v>
      </c>
      <c r="S318" t="s">
        <v>423</v>
      </c>
      <c r="T318" t="s">
        <v>369</v>
      </c>
      <c r="U318">
        <v>6.5943528327381314E-3</v>
      </c>
      <c r="V318" t="s">
        <v>254</v>
      </c>
      <c r="X318">
        <v>9.2465753424657536E-3</v>
      </c>
      <c r="Y318">
        <v>1.1447181960569828E-2</v>
      </c>
      <c r="Z318" t="s">
        <v>369</v>
      </c>
      <c r="AA318" t="s">
        <v>25</v>
      </c>
      <c r="AC318" t="s">
        <v>22</v>
      </c>
      <c r="AD318" t="s">
        <v>369</v>
      </c>
      <c r="AE318">
        <v>9.6650605792974274E-3</v>
      </c>
      <c r="AG318" t="s">
        <v>97</v>
      </c>
      <c r="AH318" t="s">
        <v>369</v>
      </c>
      <c r="AI318">
        <v>8.8254367955357127E-2</v>
      </c>
    </row>
    <row r="319" spans="5:35" x14ac:dyDescent="0.45">
      <c r="E319" t="s">
        <v>239</v>
      </c>
      <c r="G319" t="s">
        <v>804</v>
      </c>
      <c r="I319" t="s">
        <v>252</v>
      </c>
      <c r="J319" t="s">
        <v>370</v>
      </c>
      <c r="K319">
        <v>7.9927528209298004E-3</v>
      </c>
      <c r="L319" t="s">
        <v>254</v>
      </c>
      <c r="N319" t="s">
        <v>422</v>
      </c>
      <c r="O319" t="s">
        <v>370</v>
      </c>
      <c r="P319">
        <v>2.276076172938968E-3</v>
      </c>
      <c r="Q319" t="s">
        <v>254</v>
      </c>
      <c r="S319" t="s">
        <v>423</v>
      </c>
      <c r="T319" t="s">
        <v>370</v>
      </c>
      <c r="U319">
        <v>2.2470298075342081E-3</v>
      </c>
      <c r="V319" t="s">
        <v>254</v>
      </c>
      <c r="X319">
        <v>3.0821917808219177E-3</v>
      </c>
      <c r="Y319">
        <v>4.01859632548542E-3</v>
      </c>
      <c r="Z319" t="s">
        <v>370</v>
      </c>
      <c r="AA319" t="s">
        <v>25</v>
      </c>
      <c r="AC319" t="s">
        <v>22</v>
      </c>
      <c r="AD319" t="s">
        <v>370</v>
      </c>
      <c r="AE319">
        <v>3.1962700437150513E-3</v>
      </c>
      <c r="AG319" t="s">
        <v>97</v>
      </c>
      <c r="AH319" t="s">
        <v>370</v>
      </c>
      <c r="AI319">
        <v>9.0519846656423875E-2</v>
      </c>
    </row>
    <row r="320" spans="5:35" x14ac:dyDescent="0.45">
      <c r="E320" t="s">
        <v>240</v>
      </c>
      <c r="G320" t="s">
        <v>804</v>
      </c>
      <c r="I320" t="s">
        <v>252</v>
      </c>
      <c r="J320" t="s">
        <v>371</v>
      </c>
      <c r="K320">
        <v>1.56436691759308E-2</v>
      </c>
      <c r="L320" t="s">
        <v>254</v>
      </c>
      <c r="N320" t="s">
        <v>422</v>
      </c>
      <c r="O320" t="s">
        <v>371</v>
      </c>
      <c r="P320">
        <v>4.8460998886345032E-3</v>
      </c>
      <c r="Q320" t="s">
        <v>254</v>
      </c>
      <c r="S320" t="s">
        <v>423</v>
      </c>
      <c r="T320" t="s">
        <v>371</v>
      </c>
      <c r="U320">
        <v>4.800987912369283E-3</v>
      </c>
      <c r="V320" t="s">
        <v>254</v>
      </c>
      <c r="X320">
        <v>6.1643835616438354E-3</v>
      </c>
      <c r="Y320">
        <v>8.7174004922556773E-3</v>
      </c>
      <c r="Z320" t="s">
        <v>371</v>
      </c>
      <c r="AA320" t="s">
        <v>25</v>
      </c>
      <c r="AC320" t="s">
        <v>22</v>
      </c>
      <c r="AD320" t="s">
        <v>371</v>
      </c>
      <c r="AE320">
        <v>6.3424642121101384E-3</v>
      </c>
      <c r="AG320" t="s">
        <v>97</v>
      </c>
      <c r="AH320" t="s">
        <v>371</v>
      </c>
      <c r="AI320">
        <v>8.517999368016782E-2</v>
      </c>
    </row>
    <row r="321" spans="5:35" x14ac:dyDescent="0.45">
      <c r="E321" t="s">
        <v>241</v>
      </c>
      <c r="G321" t="s">
        <v>804</v>
      </c>
      <c r="I321" t="s">
        <v>252</v>
      </c>
      <c r="J321" t="s">
        <v>372</v>
      </c>
      <c r="K321">
        <v>1.158813665489542E-2</v>
      </c>
      <c r="L321" t="s">
        <v>254</v>
      </c>
      <c r="N321" t="s">
        <v>422</v>
      </c>
      <c r="O321" t="s">
        <v>372</v>
      </c>
      <c r="P321">
        <v>5.0245261151210226E-3</v>
      </c>
      <c r="Q321" t="s">
        <v>254</v>
      </c>
      <c r="S321" t="s">
        <v>423</v>
      </c>
      <c r="T321" t="s">
        <v>372</v>
      </c>
      <c r="U321">
        <v>5.2793422473411556E-3</v>
      </c>
      <c r="V321" t="s">
        <v>254</v>
      </c>
      <c r="X321">
        <v>6.1643835616438354E-3</v>
      </c>
      <c r="Y321">
        <v>1.1993138254232649E-2</v>
      </c>
      <c r="Z321" t="s">
        <v>372</v>
      </c>
      <c r="AA321" t="s">
        <v>25</v>
      </c>
      <c r="AC321" t="s">
        <v>22</v>
      </c>
      <c r="AD321" t="s">
        <v>372</v>
      </c>
      <c r="AE321">
        <v>6.3247766857051852E-3</v>
      </c>
      <c r="AG321" t="s">
        <v>97</v>
      </c>
      <c r="AH321" t="s">
        <v>372</v>
      </c>
      <c r="AI321">
        <v>8.0568344133876701E-2</v>
      </c>
    </row>
    <row r="322" spans="5:35" x14ac:dyDescent="0.45">
      <c r="E322" t="s">
        <v>242</v>
      </c>
      <c r="G322" t="s">
        <v>804</v>
      </c>
      <c r="I322" t="s">
        <v>252</v>
      </c>
      <c r="J322" t="s">
        <v>373</v>
      </c>
      <c r="K322">
        <v>2.8344946358906955E-3</v>
      </c>
      <c r="L322" t="s">
        <v>254</v>
      </c>
      <c r="N322" t="s">
        <v>422</v>
      </c>
      <c r="O322" t="s">
        <v>373</v>
      </c>
      <c r="P322">
        <v>1.5481181881066034E-2</v>
      </c>
      <c r="Q322" t="s">
        <v>254</v>
      </c>
      <c r="S322" t="s">
        <v>423</v>
      </c>
      <c r="T322" t="s">
        <v>373</v>
      </c>
      <c r="U322">
        <v>1.5700017866988651E-2</v>
      </c>
      <c r="V322" t="s">
        <v>254</v>
      </c>
      <c r="X322">
        <v>1.8493150684931507E-2</v>
      </c>
      <c r="Y322">
        <v>1.6289187778136888E-2</v>
      </c>
      <c r="Z322" t="s">
        <v>373</v>
      </c>
      <c r="AA322" t="s">
        <v>25</v>
      </c>
      <c r="AC322" t="s">
        <v>22</v>
      </c>
      <c r="AD322" t="s">
        <v>373</v>
      </c>
      <c r="AE322">
        <v>1.6815838129431548E-2</v>
      </c>
      <c r="AG322" t="s">
        <v>97</v>
      </c>
      <c r="AH322" t="s">
        <v>373</v>
      </c>
      <c r="AI322">
        <v>0.16999932984649102</v>
      </c>
    </row>
    <row r="323" spans="5:35" x14ac:dyDescent="0.45">
      <c r="E323" t="s">
        <v>927</v>
      </c>
      <c r="G323" t="s">
        <v>805</v>
      </c>
      <c r="I323" t="s">
        <v>252</v>
      </c>
      <c r="J323" t="s">
        <v>1167</v>
      </c>
      <c r="K323">
        <v>0</v>
      </c>
      <c r="L323" t="s">
        <v>254</v>
      </c>
      <c r="N323" t="s">
        <v>422</v>
      </c>
      <c r="O323" t="s">
        <v>1167</v>
      </c>
      <c r="P323">
        <v>7.7988729531866018E-6</v>
      </c>
      <c r="Q323" t="s">
        <v>254</v>
      </c>
      <c r="S323" t="s">
        <v>423</v>
      </c>
      <c r="T323" t="s">
        <v>1167</v>
      </c>
      <c r="U323">
        <v>9.4552101282672203E-6</v>
      </c>
      <c r="V323" t="s">
        <v>254</v>
      </c>
      <c r="X323">
        <v>1.1415525114155251E-4</v>
      </c>
      <c r="Y323">
        <v>2.1546544680075254E-5</v>
      </c>
      <c r="Z323" t="s">
        <v>1167</v>
      </c>
      <c r="AA323" t="s">
        <v>25</v>
      </c>
      <c r="AC323" t="s">
        <v>22</v>
      </c>
      <c r="AD323" t="s">
        <v>1167</v>
      </c>
      <c r="AE323">
        <v>8.0133306381066893E-5</v>
      </c>
      <c r="AG323" t="s">
        <v>97</v>
      </c>
      <c r="AH323" t="s">
        <v>1167</v>
      </c>
      <c r="AI323">
        <v>0</v>
      </c>
    </row>
    <row r="324" spans="5:35" x14ac:dyDescent="0.45">
      <c r="E324" t="s">
        <v>928</v>
      </c>
      <c r="G324" t="s">
        <v>805</v>
      </c>
      <c r="I324" t="s">
        <v>252</v>
      </c>
      <c r="J324" t="s">
        <v>1168</v>
      </c>
      <c r="K324">
        <v>0</v>
      </c>
      <c r="L324" t="s">
        <v>254</v>
      </c>
      <c r="N324" t="s">
        <v>422</v>
      </c>
      <c r="O324" t="s">
        <v>1168</v>
      </c>
      <c r="P324">
        <v>6.133735935406136E-6</v>
      </c>
      <c r="Q324" t="s">
        <v>254</v>
      </c>
      <c r="S324" t="s">
        <v>423</v>
      </c>
      <c r="T324" t="s">
        <v>1168</v>
      </c>
      <c r="U324">
        <v>7.6882258734501587E-6</v>
      </c>
      <c r="V324" t="s">
        <v>254</v>
      </c>
      <c r="X324">
        <v>1.1415525114155251E-4</v>
      </c>
      <c r="Y324">
        <v>1.4916838624667481E-5</v>
      </c>
      <c r="Z324" t="s">
        <v>1168</v>
      </c>
      <c r="AA324" t="s">
        <v>25</v>
      </c>
      <c r="AC324" t="s">
        <v>22</v>
      </c>
      <c r="AD324" t="s">
        <v>1168</v>
      </c>
      <c r="AE324">
        <v>7.901584952998053E-5</v>
      </c>
      <c r="AG324" t="s">
        <v>97</v>
      </c>
      <c r="AH324" t="s">
        <v>1168</v>
      </c>
      <c r="AI324">
        <v>0</v>
      </c>
    </row>
    <row r="325" spans="5:35" x14ac:dyDescent="0.45">
      <c r="E325" t="s">
        <v>929</v>
      </c>
      <c r="G325" t="s">
        <v>805</v>
      </c>
      <c r="I325" t="s">
        <v>252</v>
      </c>
      <c r="J325" t="s">
        <v>1169</v>
      </c>
      <c r="K325">
        <v>0</v>
      </c>
      <c r="L325" t="s">
        <v>254</v>
      </c>
      <c r="N325" t="s">
        <v>422</v>
      </c>
      <c r="O325" t="s">
        <v>1169</v>
      </c>
      <c r="P325">
        <v>5.5009763945577636E-6</v>
      </c>
      <c r="Q325" t="s">
        <v>254</v>
      </c>
      <c r="S325" t="s">
        <v>423</v>
      </c>
      <c r="T325" t="s">
        <v>1169</v>
      </c>
      <c r="U325">
        <v>6.6998186040782446E-6</v>
      </c>
      <c r="V325" t="s">
        <v>254</v>
      </c>
      <c r="X325">
        <v>1.1415525114155251E-4</v>
      </c>
      <c r="Y325">
        <v>1.6574265138519424E-5</v>
      </c>
      <c r="Z325" t="s">
        <v>1169</v>
      </c>
      <c r="AA325" t="s">
        <v>25</v>
      </c>
      <c r="AC325" t="s">
        <v>22</v>
      </c>
      <c r="AD325" t="s">
        <v>1169</v>
      </c>
      <c r="AE325">
        <v>7.901584952998053E-5</v>
      </c>
      <c r="AG325" t="s">
        <v>97</v>
      </c>
      <c r="AH325" t="s">
        <v>1169</v>
      </c>
      <c r="AI325">
        <v>0</v>
      </c>
    </row>
    <row r="326" spans="5:35" x14ac:dyDescent="0.45">
      <c r="E326" t="s">
        <v>930</v>
      </c>
      <c r="G326" t="s">
        <v>805</v>
      </c>
      <c r="I326" t="s">
        <v>252</v>
      </c>
      <c r="J326" t="s">
        <v>1170</v>
      </c>
      <c r="K326">
        <v>0</v>
      </c>
      <c r="L326" t="s">
        <v>254</v>
      </c>
      <c r="N326" t="s">
        <v>422</v>
      </c>
      <c r="O326" t="s">
        <v>1170</v>
      </c>
      <c r="P326">
        <v>5.204529712570276E-6</v>
      </c>
      <c r="Q326" t="s">
        <v>254</v>
      </c>
      <c r="S326" t="s">
        <v>423</v>
      </c>
      <c r="T326" t="s">
        <v>1170</v>
      </c>
      <c r="U326">
        <v>6.4395850310266432E-6</v>
      </c>
      <c r="V326" t="s">
        <v>254</v>
      </c>
      <c r="X326">
        <v>1.1415525114155251E-4</v>
      </c>
      <c r="Y326">
        <v>1.4585353321897093E-5</v>
      </c>
      <c r="Z326" t="s">
        <v>1170</v>
      </c>
      <c r="AA326" t="s">
        <v>25</v>
      </c>
      <c r="AC326" t="s">
        <v>22</v>
      </c>
      <c r="AD326" t="s">
        <v>1170</v>
      </c>
      <c r="AE326">
        <v>8.0048921767598126E-5</v>
      </c>
      <c r="AG326" t="s">
        <v>97</v>
      </c>
      <c r="AH326" t="s">
        <v>1170</v>
      </c>
      <c r="AI326">
        <v>0</v>
      </c>
    </row>
    <row r="327" spans="5:35" x14ac:dyDescent="0.45">
      <c r="E327" t="s">
        <v>931</v>
      </c>
      <c r="G327" t="s">
        <v>805</v>
      </c>
      <c r="I327" t="s">
        <v>252</v>
      </c>
      <c r="J327" t="s">
        <v>1171</v>
      </c>
      <c r="K327">
        <v>0</v>
      </c>
      <c r="L327" t="s">
        <v>254</v>
      </c>
      <c r="N327" t="s">
        <v>422</v>
      </c>
      <c r="O327" t="s">
        <v>1171</v>
      </c>
      <c r="P327">
        <v>5.6979969579611403E-6</v>
      </c>
      <c r="Q327" t="s">
        <v>254</v>
      </c>
      <c r="S327" t="s">
        <v>423</v>
      </c>
      <c r="T327" t="s">
        <v>1171</v>
      </c>
      <c r="U327">
        <v>6.2274982923490295E-6</v>
      </c>
      <c r="V327" t="s">
        <v>254</v>
      </c>
      <c r="X327">
        <v>1.1415525114155251E-4</v>
      </c>
      <c r="Y327">
        <v>2.1215059377304864E-5</v>
      </c>
      <c r="Z327" t="s">
        <v>1171</v>
      </c>
      <c r="AA327" t="s">
        <v>25</v>
      </c>
      <c r="AC327" t="s">
        <v>22</v>
      </c>
      <c r="AD327" t="s">
        <v>1171</v>
      </c>
      <c r="AE327">
        <v>8.6653935603653198E-5</v>
      </c>
      <c r="AG327" t="s">
        <v>97</v>
      </c>
      <c r="AH327" t="s">
        <v>1171</v>
      </c>
      <c r="AI327">
        <v>0</v>
      </c>
    </row>
    <row r="328" spans="5:35" x14ac:dyDescent="0.45">
      <c r="E328" t="s">
        <v>932</v>
      </c>
      <c r="G328" t="s">
        <v>805</v>
      </c>
      <c r="I328" t="s">
        <v>252</v>
      </c>
      <c r="J328" t="s">
        <v>1172</v>
      </c>
      <c r="K328">
        <v>0</v>
      </c>
      <c r="L328" t="s">
        <v>254</v>
      </c>
      <c r="N328" t="s">
        <v>422</v>
      </c>
      <c r="O328" t="s">
        <v>1172</v>
      </c>
      <c r="P328">
        <v>6.143305292490462E-6</v>
      </c>
      <c r="Q328" t="s">
        <v>254</v>
      </c>
      <c r="S328" t="s">
        <v>423</v>
      </c>
      <c r="T328" t="s">
        <v>1172</v>
      </c>
      <c r="U328">
        <v>5.7463803203439855E-6</v>
      </c>
      <c r="V328" t="s">
        <v>254</v>
      </c>
      <c r="X328">
        <v>1.1415525114155251E-4</v>
      </c>
      <c r="Y328">
        <v>5.7678442682047593E-5</v>
      </c>
      <c r="Z328" t="s">
        <v>1172</v>
      </c>
      <c r="AA328" t="s">
        <v>25</v>
      </c>
      <c r="AC328" t="s">
        <v>22</v>
      </c>
      <c r="AD328" t="s">
        <v>1172</v>
      </c>
      <c r="AE328">
        <v>1.0224974643838024E-4</v>
      </c>
      <c r="AG328" t="s">
        <v>97</v>
      </c>
      <c r="AH328" t="s">
        <v>1172</v>
      </c>
      <c r="AI328">
        <v>0</v>
      </c>
    </row>
    <row r="329" spans="5:35" x14ac:dyDescent="0.45">
      <c r="E329" t="s">
        <v>933</v>
      </c>
      <c r="G329" t="s">
        <v>805</v>
      </c>
      <c r="I329" t="s">
        <v>252</v>
      </c>
      <c r="J329" t="s">
        <v>1173</v>
      </c>
      <c r="K329">
        <v>9.6980899820552984E-7</v>
      </c>
      <c r="L329" t="s">
        <v>254</v>
      </c>
      <c r="N329" t="s">
        <v>422</v>
      </c>
      <c r="O329" t="s">
        <v>1173</v>
      </c>
      <c r="P329">
        <v>6.9676725997364693E-6</v>
      </c>
      <c r="Q329" t="s">
        <v>254</v>
      </c>
      <c r="S329" t="s">
        <v>423</v>
      </c>
      <c r="T329" t="s">
        <v>1173</v>
      </c>
      <c r="U329">
        <v>5.0986106688587846E-6</v>
      </c>
      <c r="V329" t="s">
        <v>254</v>
      </c>
      <c r="X329">
        <v>1.1415525114155251E-4</v>
      </c>
      <c r="Y329">
        <v>1.6905750441289813E-4</v>
      </c>
      <c r="Z329" t="s">
        <v>1173</v>
      </c>
      <c r="AA329" t="s">
        <v>25</v>
      </c>
      <c r="AC329" t="s">
        <v>22</v>
      </c>
      <c r="AD329" t="s">
        <v>1173</v>
      </c>
      <c r="AE329">
        <v>1.1409939185699398E-4</v>
      </c>
      <c r="AG329" t="s">
        <v>97</v>
      </c>
      <c r="AH329" t="s">
        <v>1173</v>
      </c>
      <c r="AI329">
        <v>0</v>
      </c>
    </row>
    <row r="330" spans="5:35" x14ac:dyDescent="0.45">
      <c r="E330" t="s">
        <v>934</v>
      </c>
      <c r="G330" t="s">
        <v>805</v>
      </c>
      <c r="I330" t="s">
        <v>252</v>
      </c>
      <c r="J330" t="s">
        <v>1174</v>
      </c>
      <c r="K330">
        <v>1.128515048199E-4</v>
      </c>
      <c r="L330" t="s">
        <v>254</v>
      </c>
      <c r="N330" t="s">
        <v>422</v>
      </c>
      <c r="O330" t="s">
        <v>1174</v>
      </c>
      <c r="P330">
        <v>7.9659939191059851E-6</v>
      </c>
      <c r="Q330" t="s">
        <v>254</v>
      </c>
      <c r="S330" t="s">
        <v>423</v>
      </c>
      <c r="T330" t="s">
        <v>1174</v>
      </c>
      <c r="U330">
        <v>4.7024113982935758E-6</v>
      </c>
      <c r="V330" t="s">
        <v>254</v>
      </c>
      <c r="X330">
        <v>1.1415525114155251E-4</v>
      </c>
      <c r="Y330">
        <v>1.9060404909297337E-4</v>
      </c>
      <c r="Z330" t="s">
        <v>1174</v>
      </c>
      <c r="AA330" t="s">
        <v>25</v>
      </c>
      <c r="AC330" t="s">
        <v>22</v>
      </c>
      <c r="AD330" t="s">
        <v>1174</v>
      </c>
      <c r="AE330">
        <v>1.2277055016828421E-4</v>
      </c>
      <c r="AG330" t="s">
        <v>97</v>
      </c>
      <c r="AH330" t="s">
        <v>1174</v>
      </c>
      <c r="AI330">
        <v>0</v>
      </c>
    </row>
    <row r="331" spans="5:35" x14ac:dyDescent="0.45">
      <c r="E331" t="s">
        <v>935</v>
      </c>
      <c r="G331" t="s">
        <v>805</v>
      </c>
      <c r="I331" t="s">
        <v>252</v>
      </c>
      <c r="J331" t="s">
        <v>1175</v>
      </c>
      <c r="K331">
        <v>1.9654832156739999E-4</v>
      </c>
      <c r="L331" t="s">
        <v>254</v>
      </c>
      <c r="N331" t="s">
        <v>422</v>
      </c>
      <c r="O331" t="s">
        <v>1175</v>
      </c>
      <c r="P331">
        <v>7.9730558642827294E-6</v>
      </c>
      <c r="Q331" t="s">
        <v>254</v>
      </c>
      <c r="S331" t="s">
        <v>423</v>
      </c>
      <c r="T331" t="s">
        <v>1175</v>
      </c>
      <c r="U331">
        <v>4.9597455903637021E-6</v>
      </c>
      <c r="V331" t="s">
        <v>254</v>
      </c>
      <c r="X331">
        <v>1.1415525114155251E-4</v>
      </c>
      <c r="Y331">
        <v>1.4585353321897094E-4</v>
      </c>
      <c r="Z331" t="s">
        <v>1175</v>
      </c>
      <c r="AA331" t="s">
        <v>25</v>
      </c>
      <c r="AC331" t="s">
        <v>22</v>
      </c>
      <c r="AD331" t="s">
        <v>1175</v>
      </c>
      <c r="AE331">
        <v>1.2746028898954825E-4</v>
      </c>
      <c r="AG331" t="s">
        <v>97</v>
      </c>
      <c r="AH331" t="s">
        <v>1175</v>
      </c>
      <c r="AI331">
        <v>0</v>
      </c>
    </row>
    <row r="332" spans="5:35" x14ac:dyDescent="0.45">
      <c r="E332" t="s">
        <v>936</v>
      </c>
      <c r="G332" t="s">
        <v>805</v>
      </c>
      <c r="I332" t="s">
        <v>252</v>
      </c>
      <c r="J332" t="s">
        <v>1176</v>
      </c>
      <c r="K332">
        <v>2.7249706554510002E-4</v>
      </c>
      <c r="L332" t="s">
        <v>254</v>
      </c>
      <c r="N332" t="s">
        <v>422</v>
      </c>
      <c r="O332" t="s">
        <v>1176</v>
      </c>
      <c r="P332">
        <v>4.9295853229951588E-6</v>
      </c>
      <c r="Q332" t="s">
        <v>254</v>
      </c>
      <c r="S332" t="s">
        <v>423</v>
      </c>
      <c r="T332" t="s">
        <v>1176</v>
      </c>
      <c r="U332">
        <v>8.0252328807766679E-6</v>
      </c>
      <c r="V332" t="s">
        <v>254</v>
      </c>
      <c r="X332">
        <v>1.1415525114155251E-4</v>
      </c>
      <c r="Y332">
        <v>1.4452759200788939E-4</v>
      </c>
      <c r="Z332" t="s">
        <v>1176</v>
      </c>
      <c r="AA332" t="s">
        <v>25</v>
      </c>
      <c r="AC332" t="s">
        <v>22</v>
      </c>
      <c r="AD332" t="s">
        <v>1176</v>
      </c>
      <c r="AE332">
        <v>1.2730174820060693E-4</v>
      </c>
      <c r="AG332" t="s">
        <v>97</v>
      </c>
      <c r="AH332" t="s">
        <v>1176</v>
      </c>
      <c r="AI332">
        <v>0</v>
      </c>
    </row>
    <row r="333" spans="5:35" x14ac:dyDescent="0.45">
      <c r="E333" t="s">
        <v>937</v>
      </c>
      <c r="G333" t="s">
        <v>805</v>
      </c>
      <c r="I333" t="s">
        <v>252</v>
      </c>
      <c r="J333" t="s">
        <v>1177</v>
      </c>
      <c r="K333">
        <v>3.1690920896569998E-4</v>
      </c>
      <c r="L333" t="s">
        <v>254</v>
      </c>
      <c r="N333" t="s">
        <v>422</v>
      </c>
      <c r="O333" t="s">
        <v>1177</v>
      </c>
      <c r="P333">
        <v>1.28176198922374E-6</v>
      </c>
      <c r="Q333" t="s">
        <v>254</v>
      </c>
      <c r="S333" t="s">
        <v>423</v>
      </c>
      <c r="T333" t="s">
        <v>1177</v>
      </c>
      <c r="U333">
        <v>7.1794046118942272E-6</v>
      </c>
      <c r="V333" t="s">
        <v>254</v>
      </c>
      <c r="X333">
        <v>1.1415525114155251E-4</v>
      </c>
      <c r="Y333">
        <v>1.408812536774151E-4</v>
      </c>
      <c r="Z333" t="s">
        <v>1177</v>
      </c>
      <c r="AA333" t="s">
        <v>25</v>
      </c>
      <c r="AC333" t="s">
        <v>22</v>
      </c>
      <c r="AD333" t="s">
        <v>1177</v>
      </c>
      <c r="AE333">
        <v>1.2741426101856531E-4</v>
      </c>
      <c r="AG333" t="s">
        <v>97</v>
      </c>
      <c r="AH333" t="s">
        <v>1177</v>
      </c>
      <c r="AI333">
        <v>0</v>
      </c>
    </row>
    <row r="334" spans="5:35" x14ac:dyDescent="0.45">
      <c r="E334" t="s">
        <v>938</v>
      </c>
      <c r="G334" t="s">
        <v>805</v>
      </c>
      <c r="I334" t="s">
        <v>252</v>
      </c>
      <c r="J334" t="s">
        <v>1178</v>
      </c>
      <c r="K334">
        <v>3.3291893012600001E-4</v>
      </c>
      <c r="L334" t="s">
        <v>254</v>
      </c>
      <c r="N334" t="s">
        <v>422</v>
      </c>
      <c r="O334" t="s">
        <v>1178</v>
      </c>
      <c r="P334">
        <v>2.0434868413139346E-6</v>
      </c>
      <c r="Q334" t="s">
        <v>254</v>
      </c>
      <c r="S334" t="s">
        <v>423</v>
      </c>
      <c r="T334" t="s">
        <v>1178</v>
      </c>
      <c r="U334">
        <v>6.004328433880243E-6</v>
      </c>
      <c r="V334" t="s">
        <v>254</v>
      </c>
      <c r="X334">
        <v>1.1415525114155251E-4</v>
      </c>
      <c r="Y334">
        <v>1.4054976837464471E-4</v>
      </c>
      <c r="Z334" t="s">
        <v>1178</v>
      </c>
      <c r="AA334" t="s">
        <v>25</v>
      </c>
      <c r="AC334" t="s">
        <v>22</v>
      </c>
      <c r="AD334" t="s">
        <v>1178</v>
      </c>
      <c r="AE334">
        <v>1.2730174820060696E-4</v>
      </c>
      <c r="AG334" t="s">
        <v>97</v>
      </c>
      <c r="AH334" t="s">
        <v>1178</v>
      </c>
      <c r="AI334">
        <v>0</v>
      </c>
    </row>
    <row r="335" spans="5:35" x14ac:dyDescent="0.45">
      <c r="E335" t="s">
        <v>939</v>
      </c>
      <c r="G335" t="s">
        <v>805</v>
      </c>
      <c r="I335" t="s">
        <v>252</v>
      </c>
      <c r="J335" t="s">
        <v>1179</v>
      </c>
      <c r="K335">
        <v>3.1316942691530001E-4</v>
      </c>
      <c r="L335" t="s">
        <v>254</v>
      </c>
      <c r="N335" t="s">
        <v>422</v>
      </c>
      <c r="O335" t="s">
        <v>1179</v>
      </c>
      <c r="P335">
        <v>2.5623332144238328E-6</v>
      </c>
      <c r="Q335" t="s">
        <v>254</v>
      </c>
      <c r="S335" t="s">
        <v>423</v>
      </c>
      <c r="T335" t="s">
        <v>1179</v>
      </c>
      <c r="U335">
        <v>5.7764917773054467E-6</v>
      </c>
      <c r="V335" t="s">
        <v>254</v>
      </c>
      <c r="X335">
        <v>1.1415525114155251E-4</v>
      </c>
      <c r="Y335">
        <v>1.4253868019126702E-4</v>
      </c>
      <c r="Z335" t="s">
        <v>1179</v>
      </c>
      <c r="AA335" t="s">
        <v>25</v>
      </c>
      <c r="AC335" t="s">
        <v>22</v>
      </c>
      <c r="AD335" t="s">
        <v>1179</v>
      </c>
      <c r="AE335">
        <v>1.2794869690386745E-4</v>
      </c>
      <c r="AG335" t="s">
        <v>97</v>
      </c>
      <c r="AH335" t="s">
        <v>1179</v>
      </c>
      <c r="AI335">
        <v>0</v>
      </c>
    </row>
    <row r="336" spans="5:35" x14ac:dyDescent="0.45">
      <c r="E336" t="s">
        <v>940</v>
      </c>
      <c r="G336" t="s">
        <v>805</v>
      </c>
      <c r="I336" t="s">
        <v>252</v>
      </c>
      <c r="J336" t="s">
        <v>1180</v>
      </c>
      <c r="K336">
        <v>3.2376914224840003E-4</v>
      </c>
      <c r="L336" t="s">
        <v>254</v>
      </c>
      <c r="N336" t="s">
        <v>422</v>
      </c>
      <c r="O336" t="s">
        <v>1180</v>
      </c>
      <c r="P336">
        <v>3.4515491240956103E-6</v>
      </c>
      <c r="Q336" t="s">
        <v>254</v>
      </c>
      <c r="S336" t="s">
        <v>423</v>
      </c>
      <c r="T336" t="s">
        <v>1180</v>
      </c>
      <c r="U336">
        <v>6.0740885701340953E-6</v>
      </c>
      <c r="V336" t="s">
        <v>254</v>
      </c>
      <c r="X336">
        <v>1.1415525114155251E-4</v>
      </c>
      <c r="Y336">
        <v>1.4883690094390442E-4</v>
      </c>
      <c r="Z336" t="s">
        <v>1180</v>
      </c>
      <c r="AA336" t="s">
        <v>25</v>
      </c>
      <c r="AC336" t="s">
        <v>22</v>
      </c>
      <c r="AD336" t="s">
        <v>1180</v>
      </c>
      <c r="AE336">
        <v>1.2770065728245927E-4</v>
      </c>
      <c r="AG336" t="s">
        <v>97</v>
      </c>
      <c r="AH336" t="s">
        <v>1180</v>
      </c>
      <c r="AI336">
        <v>0</v>
      </c>
    </row>
    <row r="337" spans="5:35" x14ac:dyDescent="0.45">
      <c r="E337" t="s">
        <v>941</v>
      </c>
      <c r="G337" t="s">
        <v>805</v>
      </c>
      <c r="I337" t="s">
        <v>252</v>
      </c>
      <c r="J337" t="s">
        <v>1181</v>
      </c>
      <c r="K337">
        <v>3.42575580119E-4</v>
      </c>
      <c r="L337" t="s">
        <v>254</v>
      </c>
      <c r="N337" t="s">
        <v>422</v>
      </c>
      <c r="O337" t="s">
        <v>1181</v>
      </c>
      <c r="P337">
        <v>4.7241772696501588E-6</v>
      </c>
      <c r="Q337" t="s">
        <v>254</v>
      </c>
      <c r="S337" t="s">
        <v>423</v>
      </c>
      <c r="T337" t="s">
        <v>1181</v>
      </c>
      <c r="U337">
        <v>8.1484646363902713E-6</v>
      </c>
      <c r="V337" t="s">
        <v>254</v>
      </c>
      <c r="X337">
        <v>1.1415525114155251E-4</v>
      </c>
      <c r="Y337">
        <v>1.5049432745775637E-4</v>
      </c>
      <c r="Z337" t="s">
        <v>1181</v>
      </c>
      <c r="AA337" t="s">
        <v>25</v>
      </c>
      <c r="AC337" t="s">
        <v>22</v>
      </c>
      <c r="AD337" t="s">
        <v>1181</v>
      </c>
      <c r="AE337">
        <v>1.2624310486799881E-4</v>
      </c>
      <c r="AG337" t="s">
        <v>97</v>
      </c>
      <c r="AH337" t="s">
        <v>1181</v>
      </c>
      <c r="AI337">
        <v>0</v>
      </c>
    </row>
    <row r="338" spans="5:35" x14ac:dyDescent="0.45">
      <c r="E338" t="s">
        <v>942</v>
      </c>
      <c r="G338" t="s">
        <v>805</v>
      </c>
      <c r="I338" t="s">
        <v>252</v>
      </c>
      <c r="J338" t="s">
        <v>1182</v>
      </c>
      <c r="K338">
        <v>3.3559014288069998E-4</v>
      </c>
      <c r="L338" t="s">
        <v>254</v>
      </c>
      <c r="N338" t="s">
        <v>422</v>
      </c>
      <c r="O338" t="s">
        <v>1182</v>
      </c>
      <c r="P338">
        <v>5.6755518682629815E-6</v>
      </c>
      <c r="Q338" t="s">
        <v>254</v>
      </c>
      <c r="S338" t="s">
        <v>423</v>
      </c>
      <c r="T338" t="s">
        <v>1182</v>
      </c>
      <c r="U338">
        <v>1.0501969906108424E-5</v>
      </c>
      <c r="V338" t="s">
        <v>254</v>
      </c>
      <c r="X338">
        <v>1.1415525114155251E-4</v>
      </c>
      <c r="Y338">
        <v>1.7237235744060203E-4</v>
      </c>
      <c r="Z338" t="s">
        <v>1182</v>
      </c>
      <c r="AA338" t="s">
        <v>25</v>
      </c>
      <c r="AC338" t="s">
        <v>22</v>
      </c>
      <c r="AD338" t="s">
        <v>1182</v>
      </c>
      <c r="AE338">
        <v>1.2624310486799881E-4</v>
      </c>
      <c r="AG338" t="s">
        <v>97</v>
      </c>
      <c r="AH338" t="s">
        <v>1182</v>
      </c>
      <c r="AI338">
        <v>0</v>
      </c>
    </row>
    <row r="339" spans="5:35" x14ac:dyDescent="0.45">
      <c r="E339" t="s">
        <v>943</v>
      </c>
      <c r="G339" t="s">
        <v>805</v>
      </c>
      <c r="I339" t="s">
        <v>252</v>
      </c>
      <c r="J339" t="s">
        <v>1183</v>
      </c>
      <c r="K339">
        <v>2.9461233865229997E-4</v>
      </c>
      <c r="L339" t="s">
        <v>254</v>
      </c>
      <c r="N339" t="s">
        <v>422</v>
      </c>
      <c r="O339" t="s">
        <v>1183</v>
      </c>
      <c r="P339">
        <v>4.9377184503836712E-6</v>
      </c>
      <c r="Q339" t="s">
        <v>254</v>
      </c>
      <c r="S339" t="s">
        <v>423</v>
      </c>
      <c r="T339" t="s">
        <v>1183</v>
      </c>
      <c r="U339">
        <v>9.6860627060283717E-6</v>
      </c>
      <c r="V339" t="s">
        <v>254</v>
      </c>
      <c r="X339">
        <v>1.1415525114155251E-4</v>
      </c>
      <c r="Y339">
        <v>2.2209515285616027E-4</v>
      </c>
      <c r="Z339" t="s">
        <v>1183</v>
      </c>
      <c r="AA339" t="s">
        <v>25</v>
      </c>
      <c r="AC339" t="s">
        <v>22</v>
      </c>
      <c r="AD339" t="s">
        <v>1183</v>
      </c>
      <c r="AE339">
        <v>1.2577515382967204E-4</v>
      </c>
      <c r="AG339" t="s">
        <v>97</v>
      </c>
      <c r="AH339" t="s">
        <v>1183</v>
      </c>
      <c r="AI339">
        <v>0</v>
      </c>
    </row>
    <row r="340" spans="5:35" x14ac:dyDescent="0.45">
      <c r="E340" t="s">
        <v>944</v>
      </c>
      <c r="G340" t="s">
        <v>805</v>
      </c>
      <c r="I340" t="s">
        <v>252</v>
      </c>
      <c r="J340" t="s">
        <v>1184</v>
      </c>
      <c r="K340">
        <v>2.0385980567559999E-4</v>
      </c>
      <c r="L340" t="s">
        <v>254</v>
      </c>
      <c r="N340" t="s">
        <v>422</v>
      </c>
      <c r="O340" t="s">
        <v>1184</v>
      </c>
      <c r="P340">
        <v>6.3207927507327554E-6</v>
      </c>
      <c r="Q340" t="s">
        <v>254</v>
      </c>
      <c r="S340" t="s">
        <v>423</v>
      </c>
      <c r="T340" t="s">
        <v>1184</v>
      </c>
      <c r="U340">
        <v>9.2319114265843445E-6</v>
      </c>
      <c r="V340" t="s">
        <v>254</v>
      </c>
      <c r="X340">
        <v>1.1415525114155251E-4</v>
      </c>
      <c r="Y340">
        <v>2.2209515285616027E-4</v>
      </c>
      <c r="Z340" t="s">
        <v>1184</v>
      </c>
      <c r="AA340" t="s">
        <v>25</v>
      </c>
      <c r="AC340" t="s">
        <v>22</v>
      </c>
      <c r="AD340" t="s">
        <v>1184</v>
      </c>
      <c r="AE340">
        <v>1.2502080652745126E-4</v>
      </c>
      <c r="AG340" t="s">
        <v>97</v>
      </c>
      <c r="AH340" t="s">
        <v>1184</v>
      </c>
      <c r="AI340">
        <v>0</v>
      </c>
    </row>
    <row r="341" spans="5:35" x14ac:dyDescent="0.45">
      <c r="E341" t="s">
        <v>945</v>
      </c>
      <c r="G341" t="s">
        <v>805</v>
      </c>
      <c r="I341" t="s">
        <v>252</v>
      </c>
      <c r="J341" t="s">
        <v>1185</v>
      </c>
      <c r="K341">
        <v>5.5080628930487843E-5</v>
      </c>
      <c r="L341" t="s">
        <v>254</v>
      </c>
      <c r="N341" t="s">
        <v>422</v>
      </c>
      <c r="O341" t="s">
        <v>1185</v>
      </c>
      <c r="P341">
        <v>9.5480648024768687E-6</v>
      </c>
      <c r="Q341" t="s">
        <v>254</v>
      </c>
      <c r="S341" t="s">
        <v>423</v>
      </c>
      <c r="T341" t="s">
        <v>1185</v>
      </c>
      <c r="U341">
        <v>9.7357882601549259E-6</v>
      </c>
      <c r="V341" t="s">
        <v>254</v>
      </c>
      <c r="X341">
        <v>1.1415525114155251E-4</v>
      </c>
      <c r="Y341">
        <v>1.7237235744060203E-4</v>
      </c>
      <c r="Z341" t="s">
        <v>1185</v>
      </c>
      <c r="AA341" t="s">
        <v>25</v>
      </c>
      <c r="AC341" t="s">
        <v>22</v>
      </c>
      <c r="AD341" t="s">
        <v>1185</v>
      </c>
      <c r="AE341">
        <v>1.2395960608534406E-4</v>
      </c>
      <c r="AG341" t="s">
        <v>97</v>
      </c>
      <c r="AH341" t="s">
        <v>1185</v>
      </c>
      <c r="AI341">
        <v>0</v>
      </c>
    </row>
    <row r="342" spans="5:35" x14ac:dyDescent="0.45">
      <c r="E342" t="s">
        <v>946</v>
      </c>
      <c r="G342" t="s">
        <v>805</v>
      </c>
      <c r="I342" t="s">
        <v>252</v>
      </c>
      <c r="J342" t="s">
        <v>1186</v>
      </c>
      <c r="K342">
        <v>0</v>
      </c>
      <c r="L342" t="s">
        <v>254</v>
      </c>
      <c r="N342" t="s">
        <v>422</v>
      </c>
      <c r="O342" t="s">
        <v>1186</v>
      </c>
      <c r="P342">
        <v>1.0092610492353384E-5</v>
      </c>
      <c r="Q342" t="s">
        <v>254</v>
      </c>
      <c r="S342" t="s">
        <v>423</v>
      </c>
      <c r="T342" t="s">
        <v>1186</v>
      </c>
      <c r="U342">
        <v>1.0730217062800386E-5</v>
      </c>
      <c r="V342" t="s">
        <v>254</v>
      </c>
      <c r="X342">
        <v>1.1415525114155251E-4</v>
      </c>
      <c r="Y342">
        <v>1.5579809230208258E-4</v>
      </c>
      <c r="Z342" t="s">
        <v>1186</v>
      </c>
      <c r="AA342" t="s">
        <v>25</v>
      </c>
      <c r="AC342" t="s">
        <v>22</v>
      </c>
      <c r="AD342" t="s">
        <v>1186</v>
      </c>
      <c r="AE342">
        <v>1.2203665974205589E-4</v>
      </c>
      <c r="AG342" t="s">
        <v>97</v>
      </c>
      <c r="AH342" t="s">
        <v>1186</v>
      </c>
      <c r="AI342">
        <v>0</v>
      </c>
    </row>
    <row r="343" spans="5:35" x14ac:dyDescent="0.45">
      <c r="E343" t="s">
        <v>947</v>
      </c>
      <c r="G343" t="s">
        <v>805</v>
      </c>
      <c r="I343" t="s">
        <v>252</v>
      </c>
      <c r="J343" t="s">
        <v>1187</v>
      </c>
      <c r="K343">
        <v>0</v>
      </c>
      <c r="L343" t="s">
        <v>254</v>
      </c>
      <c r="N343" t="s">
        <v>422</v>
      </c>
      <c r="O343" t="s">
        <v>1187</v>
      </c>
      <c r="P343">
        <v>8.0735082390544852E-6</v>
      </c>
      <c r="Q343" t="s">
        <v>254</v>
      </c>
      <c r="S343" t="s">
        <v>423</v>
      </c>
      <c r="T343" t="s">
        <v>1187</v>
      </c>
      <c r="U343">
        <v>1.065554759704089E-5</v>
      </c>
      <c r="V343" t="s">
        <v>254</v>
      </c>
      <c r="X343">
        <v>1.1415525114155251E-4</v>
      </c>
      <c r="Y343">
        <v>1.093901499142282E-4</v>
      </c>
      <c r="Z343" t="s">
        <v>1187</v>
      </c>
      <c r="AA343" t="s">
        <v>25</v>
      </c>
      <c r="AC343" t="s">
        <v>22</v>
      </c>
      <c r="AD343" t="s">
        <v>1187</v>
      </c>
      <c r="AE343">
        <v>1.160964943757547E-4</v>
      </c>
      <c r="AG343" t="s">
        <v>97</v>
      </c>
      <c r="AH343" t="s">
        <v>1187</v>
      </c>
      <c r="AI343">
        <v>0</v>
      </c>
    </row>
    <row r="344" spans="5:35" x14ac:dyDescent="0.45">
      <c r="E344" t="s">
        <v>948</v>
      </c>
      <c r="G344" t="s">
        <v>805</v>
      </c>
      <c r="I344" t="s">
        <v>252</v>
      </c>
      <c r="J344" t="s">
        <v>1188</v>
      </c>
      <c r="K344">
        <v>0</v>
      </c>
      <c r="L344" t="s">
        <v>254</v>
      </c>
      <c r="N344" t="s">
        <v>422</v>
      </c>
      <c r="O344" t="s">
        <v>1188</v>
      </c>
      <c r="P344">
        <v>5.8722873825447073E-6</v>
      </c>
      <c r="Q344" t="s">
        <v>254</v>
      </c>
      <c r="S344" t="s">
        <v>423</v>
      </c>
      <c r="T344" t="s">
        <v>1188</v>
      </c>
      <c r="U344">
        <v>8.7105351640318873E-6</v>
      </c>
      <c r="V344" t="s">
        <v>254</v>
      </c>
      <c r="X344">
        <v>1.1415525114155251E-4</v>
      </c>
      <c r="Y344">
        <v>7.9556472664893237E-5</v>
      </c>
      <c r="Z344" t="s">
        <v>1188</v>
      </c>
      <c r="AA344" t="s">
        <v>25</v>
      </c>
      <c r="AC344" t="s">
        <v>22</v>
      </c>
      <c r="AD344" t="s">
        <v>1188</v>
      </c>
      <c r="AE344">
        <v>1.0955540827717597E-4</v>
      </c>
      <c r="AG344" t="s">
        <v>97</v>
      </c>
      <c r="AH344" t="s">
        <v>1188</v>
      </c>
      <c r="AI344">
        <v>0</v>
      </c>
    </row>
    <row r="345" spans="5:35" x14ac:dyDescent="0.45">
      <c r="E345" t="s">
        <v>949</v>
      </c>
      <c r="G345" t="s">
        <v>805</v>
      </c>
      <c r="I345" t="s">
        <v>252</v>
      </c>
      <c r="J345" t="s">
        <v>1189</v>
      </c>
      <c r="K345">
        <v>0</v>
      </c>
      <c r="L345" t="s">
        <v>254</v>
      </c>
      <c r="N345" t="s">
        <v>422</v>
      </c>
      <c r="O345" t="s">
        <v>1189</v>
      </c>
      <c r="P345">
        <v>1.0940157459685727E-5</v>
      </c>
      <c r="Q345" t="s">
        <v>254</v>
      </c>
      <c r="S345" t="s">
        <v>423</v>
      </c>
      <c r="T345" t="s">
        <v>1189</v>
      </c>
      <c r="U345">
        <v>8.4033871436179016E-6</v>
      </c>
      <c r="V345" t="s">
        <v>254</v>
      </c>
      <c r="X345">
        <v>1.1415525114155251E-4</v>
      </c>
      <c r="Y345">
        <v>5.6352501470966035E-5</v>
      </c>
      <c r="Z345" t="s">
        <v>1189</v>
      </c>
      <c r="AA345" t="s">
        <v>25</v>
      </c>
      <c r="AC345" t="s">
        <v>22</v>
      </c>
      <c r="AD345" t="s">
        <v>1189</v>
      </c>
      <c r="AE345">
        <v>9.6181725597126389E-5</v>
      </c>
      <c r="AG345" t="s">
        <v>97</v>
      </c>
      <c r="AH345" t="s">
        <v>1189</v>
      </c>
      <c r="AI345">
        <v>0</v>
      </c>
    </row>
    <row r="346" spans="5:35" x14ac:dyDescent="0.45">
      <c r="E346" t="s">
        <v>950</v>
      </c>
      <c r="G346" t="s">
        <v>805</v>
      </c>
      <c r="I346" t="s">
        <v>252</v>
      </c>
      <c r="J346" t="s">
        <v>1190</v>
      </c>
      <c r="K346">
        <v>0</v>
      </c>
      <c r="L346" t="s">
        <v>254</v>
      </c>
      <c r="N346" t="s">
        <v>422</v>
      </c>
      <c r="O346" t="s">
        <v>1190</v>
      </c>
      <c r="P346">
        <v>7.2415071841464544E-6</v>
      </c>
      <c r="Q346" t="s">
        <v>254</v>
      </c>
      <c r="S346" t="s">
        <v>423</v>
      </c>
      <c r="T346" t="s">
        <v>1190</v>
      </c>
      <c r="U346">
        <v>7.4851182299046766E-6</v>
      </c>
      <c r="V346" t="s">
        <v>254</v>
      </c>
      <c r="X346">
        <v>1.1415525114155251E-4</v>
      </c>
      <c r="Y346">
        <v>2.9833677249334962E-5</v>
      </c>
      <c r="Z346" t="s">
        <v>1190</v>
      </c>
      <c r="AA346" t="s">
        <v>25</v>
      </c>
      <c r="AC346" t="s">
        <v>22</v>
      </c>
      <c r="AD346" t="s">
        <v>1190</v>
      </c>
      <c r="AE346">
        <v>8.6835490378086016E-5</v>
      </c>
      <c r="AG346" t="s">
        <v>97</v>
      </c>
      <c r="AH346" t="s">
        <v>1190</v>
      </c>
      <c r="AI346">
        <v>0</v>
      </c>
    </row>
    <row r="347" spans="5:35" x14ac:dyDescent="0.45">
      <c r="E347" t="s">
        <v>559</v>
      </c>
      <c r="G347" t="s">
        <v>806</v>
      </c>
      <c r="I347" t="s">
        <v>252</v>
      </c>
      <c r="J347" t="s">
        <v>1191</v>
      </c>
      <c r="K347">
        <v>0</v>
      </c>
      <c r="L347" t="s">
        <v>254</v>
      </c>
      <c r="N347" t="s">
        <v>422</v>
      </c>
      <c r="O347" t="s">
        <v>1191</v>
      </c>
      <c r="P347">
        <v>6.8225007290585404E-5</v>
      </c>
      <c r="Q347" t="s">
        <v>254</v>
      </c>
      <c r="S347" t="s">
        <v>423</v>
      </c>
      <c r="T347" t="s">
        <v>1191</v>
      </c>
      <c r="U347">
        <v>9.2403011573542407E-5</v>
      </c>
      <c r="V347" t="s">
        <v>254</v>
      </c>
      <c r="X347">
        <v>1.1415525114155251E-4</v>
      </c>
      <c r="Y347">
        <v>2.1546544680075254E-5</v>
      </c>
      <c r="Z347" t="s">
        <v>1191</v>
      </c>
      <c r="AA347" t="s">
        <v>25</v>
      </c>
      <c r="AC347" t="s">
        <v>22</v>
      </c>
      <c r="AD347" t="s">
        <v>1191</v>
      </c>
      <c r="AE347">
        <v>7.3295595580597964E-5</v>
      </c>
      <c r="AG347" t="s">
        <v>97</v>
      </c>
      <c r="AH347" t="s">
        <v>1191</v>
      </c>
      <c r="AI347">
        <v>0</v>
      </c>
    </row>
    <row r="348" spans="5:35" x14ac:dyDescent="0.45">
      <c r="E348" t="s">
        <v>560</v>
      </c>
      <c r="G348" t="s">
        <v>806</v>
      </c>
      <c r="I348" t="s">
        <v>252</v>
      </c>
      <c r="J348" t="s">
        <v>1192</v>
      </c>
      <c r="K348">
        <v>0</v>
      </c>
      <c r="L348" t="s">
        <v>254</v>
      </c>
      <c r="N348" t="s">
        <v>422</v>
      </c>
      <c r="O348" t="s">
        <v>1192</v>
      </c>
      <c r="P348">
        <v>6.1125797182901812E-5</v>
      </c>
      <c r="Q348" t="s">
        <v>254</v>
      </c>
      <c r="S348" t="s">
        <v>423</v>
      </c>
      <c r="T348" t="s">
        <v>1192</v>
      </c>
      <c r="U348">
        <v>8.4679278297710852E-5</v>
      </c>
      <c r="V348" t="s">
        <v>254</v>
      </c>
      <c r="X348">
        <v>1.1415525114155251E-4</v>
      </c>
      <c r="Y348">
        <v>1.4916838624667481E-5</v>
      </c>
      <c r="Z348" t="s">
        <v>1192</v>
      </c>
      <c r="AA348" t="s">
        <v>25</v>
      </c>
      <c r="AC348" t="s">
        <v>22</v>
      </c>
      <c r="AD348" t="s">
        <v>1192</v>
      </c>
      <c r="AE348">
        <v>7.0411176065665669E-5</v>
      </c>
      <c r="AG348" t="s">
        <v>97</v>
      </c>
      <c r="AH348" t="s">
        <v>1192</v>
      </c>
      <c r="AI348">
        <v>0</v>
      </c>
    </row>
    <row r="349" spans="5:35" x14ac:dyDescent="0.45">
      <c r="E349" t="s">
        <v>561</v>
      </c>
      <c r="G349" t="s">
        <v>806</v>
      </c>
      <c r="I349" t="s">
        <v>252</v>
      </c>
      <c r="J349" t="s">
        <v>1193</v>
      </c>
      <c r="K349">
        <v>0</v>
      </c>
      <c r="L349" t="s">
        <v>254</v>
      </c>
      <c r="N349" t="s">
        <v>422</v>
      </c>
      <c r="O349" t="s">
        <v>1193</v>
      </c>
      <c r="P349">
        <v>5.6925980681626497E-5</v>
      </c>
      <c r="Q349" t="s">
        <v>254</v>
      </c>
      <c r="S349" t="s">
        <v>423</v>
      </c>
      <c r="T349" t="s">
        <v>1193</v>
      </c>
      <c r="U349">
        <v>7.6263231349868772E-5</v>
      </c>
      <c r="V349" t="s">
        <v>254</v>
      </c>
      <c r="X349">
        <v>1.1415525114155251E-4</v>
      </c>
      <c r="Y349">
        <v>1.6574265138519424E-5</v>
      </c>
      <c r="Z349" t="s">
        <v>1193</v>
      </c>
      <c r="AA349" t="s">
        <v>25</v>
      </c>
      <c r="AC349" t="s">
        <v>22</v>
      </c>
      <c r="AD349" t="s">
        <v>1193</v>
      </c>
      <c r="AE349">
        <v>7.0411176065665669E-5</v>
      </c>
      <c r="AG349" t="s">
        <v>97</v>
      </c>
      <c r="AH349" t="s">
        <v>1193</v>
      </c>
      <c r="AI349">
        <v>0</v>
      </c>
    </row>
    <row r="350" spans="5:35" x14ac:dyDescent="0.45">
      <c r="E350" t="s">
        <v>562</v>
      </c>
      <c r="G350" t="s">
        <v>806</v>
      </c>
      <c r="I350" t="s">
        <v>252</v>
      </c>
      <c r="J350" t="s">
        <v>1194</v>
      </c>
      <c r="K350">
        <v>0</v>
      </c>
      <c r="L350" t="s">
        <v>254</v>
      </c>
      <c r="N350" t="s">
        <v>422</v>
      </c>
      <c r="O350" t="s">
        <v>1194</v>
      </c>
      <c r="P350">
        <v>5.1084544988345333E-5</v>
      </c>
      <c r="Q350" t="s">
        <v>254</v>
      </c>
      <c r="S350" t="s">
        <v>423</v>
      </c>
      <c r="T350" t="s">
        <v>1194</v>
      </c>
      <c r="U350">
        <v>6.5171334562115225E-5</v>
      </c>
      <c r="V350" t="s">
        <v>254</v>
      </c>
      <c r="X350">
        <v>1.1415525114155251E-4</v>
      </c>
      <c r="Y350">
        <v>1.4585353321897093E-5</v>
      </c>
      <c r="Z350" t="s">
        <v>1194</v>
      </c>
      <c r="AA350" t="s">
        <v>25</v>
      </c>
      <c r="AC350" t="s">
        <v>22</v>
      </c>
      <c r="AD350" t="s">
        <v>1194</v>
      </c>
      <c r="AE350">
        <v>7.0608073497092783E-5</v>
      </c>
      <c r="AG350" t="s">
        <v>97</v>
      </c>
      <c r="AH350" t="s">
        <v>1194</v>
      </c>
      <c r="AI350">
        <v>0</v>
      </c>
    </row>
    <row r="351" spans="5:35" x14ac:dyDescent="0.45">
      <c r="E351" t="s">
        <v>563</v>
      </c>
      <c r="G351" t="s">
        <v>806</v>
      </c>
      <c r="I351" t="s">
        <v>252</v>
      </c>
      <c r="J351" t="s">
        <v>1195</v>
      </c>
      <c r="K351">
        <v>0</v>
      </c>
      <c r="L351" t="s">
        <v>254</v>
      </c>
      <c r="N351" t="s">
        <v>422</v>
      </c>
      <c r="O351" t="s">
        <v>1195</v>
      </c>
      <c r="P351">
        <v>4.4559980354126869E-5</v>
      </c>
      <c r="Q351" t="s">
        <v>254</v>
      </c>
      <c r="S351" t="s">
        <v>423</v>
      </c>
      <c r="T351" t="s">
        <v>1195</v>
      </c>
      <c r="U351">
        <v>5.2469831071098809E-5</v>
      </c>
      <c r="V351" t="s">
        <v>254</v>
      </c>
      <c r="X351">
        <v>1.1415525114155251E-4</v>
      </c>
      <c r="Y351">
        <v>2.1215059377304864E-5</v>
      </c>
      <c r="Z351" t="s">
        <v>1195</v>
      </c>
      <c r="AA351" t="s">
        <v>25</v>
      </c>
      <c r="AC351" t="s">
        <v>22</v>
      </c>
      <c r="AD351" t="s">
        <v>1195</v>
      </c>
      <c r="AE351">
        <v>7.0804970928519897E-5</v>
      </c>
      <c r="AG351" t="s">
        <v>97</v>
      </c>
      <c r="AH351" t="s">
        <v>1195</v>
      </c>
      <c r="AI351">
        <v>0</v>
      </c>
    </row>
    <row r="352" spans="5:35" x14ac:dyDescent="0.45">
      <c r="E352" t="s">
        <v>564</v>
      </c>
      <c r="G352" t="s">
        <v>806</v>
      </c>
      <c r="I352" t="s">
        <v>252</v>
      </c>
      <c r="J352" t="s">
        <v>1196</v>
      </c>
      <c r="K352">
        <v>0</v>
      </c>
      <c r="L352" t="s">
        <v>254</v>
      </c>
      <c r="N352" t="s">
        <v>422</v>
      </c>
      <c r="O352" t="s">
        <v>1196</v>
      </c>
      <c r="P352">
        <v>3.8773877371252158E-5</v>
      </c>
      <c r="Q352" t="s">
        <v>254</v>
      </c>
      <c r="S352" t="s">
        <v>423</v>
      </c>
      <c r="T352" t="s">
        <v>1196</v>
      </c>
      <c r="U352">
        <v>4.486503031639383E-5</v>
      </c>
      <c r="V352" t="s">
        <v>254</v>
      </c>
      <c r="X352">
        <v>1.1415525114155251E-4</v>
      </c>
      <c r="Y352">
        <v>5.7678442682047593E-5</v>
      </c>
      <c r="Z352" t="s">
        <v>1196</v>
      </c>
      <c r="AA352" t="s">
        <v>25</v>
      </c>
      <c r="AC352" t="s">
        <v>22</v>
      </c>
      <c r="AD352" t="s">
        <v>1196</v>
      </c>
      <c r="AE352">
        <v>7.3154954558150024E-5</v>
      </c>
      <c r="AG352" t="s">
        <v>97</v>
      </c>
      <c r="AH352" t="s">
        <v>1196</v>
      </c>
      <c r="AI352">
        <v>0</v>
      </c>
    </row>
    <row r="353" spans="5:35" x14ac:dyDescent="0.45">
      <c r="E353" t="s">
        <v>565</v>
      </c>
      <c r="G353" t="s">
        <v>806</v>
      </c>
      <c r="I353" t="s">
        <v>252</v>
      </c>
      <c r="J353" t="s">
        <v>1197</v>
      </c>
      <c r="K353">
        <v>4.5550529325253807E-9</v>
      </c>
      <c r="L353" t="s">
        <v>254</v>
      </c>
      <c r="N353" t="s">
        <v>422</v>
      </c>
      <c r="O353" t="s">
        <v>1197</v>
      </c>
      <c r="P353">
        <v>3.5438435994494416E-5</v>
      </c>
      <c r="Q353" t="s">
        <v>254</v>
      </c>
      <c r="S353" t="s">
        <v>423</v>
      </c>
      <c r="T353" t="s">
        <v>1197</v>
      </c>
      <c r="U353">
        <v>4.5186812063855732E-5</v>
      </c>
      <c r="V353" t="s">
        <v>254</v>
      </c>
      <c r="X353">
        <v>1.1415525114155251E-4</v>
      </c>
      <c r="Y353">
        <v>1.6905750441289813E-4</v>
      </c>
      <c r="Z353" t="s">
        <v>1197</v>
      </c>
      <c r="AA353" t="s">
        <v>25</v>
      </c>
      <c r="AC353" t="s">
        <v>22</v>
      </c>
      <c r="AD353" t="s">
        <v>1197</v>
      </c>
      <c r="AE353">
        <v>7.8662968419111165E-5</v>
      </c>
      <c r="AG353" t="s">
        <v>97</v>
      </c>
      <c r="AH353" t="s">
        <v>1197</v>
      </c>
      <c r="AI353">
        <v>0</v>
      </c>
    </row>
    <row r="354" spans="5:35" x14ac:dyDescent="0.45">
      <c r="E354" t="s">
        <v>566</v>
      </c>
      <c r="G354" t="s">
        <v>806</v>
      </c>
      <c r="I354" t="s">
        <v>252</v>
      </c>
      <c r="J354" t="s">
        <v>1198</v>
      </c>
      <c r="K354">
        <v>8.5148882796186052E-5</v>
      </c>
      <c r="L354" t="s">
        <v>254</v>
      </c>
      <c r="N354" t="s">
        <v>422</v>
      </c>
      <c r="O354" t="s">
        <v>1198</v>
      </c>
      <c r="P354">
        <v>3.5169492605064122E-5</v>
      </c>
      <c r="Q354" t="s">
        <v>254</v>
      </c>
      <c r="S354" t="s">
        <v>423</v>
      </c>
      <c r="T354" t="s">
        <v>1198</v>
      </c>
      <c r="U354">
        <v>4.4644829179646807E-5</v>
      </c>
      <c r="V354" t="s">
        <v>254</v>
      </c>
      <c r="X354">
        <v>1.1415525114155251E-4</v>
      </c>
      <c r="Y354">
        <v>1.9060404909297337E-4</v>
      </c>
      <c r="Z354" t="s">
        <v>1198</v>
      </c>
      <c r="AA354" t="s">
        <v>25</v>
      </c>
      <c r="AC354" t="s">
        <v>22</v>
      </c>
      <c r="AD354" t="s">
        <v>1198</v>
      </c>
      <c r="AE354">
        <v>8.7300884306913728E-5</v>
      </c>
      <c r="AG354" t="s">
        <v>97</v>
      </c>
      <c r="AH354" t="s">
        <v>1198</v>
      </c>
      <c r="AI354">
        <v>0</v>
      </c>
    </row>
    <row r="355" spans="5:35" x14ac:dyDescent="0.45">
      <c r="E355" t="s">
        <v>567</v>
      </c>
      <c r="G355" t="s">
        <v>806</v>
      </c>
      <c r="I355" t="s">
        <v>252</v>
      </c>
      <c r="J355" t="s">
        <v>1199</v>
      </c>
      <c r="K355">
        <v>1.3675084524680001E-4</v>
      </c>
      <c r="L355" t="s">
        <v>254</v>
      </c>
      <c r="N355" t="s">
        <v>422</v>
      </c>
      <c r="O355" t="s">
        <v>1199</v>
      </c>
      <c r="P355">
        <v>3.0447131453054867E-5</v>
      </c>
      <c r="Q355" t="s">
        <v>254</v>
      </c>
      <c r="S355" t="s">
        <v>423</v>
      </c>
      <c r="T355" t="s">
        <v>1199</v>
      </c>
      <c r="U355">
        <v>4.2892382714275448E-5</v>
      </c>
      <c r="V355" t="s">
        <v>254</v>
      </c>
      <c r="X355">
        <v>1.1415525114155251E-4</v>
      </c>
      <c r="Y355">
        <v>1.4585353321897094E-4</v>
      </c>
      <c r="Z355" t="s">
        <v>1199</v>
      </c>
      <c r="AA355" t="s">
        <v>25</v>
      </c>
      <c r="AC355" t="s">
        <v>22</v>
      </c>
      <c r="AD355" t="s">
        <v>1199</v>
      </c>
      <c r="AE355">
        <v>9.6751961015415313E-5</v>
      </c>
      <c r="AG355" t="s">
        <v>97</v>
      </c>
      <c r="AH355" t="s">
        <v>1199</v>
      </c>
      <c r="AI355">
        <v>0</v>
      </c>
    </row>
    <row r="356" spans="5:35" x14ac:dyDescent="0.45">
      <c r="E356" t="s">
        <v>568</v>
      </c>
      <c r="G356" t="s">
        <v>806</v>
      </c>
      <c r="I356" t="s">
        <v>252</v>
      </c>
      <c r="J356" t="s">
        <v>1200</v>
      </c>
      <c r="K356">
        <v>2.005456090554E-4</v>
      </c>
      <c r="L356" t="s">
        <v>254</v>
      </c>
      <c r="N356" t="s">
        <v>422</v>
      </c>
      <c r="O356" t="s">
        <v>1200</v>
      </c>
      <c r="P356">
        <v>2.7980070937000404E-5</v>
      </c>
      <c r="Q356" t="s">
        <v>254</v>
      </c>
      <c r="S356" t="s">
        <v>423</v>
      </c>
      <c r="T356" t="s">
        <v>1200</v>
      </c>
      <c r="U356">
        <v>5.3876673721443113E-5</v>
      </c>
      <c r="V356" t="s">
        <v>254</v>
      </c>
      <c r="X356">
        <v>1.1415525114155251E-4</v>
      </c>
      <c r="Y356">
        <v>1.4452759200788939E-4</v>
      </c>
      <c r="Z356" t="s">
        <v>1200</v>
      </c>
      <c r="AA356" t="s">
        <v>25</v>
      </c>
      <c r="AC356" t="s">
        <v>22</v>
      </c>
      <c r="AD356" t="s">
        <v>1200</v>
      </c>
      <c r="AE356">
        <v>9.9188886368013234E-5</v>
      </c>
      <c r="AG356" t="s">
        <v>97</v>
      </c>
      <c r="AH356" t="s">
        <v>1200</v>
      </c>
      <c r="AI356">
        <v>0</v>
      </c>
    </row>
    <row r="357" spans="5:35" x14ac:dyDescent="0.45">
      <c r="E357" t="s">
        <v>569</v>
      </c>
      <c r="G357" t="s">
        <v>806</v>
      </c>
      <c r="I357" t="s">
        <v>252</v>
      </c>
      <c r="J357" t="s">
        <v>1201</v>
      </c>
      <c r="K357">
        <v>2.407209652661E-4</v>
      </c>
      <c r="L357" t="s">
        <v>254</v>
      </c>
      <c r="N357" t="s">
        <v>422</v>
      </c>
      <c r="O357" t="s">
        <v>1201</v>
      </c>
      <c r="P357">
        <v>2.0379962996756748E-5</v>
      </c>
      <c r="Q357" t="s">
        <v>254</v>
      </c>
      <c r="S357" t="s">
        <v>423</v>
      </c>
      <c r="T357" t="s">
        <v>1201</v>
      </c>
      <c r="U357">
        <v>4.8278646558504897E-5</v>
      </c>
      <c r="V357" t="s">
        <v>254</v>
      </c>
      <c r="X357">
        <v>1.1415525114155251E-4</v>
      </c>
      <c r="Y357">
        <v>1.408812536774151E-4</v>
      </c>
      <c r="Z357" t="s">
        <v>1201</v>
      </c>
      <c r="AA357" t="s">
        <v>25</v>
      </c>
      <c r="AC357" t="s">
        <v>22</v>
      </c>
      <c r="AD357" t="s">
        <v>1201</v>
      </c>
      <c r="AE357">
        <v>9.8815548381151437E-5</v>
      </c>
      <c r="AG357" t="s">
        <v>97</v>
      </c>
      <c r="AH357" t="s">
        <v>1201</v>
      </c>
      <c r="AI357">
        <v>0</v>
      </c>
    </row>
    <row r="358" spans="5:35" x14ac:dyDescent="0.45">
      <c r="E358" t="s">
        <v>570</v>
      </c>
      <c r="G358" t="s">
        <v>806</v>
      </c>
      <c r="I358" t="s">
        <v>252</v>
      </c>
      <c r="J358" t="s">
        <v>1202</v>
      </c>
      <c r="K358">
        <v>2.5452373587779998E-4</v>
      </c>
      <c r="L358" t="s">
        <v>254</v>
      </c>
      <c r="N358" t="s">
        <v>422</v>
      </c>
      <c r="O358" t="s">
        <v>1202</v>
      </c>
      <c r="P358">
        <v>1.8412402279963162E-5</v>
      </c>
      <c r="Q358" t="s">
        <v>254</v>
      </c>
      <c r="S358" t="s">
        <v>423</v>
      </c>
      <c r="T358" t="s">
        <v>1202</v>
      </c>
      <c r="U358">
        <v>3.9619091852767039E-5</v>
      </c>
      <c r="V358" t="s">
        <v>254</v>
      </c>
      <c r="X358">
        <v>1.1415525114155251E-4</v>
      </c>
      <c r="Y358">
        <v>1.4054976837464471E-4</v>
      </c>
      <c r="Z358" t="s">
        <v>1202</v>
      </c>
      <c r="AA358" t="s">
        <v>25</v>
      </c>
      <c r="AC358" t="s">
        <v>22</v>
      </c>
      <c r="AD358" t="s">
        <v>1202</v>
      </c>
      <c r="AE358">
        <v>9.8766963300669425E-5</v>
      </c>
      <c r="AG358" t="s">
        <v>97</v>
      </c>
      <c r="AH358" t="s">
        <v>1202</v>
      </c>
      <c r="AI358">
        <v>0</v>
      </c>
    </row>
    <row r="359" spans="5:35" x14ac:dyDescent="0.45">
      <c r="E359" t="s">
        <v>571</v>
      </c>
      <c r="G359" t="s">
        <v>806</v>
      </c>
      <c r="I359" t="s">
        <v>252</v>
      </c>
      <c r="J359" t="s">
        <v>1203</v>
      </c>
      <c r="K359">
        <v>2.2278587053669999E-4</v>
      </c>
      <c r="L359" t="s">
        <v>254</v>
      </c>
      <c r="N359" t="s">
        <v>422</v>
      </c>
      <c r="O359" t="s">
        <v>1203</v>
      </c>
      <c r="P359">
        <v>1.547376404978127E-5</v>
      </c>
      <c r="Q359" t="s">
        <v>254</v>
      </c>
      <c r="S359" t="s">
        <v>423</v>
      </c>
      <c r="T359" t="s">
        <v>1203</v>
      </c>
      <c r="U359">
        <v>3.5980840008205393E-5</v>
      </c>
      <c r="V359" t="s">
        <v>254</v>
      </c>
      <c r="X359">
        <v>1.1415525114155251E-4</v>
      </c>
      <c r="Y359">
        <v>1.4253868019126702E-4</v>
      </c>
      <c r="Z359" t="s">
        <v>1203</v>
      </c>
      <c r="AA359" t="s">
        <v>25</v>
      </c>
      <c r="AC359" t="s">
        <v>22</v>
      </c>
      <c r="AD359" t="s">
        <v>1203</v>
      </c>
      <c r="AE359">
        <v>9.832969757633128E-5</v>
      </c>
      <c r="AG359" t="s">
        <v>97</v>
      </c>
      <c r="AH359" t="s">
        <v>1203</v>
      </c>
      <c r="AI359">
        <v>0</v>
      </c>
    </row>
    <row r="360" spans="5:35" x14ac:dyDescent="0.45">
      <c r="E360" t="s">
        <v>572</v>
      </c>
      <c r="G360" t="s">
        <v>806</v>
      </c>
      <c r="I360" t="s">
        <v>252</v>
      </c>
      <c r="J360" t="s">
        <v>1204</v>
      </c>
      <c r="K360">
        <v>2.1281567441340001E-4</v>
      </c>
      <c r="L360" t="s">
        <v>254</v>
      </c>
      <c r="N360" t="s">
        <v>422</v>
      </c>
      <c r="O360" t="s">
        <v>1204</v>
      </c>
      <c r="P360">
        <v>1.314157839833316E-5</v>
      </c>
      <c r="Q360" t="s">
        <v>254</v>
      </c>
      <c r="S360" t="s">
        <v>423</v>
      </c>
      <c r="T360" t="s">
        <v>1204</v>
      </c>
      <c r="U360">
        <v>2.9526486909560748E-5</v>
      </c>
      <c r="V360" t="s">
        <v>254</v>
      </c>
      <c r="X360">
        <v>1.1415525114155251E-4</v>
      </c>
      <c r="Y360">
        <v>1.4883690094390442E-4</v>
      </c>
      <c r="Z360" t="s">
        <v>1204</v>
      </c>
      <c r="AA360" t="s">
        <v>25</v>
      </c>
      <c r="AC360" t="s">
        <v>22</v>
      </c>
      <c r="AD360" t="s">
        <v>1204</v>
      </c>
      <c r="AE360">
        <v>9.7450051908656908E-5</v>
      </c>
      <c r="AG360" t="s">
        <v>97</v>
      </c>
      <c r="AH360" t="s">
        <v>1204</v>
      </c>
      <c r="AI360">
        <v>0</v>
      </c>
    </row>
    <row r="361" spans="5:35" x14ac:dyDescent="0.45">
      <c r="E361" t="s">
        <v>573</v>
      </c>
      <c r="G361" t="s">
        <v>806</v>
      </c>
      <c r="I361" t="s">
        <v>252</v>
      </c>
      <c r="J361" t="s">
        <v>1205</v>
      </c>
      <c r="K361">
        <v>2.0875444507029999E-4</v>
      </c>
      <c r="L361" t="s">
        <v>254</v>
      </c>
      <c r="N361" t="s">
        <v>422</v>
      </c>
      <c r="O361" t="s">
        <v>1205</v>
      </c>
      <c r="P361">
        <v>1.3038277821083374E-5</v>
      </c>
      <c r="Q361" t="s">
        <v>254</v>
      </c>
      <c r="S361" t="s">
        <v>423</v>
      </c>
      <c r="T361" t="s">
        <v>1205</v>
      </c>
      <c r="U361">
        <v>2.8430423251304451E-5</v>
      </c>
      <c r="V361" t="s">
        <v>254</v>
      </c>
      <c r="X361">
        <v>1.1415525114155251E-4</v>
      </c>
      <c r="Y361">
        <v>1.5049432745775637E-4</v>
      </c>
      <c r="Z361" t="s">
        <v>1205</v>
      </c>
      <c r="AA361" t="s">
        <v>25</v>
      </c>
      <c r="AC361" t="s">
        <v>22</v>
      </c>
      <c r="AD361" t="s">
        <v>1205</v>
      </c>
      <c r="AE361">
        <v>9.7097170797787516E-5</v>
      </c>
      <c r="AG361" t="s">
        <v>97</v>
      </c>
      <c r="AH361" t="s">
        <v>1205</v>
      </c>
      <c r="AI361">
        <v>0</v>
      </c>
    </row>
    <row r="362" spans="5:35" x14ac:dyDescent="0.45">
      <c r="E362" t="s">
        <v>574</v>
      </c>
      <c r="G362" t="s">
        <v>806</v>
      </c>
      <c r="I362" t="s">
        <v>252</v>
      </c>
      <c r="J362" t="s">
        <v>1206</v>
      </c>
      <c r="K362">
        <v>1.7391934782060001E-4</v>
      </c>
      <c r="L362" t="s">
        <v>254</v>
      </c>
      <c r="N362" t="s">
        <v>422</v>
      </c>
      <c r="O362" t="s">
        <v>1206</v>
      </c>
      <c r="P362">
        <v>1.4810386139317004E-5</v>
      </c>
      <c r="Q362" t="s">
        <v>254</v>
      </c>
      <c r="S362" t="s">
        <v>423</v>
      </c>
      <c r="T362" t="s">
        <v>1206</v>
      </c>
      <c r="U362">
        <v>3.250923209365187E-5</v>
      </c>
      <c r="V362" t="s">
        <v>254</v>
      </c>
      <c r="X362">
        <v>1.1415525114155251E-4</v>
      </c>
      <c r="Y362">
        <v>1.7237235744060203E-4</v>
      </c>
      <c r="Z362" t="s">
        <v>1206</v>
      </c>
      <c r="AA362" t="s">
        <v>25</v>
      </c>
      <c r="AC362" t="s">
        <v>22</v>
      </c>
      <c r="AD362" t="s">
        <v>1206</v>
      </c>
      <c r="AE362">
        <v>9.7097170797787516E-5</v>
      </c>
      <c r="AG362" t="s">
        <v>97</v>
      </c>
      <c r="AH362" t="s">
        <v>1206</v>
      </c>
      <c r="AI362">
        <v>0</v>
      </c>
    </row>
    <row r="363" spans="5:35" x14ac:dyDescent="0.45">
      <c r="E363" t="s">
        <v>575</v>
      </c>
      <c r="G363" t="s">
        <v>806</v>
      </c>
      <c r="I363" t="s">
        <v>252</v>
      </c>
      <c r="J363" t="s">
        <v>1207</v>
      </c>
      <c r="K363">
        <v>1.4974242404829999E-4</v>
      </c>
      <c r="L363" t="s">
        <v>254</v>
      </c>
      <c r="N363" t="s">
        <v>422</v>
      </c>
      <c r="O363" t="s">
        <v>1207</v>
      </c>
      <c r="P363">
        <v>2.0024927658302161E-5</v>
      </c>
      <c r="Q363" t="s">
        <v>254</v>
      </c>
      <c r="S363" t="s">
        <v>423</v>
      </c>
      <c r="T363" t="s">
        <v>1207</v>
      </c>
      <c r="U363">
        <v>4.0163706551767392E-5</v>
      </c>
      <c r="V363" t="s">
        <v>254</v>
      </c>
      <c r="X363">
        <v>1.1415525114155251E-4</v>
      </c>
      <c r="Y363">
        <v>2.2209515285616027E-4</v>
      </c>
      <c r="Z363" t="s">
        <v>1207</v>
      </c>
      <c r="AA363" t="s">
        <v>25</v>
      </c>
      <c r="AC363" t="s">
        <v>22</v>
      </c>
      <c r="AD363" t="s">
        <v>1207</v>
      </c>
      <c r="AE363">
        <v>9.6631776868959804E-5</v>
      </c>
      <c r="AG363" t="s">
        <v>97</v>
      </c>
      <c r="AH363" t="s">
        <v>1207</v>
      </c>
      <c r="AI363">
        <v>0</v>
      </c>
    </row>
    <row r="364" spans="5:35" x14ac:dyDescent="0.45">
      <c r="E364" t="s">
        <v>576</v>
      </c>
      <c r="G364" t="s">
        <v>806</v>
      </c>
      <c r="I364" t="s">
        <v>252</v>
      </c>
      <c r="J364" t="s">
        <v>1208</v>
      </c>
      <c r="K364">
        <v>1.070859717694E-4</v>
      </c>
      <c r="L364" t="s">
        <v>254</v>
      </c>
      <c r="N364" t="s">
        <v>422</v>
      </c>
      <c r="O364" t="s">
        <v>1208</v>
      </c>
      <c r="P364">
        <v>2.7924191416968677E-5</v>
      </c>
      <c r="Q364" t="s">
        <v>254</v>
      </c>
      <c r="S364" t="s">
        <v>423</v>
      </c>
      <c r="T364" t="s">
        <v>1208</v>
      </c>
      <c r="U364">
        <v>4.6548713269807335E-5</v>
      </c>
      <c r="V364" t="s">
        <v>254</v>
      </c>
      <c r="X364">
        <v>1.1415525114155251E-4</v>
      </c>
      <c r="Y364">
        <v>2.2209515285616027E-4</v>
      </c>
      <c r="Z364" t="s">
        <v>1208</v>
      </c>
      <c r="AA364" t="s">
        <v>25</v>
      </c>
      <c r="AC364" t="s">
        <v>22</v>
      </c>
      <c r="AD364" t="s">
        <v>1208</v>
      </c>
      <c r="AE364">
        <v>9.6631776868959804E-5</v>
      </c>
      <c r="AG364" t="s">
        <v>97</v>
      </c>
      <c r="AH364" t="s">
        <v>1208</v>
      </c>
      <c r="AI364">
        <v>0</v>
      </c>
    </row>
    <row r="365" spans="5:35" x14ac:dyDescent="0.45">
      <c r="E365" t="s">
        <v>577</v>
      </c>
      <c r="G365" t="s">
        <v>806</v>
      </c>
      <c r="I365" t="s">
        <v>252</v>
      </c>
      <c r="J365" t="s">
        <v>1209</v>
      </c>
      <c r="K365">
        <v>2.6566143556366951E-5</v>
      </c>
      <c r="L365" t="s">
        <v>254</v>
      </c>
      <c r="N365" t="s">
        <v>422</v>
      </c>
      <c r="O365" t="s">
        <v>1209</v>
      </c>
      <c r="P365">
        <v>3.4537897763813287E-5</v>
      </c>
      <c r="Q365" t="s">
        <v>254</v>
      </c>
      <c r="S365" t="s">
        <v>423</v>
      </c>
      <c r="T365" t="s">
        <v>1209</v>
      </c>
      <c r="U365">
        <v>4.8007963490430373E-5</v>
      </c>
      <c r="V365" t="s">
        <v>254</v>
      </c>
      <c r="X365">
        <v>1.1415525114155251E-4</v>
      </c>
      <c r="Y365">
        <v>1.7237235744060203E-4</v>
      </c>
      <c r="Z365" t="s">
        <v>1209</v>
      </c>
      <c r="AA365" t="s">
        <v>25</v>
      </c>
      <c r="AC365" t="s">
        <v>22</v>
      </c>
      <c r="AD365" t="s">
        <v>1209</v>
      </c>
      <c r="AE365">
        <v>9.6700818825434261E-5</v>
      </c>
      <c r="AG365" t="s">
        <v>97</v>
      </c>
      <c r="AH365" t="s">
        <v>1209</v>
      </c>
      <c r="AI365">
        <v>0</v>
      </c>
    </row>
    <row r="366" spans="5:35" x14ac:dyDescent="0.45">
      <c r="E366" t="s">
        <v>578</v>
      </c>
      <c r="G366" t="s">
        <v>806</v>
      </c>
      <c r="I366" t="s">
        <v>252</v>
      </c>
      <c r="J366" t="s">
        <v>1210</v>
      </c>
      <c r="K366">
        <v>0</v>
      </c>
      <c r="L366" t="s">
        <v>254</v>
      </c>
      <c r="N366" t="s">
        <v>422</v>
      </c>
      <c r="O366" t="s">
        <v>1210</v>
      </c>
      <c r="P366">
        <v>3.8928649335200881E-5</v>
      </c>
      <c r="Q366" t="s">
        <v>254</v>
      </c>
      <c r="S366" t="s">
        <v>423</v>
      </c>
      <c r="T366" t="s">
        <v>1210</v>
      </c>
      <c r="U366">
        <v>4.6488975933315545E-5</v>
      </c>
      <c r="V366" t="s">
        <v>254</v>
      </c>
      <c r="X366">
        <v>1.1415525114155251E-4</v>
      </c>
      <c r="Y366">
        <v>1.5579809230208258E-4</v>
      </c>
      <c r="Z366" t="s">
        <v>1210</v>
      </c>
      <c r="AA366" t="s">
        <v>25</v>
      </c>
      <c r="AC366" t="s">
        <v>22</v>
      </c>
      <c r="AD366" t="s">
        <v>1210</v>
      </c>
      <c r="AE366">
        <v>9.6700818825434261E-5</v>
      </c>
      <c r="AG366" t="s">
        <v>97</v>
      </c>
      <c r="AH366" t="s">
        <v>1210</v>
      </c>
      <c r="AI366">
        <v>0</v>
      </c>
    </row>
    <row r="367" spans="5:35" x14ac:dyDescent="0.45">
      <c r="E367" t="s">
        <v>579</v>
      </c>
      <c r="G367" t="s">
        <v>806</v>
      </c>
      <c r="I367" t="s">
        <v>252</v>
      </c>
      <c r="J367" t="s">
        <v>1211</v>
      </c>
      <c r="K367">
        <v>0</v>
      </c>
      <c r="L367" t="s">
        <v>254</v>
      </c>
      <c r="N367" t="s">
        <v>422</v>
      </c>
      <c r="O367" t="s">
        <v>1211</v>
      </c>
      <c r="P367">
        <v>4.0325855771564639E-5</v>
      </c>
      <c r="Q367" t="s">
        <v>254</v>
      </c>
      <c r="S367" t="s">
        <v>423</v>
      </c>
      <c r="T367" t="s">
        <v>1211</v>
      </c>
      <c r="U367">
        <v>4.4281891338095738E-5</v>
      </c>
      <c r="V367" t="s">
        <v>254</v>
      </c>
      <c r="X367">
        <v>1.1415525114155251E-4</v>
      </c>
      <c r="Y367">
        <v>1.093901499142282E-4</v>
      </c>
      <c r="Z367" t="s">
        <v>1211</v>
      </c>
      <c r="AA367" t="s">
        <v>25</v>
      </c>
      <c r="AC367" t="s">
        <v>22</v>
      </c>
      <c r="AD367" t="s">
        <v>1211</v>
      </c>
      <c r="AE367">
        <v>9.6002727932192653E-5</v>
      </c>
      <c r="AG367" t="s">
        <v>97</v>
      </c>
      <c r="AH367" t="s">
        <v>1211</v>
      </c>
      <c r="AI367">
        <v>0</v>
      </c>
    </row>
    <row r="368" spans="5:35" x14ac:dyDescent="0.45">
      <c r="E368" t="s">
        <v>580</v>
      </c>
      <c r="G368" t="s">
        <v>806</v>
      </c>
      <c r="I368" t="s">
        <v>252</v>
      </c>
      <c r="J368" t="s">
        <v>1212</v>
      </c>
      <c r="K368">
        <v>0</v>
      </c>
      <c r="L368" t="s">
        <v>254</v>
      </c>
      <c r="N368" t="s">
        <v>422</v>
      </c>
      <c r="O368" t="s">
        <v>1212</v>
      </c>
      <c r="P368">
        <v>3.8889223390734371E-5</v>
      </c>
      <c r="Q368" t="s">
        <v>254</v>
      </c>
      <c r="S368" t="s">
        <v>423</v>
      </c>
      <c r="T368" t="s">
        <v>1212</v>
      </c>
      <c r="U368">
        <v>4.8276217726564313E-5</v>
      </c>
      <c r="V368" t="s">
        <v>254</v>
      </c>
      <c r="X368">
        <v>1.1415525114155251E-4</v>
      </c>
      <c r="Y368">
        <v>7.9556472664893237E-5</v>
      </c>
      <c r="Z368" t="s">
        <v>1212</v>
      </c>
      <c r="AA368" t="s">
        <v>25</v>
      </c>
      <c r="AC368" t="s">
        <v>22</v>
      </c>
      <c r="AD368" t="s">
        <v>1212</v>
      </c>
      <c r="AE368">
        <v>9.2530173232478069E-5</v>
      </c>
      <c r="AG368" t="s">
        <v>97</v>
      </c>
      <c r="AH368" t="s">
        <v>1212</v>
      </c>
      <c r="AI368">
        <v>0</v>
      </c>
    </row>
    <row r="369" spans="5:35" x14ac:dyDescent="0.45">
      <c r="E369" t="s">
        <v>581</v>
      </c>
      <c r="G369" t="s">
        <v>806</v>
      </c>
      <c r="I369" t="s">
        <v>252</v>
      </c>
      <c r="J369" t="s">
        <v>1213</v>
      </c>
      <c r="K369">
        <v>0</v>
      </c>
      <c r="L369" t="s">
        <v>254</v>
      </c>
      <c r="N369" t="s">
        <v>422</v>
      </c>
      <c r="O369" t="s">
        <v>1213</v>
      </c>
      <c r="P369">
        <v>3.8301548640012183E-5</v>
      </c>
      <c r="Q369" t="s">
        <v>254</v>
      </c>
      <c r="S369" t="s">
        <v>423</v>
      </c>
      <c r="T369" t="s">
        <v>1213</v>
      </c>
      <c r="U369">
        <v>5.6437357634780143E-5</v>
      </c>
      <c r="V369" t="s">
        <v>254</v>
      </c>
      <c r="X369">
        <v>1.1415525114155251E-4</v>
      </c>
      <c r="Y369">
        <v>5.6352501470966035E-5</v>
      </c>
      <c r="Z369" t="s">
        <v>1213</v>
      </c>
      <c r="AA369" t="s">
        <v>25</v>
      </c>
      <c r="AC369" t="s">
        <v>22</v>
      </c>
      <c r="AD369" t="s">
        <v>1213</v>
      </c>
      <c r="AE369">
        <v>9.4657688335690542E-5</v>
      </c>
      <c r="AG369" t="s">
        <v>97</v>
      </c>
      <c r="AH369" t="s">
        <v>1213</v>
      </c>
      <c r="AI369">
        <v>0</v>
      </c>
    </row>
    <row r="370" spans="5:35" x14ac:dyDescent="0.45">
      <c r="E370" t="s">
        <v>582</v>
      </c>
      <c r="G370" t="s">
        <v>806</v>
      </c>
      <c r="I370" t="s">
        <v>252</v>
      </c>
      <c r="J370" t="s">
        <v>1214</v>
      </c>
      <c r="K370">
        <v>0</v>
      </c>
      <c r="L370" t="s">
        <v>254</v>
      </c>
      <c r="N370" t="s">
        <v>422</v>
      </c>
      <c r="O370" t="s">
        <v>1214</v>
      </c>
      <c r="P370">
        <v>3.3654031881671714E-5</v>
      </c>
      <c r="Q370" t="s">
        <v>254</v>
      </c>
      <c r="S370" t="s">
        <v>423</v>
      </c>
      <c r="T370" t="s">
        <v>1214</v>
      </c>
      <c r="U370">
        <v>4.68466141657026E-5</v>
      </c>
      <c r="V370" t="s">
        <v>254</v>
      </c>
      <c r="X370">
        <v>1.1415525114155251E-4</v>
      </c>
      <c r="Y370">
        <v>2.9833677249334962E-5</v>
      </c>
      <c r="Z370" t="s">
        <v>1214</v>
      </c>
      <c r="AA370" t="s">
        <v>25</v>
      </c>
      <c r="AC370" t="s">
        <v>22</v>
      </c>
      <c r="AD370" t="s">
        <v>1214</v>
      </c>
      <c r="AE370">
        <v>8.5835660563956094E-5</v>
      </c>
      <c r="AG370" t="s">
        <v>97</v>
      </c>
      <c r="AH370" t="s">
        <v>1214</v>
      </c>
      <c r="AI370">
        <v>0</v>
      </c>
    </row>
    <row r="371" spans="5:35" x14ac:dyDescent="0.45">
      <c r="E371" t="s">
        <v>243</v>
      </c>
      <c r="G371" t="s">
        <v>155</v>
      </c>
      <c r="I371" t="s">
        <v>252</v>
      </c>
      <c r="J371" t="s">
        <v>1215</v>
      </c>
      <c r="K371">
        <v>0</v>
      </c>
      <c r="L371" t="s">
        <v>254</v>
      </c>
      <c r="N371" t="s">
        <v>422</v>
      </c>
      <c r="O371" t="s">
        <v>1215</v>
      </c>
      <c r="P371">
        <v>3.1906148699199427E-5</v>
      </c>
      <c r="Q371" t="s">
        <v>254</v>
      </c>
      <c r="S371" t="s">
        <v>423</v>
      </c>
      <c r="T371" t="s">
        <v>1215</v>
      </c>
      <c r="U371">
        <v>3.9771537295658766E-5</v>
      </c>
      <c r="V371" t="s">
        <v>254</v>
      </c>
      <c r="X371">
        <v>1.1415525114155251E-4</v>
      </c>
      <c r="Y371">
        <v>2.1546544680075254E-5</v>
      </c>
      <c r="Z371" t="s">
        <v>1215</v>
      </c>
      <c r="AA371" t="s">
        <v>25</v>
      </c>
      <c r="AC371" t="s">
        <v>22</v>
      </c>
      <c r="AD371" t="s">
        <v>1215</v>
      </c>
      <c r="AE371">
        <v>8.0133306381066906E-5</v>
      </c>
      <c r="AG371" t="s">
        <v>97</v>
      </c>
      <c r="AH371" t="s">
        <v>1215</v>
      </c>
      <c r="AI371">
        <v>0</v>
      </c>
    </row>
    <row r="372" spans="5:35" x14ac:dyDescent="0.45">
      <c r="E372" t="s">
        <v>244</v>
      </c>
      <c r="G372" t="s">
        <v>155</v>
      </c>
      <c r="I372" t="s">
        <v>252</v>
      </c>
      <c r="J372" t="s">
        <v>1216</v>
      </c>
      <c r="K372">
        <v>0</v>
      </c>
      <c r="L372" t="s">
        <v>254</v>
      </c>
      <c r="N372" t="s">
        <v>422</v>
      </c>
      <c r="O372" t="s">
        <v>1216</v>
      </c>
      <c r="P372">
        <v>3.1294991697989145E-5</v>
      </c>
      <c r="Q372" t="s">
        <v>254</v>
      </c>
      <c r="S372" t="s">
        <v>423</v>
      </c>
      <c r="T372" t="s">
        <v>1216</v>
      </c>
      <c r="U372">
        <v>3.5534524949985278E-5</v>
      </c>
      <c r="V372" t="s">
        <v>254</v>
      </c>
      <c r="X372">
        <v>1.1415525114155251E-4</v>
      </c>
      <c r="Y372">
        <v>1.4916838624667481E-5</v>
      </c>
      <c r="Z372" t="s">
        <v>1216</v>
      </c>
      <c r="AA372" t="s">
        <v>25</v>
      </c>
      <c r="AC372" t="s">
        <v>22</v>
      </c>
      <c r="AD372" t="s">
        <v>1216</v>
      </c>
      <c r="AE372">
        <v>7.901584952998053E-5</v>
      </c>
      <c r="AG372" t="s">
        <v>97</v>
      </c>
      <c r="AH372" t="s">
        <v>1216</v>
      </c>
      <c r="AI372">
        <v>0</v>
      </c>
    </row>
    <row r="373" spans="5:35" x14ac:dyDescent="0.45">
      <c r="E373" t="s">
        <v>245</v>
      </c>
      <c r="G373" t="s">
        <v>155</v>
      </c>
      <c r="I373" t="s">
        <v>252</v>
      </c>
      <c r="J373" t="s">
        <v>1217</v>
      </c>
      <c r="K373">
        <v>0</v>
      </c>
      <c r="L373" t="s">
        <v>254</v>
      </c>
      <c r="N373" t="s">
        <v>422</v>
      </c>
      <c r="O373" t="s">
        <v>1217</v>
      </c>
      <c r="P373">
        <v>3.0735943182498923E-5</v>
      </c>
      <c r="Q373" t="s">
        <v>254</v>
      </c>
      <c r="S373" t="s">
        <v>423</v>
      </c>
      <c r="T373" t="s">
        <v>1217</v>
      </c>
      <c r="U373">
        <v>3.2864067496697409E-5</v>
      </c>
      <c r="V373" t="s">
        <v>254</v>
      </c>
      <c r="X373">
        <v>1.1415525114155251E-4</v>
      </c>
      <c r="Y373">
        <v>1.6574265138519424E-5</v>
      </c>
      <c r="Z373" t="s">
        <v>1217</v>
      </c>
      <c r="AA373" t="s">
        <v>25</v>
      </c>
      <c r="AC373" t="s">
        <v>22</v>
      </c>
      <c r="AD373" t="s">
        <v>1217</v>
      </c>
      <c r="AE373">
        <v>7.901584952998053E-5</v>
      </c>
      <c r="AG373" t="s">
        <v>97</v>
      </c>
      <c r="AH373" t="s">
        <v>1217</v>
      </c>
      <c r="AI373">
        <v>0</v>
      </c>
    </row>
    <row r="374" spans="5:35" x14ac:dyDescent="0.45">
      <c r="E374" t="s">
        <v>246</v>
      </c>
      <c r="G374" t="s">
        <v>155</v>
      </c>
      <c r="I374" t="s">
        <v>252</v>
      </c>
      <c r="J374" t="s">
        <v>1218</v>
      </c>
      <c r="K374">
        <v>0</v>
      </c>
      <c r="L374" t="s">
        <v>254</v>
      </c>
      <c r="N374" t="s">
        <v>422</v>
      </c>
      <c r="O374" t="s">
        <v>1218</v>
      </c>
      <c r="P374">
        <v>3.073102825111934E-5</v>
      </c>
      <c r="Q374" t="s">
        <v>254</v>
      </c>
      <c r="S374" t="s">
        <v>423</v>
      </c>
      <c r="T374" t="s">
        <v>1218</v>
      </c>
      <c r="U374">
        <v>3.0869551288963338E-5</v>
      </c>
      <c r="V374" t="s">
        <v>254</v>
      </c>
      <c r="X374">
        <v>1.1415525114155251E-4</v>
      </c>
      <c r="Y374">
        <v>1.4585353321897093E-5</v>
      </c>
      <c r="Z374" t="s">
        <v>1218</v>
      </c>
      <c r="AA374" t="s">
        <v>25</v>
      </c>
      <c r="AC374" t="s">
        <v>22</v>
      </c>
      <c r="AD374" t="s">
        <v>1218</v>
      </c>
      <c r="AE374">
        <v>8.0048921767598126E-5</v>
      </c>
      <c r="AG374" t="s">
        <v>97</v>
      </c>
      <c r="AH374" t="s">
        <v>1218</v>
      </c>
      <c r="AI374">
        <v>0</v>
      </c>
    </row>
    <row r="375" spans="5:35" x14ac:dyDescent="0.45">
      <c r="E375" t="s">
        <v>247</v>
      </c>
      <c r="G375" t="s">
        <v>155</v>
      </c>
      <c r="I375" t="s">
        <v>252</v>
      </c>
      <c r="J375" t="s">
        <v>1219</v>
      </c>
      <c r="K375">
        <v>0</v>
      </c>
      <c r="L375" t="s">
        <v>254</v>
      </c>
      <c r="N375" t="s">
        <v>422</v>
      </c>
      <c r="O375" t="s">
        <v>1219</v>
      </c>
      <c r="P375">
        <v>2.997846758931142E-5</v>
      </c>
      <c r="Q375" t="s">
        <v>254</v>
      </c>
      <c r="S375" t="s">
        <v>423</v>
      </c>
      <c r="T375" t="s">
        <v>1219</v>
      </c>
      <c r="U375">
        <v>2.820041843411405E-5</v>
      </c>
      <c r="V375" t="s">
        <v>254</v>
      </c>
      <c r="X375">
        <v>1.1415525114155251E-4</v>
      </c>
      <c r="Y375">
        <v>2.1215059377304864E-5</v>
      </c>
      <c r="Z375" t="s">
        <v>1219</v>
      </c>
      <c r="AA375" t="s">
        <v>25</v>
      </c>
      <c r="AC375" t="s">
        <v>22</v>
      </c>
      <c r="AD375" t="s">
        <v>1219</v>
      </c>
      <c r="AE375">
        <v>8.6840604597084124E-5</v>
      </c>
      <c r="AG375" t="s">
        <v>97</v>
      </c>
      <c r="AH375" t="s">
        <v>1219</v>
      </c>
      <c r="AI375">
        <v>0</v>
      </c>
    </row>
    <row r="376" spans="5:35" x14ac:dyDescent="0.45">
      <c r="E376" t="s">
        <v>248</v>
      </c>
      <c r="G376" t="s">
        <v>155</v>
      </c>
      <c r="I376" t="s">
        <v>252</v>
      </c>
      <c r="J376" t="s">
        <v>1220</v>
      </c>
      <c r="K376">
        <v>0</v>
      </c>
      <c r="L376" t="s">
        <v>254</v>
      </c>
      <c r="N376" t="s">
        <v>422</v>
      </c>
      <c r="O376" t="s">
        <v>1220</v>
      </c>
      <c r="P376">
        <v>3.0459138731807801E-5</v>
      </c>
      <c r="Q376" t="s">
        <v>254</v>
      </c>
      <c r="S376" t="s">
        <v>423</v>
      </c>
      <c r="T376" t="s">
        <v>1220</v>
      </c>
      <c r="U376">
        <v>2.689804173468857E-5</v>
      </c>
      <c r="V376" t="s">
        <v>254</v>
      </c>
      <c r="X376">
        <v>1.1415525114155251E-4</v>
      </c>
      <c r="Y376">
        <v>5.7678442682047593E-5</v>
      </c>
      <c r="Z376" t="s">
        <v>1220</v>
      </c>
      <c r="AA376" t="s">
        <v>25</v>
      </c>
      <c r="AC376" t="s">
        <v>22</v>
      </c>
      <c r="AD376" t="s">
        <v>1220</v>
      </c>
      <c r="AE376">
        <v>1.0243385832231207E-4</v>
      </c>
      <c r="AG376" t="s">
        <v>97</v>
      </c>
      <c r="AH376" t="s">
        <v>1220</v>
      </c>
      <c r="AI376">
        <v>0</v>
      </c>
    </row>
    <row r="377" spans="5:35" x14ac:dyDescent="0.45">
      <c r="E377" t="s">
        <v>249</v>
      </c>
      <c r="G377" t="s">
        <v>155</v>
      </c>
      <c r="I377" t="s">
        <v>252</v>
      </c>
      <c r="J377" t="s">
        <v>1221</v>
      </c>
      <c r="K377">
        <v>4.2057934589133619E-7</v>
      </c>
      <c r="L377" t="s">
        <v>254</v>
      </c>
      <c r="N377" t="s">
        <v>422</v>
      </c>
      <c r="O377" t="s">
        <v>1221</v>
      </c>
      <c r="P377">
        <v>3.3171117190108364E-5</v>
      </c>
      <c r="Q377" t="s">
        <v>254</v>
      </c>
      <c r="S377" t="s">
        <v>423</v>
      </c>
      <c r="T377" t="s">
        <v>1221</v>
      </c>
      <c r="U377">
        <v>2.7750827675545807E-5</v>
      </c>
      <c r="V377" t="s">
        <v>254</v>
      </c>
      <c r="X377">
        <v>1.1415525114155251E-4</v>
      </c>
      <c r="Y377">
        <v>1.6905750441289813E-4</v>
      </c>
      <c r="Z377" t="s">
        <v>1221</v>
      </c>
      <c r="AA377" t="s">
        <v>25</v>
      </c>
      <c r="AC377" t="s">
        <v>22</v>
      </c>
      <c r="AD377" t="s">
        <v>1221</v>
      </c>
      <c r="AE377">
        <v>1.1428350374092581E-4</v>
      </c>
      <c r="AG377" t="s">
        <v>97</v>
      </c>
      <c r="AH377" t="s">
        <v>1221</v>
      </c>
      <c r="AI377">
        <v>0</v>
      </c>
    </row>
    <row r="378" spans="5:35" x14ac:dyDescent="0.45">
      <c r="E378" t="s">
        <v>250</v>
      </c>
      <c r="G378" t="s">
        <v>155</v>
      </c>
      <c r="I378" t="s">
        <v>252</v>
      </c>
      <c r="J378" t="s">
        <v>1222</v>
      </c>
      <c r="K378">
        <v>7.920650429448173E-5</v>
      </c>
      <c r="L378" t="s">
        <v>254</v>
      </c>
      <c r="N378" t="s">
        <v>422</v>
      </c>
      <c r="O378" t="s">
        <v>1222</v>
      </c>
      <c r="P378">
        <v>3.1075350932897762E-5</v>
      </c>
      <c r="Q378" t="s">
        <v>254</v>
      </c>
      <c r="S378" t="s">
        <v>423</v>
      </c>
      <c r="T378" t="s">
        <v>1222</v>
      </c>
      <c r="U378">
        <v>2.9073628080120008E-5</v>
      </c>
      <c r="V378" t="s">
        <v>254</v>
      </c>
      <c r="X378">
        <v>1.1415525114155251E-4</v>
      </c>
      <c r="Y378">
        <v>1.9060404909297337E-4</v>
      </c>
      <c r="Z378" t="s">
        <v>1222</v>
      </c>
      <c r="AA378" t="s">
        <v>25</v>
      </c>
      <c r="AC378" t="s">
        <v>22</v>
      </c>
      <c r="AD378" t="s">
        <v>1222</v>
      </c>
      <c r="AE378">
        <v>1.222591282684735E-4</v>
      </c>
      <c r="AG378" t="s">
        <v>97</v>
      </c>
      <c r="AH378" t="s">
        <v>1222</v>
      </c>
      <c r="AI378">
        <v>0</v>
      </c>
    </row>
    <row r="379" spans="5:35" x14ac:dyDescent="0.45">
      <c r="I379" t="s">
        <v>252</v>
      </c>
      <c r="J379" t="s">
        <v>1223</v>
      </c>
      <c r="K379">
        <v>1.4518628178089999E-4</v>
      </c>
      <c r="L379" t="s">
        <v>254</v>
      </c>
      <c r="N379" t="s">
        <v>422</v>
      </c>
      <c r="O379" t="s">
        <v>1223</v>
      </c>
      <c r="P379">
        <v>2.559749757255029E-5</v>
      </c>
      <c r="Q379" t="s">
        <v>254</v>
      </c>
      <c r="S379" t="s">
        <v>423</v>
      </c>
      <c r="T379" t="s">
        <v>1223</v>
      </c>
      <c r="U379">
        <v>3.0888147508942493E-5</v>
      </c>
      <c r="V379" t="s">
        <v>254</v>
      </c>
      <c r="X379">
        <v>1.1415525114155251E-4</v>
      </c>
      <c r="Y379">
        <v>1.4585353321897094E-4</v>
      </c>
      <c r="Z379" t="s">
        <v>1223</v>
      </c>
      <c r="AA379" t="s">
        <v>25</v>
      </c>
      <c r="AC379" t="s">
        <v>22</v>
      </c>
      <c r="AD379" t="s">
        <v>1223</v>
      </c>
      <c r="AE379">
        <v>1.2750120274153311E-4</v>
      </c>
      <c r="AG379" t="s">
        <v>97</v>
      </c>
      <c r="AH379" t="s">
        <v>1223</v>
      </c>
      <c r="AI379">
        <v>0</v>
      </c>
    </row>
    <row r="380" spans="5:35" x14ac:dyDescent="0.45">
      <c r="I380" t="s">
        <v>252</v>
      </c>
      <c r="J380" t="s">
        <v>1224</v>
      </c>
      <c r="K380">
        <v>2.041808831374E-4</v>
      </c>
      <c r="L380" t="s">
        <v>254</v>
      </c>
      <c r="N380" t="s">
        <v>422</v>
      </c>
      <c r="O380" t="s">
        <v>1224</v>
      </c>
      <c r="P380">
        <v>2.1141155240731917E-5</v>
      </c>
      <c r="Q380" t="s">
        <v>254</v>
      </c>
      <c r="S380" t="s">
        <v>423</v>
      </c>
      <c r="T380" t="s">
        <v>1224</v>
      </c>
      <c r="U380">
        <v>2.9542421315392777E-5</v>
      </c>
      <c r="V380" t="s">
        <v>254</v>
      </c>
      <c r="X380">
        <v>1.1415525114155251E-4</v>
      </c>
      <c r="Y380">
        <v>1.4452759200788939E-4</v>
      </c>
      <c r="Z380" t="s">
        <v>1224</v>
      </c>
      <c r="AA380" t="s">
        <v>25</v>
      </c>
      <c r="AC380" t="s">
        <v>22</v>
      </c>
      <c r="AD380" t="s">
        <v>1224</v>
      </c>
      <c r="AE380">
        <v>1.2756768758850849E-4</v>
      </c>
      <c r="AG380" t="s">
        <v>97</v>
      </c>
      <c r="AH380" t="s">
        <v>1224</v>
      </c>
      <c r="AI380">
        <v>0</v>
      </c>
    </row>
    <row r="381" spans="5:35" x14ac:dyDescent="0.45">
      <c r="I381" t="s">
        <v>252</v>
      </c>
      <c r="J381" t="s">
        <v>1225</v>
      </c>
      <c r="K381">
        <v>2.502357475638E-4</v>
      </c>
      <c r="L381" t="s">
        <v>254</v>
      </c>
      <c r="N381" t="s">
        <v>422</v>
      </c>
      <c r="O381" t="s">
        <v>1225</v>
      </c>
      <c r="P381">
        <v>2.1184814862373397E-5</v>
      </c>
      <c r="Q381" t="s">
        <v>254</v>
      </c>
      <c r="S381" t="s">
        <v>423</v>
      </c>
      <c r="T381" t="s">
        <v>1225</v>
      </c>
      <c r="U381">
        <v>4.1398065854470639E-5</v>
      </c>
      <c r="V381" t="s">
        <v>254</v>
      </c>
      <c r="X381">
        <v>1.1415525114155251E-4</v>
      </c>
      <c r="Y381">
        <v>1.408812536774151E-4</v>
      </c>
      <c r="Z381" t="s">
        <v>1225</v>
      </c>
      <c r="AA381" t="s">
        <v>25</v>
      </c>
      <c r="AC381" t="s">
        <v>22</v>
      </c>
      <c r="AD381" t="s">
        <v>1225</v>
      </c>
      <c r="AE381">
        <v>1.2748841719403784E-4</v>
      </c>
      <c r="AG381" t="s">
        <v>97</v>
      </c>
      <c r="AH381" t="s">
        <v>1225</v>
      </c>
      <c r="AI381">
        <v>0</v>
      </c>
    </row>
    <row r="382" spans="5:35" x14ac:dyDescent="0.45">
      <c r="I382" t="s">
        <v>252</v>
      </c>
      <c r="J382" t="s">
        <v>1226</v>
      </c>
      <c r="K382">
        <v>2.4183660186060001E-4</v>
      </c>
      <c r="L382" t="s">
        <v>254</v>
      </c>
      <c r="N382" t="s">
        <v>422</v>
      </c>
      <c r="O382" t="s">
        <v>1226</v>
      </c>
      <c r="P382">
        <v>2.2556789224207856E-5</v>
      </c>
      <c r="Q382" t="s">
        <v>254</v>
      </c>
      <c r="S382" t="s">
        <v>423</v>
      </c>
      <c r="T382" t="s">
        <v>1226</v>
      </c>
      <c r="U382">
        <v>5.2281014085653078E-5</v>
      </c>
      <c r="V382" t="s">
        <v>254</v>
      </c>
      <c r="X382">
        <v>1.1415525114155251E-4</v>
      </c>
      <c r="Y382">
        <v>1.4054976837464471E-4</v>
      </c>
      <c r="Z382" t="s">
        <v>1226</v>
      </c>
      <c r="AA382" t="s">
        <v>25</v>
      </c>
      <c r="AC382" t="s">
        <v>22</v>
      </c>
      <c r="AD382" t="s">
        <v>1226</v>
      </c>
      <c r="AE382">
        <v>1.2704603725070159E-4</v>
      </c>
      <c r="AG382" t="s">
        <v>97</v>
      </c>
      <c r="AH382" t="s">
        <v>1226</v>
      </c>
      <c r="AI382">
        <v>0</v>
      </c>
    </row>
    <row r="383" spans="5:35" x14ac:dyDescent="0.45">
      <c r="I383" t="s">
        <v>252</v>
      </c>
      <c r="J383" t="s">
        <v>1227</v>
      </c>
      <c r="K383">
        <v>2.1392690628139999E-4</v>
      </c>
      <c r="L383" t="s">
        <v>254</v>
      </c>
      <c r="N383" t="s">
        <v>422</v>
      </c>
      <c r="O383" t="s">
        <v>1227</v>
      </c>
      <c r="P383">
        <v>2.6509234262134769E-5</v>
      </c>
      <c r="Q383" t="s">
        <v>254</v>
      </c>
      <c r="S383" t="s">
        <v>423</v>
      </c>
      <c r="T383" t="s">
        <v>1227</v>
      </c>
      <c r="U383">
        <v>5.7767525616038342E-5</v>
      </c>
      <c r="V383" t="s">
        <v>254</v>
      </c>
      <c r="X383">
        <v>1.1415525114155251E-4</v>
      </c>
      <c r="Y383">
        <v>1.4253868019126702E-4</v>
      </c>
      <c r="Z383" t="s">
        <v>1227</v>
      </c>
      <c r="AA383" t="s">
        <v>25</v>
      </c>
      <c r="AC383" t="s">
        <v>22</v>
      </c>
      <c r="AD383" t="s">
        <v>1227</v>
      </c>
      <c r="AE383">
        <v>1.2704603725070159E-4</v>
      </c>
      <c r="AG383" t="s">
        <v>97</v>
      </c>
      <c r="AH383" t="s">
        <v>1227</v>
      </c>
      <c r="AI383">
        <v>0</v>
      </c>
    </row>
    <row r="384" spans="5:35" x14ac:dyDescent="0.45">
      <c r="I384" t="s">
        <v>252</v>
      </c>
      <c r="J384" t="s">
        <v>1228</v>
      </c>
      <c r="K384">
        <v>2.10345785809E-4</v>
      </c>
      <c r="L384" t="s">
        <v>254</v>
      </c>
      <c r="N384" t="s">
        <v>422</v>
      </c>
      <c r="O384" t="s">
        <v>1228</v>
      </c>
      <c r="P384">
        <v>3.029445368942508E-5</v>
      </c>
      <c r="Q384" t="s">
        <v>254</v>
      </c>
      <c r="S384" t="s">
        <v>423</v>
      </c>
      <c r="T384" t="s">
        <v>1228</v>
      </c>
      <c r="U384">
        <v>5.5520304496454096E-5</v>
      </c>
      <c r="V384" t="s">
        <v>254</v>
      </c>
      <c r="X384">
        <v>1.1415525114155251E-4</v>
      </c>
      <c r="Y384">
        <v>1.4883690094390442E-4</v>
      </c>
      <c r="Z384" t="s">
        <v>1228</v>
      </c>
      <c r="AA384" t="s">
        <v>25</v>
      </c>
      <c r="AC384" t="s">
        <v>22</v>
      </c>
      <c r="AD384" t="s">
        <v>1228</v>
      </c>
      <c r="AE384">
        <v>1.2581095336265877E-4</v>
      </c>
      <c r="AG384" t="s">
        <v>97</v>
      </c>
      <c r="AH384" t="s">
        <v>1228</v>
      </c>
      <c r="AI384">
        <v>0</v>
      </c>
    </row>
    <row r="385" spans="9:35" x14ac:dyDescent="0.45">
      <c r="I385" t="s">
        <v>252</v>
      </c>
      <c r="J385" t="s">
        <v>1229</v>
      </c>
      <c r="K385">
        <v>1.943573956904E-4</v>
      </c>
      <c r="L385" t="s">
        <v>254</v>
      </c>
      <c r="N385" t="s">
        <v>422</v>
      </c>
      <c r="O385" t="s">
        <v>1229</v>
      </c>
      <c r="P385">
        <v>3.1274082998777582E-5</v>
      </c>
      <c r="Q385" t="s">
        <v>254</v>
      </c>
      <c r="S385" t="s">
        <v>423</v>
      </c>
      <c r="T385" t="s">
        <v>1229</v>
      </c>
      <c r="U385">
        <v>5.0545618168607589E-5</v>
      </c>
      <c r="V385" t="s">
        <v>254</v>
      </c>
      <c r="X385">
        <v>1.1415525114155251E-4</v>
      </c>
      <c r="Y385">
        <v>1.5049432745775637E-4</v>
      </c>
      <c r="Z385" t="s">
        <v>1229</v>
      </c>
      <c r="AA385" t="s">
        <v>25</v>
      </c>
      <c r="AC385" t="s">
        <v>22</v>
      </c>
      <c r="AD385" t="s">
        <v>1229</v>
      </c>
      <c r="AE385">
        <v>1.2479578089153454E-4</v>
      </c>
      <c r="AG385" t="s">
        <v>97</v>
      </c>
      <c r="AH385" t="s">
        <v>1229</v>
      </c>
      <c r="AI385">
        <v>0</v>
      </c>
    </row>
    <row r="386" spans="9:35" x14ac:dyDescent="0.45">
      <c r="I386" t="s">
        <v>252</v>
      </c>
      <c r="J386" t="s">
        <v>1230</v>
      </c>
      <c r="K386">
        <v>1.995036049528E-4</v>
      </c>
      <c r="L386" t="s">
        <v>254</v>
      </c>
      <c r="N386" t="s">
        <v>422</v>
      </c>
      <c r="O386" t="s">
        <v>1230</v>
      </c>
      <c r="P386">
        <v>3.2057964908343284E-5</v>
      </c>
      <c r="Q386" t="s">
        <v>254</v>
      </c>
      <c r="S386" t="s">
        <v>423</v>
      </c>
      <c r="T386" t="s">
        <v>1230</v>
      </c>
      <c r="U386">
        <v>5.1026484633259998E-5</v>
      </c>
      <c r="V386" t="s">
        <v>254</v>
      </c>
      <c r="X386">
        <v>1.1415525114155251E-4</v>
      </c>
      <c r="Y386">
        <v>1.7237235744060203E-4</v>
      </c>
      <c r="Z386" t="s">
        <v>1230</v>
      </c>
      <c r="AA386" t="s">
        <v>25</v>
      </c>
      <c r="AC386" t="s">
        <v>22</v>
      </c>
      <c r="AD386" t="s">
        <v>1230</v>
      </c>
      <c r="AE386">
        <v>1.2479578089153454E-4</v>
      </c>
      <c r="AG386" t="s">
        <v>97</v>
      </c>
      <c r="AH386" t="s">
        <v>1230</v>
      </c>
      <c r="AI386">
        <v>0</v>
      </c>
    </row>
    <row r="387" spans="9:35" x14ac:dyDescent="0.45">
      <c r="I387" t="s">
        <v>252</v>
      </c>
      <c r="J387" t="s">
        <v>1231</v>
      </c>
      <c r="K387">
        <v>1.6573924479780001E-4</v>
      </c>
      <c r="L387" t="s">
        <v>254</v>
      </c>
      <c r="N387" t="s">
        <v>422</v>
      </c>
      <c r="O387" t="s">
        <v>1231</v>
      </c>
      <c r="P387">
        <v>3.2454689719323502E-5</v>
      </c>
      <c r="Q387" t="s">
        <v>254</v>
      </c>
      <c r="S387" t="s">
        <v>423</v>
      </c>
      <c r="T387" t="s">
        <v>1231</v>
      </c>
      <c r="U387">
        <v>5.6775026546545667E-5</v>
      </c>
      <c r="V387" t="s">
        <v>254</v>
      </c>
      <c r="X387">
        <v>1.1415525114155251E-4</v>
      </c>
      <c r="Y387">
        <v>2.2209515285616027E-4</v>
      </c>
      <c r="Z387" t="s">
        <v>1231</v>
      </c>
      <c r="AA387" t="s">
        <v>25</v>
      </c>
      <c r="AC387" t="s">
        <v>22</v>
      </c>
      <c r="AD387" t="s">
        <v>1231</v>
      </c>
      <c r="AE387">
        <v>1.2449915618964436E-4</v>
      </c>
      <c r="AG387" t="s">
        <v>97</v>
      </c>
      <c r="AH387" t="s">
        <v>1231</v>
      </c>
      <c r="AI387">
        <v>0</v>
      </c>
    </row>
    <row r="388" spans="9:35" x14ac:dyDescent="0.45">
      <c r="I388" t="s">
        <v>252</v>
      </c>
      <c r="J388" t="s">
        <v>1232</v>
      </c>
      <c r="K388">
        <v>1.296021840101E-4</v>
      </c>
      <c r="L388" t="s">
        <v>254</v>
      </c>
      <c r="N388" t="s">
        <v>422</v>
      </c>
      <c r="O388" t="s">
        <v>1232</v>
      </c>
      <c r="P388">
        <v>3.6131670211112543E-5</v>
      </c>
      <c r="Q388" t="s">
        <v>254</v>
      </c>
      <c r="S388" t="s">
        <v>423</v>
      </c>
      <c r="T388" t="s">
        <v>1232</v>
      </c>
      <c r="U388">
        <v>6.1719754257643888E-5</v>
      </c>
      <c r="V388" t="s">
        <v>254</v>
      </c>
      <c r="X388">
        <v>1.1415525114155251E-4</v>
      </c>
      <c r="Y388">
        <v>2.2209515285616027E-4</v>
      </c>
      <c r="Z388" t="s">
        <v>1232</v>
      </c>
      <c r="AA388" t="s">
        <v>25</v>
      </c>
      <c r="AC388" t="s">
        <v>22</v>
      </c>
      <c r="AD388" t="s">
        <v>1232</v>
      </c>
      <c r="AE388">
        <v>1.2449915618964436E-4</v>
      </c>
      <c r="AG388" t="s">
        <v>97</v>
      </c>
      <c r="AH388" t="s">
        <v>1232</v>
      </c>
      <c r="AI388">
        <v>0</v>
      </c>
    </row>
    <row r="389" spans="9:35" x14ac:dyDescent="0.45">
      <c r="I389" t="s">
        <v>252</v>
      </c>
      <c r="J389" t="s">
        <v>1233</v>
      </c>
      <c r="K389">
        <v>3.5836835413368332E-5</v>
      </c>
      <c r="L389" t="s">
        <v>254</v>
      </c>
      <c r="N389" t="s">
        <v>422</v>
      </c>
      <c r="O389" t="s">
        <v>1233</v>
      </c>
      <c r="P389">
        <v>4.0696603219425038E-5</v>
      </c>
      <c r="Q389" t="s">
        <v>254</v>
      </c>
      <c r="S389" t="s">
        <v>423</v>
      </c>
      <c r="T389" t="s">
        <v>1233</v>
      </c>
      <c r="U389">
        <v>6.3870972927719506E-5</v>
      </c>
      <c r="V389" t="s">
        <v>254</v>
      </c>
      <c r="X389">
        <v>1.1415525114155251E-4</v>
      </c>
      <c r="Y389">
        <v>1.7237235744060203E-4</v>
      </c>
      <c r="Z389" t="s">
        <v>1233</v>
      </c>
      <c r="AA389" t="s">
        <v>25</v>
      </c>
      <c r="AC389" t="s">
        <v>22</v>
      </c>
      <c r="AD389" t="s">
        <v>1233</v>
      </c>
      <c r="AE389">
        <v>1.2403376226081662E-4</v>
      </c>
      <c r="AG389" t="s">
        <v>97</v>
      </c>
      <c r="AH389" t="s">
        <v>1233</v>
      </c>
      <c r="AI389">
        <v>0</v>
      </c>
    </row>
    <row r="390" spans="9:35" x14ac:dyDescent="0.45">
      <c r="I390" t="s">
        <v>252</v>
      </c>
      <c r="J390" t="s">
        <v>1234</v>
      </c>
      <c r="K390">
        <v>0</v>
      </c>
      <c r="L390" t="s">
        <v>254</v>
      </c>
      <c r="N390" t="s">
        <v>422</v>
      </c>
      <c r="O390" t="s">
        <v>1234</v>
      </c>
      <c r="P390">
        <v>4.2308317529541901E-5</v>
      </c>
      <c r="Q390" t="s">
        <v>254</v>
      </c>
      <c r="S390" t="s">
        <v>423</v>
      </c>
      <c r="T390" t="s">
        <v>1234</v>
      </c>
      <c r="U390">
        <v>7.0200006663653894E-5</v>
      </c>
      <c r="V390" t="s">
        <v>254</v>
      </c>
      <c r="X390">
        <v>1.1415525114155251E-4</v>
      </c>
      <c r="Y390">
        <v>1.5579809230208258E-4</v>
      </c>
      <c r="Z390" t="s">
        <v>1234</v>
      </c>
      <c r="AA390" t="s">
        <v>25</v>
      </c>
      <c r="AC390" t="s">
        <v>22</v>
      </c>
      <c r="AD390" t="s">
        <v>1234</v>
      </c>
      <c r="AE390">
        <v>1.2184487652962686E-4</v>
      </c>
      <c r="AG390" t="s">
        <v>97</v>
      </c>
      <c r="AH390" t="s">
        <v>1234</v>
      </c>
      <c r="AI390">
        <v>0</v>
      </c>
    </row>
    <row r="391" spans="9:35" x14ac:dyDescent="0.45">
      <c r="I391" t="s">
        <v>252</v>
      </c>
      <c r="J391" t="s">
        <v>1235</v>
      </c>
      <c r="K391">
        <v>0</v>
      </c>
      <c r="L391" t="s">
        <v>254</v>
      </c>
      <c r="N391" t="s">
        <v>422</v>
      </c>
      <c r="O391" t="s">
        <v>1235</v>
      </c>
      <c r="P391">
        <v>4.3387743658370177E-5</v>
      </c>
      <c r="Q391" t="s">
        <v>254</v>
      </c>
      <c r="S391" t="s">
        <v>423</v>
      </c>
      <c r="T391" t="s">
        <v>1235</v>
      </c>
      <c r="U391">
        <v>7.4371481878776055E-5</v>
      </c>
      <c r="V391" t="s">
        <v>254</v>
      </c>
      <c r="X391">
        <v>1.1415525114155251E-4</v>
      </c>
      <c r="Y391">
        <v>1.093901499142282E-4</v>
      </c>
      <c r="Z391" t="s">
        <v>1235</v>
      </c>
      <c r="AA391" t="s">
        <v>25</v>
      </c>
      <c r="AC391" t="s">
        <v>22</v>
      </c>
      <c r="AD391" t="s">
        <v>1235</v>
      </c>
      <c r="AE391">
        <v>1.1550068786247523E-4</v>
      </c>
      <c r="AG391" t="s">
        <v>97</v>
      </c>
      <c r="AH391" t="s">
        <v>1235</v>
      </c>
      <c r="AI391">
        <v>0</v>
      </c>
    </row>
    <row r="392" spans="9:35" x14ac:dyDescent="0.45">
      <c r="I392" t="s">
        <v>252</v>
      </c>
      <c r="J392" t="s">
        <v>1236</v>
      </c>
      <c r="K392">
        <v>0</v>
      </c>
      <c r="L392" t="s">
        <v>254</v>
      </c>
      <c r="N392" t="s">
        <v>422</v>
      </c>
      <c r="O392" t="s">
        <v>1236</v>
      </c>
      <c r="P392">
        <v>5.1022474600594536E-5</v>
      </c>
      <c r="Q392" t="s">
        <v>254</v>
      </c>
      <c r="S392" t="s">
        <v>423</v>
      </c>
      <c r="T392" t="s">
        <v>1236</v>
      </c>
      <c r="U392">
        <v>1.002858985674E-4</v>
      </c>
      <c r="V392" t="s">
        <v>254</v>
      </c>
      <c r="X392">
        <v>1.1415525114155251E-4</v>
      </c>
      <c r="Y392">
        <v>7.9556472664893237E-5</v>
      </c>
      <c r="Z392" t="s">
        <v>1236</v>
      </c>
      <c r="AA392" t="s">
        <v>25</v>
      </c>
      <c r="AC392" t="s">
        <v>22</v>
      </c>
      <c r="AD392" t="s">
        <v>1236</v>
      </c>
      <c r="AE392">
        <v>1.0886754582193058E-4</v>
      </c>
      <c r="AG392" t="s">
        <v>97</v>
      </c>
      <c r="AH392" t="s">
        <v>1236</v>
      </c>
      <c r="AI392">
        <v>0</v>
      </c>
    </row>
    <row r="393" spans="9:35" x14ac:dyDescent="0.45">
      <c r="I393" t="s">
        <v>252</v>
      </c>
      <c r="J393" t="s">
        <v>1237</v>
      </c>
      <c r="K393">
        <v>0</v>
      </c>
      <c r="L393" t="s">
        <v>254</v>
      </c>
      <c r="N393" t="s">
        <v>422</v>
      </c>
      <c r="O393" t="s">
        <v>1237</v>
      </c>
      <c r="P393">
        <v>6.3286378759460268E-5</v>
      </c>
      <c r="Q393" t="s">
        <v>254</v>
      </c>
      <c r="S393" t="s">
        <v>423</v>
      </c>
      <c r="T393" t="s">
        <v>1237</v>
      </c>
      <c r="U393">
        <v>1.090800101143E-4</v>
      </c>
      <c r="V393" t="s">
        <v>254</v>
      </c>
      <c r="X393">
        <v>1.1415525114155251E-4</v>
      </c>
      <c r="Y393">
        <v>5.6352501470966035E-5</v>
      </c>
      <c r="Z393" t="s">
        <v>1237</v>
      </c>
      <c r="AA393" t="s">
        <v>25</v>
      </c>
      <c r="AC393" t="s">
        <v>22</v>
      </c>
      <c r="AD393" t="s">
        <v>1237</v>
      </c>
      <c r="AE393">
        <v>9.5015683665558001E-5</v>
      </c>
      <c r="AG393" t="s">
        <v>97</v>
      </c>
      <c r="AH393" t="s">
        <v>1237</v>
      </c>
      <c r="AI393">
        <v>0</v>
      </c>
    </row>
    <row r="394" spans="9:35" x14ac:dyDescent="0.45">
      <c r="I394" t="s">
        <v>252</v>
      </c>
      <c r="J394" t="s">
        <v>1238</v>
      </c>
      <c r="K394">
        <v>0</v>
      </c>
      <c r="L394" t="s">
        <v>254</v>
      </c>
      <c r="N394" t="s">
        <v>422</v>
      </c>
      <c r="O394" t="s">
        <v>1238</v>
      </c>
      <c r="P394">
        <v>6.9594129018796553E-5</v>
      </c>
      <c r="Q394" t="s">
        <v>254</v>
      </c>
      <c r="S394" t="s">
        <v>423</v>
      </c>
      <c r="T394" t="s">
        <v>1238</v>
      </c>
      <c r="U394">
        <v>9.5785287045516674E-5</v>
      </c>
      <c r="V394" t="s">
        <v>254</v>
      </c>
      <c r="X394">
        <v>1.1415525114155251E-4</v>
      </c>
      <c r="Y394">
        <v>2.9833677249334962E-5</v>
      </c>
      <c r="Z394" t="s">
        <v>1238</v>
      </c>
      <c r="AA394" t="s">
        <v>25</v>
      </c>
      <c r="AC394" t="s">
        <v>22</v>
      </c>
      <c r="AD394" t="s">
        <v>1238</v>
      </c>
      <c r="AE394">
        <v>8.6201327222320756E-5</v>
      </c>
      <c r="AG394" t="s">
        <v>97</v>
      </c>
      <c r="AH394" t="s">
        <v>1238</v>
      </c>
      <c r="AI394">
        <v>0</v>
      </c>
    </row>
    <row r="395" spans="9:35" x14ac:dyDescent="0.45">
      <c r="I395" t="s">
        <v>252</v>
      </c>
      <c r="J395" t="s">
        <v>398</v>
      </c>
      <c r="K395">
        <v>3.2958281595258512E-7</v>
      </c>
      <c r="L395" t="s">
        <v>254</v>
      </c>
      <c r="N395" t="s">
        <v>422</v>
      </c>
      <c r="O395" t="s">
        <v>398</v>
      </c>
      <c r="P395">
        <v>3.0211998562998613E-2</v>
      </c>
      <c r="Q395" t="s">
        <v>254</v>
      </c>
      <c r="S395" t="s">
        <v>423</v>
      </c>
      <c r="T395" t="s">
        <v>398</v>
      </c>
      <c r="U395">
        <v>2.8271999385535616E-2</v>
      </c>
      <c r="V395" t="s">
        <v>254</v>
      </c>
      <c r="X395">
        <v>2.3173515981735161E-2</v>
      </c>
      <c r="Y395">
        <v>9.151646238884887E-3</v>
      </c>
      <c r="Z395" t="s">
        <v>398</v>
      </c>
      <c r="AA395" t="s">
        <v>25</v>
      </c>
      <c r="AC395" t="s">
        <v>22</v>
      </c>
      <c r="AD395" t="s">
        <v>398</v>
      </c>
      <c r="AE395">
        <v>1.7210830258790704E-2</v>
      </c>
      <c r="AG395" t="s">
        <v>97</v>
      </c>
      <c r="AH395" t="s">
        <v>398</v>
      </c>
      <c r="AI395">
        <v>0.26464136181881681</v>
      </c>
    </row>
    <row r="396" spans="9:35" x14ac:dyDescent="0.45">
      <c r="I396" t="s">
        <v>252</v>
      </c>
      <c r="J396" t="s">
        <v>399</v>
      </c>
      <c r="K396">
        <v>1.7598591102114046E-3</v>
      </c>
      <c r="L396" t="s">
        <v>254</v>
      </c>
      <c r="N396" t="s">
        <v>422</v>
      </c>
      <c r="O396" t="s">
        <v>399</v>
      </c>
      <c r="P396">
        <v>4.391101136317006E-3</v>
      </c>
      <c r="Q396" t="s">
        <v>254</v>
      </c>
      <c r="S396" t="s">
        <v>423</v>
      </c>
      <c r="T396" t="s">
        <v>399</v>
      </c>
      <c r="U396">
        <v>4.1086007086775875E-3</v>
      </c>
      <c r="V396" t="s">
        <v>254</v>
      </c>
      <c r="X396">
        <v>3.3105022831050228E-3</v>
      </c>
      <c r="Y396">
        <v>5.5275174236962274E-3</v>
      </c>
      <c r="Z396" t="s">
        <v>399</v>
      </c>
      <c r="AA396" t="s">
        <v>25</v>
      </c>
      <c r="AC396" t="s">
        <v>22</v>
      </c>
      <c r="AD396" t="s">
        <v>399</v>
      </c>
      <c r="AE396">
        <v>3.2740317067704353E-3</v>
      </c>
      <c r="AG396" t="s">
        <v>97</v>
      </c>
      <c r="AH396" t="s">
        <v>399</v>
      </c>
      <c r="AI396">
        <v>8.469163356885967E-2</v>
      </c>
    </row>
    <row r="397" spans="9:35" x14ac:dyDescent="0.45">
      <c r="I397" t="s">
        <v>252</v>
      </c>
      <c r="J397" t="s">
        <v>400</v>
      </c>
      <c r="K397">
        <v>1.0210095091958644E-2</v>
      </c>
      <c r="L397" t="s">
        <v>254</v>
      </c>
      <c r="N397" t="s">
        <v>422</v>
      </c>
      <c r="O397" t="s">
        <v>400</v>
      </c>
      <c r="P397">
        <v>8.7307455271667909E-3</v>
      </c>
      <c r="Q397" t="s">
        <v>254</v>
      </c>
      <c r="S397" t="s">
        <v>423</v>
      </c>
      <c r="T397" t="s">
        <v>400</v>
      </c>
      <c r="U397">
        <v>8.1862651933639063E-3</v>
      </c>
      <c r="V397" t="s">
        <v>254</v>
      </c>
      <c r="X397">
        <v>6.6210045662100456E-3</v>
      </c>
      <c r="Y397">
        <v>8.4210526315789489E-3</v>
      </c>
      <c r="Z397" t="s">
        <v>400</v>
      </c>
      <c r="AA397" t="s">
        <v>25</v>
      </c>
      <c r="AC397" t="s">
        <v>22</v>
      </c>
      <c r="AD397" t="s">
        <v>400</v>
      </c>
      <c r="AE397">
        <v>6.9671097326982553E-3</v>
      </c>
      <c r="AG397" t="s">
        <v>97</v>
      </c>
      <c r="AH397" t="s">
        <v>400</v>
      </c>
      <c r="AI397">
        <v>6.6860606513619913E-2</v>
      </c>
    </row>
    <row r="398" spans="9:35" x14ac:dyDescent="0.45">
      <c r="I398" t="s">
        <v>252</v>
      </c>
      <c r="J398" t="s">
        <v>401</v>
      </c>
      <c r="K398">
        <v>2.0799440303565182E-2</v>
      </c>
      <c r="L398" t="s">
        <v>254</v>
      </c>
      <c r="N398" t="s">
        <v>422</v>
      </c>
      <c r="O398" t="s">
        <v>401</v>
      </c>
      <c r="P398">
        <v>1.2634837618821606E-2</v>
      </c>
      <c r="Q398" t="s">
        <v>254</v>
      </c>
      <c r="S398" t="s">
        <v>423</v>
      </c>
      <c r="T398" t="s">
        <v>401</v>
      </c>
      <c r="U398">
        <v>1.2083330355606199E-2</v>
      </c>
      <c r="V398" t="s">
        <v>254</v>
      </c>
      <c r="X398">
        <v>9.9315068493150693E-3</v>
      </c>
      <c r="Y398">
        <v>1.2295121365056482E-2</v>
      </c>
      <c r="Z398" t="s">
        <v>401</v>
      </c>
      <c r="AA398" t="s">
        <v>25</v>
      </c>
      <c r="AC398" t="s">
        <v>22</v>
      </c>
      <c r="AD398" t="s">
        <v>401</v>
      </c>
      <c r="AE398">
        <v>1.0443234917397884E-2</v>
      </c>
      <c r="AG398" t="s">
        <v>97</v>
      </c>
      <c r="AH398" t="s">
        <v>401</v>
      </c>
      <c r="AI398">
        <v>6.8784314070528652E-2</v>
      </c>
    </row>
    <row r="399" spans="9:35" x14ac:dyDescent="0.45">
      <c r="I399" t="s">
        <v>252</v>
      </c>
      <c r="J399" t="s">
        <v>402</v>
      </c>
      <c r="K399">
        <v>7.0070145508671E-3</v>
      </c>
      <c r="L399" t="s">
        <v>254</v>
      </c>
      <c r="N399" t="s">
        <v>422</v>
      </c>
      <c r="O399" t="s">
        <v>402</v>
      </c>
      <c r="P399">
        <v>4.2095401975188037E-3</v>
      </c>
      <c r="Q399" t="s">
        <v>254</v>
      </c>
      <c r="S399" t="s">
        <v>423</v>
      </c>
      <c r="T399" t="s">
        <v>402</v>
      </c>
      <c r="U399">
        <v>4.0560323602584309E-3</v>
      </c>
      <c r="V399" t="s">
        <v>254</v>
      </c>
      <c r="X399">
        <v>3.3105022831050228E-3</v>
      </c>
      <c r="Y399">
        <v>4.3162701273732288E-3</v>
      </c>
      <c r="Z399" t="s">
        <v>402</v>
      </c>
      <c r="AA399" t="s">
        <v>25</v>
      </c>
      <c r="AC399" t="s">
        <v>22</v>
      </c>
      <c r="AD399" t="s">
        <v>402</v>
      </c>
      <c r="AE399">
        <v>3.4477770687931213E-3</v>
      </c>
      <c r="AG399" t="s">
        <v>97</v>
      </c>
      <c r="AH399" t="s">
        <v>402</v>
      </c>
      <c r="AI399">
        <v>6.982768504430692E-2</v>
      </c>
    </row>
    <row r="400" spans="9:35" x14ac:dyDescent="0.45">
      <c r="I400" t="s">
        <v>252</v>
      </c>
      <c r="J400" t="s">
        <v>403</v>
      </c>
      <c r="K400">
        <v>1.3158671880609299E-2</v>
      </c>
      <c r="L400" t="s">
        <v>254</v>
      </c>
      <c r="N400" t="s">
        <v>422</v>
      </c>
      <c r="O400" t="s">
        <v>403</v>
      </c>
      <c r="P400">
        <v>8.2698174413977591E-3</v>
      </c>
      <c r="Q400" t="s">
        <v>254</v>
      </c>
      <c r="S400" t="s">
        <v>423</v>
      </c>
      <c r="T400" t="s">
        <v>403</v>
      </c>
      <c r="U400">
        <v>8.1449028446856173E-3</v>
      </c>
      <c r="V400" t="s">
        <v>254</v>
      </c>
      <c r="X400">
        <v>6.6210045662100456E-3</v>
      </c>
      <c r="Y400">
        <v>9.3631338620523939E-3</v>
      </c>
      <c r="Z400" t="s">
        <v>403</v>
      </c>
      <c r="AA400" t="s">
        <v>25</v>
      </c>
      <c r="AC400" t="s">
        <v>22</v>
      </c>
      <c r="AD400" t="s">
        <v>403</v>
      </c>
      <c r="AE400">
        <v>6.8468565442862681E-3</v>
      </c>
      <c r="AG400" t="s">
        <v>97</v>
      </c>
      <c r="AH400" t="s">
        <v>403</v>
      </c>
      <c r="AI400">
        <v>7.3513698313595333E-2</v>
      </c>
    </row>
    <row r="401" spans="9:35" x14ac:dyDescent="0.45">
      <c r="I401" t="s">
        <v>252</v>
      </c>
      <c r="J401" t="s">
        <v>404</v>
      </c>
      <c r="K401">
        <v>7.2240426818082557E-3</v>
      </c>
      <c r="L401" t="s">
        <v>254</v>
      </c>
      <c r="N401" t="s">
        <v>422</v>
      </c>
      <c r="O401" t="s">
        <v>404</v>
      </c>
      <c r="P401">
        <v>7.8928515904612157E-3</v>
      </c>
      <c r="Q401" t="s">
        <v>254</v>
      </c>
      <c r="S401" t="s">
        <v>423</v>
      </c>
      <c r="T401" t="s">
        <v>404</v>
      </c>
      <c r="U401">
        <v>8.1327463670388834E-3</v>
      </c>
      <c r="V401" t="s">
        <v>254</v>
      </c>
      <c r="X401">
        <v>6.6210045662100456E-3</v>
      </c>
      <c r="Y401">
        <v>1.2881518865657292E-2</v>
      </c>
      <c r="Z401" t="s">
        <v>404</v>
      </c>
      <c r="AA401" t="s">
        <v>25</v>
      </c>
      <c r="AC401" t="s">
        <v>22</v>
      </c>
      <c r="AD401" t="s">
        <v>404</v>
      </c>
      <c r="AE401">
        <v>6.852773695667079E-3</v>
      </c>
      <c r="AG401" t="s">
        <v>97</v>
      </c>
      <c r="AH401" t="s">
        <v>404</v>
      </c>
      <c r="AI401">
        <v>7.693750180846104E-2</v>
      </c>
    </row>
    <row r="402" spans="9:35" x14ac:dyDescent="0.45">
      <c r="I402" t="s">
        <v>252</v>
      </c>
      <c r="J402" t="s">
        <v>405</v>
      </c>
      <c r="K402">
        <v>2.0476372471086324E-5</v>
      </c>
      <c r="L402" t="s">
        <v>254</v>
      </c>
      <c r="N402" t="s">
        <v>422</v>
      </c>
      <c r="O402" t="s">
        <v>405</v>
      </c>
      <c r="P402">
        <v>2.4613960199619544E-2</v>
      </c>
      <c r="Q402" t="s">
        <v>254</v>
      </c>
      <c r="S402" t="s">
        <v>423</v>
      </c>
      <c r="T402" t="s">
        <v>405</v>
      </c>
      <c r="U402">
        <v>2.3998876431209099E-2</v>
      </c>
      <c r="V402" t="s">
        <v>254</v>
      </c>
      <c r="X402">
        <v>1.9863013698630139E-2</v>
      </c>
      <c r="Y402">
        <v>1.7495794280221105E-2</v>
      </c>
      <c r="Z402" t="s">
        <v>405</v>
      </c>
      <c r="AA402" t="s">
        <v>25</v>
      </c>
      <c r="AC402" t="s">
        <v>22</v>
      </c>
      <c r="AD402" t="s">
        <v>405</v>
      </c>
      <c r="AE402">
        <v>1.8318848058591703E-2</v>
      </c>
      <c r="AG402" t="s">
        <v>97</v>
      </c>
      <c r="AH402" t="s">
        <v>405</v>
      </c>
      <c r="AI402">
        <v>0.16894395956743136</v>
      </c>
    </row>
    <row r="403" spans="9:35" x14ac:dyDescent="0.45">
      <c r="I403" t="s">
        <v>252</v>
      </c>
      <c r="J403" t="s">
        <v>1239</v>
      </c>
      <c r="K403">
        <v>0</v>
      </c>
      <c r="L403" t="s">
        <v>254</v>
      </c>
      <c r="N403" t="s">
        <v>422</v>
      </c>
      <c r="O403" t="s">
        <v>1239</v>
      </c>
      <c r="P403">
        <v>5.458804653480349E-6</v>
      </c>
      <c r="Q403" t="s">
        <v>254</v>
      </c>
      <c r="S403" t="s">
        <v>423</v>
      </c>
      <c r="T403" t="s">
        <v>1239</v>
      </c>
      <c r="U403">
        <v>1.5611666225969863E-5</v>
      </c>
      <c r="V403" t="s">
        <v>254</v>
      </c>
      <c r="X403">
        <v>1.1415525114155251E-4</v>
      </c>
      <c r="Y403">
        <v>2.1546544680075254E-5</v>
      </c>
      <c r="Z403" t="s">
        <v>1239</v>
      </c>
      <c r="AA403" t="s">
        <v>25</v>
      </c>
      <c r="AC403" t="s">
        <v>22</v>
      </c>
      <c r="AD403" t="s">
        <v>1239</v>
      </c>
      <c r="AE403">
        <v>8.0596943278523202E-5</v>
      </c>
      <c r="AG403" t="s">
        <v>97</v>
      </c>
      <c r="AH403" t="s">
        <v>1239</v>
      </c>
      <c r="AI403">
        <v>0</v>
      </c>
    </row>
    <row r="404" spans="9:35" x14ac:dyDescent="0.45">
      <c r="I404" t="s">
        <v>252</v>
      </c>
      <c r="J404" t="s">
        <v>1240</v>
      </c>
      <c r="K404">
        <v>0</v>
      </c>
      <c r="L404" t="s">
        <v>254</v>
      </c>
      <c r="N404" t="s">
        <v>422</v>
      </c>
      <c r="O404" t="s">
        <v>1240</v>
      </c>
      <c r="P404">
        <v>4.4173559324752211E-6</v>
      </c>
      <c r="Q404" t="s">
        <v>254</v>
      </c>
      <c r="S404" t="s">
        <v>423</v>
      </c>
      <c r="T404" t="s">
        <v>1240</v>
      </c>
      <c r="U404">
        <v>1.360562987145472E-5</v>
      </c>
      <c r="V404" t="s">
        <v>254</v>
      </c>
      <c r="X404">
        <v>1.1415525114155251E-4</v>
      </c>
      <c r="Y404">
        <v>1.4916838624667481E-5</v>
      </c>
      <c r="Z404" t="s">
        <v>1240</v>
      </c>
      <c r="AA404" t="s">
        <v>25</v>
      </c>
      <c r="AC404" t="s">
        <v>22</v>
      </c>
      <c r="AD404" t="s">
        <v>1240</v>
      </c>
      <c r="AE404">
        <v>7.9479486427436866E-5</v>
      </c>
      <c r="AG404" t="s">
        <v>97</v>
      </c>
      <c r="AH404" t="s">
        <v>1240</v>
      </c>
      <c r="AI404">
        <v>0</v>
      </c>
    </row>
    <row r="405" spans="9:35" x14ac:dyDescent="0.45">
      <c r="I405" t="s">
        <v>252</v>
      </c>
      <c r="J405" t="s">
        <v>1241</v>
      </c>
      <c r="K405">
        <v>0</v>
      </c>
      <c r="L405" t="s">
        <v>254</v>
      </c>
      <c r="N405" t="s">
        <v>422</v>
      </c>
      <c r="O405" t="s">
        <v>1241</v>
      </c>
      <c r="P405">
        <v>4.3344651952664891E-6</v>
      </c>
      <c r="Q405" t="s">
        <v>254</v>
      </c>
      <c r="S405" t="s">
        <v>423</v>
      </c>
      <c r="T405" t="s">
        <v>1241</v>
      </c>
      <c r="U405">
        <v>1.341951892966348E-5</v>
      </c>
      <c r="V405" t="s">
        <v>254</v>
      </c>
      <c r="X405">
        <v>1.1415525114155251E-4</v>
      </c>
      <c r="Y405">
        <v>1.6574265138519424E-5</v>
      </c>
      <c r="Z405" t="s">
        <v>1241</v>
      </c>
      <c r="AA405" t="s">
        <v>25</v>
      </c>
      <c r="AC405" t="s">
        <v>22</v>
      </c>
      <c r="AD405" t="s">
        <v>1241</v>
      </c>
      <c r="AE405">
        <v>7.9479486427436866E-5</v>
      </c>
      <c r="AG405" t="s">
        <v>97</v>
      </c>
      <c r="AH405" t="s">
        <v>1241</v>
      </c>
      <c r="AI405">
        <v>0</v>
      </c>
    </row>
    <row r="406" spans="9:35" x14ac:dyDescent="0.45">
      <c r="I406" t="s">
        <v>252</v>
      </c>
      <c r="J406" t="s">
        <v>1242</v>
      </c>
      <c r="K406">
        <v>0</v>
      </c>
      <c r="L406" t="s">
        <v>254</v>
      </c>
      <c r="N406" t="s">
        <v>422</v>
      </c>
      <c r="O406" t="s">
        <v>1242</v>
      </c>
      <c r="P406">
        <v>5.3016843427495417E-6</v>
      </c>
      <c r="Q406" t="s">
        <v>254</v>
      </c>
      <c r="S406" t="s">
        <v>423</v>
      </c>
      <c r="T406" t="s">
        <v>1242</v>
      </c>
      <c r="U406">
        <v>1.3625771525033594E-5</v>
      </c>
      <c r="V406" t="s">
        <v>254</v>
      </c>
      <c r="X406">
        <v>1.1415525114155251E-4</v>
      </c>
      <c r="Y406">
        <v>1.4585353321897093E-5</v>
      </c>
      <c r="Z406" t="s">
        <v>1242</v>
      </c>
      <c r="AA406" t="s">
        <v>25</v>
      </c>
      <c r="AC406" t="s">
        <v>22</v>
      </c>
      <c r="AD406" t="s">
        <v>1242</v>
      </c>
      <c r="AE406">
        <v>8.017246310168034E-5</v>
      </c>
      <c r="AG406" t="s">
        <v>97</v>
      </c>
      <c r="AH406" t="s">
        <v>1242</v>
      </c>
      <c r="AI406">
        <v>0</v>
      </c>
    </row>
    <row r="407" spans="9:35" x14ac:dyDescent="0.45">
      <c r="I407" t="s">
        <v>252</v>
      </c>
      <c r="J407" t="s">
        <v>1243</v>
      </c>
      <c r="K407">
        <v>0</v>
      </c>
      <c r="L407" t="s">
        <v>254</v>
      </c>
      <c r="N407" t="s">
        <v>422</v>
      </c>
      <c r="O407" t="s">
        <v>1243</v>
      </c>
      <c r="P407">
        <v>6.6018116591661863E-6</v>
      </c>
      <c r="Q407" t="s">
        <v>254</v>
      </c>
      <c r="S407" t="s">
        <v>423</v>
      </c>
      <c r="T407" t="s">
        <v>1243</v>
      </c>
      <c r="U407">
        <v>1.465013356011349E-5</v>
      </c>
      <c r="V407" t="s">
        <v>254</v>
      </c>
      <c r="X407">
        <v>1.1415525114155251E-4</v>
      </c>
      <c r="Y407">
        <v>2.1215059377304864E-5</v>
      </c>
      <c r="Z407" t="s">
        <v>1243</v>
      </c>
      <c r="AA407" t="s">
        <v>25</v>
      </c>
      <c r="AC407" t="s">
        <v>22</v>
      </c>
      <c r="AD407" t="s">
        <v>1243</v>
      </c>
      <c r="AE407">
        <v>8.7659679714908865E-5</v>
      </c>
      <c r="AG407" t="s">
        <v>97</v>
      </c>
      <c r="AH407" t="s">
        <v>1243</v>
      </c>
      <c r="AI407">
        <v>0</v>
      </c>
    </row>
    <row r="408" spans="9:35" x14ac:dyDescent="0.45">
      <c r="I408" t="s">
        <v>252</v>
      </c>
      <c r="J408" t="s">
        <v>1244</v>
      </c>
      <c r="K408">
        <v>0</v>
      </c>
      <c r="L408" t="s">
        <v>254</v>
      </c>
      <c r="N408" t="s">
        <v>422</v>
      </c>
      <c r="O408" t="s">
        <v>1244</v>
      </c>
      <c r="P408">
        <v>7.7614468523116845E-6</v>
      </c>
      <c r="Q408" t="s">
        <v>254</v>
      </c>
      <c r="S408" t="s">
        <v>423</v>
      </c>
      <c r="T408" t="s">
        <v>1244</v>
      </c>
      <c r="U408">
        <v>1.5591529085209533E-5</v>
      </c>
      <c r="V408" t="s">
        <v>254</v>
      </c>
      <c r="X408">
        <v>1.1415525114155251E-4</v>
      </c>
      <c r="Y408">
        <v>5.7678442682047593E-5</v>
      </c>
      <c r="Z408" t="s">
        <v>1244</v>
      </c>
      <c r="AA408" t="s">
        <v>25</v>
      </c>
      <c r="AC408" t="s">
        <v>22</v>
      </c>
      <c r="AD408" t="s">
        <v>1244</v>
      </c>
      <c r="AE408">
        <v>1.0353677259453177E-4</v>
      </c>
      <c r="AG408" t="s">
        <v>97</v>
      </c>
      <c r="AH408" t="s">
        <v>1244</v>
      </c>
      <c r="AI408">
        <v>0</v>
      </c>
    </row>
    <row r="409" spans="9:35" x14ac:dyDescent="0.45">
      <c r="I409" t="s">
        <v>252</v>
      </c>
      <c r="J409" t="s">
        <v>1245</v>
      </c>
      <c r="K409">
        <v>0</v>
      </c>
      <c r="L409" t="s">
        <v>254</v>
      </c>
      <c r="N409" t="s">
        <v>422</v>
      </c>
      <c r="O409" t="s">
        <v>1245</v>
      </c>
      <c r="P409">
        <v>9.4293434595855936E-6</v>
      </c>
      <c r="Q409" t="s">
        <v>254</v>
      </c>
      <c r="S409" t="s">
        <v>423</v>
      </c>
      <c r="T409" t="s">
        <v>1245</v>
      </c>
      <c r="U409">
        <v>1.6648982476091734E-5</v>
      </c>
      <c r="V409" t="s">
        <v>254</v>
      </c>
      <c r="X409">
        <v>1.1415525114155251E-4</v>
      </c>
      <c r="Y409">
        <v>1.6905750441289813E-4</v>
      </c>
      <c r="Z409" t="s">
        <v>1245</v>
      </c>
      <c r="AA409" t="s">
        <v>25</v>
      </c>
      <c r="AC409" t="s">
        <v>22</v>
      </c>
      <c r="AD409" t="s">
        <v>1245</v>
      </c>
      <c r="AE409">
        <v>1.154452315316237E-4</v>
      </c>
      <c r="AG409" t="s">
        <v>97</v>
      </c>
      <c r="AH409" t="s">
        <v>1245</v>
      </c>
      <c r="AI409">
        <v>0</v>
      </c>
    </row>
    <row r="410" spans="9:35" x14ac:dyDescent="0.45">
      <c r="I410" t="s">
        <v>252</v>
      </c>
      <c r="J410" t="s">
        <v>1246</v>
      </c>
      <c r="K410">
        <v>1.2957942816360001E-4</v>
      </c>
      <c r="L410" t="s">
        <v>254</v>
      </c>
      <c r="N410" t="s">
        <v>422</v>
      </c>
      <c r="O410" t="s">
        <v>1246</v>
      </c>
      <c r="P410">
        <v>9.8549784379166566E-6</v>
      </c>
      <c r="Q410" t="s">
        <v>254</v>
      </c>
      <c r="S410" t="s">
        <v>423</v>
      </c>
      <c r="T410" t="s">
        <v>1246</v>
      </c>
      <c r="U410">
        <v>1.6566636742784127E-5</v>
      </c>
      <c r="V410" t="s">
        <v>254</v>
      </c>
      <c r="X410">
        <v>1.1415525114155251E-4</v>
      </c>
      <c r="Y410">
        <v>1.9060404909297337E-4</v>
      </c>
      <c r="Z410" t="s">
        <v>1246</v>
      </c>
      <c r="AA410" t="s">
        <v>25</v>
      </c>
      <c r="AC410" t="s">
        <v>22</v>
      </c>
      <c r="AD410" t="s">
        <v>1246</v>
      </c>
      <c r="AE410">
        <v>1.2341829894967237E-4</v>
      </c>
      <c r="AG410" t="s">
        <v>97</v>
      </c>
      <c r="AH410" t="s">
        <v>1246</v>
      </c>
      <c r="AI410">
        <v>0</v>
      </c>
    </row>
    <row r="411" spans="9:35" x14ac:dyDescent="0.45">
      <c r="I411" t="s">
        <v>252</v>
      </c>
      <c r="J411" t="s">
        <v>1247</v>
      </c>
      <c r="K411">
        <v>2.023106078737E-4</v>
      </c>
      <c r="L411" t="s">
        <v>254</v>
      </c>
      <c r="N411" t="s">
        <v>422</v>
      </c>
      <c r="O411" t="s">
        <v>1247</v>
      </c>
      <c r="P411">
        <v>7.1506667650807362E-6</v>
      </c>
      <c r="Q411" t="s">
        <v>254</v>
      </c>
      <c r="S411" t="s">
        <v>423</v>
      </c>
      <c r="T411" t="s">
        <v>1247</v>
      </c>
      <c r="U411">
        <v>1.4826612121537087E-5</v>
      </c>
      <c r="V411" t="s">
        <v>254</v>
      </c>
      <c r="X411">
        <v>1.1415525114155251E-4</v>
      </c>
      <c r="Y411">
        <v>1.4585353321897094E-4</v>
      </c>
      <c r="Z411" t="s">
        <v>1247</v>
      </c>
      <c r="AA411" t="s">
        <v>25</v>
      </c>
      <c r="AC411" t="s">
        <v>22</v>
      </c>
      <c r="AD411" t="s">
        <v>1247</v>
      </c>
      <c r="AE411">
        <v>1.2833050629735407E-4</v>
      </c>
      <c r="AG411" t="s">
        <v>97</v>
      </c>
      <c r="AH411" t="s">
        <v>1247</v>
      </c>
      <c r="AI411">
        <v>0</v>
      </c>
    </row>
    <row r="412" spans="9:35" x14ac:dyDescent="0.45">
      <c r="I412" t="s">
        <v>252</v>
      </c>
      <c r="J412" t="s">
        <v>1248</v>
      </c>
      <c r="K412">
        <v>2.641001147485E-4</v>
      </c>
      <c r="L412" t="s">
        <v>254</v>
      </c>
      <c r="N412" t="s">
        <v>422</v>
      </c>
      <c r="O412" t="s">
        <v>1248</v>
      </c>
      <c r="P412">
        <v>6.900528933746375E-6</v>
      </c>
      <c r="Q412" t="s">
        <v>254</v>
      </c>
      <c r="S412" t="s">
        <v>423</v>
      </c>
      <c r="T412" t="s">
        <v>1248</v>
      </c>
      <c r="U412">
        <v>1.157514274093438E-5</v>
      </c>
      <c r="V412" t="s">
        <v>254</v>
      </c>
      <c r="X412">
        <v>1.1415525114155251E-4</v>
      </c>
      <c r="Y412">
        <v>1.4452759200788939E-4</v>
      </c>
      <c r="Z412" t="s">
        <v>1248</v>
      </c>
      <c r="AA412" t="s">
        <v>25</v>
      </c>
      <c r="AC412" t="s">
        <v>22</v>
      </c>
      <c r="AD412" t="s">
        <v>1248</v>
      </c>
      <c r="AE412">
        <v>1.2803643870496292E-4</v>
      </c>
      <c r="AG412" t="s">
        <v>97</v>
      </c>
      <c r="AH412" t="s">
        <v>1248</v>
      </c>
      <c r="AI412">
        <v>0</v>
      </c>
    </row>
    <row r="413" spans="9:35" x14ac:dyDescent="0.45">
      <c r="I413" t="s">
        <v>252</v>
      </c>
      <c r="J413" t="s">
        <v>1249</v>
      </c>
      <c r="K413">
        <v>2.9167961618120001E-4</v>
      </c>
      <c r="L413" t="s">
        <v>254</v>
      </c>
      <c r="N413" t="s">
        <v>422</v>
      </c>
      <c r="O413" t="s">
        <v>1249</v>
      </c>
      <c r="P413">
        <v>8.8125707728169273E-6</v>
      </c>
      <c r="Q413" t="s">
        <v>254</v>
      </c>
      <c r="S413" t="s">
        <v>423</v>
      </c>
      <c r="T413" t="s">
        <v>1249</v>
      </c>
      <c r="U413">
        <v>1.4383701693121511E-5</v>
      </c>
      <c r="V413" t="s">
        <v>254</v>
      </c>
      <c r="X413">
        <v>1.1415525114155251E-4</v>
      </c>
      <c r="Y413">
        <v>1.408812536774151E-4</v>
      </c>
      <c r="Z413" t="s">
        <v>1249</v>
      </c>
      <c r="AA413" t="s">
        <v>25</v>
      </c>
      <c r="AC413" t="s">
        <v>22</v>
      </c>
      <c r="AD413" t="s">
        <v>1249</v>
      </c>
      <c r="AE413">
        <v>1.2769378603208977E-4</v>
      </c>
      <c r="AG413" t="s">
        <v>97</v>
      </c>
      <c r="AH413" t="s">
        <v>1249</v>
      </c>
      <c r="AI413">
        <v>0</v>
      </c>
    </row>
    <row r="414" spans="9:35" x14ac:dyDescent="0.45">
      <c r="I414" t="s">
        <v>252</v>
      </c>
      <c r="J414" t="s">
        <v>1250</v>
      </c>
      <c r="K414">
        <v>2.8309921661179998E-4</v>
      </c>
      <c r="L414" t="s">
        <v>254</v>
      </c>
      <c r="N414" t="s">
        <v>422</v>
      </c>
      <c r="O414" t="s">
        <v>1250</v>
      </c>
      <c r="P414">
        <v>1.0613255619753444E-5</v>
      </c>
      <c r="Q414" t="s">
        <v>254</v>
      </c>
      <c r="S414" t="s">
        <v>423</v>
      </c>
      <c r="T414" t="s">
        <v>1250</v>
      </c>
      <c r="U414">
        <v>1.6954269859743703E-5</v>
      </c>
      <c r="V414" t="s">
        <v>254</v>
      </c>
      <c r="X414">
        <v>1.1415525114155251E-4</v>
      </c>
      <c r="Y414">
        <v>1.4054976837464471E-4</v>
      </c>
      <c r="Z414" t="s">
        <v>1250</v>
      </c>
      <c r="AA414" t="s">
        <v>25</v>
      </c>
      <c r="AC414" t="s">
        <v>22</v>
      </c>
      <c r="AD414" t="s">
        <v>1250</v>
      </c>
      <c r="AE414">
        <v>1.2701359490534155E-4</v>
      </c>
      <c r="AG414" t="s">
        <v>97</v>
      </c>
      <c r="AH414" t="s">
        <v>1250</v>
      </c>
      <c r="AI414">
        <v>0</v>
      </c>
    </row>
    <row r="415" spans="9:35" x14ac:dyDescent="0.45">
      <c r="I415" t="s">
        <v>252</v>
      </c>
      <c r="J415" t="s">
        <v>1251</v>
      </c>
      <c r="K415">
        <v>2.255455413654E-4</v>
      </c>
      <c r="L415" t="s">
        <v>254</v>
      </c>
      <c r="N415" t="s">
        <v>422</v>
      </c>
      <c r="O415" t="s">
        <v>1251</v>
      </c>
      <c r="P415">
        <v>1.2037375679687961E-5</v>
      </c>
      <c r="Q415" t="s">
        <v>254</v>
      </c>
      <c r="S415" t="s">
        <v>423</v>
      </c>
      <c r="T415" t="s">
        <v>1251</v>
      </c>
      <c r="U415">
        <v>2.2495741468530167E-5</v>
      </c>
      <c r="V415" t="s">
        <v>254</v>
      </c>
      <c r="X415">
        <v>1.1415525114155251E-4</v>
      </c>
      <c r="Y415">
        <v>1.4253868019126702E-4</v>
      </c>
      <c r="Z415" t="s">
        <v>1251</v>
      </c>
      <c r="AA415" t="s">
        <v>25</v>
      </c>
      <c r="AC415" t="s">
        <v>22</v>
      </c>
      <c r="AD415" t="s">
        <v>1251</v>
      </c>
      <c r="AE415">
        <v>1.2682692591191064E-4</v>
      </c>
      <c r="AG415" t="s">
        <v>97</v>
      </c>
      <c r="AH415" t="s">
        <v>1251</v>
      </c>
      <c r="AI415">
        <v>0</v>
      </c>
    </row>
    <row r="416" spans="9:35" x14ac:dyDescent="0.45">
      <c r="I416" t="s">
        <v>252</v>
      </c>
      <c r="J416" t="s">
        <v>1252</v>
      </c>
      <c r="K416">
        <v>2.0459394288620001E-4</v>
      </c>
      <c r="L416" t="s">
        <v>254</v>
      </c>
      <c r="N416" t="s">
        <v>422</v>
      </c>
      <c r="O416" t="s">
        <v>1252</v>
      </c>
      <c r="P416">
        <v>1.449717700219938E-5</v>
      </c>
      <c r="Q416" t="s">
        <v>254</v>
      </c>
      <c r="S416" t="s">
        <v>423</v>
      </c>
      <c r="T416" t="s">
        <v>1252</v>
      </c>
      <c r="U416">
        <v>3.0250270437326121E-5</v>
      </c>
      <c r="V416" t="s">
        <v>254</v>
      </c>
      <c r="X416">
        <v>1.1415525114155251E-4</v>
      </c>
      <c r="Y416">
        <v>1.4883690094390442E-4</v>
      </c>
      <c r="Z416" t="s">
        <v>1252</v>
      </c>
      <c r="AA416" t="s">
        <v>25</v>
      </c>
      <c r="AC416" t="s">
        <v>22</v>
      </c>
      <c r="AD416" t="s">
        <v>1252</v>
      </c>
      <c r="AE416">
        <v>1.2565065554234604E-4</v>
      </c>
      <c r="AG416" t="s">
        <v>97</v>
      </c>
      <c r="AH416" t="s">
        <v>1252</v>
      </c>
      <c r="AI416">
        <v>0</v>
      </c>
    </row>
    <row r="417" spans="9:35" x14ac:dyDescent="0.45">
      <c r="I417" t="s">
        <v>252</v>
      </c>
      <c r="J417" t="s">
        <v>1253</v>
      </c>
      <c r="K417">
        <v>1.7666517154720001E-4</v>
      </c>
      <c r="L417" t="s">
        <v>254</v>
      </c>
      <c r="N417" t="s">
        <v>422</v>
      </c>
      <c r="O417" t="s">
        <v>1253</v>
      </c>
      <c r="P417">
        <v>2.1547075939213755E-5</v>
      </c>
      <c r="Q417" t="s">
        <v>254</v>
      </c>
      <c r="S417" t="s">
        <v>423</v>
      </c>
      <c r="T417" t="s">
        <v>1253</v>
      </c>
      <c r="U417">
        <v>3.6875982356387488E-5</v>
      </c>
      <c r="V417" t="s">
        <v>254</v>
      </c>
      <c r="X417">
        <v>1.1415525114155251E-4</v>
      </c>
      <c r="Y417">
        <v>1.5049432745775637E-4</v>
      </c>
      <c r="Z417" t="s">
        <v>1253</v>
      </c>
      <c r="AA417" t="s">
        <v>25</v>
      </c>
      <c r="AC417" t="s">
        <v>22</v>
      </c>
      <c r="AD417" t="s">
        <v>1253</v>
      </c>
      <c r="AE417">
        <v>1.2463548307122183E-4</v>
      </c>
      <c r="AG417" t="s">
        <v>97</v>
      </c>
      <c r="AH417" t="s">
        <v>1253</v>
      </c>
      <c r="AI417">
        <v>0</v>
      </c>
    </row>
    <row r="418" spans="9:35" x14ac:dyDescent="0.45">
      <c r="I418" t="s">
        <v>252</v>
      </c>
      <c r="J418" t="s">
        <v>1254</v>
      </c>
      <c r="K418">
        <v>1.3222922693340001E-4</v>
      </c>
      <c r="L418" t="s">
        <v>254</v>
      </c>
      <c r="N418" t="s">
        <v>422</v>
      </c>
      <c r="O418" t="s">
        <v>1254</v>
      </c>
      <c r="P418">
        <v>2.8890957827413327E-5</v>
      </c>
      <c r="Q418" t="s">
        <v>254</v>
      </c>
      <c r="S418" t="s">
        <v>423</v>
      </c>
      <c r="T418" t="s">
        <v>1254</v>
      </c>
      <c r="U418">
        <v>4.3430752390217541E-5</v>
      </c>
      <c r="V418" t="s">
        <v>254</v>
      </c>
      <c r="X418">
        <v>1.1415525114155251E-4</v>
      </c>
      <c r="Y418">
        <v>1.7237235744060203E-4</v>
      </c>
      <c r="Z418" t="s">
        <v>1254</v>
      </c>
      <c r="AA418" t="s">
        <v>25</v>
      </c>
      <c r="AC418" t="s">
        <v>22</v>
      </c>
      <c r="AD418" t="s">
        <v>1254</v>
      </c>
      <c r="AE418">
        <v>1.2472498190368869E-4</v>
      </c>
      <c r="AG418" t="s">
        <v>97</v>
      </c>
      <c r="AH418" t="s">
        <v>1254</v>
      </c>
      <c r="AI418">
        <v>0</v>
      </c>
    </row>
    <row r="419" spans="9:35" x14ac:dyDescent="0.45">
      <c r="I419" t="s">
        <v>252</v>
      </c>
      <c r="J419" t="s">
        <v>1255</v>
      </c>
      <c r="K419">
        <v>1.022871912973E-4</v>
      </c>
      <c r="L419" t="s">
        <v>254</v>
      </c>
      <c r="N419" t="s">
        <v>422</v>
      </c>
      <c r="O419" t="s">
        <v>1255</v>
      </c>
      <c r="P419">
        <v>3.2320362038046815E-5</v>
      </c>
      <c r="Q419" t="s">
        <v>254</v>
      </c>
      <c r="S419" t="s">
        <v>423</v>
      </c>
      <c r="T419" t="s">
        <v>1255</v>
      </c>
      <c r="U419">
        <v>4.4971532679823713E-5</v>
      </c>
      <c r="V419" t="s">
        <v>254</v>
      </c>
      <c r="X419">
        <v>1.1415525114155251E-4</v>
      </c>
      <c r="Y419">
        <v>2.2209515285616027E-4</v>
      </c>
      <c r="Z419" t="s">
        <v>1255</v>
      </c>
      <c r="AA419" t="s">
        <v>25</v>
      </c>
      <c r="AC419" t="s">
        <v>22</v>
      </c>
      <c r="AD419" t="s">
        <v>1255</v>
      </c>
      <c r="AE419">
        <v>1.2436698657382122E-4</v>
      </c>
      <c r="AG419" t="s">
        <v>97</v>
      </c>
      <c r="AH419" t="s">
        <v>1255</v>
      </c>
      <c r="AI419">
        <v>0</v>
      </c>
    </row>
    <row r="420" spans="9:35" x14ac:dyDescent="0.45">
      <c r="I420" t="s">
        <v>252</v>
      </c>
      <c r="J420" t="s">
        <v>1256</v>
      </c>
      <c r="K420">
        <v>6.3222223595795794E-5</v>
      </c>
      <c r="L420" t="s">
        <v>254</v>
      </c>
      <c r="N420" t="s">
        <v>422</v>
      </c>
      <c r="O420" t="s">
        <v>1256</v>
      </c>
      <c r="P420">
        <v>3.2221230423893096E-5</v>
      </c>
      <c r="Q420" t="s">
        <v>254</v>
      </c>
      <c r="S420" t="s">
        <v>423</v>
      </c>
      <c r="T420" t="s">
        <v>1256</v>
      </c>
      <c r="U420">
        <v>4.7114198894862999E-5</v>
      </c>
      <c r="V420" t="s">
        <v>254</v>
      </c>
      <c r="X420">
        <v>1.1415525114155251E-4</v>
      </c>
      <c r="Y420">
        <v>2.2209515285616027E-4</v>
      </c>
      <c r="Z420" t="s">
        <v>1256</v>
      </c>
      <c r="AA420" t="s">
        <v>25</v>
      </c>
      <c r="AC420" t="s">
        <v>22</v>
      </c>
      <c r="AD420" t="s">
        <v>1256</v>
      </c>
      <c r="AE420">
        <v>1.2455621267675119E-4</v>
      </c>
      <c r="AG420" t="s">
        <v>97</v>
      </c>
      <c r="AH420" t="s">
        <v>1256</v>
      </c>
      <c r="AI420">
        <v>0</v>
      </c>
    </row>
    <row r="421" spans="9:35" x14ac:dyDescent="0.45">
      <c r="I421" t="s">
        <v>252</v>
      </c>
      <c r="J421" t="s">
        <v>1257</v>
      </c>
      <c r="K421">
        <v>0</v>
      </c>
      <c r="L421" t="s">
        <v>254</v>
      </c>
      <c r="N421" t="s">
        <v>422</v>
      </c>
      <c r="O421" t="s">
        <v>1257</v>
      </c>
      <c r="P421">
        <v>3.2072704833238378E-5</v>
      </c>
      <c r="Q421" t="s">
        <v>254</v>
      </c>
      <c r="S421" t="s">
        <v>423</v>
      </c>
      <c r="T421" t="s">
        <v>1257</v>
      </c>
      <c r="U421">
        <v>4.8323998457243721E-5</v>
      </c>
      <c r="V421" t="s">
        <v>254</v>
      </c>
      <c r="X421">
        <v>1.1415525114155251E-4</v>
      </c>
      <c r="Y421">
        <v>1.7237235744060203E-4</v>
      </c>
      <c r="Z421" t="s">
        <v>1257</v>
      </c>
      <c r="AA421" t="s">
        <v>25</v>
      </c>
      <c r="AC421" t="s">
        <v>22</v>
      </c>
      <c r="AD421" t="s">
        <v>1257</v>
      </c>
      <c r="AE421">
        <v>1.2438488634031457E-4</v>
      </c>
      <c r="AG421" t="s">
        <v>97</v>
      </c>
      <c r="AH421" t="s">
        <v>1257</v>
      </c>
      <c r="AI421">
        <v>0</v>
      </c>
    </row>
    <row r="422" spans="9:35" x14ac:dyDescent="0.45">
      <c r="I422" t="s">
        <v>252</v>
      </c>
      <c r="J422" t="s">
        <v>1258</v>
      </c>
      <c r="K422">
        <v>0</v>
      </c>
      <c r="L422" t="s">
        <v>254</v>
      </c>
      <c r="N422" t="s">
        <v>422</v>
      </c>
      <c r="O422" t="s">
        <v>1258</v>
      </c>
      <c r="P422">
        <v>3.5184612023081554E-5</v>
      </c>
      <c r="Q422" t="s">
        <v>254</v>
      </c>
      <c r="S422" t="s">
        <v>423</v>
      </c>
      <c r="T422" t="s">
        <v>1258</v>
      </c>
      <c r="U422">
        <v>5.0599210674089598E-5</v>
      </c>
      <c r="V422" t="s">
        <v>254</v>
      </c>
      <c r="X422">
        <v>1.1415525114155251E-4</v>
      </c>
      <c r="Y422">
        <v>1.5579809230208258E-4</v>
      </c>
      <c r="Z422" t="s">
        <v>1258</v>
      </c>
      <c r="AA422" t="s">
        <v>25</v>
      </c>
      <c r="AC422" t="s">
        <v>22</v>
      </c>
      <c r="AD422" t="s">
        <v>1258</v>
      </c>
      <c r="AE422">
        <v>1.2209115911966366E-4</v>
      </c>
      <c r="AG422" t="s">
        <v>97</v>
      </c>
      <c r="AH422" t="s">
        <v>1258</v>
      </c>
      <c r="AI422">
        <v>0</v>
      </c>
    </row>
    <row r="423" spans="9:35" x14ac:dyDescent="0.45">
      <c r="I423" t="s">
        <v>252</v>
      </c>
      <c r="J423" t="s">
        <v>1259</v>
      </c>
      <c r="K423">
        <v>0</v>
      </c>
      <c r="L423" t="s">
        <v>254</v>
      </c>
      <c r="N423" t="s">
        <v>422</v>
      </c>
      <c r="O423" t="s">
        <v>1259</v>
      </c>
      <c r="P423">
        <v>4.1614710594850606E-5</v>
      </c>
      <c r="Q423" t="s">
        <v>254</v>
      </c>
      <c r="S423" t="s">
        <v>423</v>
      </c>
      <c r="T423" t="s">
        <v>1259</v>
      </c>
      <c r="U423">
        <v>5.3581032348723127E-5</v>
      </c>
      <c r="V423" t="s">
        <v>254</v>
      </c>
      <c r="X423">
        <v>1.1415525114155251E-4</v>
      </c>
      <c r="Y423">
        <v>1.093901499142282E-4</v>
      </c>
      <c r="Z423" t="s">
        <v>1259</v>
      </c>
      <c r="AA423" t="s">
        <v>25</v>
      </c>
      <c r="AC423" t="s">
        <v>22</v>
      </c>
      <c r="AD423" t="s">
        <v>1259</v>
      </c>
      <c r="AE423">
        <v>1.1596688186943061E-4</v>
      </c>
      <c r="AG423" t="s">
        <v>97</v>
      </c>
      <c r="AH423" t="s">
        <v>1259</v>
      </c>
      <c r="AI423">
        <v>0</v>
      </c>
    </row>
    <row r="424" spans="9:35" x14ac:dyDescent="0.45">
      <c r="I424" t="s">
        <v>252</v>
      </c>
      <c r="J424" t="s">
        <v>1260</v>
      </c>
      <c r="K424">
        <v>0</v>
      </c>
      <c r="L424" t="s">
        <v>254</v>
      </c>
      <c r="N424" t="s">
        <v>422</v>
      </c>
      <c r="O424" t="s">
        <v>1260</v>
      </c>
      <c r="P424">
        <v>4.6922053096737248E-5</v>
      </c>
      <c r="Q424" t="s">
        <v>254</v>
      </c>
      <c r="S424" t="s">
        <v>423</v>
      </c>
      <c r="T424" t="s">
        <v>1260</v>
      </c>
      <c r="U424">
        <v>5.0448297175066079E-5</v>
      </c>
      <c r="V424" t="s">
        <v>254</v>
      </c>
      <c r="X424">
        <v>1.1415525114155251E-4</v>
      </c>
      <c r="Y424">
        <v>7.9556472664893237E-5</v>
      </c>
      <c r="Z424" t="s">
        <v>1260</v>
      </c>
      <c r="AA424" t="s">
        <v>25</v>
      </c>
      <c r="AC424" t="s">
        <v>22</v>
      </c>
      <c r="AD424" t="s">
        <v>1260</v>
      </c>
      <c r="AE424">
        <v>1.0933373982888596E-4</v>
      </c>
      <c r="AG424" t="s">
        <v>97</v>
      </c>
      <c r="AH424" t="s">
        <v>1260</v>
      </c>
      <c r="AI424">
        <v>0</v>
      </c>
    </row>
    <row r="425" spans="9:35" x14ac:dyDescent="0.45">
      <c r="I425" t="s">
        <v>252</v>
      </c>
      <c r="J425" t="s">
        <v>1261</v>
      </c>
      <c r="K425">
        <v>0</v>
      </c>
      <c r="L425" t="s">
        <v>254</v>
      </c>
      <c r="N425" t="s">
        <v>422</v>
      </c>
      <c r="O425" t="s">
        <v>1261</v>
      </c>
      <c r="P425">
        <v>5.2424361754784587E-5</v>
      </c>
      <c r="Q425" t="s">
        <v>254</v>
      </c>
      <c r="S425" t="s">
        <v>423</v>
      </c>
      <c r="T425" t="s">
        <v>1261</v>
      </c>
      <c r="U425">
        <v>6.3602770612020801E-5</v>
      </c>
      <c r="V425" t="s">
        <v>254</v>
      </c>
      <c r="X425">
        <v>1.1415525114155251E-4</v>
      </c>
      <c r="Y425">
        <v>5.6352501470966035E-5</v>
      </c>
      <c r="Z425" t="s">
        <v>1261</v>
      </c>
      <c r="AA425" t="s">
        <v>25</v>
      </c>
      <c r="AC425" t="s">
        <v>22</v>
      </c>
      <c r="AD425" t="s">
        <v>1261</v>
      </c>
      <c r="AE425">
        <v>9.5052283276672407E-5</v>
      </c>
      <c r="AG425" t="s">
        <v>97</v>
      </c>
      <c r="AH425" t="s">
        <v>1261</v>
      </c>
      <c r="AI425">
        <v>0</v>
      </c>
    </row>
    <row r="426" spans="9:35" x14ac:dyDescent="0.45">
      <c r="I426" t="s">
        <v>252</v>
      </c>
      <c r="J426" t="s">
        <v>1262</v>
      </c>
      <c r="K426">
        <v>0</v>
      </c>
      <c r="L426" t="s">
        <v>254</v>
      </c>
      <c r="N426" t="s">
        <v>422</v>
      </c>
      <c r="O426" t="s">
        <v>1262</v>
      </c>
      <c r="P426">
        <v>4.9897678997117578E-5</v>
      </c>
      <c r="Q426" t="s">
        <v>254</v>
      </c>
      <c r="S426" t="s">
        <v>423</v>
      </c>
      <c r="T426" t="s">
        <v>1262</v>
      </c>
      <c r="U426">
        <v>5.9556814809177937E-5</v>
      </c>
      <c r="V426" t="s">
        <v>254</v>
      </c>
      <c r="X426">
        <v>1.1415525114155251E-4</v>
      </c>
      <c r="Y426">
        <v>2.9833677249334962E-5</v>
      </c>
      <c r="Z426" t="s">
        <v>1262</v>
      </c>
      <c r="AA426" t="s">
        <v>25</v>
      </c>
      <c r="AC426" t="s">
        <v>22</v>
      </c>
      <c r="AD426" t="s">
        <v>1262</v>
      </c>
      <c r="AE426">
        <v>8.6237926833435122E-5</v>
      </c>
      <c r="AG426" t="s">
        <v>97</v>
      </c>
      <c r="AH426" t="s">
        <v>1262</v>
      </c>
      <c r="AI426">
        <v>0</v>
      </c>
    </row>
    <row r="427" spans="9:35" x14ac:dyDescent="0.45">
      <c r="I427" t="s">
        <v>252</v>
      </c>
      <c r="J427" t="s">
        <v>1263</v>
      </c>
      <c r="K427">
        <v>0</v>
      </c>
      <c r="L427" t="s">
        <v>254</v>
      </c>
      <c r="N427" t="s">
        <v>422</v>
      </c>
      <c r="O427" t="s">
        <v>1263</v>
      </c>
      <c r="P427">
        <v>9.7861174501138776E-5</v>
      </c>
      <c r="Q427" t="s">
        <v>254</v>
      </c>
      <c r="S427" t="s">
        <v>423</v>
      </c>
      <c r="T427" t="s">
        <v>1263</v>
      </c>
      <c r="U427">
        <v>5.9387460831685087E-5</v>
      </c>
      <c r="V427" t="s">
        <v>254</v>
      </c>
      <c r="X427">
        <v>1.1415525114155251E-4</v>
      </c>
      <c r="Y427">
        <v>2.1546544680075254E-5</v>
      </c>
      <c r="Z427" t="s">
        <v>1263</v>
      </c>
      <c r="AA427" t="s">
        <v>25</v>
      </c>
      <c r="AC427" t="s">
        <v>22</v>
      </c>
      <c r="AD427" t="s">
        <v>1263</v>
      </c>
      <c r="AE427">
        <v>8.0596943278523202E-5</v>
      </c>
      <c r="AG427" t="s">
        <v>97</v>
      </c>
      <c r="AH427" t="s">
        <v>1263</v>
      </c>
      <c r="AI427">
        <v>0</v>
      </c>
    </row>
    <row r="428" spans="9:35" x14ac:dyDescent="0.45">
      <c r="I428" t="s">
        <v>252</v>
      </c>
      <c r="J428" t="s">
        <v>1264</v>
      </c>
      <c r="K428">
        <v>0</v>
      </c>
      <c r="L428" t="s">
        <v>254</v>
      </c>
      <c r="N428" t="s">
        <v>422</v>
      </c>
      <c r="O428" t="s">
        <v>1264</v>
      </c>
      <c r="P428">
        <v>9.17445444914729E-5</v>
      </c>
      <c r="Q428" t="s">
        <v>254</v>
      </c>
      <c r="S428" t="s">
        <v>423</v>
      </c>
      <c r="T428" t="s">
        <v>1264</v>
      </c>
      <c r="U428">
        <v>5.4724259709233895E-5</v>
      </c>
      <c r="V428" t="s">
        <v>254</v>
      </c>
      <c r="X428">
        <v>1.1415525114155251E-4</v>
      </c>
      <c r="Y428">
        <v>1.4916838624667481E-5</v>
      </c>
      <c r="Z428" t="s">
        <v>1264</v>
      </c>
      <c r="AA428" t="s">
        <v>25</v>
      </c>
      <c r="AC428" t="s">
        <v>22</v>
      </c>
      <c r="AD428" t="s">
        <v>1264</v>
      </c>
      <c r="AE428">
        <v>7.9479486427436852E-5</v>
      </c>
      <c r="AG428" t="s">
        <v>97</v>
      </c>
      <c r="AH428" t="s">
        <v>1264</v>
      </c>
      <c r="AI428">
        <v>0</v>
      </c>
    </row>
    <row r="429" spans="9:35" x14ac:dyDescent="0.45">
      <c r="I429" t="s">
        <v>252</v>
      </c>
      <c r="J429" t="s">
        <v>1265</v>
      </c>
      <c r="K429">
        <v>0</v>
      </c>
      <c r="L429" t="s">
        <v>254</v>
      </c>
      <c r="N429" t="s">
        <v>422</v>
      </c>
      <c r="O429" t="s">
        <v>1265</v>
      </c>
      <c r="P429">
        <v>8.1619687297072437E-5</v>
      </c>
      <c r="Q429" t="s">
        <v>254</v>
      </c>
      <c r="S429" t="s">
        <v>423</v>
      </c>
      <c r="T429" t="s">
        <v>1265</v>
      </c>
      <c r="U429">
        <v>4.6323909516104896E-5</v>
      </c>
      <c r="V429" t="s">
        <v>254</v>
      </c>
      <c r="X429">
        <v>1.1415525114155251E-4</v>
      </c>
      <c r="Y429">
        <v>1.6574265138519424E-5</v>
      </c>
      <c r="Z429" t="s">
        <v>1265</v>
      </c>
      <c r="AA429" t="s">
        <v>25</v>
      </c>
      <c r="AC429" t="s">
        <v>22</v>
      </c>
      <c r="AD429" t="s">
        <v>1265</v>
      </c>
      <c r="AE429">
        <v>7.9479486427436852E-5</v>
      </c>
      <c r="AG429" t="s">
        <v>97</v>
      </c>
      <c r="AH429" t="s">
        <v>1265</v>
      </c>
      <c r="AI429">
        <v>0</v>
      </c>
    </row>
    <row r="430" spans="9:35" x14ac:dyDescent="0.45">
      <c r="I430" t="s">
        <v>252</v>
      </c>
      <c r="J430" t="s">
        <v>1266</v>
      </c>
      <c r="K430">
        <v>0</v>
      </c>
      <c r="L430" t="s">
        <v>254</v>
      </c>
      <c r="N430" t="s">
        <v>422</v>
      </c>
      <c r="O430" t="s">
        <v>1266</v>
      </c>
      <c r="P430">
        <v>6.8297067156095165E-5</v>
      </c>
      <c r="Q430" t="s">
        <v>254</v>
      </c>
      <c r="S430" t="s">
        <v>423</v>
      </c>
      <c r="T430" t="s">
        <v>1266</v>
      </c>
      <c r="U430">
        <v>3.7380359217782633E-5</v>
      </c>
      <c r="V430" t="s">
        <v>254</v>
      </c>
      <c r="X430">
        <v>1.1415525114155251E-4</v>
      </c>
      <c r="Y430">
        <v>1.4585353321897093E-5</v>
      </c>
      <c r="Z430" t="s">
        <v>1266</v>
      </c>
      <c r="AA430" t="s">
        <v>25</v>
      </c>
      <c r="AC430" t="s">
        <v>22</v>
      </c>
      <c r="AD430" t="s">
        <v>1266</v>
      </c>
      <c r="AE430">
        <v>8.0172463101680353E-5</v>
      </c>
      <c r="AG430" t="s">
        <v>97</v>
      </c>
      <c r="AH430" t="s">
        <v>1266</v>
      </c>
      <c r="AI430">
        <v>0</v>
      </c>
    </row>
    <row r="431" spans="9:35" x14ac:dyDescent="0.45">
      <c r="I431" t="s">
        <v>252</v>
      </c>
      <c r="J431" t="s">
        <v>1267</v>
      </c>
      <c r="K431">
        <v>0</v>
      </c>
      <c r="L431" t="s">
        <v>254</v>
      </c>
      <c r="N431" t="s">
        <v>422</v>
      </c>
      <c r="O431" t="s">
        <v>1267</v>
      </c>
      <c r="P431">
        <v>5.7033050043509011E-5</v>
      </c>
      <c r="Q431" t="s">
        <v>254</v>
      </c>
      <c r="S431" t="s">
        <v>423</v>
      </c>
      <c r="T431" t="s">
        <v>1267</v>
      </c>
      <c r="U431">
        <v>3.1932376857894668E-5</v>
      </c>
      <c r="V431" t="s">
        <v>254</v>
      </c>
      <c r="X431">
        <v>1.1415525114155251E-4</v>
      </c>
      <c r="Y431">
        <v>2.1215059377304864E-5</v>
      </c>
      <c r="Z431" t="s">
        <v>1267</v>
      </c>
      <c r="AA431" t="s">
        <v>25</v>
      </c>
      <c r="AC431" t="s">
        <v>22</v>
      </c>
      <c r="AD431" t="s">
        <v>1267</v>
      </c>
      <c r="AE431">
        <v>8.7659679714908865E-5</v>
      </c>
      <c r="AG431" t="s">
        <v>97</v>
      </c>
      <c r="AH431" t="s">
        <v>1267</v>
      </c>
      <c r="AI431">
        <v>0</v>
      </c>
    </row>
    <row r="432" spans="9:35" x14ac:dyDescent="0.45">
      <c r="I432" t="s">
        <v>252</v>
      </c>
      <c r="J432" t="s">
        <v>1268</v>
      </c>
      <c r="K432">
        <v>0</v>
      </c>
      <c r="L432" t="s">
        <v>254</v>
      </c>
      <c r="N432" t="s">
        <v>422</v>
      </c>
      <c r="O432" t="s">
        <v>1268</v>
      </c>
      <c r="P432">
        <v>4.5326129032376207E-5</v>
      </c>
      <c r="Q432" t="s">
        <v>254</v>
      </c>
      <c r="S432" t="s">
        <v>423</v>
      </c>
      <c r="T432" t="s">
        <v>1268</v>
      </c>
      <c r="U432">
        <v>3.1999497642304355E-5</v>
      </c>
      <c r="V432" t="s">
        <v>254</v>
      </c>
      <c r="X432">
        <v>1.1415525114155251E-4</v>
      </c>
      <c r="Y432">
        <v>5.7678442682047593E-5</v>
      </c>
      <c r="Z432" t="s">
        <v>1268</v>
      </c>
      <c r="AA432" t="s">
        <v>25</v>
      </c>
      <c r="AC432" t="s">
        <v>22</v>
      </c>
      <c r="AD432" t="s">
        <v>1268</v>
      </c>
      <c r="AE432">
        <v>1.0353677259453177E-4</v>
      </c>
      <c r="AG432" t="s">
        <v>97</v>
      </c>
      <c r="AH432" t="s">
        <v>1268</v>
      </c>
      <c r="AI432">
        <v>0</v>
      </c>
    </row>
    <row r="433" spans="9:35" x14ac:dyDescent="0.45">
      <c r="I433" t="s">
        <v>252</v>
      </c>
      <c r="J433" t="s">
        <v>1269</v>
      </c>
      <c r="K433">
        <v>0</v>
      </c>
      <c r="L433" t="s">
        <v>254</v>
      </c>
      <c r="N433" t="s">
        <v>422</v>
      </c>
      <c r="O433" t="s">
        <v>1269</v>
      </c>
      <c r="P433">
        <v>3.7063175501710265E-5</v>
      </c>
      <c r="Q433" t="s">
        <v>254</v>
      </c>
      <c r="S433" t="s">
        <v>423</v>
      </c>
      <c r="T433" t="s">
        <v>1269</v>
      </c>
      <c r="U433">
        <v>3.6259533575544147E-5</v>
      </c>
      <c r="V433" t="s">
        <v>254</v>
      </c>
      <c r="X433">
        <v>1.1415525114155251E-4</v>
      </c>
      <c r="Y433">
        <v>1.6905750441289813E-4</v>
      </c>
      <c r="Z433" t="s">
        <v>1269</v>
      </c>
      <c r="AA433" t="s">
        <v>25</v>
      </c>
      <c r="AC433" t="s">
        <v>22</v>
      </c>
      <c r="AD433" t="s">
        <v>1269</v>
      </c>
      <c r="AE433">
        <v>1.154452315316237E-4</v>
      </c>
      <c r="AG433" t="s">
        <v>97</v>
      </c>
      <c r="AH433" t="s">
        <v>1269</v>
      </c>
      <c r="AI433">
        <v>0</v>
      </c>
    </row>
    <row r="434" spans="9:35" x14ac:dyDescent="0.45">
      <c r="I434" t="s">
        <v>252</v>
      </c>
      <c r="J434" t="s">
        <v>1270</v>
      </c>
      <c r="K434">
        <v>9.0334138585175903E-6</v>
      </c>
      <c r="L434" t="s">
        <v>254</v>
      </c>
      <c r="N434" t="s">
        <v>422</v>
      </c>
      <c r="O434" t="s">
        <v>1270</v>
      </c>
      <c r="P434">
        <v>3.3532755016108434E-5</v>
      </c>
      <c r="Q434" t="s">
        <v>254</v>
      </c>
      <c r="S434" t="s">
        <v>423</v>
      </c>
      <c r="T434" t="s">
        <v>1270</v>
      </c>
      <c r="U434">
        <v>4.3421479995823941E-5</v>
      </c>
      <c r="V434" t="s">
        <v>254</v>
      </c>
      <c r="X434">
        <v>1.1415525114155251E-4</v>
      </c>
      <c r="Y434">
        <v>1.9060404909297337E-4</v>
      </c>
      <c r="Z434" t="s">
        <v>1270</v>
      </c>
      <c r="AA434" t="s">
        <v>25</v>
      </c>
      <c r="AC434" t="s">
        <v>22</v>
      </c>
      <c r="AD434" t="s">
        <v>1270</v>
      </c>
      <c r="AE434">
        <v>1.237149236515626E-4</v>
      </c>
      <c r="AG434" t="s">
        <v>97</v>
      </c>
      <c r="AH434" t="s">
        <v>1270</v>
      </c>
      <c r="AI434">
        <v>0</v>
      </c>
    </row>
    <row r="435" spans="9:35" x14ac:dyDescent="0.45">
      <c r="I435" t="s">
        <v>252</v>
      </c>
      <c r="J435" t="s">
        <v>1271</v>
      </c>
      <c r="K435">
        <v>2.0556703859368821E-5</v>
      </c>
      <c r="L435" t="s">
        <v>254</v>
      </c>
      <c r="N435" t="s">
        <v>422</v>
      </c>
      <c r="O435" t="s">
        <v>1271</v>
      </c>
      <c r="P435">
        <v>3.678040721535254E-5</v>
      </c>
      <c r="Q435" t="s">
        <v>254</v>
      </c>
      <c r="S435" t="s">
        <v>423</v>
      </c>
      <c r="T435" t="s">
        <v>1271</v>
      </c>
      <c r="U435">
        <v>4.4728712479117963E-5</v>
      </c>
      <c r="V435" t="s">
        <v>254</v>
      </c>
      <c r="X435">
        <v>1.1415525114155251E-4</v>
      </c>
      <c r="Y435">
        <v>1.4585353321897094E-4</v>
      </c>
      <c r="Z435" t="s">
        <v>1271</v>
      </c>
      <c r="AA435" t="s">
        <v>25</v>
      </c>
      <c r="AC435" t="s">
        <v>22</v>
      </c>
      <c r="AD435" t="s">
        <v>1271</v>
      </c>
      <c r="AE435">
        <v>1.2900046898610607E-4</v>
      </c>
      <c r="AG435" t="s">
        <v>97</v>
      </c>
      <c r="AH435" t="s">
        <v>1271</v>
      </c>
      <c r="AI435">
        <v>0</v>
      </c>
    </row>
    <row r="436" spans="9:35" x14ac:dyDescent="0.45">
      <c r="I436" t="s">
        <v>252</v>
      </c>
      <c r="J436" t="s">
        <v>1272</v>
      </c>
      <c r="K436">
        <v>4.8089032513694401E-5</v>
      </c>
      <c r="L436" t="s">
        <v>254</v>
      </c>
      <c r="N436" t="s">
        <v>422</v>
      </c>
      <c r="O436" t="s">
        <v>1272</v>
      </c>
      <c r="P436">
        <v>4.7032954806351401E-5</v>
      </c>
      <c r="Q436" t="s">
        <v>254</v>
      </c>
      <c r="S436" t="s">
        <v>423</v>
      </c>
      <c r="T436" t="s">
        <v>1272</v>
      </c>
      <c r="U436">
        <v>4.8078302989471812E-5</v>
      </c>
      <c r="V436" t="s">
        <v>254</v>
      </c>
      <c r="X436">
        <v>1.1415525114155251E-4</v>
      </c>
      <c r="Y436">
        <v>1.4452759200788939E-4</v>
      </c>
      <c r="Z436" t="s">
        <v>1272</v>
      </c>
      <c r="AA436" t="s">
        <v>25</v>
      </c>
      <c r="AC436" t="s">
        <v>22</v>
      </c>
      <c r="AD436" t="s">
        <v>1272</v>
      </c>
      <c r="AE436">
        <v>1.2919225219853509E-4</v>
      </c>
      <c r="AG436" t="s">
        <v>97</v>
      </c>
      <c r="AH436" t="s">
        <v>1272</v>
      </c>
      <c r="AI436">
        <v>0</v>
      </c>
    </row>
    <row r="437" spans="9:35" x14ac:dyDescent="0.45">
      <c r="I437" t="s">
        <v>252</v>
      </c>
      <c r="J437" t="s">
        <v>1273</v>
      </c>
      <c r="K437">
        <v>6.5109730370232395E-5</v>
      </c>
      <c r="L437" t="s">
        <v>254</v>
      </c>
      <c r="N437" t="s">
        <v>422</v>
      </c>
      <c r="O437" t="s">
        <v>1273</v>
      </c>
      <c r="P437">
        <v>4.6386308209034086E-5</v>
      </c>
      <c r="Q437" t="s">
        <v>254</v>
      </c>
      <c r="S437" t="s">
        <v>423</v>
      </c>
      <c r="T437" t="s">
        <v>1273</v>
      </c>
      <c r="U437">
        <v>3.4330633824535552E-5</v>
      </c>
      <c r="V437" t="s">
        <v>254</v>
      </c>
      <c r="X437">
        <v>1.1415525114155251E-4</v>
      </c>
      <c r="Y437">
        <v>1.408812536774151E-4</v>
      </c>
      <c r="Z437" t="s">
        <v>1273</v>
      </c>
      <c r="AA437" t="s">
        <v>25</v>
      </c>
      <c r="AC437" t="s">
        <v>22</v>
      </c>
      <c r="AD437" t="s">
        <v>1273</v>
      </c>
      <c r="AE437">
        <v>1.2855297482377171E-4</v>
      </c>
      <c r="AG437" t="s">
        <v>97</v>
      </c>
      <c r="AH437" t="s">
        <v>1273</v>
      </c>
      <c r="AI437">
        <v>0</v>
      </c>
    </row>
    <row r="438" spans="9:35" x14ac:dyDescent="0.45">
      <c r="I438" t="s">
        <v>252</v>
      </c>
      <c r="J438" t="s">
        <v>1274</v>
      </c>
      <c r="K438">
        <v>8.0021373601952596E-5</v>
      </c>
      <c r="L438" t="s">
        <v>254</v>
      </c>
      <c r="N438" t="s">
        <v>422</v>
      </c>
      <c r="O438" t="s">
        <v>1274</v>
      </c>
      <c r="P438">
        <v>4.1738434984777838E-5</v>
      </c>
      <c r="Q438" t="s">
        <v>254</v>
      </c>
      <c r="S438" t="s">
        <v>423</v>
      </c>
      <c r="T438" t="s">
        <v>1274</v>
      </c>
      <c r="U438">
        <v>2.7228344473333641E-5</v>
      </c>
      <c r="V438" t="s">
        <v>254</v>
      </c>
      <c r="X438">
        <v>1.1415525114155251E-4</v>
      </c>
      <c r="Y438">
        <v>1.4054976837464471E-4</v>
      </c>
      <c r="Z438" t="s">
        <v>1274</v>
      </c>
      <c r="AA438" t="s">
        <v>25</v>
      </c>
      <c r="AC438" t="s">
        <v>22</v>
      </c>
      <c r="AD438" t="s">
        <v>1274</v>
      </c>
      <c r="AE438">
        <v>1.2827424988837488E-4</v>
      </c>
      <c r="AG438" t="s">
        <v>97</v>
      </c>
      <c r="AH438" t="s">
        <v>1274</v>
      </c>
      <c r="AI438">
        <v>0</v>
      </c>
    </row>
    <row r="439" spans="9:35" x14ac:dyDescent="0.45">
      <c r="I439" t="s">
        <v>252</v>
      </c>
      <c r="J439" t="s">
        <v>1275</v>
      </c>
      <c r="K439">
        <v>8.6285751434163894E-5</v>
      </c>
      <c r="L439" t="s">
        <v>254</v>
      </c>
      <c r="N439" t="s">
        <v>422</v>
      </c>
      <c r="O439" t="s">
        <v>1275</v>
      </c>
      <c r="P439">
        <v>3.670830866473902E-5</v>
      </c>
      <c r="Q439" t="s">
        <v>254</v>
      </c>
      <c r="S439" t="s">
        <v>423</v>
      </c>
      <c r="T439" t="s">
        <v>1275</v>
      </c>
      <c r="U439">
        <v>2.3804649301162137E-5</v>
      </c>
      <c r="V439" t="s">
        <v>254</v>
      </c>
      <c r="X439">
        <v>1.1415525114155251E-4</v>
      </c>
      <c r="Y439">
        <v>1.4253868019126702E-4</v>
      </c>
      <c r="Z439" t="s">
        <v>1275</v>
      </c>
      <c r="AA439" t="s">
        <v>25</v>
      </c>
      <c r="AC439" t="s">
        <v>22</v>
      </c>
      <c r="AD439" t="s">
        <v>1275</v>
      </c>
      <c r="AE439">
        <v>1.2807223823794968E-4</v>
      </c>
      <c r="AG439" t="s">
        <v>97</v>
      </c>
      <c r="AH439" t="s">
        <v>1275</v>
      </c>
      <c r="AI439">
        <v>0</v>
      </c>
    </row>
    <row r="440" spans="9:35" x14ac:dyDescent="0.45">
      <c r="I440" t="s">
        <v>252</v>
      </c>
      <c r="J440" t="s">
        <v>1276</v>
      </c>
      <c r="K440">
        <v>7.3896738601165619E-5</v>
      </c>
      <c r="L440" t="s">
        <v>254</v>
      </c>
      <c r="N440" t="s">
        <v>422</v>
      </c>
      <c r="O440" t="s">
        <v>1276</v>
      </c>
      <c r="P440">
        <v>3.489561008707134E-5</v>
      </c>
      <c r="Q440" t="s">
        <v>254</v>
      </c>
      <c r="S440" t="s">
        <v>423</v>
      </c>
      <c r="T440" t="s">
        <v>1276</v>
      </c>
      <c r="U440">
        <v>2.1677043889411551E-5</v>
      </c>
      <c r="V440" t="s">
        <v>254</v>
      </c>
      <c r="X440">
        <v>1.1415525114155251E-4</v>
      </c>
      <c r="Y440">
        <v>1.4883690094390442E-4</v>
      </c>
      <c r="Z440" t="s">
        <v>1276</v>
      </c>
      <c r="AA440" t="s">
        <v>25</v>
      </c>
      <c r="AC440" t="s">
        <v>22</v>
      </c>
      <c r="AD440" t="s">
        <v>1276</v>
      </c>
      <c r="AE440">
        <v>1.2674509840794092E-4</v>
      </c>
      <c r="AG440" t="s">
        <v>97</v>
      </c>
      <c r="AH440" t="s">
        <v>1276</v>
      </c>
      <c r="AI440">
        <v>0</v>
      </c>
    </row>
    <row r="441" spans="9:35" x14ac:dyDescent="0.45">
      <c r="I441" t="s">
        <v>252</v>
      </c>
      <c r="J441" t="s">
        <v>1277</v>
      </c>
      <c r="K441">
        <v>5.3427429989832818E-5</v>
      </c>
      <c r="L441" t="s">
        <v>254</v>
      </c>
      <c r="N441" t="s">
        <v>422</v>
      </c>
      <c r="O441" t="s">
        <v>1277</v>
      </c>
      <c r="P441">
        <v>3.1058330704890955E-5</v>
      </c>
      <c r="Q441" t="s">
        <v>254</v>
      </c>
      <c r="S441" t="s">
        <v>423</v>
      </c>
      <c r="T441" t="s">
        <v>1277</v>
      </c>
      <c r="U441">
        <v>2.4533747039669616E-5</v>
      </c>
      <c r="V441" t="s">
        <v>254</v>
      </c>
      <c r="X441">
        <v>1.1415525114155251E-4</v>
      </c>
      <c r="Y441">
        <v>1.5049432745775637E-4</v>
      </c>
      <c r="Z441" t="s">
        <v>1277</v>
      </c>
      <c r="AA441" t="s">
        <v>25</v>
      </c>
      <c r="AC441" t="s">
        <v>22</v>
      </c>
      <c r="AD441" t="s">
        <v>1277</v>
      </c>
      <c r="AE441">
        <v>1.2572992593681668E-4</v>
      </c>
      <c r="AG441" t="s">
        <v>97</v>
      </c>
      <c r="AH441" t="s">
        <v>1277</v>
      </c>
      <c r="AI441">
        <v>0</v>
      </c>
    </row>
    <row r="442" spans="9:35" x14ac:dyDescent="0.45">
      <c r="I442" t="s">
        <v>252</v>
      </c>
      <c r="J442" t="s">
        <v>1278</v>
      </c>
      <c r="K442">
        <v>3.6376504555143534E-5</v>
      </c>
      <c r="L442" t="s">
        <v>254</v>
      </c>
      <c r="N442" t="s">
        <v>422</v>
      </c>
      <c r="O442" t="s">
        <v>1278</v>
      </c>
      <c r="P442">
        <v>2.9593233949128871E-5</v>
      </c>
      <c r="Q442" t="s">
        <v>254</v>
      </c>
      <c r="S442" t="s">
        <v>423</v>
      </c>
      <c r="T442" t="s">
        <v>1278</v>
      </c>
      <c r="U442">
        <v>3.0323057737089731E-5</v>
      </c>
      <c r="V442" t="s">
        <v>254</v>
      </c>
      <c r="X442">
        <v>1.1415525114155251E-4</v>
      </c>
      <c r="Y442">
        <v>1.7237235744060203E-4</v>
      </c>
      <c r="Z442" t="s">
        <v>1278</v>
      </c>
      <c r="AA442" t="s">
        <v>25</v>
      </c>
      <c r="AC442" t="s">
        <v>22</v>
      </c>
      <c r="AD442" t="s">
        <v>1278</v>
      </c>
      <c r="AE442">
        <v>1.264714876915422E-4</v>
      </c>
      <c r="AG442" t="s">
        <v>97</v>
      </c>
      <c r="AH442" t="s">
        <v>1278</v>
      </c>
      <c r="AI442">
        <v>0</v>
      </c>
    </row>
    <row r="443" spans="9:35" x14ac:dyDescent="0.45">
      <c r="I443" t="s">
        <v>252</v>
      </c>
      <c r="J443" t="s">
        <v>1279</v>
      </c>
      <c r="K443">
        <v>3.417571217596635E-5</v>
      </c>
      <c r="L443" t="s">
        <v>254</v>
      </c>
      <c r="N443" t="s">
        <v>422</v>
      </c>
      <c r="O443" t="s">
        <v>1279</v>
      </c>
      <c r="P443">
        <v>3.1954975393872658E-5</v>
      </c>
      <c r="Q443" t="s">
        <v>254</v>
      </c>
      <c r="S443" t="s">
        <v>423</v>
      </c>
      <c r="T443" t="s">
        <v>1279</v>
      </c>
      <c r="U443">
        <v>3.7828177582040697E-5</v>
      </c>
      <c r="V443" t="s">
        <v>254</v>
      </c>
      <c r="X443">
        <v>1.1415525114155251E-4</v>
      </c>
      <c r="Y443">
        <v>2.2209515285616027E-4</v>
      </c>
      <c r="Z443" t="s">
        <v>1279</v>
      </c>
      <c r="AA443" t="s">
        <v>25</v>
      </c>
      <c r="AC443" t="s">
        <v>22</v>
      </c>
      <c r="AD443" t="s">
        <v>1279</v>
      </c>
      <c r="AE443">
        <v>1.2659422894749676E-4</v>
      </c>
      <c r="AG443" t="s">
        <v>97</v>
      </c>
      <c r="AH443" t="s">
        <v>1279</v>
      </c>
      <c r="AI443">
        <v>0</v>
      </c>
    </row>
    <row r="444" spans="9:35" x14ac:dyDescent="0.45">
      <c r="I444" t="s">
        <v>252</v>
      </c>
      <c r="J444" t="s">
        <v>1280</v>
      </c>
      <c r="K444">
        <v>1.6368511106915271E-5</v>
      </c>
      <c r="L444" t="s">
        <v>254</v>
      </c>
      <c r="N444" t="s">
        <v>422</v>
      </c>
      <c r="O444" t="s">
        <v>1280</v>
      </c>
      <c r="P444">
        <v>3.4203538829517562E-5</v>
      </c>
      <c r="Q444" t="s">
        <v>254</v>
      </c>
      <c r="S444" t="s">
        <v>423</v>
      </c>
      <c r="T444" t="s">
        <v>1280</v>
      </c>
      <c r="U444">
        <v>4.5256506566443606E-5</v>
      </c>
      <c r="V444" t="s">
        <v>254</v>
      </c>
      <c r="X444">
        <v>1.1415525114155251E-4</v>
      </c>
      <c r="Y444">
        <v>2.2209515285616027E-4</v>
      </c>
      <c r="Z444" t="s">
        <v>1280</v>
      </c>
      <c r="AA444" t="s">
        <v>25</v>
      </c>
      <c r="AC444" t="s">
        <v>22</v>
      </c>
      <c r="AD444" t="s">
        <v>1280</v>
      </c>
      <c r="AE444">
        <v>1.2672208442244946E-4</v>
      </c>
      <c r="AG444" t="s">
        <v>97</v>
      </c>
      <c r="AH444" t="s">
        <v>1280</v>
      </c>
      <c r="AI444">
        <v>0</v>
      </c>
    </row>
    <row r="445" spans="9:35" x14ac:dyDescent="0.45">
      <c r="I445" t="s">
        <v>252</v>
      </c>
      <c r="J445" t="s">
        <v>1281</v>
      </c>
      <c r="K445">
        <v>0</v>
      </c>
      <c r="L445" t="s">
        <v>254</v>
      </c>
      <c r="N445" t="s">
        <v>422</v>
      </c>
      <c r="O445" t="s">
        <v>1281</v>
      </c>
      <c r="P445">
        <v>4.0397438706509603E-5</v>
      </c>
      <c r="Q445" t="s">
        <v>254</v>
      </c>
      <c r="S445" t="s">
        <v>423</v>
      </c>
      <c r="T445" t="s">
        <v>1281</v>
      </c>
      <c r="U445">
        <v>5.5531733886607037E-5</v>
      </c>
      <c r="V445" t="s">
        <v>254</v>
      </c>
      <c r="X445">
        <v>1.1415525114155251E-4</v>
      </c>
      <c r="Y445">
        <v>1.7237235744060203E-4</v>
      </c>
      <c r="Z445" t="s">
        <v>1281</v>
      </c>
      <c r="AA445" t="s">
        <v>25</v>
      </c>
      <c r="AC445" t="s">
        <v>22</v>
      </c>
      <c r="AD445" t="s">
        <v>1281</v>
      </c>
      <c r="AE445">
        <v>1.2631550401209996E-4</v>
      </c>
      <c r="AG445" t="s">
        <v>97</v>
      </c>
      <c r="AH445" t="s">
        <v>1281</v>
      </c>
      <c r="AI445">
        <v>0</v>
      </c>
    </row>
    <row r="446" spans="9:35" x14ac:dyDescent="0.45">
      <c r="I446" t="s">
        <v>252</v>
      </c>
      <c r="J446" t="s">
        <v>1282</v>
      </c>
      <c r="K446">
        <v>0</v>
      </c>
      <c r="L446" t="s">
        <v>254</v>
      </c>
      <c r="N446" t="s">
        <v>422</v>
      </c>
      <c r="O446" t="s">
        <v>1282</v>
      </c>
      <c r="P446">
        <v>4.2955997607403368E-5</v>
      </c>
      <c r="Q446" t="s">
        <v>254</v>
      </c>
      <c r="S446" t="s">
        <v>423</v>
      </c>
      <c r="T446" t="s">
        <v>1282</v>
      </c>
      <c r="U446">
        <v>5.6910344565885558E-5</v>
      </c>
      <c r="V446" t="s">
        <v>254</v>
      </c>
      <c r="X446">
        <v>1.1415525114155251E-4</v>
      </c>
      <c r="Y446">
        <v>1.5579809230208258E-4</v>
      </c>
      <c r="Z446" t="s">
        <v>1282</v>
      </c>
      <c r="AA446" t="s">
        <v>25</v>
      </c>
      <c r="AC446" t="s">
        <v>22</v>
      </c>
      <c r="AD446" t="s">
        <v>1282</v>
      </c>
      <c r="AE446">
        <v>1.2217810084263147E-4</v>
      </c>
      <c r="AG446" t="s">
        <v>97</v>
      </c>
      <c r="AH446" t="s">
        <v>1282</v>
      </c>
      <c r="AI446">
        <v>0</v>
      </c>
    </row>
    <row r="447" spans="9:35" x14ac:dyDescent="0.45">
      <c r="I447" t="s">
        <v>252</v>
      </c>
      <c r="J447" t="s">
        <v>1283</v>
      </c>
      <c r="K447">
        <v>0</v>
      </c>
      <c r="L447" t="s">
        <v>254</v>
      </c>
      <c r="N447" t="s">
        <v>422</v>
      </c>
      <c r="O447" t="s">
        <v>1283</v>
      </c>
      <c r="P447">
        <v>3.9813212886865783E-5</v>
      </c>
      <c r="Q447" t="s">
        <v>254</v>
      </c>
      <c r="S447" t="s">
        <v>423</v>
      </c>
      <c r="T447" t="s">
        <v>1283</v>
      </c>
      <c r="U447">
        <v>5.7662720757579052E-5</v>
      </c>
      <c r="V447" t="s">
        <v>254</v>
      </c>
      <c r="X447">
        <v>1.1415525114155251E-4</v>
      </c>
      <c r="Y447">
        <v>1.093901499142282E-4</v>
      </c>
      <c r="Z447" t="s">
        <v>1283</v>
      </c>
      <c r="AA447" t="s">
        <v>25</v>
      </c>
      <c r="AC447" t="s">
        <v>22</v>
      </c>
      <c r="AD447" t="s">
        <v>1283</v>
      </c>
      <c r="AE447">
        <v>1.1258126889268385E-4</v>
      </c>
      <c r="AG447" t="s">
        <v>97</v>
      </c>
      <c r="AH447" t="s">
        <v>1283</v>
      </c>
      <c r="AI447">
        <v>0</v>
      </c>
    </row>
    <row r="448" spans="9:35" x14ac:dyDescent="0.45">
      <c r="I448" t="s">
        <v>252</v>
      </c>
      <c r="J448" t="s">
        <v>1284</v>
      </c>
      <c r="K448">
        <v>0</v>
      </c>
      <c r="L448" t="s">
        <v>254</v>
      </c>
      <c r="N448" t="s">
        <v>422</v>
      </c>
      <c r="O448" t="s">
        <v>1284</v>
      </c>
      <c r="P448">
        <v>4.8753278483663015E-5</v>
      </c>
      <c r="Q448" t="s">
        <v>254</v>
      </c>
      <c r="S448" t="s">
        <v>423</v>
      </c>
      <c r="T448" t="s">
        <v>1284</v>
      </c>
      <c r="U448">
        <v>6.7287768180030987E-5</v>
      </c>
      <c r="V448" t="s">
        <v>254</v>
      </c>
      <c r="X448">
        <v>1.1415525114155251E-4</v>
      </c>
      <c r="Y448">
        <v>7.9556472664893237E-5</v>
      </c>
      <c r="Z448" t="s">
        <v>1284</v>
      </c>
      <c r="AA448" t="s">
        <v>25</v>
      </c>
      <c r="AC448" t="s">
        <v>22</v>
      </c>
      <c r="AD448" t="s">
        <v>1284</v>
      </c>
      <c r="AE448">
        <v>1.055134182373001E-4</v>
      </c>
      <c r="AG448" t="s">
        <v>97</v>
      </c>
      <c r="AH448" t="s">
        <v>1284</v>
      </c>
      <c r="AI448">
        <v>0</v>
      </c>
    </row>
    <row r="449" spans="9:35" x14ac:dyDescent="0.45">
      <c r="I449" t="s">
        <v>252</v>
      </c>
      <c r="J449" t="s">
        <v>1285</v>
      </c>
      <c r="K449">
        <v>0</v>
      </c>
      <c r="L449" t="s">
        <v>254</v>
      </c>
      <c r="N449" t="s">
        <v>422</v>
      </c>
      <c r="O449" t="s">
        <v>1285</v>
      </c>
      <c r="P449">
        <v>5.1769581538882179E-5</v>
      </c>
      <c r="Q449" t="s">
        <v>254</v>
      </c>
      <c r="S449" t="s">
        <v>423</v>
      </c>
      <c r="T449" t="s">
        <v>1285</v>
      </c>
      <c r="U449">
        <v>7.331101821510716E-5</v>
      </c>
      <c r="V449" t="s">
        <v>254</v>
      </c>
      <c r="X449">
        <v>1.1415525114155251E-4</v>
      </c>
      <c r="Y449">
        <v>5.6352501470966035E-5</v>
      </c>
      <c r="Z449" t="s">
        <v>1285</v>
      </c>
      <c r="AA449" t="s">
        <v>25</v>
      </c>
      <c r="AC449" t="s">
        <v>22</v>
      </c>
      <c r="AD449" t="s">
        <v>1285</v>
      </c>
      <c r="AE449">
        <v>9.5052283276672407E-5</v>
      </c>
      <c r="AG449" t="s">
        <v>97</v>
      </c>
      <c r="AH449" t="s">
        <v>1285</v>
      </c>
      <c r="AI449">
        <v>0</v>
      </c>
    </row>
    <row r="450" spans="9:35" x14ac:dyDescent="0.45">
      <c r="I450" t="s">
        <v>252</v>
      </c>
      <c r="J450" t="s">
        <v>1286</v>
      </c>
      <c r="K450">
        <v>0</v>
      </c>
      <c r="L450" t="s">
        <v>254</v>
      </c>
      <c r="N450" t="s">
        <v>422</v>
      </c>
      <c r="O450" t="s">
        <v>1286</v>
      </c>
      <c r="P450">
        <v>5.7250427442727571E-5</v>
      </c>
      <c r="Q450" t="s">
        <v>254</v>
      </c>
      <c r="S450" t="s">
        <v>423</v>
      </c>
      <c r="T450" t="s">
        <v>1286</v>
      </c>
      <c r="U450">
        <v>8.3361365546509149E-5</v>
      </c>
      <c r="V450" t="s">
        <v>254</v>
      </c>
      <c r="X450">
        <v>1.1415525114155251E-4</v>
      </c>
      <c r="Y450">
        <v>2.9833677249334962E-5</v>
      </c>
      <c r="Z450" t="s">
        <v>1286</v>
      </c>
      <c r="AA450" t="s">
        <v>25</v>
      </c>
      <c r="AC450" t="s">
        <v>22</v>
      </c>
      <c r="AD450" t="s">
        <v>1286</v>
      </c>
      <c r="AE450">
        <v>8.6237926833435149E-5</v>
      </c>
      <c r="AG450" t="s">
        <v>97</v>
      </c>
      <c r="AH450" t="s">
        <v>1286</v>
      </c>
      <c r="AI450">
        <v>0</v>
      </c>
    </row>
    <row r="451" spans="9:35" x14ac:dyDescent="0.45">
      <c r="I451" t="s">
        <v>252</v>
      </c>
      <c r="J451" t="s">
        <v>406</v>
      </c>
      <c r="K451">
        <v>0</v>
      </c>
      <c r="L451" t="s">
        <v>254</v>
      </c>
      <c r="N451" t="s">
        <v>422</v>
      </c>
      <c r="O451" t="s">
        <v>406</v>
      </c>
      <c r="P451">
        <v>2.931101114839732E-2</v>
      </c>
      <c r="Q451" t="s">
        <v>254</v>
      </c>
      <c r="S451" t="s">
        <v>423</v>
      </c>
      <c r="T451" t="s">
        <v>406</v>
      </c>
      <c r="U451">
        <v>2.7847033930216165E-2</v>
      </c>
      <c r="V451" t="s">
        <v>254</v>
      </c>
      <c r="X451">
        <v>2.3972602739726026E-2</v>
      </c>
      <c r="Y451">
        <v>9.4672202471222967E-3</v>
      </c>
      <c r="Z451" t="s">
        <v>406</v>
      </c>
      <c r="AA451" t="s">
        <v>25</v>
      </c>
      <c r="AC451" t="s">
        <v>22</v>
      </c>
      <c r="AD451" t="s">
        <v>406</v>
      </c>
      <c r="AE451">
        <v>2.0052436889231126E-2</v>
      </c>
      <c r="AG451" t="s">
        <v>97</v>
      </c>
      <c r="AH451" t="s">
        <v>406</v>
      </c>
      <c r="AI451">
        <v>0.29993685127360115</v>
      </c>
    </row>
    <row r="452" spans="9:35" x14ac:dyDescent="0.45">
      <c r="I452" t="s">
        <v>252</v>
      </c>
      <c r="J452" t="s">
        <v>407</v>
      </c>
      <c r="K452">
        <v>6.9595661734516304E-5</v>
      </c>
      <c r="L452" t="s">
        <v>254</v>
      </c>
      <c r="N452" t="s">
        <v>422</v>
      </c>
      <c r="O452" t="s">
        <v>407</v>
      </c>
      <c r="P452">
        <v>4.1448967536828552E-3</v>
      </c>
      <c r="Q452" t="s">
        <v>254</v>
      </c>
      <c r="S452" t="s">
        <v>423</v>
      </c>
      <c r="T452" t="s">
        <v>407</v>
      </c>
      <c r="U452">
        <v>3.9352607163494809E-3</v>
      </c>
      <c r="V452" t="s">
        <v>254</v>
      </c>
      <c r="X452">
        <v>3.4246575342465752E-3</v>
      </c>
      <c r="Y452">
        <v>5.7181214727892006E-3</v>
      </c>
      <c r="Z452" t="s">
        <v>407</v>
      </c>
      <c r="AA452" t="s">
        <v>25</v>
      </c>
      <c r="AC452" t="s">
        <v>22</v>
      </c>
      <c r="AD452" t="s">
        <v>407</v>
      </c>
      <c r="AE452">
        <v>3.9165735287244154E-3</v>
      </c>
      <c r="AG452" t="s">
        <v>97</v>
      </c>
      <c r="AH452" t="s">
        <v>407</v>
      </c>
      <c r="AI452">
        <v>9.6641572988210633E-2</v>
      </c>
    </row>
    <row r="453" spans="9:35" x14ac:dyDescent="0.45">
      <c r="I453" t="s">
        <v>252</v>
      </c>
      <c r="J453" t="s">
        <v>408</v>
      </c>
      <c r="K453">
        <v>6.1529025516527565E-3</v>
      </c>
      <c r="L453" t="s">
        <v>254</v>
      </c>
      <c r="N453" t="s">
        <v>422</v>
      </c>
      <c r="O453" t="s">
        <v>408</v>
      </c>
      <c r="P453">
        <v>8.1377139366058445E-3</v>
      </c>
      <c r="Q453" t="s">
        <v>254</v>
      </c>
      <c r="S453" t="s">
        <v>423</v>
      </c>
      <c r="T453" t="s">
        <v>408</v>
      </c>
      <c r="U453">
        <v>7.8562759010133449E-3</v>
      </c>
      <c r="V453" t="s">
        <v>254</v>
      </c>
      <c r="X453">
        <v>6.8493150684931503E-3</v>
      </c>
      <c r="Y453">
        <v>8.7114337568058101E-3</v>
      </c>
      <c r="Z453" t="s">
        <v>408</v>
      </c>
      <c r="AA453" t="s">
        <v>25</v>
      </c>
      <c r="AC453" t="s">
        <v>22</v>
      </c>
      <c r="AD453" t="s">
        <v>408</v>
      </c>
      <c r="AE453">
        <v>8.1700769192631136E-3</v>
      </c>
      <c r="AG453" t="s">
        <v>97</v>
      </c>
      <c r="AH453" t="s">
        <v>408</v>
      </c>
      <c r="AI453">
        <v>8.8318365814044064E-2</v>
      </c>
    </row>
    <row r="454" spans="9:35" x14ac:dyDescent="0.45">
      <c r="I454" t="s">
        <v>252</v>
      </c>
      <c r="J454" t="s">
        <v>409</v>
      </c>
      <c r="K454">
        <v>1.4808228014460098E-2</v>
      </c>
      <c r="L454" t="s">
        <v>254</v>
      </c>
      <c r="N454" t="s">
        <v>422</v>
      </c>
      <c r="O454" t="s">
        <v>409</v>
      </c>
      <c r="P454">
        <v>1.2782462221910021E-2</v>
      </c>
      <c r="Q454" t="s">
        <v>254</v>
      </c>
      <c r="S454" t="s">
        <v>423</v>
      </c>
      <c r="T454" t="s">
        <v>409</v>
      </c>
      <c r="U454">
        <v>1.1336376707505036E-2</v>
      </c>
      <c r="V454" t="s">
        <v>254</v>
      </c>
      <c r="X454">
        <v>1.0273972602739725E-2</v>
      </c>
      <c r="Y454">
        <v>1.2719091067299805E-2</v>
      </c>
      <c r="Z454" t="s">
        <v>409</v>
      </c>
      <c r="AA454" t="s">
        <v>25</v>
      </c>
      <c r="AC454" t="s">
        <v>22</v>
      </c>
      <c r="AD454" t="s">
        <v>409</v>
      </c>
      <c r="AE454">
        <v>1.2282637548432982E-2</v>
      </c>
      <c r="AG454" t="s">
        <v>97</v>
      </c>
      <c r="AH454" t="s">
        <v>409</v>
      </c>
      <c r="AI454">
        <v>8.524347860116066E-2</v>
      </c>
    </row>
    <row r="455" spans="9:35" x14ac:dyDescent="0.45">
      <c r="I455" t="s">
        <v>252</v>
      </c>
      <c r="J455" t="s">
        <v>410</v>
      </c>
      <c r="K455">
        <v>5.2665416862010123E-3</v>
      </c>
      <c r="L455" t="s">
        <v>254</v>
      </c>
      <c r="N455" t="s">
        <v>422</v>
      </c>
      <c r="O455" t="s">
        <v>410</v>
      </c>
      <c r="P455">
        <v>4.4544946420195762E-3</v>
      </c>
      <c r="Q455" t="s">
        <v>254</v>
      </c>
      <c r="S455" t="s">
        <v>423</v>
      </c>
      <c r="T455" t="s">
        <v>410</v>
      </c>
      <c r="U455">
        <v>3.666573427115692E-3</v>
      </c>
      <c r="V455" t="s">
        <v>254</v>
      </c>
      <c r="X455">
        <v>3.4246575342465752E-3</v>
      </c>
      <c r="Y455">
        <v>4.4651070283171336E-3</v>
      </c>
      <c r="Z455" t="s">
        <v>410</v>
      </c>
      <c r="AA455" t="s">
        <v>25</v>
      </c>
      <c r="AC455" t="s">
        <v>22</v>
      </c>
      <c r="AD455" t="s">
        <v>410</v>
      </c>
      <c r="AE455">
        <v>4.0651825043714063E-3</v>
      </c>
      <c r="AG455" t="s">
        <v>97</v>
      </c>
      <c r="AH455" t="s">
        <v>410</v>
      </c>
      <c r="AI455">
        <v>8.3883454206900465E-2</v>
      </c>
    </row>
    <row r="456" spans="9:35" x14ac:dyDescent="0.45">
      <c r="I456" t="s">
        <v>252</v>
      </c>
      <c r="J456" t="s">
        <v>411</v>
      </c>
      <c r="K456">
        <v>9.6719817741024918E-3</v>
      </c>
      <c r="L456" t="s">
        <v>254</v>
      </c>
      <c r="N456" t="s">
        <v>422</v>
      </c>
      <c r="O456" t="s">
        <v>411</v>
      </c>
      <c r="P456">
        <v>8.8934972559307334E-3</v>
      </c>
      <c r="Q456" t="s">
        <v>254</v>
      </c>
      <c r="S456" t="s">
        <v>423</v>
      </c>
      <c r="T456" t="s">
        <v>411</v>
      </c>
      <c r="U456">
        <v>7.4513489315056712E-3</v>
      </c>
      <c r="V456" t="s">
        <v>254</v>
      </c>
      <c r="X456">
        <v>6.8493150684931503E-3</v>
      </c>
      <c r="Y456">
        <v>9.6860005469507522E-3</v>
      </c>
      <c r="Z456" t="s">
        <v>411</v>
      </c>
      <c r="AA456" t="s">
        <v>25</v>
      </c>
      <c r="AC456" t="s">
        <v>22</v>
      </c>
      <c r="AD456" t="s">
        <v>411</v>
      </c>
      <c r="AE456">
        <v>8.1181445824468363E-3</v>
      </c>
      <c r="AG456" t="s">
        <v>97</v>
      </c>
      <c r="AH456" t="s">
        <v>411</v>
      </c>
      <c r="AI456">
        <v>9.0322808135314681E-2</v>
      </c>
    </row>
    <row r="457" spans="9:35" x14ac:dyDescent="0.45">
      <c r="I457" t="s">
        <v>252</v>
      </c>
      <c r="J457" t="s">
        <v>412</v>
      </c>
      <c r="K457">
        <v>3.0328701328589868E-3</v>
      </c>
      <c r="L457" t="s">
        <v>254</v>
      </c>
      <c r="N457" t="s">
        <v>422</v>
      </c>
      <c r="O457" t="s">
        <v>412</v>
      </c>
      <c r="P457">
        <v>8.9269866837705641E-3</v>
      </c>
      <c r="Q457" t="s">
        <v>254</v>
      </c>
      <c r="S457" t="s">
        <v>423</v>
      </c>
      <c r="T457" t="s">
        <v>412</v>
      </c>
      <c r="U457">
        <v>7.6402466940948379E-3</v>
      </c>
      <c r="V457" t="s">
        <v>254</v>
      </c>
      <c r="X457">
        <v>6.8493150684931503E-3</v>
      </c>
      <c r="Y457">
        <v>1.3325709171369611E-2</v>
      </c>
      <c r="Z457" t="s">
        <v>412</v>
      </c>
      <c r="AA457" t="s">
        <v>25</v>
      </c>
      <c r="AC457" t="s">
        <v>22</v>
      </c>
      <c r="AD457" t="s">
        <v>412</v>
      </c>
      <c r="AE457">
        <v>8.2616291106577238E-3</v>
      </c>
      <c r="AG457" t="s">
        <v>97</v>
      </c>
      <c r="AH457" t="s">
        <v>412</v>
      </c>
      <c r="AI457">
        <v>8.4411488885055563E-2</v>
      </c>
    </row>
    <row r="458" spans="9:35" x14ac:dyDescent="0.45">
      <c r="I458" t="s">
        <v>252</v>
      </c>
      <c r="J458" t="s">
        <v>413</v>
      </c>
      <c r="K458">
        <v>0</v>
      </c>
      <c r="L458" t="s">
        <v>254</v>
      </c>
      <c r="N458" t="s">
        <v>422</v>
      </c>
      <c r="O458" t="s">
        <v>413</v>
      </c>
      <c r="P458">
        <v>2.5727119340730506E-2</v>
      </c>
      <c r="Q458" t="s">
        <v>254</v>
      </c>
      <c r="S458" t="s">
        <v>423</v>
      </c>
      <c r="T458" t="s">
        <v>413</v>
      </c>
      <c r="U458">
        <v>2.3947295215002884E-2</v>
      </c>
      <c r="V458" t="s">
        <v>254</v>
      </c>
      <c r="X458">
        <v>2.0547945205479451E-2</v>
      </c>
      <c r="Y458">
        <v>1.8099097531263209E-2</v>
      </c>
      <c r="Z458" t="s">
        <v>413</v>
      </c>
      <c r="AA458" t="s">
        <v>25</v>
      </c>
      <c r="AC458" t="s">
        <v>22</v>
      </c>
      <c r="AD458" t="s">
        <v>413</v>
      </c>
      <c r="AE458">
        <v>2.1459757666207505E-2</v>
      </c>
      <c r="AG458" t="s">
        <v>97</v>
      </c>
      <c r="AH458" t="s">
        <v>413</v>
      </c>
      <c r="AI458">
        <v>0.20586110636602517</v>
      </c>
    </row>
    <row r="459" spans="9:35" x14ac:dyDescent="0.45">
      <c r="I459" t="s">
        <v>252</v>
      </c>
      <c r="J459" t="s">
        <v>414</v>
      </c>
      <c r="K459">
        <v>0</v>
      </c>
      <c r="L459" t="s">
        <v>254</v>
      </c>
      <c r="N459" t="s">
        <v>422</v>
      </c>
      <c r="O459" t="s">
        <v>414</v>
      </c>
      <c r="P459">
        <v>3.1146804888227204E-2</v>
      </c>
      <c r="Q459" t="s">
        <v>254</v>
      </c>
      <c r="S459" t="s">
        <v>423</v>
      </c>
      <c r="T459" t="s">
        <v>414</v>
      </c>
      <c r="U459">
        <v>2.8793009642577382E-2</v>
      </c>
      <c r="V459" t="s">
        <v>254</v>
      </c>
      <c r="X459">
        <v>2.4771689497716895E-2</v>
      </c>
      <c r="Y459">
        <v>9.7827942553597048E-3</v>
      </c>
      <c r="Z459" t="s">
        <v>414</v>
      </c>
      <c r="AA459" t="s">
        <v>25</v>
      </c>
      <c r="AC459" t="s">
        <v>22</v>
      </c>
      <c r="AD459" t="s">
        <v>414</v>
      </c>
      <c r="AE459">
        <v>2.1425280402942632E-2</v>
      </c>
      <c r="AG459" t="s">
        <v>97</v>
      </c>
      <c r="AH459" t="s">
        <v>414</v>
      </c>
      <c r="AI459">
        <v>0.2947027221455345</v>
      </c>
    </row>
    <row r="460" spans="9:35" x14ac:dyDescent="0.45">
      <c r="I460" t="s">
        <v>252</v>
      </c>
      <c r="J460" t="s">
        <v>415</v>
      </c>
      <c r="K460">
        <v>0</v>
      </c>
      <c r="L460" t="s">
        <v>254</v>
      </c>
      <c r="N460" t="s">
        <v>422</v>
      </c>
      <c r="O460" t="s">
        <v>415</v>
      </c>
      <c r="P460">
        <v>4.31761190741473E-3</v>
      </c>
      <c r="Q460" t="s">
        <v>254</v>
      </c>
      <c r="S460" t="s">
        <v>423</v>
      </c>
      <c r="T460" t="s">
        <v>415</v>
      </c>
      <c r="U460">
        <v>4.1199438315051417E-3</v>
      </c>
      <c r="V460" t="s">
        <v>254</v>
      </c>
      <c r="X460">
        <v>3.5388127853881279E-3</v>
      </c>
      <c r="Y460">
        <v>5.9087255218821738E-3</v>
      </c>
      <c r="Z460" t="s">
        <v>415</v>
      </c>
      <c r="AA460" t="s">
        <v>25</v>
      </c>
      <c r="AC460" t="s">
        <v>22</v>
      </c>
      <c r="AD460" t="s">
        <v>415</v>
      </c>
      <c r="AE460">
        <v>4.1125234349494791E-3</v>
      </c>
      <c r="AG460" t="s">
        <v>97</v>
      </c>
      <c r="AH460" t="s">
        <v>415</v>
      </c>
      <c r="AI460">
        <v>8.4630227908339517E-2</v>
      </c>
    </row>
    <row r="461" spans="9:35" x14ac:dyDescent="0.45">
      <c r="I461" t="s">
        <v>252</v>
      </c>
      <c r="J461" t="s">
        <v>416</v>
      </c>
      <c r="K461">
        <v>6.4038723485293526E-3</v>
      </c>
      <c r="L461" t="s">
        <v>254</v>
      </c>
      <c r="N461" t="s">
        <v>422</v>
      </c>
      <c r="O461" t="s">
        <v>416</v>
      </c>
      <c r="P461">
        <v>8.5232327838381788E-3</v>
      </c>
      <c r="Q461" t="s">
        <v>254</v>
      </c>
      <c r="S461" t="s">
        <v>423</v>
      </c>
      <c r="T461" t="s">
        <v>416</v>
      </c>
      <c r="U461">
        <v>8.239040986961408E-3</v>
      </c>
      <c r="V461" t="s">
        <v>254</v>
      </c>
      <c r="X461">
        <v>7.0776255707762558E-3</v>
      </c>
      <c r="Y461">
        <v>9.0018148820326695E-3</v>
      </c>
      <c r="Z461" t="s">
        <v>416</v>
      </c>
      <c r="AA461" t="s">
        <v>25</v>
      </c>
      <c r="AC461" t="s">
        <v>22</v>
      </c>
      <c r="AD461" t="s">
        <v>416</v>
      </c>
      <c r="AE461">
        <v>8.5682569926429156E-3</v>
      </c>
      <c r="AG461" t="s">
        <v>97</v>
      </c>
      <c r="AH461" t="s">
        <v>416</v>
      </c>
      <c r="AI461">
        <v>7.9188707784562995E-2</v>
      </c>
    </row>
    <row r="462" spans="9:35" x14ac:dyDescent="0.45">
      <c r="I462" t="s">
        <v>252</v>
      </c>
      <c r="J462" t="s">
        <v>417</v>
      </c>
      <c r="K462">
        <v>1.8568084035886397E-2</v>
      </c>
      <c r="L462" t="s">
        <v>254</v>
      </c>
      <c r="N462" t="s">
        <v>422</v>
      </c>
      <c r="O462" t="s">
        <v>417</v>
      </c>
      <c r="P462">
        <v>1.243096882230536E-2</v>
      </c>
      <c r="Q462" t="s">
        <v>254</v>
      </c>
      <c r="S462" t="s">
        <v>423</v>
      </c>
      <c r="T462" t="s">
        <v>417</v>
      </c>
      <c r="U462">
        <v>1.207865958376843E-2</v>
      </c>
      <c r="V462" t="s">
        <v>254</v>
      </c>
      <c r="X462">
        <v>1.0616438356164383E-2</v>
      </c>
      <c r="Y462">
        <v>1.3143060769543132E-2</v>
      </c>
      <c r="Z462" t="s">
        <v>417</v>
      </c>
      <c r="AA462" t="s">
        <v>25</v>
      </c>
      <c r="AC462" t="s">
        <v>22</v>
      </c>
      <c r="AD462" t="s">
        <v>417</v>
      </c>
      <c r="AE462">
        <v>1.2785028667649806E-2</v>
      </c>
      <c r="AG462" t="s">
        <v>97</v>
      </c>
      <c r="AH462" t="s">
        <v>417</v>
      </c>
      <c r="AI462">
        <v>8.0668699840730218E-2</v>
      </c>
    </row>
    <row r="463" spans="9:35" x14ac:dyDescent="0.45">
      <c r="I463" t="s">
        <v>252</v>
      </c>
      <c r="J463" t="s">
        <v>418</v>
      </c>
      <c r="K463">
        <v>6.5515329450327254E-3</v>
      </c>
      <c r="L463" t="s">
        <v>254</v>
      </c>
      <c r="N463" t="s">
        <v>422</v>
      </c>
      <c r="O463" t="s">
        <v>418</v>
      </c>
      <c r="P463">
        <v>4.1898215208638848E-3</v>
      </c>
      <c r="Q463" t="s">
        <v>254</v>
      </c>
      <c r="S463" t="s">
        <v>423</v>
      </c>
      <c r="T463" t="s">
        <v>418</v>
      </c>
      <c r="U463">
        <v>3.9982360424480265E-3</v>
      </c>
      <c r="V463" t="s">
        <v>254</v>
      </c>
      <c r="X463">
        <v>3.5388127853881279E-3</v>
      </c>
      <c r="Y463">
        <v>4.6139439292610376E-3</v>
      </c>
      <c r="Z463" t="s">
        <v>418</v>
      </c>
      <c r="AA463" t="s">
        <v>25</v>
      </c>
      <c r="AC463" t="s">
        <v>22</v>
      </c>
      <c r="AD463" t="s">
        <v>418</v>
      </c>
      <c r="AE463">
        <v>4.2043748081554795E-3</v>
      </c>
      <c r="AG463" t="s">
        <v>97</v>
      </c>
      <c r="AH463" t="s">
        <v>418</v>
      </c>
      <c r="AI463">
        <v>7.6650597053711245E-2</v>
      </c>
    </row>
    <row r="464" spans="9:35" x14ac:dyDescent="0.45">
      <c r="I464" t="s">
        <v>252</v>
      </c>
      <c r="J464" t="s">
        <v>419</v>
      </c>
      <c r="K464">
        <v>1.3234551289396075E-2</v>
      </c>
      <c r="L464" t="s">
        <v>254</v>
      </c>
      <c r="N464" t="s">
        <v>422</v>
      </c>
      <c r="O464" t="s">
        <v>419</v>
      </c>
      <c r="P464">
        <v>8.4239938906834257E-3</v>
      </c>
      <c r="Q464" t="s">
        <v>254</v>
      </c>
      <c r="S464" t="s">
        <v>423</v>
      </c>
      <c r="T464" t="s">
        <v>419</v>
      </c>
      <c r="U464">
        <v>8.1432231404651167E-3</v>
      </c>
      <c r="V464" t="s">
        <v>254</v>
      </c>
      <c r="X464">
        <v>7.0776255707762558E-3</v>
      </c>
      <c r="Y464">
        <v>1.0008867231849112E-2</v>
      </c>
      <c r="Z464" t="s">
        <v>419</v>
      </c>
      <c r="AA464" t="s">
        <v>25</v>
      </c>
      <c r="AC464" t="s">
        <v>22</v>
      </c>
      <c r="AD464" t="s">
        <v>419</v>
      </c>
      <c r="AE464">
        <v>8.4036328402033542E-3</v>
      </c>
      <c r="AG464" t="s">
        <v>97</v>
      </c>
      <c r="AH464" t="s">
        <v>419</v>
      </c>
      <c r="AI464">
        <v>7.9590932437562545E-2</v>
      </c>
    </row>
    <row r="465" spans="9:35" x14ac:dyDescent="0.45">
      <c r="I465" t="s">
        <v>252</v>
      </c>
      <c r="J465" t="s">
        <v>420</v>
      </c>
      <c r="K465">
        <v>3.9746287768223278E-3</v>
      </c>
      <c r="L465" t="s">
        <v>254</v>
      </c>
      <c r="N465" t="s">
        <v>422</v>
      </c>
      <c r="O465" t="s">
        <v>420</v>
      </c>
      <c r="P465">
        <v>8.7486588963055899E-3</v>
      </c>
      <c r="Q465" t="s">
        <v>254</v>
      </c>
      <c r="S465" t="s">
        <v>423</v>
      </c>
      <c r="T465" t="s">
        <v>420</v>
      </c>
      <c r="U465">
        <v>8.3249273270211421E-3</v>
      </c>
      <c r="V465" t="s">
        <v>254</v>
      </c>
      <c r="X465">
        <v>7.0776255707762558E-3</v>
      </c>
      <c r="Y465">
        <v>1.376989947708193E-2</v>
      </c>
      <c r="Z465" t="s">
        <v>420</v>
      </c>
      <c r="AA465" t="s">
        <v>25</v>
      </c>
      <c r="AC465" t="s">
        <v>22</v>
      </c>
      <c r="AD465" t="s">
        <v>420</v>
      </c>
      <c r="AE465">
        <v>8.6302720122139603E-3</v>
      </c>
      <c r="AG465" t="s">
        <v>97</v>
      </c>
      <c r="AH465" t="s">
        <v>420</v>
      </c>
      <c r="AI465">
        <v>7.2305314486669214E-2</v>
      </c>
    </row>
    <row r="466" spans="9:35" x14ac:dyDescent="0.45">
      <c r="I466" t="s">
        <v>252</v>
      </c>
      <c r="J466" t="s">
        <v>421</v>
      </c>
      <c r="K466">
        <v>0</v>
      </c>
      <c r="L466" t="s">
        <v>254</v>
      </c>
      <c r="N466" t="s">
        <v>422</v>
      </c>
      <c r="O466" t="s">
        <v>421</v>
      </c>
      <c r="P466">
        <v>2.8229797330429289E-2</v>
      </c>
      <c r="Q466" t="s">
        <v>254</v>
      </c>
      <c r="S466" t="s">
        <v>423</v>
      </c>
      <c r="T466" t="s">
        <v>421</v>
      </c>
      <c r="U466">
        <v>2.4994685761360526E-2</v>
      </c>
      <c r="V466" t="s">
        <v>254</v>
      </c>
      <c r="X466">
        <v>2.1232876712328767E-2</v>
      </c>
      <c r="Y466">
        <v>1.8702400782305319E-2</v>
      </c>
      <c r="Z466" t="s">
        <v>421</v>
      </c>
      <c r="AA466" t="s">
        <v>25</v>
      </c>
      <c r="AC466" t="s">
        <v>22</v>
      </c>
      <c r="AD466" t="s">
        <v>421</v>
      </c>
      <c r="AE466">
        <v>2.2314284150476777E-2</v>
      </c>
      <c r="AG466" t="s">
        <v>97</v>
      </c>
      <c r="AH466" t="s">
        <v>421</v>
      </c>
      <c r="AI466">
        <v>0.19559280053890871</v>
      </c>
    </row>
    <row r="467" spans="9:35" x14ac:dyDescent="0.45">
      <c r="AC467" t="s">
        <v>19</v>
      </c>
      <c r="AD467" t="s">
        <v>253</v>
      </c>
      <c r="AE467">
        <v>2.20321354753234E-2</v>
      </c>
    </row>
    <row r="468" spans="9:35" x14ac:dyDescent="0.45">
      <c r="AC468" t="s">
        <v>19</v>
      </c>
      <c r="AD468" t="s">
        <v>255</v>
      </c>
      <c r="AE468">
        <v>3.2259104343078482E-3</v>
      </c>
    </row>
    <row r="469" spans="9:35" x14ac:dyDescent="0.45">
      <c r="AC469" t="s">
        <v>19</v>
      </c>
      <c r="AD469" t="s">
        <v>256</v>
      </c>
      <c r="AE469">
        <v>6.4685196371677134E-3</v>
      </c>
    </row>
    <row r="470" spans="9:35" x14ac:dyDescent="0.45">
      <c r="AC470" t="s">
        <v>19</v>
      </c>
      <c r="AD470" t="s">
        <v>257</v>
      </c>
      <c r="AE470">
        <v>9.7083670958666574E-3</v>
      </c>
    </row>
    <row r="471" spans="9:35" x14ac:dyDescent="0.45">
      <c r="AC471" t="s">
        <v>19</v>
      </c>
      <c r="AD471" t="s">
        <v>258</v>
      </c>
      <c r="AE471">
        <v>3.2347904428559706E-3</v>
      </c>
    </row>
    <row r="472" spans="9:35" x14ac:dyDescent="0.45">
      <c r="AC472" t="s">
        <v>19</v>
      </c>
      <c r="AD472" t="s">
        <v>259</v>
      </c>
      <c r="AE472">
        <v>6.4702553311134434E-3</v>
      </c>
    </row>
    <row r="473" spans="9:35" x14ac:dyDescent="0.45">
      <c r="AC473" t="s">
        <v>19</v>
      </c>
      <c r="AD473" t="s">
        <v>260</v>
      </c>
      <c r="AE473">
        <v>6.4777090503823501E-3</v>
      </c>
    </row>
    <row r="474" spans="9:35" x14ac:dyDescent="0.45">
      <c r="AC474" t="s">
        <v>19</v>
      </c>
      <c r="AD474" t="s">
        <v>261</v>
      </c>
      <c r="AE474">
        <v>1.9155516794620832E-2</v>
      </c>
    </row>
    <row r="475" spans="9:35" x14ac:dyDescent="0.45">
      <c r="AC475" t="s">
        <v>19</v>
      </c>
      <c r="AD475" t="s">
        <v>583</v>
      </c>
      <c r="AE475">
        <v>1.1186123736435609E-4</v>
      </c>
    </row>
    <row r="476" spans="9:35" x14ac:dyDescent="0.45">
      <c r="AC476" t="s">
        <v>19</v>
      </c>
      <c r="AD476" t="s">
        <v>584</v>
      </c>
      <c r="AE476">
        <v>1.1170284488370019E-4</v>
      </c>
    </row>
    <row r="477" spans="9:35" x14ac:dyDescent="0.45">
      <c r="AC477" t="s">
        <v>19</v>
      </c>
      <c r="AD477" t="s">
        <v>585</v>
      </c>
      <c r="AE477">
        <v>1.1166802503132184E-4</v>
      </c>
    </row>
    <row r="478" spans="9:35" x14ac:dyDescent="0.45">
      <c r="AC478" t="s">
        <v>19</v>
      </c>
      <c r="AD478" t="s">
        <v>586</v>
      </c>
      <c r="AE478">
        <v>1.116914905840116E-4</v>
      </c>
    </row>
    <row r="479" spans="9:35" x14ac:dyDescent="0.45">
      <c r="AC479" t="s">
        <v>19</v>
      </c>
      <c r="AD479" t="s">
        <v>587</v>
      </c>
      <c r="AE479">
        <v>1.1223384763247018E-4</v>
      </c>
    </row>
    <row r="480" spans="9:35" x14ac:dyDescent="0.45">
      <c r="AC480" t="s">
        <v>19</v>
      </c>
      <c r="AD480" t="s">
        <v>588</v>
      </c>
      <c r="AE480">
        <v>1.1443336472047926E-4</v>
      </c>
    </row>
    <row r="481" spans="29:31" x14ac:dyDescent="0.45">
      <c r="AC481" t="s">
        <v>19</v>
      </c>
      <c r="AD481" t="s">
        <v>589</v>
      </c>
      <c r="AE481">
        <v>1.1554513989832089E-4</v>
      </c>
    </row>
    <row r="482" spans="29:31" x14ac:dyDescent="0.45">
      <c r="AC482" t="s">
        <v>19</v>
      </c>
      <c r="AD482" t="s">
        <v>590</v>
      </c>
      <c r="AE482">
        <v>1.1605400176269811E-4</v>
      </c>
    </row>
    <row r="483" spans="29:31" x14ac:dyDescent="0.45">
      <c r="AC483" t="s">
        <v>19</v>
      </c>
      <c r="AD483" t="s">
        <v>591</v>
      </c>
      <c r="AE483">
        <v>1.1609374181160821E-4</v>
      </c>
    </row>
    <row r="484" spans="29:31" x14ac:dyDescent="0.45">
      <c r="AC484" t="s">
        <v>19</v>
      </c>
      <c r="AD484" t="s">
        <v>592</v>
      </c>
      <c r="AE484">
        <v>1.1609809429315549E-4</v>
      </c>
    </row>
    <row r="485" spans="29:31" x14ac:dyDescent="0.45">
      <c r="AC485" t="s">
        <v>19</v>
      </c>
      <c r="AD485" t="s">
        <v>593</v>
      </c>
      <c r="AE485">
        <v>1.1604605375291611E-4</v>
      </c>
    </row>
    <row r="486" spans="29:31" x14ac:dyDescent="0.45">
      <c r="AC486" t="s">
        <v>19</v>
      </c>
      <c r="AD486" t="s">
        <v>594</v>
      </c>
      <c r="AE486">
        <v>1.1604605375291611E-4</v>
      </c>
    </row>
    <row r="487" spans="29:31" x14ac:dyDescent="0.45">
      <c r="AC487" t="s">
        <v>19</v>
      </c>
      <c r="AD487" t="s">
        <v>595</v>
      </c>
      <c r="AE487">
        <v>1.1597565709484681E-4</v>
      </c>
    </row>
    <row r="488" spans="29:31" x14ac:dyDescent="0.45">
      <c r="AC488" t="s">
        <v>19</v>
      </c>
      <c r="AD488" t="s">
        <v>596</v>
      </c>
      <c r="AE488">
        <v>1.1595995031361093E-4</v>
      </c>
    </row>
    <row r="489" spans="29:31" x14ac:dyDescent="0.45">
      <c r="AC489" t="s">
        <v>19</v>
      </c>
      <c r="AD489" t="s">
        <v>597</v>
      </c>
      <c r="AE489">
        <v>1.1594727134562532E-4</v>
      </c>
    </row>
    <row r="490" spans="29:31" x14ac:dyDescent="0.45">
      <c r="AC490" t="s">
        <v>19</v>
      </c>
      <c r="AD490" t="s">
        <v>598</v>
      </c>
      <c r="AE490">
        <v>1.1594727134562532E-4</v>
      </c>
    </row>
    <row r="491" spans="29:31" x14ac:dyDescent="0.45">
      <c r="AC491" t="s">
        <v>19</v>
      </c>
      <c r="AD491" t="s">
        <v>599</v>
      </c>
      <c r="AE491">
        <v>1.1600044731583359E-4</v>
      </c>
    </row>
    <row r="492" spans="29:31" x14ac:dyDescent="0.45">
      <c r="AC492" t="s">
        <v>19</v>
      </c>
      <c r="AD492" t="s">
        <v>600</v>
      </c>
      <c r="AE492">
        <v>1.1604264746300953E-4</v>
      </c>
    </row>
    <row r="493" spans="29:31" x14ac:dyDescent="0.45">
      <c r="AC493" t="s">
        <v>19</v>
      </c>
      <c r="AD493" t="s">
        <v>601</v>
      </c>
      <c r="AE493">
        <v>1.1604264746300953E-4</v>
      </c>
    </row>
    <row r="494" spans="29:31" x14ac:dyDescent="0.45">
      <c r="AC494" t="s">
        <v>19</v>
      </c>
      <c r="AD494" t="s">
        <v>602</v>
      </c>
      <c r="AE494">
        <v>1.157258625016977E-4</v>
      </c>
    </row>
    <row r="495" spans="29:31" x14ac:dyDescent="0.45">
      <c r="AC495" t="s">
        <v>19</v>
      </c>
      <c r="AD495" t="s">
        <v>603</v>
      </c>
      <c r="AE495">
        <v>1.145145479632527E-4</v>
      </c>
    </row>
    <row r="496" spans="29:31" x14ac:dyDescent="0.45">
      <c r="AC496" t="s">
        <v>19</v>
      </c>
      <c r="AD496" t="s">
        <v>604</v>
      </c>
      <c r="AE496">
        <v>1.1387984261066023E-4</v>
      </c>
    </row>
    <row r="497" spans="29:31" x14ac:dyDescent="0.45">
      <c r="AC497" t="s">
        <v>19</v>
      </c>
      <c r="AD497" t="s">
        <v>605</v>
      </c>
      <c r="AE497">
        <v>1.1320937121404868E-4</v>
      </c>
    </row>
    <row r="498" spans="29:31" x14ac:dyDescent="0.45">
      <c r="AC498" t="s">
        <v>19</v>
      </c>
      <c r="AD498" t="s">
        <v>606</v>
      </c>
      <c r="AE498">
        <v>1.1204044606110776E-4</v>
      </c>
    </row>
    <row r="499" spans="29:31" x14ac:dyDescent="0.45">
      <c r="AC499" t="s">
        <v>19</v>
      </c>
      <c r="AD499" t="s">
        <v>951</v>
      </c>
      <c r="AE499">
        <v>1.1179803176275623E-4</v>
      </c>
    </row>
    <row r="500" spans="29:31" x14ac:dyDescent="0.45">
      <c r="AC500" t="s">
        <v>19</v>
      </c>
      <c r="AD500" t="s">
        <v>952</v>
      </c>
      <c r="AE500">
        <v>1.1160633333634713E-4</v>
      </c>
    </row>
    <row r="501" spans="29:31" x14ac:dyDescent="0.45">
      <c r="AC501" t="s">
        <v>19</v>
      </c>
      <c r="AD501" t="s">
        <v>953</v>
      </c>
      <c r="AE501">
        <v>1.1158949112514236E-4</v>
      </c>
    </row>
    <row r="502" spans="29:31" x14ac:dyDescent="0.45">
      <c r="AC502" t="s">
        <v>19</v>
      </c>
      <c r="AD502" t="s">
        <v>954</v>
      </c>
      <c r="AE502">
        <v>1.1158949112514236E-4</v>
      </c>
    </row>
    <row r="503" spans="29:31" x14ac:dyDescent="0.45">
      <c r="AC503" t="s">
        <v>19</v>
      </c>
      <c r="AD503" t="s">
        <v>955</v>
      </c>
      <c r="AE503">
        <v>1.1207526591348611E-4</v>
      </c>
    </row>
    <row r="504" spans="29:31" x14ac:dyDescent="0.45">
      <c r="AC504" t="s">
        <v>19</v>
      </c>
      <c r="AD504" t="s">
        <v>956</v>
      </c>
      <c r="AE504">
        <v>1.1367054501973377E-4</v>
      </c>
    </row>
    <row r="505" spans="29:31" x14ac:dyDescent="0.45">
      <c r="AC505" t="s">
        <v>19</v>
      </c>
      <c r="AD505" t="s">
        <v>957</v>
      </c>
      <c r="AE505">
        <v>1.1486236801038001E-4</v>
      </c>
    </row>
    <row r="506" spans="29:31" x14ac:dyDescent="0.45">
      <c r="AC506" t="s">
        <v>19</v>
      </c>
      <c r="AD506" t="s">
        <v>958</v>
      </c>
      <c r="AE506">
        <v>1.1568933950436605E-4</v>
      </c>
    </row>
    <row r="507" spans="29:31" x14ac:dyDescent="0.45">
      <c r="AC507" t="s">
        <v>19</v>
      </c>
      <c r="AD507" t="s">
        <v>959</v>
      </c>
      <c r="AE507">
        <v>1.158693051544303E-4</v>
      </c>
    </row>
    <row r="508" spans="29:31" x14ac:dyDescent="0.45">
      <c r="AC508" t="s">
        <v>19</v>
      </c>
      <c r="AD508" t="s">
        <v>960</v>
      </c>
      <c r="AE508">
        <v>1.1586798048613329E-4</v>
      </c>
    </row>
    <row r="509" spans="29:31" x14ac:dyDescent="0.45">
      <c r="AC509" t="s">
        <v>19</v>
      </c>
      <c r="AD509" t="s">
        <v>961</v>
      </c>
      <c r="AE509">
        <v>1.1586287105127342E-4</v>
      </c>
    </row>
    <row r="510" spans="29:31" x14ac:dyDescent="0.45">
      <c r="AC510" t="s">
        <v>19</v>
      </c>
      <c r="AD510" t="s">
        <v>962</v>
      </c>
      <c r="AE510">
        <v>1.1585170598991296E-4</v>
      </c>
    </row>
    <row r="511" spans="29:31" x14ac:dyDescent="0.45">
      <c r="AC511" t="s">
        <v>19</v>
      </c>
      <c r="AD511" t="s">
        <v>963</v>
      </c>
      <c r="AE511">
        <v>1.1579058200992269E-4</v>
      </c>
    </row>
    <row r="512" spans="29:31" x14ac:dyDescent="0.45">
      <c r="AC512" t="s">
        <v>19</v>
      </c>
      <c r="AD512" t="s">
        <v>964</v>
      </c>
      <c r="AE512">
        <v>1.1579058200992269E-4</v>
      </c>
    </row>
    <row r="513" spans="29:31" x14ac:dyDescent="0.45">
      <c r="AC513" t="s">
        <v>19</v>
      </c>
      <c r="AD513" t="s">
        <v>965</v>
      </c>
      <c r="AE513">
        <v>1.1573210736652643E-4</v>
      </c>
    </row>
    <row r="514" spans="29:31" x14ac:dyDescent="0.45">
      <c r="AC514" t="s">
        <v>19</v>
      </c>
      <c r="AD514" t="s">
        <v>966</v>
      </c>
      <c r="AE514">
        <v>1.1573210736652643E-4</v>
      </c>
    </row>
    <row r="515" spans="29:31" x14ac:dyDescent="0.45">
      <c r="AC515" t="s">
        <v>19</v>
      </c>
      <c r="AD515" t="s">
        <v>967</v>
      </c>
      <c r="AE515">
        <v>1.1568498702281875E-4</v>
      </c>
    </row>
    <row r="516" spans="29:31" x14ac:dyDescent="0.45">
      <c r="AC516" t="s">
        <v>19</v>
      </c>
      <c r="AD516" t="s">
        <v>968</v>
      </c>
      <c r="AE516">
        <v>1.1570580323891451E-4</v>
      </c>
    </row>
    <row r="517" spans="29:31" x14ac:dyDescent="0.45">
      <c r="AC517" t="s">
        <v>19</v>
      </c>
      <c r="AD517" t="s">
        <v>969</v>
      </c>
      <c r="AE517">
        <v>1.1565868289520684E-4</v>
      </c>
    </row>
    <row r="518" spans="29:31" x14ac:dyDescent="0.45">
      <c r="AC518" t="s">
        <v>19</v>
      </c>
      <c r="AD518" t="s">
        <v>970</v>
      </c>
      <c r="AE518">
        <v>1.1546471360886001E-4</v>
      </c>
    </row>
    <row r="519" spans="29:31" x14ac:dyDescent="0.45">
      <c r="AC519" t="s">
        <v>19</v>
      </c>
      <c r="AD519" t="s">
        <v>971</v>
      </c>
      <c r="AE519">
        <v>1.1446667066623245E-4</v>
      </c>
    </row>
    <row r="520" spans="29:31" x14ac:dyDescent="0.45">
      <c r="AC520" t="s">
        <v>19</v>
      </c>
      <c r="AD520" t="s">
        <v>972</v>
      </c>
      <c r="AE520">
        <v>1.1377670772182214E-4</v>
      </c>
    </row>
    <row r="521" spans="29:31" x14ac:dyDescent="0.45">
      <c r="AC521" t="s">
        <v>19</v>
      </c>
      <c r="AD521" t="s">
        <v>973</v>
      </c>
      <c r="AE521">
        <v>1.130171050726551E-4</v>
      </c>
    </row>
    <row r="522" spans="29:31" x14ac:dyDescent="0.45">
      <c r="AC522" t="s">
        <v>19</v>
      </c>
      <c r="AD522" t="s">
        <v>974</v>
      </c>
      <c r="AE522">
        <v>1.120442308276706E-4</v>
      </c>
    </row>
    <row r="523" spans="29:31" x14ac:dyDescent="0.45">
      <c r="AC523" t="s">
        <v>19</v>
      </c>
      <c r="AD523" t="s">
        <v>975</v>
      </c>
      <c r="AE523">
        <v>1.118275529419466E-4</v>
      </c>
    </row>
    <row r="524" spans="29:31" x14ac:dyDescent="0.45">
      <c r="AC524" t="s">
        <v>19</v>
      </c>
      <c r="AD524" t="s">
        <v>976</v>
      </c>
      <c r="AE524">
        <v>1.1160349476142498E-4</v>
      </c>
    </row>
    <row r="525" spans="29:31" x14ac:dyDescent="0.45">
      <c r="AC525" t="s">
        <v>19</v>
      </c>
      <c r="AD525" t="s">
        <v>977</v>
      </c>
      <c r="AE525">
        <v>1.115686749090466E-4</v>
      </c>
    </row>
    <row r="526" spans="29:31" x14ac:dyDescent="0.45">
      <c r="AC526" t="s">
        <v>19</v>
      </c>
      <c r="AD526" t="s">
        <v>978</v>
      </c>
      <c r="AE526">
        <v>1.1162260783256744E-4</v>
      </c>
    </row>
    <row r="527" spans="29:31" x14ac:dyDescent="0.45">
      <c r="AC527" t="s">
        <v>19</v>
      </c>
      <c r="AD527" t="s">
        <v>979</v>
      </c>
      <c r="AE527">
        <v>1.1207942915670526E-4</v>
      </c>
    </row>
    <row r="528" spans="29:31" x14ac:dyDescent="0.45">
      <c r="AC528" t="s">
        <v>19</v>
      </c>
      <c r="AD528" t="s">
        <v>980</v>
      </c>
      <c r="AE528">
        <v>1.1359995912333636E-4</v>
      </c>
    </row>
    <row r="529" spans="29:31" x14ac:dyDescent="0.45">
      <c r="AC529" t="s">
        <v>19</v>
      </c>
      <c r="AD529" t="s">
        <v>981</v>
      </c>
      <c r="AE529">
        <v>1.1483341454617408E-4</v>
      </c>
    </row>
    <row r="530" spans="29:31" x14ac:dyDescent="0.45">
      <c r="AC530" t="s">
        <v>19</v>
      </c>
      <c r="AD530" t="s">
        <v>982</v>
      </c>
      <c r="AE530">
        <v>1.1538409808107099E-4</v>
      </c>
    </row>
    <row r="531" spans="29:31" x14ac:dyDescent="0.45">
      <c r="AC531" t="s">
        <v>19</v>
      </c>
      <c r="AD531" t="s">
        <v>983</v>
      </c>
      <c r="AE531">
        <v>1.1561194102815545E-4</v>
      </c>
    </row>
    <row r="532" spans="29:31" x14ac:dyDescent="0.45">
      <c r="AC532" t="s">
        <v>19</v>
      </c>
      <c r="AD532" t="s">
        <v>984</v>
      </c>
      <c r="AE532">
        <v>1.156851762611469E-4</v>
      </c>
    </row>
    <row r="533" spans="29:31" x14ac:dyDescent="0.45">
      <c r="AC533" t="s">
        <v>19</v>
      </c>
      <c r="AD533" t="s">
        <v>985</v>
      </c>
      <c r="AE533">
        <v>1.1563767744078294E-4</v>
      </c>
    </row>
    <row r="534" spans="29:31" x14ac:dyDescent="0.45">
      <c r="AC534" t="s">
        <v>19</v>
      </c>
      <c r="AD534" t="s">
        <v>986</v>
      </c>
      <c r="AE534">
        <v>1.1555498029138435E-4</v>
      </c>
    </row>
    <row r="535" spans="29:31" x14ac:dyDescent="0.45">
      <c r="AC535" t="s">
        <v>19</v>
      </c>
      <c r="AD535" t="s">
        <v>987</v>
      </c>
      <c r="AE535">
        <v>1.1547133695034502E-4</v>
      </c>
    </row>
    <row r="536" spans="29:31" x14ac:dyDescent="0.45">
      <c r="AC536" t="s">
        <v>19</v>
      </c>
      <c r="AD536" t="s">
        <v>988</v>
      </c>
      <c r="AE536">
        <v>1.1546187503393786E-4</v>
      </c>
    </row>
    <row r="537" spans="29:31" x14ac:dyDescent="0.45">
      <c r="AC537" t="s">
        <v>19</v>
      </c>
      <c r="AD537" t="s">
        <v>989</v>
      </c>
      <c r="AE537">
        <v>1.154034003905416E-4</v>
      </c>
    </row>
    <row r="538" spans="29:31" x14ac:dyDescent="0.45">
      <c r="AC538" t="s">
        <v>19</v>
      </c>
      <c r="AD538" t="s">
        <v>990</v>
      </c>
      <c r="AE538">
        <v>1.1537539311797638E-4</v>
      </c>
    </row>
    <row r="539" spans="29:31" x14ac:dyDescent="0.45">
      <c r="AC539" t="s">
        <v>19</v>
      </c>
      <c r="AD539" t="s">
        <v>991</v>
      </c>
      <c r="AE539">
        <v>1.1546887685207917E-4</v>
      </c>
    </row>
    <row r="540" spans="29:31" x14ac:dyDescent="0.45">
      <c r="AC540" t="s">
        <v>19</v>
      </c>
      <c r="AD540" t="s">
        <v>992</v>
      </c>
      <c r="AE540">
        <v>1.155644422077915E-4</v>
      </c>
    </row>
    <row r="541" spans="29:31" x14ac:dyDescent="0.45">
      <c r="AC541" t="s">
        <v>19</v>
      </c>
      <c r="AD541" t="s">
        <v>993</v>
      </c>
      <c r="AE541">
        <v>1.1562916171601649E-4</v>
      </c>
    </row>
    <row r="542" spans="29:31" x14ac:dyDescent="0.45">
      <c r="AC542" t="s">
        <v>19</v>
      </c>
      <c r="AD542" t="s">
        <v>994</v>
      </c>
      <c r="AE542">
        <v>1.1551183395256767E-4</v>
      </c>
    </row>
    <row r="543" spans="29:31" x14ac:dyDescent="0.45">
      <c r="AC543" t="s">
        <v>19</v>
      </c>
      <c r="AD543" t="s">
        <v>995</v>
      </c>
      <c r="AE543">
        <v>1.1455504496547536E-4</v>
      </c>
    </row>
    <row r="544" spans="29:31" x14ac:dyDescent="0.45">
      <c r="AC544" t="s">
        <v>19</v>
      </c>
      <c r="AD544" t="s">
        <v>996</v>
      </c>
      <c r="AE544">
        <v>1.1377159828696228E-4</v>
      </c>
    </row>
    <row r="545" spans="29:31" x14ac:dyDescent="0.45">
      <c r="AC545" t="s">
        <v>19</v>
      </c>
      <c r="AD545" t="s">
        <v>997</v>
      </c>
      <c r="AE545">
        <v>1.1302297146082756E-4</v>
      </c>
    </row>
    <row r="546" spans="29:31" x14ac:dyDescent="0.45">
      <c r="AC546" t="s">
        <v>19</v>
      </c>
      <c r="AD546" t="s">
        <v>998</v>
      </c>
      <c r="AE546">
        <v>1.1203722900952933E-4</v>
      </c>
    </row>
    <row r="547" spans="29:31" x14ac:dyDescent="0.45">
      <c r="AC547" t="s">
        <v>19</v>
      </c>
      <c r="AD547" t="s">
        <v>286</v>
      </c>
      <c r="AE547">
        <v>2.0484486476786534E-2</v>
      </c>
    </row>
    <row r="548" spans="29:31" x14ac:dyDescent="0.45">
      <c r="AC548" t="s">
        <v>19</v>
      </c>
      <c r="AD548" t="s">
        <v>287</v>
      </c>
      <c r="AE548">
        <v>2.9977664297840662E-3</v>
      </c>
    </row>
    <row r="549" spans="29:31" x14ac:dyDescent="0.45">
      <c r="AC549" t="s">
        <v>19</v>
      </c>
      <c r="AD549" t="s">
        <v>288</v>
      </c>
      <c r="AE549">
        <v>6.0082076643105109E-3</v>
      </c>
    </row>
    <row r="550" spans="29:31" x14ac:dyDescent="0.45">
      <c r="AC550" t="s">
        <v>19</v>
      </c>
      <c r="AD550" t="s">
        <v>289</v>
      </c>
      <c r="AE550">
        <v>9.0091014467054732E-3</v>
      </c>
    </row>
    <row r="551" spans="29:31" x14ac:dyDescent="0.45">
      <c r="AC551" t="s">
        <v>19</v>
      </c>
      <c r="AD551" t="s">
        <v>290</v>
      </c>
      <c r="AE551">
        <v>3.0010228429347553E-3</v>
      </c>
    </row>
    <row r="552" spans="29:31" x14ac:dyDescent="0.45">
      <c r="AC552" t="s">
        <v>19</v>
      </c>
      <c r="AD552" t="s">
        <v>291</v>
      </c>
      <c r="AE552">
        <v>6.0024835833608348E-3</v>
      </c>
    </row>
    <row r="553" spans="29:31" x14ac:dyDescent="0.45">
      <c r="AC553" t="s">
        <v>19</v>
      </c>
      <c r="AD553" t="s">
        <v>292</v>
      </c>
      <c r="AE553">
        <v>6.0108640027226583E-3</v>
      </c>
    </row>
    <row r="554" spans="29:31" x14ac:dyDescent="0.45">
      <c r="AC554" t="s">
        <v>19</v>
      </c>
      <c r="AD554" t="s">
        <v>293</v>
      </c>
      <c r="AE554">
        <v>1.7780404496359502E-2</v>
      </c>
    </row>
    <row r="555" spans="29:31" x14ac:dyDescent="0.45">
      <c r="AC555" t="s">
        <v>19</v>
      </c>
      <c r="AD555" t="s">
        <v>999</v>
      </c>
      <c r="AE555">
        <v>1.117588312283954E-4</v>
      </c>
    </row>
    <row r="556" spans="29:31" x14ac:dyDescent="0.45">
      <c r="AC556" t="s">
        <v>19</v>
      </c>
      <c r="AD556" t="s">
        <v>1000</v>
      </c>
      <c r="AE556">
        <v>1.1155142602075039E-4</v>
      </c>
    </row>
    <row r="557" spans="29:31" x14ac:dyDescent="0.45">
      <c r="AC557" t="s">
        <v>19</v>
      </c>
      <c r="AD557" t="s">
        <v>1001</v>
      </c>
      <c r="AE557">
        <v>1.1152720351474805E-4</v>
      </c>
    </row>
    <row r="558" spans="29:31" x14ac:dyDescent="0.45">
      <c r="AC558" t="s">
        <v>19</v>
      </c>
      <c r="AD558" t="s">
        <v>1002</v>
      </c>
      <c r="AE558">
        <v>1.1152720351474805E-4</v>
      </c>
    </row>
    <row r="559" spans="29:31" x14ac:dyDescent="0.45">
      <c r="AC559" t="s">
        <v>19</v>
      </c>
      <c r="AD559" t="s">
        <v>1003</v>
      </c>
      <c r="AE559">
        <v>1.12038336239063E-4</v>
      </c>
    </row>
    <row r="560" spans="29:31" x14ac:dyDescent="0.45">
      <c r="AC560" t="s">
        <v>19</v>
      </c>
      <c r="AD560" t="s">
        <v>1004</v>
      </c>
      <c r="AE560">
        <v>1.138075253688743E-4</v>
      </c>
    </row>
    <row r="561" spans="29:31" x14ac:dyDescent="0.45">
      <c r="AC561" t="s">
        <v>19</v>
      </c>
      <c r="AD561" t="s">
        <v>1005</v>
      </c>
      <c r="AE561">
        <v>1.1504495479660307E-4</v>
      </c>
    </row>
    <row r="562" spans="29:31" x14ac:dyDescent="0.45">
      <c r="AC562" t="s">
        <v>19</v>
      </c>
      <c r="AD562" t="s">
        <v>1006</v>
      </c>
      <c r="AE562">
        <v>1.1592415606915666E-4</v>
      </c>
    </row>
    <row r="563" spans="29:31" x14ac:dyDescent="0.45">
      <c r="AC563" t="s">
        <v>19</v>
      </c>
      <c r="AD563" t="s">
        <v>1007</v>
      </c>
      <c r="AE563">
        <v>1.1592850855070394E-4</v>
      </c>
    </row>
    <row r="564" spans="29:31" x14ac:dyDescent="0.45">
      <c r="AC564" t="s">
        <v>19</v>
      </c>
      <c r="AD564" t="s">
        <v>1008</v>
      </c>
      <c r="AE564">
        <v>1.1596578850134816E-4</v>
      </c>
    </row>
    <row r="565" spans="29:31" x14ac:dyDescent="0.45">
      <c r="AC565" t="s">
        <v>19</v>
      </c>
      <c r="AD565" t="s">
        <v>1009</v>
      </c>
      <c r="AE565">
        <v>1.1595443420165958E-4</v>
      </c>
    </row>
    <row r="566" spans="29:31" x14ac:dyDescent="0.45">
      <c r="AC566" t="s">
        <v>19</v>
      </c>
      <c r="AD566" t="s">
        <v>1010</v>
      </c>
      <c r="AE566">
        <v>1.1595443420165958E-4</v>
      </c>
    </row>
    <row r="567" spans="29:31" x14ac:dyDescent="0.45">
      <c r="AC567" t="s">
        <v>19</v>
      </c>
      <c r="AD567" t="s">
        <v>1011</v>
      </c>
      <c r="AE567">
        <v>1.1594572923856498E-4</v>
      </c>
    </row>
    <row r="568" spans="29:31" x14ac:dyDescent="0.45">
      <c r="AC568" t="s">
        <v>19</v>
      </c>
      <c r="AD568" t="s">
        <v>1012</v>
      </c>
      <c r="AE568">
        <v>1.1594572923856498E-4</v>
      </c>
    </row>
    <row r="569" spans="29:31" x14ac:dyDescent="0.45">
      <c r="AC569" t="s">
        <v>19</v>
      </c>
      <c r="AD569" t="s">
        <v>1013</v>
      </c>
      <c r="AE569">
        <v>1.1593305027057938E-4</v>
      </c>
    </row>
    <row r="570" spans="29:31" x14ac:dyDescent="0.45">
      <c r="AC570" t="s">
        <v>19</v>
      </c>
      <c r="AD570" t="s">
        <v>1014</v>
      </c>
      <c r="AE570">
        <v>1.1593305027057938E-4</v>
      </c>
    </row>
    <row r="571" spans="29:31" x14ac:dyDescent="0.45">
      <c r="AC571" t="s">
        <v>19</v>
      </c>
      <c r="AD571" t="s">
        <v>1015</v>
      </c>
      <c r="AE571">
        <v>1.1599512044221038E-4</v>
      </c>
    </row>
    <row r="572" spans="29:31" x14ac:dyDescent="0.45">
      <c r="AC572" t="s">
        <v>19</v>
      </c>
      <c r="AD572" t="s">
        <v>1016</v>
      </c>
      <c r="AE572">
        <v>1.1608122388151556E-4</v>
      </c>
    </row>
    <row r="573" spans="29:31" x14ac:dyDescent="0.45">
      <c r="AC573" t="s">
        <v>19</v>
      </c>
      <c r="AD573" t="s">
        <v>1017</v>
      </c>
      <c r="AE573">
        <v>1.1611434058894063E-4</v>
      </c>
    </row>
    <row r="574" spans="29:31" x14ac:dyDescent="0.45">
      <c r="AC574" t="s">
        <v>19</v>
      </c>
      <c r="AD574" t="s">
        <v>1018</v>
      </c>
      <c r="AE574">
        <v>1.1568079557916443E-4</v>
      </c>
    </row>
    <row r="575" spans="29:31" x14ac:dyDescent="0.45">
      <c r="AC575" t="s">
        <v>19</v>
      </c>
      <c r="AD575" t="s">
        <v>1019</v>
      </c>
      <c r="AE575">
        <v>1.1442803784685606E-4</v>
      </c>
    </row>
    <row r="576" spans="29:31" x14ac:dyDescent="0.45">
      <c r="AC576" t="s">
        <v>19</v>
      </c>
      <c r="AD576" t="s">
        <v>1020</v>
      </c>
      <c r="AE576">
        <v>1.1379560335420128E-4</v>
      </c>
    </row>
    <row r="577" spans="29:31" x14ac:dyDescent="0.45">
      <c r="AC577" t="s">
        <v>19</v>
      </c>
      <c r="AD577" t="s">
        <v>1021</v>
      </c>
      <c r="AE577">
        <v>1.1328011814833905E-4</v>
      </c>
    </row>
    <row r="578" spans="29:31" x14ac:dyDescent="0.45">
      <c r="AC578" t="s">
        <v>19</v>
      </c>
      <c r="AD578" t="s">
        <v>1022</v>
      </c>
      <c r="AE578">
        <v>1.1212027643514903E-4</v>
      </c>
    </row>
    <row r="579" spans="29:31" x14ac:dyDescent="0.45">
      <c r="AC579" t="s">
        <v>19</v>
      </c>
      <c r="AD579" t="s">
        <v>1023</v>
      </c>
      <c r="AE579">
        <v>1.1191495284911358E-4</v>
      </c>
    </row>
    <row r="580" spans="29:31" x14ac:dyDescent="0.45">
      <c r="AC580" t="s">
        <v>19</v>
      </c>
      <c r="AD580" t="s">
        <v>1024</v>
      </c>
      <c r="AE580">
        <v>1.1175182941025409E-4</v>
      </c>
    </row>
    <row r="581" spans="29:31" x14ac:dyDescent="0.45">
      <c r="AC581" t="s">
        <v>19</v>
      </c>
      <c r="AD581" t="s">
        <v>1025</v>
      </c>
      <c r="AE581">
        <v>1.1174728769037867E-4</v>
      </c>
    </row>
    <row r="582" spans="29:31" x14ac:dyDescent="0.45">
      <c r="AC582" t="s">
        <v>19</v>
      </c>
      <c r="AD582" t="s">
        <v>1026</v>
      </c>
      <c r="AE582">
        <v>1.1171946965614161E-4</v>
      </c>
    </row>
    <row r="583" spans="29:31" x14ac:dyDescent="0.45">
      <c r="AC583" t="s">
        <v>19</v>
      </c>
      <c r="AD583" t="s">
        <v>1027</v>
      </c>
      <c r="AE583">
        <v>1.1229797122527555E-4</v>
      </c>
    </row>
    <row r="584" spans="29:31" x14ac:dyDescent="0.45">
      <c r="AC584" t="s">
        <v>19</v>
      </c>
      <c r="AD584" t="s">
        <v>1028</v>
      </c>
      <c r="AE584">
        <v>1.1440514000915072E-4</v>
      </c>
    </row>
    <row r="585" spans="29:31" x14ac:dyDescent="0.45">
      <c r="AC585" t="s">
        <v>19</v>
      </c>
      <c r="AD585" t="s">
        <v>1029</v>
      </c>
      <c r="AE585">
        <v>1.15482095334614E-4</v>
      </c>
    </row>
    <row r="586" spans="29:31" x14ac:dyDescent="0.45">
      <c r="AC586" t="s">
        <v>19</v>
      </c>
      <c r="AD586" t="s">
        <v>1030</v>
      </c>
      <c r="AE586">
        <v>1.1599095719899122E-4</v>
      </c>
    </row>
    <row r="587" spans="29:31" x14ac:dyDescent="0.45">
      <c r="AC587" t="s">
        <v>19</v>
      </c>
      <c r="AD587" t="s">
        <v>1031</v>
      </c>
      <c r="AE587">
        <v>1.1604659326746534E-4</v>
      </c>
    </row>
    <row r="588" spans="29:31" x14ac:dyDescent="0.45">
      <c r="AC588" t="s">
        <v>19</v>
      </c>
      <c r="AD588" t="s">
        <v>1032</v>
      </c>
      <c r="AE588">
        <v>1.1612115316875378E-4</v>
      </c>
    </row>
    <row r="589" spans="29:31" x14ac:dyDescent="0.45">
      <c r="AC589" t="s">
        <v>19</v>
      </c>
      <c r="AD589" t="s">
        <v>1033</v>
      </c>
      <c r="AE589">
        <v>1.1609182122789157E-4</v>
      </c>
    </row>
    <row r="590" spans="29:31" x14ac:dyDescent="0.45">
      <c r="AC590" t="s">
        <v>19</v>
      </c>
      <c r="AD590" t="s">
        <v>1034</v>
      </c>
      <c r="AE590">
        <v>1.1601574741997799E-4</v>
      </c>
    </row>
    <row r="591" spans="29:31" x14ac:dyDescent="0.45">
      <c r="AC591" t="s">
        <v>19</v>
      </c>
      <c r="AD591" t="s">
        <v>1035</v>
      </c>
      <c r="AE591">
        <v>1.1600363616697681E-4</v>
      </c>
    </row>
    <row r="592" spans="29:31" x14ac:dyDescent="0.45">
      <c r="AC592" t="s">
        <v>19</v>
      </c>
      <c r="AD592" t="s">
        <v>1036</v>
      </c>
      <c r="AE592">
        <v>1.1594572923856498E-4</v>
      </c>
    </row>
    <row r="593" spans="29:31" x14ac:dyDescent="0.45">
      <c r="AC593" t="s">
        <v>19</v>
      </c>
      <c r="AD593" t="s">
        <v>1037</v>
      </c>
      <c r="AE593">
        <v>1.1593305027057938E-4</v>
      </c>
    </row>
    <row r="594" spans="29:31" x14ac:dyDescent="0.45">
      <c r="AC594" t="s">
        <v>19</v>
      </c>
      <c r="AD594" t="s">
        <v>1038</v>
      </c>
      <c r="AE594">
        <v>1.1597543965608346E-4</v>
      </c>
    </row>
    <row r="595" spans="29:31" x14ac:dyDescent="0.45">
      <c r="AC595" t="s">
        <v>19</v>
      </c>
      <c r="AD595" t="s">
        <v>1039</v>
      </c>
      <c r="AE595">
        <v>1.1605075651068449E-4</v>
      </c>
    </row>
    <row r="596" spans="29:31" x14ac:dyDescent="0.45">
      <c r="AC596" t="s">
        <v>19</v>
      </c>
      <c r="AD596" t="s">
        <v>1040</v>
      </c>
      <c r="AE596">
        <v>1.161417801465214E-4</v>
      </c>
    </row>
    <row r="597" spans="29:31" x14ac:dyDescent="0.45">
      <c r="AC597" t="s">
        <v>19</v>
      </c>
      <c r="AD597" t="s">
        <v>1041</v>
      </c>
      <c r="AE597">
        <v>1.1613458909005194E-4</v>
      </c>
    </row>
    <row r="598" spans="29:31" x14ac:dyDescent="0.45">
      <c r="AC598" t="s">
        <v>19</v>
      </c>
      <c r="AD598" t="s">
        <v>1042</v>
      </c>
      <c r="AE598">
        <v>1.1570899209005777E-4</v>
      </c>
    </row>
    <row r="599" spans="29:31" x14ac:dyDescent="0.45">
      <c r="AC599" t="s">
        <v>19</v>
      </c>
      <c r="AD599" t="s">
        <v>1043</v>
      </c>
      <c r="AE599">
        <v>1.1442803784685606E-4</v>
      </c>
    </row>
    <row r="600" spans="29:31" x14ac:dyDescent="0.45">
      <c r="AC600" t="s">
        <v>19</v>
      </c>
      <c r="AD600" t="s">
        <v>1044</v>
      </c>
      <c r="AE600">
        <v>1.1379560335420128E-4</v>
      </c>
    </row>
    <row r="601" spans="29:31" x14ac:dyDescent="0.45">
      <c r="AC601" t="s">
        <v>19</v>
      </c>
      <c r="AD601" t="s">
        <v>1045</v>
      </c>
      <c r="AE601">
        <v>1.1327709033508874E-4</v>
      </c>
    </row>
    <row r="602" spans="29:31" x14ac:dyDescent="0.45">
      <c r="AC602" t="s">
        <v>19</v>
      </c>
      <c r="AD602" t="s">
        <v>1046</v>
      </c>
      <c r="AE602">
        <v>1.1214922989935495E-4</v>
      </c>
    </row>
    <row r="603" spans="29:31" x14ac:dyDescent="0.45">
      <c r="AC603" t="s">
        <v>19</v>
      </c>
      <c r="AD603" t="s">
        <v>294</v>
      </c>
      <c r="AE603">
        <v>2.4432411551340204E-2</v>
      </c>
    </row>
    <row r="604" spans="29:31" x14ac:dyDescent="0.45">
      <c r="AC604" t="s">
        <v>19</v>
      </c>
      <c r="AD604" t="s">
        <v>295</v>
      </c>
      <c r="AE604">
        <v>3.5675608551710924E-3</v>
      </c>
    </row>
    <row r="605" spans="29:31" x14ac:dyDescent="0.45">
      <c r="AC605" t="s">
        <v>19</v>
      </c>
      <c r="AD605" t="s">
        <v>296</v>
      </c>
      <c r="AE605">
        <v>7.1577780799408084E-3</v>
      </c>
    </row>
    <row r="606" spans="29:31" x14ac:dyDescent="0.45">
      <c r="AC606" t="s">
        <v>19</v>
      </c>
      <c r="AD606" t="s">
        <v>297</v>
      </c>
      <c r="AE606">
        <v>1.0730786917340819E-2</v>
      </c>
    </row>
    <row r="607" spans="29:31" x14ac:dyDescent="0.45">
      <c r="AC607" t="s">
        <v>19</v>
      </c>
      <c r="AD607" t="s">
        <v>298</v>
      </c>
      <c r="AE607">
        <v>3.5732902347939584E-3</v>
      </c>
    </row>
    <row r="608" spans="29:31" x14ac:dyDescent="0.45">
      <c r="AC608" t="s">
        <v>19</v>
      </c>
      <c r="AD608" t="s">
        <v>299</v>
      </c>
      <c r="AE608">
        <v>7.1447781637506797E-3</v>
      </c>
    </row>
    <row r="609" spans="29:31" x14ac:dyDescent="0.45">
      <c r="AC609" t="s">
        <v>19</v>
      </c>
      <c r="AD609" t="s">
        <v>300</v>
      </c>
      <c r="AE609">
        <v>7.1547004970102151E-3</v>
      </c>
    </row>
    <row r="610" spans="29:31" x14ac:dyDescent="0.45">
      <c r="AC610" t="s">
        <v>19</v>
      </c>
      <c r="AD610" t="s">
        <v>301</v>
      </c>
      <c r="AE610">
        <v>2.1210920477999422E-2</v>
      </c>
    </row>
    <row r="611" spans="29:31" x14ac:dyDescent="0.45">
      <c r="AC611" t="s">
        <v>19</v>
      </c>
      <c r="AD611" t="s">
        <v>302</v>
      </c>
      <c r="AE611">
        <v>2.3682791462922036E-2</v>
      </c>
    </row>
    <row r="612" spans="29:31" x14ac:dyDescent="0.45">
      <c r="AC612" t="s">
        <v>19</v>
      </c>
      <c r="AD612" t="s">
        <v>303</v>
      </c>
      <c r="AE612">
        <v>3.4533939736514372E-3</v>
      </c>
    </row>
    <row r="613" spans="29:31" x14ac:dyDescent="0.45">
      <c r="AC613" t="s">
        <v>19</v>
      </c>
      <c r="AD613" t="s">
        <v>304</v>
      </c>
      <c r="AE613">
        <v>6.9207834463373653E-3</v>
      </c>
    </row>
    <row r="614" spans="29:31" x14ac:dyDescent="0.45">
      <c r="AC614" t="s">
        <v>19</v>
      </c>
      <c r="AD614" t="s">
        <v>305</v>
      </c>
      <c r="AE614">
        <v>1.0370268134606019E-2</v>
      </c>
    </row>
    <row r="615" spans="29:31" x14ac:dyDescent="0.45">
      <c r="AC615" t="s">
        <v>19</v>
      </c>
      <c r="AD615" t="s">
        <v>306</v>
      </c>
      <c r="AE615">
        <v>3.4537794521258651E-3</v>
      </c>
    </row>
    <row r="616" spans="29:31" x14ac:dyDescent="0.45">
      <c r="AC616" t="s">
        <v>19</v>
      </c>
      <c r="AD616" t="s">
        <v>307</v>
      </c>
      <c r="AE616">
        <v>6.9054458690796829E-3</v>
      </c>
    </row>
    <row r="617" spans="29:31" x14ac:dyDescent="0.45">
      <c r="AC617" t="s">
        <v>19</v>
      </c>
      <c r="AD617" t="s">
        <v>308</v>
      </c>
      <c r="AE617">
        <v>6.906657562094784E-3</v>
      </c>
    </row>
    <row r="618" spans="29:31" x14ac:dyDescent="0.45">
      <c r="AC618" t="s">
        <v>19</v>
      </c>
      <c r="AD618" t="s">
        <v>309</v>
      </c>
      <c r="AE618">
        <v>2.0495156606258523E-2</v>
      </c>
    </row>
    <row r="619" spans="29:31" x14ac:dyDescent="0.45">
      <c r="AC619" t="s">
        <v>19</v>
      </c>
      <c r="AD619" t="s">
        <v>310</v>
      </c>
      <c r="AE619">
        <v>2.3662888123059323E-2</v>
      </c>
    </row>
    <row r="620" spans="29:31" x14ac:dyDescent="0.45">
      <c r="AC620" t="s">
        <v>19</v>
      </c>
      <c r="AD620" t="s">
        <v>311</v>
      </c>
      <c r="AE620">
        <v>3.4482093827895473E-3</v>
      </c>
    </row>
    <row r="621" spans="29:31" x14ac:dyDescent="0.45">
      <c r="AC621" t="s">
        <v>19</v>
      </c>
      <c r="AD621" t="s">
        <v>312</v>
      </c>
      <c r="AE621">
        <v>6.9133764121640118E-3</v>
      </c>
    </row>
    <row r="622" spans="29:31" x14ac:dyDescent="0.45">
      <c r="AC622" t="s">
        <v>19</v>
      </c>
      <c r="AD622" t="s">
        <v>313</v>
      </c>
      <c r="AE622">
        <v>1.0364844289725858E-2</v>
      </c>
    </row>
    <row r="623" spans="29:31" x14ac:dyDescent="0.45">
      <c r="AC623" t="s">
        <v>19</v>
      </c>
      <c r="AD623" t="s">
        <v>314</v>
      </c>
      <c r="AE623">
        <v>3.4521415660100359E-3</v>
      </c>
    </row>
    <row r="624" spans="29:31" x14ac:dyDescent="0.45">
      <c r="AC624" t="s">
        <v>19</v>
      </c>
      <c r="AD624" t="s">
        <v>315</v>
      </c>
      <c r="AE624">
        <v>6.9011542655025519E-3</v>
      </c>
    </row>
    <row r="625" spans="29:31" x14ac:dyDescent="0.45">
      <c r="AC625" t="s">
        <v>19</v>
      </c>
      <c r="AD625" t="s">
        <v>316</v>
      </c>
      <c r="AE625">
        <v>6.9019206807315308E-3</v>
      </c>
    </row>
    <row r="626" spans="29:31" x14ac:dyDescent="0.45">
      <c r="AC626" t="s">
        <v>19</v>
      </c>
      <c r="AD626" t="s">
        <v>317</v>
      </c>
      <c r="AE626">
        <v>2.0510059711238621E-2</v>
      </c>
    </row>
    <row r="627" spans="29:31" x14ac:dyDescent="0.45">
      <c r="AC627" t="s">
        <v>19</v>
      </c>
      <c r="AD627" t="s">
        <v>1047</v>
      </c>
      <c r="AE627">
        <v>1.1225530474079097E-4</v>
      </c>
    </row>
    <row r="628" spans="29:31" x14ac:dyDescent="0.45">
      <c r="AC628" t="s">
        <v>19</v>
      </c>
      <c r="AD628" t="s">
        <v>1048</v>
      </c>
      <c r="AE628">
        <v>1.1210202169499494E-4</v>
      </c>
    </row>
    <row r="629" spans="29:31" x14ac:dyDescent="0.45">
      <c r="AC629" t="s">
        <v>19</v>
      </c>
      <c r="AD629" t="s">
        <v>1049</v>
      </c>
      <c r="AE629">
        <v>1.1210202169499494E-4</v>
      </c>
    </row>
    <row r="630" spans="29:31" x14ac:dyDescent="0.45">
      <c r="AC630" t="s">
        <v>19</v>
      </c>
      <c r="AD630" t="s">
        <v>1050</v>
      </c>
      <c r="AE630">
        <v>1.1218225874612766E-4</v>
      </c>
    </row>
    <row r="631" spans="29:31" x14ac:dyDescent="0.45">
      <c r="AC631" t="s">
        <v>19</v>
      </c>
      <c r="AD631" t="s">
        <v>1051</v>
      </c>
      <c r="AE631">
        <v>1.1284478213295721E-4</v>
      </c>
    </row>
    <row r="632" spans="29:31" x14ac:dyDescent="0.45">
      <c r="AC632" t="s">
        <v>19</v>
      </c>
      <c r="AD632" t="s">
        <v>1052</v>
      </c>
      <c r="AE632">
        <v>1.1419670074921265E-4</v>
      </c>
    </row>
    <row r="633" spans="29:31" x14ac:dyDescent="0.45">
      <c r="AC633" t="s">
        <v>19</v>
      </c>
      <c r="AD633" t="s">
        <v>1053</v>
      </c>
      <c r="AE633">
        <v>1.1503502654288729E-4</v>
      </c>
    </row>
    <row r="634" spans="29:31" x14ac:dyDescent="0.45">
      <c r="AC634" t="s">
        <v>19</v>
      </c>
      <c r="AD634" t="s">
        <v>1054</v>
      </c>
      <c r="AE634">
        <v>1.1558078988125243E-4</v>
      </c>
    </row>
    <row r="635" spans="29:31" x14ac:dyDescent="0.45">
      <c r="AC635" t="s">
        <v>19</v>
      </c>
      <c r="AD635" t="s">
        <v>1055</v>
      </c>
      <c r="AE635">
        <v>1.1575413218983166E-4</v>
      </c>
    </row>
    <row r="636" spans="29:31" x14ac:dyDescent="0.45">
      <c r="AC636" t="s">
        <v>19</v>
      </c>
      <c r="AD636" t="s">
        <v>1056</v>
      </c>
      <c r="AE636">
        <v>1.1575829543305081E-4</v>
      </c>
    </row>
    <row r="637" spans="29:31" x14ac:dyDescent="0.45">
      <c r="AC637" t="s">
        <v>19</v>
      </c>
      <c r="AD637" t="s">
        <v>1057</v>
      </c>
      <c r="AE637">
        <v>1.1572025852909402E-4</v>
      </c>
    </row>
    <row r="638" spans="29:31" x14ac:dyDescent="0.45">
      <c r="AC638" t="s">
        <v>19</v>
      </c>
      <c r="AD638" t="s">
        <v>1058</v>
      </c>
      <c r="AE638">
        <v>1.1570038850463898E-4</v>
      </c>
    </row>
    <row r="639" spans="29:31" x14ac:dyDescent="0.45">
      <c r="AC639" t="s">
        <v>19</v>
      </c>
      <c r="AD639" t="s">
        <v>1059</v>
      </c>
      <c r="AE639">
        <v>1.1562753174830383E-4</v>
      </c>
    </row>
    <row r="640" spans="29:31" x14ac:dyDescent="0.45">
      <c r="AC640" t="s">
        <v>19</v>
      </c>
      <c r="AD640" t="s">
        <v>1060</v>
      </c>
      <c r="AE640">
        <v>1.1555335032367167E-4</v>
      </c>
    </row>
    <row r="641" spans="29:31" x14ac:dyDescent="0.45">
      <c r="AC641" t="s">
        <v>19</v>
      </c>
      <c r="AD641" t="s">
        <v>1061</v>
      </c>
      <c r="AE641">
        <v>1.1545116162647429E-4</v>
      </c>
    </row>
    <row r="642" spans="29:31" x14ac:dyDescent="0.45">
      <c r="AC642" t="s">
        <v>19</v>
      </c>
      <c r="AD642" t="s">
        <v>1062</v>
      </c>
      <c r="AE642">
        <v>1.1545778496795933E-4</v>
      </c>
    </row>
    <row r="643" spans="29:31" x14ac:dyDescent="0.45">
      <c r="AC643" t="s">
        <v>19</v>
      </c>
      <c r="AD643" t="s">
        <v>1063</v>
      </c>
      <c r="AE643">
        <v>1.1543129160201926E-4</v>
      </c>
    </row>
    <row r="644" spans="29:31" x14ac:dyDescent="0.45">
      <c r="AC644" t="s">
        <v>19</v>
      </c>
      <c r="AD644" t="s">
        <v>1064</v>
      </c>
      <c r="AE644">
        <v>1.1543129160201926E-4</v>
      </c>
    </row>
    <row r="645" spans="29:31" x14ac:dyDescent="0.45">
      <c r="AC645" t="s">
        <v>19</v>
      </c>
      <c r="AD645" t="s">
        <v>1065</v>
      </c>
      <c r="AE645">
        <v>1.1539174079143733E-4</v>
      </c>
    </row>
    <row r="646" spans="29:31" x14ac:dyDescent="0.45">
      <c r="AC646" t="s">
        <v>19</v>
      </c>
      <c r="AD646" t="s">
        <v>1066</v>
      </c>
      <c r="AE646">
        <v>1.1524035012892271E-4</v>
      </c>
    </row>
    <row r="647" spans="29:31" x14ac:dyDescent="0.45">
      <c r="AC647" t="s">
        <v>19</v>
      </c>
      <c r="AD647" t="s">
        <v>1067</v>
      </c>
      <c r="AE647">
        <v>1.1477652698664359E-4</v>
      </c>
    </row>
    <row r="648" spans="29:31" x14ac:dyDescent="0.45">
      <c r="AC648" t="s">
        <v>19</v>
      </c>
      <c r="AD648" t="s">
        <v>1068</v>
      </c>
      <c r="AE648">
        <v>1.1427353151043882E-4</v>
      </c>
    </row>
    <row r="649" spans="29:31" x14ac:dyDescent="0.45">
      <c r="AC649" t="s">
        <v>19</v>
      </c>
      <c r="AD649" t="s">
        <v>1069</v>
      </c>
      <c r="AE649">
        <v>1.1317859854380192E-4</v>
      </c>
    </row>
    <row r="650" spans="29:31" x14ac:dyDescent="0.45">
      <c r="AC650" t="s">
        <v>19</v>
      </c>
      <c r="AD650" t="s">
        <v>1070</v>
      </c>
      <c r="AE650">
        <v>1.1269850090530249E-4</v>
      </c>
    </row>
    <row r="651" spans="29:31" x14ac:dyDescent="0.45">
      <c r="AC651" t="s">
        <v>19</v>
      </c>
      <c r="AD651" t="s">
        <v>318</v>
      </c>
      <c r="AE651">
        <v>2.2853640239106601E-2</v>
      </c>
    </row>
    <row r="652" spans="29:31" x14ac:dyDescent="0.45">
      <c r="AC652" t="s">
        <v>19</v>
      </c>
      <c r="AD652" t="s">
        <v>319</v>
      </c>
      <c r="AE652">
        <v>3.3226721257853201E-3</v>
      </c>
    </row>
    <row r="653" spans="29:31" x14ac:dyDescent="0.45">
      <c r="AC653" t="s">
        <v>19</v>
      </c>
      <c r="AD653" t="s">
        <v>320</v>
      </c>
      <c r="AE653">
        <v>6.6759391690348734E-3</v>
      </c>
    </row>
    <row r="654" spans="29:31" x14ac:dyDescent="0.45">
      <c r="AC654" t="s">
        <v>19</v>
      </c>
      <c r="AD654" t="s">
        <v>321</v>
      </c>
      <c r="AE654">
        <v>1.0016900422281927E-2</v>
      </c>
    </row>
    <row r="655" spans="29:31" x14ac:dyDescent="0.45">
      <c r="AC655" t="s">
        <v>19</v>
      </c>
      <c r="AD655" t="s">
        <v>322</v>
      </c>
      <c r="AE655">
        <v>3.336999548847374E-3</v>
      </c>
    </row>
    <row r="656" spans="29:31" x14ac:dyDescent="0.45">
      <c r="AC656" t="s">
        <v>19</v>
      </c>
      <c r="AD656" t="s">
        <v>323</v>
      </c>
      <c r="AE656">
        <v>6.669564675951368E-3</v>
      </c>
    </row>
    <row r="657" spans="29:31" x14ac:dyDescent="0.45">
      <c r="AC657" t="s">
        <v>19</v>
      </c>
      <c r="AD657" t="s">
        <v>324</v>
      </c>
      <c r="AE657">
        <v>6.6672637271194745E-3</v>
      </c>
    </row>
    <row r="658" spans="29:31" x14ac:dyDescent="0.45">
      <c r="AC658" t="s">
        <v>19</v>
      </c>
      <c r="AD658" t="s">
        <v>325</v>
      </c>
      <c r="AE658">
        <v>1.9842727472352589E-2</v>
      </c>
    </row>
    <row r="659" spans="29:31" x14ac:dyDescent="0.45">
      <c r="AC659" t="s">
        <v>19</v>
      </c>
      <c r="AD659" t="s">
        <v>1071</v>
      </c>
      <c r="AE659">
        <v>1.1233253763346441E-4</v>
      </c>
    </row>
    <row r="660" spans="29:31" x14ac:dyDescent="0.45">
      <c r="AC660" t="s">
        <v>19</v>
      </c>
      <c r="AD660" t="s">
        <v>1072</v>
      </c>
      <c r="AE660">
        <v>1.1221956235156288E-4</v>
      </c>
    </row>
    <row r="661" spans="29:31" x14ac:dyDescent="0.45">
      <c r="AC661" t="s">
        <v>19</v>
      </c>
      <c r="AD661" t="s">
        <v>1073</v>
      </c>
      <c r="AE661">
        <v>1.1221956235156288E-4</v>
      </c>
    </row>
    <row r="662" spans="29:31" x14ac:dyDescent="0.45">
      <c r="AC662" t="s">
        <v>19</v>
      </c>
      <c r="AD662" t="s">
        <v>1074</v>
      </c>
      <c r="AE662">
        <v>1.1228276795316272E-4</v>
      </c>
    </row>
    <row r="663" spans="29:31" x14ac:dyDescent="0.45">
      <c r="AC663" t="s">
        <v>19</v>
      </c>
      <c r="AD663" t="s">
        <v>1075</v>
      </c>
      <c r="AE663">
        <v>1.1279238677085253E-4</v>
      </c>
    </row>
    <row r="664" spans="29:31" x14ac:dyDescent="0.45">
      <c r="AC664" t="s">
        <v>19</v>
      </c>
      <c r="AD664" t="s">
        <v>1076</v>
      </c>
      <c r="AE664">
        <v>1.1390056642045942E-4</v>
      </c>
    </row>
    <row r="665" spans="29:31" x14ac:dyDescent="0.45">
      <c r="AC665" t="s">
        <v>19</v>
      </c>
      <c r="AD665" t="s">
        <v>1077</v>
      </c>
      <c r="AE665">
        <v>1.1484581186953501E-4</v>
      </c>
    </row>
    <row r="666" spans="29:31" x14ac:dyDescent="0.45">
      <c r="AC666" t="s">
        <v>19</v>
      </c>
      <c r="AD666" t="s">
        <v>1078</v>
      </c>
      <c r="AE666">
        <v>1.1555848341332251E-4</v>
      </c>
    </row>
    <row r="667" spans="29:31" x14ac:dyDescent="0.45">
      <c r="AC667" t="s">
        <v>19</v>
      </c>
      <c r="AD667" t="s">
        <v>1079</v>
      </c>
      <c r="AE667">
        <v>1.1591481918521626E-4</v>
      </c>
    </row>
    <row r="668" spans="29:31" x14ac:dyDescent="0.45">
      <c r="AC668" t="s">
        <v>19</v>
      </c>
      <c r="AD668" t="s">
        <v>1080</v>
      </c>
      <c r="AE668">
        <v>1.1592182100335756E-4</v>
      </c>
    </row>
    <row r="669" spans="29:31" x14ac:dyDescent="0.45">
      <c r="AC669" t="s">
        <v>19</v>
      </c>
      <c r="AD669" t="s">
        <v>1081</v>
      </c>
      <c r="AE669">
        <v>1.1588227019277564E-4</v>
      </c>
    </row>
    <row r="670" spans="29:31" x14ac:dyDescent="0.45">
      <c r="AC670" t="s">
        <v>19</v>
      </c>
      <c r="AD670" t="s">
        <v>1082</v>
      </c>
      <c r="AE670">
        <v>1.1584101623724041E-4</v>
      </c>
    </row>
    <row r="671" spans="29:31" x14ac:dyDescent="0.45">
      <c r="AC671" t="s">
        <v>19</v>
      </c>
      <c r="AD671" t="s">
        <v>1083</v>
      </c>
      <c r="AE671">
        <v>1.1585142434528828E-4</v>
      </c>
    </row>
    <row r="672" spans="29:31" x14ac:dyDescent="0.45">
      <c r="AC672" t="s">
        <v>19</v>
      </c>
      <c r="AD672" t="s">
        <v>1084</v>
      </c>
      <c r="AE672">
        <v>1.157753505373747E-4</v>
      </c>
    </row>
    <row r="673" spans="29:31" x14ac:dyDescent="0.45">
      <c r="AC673" t="s">
        <v>19</v>
      </c>
      <c r="AD673" t="s">
        <v>1085</v>
      </c>
      <c r="AE673">
        <v>1.1565783353559773E-4</v>
      </c>
    </row>
    <row r="674" spans="29:31" x14ac:dyDescent="0.45">
      <c r="AC674" t="s">
        <v>19</v>
      </c>
      <c r="AD674" t="s">
        <v>1086</v>
      </c>
      <c r="AE674">
        <v>1.1563039397801696E-4</v>
      </c>
    </row>
    <row r="675" spans="29:31" x14ac:dyDescent="0.45">
      <c r="AC675" t="s">
        <v>19</v>
      </c>
      <c r="AD675" t="s">
        <v>1087</v>
      </c>
      <c r="AE675">
        <v>1.1561828272501579E-4</v>
      </c>
    </row>
    <row r="676" spans="29:31" x14ac:dyDescent="0.45">
      <c r="AC676" t="s">
        <v>19</v>
      </c>
      <c r="AD676" t="s">
        <v>1088</v>
      </c>
      <c r="AE676">
        <v>1.1563569265120496E-4</v>
      </c>
    </row>
    <row r="677" spans="29:31" x14ac:dyDescent="0.45">
      <c r="AC677" t="s">
        <v>19</v>
      </c>
      <c r="AD677" t="s">
        <v>1089</v>
      </c>
      <c r="AE677">
        <v>1.1559406021901346E-4</v>
      </c>
    </row>
    <row r="678" spans="29:31" x14ac:dyDescent="0.45">
      <c r="AC678" t="s">
        <v>19</v>
      </c>
      <c r="AD678" t="s">
        <v>1090</v>
      </c>
      <c r="AE678">
        <v>1.1539289987619718E-4</v>
      </c>
    </row>
    <row r="679" spans="29:31" x14ac:dyDescent="0.45">
      <c r="AC679" t="s">
        <v>19</v>
      </c>
      <c r="AD679" t="s">
        <v>1091</v>
      </c>
      <c r="AE679">
        <v>1.147954744742489E-4</v>
      </c>
    </row>
    <row r="680" spans="29:31" x14ac:dyDescent="0.45">
      <c r="AC680" t="s">
        <v>19</v>
      </c>
      <c r="AD680" t="s">
        <v>1092</v>
      </c>
      <c r="AE680">
        <v>1.1415225339688997E-4</v>
      </c>
    </row>
    <row r="681" spans="29:31" x14ac:dyDescent="0.45">
      <c r="AC681" t="s">
        <v>19</v>
      </c>
      <c r="AD681" t="s">
        <v>1093</v>
      </c>
      <c r="AE681">
        <v>1.1341763020703784E-4</v>
      </c>
    </row>
    <row r="682" spans="29:31" x14ac:dyDescent="0.45">
      <c r="AC682" t="s">
        <v>19</v>
      </c>
      <c r="AD682" t="s">
        <v>1094</v>
      </c>
      <c r="AE682">
        <v>1.1275491758188015E-4</v>
      </c>
    </row>
    <row r="683" spans="29:31" x14ac:dyDescent="0.45">
      <c r="AC683" t="s">
        <v>19</v>
      </c>
      <c r="AD683" t="s">
        <v>326</v>
      </c>
      <c r="AE683">
        <v>2.3650672386846226E-2</v>
      </c>
    </row>
    <row r="684" spans="29:31" x14ac:dyDescent="0.45">
      <c r="AC684" t="s">
        <v>19</v>
      </c>
      <c r="AD684" t="s">
        <v>327</v>
      </c>
      <c r="AE684">
        <v>3.4367398606139033E-3</v>
      </c>
    </row>
    <row r="685" spans="29:31" x14ac:dyDescent="0.45">
      <c r="AC685" t="s">
        <v>19</v>
      </c>
      <c r="AD685" t="s">
        <v>328</v>
      </c>
      <c r="AE685">
        <v>6.9009974342381011E-3</v>
      </c>
    </row>
    <row r="686" spans="29:31" x14ac:dyDescent="0.45">
      <c r="AC686" t="s">
        <v>19</v>
      </c>
      <c r="AD686" t="s">
        <v>329</v>
      </c>
      <c r="AE686">
        <v>1.0364984586291382E-2</v>
      </c>
    </row>
    <row r="687" spans="29:31" x14ac:dyDescent="0.45">
      <c r="AC687" t="s">
        <v>19</v>
      </c>
      <c r="AD687" t="s">
        <v>330</v>
      </c>
      <c r="AE687">
        <v>3.4541567886212242E-3</v>
      </c>
    </row>
    <row r="688" spans="29:31" x14ac:dyDescent="0.45">
      <c r="AC688" t="s">
        <v>19</v>
      </c>
      <c r="AD688" t="s">
        <v>331</v>
      </c>
      <c r="AE688">
        <v>6.9020988013078948E-3</v>
      </c>
    </row>
    <row r="689" spans="29:31" x14ac:dyDescent="0.45">
      <c r="AC689" t="s">
        <v>19</v>
      </c>
      <c r="AD689" t="s">
        <v>332</v>
      </c>
      <c r="AE689">
        <v>6.8988650967565833E-3</v>
      </c>
    </row>
    <row r="690" spans="29:31" x14ac:dyDescent="0.45">
      <c r="AC690" t="s">
        <v>19</v>
      </c>
      <c r="AD690" t="s">
        <v>333</v>
      </c>
      <c r="AE690">
        <v>2.0538265258262134E-2</v>
      </c>
    </row>
    <row r="691" spans="29:31" x14ac:dyDescent="0.45">
      <c r="AC691" t="s">
        <v>19</v>
      </c>
      <c r="AD691" t="s">
        <v>1095</v>
      </c>
      <c r="AE691">
        <v>1.1216771341513076E-4</v>
      </c>
    </row>
    <row r="692" spans="29:31" x14ac:dyDescent="0.45">
      <c r="AC692" t="s">
        <v>19</v>
      </c>
      <c r="AD692" t="s">
        <v>1096</v>
      </c>
      <c r="AE692">
        <v>1.1204641164679093E-4</v>
      </c>
    </row>
    <row r="693" spans="29:31" x14ac:dyDescent="0.45">
      <c r="AC693" t="s">
        <v>19</v>
      </c>
      <c r="AD693" t="s">
        <v>1097</v>
      </c>
      <c r="AE693">
        <v>1.1199796663478624E-4</v>
      </c>
    </row>
    <row r="694" spans="29:31" x14ac:dyDescent="0.45">
      <c r="AC694" t="s">
        <v>19</v>
      </c>
      <c r="AD694" t="s">
        <v>1098</v>
      </c>
      <c r="AE694">
        <v>1.1204338383354063E-4</v>
      </c>
    </row>
    <row r="695" spans="29:31" x14ac:dyDescent="0.45">
      <c r="AC695" t="s">
        <v>19</v>
      </c>
      <c r="AD695" t="s">
        <v>1099</v>
      </c>
      <c r="AE695">
        <v>1.1253161872015024E-4</v>
      </c>
    </row>
    <row r="696" spans="29:31" x14ac:dyDescent="0.45">
      <c r="AC696" t="s">
        <v>19</v>
      </c>
      <c r="AD696" t="s">
        <v>1100</v>
      </c>
      <c r="AE696">
        <v>1.1364888180950803E-4</v>
      </c>
    </row>
    <row r="697" spans="29:31" x14ac:dyDescent="0.45">
      <c r="AC697" t="s">
        <v>19</v>
      </c>
      <c r="AD697" t="s">
        <v>1101</v>
      </c>
      <c r="AE697">
        <v>1.1456649846267469E-4</v>
      </c>
    </row>
    <row r="698" spans="29:31" x14ac:dyDescent="0.45">
      <c r="AC698" t="s">
        <v>19</v>
      </c>
      <c r="AD698" t="s">
        <v>1102</v>
      </c>
      <c r="AE698">
        <v>1.1524037614919282E-4</v>
      </c>
    </row>
    <row r="699" spans="29:31" x14ac:dyDescent="0.45">
      <c r="AC699" t="s">
        <v>19</v>
      </c>
      <c r="AD699" t="s">
        <v>1103</v>
      </c>
      <c r="AE699">
        <v>1.1549357703224851E-4</v>
      </c>
    </row>
    <row r="700" spans="29:31" x14ac:dyDescent="0.45">
      <c r="AC700" t="s">
        <v>19</v>
      </c>
      <c r="AD700" t="s">
        <v>1104</v>
      </c>
      <c r="AE700">
        <v>1.1556756921855253E-4</v>
      </c>
    </row>
    <row r="701" spans="29:31" x14ac:dyDescent="0.45">
      <c r="AC701" t="s">
        <v>19</v>
      </c>
      <c r="AD701" t="s">
        <v>1105</v>
      </c>
      <c r="AE701">
        <v>1.1556302749867707E-4</v>
      </c>
    </row>
    <row r="702" spans="29:31" x14ac:dyDescent="0.45">
      <c r="AC702" t="s">
        <v>19</v>
      </c>
      <c r="AD702" t="s">
        <v>1106</v>
      </c>
      <c r="AE702">
        <v>1.1554410366586276E-4</v>
      </c>
    </row>
    <row r="703" spans="29:31" x14ac:dyDescent="0.45">
      <c r="AC703" t="s">
        <v>19</v>
      </c>
      <c r="AD703" t="s">
        <v>1107</v>
      </c>
      <c r="AE703">
        <v>1.1554410366586276E-4</v>
      </c>
    </row>
    <row r="704" spans="29:31" x14ac:dyDescent="0.45">
      <c r="AC704" t="s">
        <v>19</v>
      </c>
      <c r="AD704" t="s">
        <v>1108</v>
      </c>
      <c r="AE704">
        <v>1.154769240593719E-4</v>
      </c>
    </row>
    <row r="705" spans="29:31" x14ac:dyDescent="0.45">
      <c r="AC705" t="s">
        <v>19</v>
      </c>
      <c r="AD705" t="s">
        <v>1109</v>
      </c>
      <c r="AE705">
        <v>1.1540179644309901E-4</v>
      </c>
    </row>
    <row r="706" spans="29:31" x14ac:dyDescent="0.45">
      <c r="AC706" t="s">
        <v>19</v>
      </c>
      <c r="AD706" t="s">
        <v>1110</v>
      </c>
      <c r="AE706">
        <v>1.1540349958805232E-4</v>
      </c>
    </row>
    <row r="707" spans="29:31" x14ac:dyDescent="0.45">
      <c r="AC707" t="s">
        <v>19</v>
      </c>
      <c r="AD707" t="s">
        <v>1111</v>
      </c>
      <c r="AE707">
        <v>1.153771954604404E-4</v>
      </c>
    </row>
    <row r="708" spans="29:31" x14ac:dyDescent="0.45">
      <c r="AC708" t="s">
        <v>19</v>
      </c>
      <c r="AD708" t="s">
        <v>1112</v>
      </c>
      <c r="AE708">
        <v>1.1536205639418894E-4</v>
      </c>
    </row>
    <row r="709" spans="29:31" x14ac:dyDescent="0.45">
      <c r="AC709" t="s">
        <v>19</v>
      </c>
      <c r="AD709" t="s">
        <v>1113</v>
      </c>
      <c r="AE709">
        <v>1.1532893968676387E-4</v>
      </c>
    </row>
    <row r="710" spans="29:31" x14ac:dyDescent="0.45">
      <c r="AC710" t="s">
        <v>19</v>
      </c>
      <c r="AD710" t="s">
        <v>1114</v>
      </c>
      <c r="AE710">
        <v>1.1513610583038589E-4</v>
      </c>
    </row>
    <row r="711" spans="29:31" x14ac:dyDescent="0.45">
      <c r="AC711" t="s">
        <v>19</v>
      </c>
      <c r="AD711" t="s">
        <v>1115</v>
      </c>
      <c r="AE711">
        <v>1.1466433467832475E-4</v>
      </c>
    </row>
    <row r="712" spans="29:31" x14ac:dyDescent="0.45">
      <c r="AC712" t="s">
        <v>19</v>
      </c>
      <c r="AD712" t="s">
        <v>1116</v>
      </c>
      <c r="AE712">
        <v>1.1438218033106314E-4</v>
      </c>
    </row>
    <row r="713" spans="29:31" x14ac:dyDescent="0.45">
      <c r="AC713" t="s">
        <v>19</v>
      </c>
      <c r="AD713" t="s">
        <v>1117</v>
      </c>
      <c r="AE713">
        <v>1.1392062804872175E-4</v>
      </c>
    </row>
    <row r="714" spans="29:31" x14ac:dyDescent="0.45">
      <c r="AC714" t="s">
        <v>19</v>
      </c>
      <c r="AD714" t="s">
        <v>1118</v>
      </c>
      <c r="AE714">
        <v>1.132130659397941E-4</v>
      </c>
    </row>
    <row r="715" spans="29:31" x14ac:dyDescent="0.45">
      <c r="AC715" t="s">
        <v>19</v>
      </c>
      <c r="AD715" t="s">
        <v>334</v>
      </c>
      <c r="AE715">
        <v>2.2850167113885201E-2</v>
      </c>
    </row>
    <row r="716" spans="29:31" x14ac:dyDescent="0.45">
      <c r="AC716" t="s">
        <v>19</v>
      </c>
      <c r="AD716" t="s">
        <v>335</v>
      </c>
      <c r="AE716">
        <v>3.3214273111792244E-3</v>
      </c>
    </row>
    <row r="717" spans="29:31" x14ac:dyDescent="0.45">
      <c r="AC717" t="s">
        <v>19</v>
      </c>
      <c r="AD717" t="s">
        <v>336</v>
      </c>
      <c r="AE717">
        <v>6.6729257281303821E-3</v>
      </c>
    </row>
    <row r="718" spans="29:31" x14ac:dyDescent="0.45">
      <c r="AC718" t="s">
        <v>19</v>
      </c>
      <c r="AD718" t="s">
        <v>337</v>
      </c>
      <c r="AE718">
        <v>1.0016434313629002E-2</v>
      </c>
    </row>
    <row r="719" spans="29:31" x14ac:dyDescent="0.45">
      <c r="AC719" t="s">
        <v>19</v>
      </c>
      <c r="AD719" t="s">
        <v>338</v>
      </c>
      <c r="AE719">
        <v>3.3375986725107066E-3</v>
      </c>
    </row>
    <row r="720" spans="29:31" x14ac:dyDescent="0.45">
      <c r="AC720" t="s">
        <v>19</v>
      </c>
      <c r="AD720" t="s">
        <v>339</v>
      </c>
      <c r="AE720">
        <v>6.6707042593963069E-3</v>
      </c>
    </row>
    <row r="721" spans="29:31" x14ac:dyDescent="0.45">
      <c r="AC721" t="s">
        <v>19</v>
      </c>
      <c r="AD721" t="s">
        <v>340</v>
      </c>
      <c r="AE721">
        <v>6.6679989082571714E-3</v>
      </c>
    </row>
    <row r="722" spans="29:31" x14ac:dyDescent="0.45">
      <c r="AC722" t="s">
        <v>19</v>
      </c>
      <c r="AD722" t="s">
        <v>341</v>
      </c>
      <c r="AE722">
        <v>1.9838147686271779E-2</v>
      </c>
    </row>
    <row r="723" spans="29:31" x14ac:dyDescent="0.45">
      <c r="AC723" t="s">
        <v>19</v>
      </c>
      <c r="AD723" t="s">
        <v>1119</v>
      </c>
      <c r="AE723">
        <v>1.1301955090174058E-4</v>
      </c>
    </row>
    <row r="724" spans="29:31" x14ac:dyDescent="0.45">
      <c r="AC724" t="s">
        <v>19</v>
      </c>
      <c r="AD724" t="s">
        <v>1120</v>
      </c>
      <c r="AE724">
        <v>1.125790040738231E-4</v>
      </c>
    </row>
    <row r="725" spans="29:31" x14ac:dyDescent="0.45">
      <c r="AC725" t="s">
        <v>19</v>
      </c>
      <c r="AD725" t="s">
        <v>1121</v>
      </c>
      <c r="AE725">
        <v>1.1247113822678142E-4</v>
      </c>
    </row>
    <row r="726" spans="29:31" x14ac:dyDescent="0.45">
      <c r="AC726" t="s">
        <v>19</v>
      </c>
      <c r="AD726" t="s">
        <v>1122</v>
      </c>
      <c r="AE726">
        <v>1.1229287572167049E-4</v>
      </c>
    </row>
    <row r="727" spans="29:31" x14ac:dyDescent="0.45">
      <c r="AC727" t="s">
        <v>19</v>
      </c>
      <c r="AD727" t="s">
        <v>1123</v>
      </c>
      <c r="AE727">
        <v>1.1270560451535093E-4</v>
      </c>
    </row>
    <row r="728" spans="29:31" x14ac:dyDescent="0.45">
      <c r="AC728" t="s">
        <v>19</v>
      </c>
      <c r="AD728" t="s">
        <v>1124</v>
      </c>
      <c r="AE728">
        <v>1.1386942023343197E-4</v>
      </c>
    </row>
    <row r="729" spans="29:31" x14ac:dyDescent="0.45">
      <c r="AC729" t="s">
        <v>19</v>
      </c>
      <c r="AD729" t="s">
        <v>1125</v>
      </c>
      <c r="AE729">
        <v>1.1488638700887381E-4</v>
      </c>
    </row>
    <row r="730" spans="29:31" x14ac:dyDescent="0.45">
      <c r="AC730" t="s">
        <v>19</v>
      </c>
      <c r="AD730" t="s">
        <v>1126</v>
      </c>
      <c r="AE730">
        <v>1.1554190857756206E-4</v>
      </c>
    </row>
    <row r="731" spans="29:31" x14ac:dyDescent="0.45">
      <c r="AC731" t="s">
        <v>19</v>
      </c>
      <c r="AD731" t="s">
        <v>1127</v>
      </c>
      <c r="AE731">
        <v>1.1583314636457454E-4</v>
      </c>
    </row>
    <row r="732" spans="29:31" x14ac:dyDescent="0.45">
      <c r="AC732" t="s">
        <v>19</v>
      </c>
      <c r="AD732" t="s">
        <v>1128</v>
      </c>
      <c r="AE732">
        <v>1.1609580916403739E-4</v>
      </c>
    </row>
    <row r="733" spans="29:31" x14ac:dyDescent="0.45">
      <c r="AC733" t="s">
        <v>19</v>
      </c>
      <c r="AD733" t="s">
        <v>1129</v>
      </c>
      <c r="AE733">
        <v>1.1617301840191984E-4</v>
      </c>
    </row>
    <row r="734" spans="29:31" x14ac:dyDescent="0.45">
      <c r="AC734" t="s">
        <v>19</v>
      </c>
      <c r="AD734" t="s">
        <v>1130</v>
      </c>
      <c r="AE734">
        <v>1.1617642469182642E-4</v>
      </c>
    </row>
    <row r="735" spans="29:31" x14ac:dyDescent="0.45">
      <c r="AC735" t="s">
        <v>19</v>
      </c>
      <c r="AD735" t="s">
        <v>1131</v>
      </c>
      <c r="AE735">
        <v>1.1628466901552435E-4</v>
      </c>
    </row>
    <row r="736" spans="29:31" x14ac:dyDescent="0.45">
      <c r="AC736" t="s">
        <v>19</v>
      </c>
      <c r="AD736" t="s">
        <v>1132</v>
      </c>
      <c r="AE736">
        <v>1.161995117678599E-4</v>
      </c>
    </row>
    <row r="737" spans="29:31" x14ac:dyDescent="0.45">
      <c r="AC737" t="s">
        <v>19</v>
      </c>
      <c r="AD737" t="s">
        <v>1133</v>
      </c>
      <c r="AE737">
        <v>1.1603525289903155E-4</v>
      </c>
    </row>
    <row r="738" spans="29:31" x14ac:dyDescent="0.45">
      <c r="AC738" t="s">
        <v>19</v>
      </c>
      <c r="AD738" t="s">
        <v>1134</v>
      </c>
      <c r="AE738">
        <v>1.1594025525830363E-4</v>
      </c>
    </row>
    <row r="739" spans="29:31" x14ac:dyDescent="0.45">
      <c r="AC739" t="s">
        <v>19</v>
      </c>
      <c r="AD739" t="s">
        <v>1135</v>
      </c>
      <c r="AE739">
        <v>1.1588972862468938E-4</v>
      </c>
    </row>
    <row r="740" spans="29:31" x14ac:dyDescent="0.45">
      <c r="AC740" t="s">
        <v>19</v>
      </c>
      <c r="AD740" t="s">
        <v>1136</v>
      </c>
      <c r="AE740">
        <v>1.1588972862468938E-4</v>
      </c>
    </row>
    <row r="741" spans="29:31" x14ac:dyDescent="0.45">
      <c r="AC741" t="s">
        <v>19</v>
      </c>
      <c r="AD741" t="s">
        <v>1137</v>
      </c>
      <c r="AE741">
        <v>1.1583522798618412E-4</v>
      </c>
    </row>
    <row r="742" spans="29:31" x14ac:dyDescent="0.45">
      <c r="AC742" t="s">
        <v>19</v>
      </c>
      <c r="AD742" t="s">
        <v>1138</v>
      </c>
      <c r="AE742">
        <v>1.1566737358912104E-4</v>
      </c>
    </row>
    <row r="743" spans="29:31" x14ac:dyDescent="0.45">
      <c r="AC743" t="s">
        <v>19</v>
      </c>
      <c r="AD743" t="s">
        <v>1139</v>
      </c>
      <c r="AE743">
        <v>1.1510798509112958E-4</v>
      </c>
    </row>
    <row r="744" spans="29:31" x14ac:dyDescent="0.45">
      <c r="AC744" t="s">
        <v>19</v>
      </c>
      <c r="AD744" t="s">
        <v>1140</v>
      </c>
      <c r="AE744">
        <v>1.1481031320096024E-4</v>
      </c>
    </row>
    <row r="745" spans="29:31" x14ac:dyDescent="0.45">
      <c r="AC745" t="s">
        <v>19</v>
      </c>
      <c r="AD745" t="s">
        <v>1141</v>
      </c>
      <c r="AE745">
        <v>1.1466592435658692E-4</v>
      </c>
    </row>
    <row r="746" spans="29:31" x14ac:dyDescent="0.45">
      <c r="AC746" t="s">
        <v>19</v>
      </c>
      <c r="AD746" t="s">
        <v>1142</v>
      </c>
      <c r="AE746">
        <v>1.1414230190261454E-4</v>
      </c>
    </row>
    <row r="747" spans="29:31" x14ac:dyDescent="0.45">
      <c r="AC747" t="s">
        <v>19</v>
      </c>
      <c r="AD747" t="s">
        <v>1143</v>
      </c>
      <c r="AE747">
        <v>1.1219882427258328E-4</v>
      </c>
    </row>
    <row r="748" spans="29:31" x14ac:dyDescent="0.45">
      <c r="AC748" t="s">
        <v>19</v>
      </c>
      <c r="AD748" t="s">
        <v>1144</v>
      </c>
      <c r="AE748">
        <v>1.1211612712318467E-4</v>
      </c>
    </row>
    <row r="749" spans="29:31" x14ac:dyDescent="0.45">
      <c r="AC749" t="s">
        <v>19</v>
      </c>
      <c r="AD749" t="s">
        <v>1145</v>
      </c>
      <c r="AE749">
        <v>1.1211612712318467E-4</v>
      </c>
    </row>
    <row r="750" spans="29:31" x14ac:dyDescent="0.45">
      <c r="AC750" t="s">
        <v>19</v>
      </c>
      <c r="AD750" t="s">
        <v>1146</v>
      </c>
      <c r="AE750">
        <v>1.1218008967809709E-4</v>
      </c>
    </row>
    <row r="751" spans="29:31" x14ac:dyDescent="0.45">
      <c r="AC751" t="s">
        <v>19</v>
      </c>
      <c r="AD751" t="s">
        <v>1147</v>
      </c>
      <c r="AE751">
        <v>1.1266321512984685E-4</v>
      </c>
    </row>
    <row r="752" spans="29:31" x14ac:dyDescent="0.45">
      <c r="AC752" t="s">
        <v>19</v>
      </c>
      <c r="AD752" t="s">
        <v>1148</v>
      </c>
      <c r="AE752">
        <v>1.1378842622898664E-4</v>
      </c>
    </row>
    <row r="753" spans="29:31" x14ac:dyDescent="0.45">
      <c r="AC753" t="s">
        <v>19</v>
      </c>
      <c r="AD753" t="s">
        <v>1149</v>
      </c>
      <c r="AE753">
        <v>1.1463507850909957E-4</v>
      </c>
    </row>
    <row r="754" spans="29:31" x14ac:dyDescent="0.45">
      <c r="AC754" t="s">
        <v>19</v>
      </c>
      <c r="AD754" t="s">
        <v>1150</v>
      </c>
      <c r="AE754">
        <v>1.1540149373807977E-4</v>
      </c>
    </row>
    <row r="755" spans="29:31" x14ac:dyDescent="0.45">
      <c r="AC755" t="s">
        <v>19</v>
      </c>
      <c r="AD755" t="s">
        <v>1151</v>
      </c>
      <c r="AE755">
        <v>1.1569670552998326E-4</v>
      </c>
    </row>
    <row r="756" spans="29:31" x14ac:dyDescent="0.45">
      <c r="AC756" t="s">
        <v>19</v>
      </c>
      <c r="AD756" t="s">
        <v>1152</v>
      </c>
      <c r="AE756">
        <v>1.1583882351441885E-4</v>
      </c>
    </row>
    <row r="757" spans="29:31" x14ac:dyDescent="0.45">
      <c r="AC757" t="s">
        <v>19</v>
      </c>
      <c r="AD757" t="s">
        <v>1153</v>
      </c>
      <c r="AE757">
        <v>1.1595331270294552E-4</v>
      </c>
    </row>
    <row r="758" spans="29:31" x14ac:dyDescent="0.45">
      <c r="AC758" t="s">
        <v>19</v>
      </c>
      <c r="AD758" t="s">
        <v>1154</v>
      </c>
      <c r="AE758">
        <v>1.1607688533122308E-4</v>
      </c>
    </row>
    <row r="759" spans="29:31" x14ac:dyDescent="0.45">
      <c r="AC759" t="s">
        <v>19</v>
      </c>
      <c r="AD759" t="s">
        <v>1155</v>
      </c>
      <c r="AE759">
        <v>1.1611284061357028E-4</v>
      </c>
    </row>
    <row r="760" spans="29:31" x14ac:dyDescent="0.45">
      <c r="AC760" t="s">
        <v>19</v>
      </c>
      <c r="AD760" t="s">
        <v>1156</v>
      </c>
      <c r="AE760">
        <v>1.1602333088435851E-4</v>
      </c>
    </row>
    <row r="761" spans="29:31" x14ac:dyDescent="0.45">
      <c r="AC761" t="s">
        <v>19</v>
      </c>
      <c r="AD761" t="s">
        <v>1157</v>
      </c>
      <c r="AE761">
        <v>1.1597204729743171E-4</v>
      </c>
    </row>
    <row r="762" spans="29:31" x14ac:dyDescent="0.45">
      <c r="AC762" t="s">
        <v>19</v>
      </c>
      <c r="AD762" t="s">
        <v>1158</v>
      </c>
      <c r="AE762">
        <v>1.1588121289992292E-4</v>
      </c>
    </row>
    <row r="763" spans="29:31" x14ac:dyDescent="0.45">
      <c r="AC763" t="s">
        <v>19</v>
      </c>
      <c r="AD763" t="s">
        <v>1159</v>
      </c>
      <c r="AE763">
        <v>1.158189534899638E-4</v>
      </c>
    </row>
    <row r="764" spans="29:31" x14ac:dyDescent="0.45">
      <c r="AC764" t="s">
        <v>19</v>
      </c>
      <c r="AD764" t="s">
        <v>1160</v>
      </c>
      <c r="AE764">
        <v>1.1567645702887194E-4</v>
      </c>
    </row>
    <row r="765" spans="29:31" x14ac:dyDescent="0.45">
      <c r="AC765" t="s">
        <v>19</v>
      </c>
      <c r="AD765" t="s">
        <v>1161</v>
      </c>
      <c r="AE765">
        <v>1.1553679914270221E-4</v>
      </c>
    </row>
    <row r="766" spans="29:31" x14ac:dyDescent="0.45">
      <c r="AC766" t="s">
        <v>19</v>
      </c>
      <c r="AD766" t="s">
        <v>1162</v>
      </c>
      <c r="AE766">
        <v>1.1532693383679134E-4</v>
      </c>
    </row>
    <row r="767" spans="29:31" x14ac:dyDescent="0.45">
      <c r="AC767" t="s">
        <v>19</v>
      </c>
      <c r="AD767" t="s">
        <v>1163</v>
      </c>
      <c r="AE767">
        <v>1.1485308106312062E-4</v>
      </c>
    </row>
    <row r="768" spans="29:31" x14ac:dyDescent="0.45">
      <c r="AC768" t="s">
        <v>19</v>
      </c>
      <c r="AD768" t="s">
        <v>1164</v>
      </c>
      <c r="AE768">
        <v>1.1444905723253477E-4</v>
      </c>
    </row>
    <row r="769" spans="29:31" x14ac:dyDescent="0.45">
      <c r="AC769" t="s">
        <v>19</v>
      </c>
      <c r="AD769" t="s">
        <v>1165</v>
      </c>
      <c r="AE769">
        <v>1.1336718171053975E-4</v>
      </c>
    </row>
    <row r="770" spans="29:31" x14ac:dyDescent="0.45">
      <c r="AC770" t="s">
        <v>19</v>
      </c>
      <c r="AD770" t="s">
        <v>1166</v>
      </c>
      <c r="AE770">
        <v>1.1251409532726995E-4</v>
      </c>
    </row>
    <row r="771" spans="29:31" x14ac:dyDescent="0.45">
      <c r="AC771" t="s">
        <v>19</v>
      </c>
      <c r="AD771" t="s">
        <v>366</v>
      </c>
      <c r="AE771">
        <v>2.1277461794749885E-2</v>
      </c>
    </row>
    <row r="772" spans="29:31" x14ac:dyDescent="0.45">
      <c r="AC772" t="s">
        <v>19</v>
      </c>
      <c r="AD772" t="s">
        <v>367</v>
      </c>
      <c r="AE772">
        <v>3.0958289362852955E-3</v>
      </c>
    </row>
    <row r="773" spans="29:31" x14ac:dyDescent="0.45">
      <c r="AC773" t="s">
        <v>19</v>
      </c>
      <c r="AD773" t="s">
        <v>368</v>
      </c>
      <c r="AE773">
        <v>6.2184827840615535E-3</v>
      </c>
    </row>
    <row r="774" spans="29:31" x14ac:dyDescent="0.45">
      <c r="AC774" t="s">
        <v>19</v>
      </c>
      <c r="AD774" t="s">
        <v>369</v>
      </c>
      <c r="AE774">
        <v>9.3306778079179902E-3</v>
      </c>
    </row>
    <row r="775" spans="29:31" x14ac:dyDescent="0.45">
      <c r="AC775" t="s">
        <v>19</v>
      </c>
      <c r="AD775" t="s">
        <v>370</v>
      </c>
      <c r="AE775">
        <v>3.1083449700703624E-3</v>
      </c>
    </row>
    <row r="776" spans="29:31" x14ac:dyDescent="0.45">
      <c r="AC776" t="s">
        <v>19</v>
      </c>
      <c r="AD776" t="s">
        <v>371</v>
      </c>
      <c r="AE776">
        <v>6.2129840859606947E-3</v>
      </c>
    </row>
    <row r="777" spans="29:31" x14ac:dyDescent="0.45">
      <c r="AC777" t="s">
        <v>19</v>
      </c>
      <c r="AD777" t="s">
        <v>372</v>
      </c>
      <c r="AE777">
        <v>6.2116751244449282E-3</v>
      </c>
    </row>
    <row r="778" spans="29:31" x14ac:dyDescent="0.45">
      <c r="AC778" t="s">
        <v>19</v>
      </c>
      <c r="AD778" t="s">
        <v>373</v>
      </c>
      <c r="AE778">
        <v>1.847528665121247E-2</v>
      </c>
    </row>
    <row r="779" spans="29:31" x14ac:dyDescent="0.45">
      <c r="AC779" t="s">
        <v>19</v>
      </c>
      <c r="AD779" t="s">
        <v>1167</v>
      </c>
      <c r="AE779">
        <v>1.1229342207103722E-4</v>
      </c>
    </row>
    <row r="780" spans="29:31" x14ac:dyDescent="0.45">
      <c r="AC780" t="s">
        <v>19</v>
      </c>
      <c r="AD780" t="s">
        <v>1168</v>
      </c>
      <c r="AE780">
        <v>1.1221072492163863E-4</v>
      </c>
    </row>
    <row r="781" spans="29:31" x14ac:dyDescent="0.45">
      <c r="AC781" t="s">
        <v>19</v>
      </c>
      <c r="AD781" t="s">
        <v>1169</v>
      </c>
      <c r="AE781">
        <v>1.1221072492163863E-4</v>
      </c>
    </row>
    <row r="782" spans="29:31" x14ac:dyDescent="0.45">
      <c r="AC782" t="s">
        <v>19</v>
      </c>
      <c r="AD782" t="s">
        <v>1170</v>
      </c>
      <c r="AE782">
        <v>1.1228717720620851E-4</v>
      </c>
    </row>
    <row r="783" spans="29:31" x14ac:dyDescent="0.45">
      <c r="AC783" t="s">
        <v>19</v>
      </c>
      <c r="AD783" t="s">
        <v>1171</v>
      </c>
      <c r="AE783">
        <v>1.1277597980780254E-4</v>
      </c>
    </row>
    <row r="784" spans="29:31" x14ac:dyDescent="0.45">
      <c r="AC784" t="s">
        <v>19</v>
      </c>
      <c r="AD784" t="s">
        <v>1172</v>
      </c>
      <c r="AE784">
        <v>1.1393014437114824E-4</v>
      </c>
    </row>
    <row r="785" spans="29:31" x14ac:dyDescent="0.45">
      <c r="AC785" t="s">
        <v>19</v>
      </c>
      <c r="AD785" t="s">
        <v>1173</v>
      </c>
      <c r="AE785">
        <v>1.148070747837641E-4</v>
      </c>
    </row>
    <row r="786" spans="29:31" x14ac:dyDescent="0.45">
      <c r="AC786" t="s">
        <v>19</v>
      </c>
      <c r="AD786" t="s">
        <v>1174</v>
      </c>
      <c r="AE786">
        <v>1.1544878195449789E-4</v>
      </c>
    </row>
    <row r="787" spans="29:31" x14ac:dyDescent="0.45">
      <c r="AC787" t="s">
        <v>19</v>
      </c>
      <c r="AD787" t="s">
        <v>1175</v>
      </c>
      <c r="AE787">
        <v>1.1579584504831264E-4</v>
      </c>
    </row>
    <row r="788" spans="29:31" x14ac:dyDescent="0.45">
      <c r="AC788" t="s">
        <v>19</v>
      </c>
      <c r="AD788" t="s">
        <v>1176</v>
      </c>
      <c r="AE788">
        <v>1.1578411227196775E-4</v>
      </c>
    </row>
    <row r="789" spans="29:31" x14ac:dyDescent="0.45">
      <c r="AC789" t="s">
        <v>19</v>
      </c>
      <c r="AD789" t="s">
        <v>1177</v>
      </c>
      <c r="AE789">
        <v>1.1579243875840606E-4</v>
      </c>
    </row>
    <row r="790" spans="29:31" x14ac:dyDescent="0.45">
      <c r="AC790" t="s">
        <v>19</v>
      </c>
      <c r="AD790" t="s">
        <v>1178</v>
      </c>
      <c r="AE790">
        <v>1.1578411227196775E-4</v>
      </c>
    </row>
    <row r="791" spans="29:31" x14ac:dyDescent="0.45">
      <c r="AC791" t="s">
        <v>19</v>
      </c>
      <c r="AD791" t="s">
        <v>1179</v>
      </c>
      <c r="AE791">
        <v>1.1583198956898801E-4</v>
      </c>
    </row>
    <row r="792" spans="29:31" x14ac:dyDescent="0.45">
      <c r="AC792" t="s">
        <v>19</v>
      </c>
      <c r="AD792" t="s">
        <v>1180</v>
      </c>
      <c r="AE792">
        <v>1.158136334511581E-4</v>
      </c>
    </row>
    <row r="793" spans="29:31" x14ac:dyDescent="0.45">
      <c r="AC793" t="s">
        <v>19</v>
      </c>
      <c r="AD793" t="s">
        <v>1181</v>
      </c>
      <c r="AE793">
        <v>1.1570576760411645E-4</v>
      </c>
    </row>
    <row r="794" spans="29:31" x14ac:dyDescent="0.45">
      <c r="AC794" t="s">
        <v>19</v>
      </c>
      <c r="AD794" t="s">
        <v>1182</v>
      </c>
      <c r="AE794">
        <v>1.1570576760411645E-4</v>
      </c>
    </row>
    <row r="795" spans="29:31" x14ac:dyDescent="0.45">
      <c r="AC795" t="s">
        <v>19</v>
      </c>
      <c r="AD795" t="s">
        <v>1183</v>
      </c>
      <c r="AE795">
        <v>1.1567113699006623E-4</v>
      </c>
    </row>
    <row r="796" spans="29:31" x14ac:dyDescent="0.45">
      <c r="AC796" t="s">
        <v>19</v>
      </c>
      <c r="AD796" t="s">
        <v>1184</v>
      </c>
      <c r="AE796">
        <v>1.1561531168326397E-4</v>
      </c>
    </row>
    <row r="797" spans="29:31" x14ac:dyDescent="0.45">
      <c r="AC797" t="s">
        <v>19</v>
      </c>
      <c r="AD797" t="s">
        <v>1185</v>
      </c>
      <c r="AE797">
        <v>1.1553677777708452E-4</v>
      </c>
    </row>
    <row r="798" spans="29:31" x14ac:dyDescent="0.45">
      <c r="AC798" t="s">
        <v>19</v>
      </c>
      <c r="AD798" t="s">
        <v>1186</v>
      </c>
      <c r="AE798">
        <v>1.1539447055432078E-4</v>
      </c>
    </row>
    <row r="799" spans="29:31" x14ac:dyDescent="0.45">
      <c r="AC799" t="s">
        <v>19</v>
      </c>
      <c r="AD799" t="s">
        <v>1187</v>
      </c>
      <c r="AE799">
        <v>1.14954869918044E-4</v>
      </c>
    </row>
    <row r="800" spans="29:31" x14ac:dyDescent="0.45">
      <c r="AC800" t="s">
        <v>19</v>
      </c>
      <c r="AD800" t="s">
        <v>1188</v>
      </c>
      <c r="AE800">
        <v>1.1447079827465354E-4</v>
      </c>
    </row>
    <row r="801" spans="29:31" x14ac:dyDescent="0.45">
      <c r="AC801" t="s">
        <v>19</v>
      </c>
      <c r="AD801" t="s">
        <v>1189</v>
      </c>
      <c r="AE801">
        <v>1.1348108181846431E-4</v>
      </c>
    </row>
    <row r="802" spans="29:31" x14ac:dyDescent="0.45">
      <c r="AC802" t="s">
        <v>19</v>
      </c>
      <c r="AD802" t="s">
        <v>1190</v>
      </c>
      <c r="AE802">
        <v>1.1278941572910069E-4</v>
      </c>
    </row>
    <row r="803" spans="29:31" x14ac:dyDescent="0.45">
      <c r="AC803" t="s">
        <v>19</v>
      </c>
      <c r="AD803" t="s">
        <v>1191</v>
      </c>
      <c r="AE803">
        <v>1.1178739878158213E-4</v>
      </c>
    </row>
    <row r="804" spans="29:31" x14ac:dyDescent="0.45">
      <c r="AC804" t="s">
        <v>19</v>
      </c>
      <c r="AD804" t="s">
        <v>1192</v>
      </c>
      <c r="AE804">
        <v>1.1157393794743654E-4</v>
      </c>
    </row>
    <row r="805" spans="29:31" x14ac:dyDescent="0.45">
      <c r="AC805" t="s">
        <v>19</v>
      </c>
      <c r="AD805" t="s">
        <v>1193</v>
      </c>
      <c r="AE805">
        <v>1.1157393794743654E-4</v>
      </c>
    </row>
    <row r="806" spans="29:31" x14ac:dyDescent="0.45">
      <c r="AC806" t="s">
        <v>19</v>
      </c>
      <c r="AD806" t="s">
        <v>1194</v>
      </c>
      <c r="AE806">
        <v>1.1158850929870358E-4</v>
      </c>
    </row>
    <row r="807" spans="29:31" x14ac:dyDescent="0.45">
      <c r="AC807" t="s">
        <v>19</v>
      </c>
      <c r="AD807" t="s">
        <v>1195</v>
      </c>
      <c r="AE807">
        <v>1.1160308064997061E-4</v>
      </c>
    </row>
    <row r="808" spans="29:31" x14ac:dyDescent="0.45">
      <c r="AC808" t="s">
        <v>19</v>
      </c>
      <c r="AD808" t="s">
        <v>1196</v>
      </c>
      <c r="AE808">
        <v>1.1177699067353425E-4</v>
      </c>
    </row>
    <row r="809" spans="29:31" x14ac:dyDescent="0.45">
      <c r="AC809" t="s">
        <v>19</v>
      </c>
      <c r="AD809" t="s">
        <v>1197</v>
      </c>
      <c r="AE809">
        <v>1.1218461003235484E-4</v>
      </c>
    </row>
    <row r="810" spans="29:31" x14ac:dyDescent="0.45">
      <c r="AC810" t="s">
        <v>19</v>
      </c>
      <c r="AD810" t="s">
        <v>1198</v>
      </c>
      <c r="AE810">
        <v>1.1282385710482277E-4</v>
      </c>
    </row>
    <row r="811" spans="29:31" x14ac:dyDescent="0.45">
      <c r="AC811" t="s">
        <v>19</v>
      </c>
      <c r="AD811" t="s">
        <v>1199</v>
      </c>
      <c r="AE811">
        <v>1.1352328196564024E-4</v>
      </c>
    </row>
    <row r="812" spans="29:31" x14ac:dyDescent="0.45">
      <c r="AC812" t="s">
        <v>19</v>
      </c>
      <c r="AD812" t="s">
        <v>1200</v>
      </c>
      <c r="AE812">
        <v>1.1370362609236078E-4</v>
      </c>
    </row>
    <row r="813" spans="29:31" x14ac:dyDescent="0.45">
      <c r="AC813" t="s">
        <v>19</v>
      </c>
      <c r="AD813" t="s">
        <v>1201</v>
      </c>
      <c r="AE813">
        <v>1.1367599729645185E-4</v>
      </c>
    </row>
    <row r="814" spans="29:31" x14ac:dyDescent="0.45">
      <c r="AC814" t="s">
        <v>19</v>
      </c>
      <c r="AD814" t="s">
        <v>1202</v>
      </c>
      <c r="AE814">
        <v>1.1367240176821713E-4</v>
      </c>
    </row>
    <row r="815" spans="29:31" x14ac:dyDescent="0.45">
      <c r="AC815" t="s">
        <v>19</v>
      </c>
      <c r="AD815" t="s">
        <v>1203</v>
      </c>
      <c r="AE815">
        <v>1.1364004201410464E-4</v>
      </c>
    </row>
    <row r="816" spans="29:31" x14ac:dyDescent="0.45">
      <c r="AC816" t="s">
        <v>19</v>
      </c>
      <c r="AD816" t="s">
        <v>1204</v>
      </c>
      <c r="AE816">
        <v>1.1357494402922334E-4</v>
      </c>
    </row>
    <row r="817" spans="29:31" x14ac:dyDescent="0.45">
      <c r="AC817" t="s">
        <v>19</v>
      </c>
      <c r="AD817" t="s">
        <v>1205</v>
      </c>
      <c r="AE817">
        <v>1.1354882913993957E-4</v>
      </c>
    </row>
    <row r="818" spans="29:31" x14ac:dyDescent="0.45">
      <c r="AC818" t="s">
        <v>19</v>
      </c>
      <c r="AD818" t="s">
        <v>1206</v>
      </c>
      <c r="AE818">
        <v>1.1354882913993957E-4</v>
      </c>
    </row>
    <row r="819" spans="29:31" x14ac:dyDescent="0.45">
      <c r="AC819" t="s">
        <v>19</v>
      </c>
      <c r="AD819" t="s">
        <v>1207</v>
      </c>
      <c r="AE819">
        <v>1.135143877642175E-4</v>
      </c>
    </row>
    <row r="820" spans="29:31" x14ac:dyDescent="0.45">
      <c r="AC820" t="s">
        <v>19</v>
      </c>
      <c r="AD820" t="s">
        <v>1208</v>
      </c>
      <c r="AE820">
        <v>1.135143877642175E-4</v>
      </c>
    </row>
    <row r="821" spans="29:31" x14ac:dyDescent="0.45">
      <c r="AC821" t="s">
        <v>19</v>
      </c>
      <c r="AD821" t="s">
        <v>1209</v>
      </c>
      <c r="AE821">
        <v>1.1351949719907738E-4</v>
      </c>
    </row>
    <row r="822" spans="29:31" x14ac:dyDescent="0.45">
      <c r="AC822" t="s">
        <v>19</v>
      </c>
      <c r="AD822" t="s">
        <v>1210</v>
      </c>
      <c r="AE822">
        <v>1.1351949719907738E-4</v>
      </c>
    </row>
    <row r="823" spans="29:31" x14ac:dyDescent="0.45">
      <c r="AC823" t="s">
        <v>19</v>
      </c>
      <c r="AD823" t="s">
        <v>1211</v>
      </c>
      <c r="AE823">
        <v>1.1346783513549428E-4</v>
      </c>
    </row>
    <row r="824" spans="29:31" x14ac:dyDescent="0.45">
      <c r="AC824" t="s">
        <v>19</v>
      </c>
      <c r="AD824" t="s">
        <v>1212</v>
      </c>
      <c r="AE824">
        <v>1.1321084948587571E-4</v>
      </c>
    </row>
    <row r="825" spans="29:31" x14ac:dyDescent="0.45">
      <c r="AC825" t="s">
        <v>19</v>
      </c>
      <c r="AD825" t="s">
        <v>1213</v>
      </c>
      <c r="AE825">
        <v>1.1336829577489091E-4</v>
      </c>
    </row>
    <row r="826" spans="29:31" x14ac:dyDescent="0.45">
      <c r="AC826" t="s">
        <v>19</v>
      </c>
      <c r="AD826" t="s">
        <v>1214</v>
      </c>
      <c r="AE826">
        <v>1.1271542354279667E-4</v>
      </c>
    </row>
    <row r="827" spans="29:31" x14ac:dyDescent="0.45">
      <c r="AC827" t="s">
        <v>19</v>
      </c>
      <c r="AD827" t="s">
        <v>1215</v>
      </c>
      <c r="AE827">
        <v>1.1229342207103722E-4</v>
      </c>
    </row>
    <row r="828" spans="29:31" x14ac:dyDescent="0.45">
      <c r="AC828" t="s">
        <v>19</v>
      </c>
      <c r="AD828" t="s">
        <v>1216</v>
      </c>
      <c r="AE828">
        <v>1.1221072492163863E-4</v>
      </c>
    </row>
    <row r="829" spans="29:31" x14ac:dyDescent="0.45">
      <c r="AC829" t="s">
        <v>19</v>
      </c>
      <c r="AD829" t="s">
        <v>1217</v>
      </c>
      <c r="AE829">
        <v>1.1221072492163863E-4</v>
      </c>
    </row>
    <row r="830" spans="29:31" x14ac:dyDescent="0.45">
      <c r="AC830" t="s">
        <v>19</v>
      </c>
      <c r="AD830" t="s">
        <v>1218</v>
      </c>
      <c r="AE830">
        <v>1.1228717720620851E-4</v>
      </c>
    </row>
    <row r="831" spans="29:31" x14ac:dyDescent="0.45">
      <c r="AC831" t="s">
        <v>19</v>
      </c>
      <c r="AD831" t="s">
        <v>1219</v>
      </c>
      <c r="AE831">
        <v>1.1278979420575699E-4</v>
      </c>
    </row>
    <row r="832" spans="29:31" x14ac:dyDescent="0.45">
      <c r="AC832" t="s">
        <v>19</v>
      </c>
      <c r="AD832" t="s">
        <v>1220</v>
      </c>
      <c r="AE832">
        <v>1.1394376953077458E-4</v>
      </c>
    </row>
    <row r="833" spans="29:31" x14ac:dyDescent="0.45">
      <c r="AC833" t="s">
        <v>19</v>
      </c>
      <c r="AD833" t="s">
        <v>1221</v>
      </c>
      <c r="AE833">
        <v>1.1482069994339041E-4</v>
      </c>
    </row>
    <row r="834" spans="29:31" x14ac:dyDescent="0.45">
      <c r="AC834" t="s">
        <v>19</v>
      </c>
      <c r="AD834" t="s">
        <v>1222</v>
      </c>
      <c r="AE834">
        <v>1.1541093428886925E-4</v>
      </c>
    </row>
    <row r="835" spans="29:31" x14ac:dyDescent="0.45">
      <c r="AC835" t="s">
        <v>19</v>
      </c>
      <c r="AD835" t="s">
        <v>1223</v>
      </c>
      <c r="AE835">
        <v>1.1579887286156294E-4</v>
      </c>
    </row>
    <row r="836" spans="29:31" x14ac:dyDescent="0.45">
      <c r="AC836" t="s">
        <v>19</v>
      </c>
      <c r="AD836" t="s">
        <v>1224</v>
      </c>
      <c r="AE836">
        <v>1.1580379305809463E-4</v>
      </c>
    </row>
    <row r="837" spans="29:31" x14ac:dyDescent="0.45">
      <c r="AC837" t="s">
        <v>19</v>
      </c>
      <c r="AD837" t="s">
        <v>1225</v>
      </c>
      <c r="AE837">
        <v>1.1579792666992221E-4</v>
      </c>
    </row>
    <row r="838" spans="29:31" x14ac:dyDescent="0.45">
      <c r="AC838" t="s">
        <v>19</v>
      </c>
      <c r="AD838" t="s">
        <v>1226</v>
      </c>
      <c r="AE838">
        <v>1.1576518843915341E-4</v>
      </c>
    </row>
    <row r="839" spans="29:31" x14ac:dyDescent="0.45">
      <c r="AC839" t="s">
        <v>19</v>
      </c>
      <c r="AD839" t="s">
        <v>1227</v>
      </c>
      <c r="AE839">
        <v>1.1576518843915341E-4</v>
      </c>
    </row>
    <row r="840" spans="29:31" x14ac:dyDescent="0.45">
      <c r="AC840" t="s">
        <v>19</v>
      </c>
      <c r="AD840" t="s">
        <v>1228</v>
      </c>
      <c r="AE840">
        <v>1.1567378632666023E-4</v>
      </c>
    </row>
    <row r="841" spans="29:31" x14ac:dyDescent="0.45">
      <c r="AC841" t="s">
        <v>19</v>
      </c>
      <c r="AD841" t="s">
        <v>1229</v>
      </c>
      <c r="AE841">
        <v>1.1559865871038736E-4</v>
      </c>
    </row>
    <row r="842" spans="29:31" x14ac:dyDescent="0.45">
      <c r="AC842" t="s">
        <v>19</v>
      </c>
      <c r="AD842" t="s">
        <v>1230</v>
      </c>
      <c r="AE842">
        <v>1.1559865871038736E-4</v>
      </c>
    </row>
    <row r="843" spans="29:31" x14ac:dyDescent="0.45">
      <c r="AC843" t="s">
        <v>19</v>
      </c>
      <c r="AD843" t="s">
        <v>1231</v>
      </c>
      <c r="AE843">
        <v>1.1557670706432275E-4</v>
      </c>
    </row>
    <row r="844" spans="29:31" x14ac:dyDescent="0.45">
      <c r="AC844" t="s">
        <v>19</v>
      </c>
      <c r="AD844" t="s">
        <v>1232</v>
      </c>
      <c r="AE844">
        <v>1.1557670706432275E-4</v>
      </c>
    </row>
    <row r="845" spans="29:31" x14ac:dyDescent="0.45">
      <c r="AC845" t="s">
        <v>19</v>
      </c>
      <c r="AD845" t="s">
        <v>1233</v>
      </c>
      <c r="AE845">
        <v>1.1554226568860068E-4</v>
      </c>
    </row>
    <row r="846" spans="29:31" x14ac:dyDescent="0.45">
      <c r="AC846" t="s">
        <v>19</v>
      </c>
      <c r="AD846" t="s">
        <v>1234</v>
      </c>
      <c r="AE846">
        <v>1.1538027767971005E-4</v>
      </c>
    </row>
    <row r="847" spans="29:31" x14ac:dyDescent="0.45">
      <c r="AC847" t="s">
        <v>19</v>
      </c>
      <c r="AD847" t="s">
        <v>1235</v>
      </c>
      <c r="AE847">
        <v>1.1491077738758662E-4</v>
      </c>
    </row>
    <row r="848" spans="29:31" x14ac:dyDescent="0.45">
      <c r="AC848" t="s">
        <v>19</v>
      </c>
      <c r="AD848" t="s">
        <v>1236</v>
      </c>
      <c r="AE848">
        <v>1.1441989316438301E-4</v>
      </c>
    </row>
    <row r="849" spans="29:31" x14ac:dyDescent="0.45">
      <c r="AC849" t="s">
        <v>19</v>
      </c>
      <c r="AD849" t="s">
        <v>1237</v>
      </c>
      <c r="AE849">
        <v>1.1339478914083097E-4</v>
      </c>
    </row>
    <row r="850" spans="29:31" x14ac:dyDescent="0.45">
      <c r="AC850" t="s">
        <v>19</v>
      </c>
      <c r="AD850" t="s">
        <v>1238</v>
      </c>
      <c r="AE850">
        <v>1.1274248462372117E-4</v>
      </c>
    </row>
    <row r="851" spans="29:31" x14ac:dyDescent="0.45">
      <c r="AC851" t="s">
        <v>19</v>
      </c>
      <c r="AD851" t="s">
        <v>398</v>
      </c>
      <c r="AE851">
        <v>2.284582202209462E-2</v>
      </c>
    </row>
    <row r="852" spans="29:31" x14ac:dyDescent="0.45">
      <c r="AC852" t="s">
        <v>19</v>
      </c>
      <c r="AD852" t="s">
        <v>399</v>
      </c>
      <c r="AE852">
        <v>3.3240280419086468E-3</v>
      </c>
    </row>
    <row r="853" spans="29:31" x14ac:dyDescent="0.45">
      <c r="AC853" t="s">
        <v>19</v>
      </c>
      <c r="AD853" t="s">
        <v>400</v>
      </c>
      <c r="AE853">
        <v>6.6790675148417694E-3</v>
      </c>
    </row>
    <row r="854" spans="29:31" x14ac:dyDescent="0.45">
      <c r="AC854" t="s">
        <v>19</v>
      </c>
      <c r="AD854" t="s">
        <v>401</v>
      </c>
      <c r="AE854">
        <v>1.0018051440300236E-2</v>
      </c>
    </row>
    <row r="855" spans="29:31" x14ac:dyDescent="0.45">
      <c r="AC855" t="s">
        <v>19</v>
      </c>
      <c r="AD855" t="s">
        <v>402</v>
      </c>
      <c r="AE855">
        <v>3.3368860293526686E-3</v>
      </c>
    </row>
    <row r="856" spans="29:31" x14ac:dyDescent="0.45">
      <c r="AC856" t="s">
        <v>19</v>
      </c>
      <c r="AD856" t="s">
        <v>403</v>
      </c>
      <c r="AE856">
        <v>6.6701682039841765E-3</v>
      </c>
    </row>
    <row r="857" spans="29:31" x14ac:dyDescent="0.45">
      <c r="AC857" t="s">
        <v>19</v>
      </c>
      <c r="AD857" t="s">
        <v>404</v>
      </c>
      <c r="AE857">
        <v>6.6706061014754998E-3</v>
      </c>
    </row>
    <row r="858" spans="29:31" x14ac:dyDescent="0.45">
      <c r="AC858" t="s">
        <v>19</v>
      </c>
      <c r="AD858" t="s">
        <v>405</v>
      </c>
      <c r="AE858">
        <v>1.9846086593690214E-2</v>
      </c>
    </row>
    <row r="859" spans="29:31" x14ac:dyDescent="0.45">
      <c r="AC859" t="s">
        <v>19</v>
      </c>
      <c r="AD859" t="s">
        <v>1239</v>
      </c>
      <c r="AE859">
        <v>1.1223125026011064E-4</v>
      </c>
    </row>
    <row r="860" spans="29:31" x14ac:dyDescent="0.45">
      <c r="AC860" t="s">
        <v>19</v>
      </c>
      <c r="AD860" t="s">
        <v>1240</v>
      </c>
      <c r="AE860">
        <v>1.1214855311071203E-4</v>
      </c>
    </row>
    <row r="861" spans="29:31" x14ac:dyDescent="0.45">
      <c r="AC861" t="s">
        <v>19</v>
      </c>
      <c r="AD861" t="s">
        <v>1241</v>
      </c>
      <c r="AE861">
        <v>1.1214855311071203E-4</v>
      </c>
    </row>
    <row r="862" spans="29:31" x14ac:dyDescent="0.45">
      <c r="AC862" t="s">
        <v>19</v>
      </c>
      <c r="AD862" t="s">
        <v>1242</v>
      </c>
      <c r="AE862">
        <v>1.1219983669763887E-4</v>
      </c>
    </row>
    <row r="863" spans="29:31" x14ac:dyDescent="0.45">
      <c r="AC863" t="s">
        <v>19</v>
      </c>
      <c r="AD863" t="s">
        <v>1243</v>
      </c>
      <c r="AE863">
        <v>1.1275392652244231E-4</v>
      </c>
    </row>
    <row r="864" spans="29:31" x14ac:dyDescent="0.45">
      <c r="AC864" t="s">
        <v>19</v>
      </c>
      <c r="AD864" t="s">
        <v>1244</v>
      </c>
      <c r="AE864">
        <v>1.1392890730188379E-4</v>
      </c>
    </row>
    <row r="865" spans="29:31" x14ac:dyDescent="0.45">
      <c r="AC865" t="s">
        <v>19</v>
      </c>
      <c r="AD865" t="s">
        <v>1245</v>
      </c>
      <c r="AE865">
        <v>1.1481019019604695E-4</v>
      </c>
    </row>
    <row r="866" spans="29:31" x14ac:dyDescent="0.45">
      <c r="AC866" t="s">
        <v>19</v>
      </c>
      <c r="AD866" t="s">
        <v>1246</v>
      </c>
      <c r="AE866">
        <v>1.1540023530319763E-4</v>
      </c>
    </row>
    <row r="867" spans="29:31" x14ac:dyDescent="0.45">
      <c r="AC867" t="s">
        <v>19</v>
      </c>
      <c r="AD867" t="s">
        <v>1247</v>
      </c>
      <c r="AE867">
        <v>1.1576376213156083E-4</v>
      </c>
    </row>
    <row r="868" spans="29:31" x14ac:dyDescent="0.45">
      <c r="AC868" t="s">
        <v>19</v>
      </c>
      <c r="AD868" t="s">
        <v>1248</v>
      </c>
      <c r="AE868">
        <v>1.1574199972382434E-4</v>
      </c>
    </row>
    <row r="869" spans="29:31" x14ac:dyDescent="0.45">
      <c r="AC869" t="s">
        <v>19</v>
      </c>
      <c r="AD869" t="s">
        <v>1249</v>
      </c>
      <c r="AE869">
        <v>1.1571664178785316E-4</v>
      </c>
    </row>
    <row r="870" spans="29:31" x14ac:dyDescent="0.45">
      <c r="AC870" t="s">
        <v>19</v>
      </c>
      <c r="AD870" t="s">
        <v>1250</v>
      </c>
      <c r="AE870">
        <v>1.1566630439256705E-4</v>
      </c>
    </row>
    <row r="871" spans="29:31" x14ac:dyDescent="0.45">
      <c r="AC871" t="s">
        <v>19</v>
      </c>
      <c r="AD871" t="s">
        <v>1251</v>
      </c>
      <c r="AE871">
        <v>1.1565248999461259E-4</v>
      </c>
    </row>
    <row r="872" spans="29:31" x14ac:dyDescent="0.45">
      <c r="AC872" t="s">
        <v>19</v>
      </c>
      <c r="AD872" t="s">
        <v>1252</v>
      </c>
      <c r="AE872">
        <v>1.1556544036366668E-4</v>
      </c>
    </row>
    <row r="873" spans="29:31" x14ac:dyDescent="0.45">
      <c r="AC873" t="s">
        <v>19</v>
      </c>
      <c r="AD873" t="s">
        <v>1253</v>
      </c>
      <c r="AE873">
        <v>1.1549031274739381E-4</v>
      </c>
    </row>
    <row r="874" spans="29:31" x14ac:dyDescent="0.45">
      <c r="AC874" t="s">
        <v>19</v>
      </c>
      <c r="AD874" t="s">
        <v>1254</v>
      </c>
      <c r="AE874">
        <v>1.1549693608887884E-4</v>
      </c>
    </row>
    <row r="875" spans="29:31" x14ac:dyDescent="0.45">
      <c r="AC875" t="s">
        <v>19</v>
      </c>
      <c r="AD875" t="s">
        <v>1255</v>
      </c>
      <c r="AE875">
        <v>1.1547044272293877E-4</v>
      </c>
    </row>
    <row r="876" spans="29:31" x14ac:dyDescent="0.45">
      <c r="AC876" t="s">
        <v>19</v>
      </c>
      <c r="AD876" t="s">
        <v>1256</v>
      </c>
      <c r="AE876">
        <v>1.1548444635922139E-4</v>
      </c>
    </row>
    <row r="877" spans="29:31" x14ac:dyDescent="0.45">
      <c r="AC877" t="s">
        <v>19</v>
      </c>
      <c r="AD877" t="s">
        <v>1257</v>
      </c>
      <c r="AE877">
        <v>1.1547176739123578E-4</v>
      </c>
    </row>
    <row r="878" spans="29:31" x14ac:dyDescent="0.45">
      <c r="AC878" t="s">
        <v>19</v>
      </c>
      <c r="AD878" t="s">
        <v>1258</v>
      </c>
      <c r="AE878">
        <v>1.1530202061089126E-4</v>
      </c>
    </row>
    <row r="879" spans="29:31" x14ac:dyDescent="0.45">
      <c r="AC879" t="s">
        <v>19</v>
      </c>
      <c r="AD879" t="s">
        <v>1259</v>
      </c>
      <c r="AE879">
        <v>1.1484879481498818E-4</v>
      </c>
    </row>
    <row r="880" spans="29:31" x14ac:dyDescent="0.45">
      <c r="AC880" t="s">
        <v>19</v>
      </c>
      <c r="AD880" t="s">
        <v>1260</v>
      </c>
      <c r="AE880">
        <v>1.1435791059178457E-4</v>
      </c>
    </row>
    <row r="881" spans="29:31" x14ac:dyDescent="0.45">
      <c r="AC881" t="s">
        <v>19</v>
      </c>
      <c r="AD881" t="s">
        <v>1261</v>
      </c>
      <c r="AE881">
        <v>1.1330101452910446E-4</v>
      </c>
    </row>
    <row r="882" spans="29:31" x14ac:dyDescent="0.45">
      <c r="AC882" t="s">
        <v>19</v>
      </c>
      <c r="AD882" t="s">
        <v>1262</v>
      </c>
      <c r="AE882">
        <v>1.1264871001199466E-4</v>
      </c>
    </row>
    <row r="883" spans="29:31" x14ac:dyDescent="0.45">
      <c r="AC883" t="s">
        <v>19</v>
      </c>
      <c r="AD883" t="s">
        <v>1263</v>
      </c>
      <c r="AE883">
        <v>1.1223125026011064E-4</v>
      </c>
    </row>
    <row r="884" spans="29:31" x14ac:dyDescent="0.45">
      <c r="AC884" t="s">
        <v>19</v>
      </c>
      <c r="AD884" t="s">
        <v>1264</v>
      </c>
      <c r="AE884">
        <v>1.1214855311071203E-4</v>
      </c>
    </row>
    <row r="885" spans="29:31" x14ac:dyDescent="0.45">
      <c r="AC885" t="s">
        <v>19</v>
      </c>
      <c r="AD885" t="s">
        <v>1265</v>
      </c>
      <c r="AE885">
        <v>1.1214855311071203E-4</v>
      </c>
    </row>
    <row r="886" spans="29:31" x14ac:dyDescent="0.45">
      <c r="AC886" t="s">
        <v>19</v>
      </c>
      <c r="AD886" t="s">
        <v>1266</v>
      </c>
      <c r="AE886">
        <v>1.1219983669763884E-4</v>
      </c>
    </row>
    <row r="887" spans="29:31" x14ac:dyDescent="0.45">
      <c r="AC887" t="s">
        <v>19</v>
      </c>
      <c r="AD887" t="s">
        <v>1267</v>
      </c>
      <c r="AE887">
        <v>1.1275392652244231E-4</v>
      </c>
    </row>
    <row r="888" spans="29:31" x14ac:dyDescent="0.45">
      <c r="AC888" t="s">
        <v>19</v>
      </c>
      <c r="AD888" t="s">
        <v>1268</v>
      </c>
      <c r="AE888">
        <v>1.1392890730188379E-4</v>
      </c>
    </row>
    <row r="889" spans="29:31" x14ac:dyDescent="0.45">
      <c r="AC889" t="s">
        <v>19</v>
      </c>
      <c r="AD889" t="s">
        <v>1269</v>
      </c>
      <c r="AE889">
        <v>1.1481019019604695E-4</v>
      </c>
    </row>
    <row r="890" spans="29:31" x14ac:dyDescent="0.45">
      <c r="AC890" t="s">
        <v>19</v>
      </c>
      <c r="AD890" t="s">
        <v>1270</v>
      </c>
      <c r="AE890">
        <v>1.1542218694926224E-4</v>
      </c>
    </row>
    <row r="891" spans="29:31" x14ac:dyDescent="0.45">
      <c r="AC891" t="s">
        <v>19</v>
      </c>
      <c r="AD891" t="s">
        <v>1271</v>
      </c>
      <c r="AE891">
        <v>1.1581334257353437E-4</v>
      </c>
    </row>
    <row r="892" spans="29:31" x14ac:dyDescent="0.45">
      <c r="AC892" t="s">
        <v>19</v>
      </c>
      <c r="AD892" t="s">
        <v>1272</v>
      </c>
      <c r="AE892">
        <v>1.1582753544814511E-4</v>
      </c>
    </row>
    <row r="893" spans="29:31" x14ac:dyDescent="0.45">
      <c r="AC893" t="s">
        <v>19</v>
      </c>
      <c r="AD893" t="s">
        <v>1273</v>
      </c>
      <c r="AE893">
        <v>1.157802258661093E-4</v>
      </c>
    </row>
    <row r="894" spans="29:31" x14ac:dyDescent="0.45">
      <c r="AC894" t="s">
        <v>19</v>
      </c>
      <c r="AD894" t="s">
        <v>1274</v>
      </c>
      <c r="AE894">
        <v>1.1575959888834168E-4</v>
      </c>
    </row>
    <row r="895" spans="29:31" x14ac:dyDescent="0.45">
      <c r="AC895" t="s">
        <v>19</v>
      </c>
      <c r="AD895" t="s">
        <v>1275</v>
      </c>
      <c r="AE895">
        <v>1.1574464906041835E-4</v>
      </c>
    </row>
    <row r="896" spans="29:31" x14ac:dyDescent="0.45">
      <c r="AC896" t="s">
        <v>19</v>
      </c>
      <c r="AD896" t="s">
        <v>1276</v>
      </c>
      <c r="AE896">
        <v>1.1564643436811201E-4</v>
      </c>
    </row>
    <row r="897" spans="29:31" x14ac:dyDescent="0.45">
      <c r="AC897" t="s">
        <v>19</v>
      </c>
      <c r="AD897" t="s">
        <v>1277</v>
      </c>
      <c r="AE897">
        <v>1.1557130675183913E-4</v>
      </c>
    </row>
    <row r="898" spans="29:31" x14ac:dyDescent="0.45">
      <c r="AC898" t="s">
        <v>19</v>
      </c>
      <c r="AD898" t="s">
        <v>1278</v>
      </c>
      <c r="AE898">
        <v>1.1562618586700067E-4</v>
      </c>
    </row>
    <row r="899" spans="29:31" x14ac:dyDescent="0.45">
      <c r="AC899" t="s">
        <v>19</v>
      </c>
      <c r="AD899" t="s">
        <v>1279</v>
      </c>
      <c r="AE899">
        <v>1.1563526930675155E-4</v>
      </c>
    </row>
    <row r="900" spans="29:31" x14ac:dyDescent="0.45">
      <c r="AC900" t="s">
        <v>19</v>
      </c>
      <c r="AD900" t="s">
        <v>1280</v>
      </c>
      <c r="AE900">
        <v>1.1564473122315872E-4</v>
      </c>
    </row>
    <row r="901" spans="29:31" x14ac:dyDescent="0.45">
      <c r="AC901" t="s">
        <v>19</v>
      </c>
      <c r="AD901" t="s">
        <v>1281</v>
      </c>
      <c r="AE901">
        <v>1.1561464232898394E-4</v>
      </c>
    </row>
    <row r="902" spans="29:31" x14ac:dyDescent="0.45">
      <c r="AC902" t="s">
        <v>19</v>
      </c>
      <c r="AD902" t="s">
        <v>1282</v>
      </c>
      <c r="AE902">
        <v>1.1530845471404814E-4</v>
      </c>
    </row>
    <row r="903" spans="29:31" x14ac:dyDescent="0.45">
      <c r="AC903" t="s">
        <v>19</v>
      </c>
      <c r="AD903" t="s">
        <v>1283</v>
      </c>
      <c r="AE903">
        <v>1.1459824326852649E-4</v>
      </c>
    </row>
    <row r="904" spans="29:31" x14ac:dyDescent="0.45">
      <c r="AC904" t="s">
        <v>19</v>
      </c>
      <c r="AD904" t="s">
        <v>1284</v>
      </c>
      <c r="AE904">
        <v>1.1407518852953853E-4</v>
      </c>
    </row>
    <row r="905" spans="29:31" x14ac:dyDescent="0.45">
      <c r="AC905" t="s">
        <v>19</v>
      </c>
      <c r="AD905" t="s">
        <v>1285</v>
      </c>
      <c r="AE905">
        <v>1.1330101452910446E-4</v>
      </c>
    </row>
    <row r="906" spans="29:31" x14ac:dyDescent="0.45">
      <c r="AC906" t="s">
        <v>19</v>
      </c>
      <c r="AD906" t="s">
        <v>1286</v>
      </c>
      <c r="AE906">
        <v>1.1264871001199466E-4</v>
      </c>
    </row>
    <row r="907" spans="29:31" x14ac:dyDescent="0.45">
      <c r="AC907" t="s">
        <v>19</v>
      </c>
      <c r="AD907" t="s">
        <v>406</v>
      </c>
      <c r="AE907">
        <v>2.3601944688261496E-2</v>
      </c>
    </row>
    <row r="908" spans="29:31" x14ac:dyDescent="0.45">
      <c r="AC908" t="s">
        <v>19</v>
      </c>
      <c r="AD908" t="s">
        <v>407</v>
      </c>
      <c r="AE908">
        <v>3.4495549500944142E-3</v>
      </c>
    </row>
    <row r="909" spans="29:31" x14ac:dyDescent="0.45">
      <c r="AC909" t="s">
        <v>19</v>
      </c>
      <c r="AD909" t="s">
        <v>408</v>
      </c>
      <c r="AE909">
        <v>6.9240443207816407E-3</v>
      </c>
    </row>
    <row r="910" spans="29:31" x14ac:dyDescent="0.45">
      <c r="AC910" t="s">
        <v>19</v>
      </c>
      <c r="AD910" t="s">
        <v>409</v>
      </c>
      <c r="AE910">
        <v>1.0388103253298267E-2</v>
      </c>
    </row>
    <row r="911" spans="29:31" x14ac:dyDescent="0.45">
      <c r="AC911" t="s">
        <v>19</v>
      </c>
      <c r="AD911" t="s">
        <v>410</v>
      </c>
      <c r="AE911">
        <v>3.4605527247727878E-3</v>
      </c>
    </row>
    <row r="912" spans="29:31" x14ac:dyDescent="0.45">
      <c r="AC912" t="s">
        <v>19</v>
      </c>
      <c r="AD912" t="s">
        <v>411</v>
      </c>
      <c r="AE912">
        <v>6.9202010795753792E-3</v>
      </c>
    </row>
    <row r="913" spans="29:31" x14ac:dyDescent="0.45">
      <c r="AC913" t="s">
        <v>19</v>
      </c>
      <c r="AD913" t="s">
        <v>412</v>
      </c>
      <c r="AE913">
        <v>6.9308196206441536E-3</v>
      </c>
    </row>
    <row r="914" spans="29:31" x14ac:dyDescent="0.45">
      <c r="AC914" t="s">
        <v>19</v>
      </c>
      <c r="AD914" t="s">
        <v>413</v>
      </c>
      <c r="AE914">
        <v>2.054638336964636E-2</v>
      </c>
    </row>
    <row r="915" spans="29:31" x14ac:dyDescent="0.45">
      <c r="AC915" t="s">
        <v>19</v>
      </c>
      <c r="AD915" t="s">
        <v>414</v>
      </c>
      <c r="AE915">
        <v>2.4416657413212691E-2</v>
      </c>
    </row>
    <row r="916" spans="29:31" x14ac:dyDescent="0.45">
      <c r="AC916" t="s">
        <v>19</v>
      </c>
      <c r="AD916" t="s">
        <v>415</v>
      </c>
      <c r="AE916">
        <v>3.5659298573304079E-3</v>
      </c>
    </row>
    <row r="917" spans="29:31" x14ac:dyDescent="0.45">
      <c r="AC917" t="s">
        <v>19</v>
      </c>
      <c r="AD917" t="s">
        <v>416</v>
      </c>
      <c r="AE917">
        <v>7.1572589045875478E-3</v>
      </c>
    </row>
    <row r="918" spans="29:31" x14ac:dyDescent="0.45">
      <c r="AC918" t="s">
        <v>19</v>
      </c>
      <c r="AD918" t="s">
        <v>417</v>
      </c>
      <c r="AE918">
        <v>1.07309036300797E-2</v>
      </c>
    </row>
    <row r="919" spans="29:31" x14ac:dyDescent="0.45">
      <c r="AC919" t="s">
        <v>19</v>
      </c>
      <c r="AD919" t="s">
        <v>418</v>
      </c>
      <c r="AE919">
        <v>3.5727272980773136E-3</v>
      </c>
    </row>
    <row r="920" spans="29:31" x14ac:dyDescent="0.45">
      <c r="AC920" t="s">
        <v>19</v>
      </c>
      <c r="AD920" t="s">
        <v>419</v>
      </c>
      <c r="AE920">
        <v>7.1450759302600121E-3</v>
      </c>
    </row>
    <row r="921" spans="29:31" x14ac:dyDescent="0.45">
      <c r="AC921" t="s">
        <v>19</v>
      </c>
      <c r="AD921" t="s">
        <v>420</v>
      </c>
      <c r="AE921">
        <v>7.1618483125216771E-3</v>
      </c>
    </row>
    <row r="922" spans="29:31" x14ac:dyDescent="0.45">
      <c r="AC922" t="s">
        <v>19</v>
      </c>
      <c r="AD922" t="s">
        <v>421</v>
      </c>
      <c r="AE922">
        <v>2.1220864479047526E-2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D3C75-5F63-4D85-A77D-8FDD572BF51D}">
  <dimension ref="A9:AN87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104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1289</v>
      </c>
      <c r="F11" t="s">
        <v>157</v>
      </c>
      <c r="G11" t="s">
        <v>158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2.5550017394375114E-2</v>
      </c>
      <c r="Q11" t="s">
        <v>254</v>
      </c>
      <c r="S11" t="s">
        <v>423</v>
      </c>
      <c r="T11" t="s">
        <v>253</v>
      </c>
      <c r="U11">
        <v>2.6314698197757971E-2</v>
      </c>
      <c r="V11" t="s">
        <v>254</v>
      </c>
      <c r="X11">
        <v>2.4771689497716895E-2</v>
      </c>
      <c r="Y11">
        <v>9.7827942553597048E-3</v>
      </c>
      <c r="Z11" t="s">
        <v>253</v>
      </c>
      <c r="AA11" t="s">
        <v>25</v>
      </c>
      <c r="AC11" t="s">
        <v>22</v>
      </c>
      <c r="AD11" t="s">
        <v>253</v>
      </c>
      <c r="AE11">
        <v>2.2606998255070062E-2</v>
      </c>
      <c r="AG11" t="s">
        <v>97</v>
      </c>
      <c r="AH11" t="s">
        <v>253</v>
      </c>
      <c r="AI11">
        <v>0.29325982533716588</v>
      </c>
    </row>
    <row r="12" spans="1:40" x14ac:dyDescent="0.45">
      <c r="C12" t="s">
        <v>159</v>
      </c>
      <c r="D12" t="s">
        <v>158</v>
      </c>
      <c r="E12" t="s">
        <v>1290</v>
      </c>
      <c r="F12" t="s">
        <v>164</v>
      </c>
      <c r="G12" t="s">
        <v>158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3.571492353764361E-3</v>
      </c>
      <c r="Q12" t="s">
        <v>254</v>
      </c>
      <c r="S12" t="s">
        <v>423</v>
      </c>
      <c r="T12" t="s">
        <v>255</v>
      </c>
      <c r="U12">
        <v>3.7559791137912564E-3</v>
      </c>
      <c r="V12" t="s">
        <v>254</v>
      </c>
      <c r="X12">
        <v>3.5388127853881279E-3</v>
      </c>
      <c r="Y12">
        <v>5.9087255218821738E-3</v>
      </c>
      <c r="Z12" t="s">
        <v>255</v>
      </c>
      <c r="AA12" t="s">
        <v>25</v>
      </c>
      <c r="AC12" t="s">
        <v>22</v>
      </c>
      <c r="AD12" t="s">
        <v>255</v>
      </c>
      <c r="AE12">
        <v>4.4180407876775827E-3</v>
      </c>
      <c r="AG12" t="s">
        <v>97</v>
      </c>
      <c r="AH12" t="s">
        <v>255</v>
      </c>
      <c r="AI12">
        <v>5.9964938978160909E-2</v>
      </c>
    </row>
    <row r="13" spans="1:40" x14ac:dyDescent="0.45">
      <c r="C13" t="s">
        <v>161</v>
      </c>
      <c r="D13" t="s">
        <v>162</v>
      </c>
      <c r="E13" t="s">
        <v>1291</v>
      </c>
      <c r="F13" t="s">
        <v>168</v>
      </c>
      <c r="G13" t="s">
        <v>158</v>
      </c>
      <c r="I13" t="s">
        <v>252</v>
      </c>
      <c r="J13" t="s">
        <v>256</v>
      </c>
      <c r="K13">
        <v>4.62783912320343E-3</v>
      </c>
      <c r="L13" t="s">
        <v>254</v>
      </c>
      <c r="N13" t="s">
        <v>422</v>
      </c>
      <c r="O13" t="s">
        <v>256</v>
      </c>
      <c r="P13">
        <v>7.0455228010805641E-3</v>
      </c>
      <c r="Q13" t="s">
        <v>254</v>
      </c>
      <c r="S13" t="s">
        <v>423</v>
      </c>
      <c r="T13" t="s">
        <v>256</v>
      </c>
      <c r="U13">
        <v>7.4238637563069747E-3</v>
      </c>
      <c r="V13" t="s">
        <v>254</v>
      </c>
      <c r="X13">
        <v>7.0776255707762558E-3</v>
      </c>
      <c r="Y13">
        <v>9.0018148820326695E-3</v>
      </c>
      <c r="Z13" t="s">
        <v>256</v>
      </c>
      <c r="AA13" t="s">
        <v>25</v>
      </c>
      <c r="AC13" t="s">
        <v>22</v>
      </c>
      <c r="AD13" t="s">
        <v>256</v>
      </c>
      <c r="AE13">
        <v>9.0748516748292811E-3</v>
      </c>
      <c r="AG13" t="s">
        <v>97</v>
      </c>
      <c r="AH13" t="s">
        <v>256</v>
      </c>
      <c r="AI13">
        <v>5.9891306588249815E-2</v>
      </c>
    </row>
    <row r="14" spans="1:40" x14ac:dyDescent="0.45">
      <c r="C14" t="s">
        <v>165</v>
      </c>
      <c r="E14" t="s">
        <v>1292</v>
      </c>
      <c r="G14" t="s">
        <v>158</v>
      </c>
      <c r="I14" t="s">
        <v>252</v>
      </c>
      <c r="J14" t="s">
        <v>257</v>
      </c>
      <c r="K14">
        <v>1.5970968002535522E-2</v>
      </c>
      <c r="L14" t="s">
        <v>254</v>
      </c>
      <c r="N14" t="s">
        <v>422</v>
      </c>
      <c r="O14" t="s">
        <v>257</v>
      </c>
      <c r="P14">
        <v>1.0364520942325371E-2</v>
      </c>
      <c r="Q14" t="s">
        <v>254</v>
      </c>
      <c r="S14" t="s">
        <v>423</v>
      </c>
      <c r="T14" t="s">
        <v>257</v>
      </c>
      <c r="U14">
        <v>1.1034451381357873E-2</v>
      </c>
      <c r="V14" t="s">
        <v>254</v>
      </c>
      <c r="X14">
        <v>1.0616438356164383E-2</v>
      </c>
      <c r="Y14">
        <v>1.3143060769543132E-2</v>
      </c>
      <c r="Z14" t="s">
        <v>257</v>
      </c>
      <c r="AA14" t="s">
        <v>25</v>
      </c>
      <c r="AC14" t="s">
        <v>22</v>
      </c>
      <c r="AD14" t="s">
        <v>257</v>
      </c>
      <c r="AE14">
        <v>1.3679640726332236E-2</v>
      </c>
      <c r="AG14" t="s">
        <v>97</v>
      </c>
      <c r="AH14" t="s">
        <v>257</v>
      </c>
      <c r="AI14">
        <v>5.6247175012977824E-2</v>
      </c>
    </row>
    <row r="15" spans="1:40" x14ac:dyDescent="0.45">
      <c r="C15" t="s">
        <v>169</v>
      </c>
      <c r="E15" t="s">
        <v>1293</v>
      </c>
      <c r="G15" t="s">
        <v>158</v>
      </c>
      <c r="I15" t="s">
        <v>252</v>
      </c>
      <c r="J15" t="s">
        <v>258</v>
      </c>
      <c r="K15">
        <v>5.454637530262727E-3</v>
      </c>
      <c r="L15" t="s">
        <v>254</v>
      </c>
      <c r="N15" t="s">
        <v>422</v>
      </c>
      <c r="O15" t="s">
        <v>258</v>
      </c>
      <c r="P15">
        <v>3.5073755161339351E-3</v>
      </c>
      <c r="Q15" t="s">
        <v>254</v>
      </c>
      <c r="S15" t="s">
        <v>423</v>
      </c>
      <c r="T15" t="s">
        <v>258</v>
      </c>
      <c r="U15">
        <v>3.7274210855800941E-3</v>
      </c>
      <c r="V15" t="s">
        <v>254</v>
      </c>
      <c r="X15">
        <v>3.5388127853881279E-3</v>
      </c>
      <c r="Y15">
        <v>4.6139439292610376E-3</v>
      </c>
      <c r="Z15" t="s">
        <v>258</v>
      </c>
      <c r="AA15" t="s">
        <v>25</v>
      </c>
      <c r="AC15" t="s">
        <v>22</v>
      </c>
      <c r="AD15" t="s">
        <v>258</v>
      </c>
      <c r="AE15">
        <v>4.5391812930857403E-3</v>
      </c>
      <c r="AG15" t="s">
        <v>97</v>
      </c>
      <c r="AH15" t="s">
        <v>258</v>
      </c>
      <c r="AI15">
        <v>6.0035937988137444E-2</v>
      </c>
    </row>
    <row r="16" spans="1:40" x14ac:dyDescent="0.45">
      <c r="C16" t="s">
        <v>171</v>
      </c>
      <c r="E16" t="s">
        <v>1294</v>
      </c>
      <c r="G16" t="s">
        <v>158</v>
      </c>
      <c r="I16" t="s">
        <v>252</v>
      </c>
      <c r="J16" t="s">
        <v>259</v>
      </c>
      <c r="K16">
        <v>1.1342405156971672E-2</v>
      </c>
      <c r="L16" t="s">
        <v>254</v>
      </c>
      <c r="N16" t="s">
        <v>422</v>
      </c>
      <c r="O16" t="s">
        <v>259</v>
      </c>
      <c r="P16">
        <v>6.9493087513025171E-3</v>
      </c>
      <c r="Q16" t="s">
        <v>254</v>
      </c>
      <c r="S16" t="s">
        <v>423</v>
      </c>
      <c r="T16" t="s">
        <v>259</v>
      </c>
      <c r="U16">
        <v>7.3674033041907852E-3</v>
      </c>
      <c r="V16" t="s">
        <v>254</v>
      </c>
      <c r="X16">
        <v>7.0776255707762558E-3</v>
      </c>
      <c r="Y16">
        <v>1.0008867231849112E-2</v>
      </c>
      <c r="Z16" t="s">
        <v>259</v>
      </c>
      <c r="AA16" t="s">
        <v>25</v>
      </c>
      <c r="AC16" t="s">
        <v>22</v>
      </c>
      <c r="AD16" t="s">
        <v>259</v>
      </c>
      <c r="AE16">
        <v>9.0835944322065452E-3</v>
      </c>
      <c r="AG16" t="s">
        <v>97</v>
      </c>
      <c r="AH16" t="s">
        <v>259</v>
      </c>
      <c r="AI16">
        <v>6.308444745243813E-2</v>
      </c>
    </row>
    <row r="17" spans="3:35" x14ac:dyDescent="0.45">
      <c r="C17" t="s">
        <v>173</v>
      </c>
      <c r="E17" t="s">
        <v>1295</v>
      </c>
      <c r="G17" t="s">
        <v>158</v>
      </c>
      <c r="I17" t="s">
        <v>252</v>
      </c>
      <c r="J17" t="s">
        <v>260</v>
      </c>
      <c r="K17">
        <v>4.5986949584016796E-3</v>
      </c>
      <c r="L17" t="s">
        <v>254</v>
      </c>
      <c r="N17" t="s">
        <v>422</v>
      </c>
      <c r="O17" t="s">
        <v>260</v>
      </c>
      <c r="P17">
        <v>7.0448551307419113E-3</v>
      </c>
      <c r="Q17" t="s">
        <v>254</v>
      </c>
      <c r="S17" t="s">
        <v>423</v>
      </c>
      <c r="T17" t="s">
        <v>260</v>
      </c>
      <c r="U17">
        <v>7.2244896298709121E-3</v>
      </c>
      <c r="V17" t="s">
        <v>254</v>
      </c>
      <c r="X17">
        <v>7.0776255707762558E-3</v>
      </c>
      <c r="Y17">
        <v>1.376989947708193E-2</v>
      </c>
      <c r="Z17" t="s">
        <v>260</v>
      </c>
      <c r="AA17" t="s">
        <v>25</v>
      </c>
      <c r="AC17" t="s">
        <v>22</v>
      </c>
      <c r="AD17" t="s">
        <v>260</v>
      </c>
      <c r="AE17">
        <v>9.1887683459026138E-3</v>
      </c>
      <c r="AG17" t="s">
        <v>97</v>
      </c>
      <c r="AH17" t="s">
        <v>260</v>
      </c>
      <c r="AI17">
        <v>5.3910167132447562E-2</v>
      </c>
    </row>
    <row r="18" spans="3:35" x14ac:dyDescent="0.45">
      <c r="C18" t="s">
        <v>164</v>
      </c>
      <c r="E18" t="s">
        <v>1296</v>
      </c>
      <c r="G18" t="s">
        <v>158</v>
      </c>
      <c r="I18" t="s">
        <v>252</v>
      </c>
      <c r="J18" t="s">
        <v>261</v>
      </c>
      <c r="K18">
        <v>0</v>
      </c>
      <c r="L18" t="s">
        <v>254</v>
      </c>
      <c r="N18" t="s">
        <v>422</v>
      </c>
      <c r="O18" t="s">
        <v>261</v>
      </c>
      <c r="P18">
        <v>2.2397691727014665E-2</v>
      </c>
      <c r="Q18" t="s">
        <v>254</v>
      </c>
      <c r="S18" t="s">
        <v>423</v>
      </c>
      <c r="T18" t="s">
        <v>261</v>
      </c>
      <c r="U18">
        <v>2.2005210993578238E-2</v>
      </c>
      <c r="V18" t="s">
        <v>254</v>
      </c>
      <c r="X18">
        <v>2.1232876712328767E-2</v>
      </c>
      <c r="Y18">
        <v>1.8702400782305319E-2</v>
      </c>
      <c r="Z18" t="s">
        <v>261</v>
      </c>
      <c r="AA18" t="s">
        <v>25</v>
      </c>
      <c r="AC18" t="s">
        <v>22</v>
      </c>
      <c r="AD18" t="s">
        <v>261</v>
      </c>
      <c r="AE18">
        <v>2.342274434856563E-2</v>
      </c>
      <c r="AG18" t="s">
        <v>97</v>
      </c>
      <c r="AH18" t="s">
        <v>261</v>
      </c>
      <c r="AI18">
        <v>0.18937647676882352</v>
      </c>
    </row>
    <row r="19" spans="3:35" x14ac:dyDescent="0.45">
      <c r="C19" t="s">
        <v>168</v>
      </c>
      <c r="E19" t="s">
        <v>1297</v>
      </c>
      <c r="G19" t="s">
        <v>158</v>
      </c>
      <c r="I19" t="s">
        <v>252</v>
      </c>
      <c r="J19" t="s">
        <v>286</v>
      </c>
      <c r="K19">
        <v>0</v>
      </c>
      <c r="L19" t="s">
        <v>254</v>
      </c>
      <c r="N19" t="s">
        <v>422</v>
      </c>
      <c r="O19" t="s">
        <v>286</v>
      </c>
      <c r="P19">
        <v>2.6875347164954114E-2</v>
      </c>
      <c r="Q19" t="s">
        <v>254</v>
      </c>
      <c r="S19" t="s">
        <v>423</v>
      </c>
      <c r="T19" t="s">
        <v>286</v>
      </c>
      <c r="U19">
        <v>2.7252085270587752E-2</v>
      </c>
      <c r="V19" t="s">
        <v>254</v>
      </c>
      <c r="X19">
        <v>2.2374429223744292E-2</v>
      </c>
      <c r="Y19">
        <v>8.8360722306474754E-3</v>
      </c>
      <c r="Z19" t="s">
        <v>286</v>
      </c>
      <c r="AA19" t="s">
        <v>25</v>
      </c>
      <c r="AC19" t="s">
        <v>22</v>
      </c>
      <c r="AD19" t="s">
        <v>286</v>
      </c>
      <c r="AE19">
        <v>2.1109717328878161E-2</v>
      </c>
      <c r="AG19" t="s">
        <v>97</v>
      </c>
      <c r="AH19" t="s">
        <v>286</v>
      </c>
      <c r="AI19">
        <v>0.29113480752506327</v>
      </c>
    </row>
    <row r="20" spans="3:35" x14ac:dyDescent="0.45">
      <c r="C20" t="s">
        <v>177</v>
      </c>
      <c r="E20" t="s">
        <v>1298</v>
      </c>
      <c r="G20" t="s">
        <v>158</v>
      </c>
      <c r="I20" t="s">
        <v>252</v>
      </c>
      <c r="J20" t="s">
        <v>287</v>
      </c>
      <c r="K20">
        <v>8.3849719630973629E-5</v>
      </c>
      <c r="L20" t="s">
        <v>254</v>
      </c>
      <c r="N20" t="s">
        <v>422</v>
      </c>
      <c r="O20" t="s">
        <v>287</v>
      </c>
      <c r="P20">
        <v>3.8881604605765616E-3</v>
      </c>
      <c r="Q20" t="s">
        <v>254</v>
      </c>
      <c r="S20" t="s">
        <v>423</v>
      </c>
      <c r="T20" t="s">
        <v>287</v>
      </c>
      <c r="U20">
        <v>3.9499288171013164E-3</v>
      </c>
      <c r="V20" t="s">
        <v>254</v>
      </c>
      <c r="X20">
        <v>3.1963470319634705E-3</v>
      </c>
      <c r="Y20">
        <v>5.3369133746032542E-3</v>
      </c>
      <c r="Z20" t="s">
        <v>287</v>
      </c>
      <c r="AA20" t="s">
        <v>25</v>
      </c>
      <c r="AC20" t="s">
        <v>22</v>
      </c>
      <c r="AD20" t="s">
        <v>287</v>
      </c>
      <c r="AE20">
        <v>4.0710306204245848E-3</v>
      </c>
      <c r="AG20" t="s">
        <v>97</v>
      </c>
      <c r="AH20" t="s">
        <v>287</v>
      </c>
      <c r="AI20">
        <v>6.8359075254840862E-2</v>
      </c>
    </row>
    <row r="21" spans="3:35" x14ac:dyDescent="0.45">
      <c r="C21" t="s">
        <v>179</v>
      </c>
      <c r="E21" t="s">
        <v>1299</v>
      </c>
      <c r="G21" t="s">
        <v>158</v>
      </c>
      <c r="I21" t="s">
        <v>252</v>
      </c>
      <c r="J21" t="s">
        <v>288</v>
      </c>
      <c r="K21">
        <v>9.6888225697236499E-3</v>
      </c>
      <c r="L21" t="s">
        <v>254</v>
      </c>
      <c r="N21" t="s">
        <v>422</v>
      </c>
      <c r="O21" t="s">
        <v>288</v>
      </c>
      <c r="P21">
        <v>7.7173957406902237E-3</v>
      </c>
      <c r="Q21" t="s">
        <v>254</v>
      </c>
      <c r="S21" t="s">
        <v>423</v>
      </c>
      <c r="T21" t="s">
        <v>288</v>
      </c>
      <c r="U21">
        <v>7.9199453590623053E-3</v>
      </c>
      <c r="V21" t="s">
        <v>254</v>
      </c>
      <c r="X21">
        <v>6.392694063926941E-3</v>
      </c>
      <c r="Y21">
        <v>8.1306715063520895E-3</v>
      </c>
      <c r="Z21" t="s">
        <v>288</v>
      </c>
      <c r="AA21" t="s">
        <v>25</v>
      </c>
      <c r="AC21" t="s">
        <v>22</v>
      </c>
      <c r="AD21" t="s">
        <v>288</v>
      </c>
      <c r="AE21">
        <v>8.316463780013111E-3</v>
      </c>
      <c r="AG21" t="s">
        <v>97</v>
      </c>
      <c r="AH21" t="s">
        <v>288</v>
      </c>
      <c r="AI21">
        <v>6.1073371955473243E-2</v>
      </c>
    </row>
    <row r="22" spans="3:35" x14ac:dyDescent="0.45">
      <c r="C22" t="s">
        <v>181</v>
      </c>
      <c r="E22" t="s">
        <v>1300</v>
      </c>
      <c r="G22" t="s">
        <v>158</v>
      </c>
      <c r="I22" t="s">
        <v>252</v>
      </c>
      <c r="J22" t="s">
        <v>289</v>
      </c>
      <c r="K22">
        <v>2.2304673988702308E-2</v>
      </c>
      <c r="L22" t="s">
        <v>254</v>
      </c>
      <c r="N22" t="s">
        <v>422</v>
      </c>
      <c r="O22" t="s">
        <v>289</v>
      </c>
      <c r="P22">
        <v>1.1265957507804868E-2</v>
      </c>
      <c r="Q22" t="s">
        <v>254</v>
      </c>
      <c r="S22" t="s">
        <v>423</v>
      </c>
      <c r="T22" t="s">
        <v>289</v>
      </c>
      <c r="U22">
        <v>1.1517428166842628E-2</v>
      </c>
      <c r="V22" t="s">
        <v>254</v>
      </c>
      <c r="X22">
        <v>9.5890410958904115E-3</v>
      </c>
      <c r="Y22">
        <v>1.1871151662813155E-2</v>
      </c>
      <c r="Z22" t="s">
        <v>289</v>
      </c>
      <c r="AA22" t="s">
        <v>25</v>
      </c>
      <c r="AC22" t="s">
        <v>22</v>
      </c>
      <c r="AD22" t="s">
        <v>289</v>
      </c>
      <c r="AE22">
        <v>1.242959976544911E-2</v>
      </c>
      <c r="AG22" t="s">
        <v>97</v>
      </c>
      <c r="AH22" t="s">
        <v>289</v>
      </c>
      <c r="AI22">
        <v>6.0211691919535903E-2</v>
      </c>
    </row>
    <row r="23" spans="3:35" x14ac:dyDescent="0.45">
      <c r="E23" t="s">
        <v>1301</v>
      </c>
      <c r="G23" t="s">
        <v>158</v>
      </c>
      <c r="I23" t="s">
        <v>252</v>
      </c>
      <c r="J23" t="s">
        <v>290</v>
      </c>
      <c r="K23">
        <v>6.9887246060699E-3</v>
      </c>
      <c r="L23" t="s">
        <v>254</v>
      </c>
      <c r="N23" t="s">
        <v>422</v>
      </c>
      <c r="O23" t="s">
        <v>290</v>
      </c>
      <c r="P23">
        <v>3.8316104893318524E-3</v>
      </c>
      <c r="Q23" t="s">
        <v>254</v>
      </c>
      <c r="S23" t="s">
        <v>423</v>
      </c>
      <c r="T23" t="s">
        <v>290</v>
      </c>
      <c r="U23">
        <v>3.7783683444571488E-3</v>
      </c>
      <c r="V23" t="s">
        <v>254</v>
      </c>
      <c r="X23">
        <v>3.1963470319634705E-3</v>
      </c>
      <c r="Y23">
        <v>4.167433226429324E-3</v>
      </c>
      <c r="Z23" t="s">
        <v>290</v>
      </c>
      <c r="AA23" t="s">
        <v>25</v>
      </c>
      <c r="AC23" t="s">
        <v>22</v>
      </c>
      <c r="AD23" t="s">
        <v>290</v>
      </c>
      <c r="AE23">
        <v>4.1147137219969144E-3</v>
      </c>
      <c r="AG23" t="s">
        <v>97</v>
      </c>
      <c r="AH23" t="s">
        <v>290</v>
      </c>
      <c r="AI23">
        <v>6.3744162102699953E-2</v>
      </c>
    </row>
    <row r="24" spans="3:35" x14ac:dyDescent="0.45">
      <c r="E24" t="s">
        <v>1302</v>
      </c>
      <c r="G24" t="s">
        <v>158</v>
      </c>
      <c r="I24" t="s">
        <v>252</v>
      </c>
      <c r="J24" t="s">
        <v>291</v>
      </c>
      <c r="K24">
        <v>1.4596565439051225E-2</v>
      </c>
      <c r="L24" t="s">
        <v>254</v>
      </c>
      <c r="N24" t="s">
        <v>422</v>
      </c>
      <c r="O24" t="s">
        <v>291</v>
      </c>
      <c r="P24">
        <v>7.8099855736281556E-3</v>
      </c>
      <c r="Q24" t="s">
        <v>254</v>
      </c>
      <c r="S24" t="s">
        <v>423</v>
      </c>
      <c r="T24" t="s">
        <v>291</v>
      </c>
      <c r="U24">
        <v>7.711700152114997E-3</v>
      </c>
      <c r="V24" t="s">
        <v>254</v>
      </c>
      <c r="X24">
        <v>6.392694063926941E-3</v>
      </c>
      <c r="Y24">
        <v>9.0402671771540339E-3</v>
      </c>
      <c r="Z24" t="s">
        <v>291</v>
      </c>
      <c r="AA24" t="s">
        <v>25</v>
      </c>
      <c r="AC24" t="s">
        <v>22</v>
      </c>
      <c r="AD24" t="s">
        <v>291</v>
      </c>
      <c r="AE24">
        <v>8.2352320825566806E-3</v>
      </c>
      <c r="AG24" t="s">
        <v>97</v>
      </c>
      <c r="AH24" t="s">
        <v>291</v>
      </c>
      <c r="AI24">
        <v>6.7700113318520883E-2</v>
      </c>
    </row>
    <row r="25" spans="3:35" x14ac:dyDescent="0.45">
      <c r="E25" t="s">
        <v>1303</v>
      </c>
      <c r="G25" t="s">
        <v>158</v>
      </c>
      <c r="I25" t="s">
        <v>252</v>
      </c>
      <c r="J25" t="s">
        <v>292</v>
      </c>
      <c r="K25">
        <v>1.0097346272973182E-2</v>
      </c>
      <c r="L25" t="s">
        <v>254</v>
      </c>
      <c r="N25" t="s">
        <v>422</v>
      </c>
      <c r="O25" t="s">
        <v>292</v>
      </c>
      <c r="P25">
        <v>7.7105231593927528E-3</v>
      </c>
      <c r="Q25" t="s">
        <v>254</v>
      </c>
      <c r="S25" t="s">
        <v>423</v>
      </c>
      <c r="T25" t="s">
        <v>292</v>
      </c>
      <c r="U25">
        <v>7.813409287946254E-3</v>
      </c>
      <c r="V25" t="s">
        <v>254</v>
      </c>
      <c r="X25">
        <v>6.392694063926941E-3</v>
      </c>
      <c r="Y25">
        <v>1.2437328559944975E-2</v>
      </c>
      <c r="Z25" t="s">
        <v>292</v>
      </c>
      <c r="AA25" t="s">
        <v>25</v>
      </c>
      <c r="AC25" t="s">
        <v>22</v>
      </c>
      <c r="AD25" t="s">
        <v>292</v>
      </c>
      <c r="AE25">
        <v>8.3551528467337901E-3</v>
      </c>
      <c r="AG25" t="s">
        <v>97</v>
      </c>
      <c r="AH25" t="s">
        <v>292</v>
      </c>
      <c r="AI25">
        <v>5.656928791866056E-2</v>
      </c>
    </row>
    <row r="26" spans="3:35" x14ac:dyDescent="0.45">
      <c r="E26" t="s">
        <v>1304</v>
      </c>
      <c r="G26" t="s">
        <v>158</v>
      </c>
      <c r="I26" t="s">
        <v>252</v>
      </c>
      <c r="J26" t="s">
        <v>293</v>
      </c>
      <c r="K26">
        <v>3.0928607330769746E-4</v>
      </c>
      <c r="L26" t="s">
        <v>254</v>
      </c>
      <c r="N26" t="s">
        <v>422</v>
      </c>
      <c r="O26" t="s">
        <v>293</v>
      </c>
      <c r="P26">
        <v>2.3050564628395966E-2</v>
      </c>
      <c r="Q26" t="s">
        <v>254</v>
      </c>
      <c r="S26" t="s">
        <v>423</v>
      </c>
      <c r="T26" t="s">
        <v>293</v>
      </c>
      <c r="U26">
        <v>2.3574584893300582E-2</v>
      </c>
      <c r="V26" t="s">
        <v>254</v>
      </c>
      <c r="X26">
        <v>1.9178082191780823E-2</v>
      </c>
      <c r="Y26">
        <v>1.6892491029178995E-2</v>
      </c>
      <c r="Z26" t="s">
        <v>293</v>
      </c>
      <c r="AA26" t="s">
        <v>25</v>
      </c>
      <c r="AC26" t="s">
        <v>22</v>
      </c>
      <c r="AD26" t="s">
        <v>293</v>
      </c>
      <c r="AE26">
        <v>2.1361894568342289E-2</v>
      </c>
      <c r="AG26" t="s">
        <v>97</v>
      </c>
      <c r="AH26" t="s">
        <v>293</v>
      </c>
      <c r="AI26">
        <v>0.18996407529817505</v>
      </c>
    </row>
    <row r="27" spans="3:35" x14ac:dyDescent="0.45">
      <c r="E27" t="s">
        <v>1305</v>
      </c>
      <c r="G27" t="s">
        <v>158</v>
      </c>
      <c r="I27" t="s">
        <v>252</v>
      </c>
      <c r="J27" t="s">
        <v>294</v>
      </c>
      <c r="K27">
        <v>1.6104140391799037E-5</v>
      </c>
      <c r="L27" t="s">
        <v>254</v>
      </c>
      <c r="N27" t="s">
        <v>422</v>
      </c>
      <c r="O27" t="s">
        <v>294</v>
      </c>
      <c r="P27">
        <v>2.422069263148147E-2</v>
      </c>
      <c r="Q27" t="s">
        <v>254</v>
      </c>
      <c r="S27" t="s">
        <v>423</v>
      </c>
      <c r="T27" t="s">
        <v>294</v>
      </c>
      <c r="U27">
        <v>2.5901969336789985E-2</v>
      </c>
      <c r="V27" t="s">
        <v>254</v>
      </c>
      <c r="X27">
        <v>2.4771689497716895E-2</v>
      </c>
      <c r="Y27">
        <v>9.7827942553597048E-3</v>
      </c>
      <c r="Z27" t="s">
        <v>294</v>
      </c>
      <c r="AA27" t="s">
        <v>25</v>
      </c>
      <c r="AC27" t="s">
        <v>22</v>
      </c>
      <c r="AD27" t="s">
        <v>294</v>
      </c>
      <c r="AE27">
        <v>2.1673230553283358E-2</v>
      </c>
      <c r="AG27" t="s">
        <v>97</v>
      </c>
      <c r="AH27" t="s">
        <v>294</v>
      </c>
      <c r="AI27">
        <v>0.29189958109755287</v>
      </c>
    </row>
    <row r="28" spans="3:35" x14ac:dyDescent="0.45">
      <c r="E28" t="s">
        <v>1306</v>
      </c>
      <c r="G28" t="s">
        <v>158</v>
      </c>
      <c r="I28" t="s">
        <v>252</v>
      </c>
      <c r="J28" t="s">
        <v>295</v>
      </c>
      <c r="K28">
        <v>2.4930351960390073E-3</v>
      </c>
      <c r="L28" t="s">
        <v>254</v>
      </c>
      <c r="N28" t="s">
        <v>422</v>
      </c>
      <c r="O28" t="s">
        <v>295</v>
      </c>
      <c r="P28">
        <v>3.5730988300244175E-3</v>
      </c>
      <c r="Q28" t="s">
        <v>254</v>
      </c>
      <c r="S28" t="s">
        <v>423</v>
      </c>
      <c r="T28" t="s">
        <v>295</v>
      </c>
      <c r="U28">
        <v>3.8899664386824219E-3</v>
      </c>
      <c r="V28" t="s">
        <v>254</v>
      </c>
      <c r="X28">
        <v>3.5388127853881279E-3</v>
      </c>
      <c r="Y28">
        <v>5.9087255218821738E-3</v>
      </c>
      <c r="Z28" t="s">
        <v>295</v>
      </c>
      <c r="AA28" t="s">
        <v>25</v>
      </c>
      <c r="AC28" t="s">
        <v>22</v>
      </c>
      <c r="AD28" t="s">
        <v>295</v>
      </c>
      <c r="AE28">
        <v>4.1395725431968974E-3</v>
      </c>
      <c r="AG28" t="s">
        <v>97</v>
      </c>
      <c r="AH28" t="s">
        <v>295</v>
      </c>
      <c r="AI28">
        <v>7.1225832716647064E-2</v>
      </c>
    </row>
    <row r="29" spans="3:35" x14ac:dyDescent="0.45">
      <c r="E29" t="s">
        <v>1307</v>
      </c>
      <c r="G29" t="s">
        <v>158</v>
      </c>
      <c r="I29" t="s">
        <v>252</v>
      </c>
      <c r="J29" t="s">
        <v>296</v>
      </c>
      <c r="K29">
        <v>1.2217569584091117E-2</v>
      </c>
      <c r="L29" t="s">
        <v>254</v>
      </c>
      <c r="N29" t="s">
        <v>422</v>
      </c>
      <c r="O29" t="s">
        <v>296</v>
      </c>
      <c r="P29">
        <v>6.9748728034219332E-3</v>
      </c>
      <c r="Q29" t="s">
        <v>254</v>
      </c>
      <c r="S29" t="s">
        <v>423</v>
      </c>
      <c r="T29" t="s">
        <v>296</v>
      </c>
      <c r="U29">
        <v>7.7357545072605522E-3</v>
      </c>
      <c r="V29" t="s">
        <v>254</v>
      </c>
      <c r="X29">
        <v>7.0776255707762558E-3</v>
      </c>
      <c r="Y29">
        <v>9.0018148820326695E-3</v>
      </c>
      <c r="Z29" t="s">
        <v>296</v>
      </c>
      <c r="AA29" t="s">
        <v>25</v>
      </c>
      <c r="AC29" t="s">
        <v>22</v>
      </c>
      <c r="AD29" t="s">
        <v>296</v>
      </c>
      <c r="AE29">
        <v>8.58529246405847E-3</v>
      </c>
      <c r="AG29" t="s">
        <v>97</v>
      </c>
      <c r="AH29" t="s">
        <v>296</v>
      </c>
      <c r="AI29">
        <v>7.2679836004472698E-2</v>
      </c>
    </row>
    <row r="30" spans="3:35" x14ac:dyDescent="0.45">
      <c r="E30" t="s">
        <v>1308</v>
      </c>
      <c r="G30" t="s">
        <v>158</v>
      </c>
      <c r="I30" t="s">
        <v>252</v>
      </c>
      <c r="J30" t="s">
        <v>297</v>
      </c>
      <c r="K30">
        <v>2.6485135909388655E-2</v>
      </c>
      <c r="L30" t="s">
        <v>254</v>
      </c>
      <c r="N30" t="s">
        <v>422</v>
      </c>
      <c r="O30" t="s">
        <v>297</v>
      </c>
      <c r="P30">
        <v>9.9778372938310565E-3</v>
      </c>
      <c r="Q30" t="s">
        <v>254</v>
      </c>
      <c r="S30" t="s">
        <v>423</v>
      </c>
      <c r="T30" t="s">
        <v>297</v>
      </c>
      <c r="U30">
        <v>1.1131790036312329E-2</v>
      </c>
      <c r="V30" t="s">
        <v>254</v>
      </c>
      <c r="X30">
        <v>1.0616438356164383E-2</v>
      </c>
      <c r="Y30">
        <v>1.3143060769543132E-2</v>
      </c>
      <c r="Z30" t="s">
        <v>297</v>
      </c>
      <c r="AA30" t="s">
        <v>25</v>
      </c>
      <c r="AC30" t="s">
        <v>22</v>
      </c>
      <c r="AD30" t="s">
        <v>297</v>
      </c>
      <c r="AE30">
        <v>1.2798481632623615E-2</v>
      </c>
      <c r="AG30" t="s">
        <v>97</v>
      </c>
      <c r="AH30" t="s">
        <v>297</v>
      </c>
      <c r="AI30">
        <v>7.8130437900502558E-2</v>
      </c>
    </row>
    <row r="31" spans="3:35" x14ac:dyDescent="0.45">
      <c r="E31" t="s">
        <v>1309</v>
      </c>
      <c r="G31" t="s">
        <v>158</v>
      </c>
      <c r="I31" t="s">
        <v>252</v>
      </c>
      <c r="J31" t="s">
        <v>298</v>
      </c>
      <c r="K31">
        <v>8.7555444167293581E-3</v>
      </c>
      <c r="L31" t="s">
        <v>254</v>
      </c>
      <c r="N31" t="s">
        <v>422</v>
      </c>
      <c r="O31" t="s">
        <v>298</v>
      </c>
      <c r="P31">
        <v>3.3727831130503645E-3</v>
      </c>
      <c r="Q31" t="s">
        <v>254</v>
      </c>
      <c r="S31" t="s">
        <v>423</v>
      </c>
      <c r="T31" t="s">
        <v>298</v>
      </c>
      <c r="U31">
        <v>3.7073872357237798E-3</v>
      </c>
      <c r="V31" t="s">
        <v>254</v>
      </c>
      <c r="X31">
        <v>3.5388127853881279E-3</v>
      </c>
      <c r="Y31">
        <v>4.6139439292610376E-3</v>
      </c>
      <c r="Z31" t="s">
        <v>298</v>
      </c>
      <c r="AA31" t="s">
        <v>25</v>
      </c>
      <c r="AC31" t="s">
        <v>22</v>
      </c>
      <c r="AD31" t="s">
        <v>298</v>
      </c>
      <c r="AE31">
        <v>4.2169915903902391E-3</v>
      </c>
      <c r="AG31" t="s">
        <v>97</v>
      </c>
      <c r="AH31" t="s">
        <v>298</v>
      </c>
      <c r="AI31">
        <v>8.3300670632449947E-2</v>
      </c>
    </row>
    <row r="32" spans="3:35" x14ac:dyDescent="0.45">
      <c r="E32" t="s">
        <v>1310</v>
      </c>
      <c r="G32" t="s">
        <v>158</v>
      </c>
      <c r="I32" t="s">
        <v>252</v>
      </c>
      <c r="J32" t="s">
        <v>299</v>
      </c>
      <c r="K32">
        <v>1.7586171126462422E-2</v>
      </c>
      <c r="L32" t="s">
        <v>254</v>
      </c>
      <c r="N32" t="s">
        <v>422</v>
      </c>
      <c r="O32" t="s">
        <v>299</v>
      </c>
      <c r="P32">
        <v>6.8659250177975891E-3</v>
      </c>
      <c r="Q32" t="s">
        <v>254</v>
      </c>
      <c r="S32" t="s">
        <v>423</v>
      </c>
      <c r="T32" t="s">
        <v>299</v>
      </c>
      <c r="U32">
        <v>7.5891430150184756E-3</v>
      </c>
      <c r="V32" t="s">
        <v>254</v>
      </c>
      <c r="X32">
        <v>7.0776255707762558E-3</v>
      </c>
      <c r="Y32">
        <v>1.0008867231849112E-2</v>
      </c>
      <c r="Z32" t="s">
        <v>299</v>
      </c>
      <c r="AA32" t="s">
        <v>25</v>
      </c>
      <c r="AC32" t="s">
        <v>22</v>
      </c>
      <c r="AD32" t="s">
        <v>299</v>
      </c>
      <c r="AE32">
        <v>8.4096292699114943E-3</v>
      </c>
      <c r="AG32" t="s">
        <v>97</v>
      </c>
      <c r="AH32" t="s">
        <v>299</v>
      </c>
      <c r="AI32">
        <v>8.7356154406409425E-2</v>
      </c>
    </row>
    <row r="33" spans="5:35" x14ac:dyDescent="0.45">
      <c r="E33" t="s">
        <v>1311</v>
      </c>
      <c r="G33" t="s">
        <v>158</v>
      </c>
      <c r="I33" t="s">
        <v>252</v>
      </c>
      <c r="J33" t="s">
        <v>300</v>
      </c>
      <c r="K33">
        <v>1.277606612294124E-2</v>
      </c>
      <c r="L33" t="s">
        <v>254</v>
      </c>
      <c r="N33" t="s">
        <v>422</v>
      </c>
      <c r="O33" t="s">
        <v>300</v>
      </c>
      <c r="P33">
        <v>7.0954673722035053E-3</v>
      </c>
      <c r="Q33" t="s">
        <v>254</v>
      </c>
      <c r="S33" t="s">
        <v>423</v>
      </c>
      <c r="T33" t="s">
        <v>300</v>
      </c>
      <c r="U33">
        <v>7.9151255246372714E-3</v>
      </c>
      <c r="V33" t="s">
        <v>254</v>
      </c>
      <c r="X33">
        <v>7.0776255707762558E-3</v>
      </c>
      <c r="Y33">
        <v>1.376989947708193E-2</v>
      </c>
      <c r="Z33" t="s">
        <v>300</v>
      </c>
      <c r="AA33" t="s">
        <v>25</v>
      </c>
      <c r="AC33" t="s">
        <v>22</v>
      </c>
      <c r="AD33" t="s">
        <v>300</v>
      </c>
      <c r="AE33">
        <v>8.5437061922753639E-3</v>
      </c>
      <c r="AG33" t="s">
        <v>97</v>
      </c>
      <c r="AH33" t="s">
        <v>300</v>
      </c>
      <c r="AI33">
        <v>7.7419278474670117E-2</v>
      </c>
    </row>
    <row r="34" spans="5:35" x14ac:dyDescent="0.45">
      <c r="E34" t="s">
        <v>1312</v>
      </c>
      <c r="G34" t="s">
        <v>158</v>
      </c>
      <c r="I34" t="s">
        <v>252</v>
      </c>
      <c r="J34" t="s">
        <v>301</v>
      </c>
      <c r="K34">
        <v>3.0355034137326403E-3</v>
      </c>
      <c r="L34" t="s">
        <v>254</v>
      </c>
      <c r="N34" t="s">
        <v>422</v>
      </c>
      <c r="O34" t="s">
        <v>301</v>
      </c>
      <c r="P34">
        <v>2.2133431122873554E-2</v>
      </c>
      <c r="Q34" t="s">
        <v>254</v>
      </c>
      <c r="S34" t="s">
        <v>423</v>
      </c>
      <c r="T34" t="s">
        <v>301</v>
      </c>
      <c r="U34">
        <v>2.3731888608555678E-2</v>
      </c>
      <c r="V34" t="s">
        <v>254</v>
      </c>
      <c r="X34">
        <v>2.1232876712328767E-2</v>
      </c>
      <c r="Y34">
        <v>1.8702400782305319E-2</v>
      </c>
      <c r="Z34" t="s">
        <v>301</v>
      </c>
      <c r="AA34" t="s">
        <v>25</v>
      </c>
      <c r="AC34" t="s">
        <v>22</v>
      </c>
      <c r="AD34" t="s">
        <v>301</v>
      </c>
      <c r="AE34">
        <v>2.220997456358997E-2</v>
      </c>
      <c r="AG34" t="s">
        <v>97</v>
      </c>
      <c r="AH34" t="s">
        <v>301</v>
      </c>
      <c r="AI34">
        <v>0.19728339884766566</v>
      </c>
    </row>
    <row r="35" spans="5:35" x14ac:dyDescent="0.45">
      <c r="E35" t="s">
        <v>1313</v>
      </c>
      <c r="G35" t="s">
        <v>158</v>
      </c>
      <c r="I35" t="s">
        <v>252</v>
      </c>
      <c r="J35" t="s">
        <v>302</v>
      </c>
      <c r="K35">
        <v>2.4944652964232262E-3</v>
      </c>
      <c r="L35" t="s">
        <v>254</v>
      </c>
      <c r="N35" t="s">
        <v>422</v>
      </c>
      <c r="O35" t="s">
        <v>302</v>
      </c>
      <c r="P35">
        <v>2.7681132667217855E-2</v>
      </c>
      <c r="Q35" t="s">
        <v>254</v>
      </c>
      <c r="S35" t="s">
        <v>423</v>
      </c>
      <c r="T35" t="s">
        <v>302</v>
      </c>
      <c r="U35">
        <v>2.7873206943640528E-2</v>
      </c>
      <c r="V35" t="s">
        <v>254</v>
      </c>
      <c r="X35">
        <v>2.3972602739726026E-2</v>
      </c>
      <c r="Y35">
        <v>9.4672202471222967E-3</v>
      </c>
      <c r="Z35" t="s">
        <v>302</v>
      </c>
      <c r="AA35" t="s">
        <v>25</v>
      </c>
      <c r="AC35" t="s">
        <v>22</v>
      </c>
      <c r="AD35" t="s">
        <v>302</v>
      </c>
      <c r="AE35">
        <v>1.9928596464069401E-2</v>
      </c>
      <c r="AG35" t="s">
        <v>97</v>
      </c>
      <c r="AH35" t="s">
        <v>302</v>
      </c>
      <c r="AI35">
        <v>0.27785577591947086</v>
      </c>
    </row>
    <row r="36" spans="5:35" x14ac:dyDescent="0.45">
      <c r="E36" t="s">
        <v>1314</v>
      </c>
      <c r="G36" t="s">
        <v>158</v>
      </c>
      <c r="I36" t="s">
        <v>252</v>
      </c>
      <c r="J36" t="s">
        <v>303</v>
      </c>
      <c r="K36">
        <v>5.1159918965719819E-3</v>
      </c>
      <c r="L36" t="s">
        <v>254</v>
      </c>
      <c r="N36" t="s">
        <v>422</v>
      </c>
      <c r="O36" t="s">
        <v>303</v>
      </c>
      <c r="P36">
        <v>3.71907315514738E-3</v>
      </c>
      <c r="Q36" t="s">
        <v>254</v>
      </c>
      <c r="S36" t="s">
        <v>423</v>
      </c>
      <c r="T36" t="s">
        <v>303</v>
      </c>
      <c r="U36">
        <v>3.7231555410848502E-3</v>
      </c>
      <c r="V36" t="s">
        <v>254</v>
      </c>
      <c r="X36">
        <v>3.4246575342465752E-3</v>
      </c>
      <c r="Y36">
        <v>5.7181214727892006E-3</v>
      </c>
      <c r="Z36" t="s">
        <v>303</v>
      </c>
      <c r="AA36" t="s">
        <v>25</v>
      </c>
      <c r="AC36" t="s">
        <v>22</v>
      </c>
      <c r="AD36" t="s">
        <v>303</v>
      </c>
      <c r="AE36">
        <v>3.7946926128766649E-3</v>
      </c>
      <c r="AG36" t="s">
        <v>97</v>
      </c>
      <c r="AH36" t="s">
        <v>303</v>
      </c>
      <c r="AI36">
        <v>7.4794780557807972E-2</v>
      </c>
    </row>
    <row r="37" spans="5:35" x14ac:dyDescent="0.45">
      <c r="E37" t="s">
        <v>1315</v>
      </c>
      <c r="G37" t="s">
        <v>158</v>
      </c>
      <c r="I37" t="s">
        <v>252</v>
      </c>
      <c r="J37" t="s">
        <v>304</v>
      </c>
      <c r="K37">
        <v>1.5772344864832602E-2</v>
      </c>
      <c r="L37" t="s">
        <v>254</v>
      </c>
      <c r="N37" t="s">
        <v>422</v>
      </c>
      <c r="O37" t="s">
        <v>304</v>
      </c>
      <c r="P37">
        <v>7.3237708627581222E-3</v>
      </c>
      <c r="Q37" t="s">
        <v>254</v>
      </c>
      <c r="S37" t="s">
        <v>423</v>
      </c>
      <c r="T37" t="s">
        <v>304</v>
      </c>
      <c r="U37">
        <v>7.2380689982444726E-3</v>
      </c>
      <c r="V37" t="s">
        <v>254</v>
      </c>
      <c r="X37">
        <v>6.8493150684931503E-3</v>
      </c>
      <c r="Y37">
        <v>8.7114337568058101E-3</v>
      </c>
      <c r="Z37" t="s">
        <v>304</v>
      </c>
      <c r="AA37" t="s">
        <v>25</v>
      </c>
      <c r="AC37" t="s">
        <v>22</v>
      </c>
      <c r="AD37" t="s">
        <v>304</v>
      </c>
      <c r="AE37">
        <v>7.7785013729748257E-3</v>
      </c>
      <c r="AG37" t="s">
        <v>97</v>
      </c>
      <c r="AH37" t="s">
        <v>304</v>
      </c>
      <c r="AI37">
        <v>7.330637502080628E-2</v>
      </c>
    </row>
    <row r="38" spans="5:35" x14ac:dyDescent="0.45">
      <c r="E38" t="s">
        <v>1316</v>
      </c>
      <c r="G38" t="s">
        <v>158</v>
      </c>
      <c r="I38" t="s">
        <v>252</v>
      </c>
      <c r="J38" t="s">
        <v>305</v>
      </c>
      <c r="K38">
        <v>2.82518210893829E-2</v>
      </c>
      <c r="L38" t="s">
        <v>254</v>
      </c>
      <c r="N38" t="s">
        <v>422</v>
      </c>
      <c r="O38" t="s">
        <v>305</v>
      </c>
      <c r="P38">
        <v>1.0732055062834039E-2</v>
      </c>
      <c r="Q38" t="s">
        <v>254</v>
      </c>
      <c r="S38" t="s">
        <v>423</v>
      </c>
      <c r="T38" t="s">
        <v>305</v>
      </c>
      <c r="U38">
        <v>1.0485600995887521E-2</v>
      </c>
      <c r="V38" t="s">
        <v>254</v>
      </c>
      <c r="X38">
        <v>1.0273972602739725E-2</v>
      </c>
      <c r="Y38">
        <v>1.2719091067299805E-2</v>
      </c>
      <c r="Z38" t="s">
        <v>305</v>
      </c>
      <c r="AA38" t="s">
        <v>25</v>
      </c>
      <c r="AC38" t="s">
        <v>22</v>
      </c>
      <c r="AD38" t="s">
        <v>305</v>
      </c>
      <c r="AE38">
        <v>1.1520369217820046E-2</v>
      </c>
      <c r="AG38" t="s">
        <v>97</v>
      </c>
      <c r="AH38" t="s">
        <v>305</v>
      </c>
      <c r="AI38">
        <v>6.9585259375130937E-2</v>
      </c>
    </row>
    <row r="39" spans="5:35" x14ac:dyDescent="0.45">
      <c r="E39" t="s">
        <v>1317</v>
      </c>
      <c r="G39" t="s">
        <v>158</v>
      </c>
      <c r="I39" t="s">
        <v>252</v>
      </c>
      <c r="J39" t="s">
        <v>306</v>
      </c>
      <c r="K39">
        <v>9.1413712135646995E-3</v>
      </c>
      <c r="L39" t="s">
        <v>254</v>
      </c>
      <c r="N39" t="s">
        <v>422</v>
      </c>
      <c r="O39" t="s">
        <v>306</v>
      </c>
      <c r="P39">
        <v>3.7518861291754814E-3</v>
      </c>
      <c r="Q39" t="s">
        <v>254</v>
      </c>
      <c r="S39" t="s">
        <v>423</v>
      </c>
      <c r="T39" t="s">
        <v>306</v>
      </c>
      <c r="U39">
        <v>3.5812458448567083E-3</v>
      </c>
      <c r="V39" t="s">
        <v>254</v>
      </c>
      <c r="X39">
        <v>3.4246575342465752E-3</v>
      </c>
      <c r="Y39">
        <v>4.4651070283171336E-3</v>
      </c>
      <c r="Z39" t="s">
        <v>306</v>
      </c>
      <c r="AA39" t="s">
        <v>25</v>
      </c>
      <c r="AC39" t="s">
        <v>22</v>
      </c>
      <c r="AD39" t="s">
        <v>306</v>
      </c>
      <c r="AE39">
        <v>3.799901444926237E-3</v>
      </c>
      <c r="AG39" t="s">
        <v>97</v>
      </c>
      <c r="AH39" t="s">
        <v>306</v>
      </c>
      <c r="AI39">
        <v>7.5531060198747779E-2</v>
      </c>
    </row>
    <row r="40" spans="5:35" x14ac:dyDescent="0.45">
      <c r="E40" t="s">
        <v>1318</v>
      </c>
      <c r="G40" t="s">
        <v>158</v>
      </c>
      <c r="I40" t="s">
        <v>252</v>
      </c>
      <c r="J40" t="s">
        <v>307</v>
      </c>
      <c r="K40">
        <v>1.7140077917634298E-2</v>
      </c>
      <c r="L40" t="s">
        <v>254</v>
      </c>
      <c r="N40" t="s">
        <v>422</v>
      </c>
      <c r="O40" t="s">
        <v>307</v>
      </c>
      <c r="P40">
        <v>7.8351823959872668E-3</v>
      </c>
      <c r="Q40" t="s">
        <v>254</v>
      </c>
      <c r="S40" t="s">
        <v>423</v>
      </c>
      <c r="T40" t="s">
        <v>307</v>
      </c>
      <c r="U40">
        <v>7.4052957927088084E-3</v>
      </c>
      <c r="V40" t="s">
        <v>254</v>
      </c>
      <c r="X40">
        <v>6.8493150684931503E-3</v>
      </c>
      <c r="Y40">
        <v>9.6860005469507522E-3</v>
      </c>
      <c r="Z40" t="s">
        <v>307</v>
      </c>
      <c r="AA40" t="s">
        <v>25</v>
      </c>
      <c r="AC40" t="s">
        <v>22</v>
      </c>
      <c r="AD40" t="s">
        <v>307</v>
      </c>
      <c r="AE40">
        <v>7.5712502051860425E-3</v>
      </c>
      <c r="AG40" t="s">
        <v>97</v>
      </c>
      <c r="AH40" t="s">
        <v>307</v>
      </c>
      <c r="AI40">
        <v>7.7040330198470786E-2</v>
      </c>
    </row>
    <row r="41" spans="5:35" x14ac:dyDescent="0.45">
      <c r="E41" t="s">
        <v>1319</v>
      </c>
      <c r="G41" t="s">
        <v>158</v>
      </c>
      <c r="I41" t="s">
        <v>252</v>
      </c>
      <c r="J41" t="s">
        <v>308</v>
      </c>
      <c r="K41">
        <v>1.2811795978889037E-2</v>
      </c>
      <c r="L41" t="s">
        <v>254</v>
      </c>
      <c r="N41" t="s">
        <v>422</v>
      </c>
      <c r="O41" t="s">
        <v>308</v>
      </c>
      <c r="P41">
        <v>7.8732075451391336E-3</v>
      </c>
      <c r="Q41" t="s">
        <v>254</v>
      </c>
      <c r="S41" t="s">
        <v>423</v>
      </c>
      <c r="T41" t="s">
        <v>308</v>
      </c>
      <c r="U41">
        <v>7.6548170311039939E-3</v>
      </c>
      <c r="V41" t="s">
        <v>254</v>
      </c>
      <c r="X41">
        <v>6.8493150684931503E-3</v>
      </c>
      <c r="Y41">
        <v>1.3325709171369611E-2</v>
      </c>
      <c r="Z41" t="s">
        <v>308</v>
      </c>
      <c r="AA41" t="s">
        <v>25</v>
      </c>
      <c r="AC41" t="s">
        <v>22</v>
      </c>
      <c r="AD41" t="s">
        <v>308</v>
      </c>
      <c r="AE41">
        <v>7.5876233773084813E-3</v>
      </c>
      <c r="AG41" t="s">
        <v>97</v>
      </c>
      <c r="AH41" t="s">
        <v>308</v>
      </c>
      <c r="AI41">
        <v>7.4017133247418876E-2</v>
      </c>
    </row>
    <row r="42" spans="5:35" x14ac:dyDescent="0.45">
      <c r="E42" t="s">
        <v>1320</v>
      </c>
      <c r="G42" t="s">
        <v>158</v>
      </c>
      <c r="I42" t="s">
        <v>252</v>
      </c>
      <c r="J42" t="s">
        <v>309</v>
      </c>
      <c r="K42">
        <v>4.9040794776632072E-3</v>
      </c>
      <c r="L42" t="s">
        <v>254</v>
      </c>
      <c r="N42" t="s">
        <v>422</v>
      </c>
      <c r="O42" t="s">
        <v>309</v>
      </c>
      <c r="P42">
        <v>2.3314738567736269E-2</v>
      </c>
      <c r="Q42" t="s">
        <v>254</v>
      </c>
      <c r="S42" t="s">
        <v>423</v>
      </c>
      <c r="T42" t="s">
        <v>309</v>
      </c>
      <c r="U42">
        <v>2.3608513409972137E-2</v>
      </c>
      <c r="V42" t="s">
        <v>254</v>
      </c>
      <c r="X42">
        <v>2.0547945205479451E-2</v>
      </c>
      <c r="Y42">
        <v>1.8099097531263209E-2</v>
      </c>
      <c r="Z42" t="s">
        <v>309</v>
      </c>
      <c r="AA42" t="s">
        <v>25</v>
      </c>
      <c r="AC42" t="s">
        <v>22</v>
      </c>
      <c r="AD42" t="s">
        <v>309</v>
      </c>
      <c r="AE42">
        <v>1.9725011261502445E-2</v>
      </c>
      <c r="AG42" t="s">
        <v>97</v>
      </c>
      <c r="AH42" t="s">
        <v>309</v>
      </c>
      <c r="AI42">
        <v>0.17311711242521777</v>
      </c>
    </row>
    <row r="43" spans="5:35" x14ac:dyDescent="0.45">
      <c r="E43" t="s">
        <v>1321</v>
      </c>
      <c r="G43" t="s">
        <v>158</v>
      </c>
      <c r="I43" t="s">
        <v>252</v>
      </c>
      <c r="J43" t="s">
        <v>310</v>
      </c>
      <c r="K43">
        <v>3.9222058631166326E-3</v>
      </c>
      <c r="L43" t="s">
        <v>254</v>
      </c>
      <c r="N43" t="s">
        <v>422</v>
      </c>
      <c r="O43" t="s">
        <v>310</v>
      </c>
      <c r="P43">
        <v>2.3932727955689952E-2</v>
      </c>
      <c r="Q43" t="s">
        <v>254</v>
      </c>
      <c r="S43" t="s">
        <v>423</v>
      </c>
      <c r="T43" t="s">
        <v>310</v>
      </c>
      <c r="U43">
        <v>2.4857613349631484E-2</v>
      </c>
      <c r="V43" t="s">
        <v>254</v>
      </c>
      <c r="X43">
        <v>2.4771689497716895E-2</v>
      </c>
      <c r="Y43">
        <v>9.7827942553597048E-3</v>
      </c>
      <c r="Z43" t="s">
        <v>310</v>
      </c>
      <c r="AA43" t="s">
        <v>25</v>
      </c>
      <c r="AC43" t="s">
        <v>22</v>
      </c>
      <c r="AD43" t="s">
        <v>310</v>
      </c>
      <c r="AE43">
        <v>1.9409024398886501E-2</v>
      </c>
      <c r="AG43" t="s">
        <v>97</v>
      </c>
      <c r="AH43" t="s">
        <v>310</v>
      </c>
      <c r="AI43">
        <v>0.27974912617159808</v>
      </c>
    </row>
    <row r="44" spans="5:35" x14ac:dyDescent="0.45">
      <c r="E44" t="s">
        <v>1322</v>
      </c>
      <c r="G44" t="s">
        <v>158</v>
      </c>
      <c r="I44" t="s">
        <v>252</v>
      </c>
      <c r="J44" t="s">
        <v>311</v>
      </c>
      <c r="K44">
        <v>5.5713094884870364E-3</v>
      </c>
      <c r="L44" t="s">
        <v>254</v>
      </c>
      <c r="N44" t="s">
        <v>422</v>
      </c>
      <c r="O44" t="s">
        <v>311</v>
      </c>
      <c r="P44">
        <v>3.3590701295483209E-3</v>
      </c>
      <c r="Q44" t="s">
        <v>254</v>
      </c>
      <c r="S44" t="s">
        <v>423</v>
      </c>
      <c r="T44" t="s">
        <v>311</v>
      </c>
      <c r="U44">
        <v>3.4001965120895573E-3</v>
      </c>
      <c r="V44" t="s">
        <v>254</v>
      </c>
      <c r="X44">
        <v>3.5388127853881279E-3</v>
      </c>
      <c r="Y44">
        <v>5.9087255218821738E-3</v>
      </c>
      <c r="Z44" t="s">
        <v>311</v>
      </c>
      <c r="AA44" t="s">
        <v>25</v>
      </c>
      <c r="AC44" t="s">
        <v>22</v>
      </c>
      <c r="AD44" t="s">
        <v>311</v>
      </c>
      <c r="AE44">
        <v>3.7242489011812797E-3</v>
      </c>
      <c r="AG44" t="s">
        <v>97</v>
      </c>
      <c r="AH44" t="s">
        <v>311</v>
      </c>
      <c r="AI44">
        <v>7.6316584002711574E-2</v>
      </c>
    </row>
    <row r="45" spans="5:35" x14ac:dyDescent="0.45">
      <c r="E45" t="s">
        <v>1323</v>
      </c>
      <c r="G45" t="s">
        <v>158</v>
      </c>
      <c r="I45" t="s">
        <v>252</v>
      </c>
      <c r="J45" t="s">
        <v>312</v>
      </c>
      <c r="K45">
        <v>1.6295233137300507E-2</v>
      </c>
      <c r="L45" t="s">
        <v>254</v>
      </c>
      <c r="N45" t="s">
        <v>422</v>
      </c>
      <c r="O45" t="s">
        <v>312</v>
      </c>
      <c r="P45">
        <v>6.8263302317683834E-3</v>
      </c>
      <c r="Q45" t="s">
        <v>254</v>
      </c>
      <c r="S45" t="s">
        <v>423</v>
      </c>
      <c r="T45" t="s">
        <v>312</v>
      </c>
      <c r="U45">
        <v>6.6316965944845218E-3</v>
      </c>
      <c r="V45" t="s">
        <v>254</v>
      </c>
      <c r="X45">
        <v>7.0776255707762558E-3</v>
      </c>
      <c r="Y45">
        <v>9.0018148820326695E-3</v>
      </c>
      <c r="Z45" t="s">
        <v>312</v>
      </c>
      <c r="AA45" t="s">
        <v>25</v>
      </c>
      <c r="AC45" t="s">
        <v>22</v>
      </c>
      <c r="AD45" t="s">
        <v>312</v>
      </c>
      <c r="AE45">
        <v>7.6823812655839848E-3</v>
      </c>
      <c r="AG45" t="s">
        <v>97</v>
      </c>
      <c r="AH45" t="s">
        <v>312</v>
      </c>
      <c r="AI45">
        <v>7.0212854701301453E-2</v>
      </c>
    </row>
    <row r="46" spans="5:35" x14ac:dyDescent="0.45">
      <c r="E46" t="s">
        <v>1324</v>
      </c>
      <c r="G46" t="s">
        <v>158</v>
      </c>
      <c r="I46" t="s">
        <v>252</v>
      </c>
      <c r="J46" t="s">
        <v>313</v>
      </c>
      <c r="K46">
        <v>2.9846300782884701E-2</v>
      </c>
      <c r="L46" t="s">
        <v>254</v>
      </c>
      <c r="N46" t="s">
        <v>422</v>
      </c>
      <c r="O46" t="s">
        <v>313</v>
      </c>
      <c r="P46">
        <v>9.9462914751015236E-3</v>
      </c>
      <c r="Q46" t="s">
        <v>254</v>
      </c>
      <c r="S46" t="s">
        <v>423</v>
      </c>
      <c r="T46" t="s">
        <v>313</v>
      </c>
      <c r="U46">
        <v>9.6362021595632567E-3</v>
      </c>
      <c r="V46" t="s">
        <v>254</v>
      </c>
      <c r="X46">
        <v>1.0616438356164383E-2</v>
      </c>
      <c r="Y46">
        <v>1.3143060769543132E-2</v>
      </c>
      <c r="Z46" t="s">
        <v>313</v>
      </c>
      <c r="AA46" t="s">
        <v>25</v>
      </c>
      <c r="AC46" t="s">
        <v>22</v>
      </c>
      <c r="AD46" t="s">
        <v>313</v>
      </c>
      <c r="AE46">
        <v>1.1450052443168693E-2</v>
      </c>
      <c r="AG46" t="s">
        <v>97</v>
      </c>
      <c r="AH46" t="s">
        <v>313</v>
      </c>
      <c r="AI46">
        <v>7.1588137946264396E-2</v>
      </c>
    </row>
    <row r="47" spans="5:35" x14ac:dyDescent="0.45">
      <c r="E47" t="s">
        <v>1325</v>
      </c>
      <c r="G47" t="s">
        <v>158</v>
      </c>
      <c r="I47" t="s">
        <v>252</v>
      </c>
      <c r="J47" t="s">
        <v>314</v>
      </c>
      <c r="K47">
        <v>9.8879453029211001E-3</v>
      </c>
      <c r="L47" t="s">
        <v>254</v>
      </c>
      <c r="N47" t="s">
        <v>422</v>
      </c>
      <c r="O47" t="s">
        <v>314</v>
      </c>
      <c r="P47">
        <v>3.5621078218608434E-3</v>
      </c>
      <c r="Q47" t="s">
        <v>254</v>
      </c>
      <c r="S47" t="s">
        <v>423</v>
      </c>
      <c r="T47" t="s">
        <v>314</v>
      </c>
      <c r="U47">
        <v>3.3560104589874231E-3</v>
      </c>
      <c r="V47" t="s">
        <v>254</v>
      </c>
      <c r="X47">
        <v>3.5388127853881279E-3</v>
      </c>
      <c r="Y47">
        <v>4.6139439292610376E-3</v>
      </c>
      <c r="Z47" t="s">
        <v>314</v>
      </c>
      <c r="AA47" t="s">
        <v>25</v>
      </c>
      <c r="AC47" t="s">
        <v>22</v>
      </c>
      <c r="AD47" t="s">
        <v>314</v>
      </c>
      <c r="AE47">
        <v>3.7770122985847491E-3</v>
      </c>
      <c r="AG47" t="s">
        <v>97</v>
      </c>
      <c r="AH47" t="s">
        <v>314</v>
      </c>
      <c r="AI47">
        <v>7.4180179565778825E-2</v>
      </c>
    </row>
    <row r="48" spans="5:35" x14ac:dyDescent="0.45">
      <c r="E48" t="s">
        <v>1326</v>
      </c>
      <c r="G48" t="s">
        <v>158</v>
      </c>
      <c r="I48" t="s">
        <v>252</v>
      </c>
      <c r="J48" t="s">
        <v>315</v>
      </c>
      <c r="K48">
        <v>1.8256244609755699E-2</v>
      </c>
      <c r="L48" t="s">
        <v>254</v>
      </c>
      <c r="N48" t="s">
        <v>422</v>
      </c>
      <c r="O48" t="s">
        <v>315</v>
      </c>
      <c r="P48">
        <v>7.3835405724859832E-3</v>
      </c>
      <c r="Q48" t="s">
        <v>254</v>
      </c>
      <c r="S48" t="s">
        <v>423</v>
      </c>
      <c r="T48" t="s">
        <v>315</v>
      </c>
      <c r="U48">
        <v>7.0099852833006944E-3</v>
      </c>
      <c r="V48" t="s">
        <v>254</v>
      </c>
      <c r="X48">
        <v>7.0776255707762558E-3</v>
      </c>
      <c r="Y48">
        <v>1.0008867231849112E-2</v>
      </c>
      <c r="Z48" t="s">
        <v>315</v>
      </c>
      <c r="AA48" t="s">
        <v>25</v>
      </c>
      <c r="AC48" t="s">
        <v>22</v>
      </c>
      <c r="AD48" t="s">
        <v>315</v>
      </c>
      <c r="AE48">
        <v>7.5090731692856365E-3</v>
      </c>
      <c r="AG48" t="s">
        <v>97</v>
      </c>
      <c r="AH48" t="s">
        <v>315</v>
      </c>
      <c r="AI48">
        <v>7.7659879303386026E-2</v>
      </c>
    </row>
    <row r="49" spans="5:35" x14ac:dyDescent="0.45">
      <c r="E49" t="s">
        <v>1327</v>
      </c>
      <c r="G49" t="s">
        <v>158</v>
      </c>
      <c r="I49" t="s">
        <v>252</v>
      </c>
      <c r="J49" t="s">
        <v>316</v>
      </c>
      <c r="K49">
        <v>1.3627614256399663E-2</v>
      </c>
      <c r="L49" t="s">
        <v>254</v>
      </c>
      <c r="N49" t="s">
        <v>422</v>
      </c>
      <c r="O49" t="s">
        <v>316</v>
      </c>
      <c r="P49">
        <v>7.313454209609078E-3</v>
      </c>
      <c r="Q49" t="s">
        <v>254</v>
      </c>
      <c r="S49" t="s">
        <v>423</v>
      </c>
      <c r="T49" t="s">
        <v>316</v>
      </c>
      <c r="U49">
        <v>7.2960305846112052E-3</v>
      </c>
      <c r="V49" t="s">
        <v>254</v>
      </c>
      <c r="X49">
        <v>7.0776255707762558E-3</v>
      </c>
      <c r="Y49">
        <v>1.376989947708193E-2</v>
      </c>
      <c r="Z49" t="s">
        <v>316</v>
      </c>
      <c r="AA49" t="s">
        <v>25</v>
      </c>
      <c r="AC49" t="s">
        <v>22</v>
      </c>
      <c r="AD49" t="s">
        <v>316</v>
      </c>
      <c r="AE49">
        <v>7.5188029709295353E-3</v>
      </c>
      <c r="AG49" t="s">
        <v>97</v>
      </c>
      <c r="AH49" t="s">
        <v>316</v>
      </c>
      <c r="AI49">
        <v>7.6470251751308949E-2</v>
      </c>
    </row>
    <row r="50" spans="5:35" x14ac:dyDescent="0.45">
      <c r="E50" t="s">
        <v>1328</v>
      </c>
      <c r="G50" t="s">
        <v>158</v>
      </c>
      <c r="I50" t="s">
        <v>252</v>
      </c>
      <c r="J50" t="s">
        <v>317</v>
      </c>
      <c r="K50">
        <v>6.5986614156880851E-3</v>
      </c>
      <c r="L50" t="s">
        <v>254</v>
      </c>
      <c r="N50" t="s">
        <v>422</v>
      </c>
      <c r="O50" t="s">
        <v>317</v>
      </c>
      <c r="P50">
        <v>2.1244541293275056E-2</v>
      </c>
      <c r="Q50" t="s">
        <v>254</v>
      </c>
      <c r="S50" t="s">
        <v>423</v>
      </c>
      <c r="T50" t="s">
        <v>317</v>
      </c>
      <c r="U50">
        <v>2.2025293669465699E-2</v>
      </c>
      <c r="V50" t="s">
        <v>254</v>
      </c>
      <c r="X50">
        <v>2.1232876712328767E-2</v>
      </c>
      <c r="Y50">
        <v>1.8702400782305319E-2</v>
      </c>
      <c r="Z50" t="s">
        <v>317</v>
      </c>
      <c r="AA50" t="s">
        <v>25</v>
      </c>
      <c r="AC50" t="s">
        <v>22</v>
      </c>
      <c r="AD50" t="s">
        <v>317</v>
      </c>
      <c r="AE50">
        <v>1.981698006356214E-2</v>
      </c>
      <c r="AG50" t="s">
        <v>97</v>
      </c>
      <c r="AH50" t="s">
        <v>317</v>
      </c>
      <c r="AI50">
        <v>0.16938093389350528</v>
      </c>
    </row>
    <row r="51" spans="5:35" x14ac:dyDescent="0.45">
      <c r="E51" t="s">
        <v>1329</v>
      </c>
      <c r="G51" t="s">
        <v>158</v>
      </c>
      <c r="I51" t="s">
        <v>252</v>
      </c>
      <c r="J51" t="s">
        <v>318</v>
      </c>
      <c r="K51">
        <v>5.6150211014440498E-3</v>
      </c>
      <c r="L51" t="s">
        <v>254</v>
      </c>
      <c r="N51" t="s">
        <v>422</v>
      </c>
      <c r="O51" t="s">
        <v>318</v>
      </c>
      <c r="P51">
        <v>2.3758413380580559E-2</v>
      </c>
      <c r="Q51" t="s">
        <v>254</v>
      </c>
      <c r="S51" t="s">
        <v>423</v>
      </c>
      <c r="T51" t="s">
        <v>318</v>
      </c>
      <c r="U51">
        <v>2.5129735917864913E-2</v>
      </c>
      <c r="V51" t="s">
        <v>254</v>
      </c>
      <c r="X51">
        <v>2.3972602739726026E-2</v>
      </c>
      <c r="Y51">
        <v>9.4672202471222967E-3</v>
      </c>
      <c r="Z51" t="s">
        <v>318</v>
      </c>
      <c r="AA51" t="s">
        <v>25</v>
      </c>
      <c r="AC51" t="s">
        <v>22</v>
      </c>
      <c r="AD51" t="s">
        <v>318</v>
      </c>
      <c r="AE51">
        <v>1.7488610268034464E-2</v>
      </c>
      <c r="AG51" t="s">
        <v>97</v>
      </c>
      <c r="AH51" t="s">
        <v>318</v>
      </c>
      <c r="AI51">
        <v>0.24991961882631952</v>
      </c>
    </row>
    <row r="52" spans="5:35" x14ac:dyDescent="0.45">
      <c r="E52" t="s">
        <v>1330</v>
      </c>
      <c r="G52" t="s">
        <v>158</v>
      </c>
      <c r="I52" t="s">
        <v>252</v>
      </c>
      <c r="J52" t="s">
        <v>319</v>
      </c>
      <c r="K52">
        <v>6.1841470682526736E-3</v>
      </c>
      <c r="L52" t="s">
        <v>254</v>
      </c>
      <c r="N52" t="s">
        <v>422</v>
      </c>
      <c r="O52" t="s">
        <v>319</v>
      </c>
      <c r="P52">
        <v>3.1241827884695363E-3</v>
      </c>
      <c r="Q52" t="s">
        <v>254</v>
      </c>
      <c r="S52" t="s">
        <v>423</v>
      </c>
      <c r="T52" t="s">
        <v>319</v>
      </c>
      <c r="U52">
        <v>3.3597758328187555E-3</v>
      </c>
      <c r="V52" t="s">
        <v>254</v>
      </c>
      <c r="X52">
        <v>3.4246575342465752E-3</v>
      </c>
      <c r="Y52">
        <v>5.7181214727892006E-3</v>
      </c>
      <c r="Z52" t="s">
        <v>319</v>
      </c>
      <c r="AA52" t="s">
        <v>25</v>
      </c>
      <c r="AC52" t="s">
        <v>22</v>
      </c>
      <c r="AD52" t="s">
        <v>319</v>
      </c>
      <c r="AE52">
        <v>3.3156576031517526E-3</v>
      </c>
      <c r="AG52" t="s">
        <v>97</v>
      </c>
      <c r="AH52" t="s">
        <v>319</v>
      </c>
      <c r="AI52">
        <v>8.5906828824655834E-2</v>
      </c>
    </row>
    <row r="53" spans="5:35" x14ac:dyDescent="0.45">
      <c r="E53" t="s">
        <v>1331</v>
      </c>
      <c r="G53" t="s">
        <v>158</v>
      </c>
      <c r="I53" t="s">
        <v>252</v>
      </c>
      <c r="J53" t="s">
        <v>320</v>
      </c>
      <c r="K53">
        <v>1.7257027347523102E-2</v>
      </c>
      <c r="L53" t="s">
        <v>254</v>
      </c>
      <c r="N53" t="s">
        <v>422</v>
      </c>
      <c r="O53" t="s">
        <v>320</v>
      </c>
      <c r="P53">
        <v>6.1932716537798594E-3</v>
      </c>
      <c r="Q53" t="s">
        <v>254</v>
      </c>
      <c r="S53" t="s">
        <v>423</v>
      </c>
      <c r="T53" t="s">
        <v>320</v>
      </c>
      <c r="U53">
        <v>6.4362456864020257E-3</v>
      </c>
      <c r="V53" t="s">
        <v>254</v>
      </c>
      <c r="X53">
        <v>6.8493150684931503E-3</v>
      </c>
      <c r="Y53">
        <v>8.7114337568058101E-3</v>
      </c>
      <c r="Z53" t="s">
        <v>320</v>
      </c>
      <c r="AA53" t="s">
        <v>25</v>
      </c>
      <c r="AC53" t="s">
        <v>22</v>
      </c>
      <c r="AD53" t="s">
        <v>320</v>
      </c>
      <c r="AE53">
        <v>7.054458014878375E-3</v>
      </c>
      <c r="AG53" t="s">
        <v>97</v>
      </c>
      <c r="AH53" t="s">
        <v>320</v>
      </c>
      <c r="AI53">
        <v>7.949769795769468E-2</v>
      </c>
    </row>
    <row r="54" spans="5:35" x14ac:dyDescent="0.45">
      <c r="E54" t="s">
        <v>1332</v>
      </c>
      <c r="G54" t="s">
        <v>158</v>
      </c>
      <c r="I54" t="s">
        <v>252</v>
      </c>
      <c r="J54" t="s">
        <v>321</v>
      </c>
      <c r="K54">
        <v>3.1032577269899102E-2</v>
      </c>
      <c r="L54" t="s">
        <v>254</v>
      </c>
      <c r="N54" t="s">
        <v>422</v>
      </c>
      <c r="O54" t="s">
        <v>321</v>
      </c>
      <c r="P54">
        <v>9.1473478212649451E-3</v>
      </c>
      <c r="Q54" t="s">
        <v>254</v>
      </c>
      <c r="S54" t="s">
        <v>423</v>
      </c>
      <c r="T54" t="s">
        <v>321</v>
      </c>
      <c r="U54">
        <v>9.2189883341408773E-3</v>
      </c>
      <c r="V54" t="s">
        <v>254</v>
      </c>
      <c r="X54">
        <v>1.0273972602739725E-2</v>
      </c>
      <c r="Y54">
        <v>1.2719091067299805E-2</v>
      </c>
      <c r="Z54" t="s">
        <v>321</v>
      </c>
      <c r="AA54" t="s">
        <v>25</v>
      </c>
      <c r="AC54" t="s">
        <v>22</v>
      </c>
      <c r="AD54" t="s">
        <v>321</v>
      </c>
      <c r="AE54">
        <v>1.061967671959025E-2</v>
      </c>
      <c r="AG54" t="s">
        <v>97</v>
      </c>
      <c r="AH54" t="s">
        <v>321</v>
      </c>
      <c r="AI54">
        <v>9.0232011743215157E-2</v>
      </c>
    </row>
    <row r="55" spans="5:35" x14ac:dyDescent="0.45">
      <c r="E55" t="s">
        <v>1333</v>
      </c>
      <c r="G55" t="s">
        <v>158</v>
      </c>
      <c r="I55" t="s">
        <v>252</v>
      </c>
      <c r="J55" t="s">
        <v>322</v>
      </c>
      <c r="K55">
        <v>1.0379484394511199E-2</v>
      </c>
      <c r="L55" t="s">
        <v>254</v>
      </c>
      <c r="N55" t="s">
        <v>422</v>
      </c>
      <c r="O55" t="s">
        <v>322</v>
      </c>
      <c r="P55">
        <v>3.3384784267306532E-3</v>
      </c>
      <c r="Q55" t="s">
        <v>254</v>
      </c>
      <c r="S55" t="s">
        <v>423</v>
      </c>
      <c r="T55" t="s">
        <v>322</v>
      </c>
      <c r="U55">
        <v>3.3337340186684571E-3</v>
      </c>
      <c r="V55" t="s">
        <v>254</v>
      </c>
      <c r="X55">
        <v>3.4246575342465752E-3</v>
      </c>
      <c r="Y55">
        <v>4.4651070283171336E-3</v>
      </c>
      <c r="Z55" t="s">
        <v>322</v>
      </c>
      <c r="AA55" t="s">
        <v>25</v>
      </c>
      <c r="AC55" t="s">
        <v>22</v>
      </c>
      <c r="AD55" t="s">
        <v>322</v>
      </c>
      <c r="AE55">
        <v>3.5121893679205046E-3</v>
      </c>
      <c r="AG55" t="s">
        <v>97</v>
      </c>
      <c r="AH55" t="s">
        <v>322</v>
      </c>
      <c r="AI55">
        <v>9.4368775197642751E-2</v>
      </c>
    </row>
    <row r="56" spans="5:35" x14ac:dyDescent="0.45">
      <c r="E56" t="s">
        <v>1334</v>
      </c>
      <c r="G56" t="s">
        <v>158</v>
      </c>
      <c r="I56" t="s">
        <v>252</v>
      </c>
      <c r="J56" t="s">
        <v>323</v>
      </c>
      <c r="K56">
        <v>1.93108739122206E-2</v>
      </c>
      <c r="L56" t="s">
        <v>254</v>
      </c>
      <c r="N56" t="s">
        <v>422</v>
      </c>
      <c r="O56" t="s">
        <v>323</v>
      </c>
      <c r="P56">
        <v>7.031500255929561E-3</v>
      </c>
      <c r="Q56" t="s">
        <v>254</v>
      </c>
      <c r="S56" t="s">
        <v>423</v>
      </c>
      <c r="T56" t="s">
        <v>323</v>
      </c>
      <c r="U56">
        <v>7.0747397713290926E-3</v>
      </c>
      <c r="V56" t="s">
        <v>254</v>
      </c>
      <c r="X56">
        <v>6.8493150684931503E-3</v>
      </c>
      <c r="Y56">
        <v>9.6860005469507522E-3</v>
      </c>
      <c r="Z56" t="s">
        <v>323</v>
      </c>
      <c r="AA56" t="s">
        <v>25</v>
      </c>
      <c r="AC56" t="s">
        <v>22</v>
      </c>
      <c r="AD56" t="s">
        <v>323</v>
      </c>
      <c r="AE56">
        <v>6.960911278074502E-3</v>
      </c>
      <c r="AG56" t="s">
        <v>97</v>
      </c>
      <c r="AH56" t="s">
        <v>323</v>
      </c>
      <c r="AI56">
        <v>9.1878563521638146E-2</v>
      </c>
    </row>
    <row r="57" spans="5:35" x14ac:dyDescent="0.45">
      <c r="E57" t="s">
        <v>1335</v>
      </c>
      <c r="G57" t="s">
        <v>158</v>
      </c>
      <c r="I57" t="s">
        <v>252</v>
      </c>
      <c r="J57" t="s">
        <v>324</v>
      </c>
      <c r="K57">
        <v>1.5121568962202086E-2</v>
      </c>
      <c r="L57" t="s">
        <v>254</v>
      </c>
      <c r="N57" t="s">
        <v>422</v>
      </c>
      <c r="O57" t="s">
        <v>324</v>
      </c>
      <c r="P57">
        <v>7.1879336505591826E-3</v>
      </c>
      <c r="Q57" t="s">
        <v>254</v>
      </c>
      <c r="S57" t="s">
        <v>423</v>
      </c>
      <c r="T57" t="s">
        <v>324</v>
      </c>
      <c r="U57">
        <v>7.2392246503869464E-3</v>
      </c>
      <c r="V57" t="s">
        <v>254</v>
      </c>
      <c r="X57">
        <v>6.8493150684931503E-3</v>
      </c>
      <c r="Y57">
        <v>1.3325709171369611E-2</v>
      </c>
      <c r="Z57" t="s">
        <v>324</v>
      </c>
      <c r="AA57" t="s">
        <v>25</v>
      </c>
      <c r="AC57" t="s">
        <v>22</v>
      </c>
      <c r="AD57" t="s">
        <v>324</v>
      </c>
      <c r="AE57">
        <v>6.9293565468561812E-3</v>
      </c>
      <c r="AG57" t="s">
        <v>97</v>
      </c>
      <c r="AH57" t="s">
        <v>324</v>
      </c>
      <c r="AI57">
        <v>9.0870610702260324E-2</v>
      </c>
    </row>
    <row r="58" spans="5:35" x14ac:dyDescent="0.45">
      <c r="E58" t="s">
        <v>1336</v>
      </c>
      <c r="G58" t="s">
        <v>158</v>
      </c>
      <c r="I58" t="s">
        <v>252</v>
      </c>
      <c r="J58" t="s">
        <v>325</v>
      </c>
      <c r="K58">
        <v>8.5278993784270677E-3</v>
      </c>
      <c r="L58" t="s">
        <v>254</v>
      </c>
      <c r="N58" t="s">
        <v>422</v>
      </c>
      <c r="O58" t="s">
        <v>325</v>
      </c>
      <c r="P58">
        <v>2.1214173006225495E-2</v>
      </c>
      <c r="Q58" t="s">
        <v>254</v>
      </c>
      <c r="S58" t="s">
        <v>423</v>
      </c>
      <c r="T58" t="s">
        <v>325</v>
      </c>
      <c r="U58">
        <v>2.2072502763051959E-2</v>
      </c>
      <c r="V58" t="s">
        <v>254</v>
      </c>
      <c r="X58">
        <v>2.0547945205479451E-2</v>
      </c>
      <c r="Y58">
        <v>1.8099097531263209E-2</v>
      </c>
      <c r="Z58" t="s">
        <v>325</v>
      </c>
      <c r="AA58" t="s">
        <v>25</v>
      </c>
      <c r="AC58" t="s">
        <v>22</v>
      </c>
      <c r="AD58" t="s">
        <v>325</v>
      </c>
      <c r="AE58">
        <v>1.853526384323095E-2</v>
      </c>
      <c r="AG58" t="s">
        <v>97</v>
      </c>
      <c r="AH58" t="s">
        <v>325</v>
      </c>
      <c r="AI58">
        <v>0.17560791662970909</v>
      </c>
    </row>
    <row r="59" spans="5:35" x14ac:dyDescent="0.45">
      <c r="E59" t="s">
        <v>1337</v>
      </c>
      <c r="G59" t="s">
        <v>158</v>
      </c>
      <c r="I59" t="s">
        <v>252</v>
      </c>
      <c r="J59" t="s">
        <v>326</v>
      </c>
      <c r="K59">
        <v>5.6907262752047107E-3</v>
      </c>
      <c r="L59" t="s">
        <v>254</v>
      </c>
      <c r="N59" t="s">
        <v>422</v>
      </c>
      <c r="O59" t="s">
        <v>326</v>
      </c>
      <c r="P59">
        <v>1.8201165978808966E-2</v>
      </c>
      <c r="Q59" t="s">
        <v>254</v>
      </c>
      <c r="S59" t="s">
        <v>423</v>
      </c>
      <c r="T59" t="s">
        <v>326</v>
      </c>
      <c r="U59">
        <v>1.887990473979247E-2</v>
      </c>
      <c r="V59" t="s">
        <v>254</v>
      </c>
      <c r="X59">
        <v>2.4771689497716895E-2</v>
      </c>
      <c r="Y59">
        <v>9.7827942553597048E-3</v>
      </c>
      <c r="Z59" t="s">
        <v>326</v>
      </c>
      <c r="AA59" t="s">
        <v>25</v>
      </c>
      <c r="AC59" t="s">
        <v>22</v>
      </c>
      <c r="AD59" t="s">
        <v>326</v>
      </c>
      <c r="AE59">
        <v>1.8858161963641967E-2</v>
      </c>
      <c r="AG59" t="s">
        <v>97</v>
      </c>
      <c r="AH59" t="s">
        <v>326</v>
      </c>
      <c r="AI59">
        <v>0.24207174233774098</v>
      </c>
    </row>
    <row r="60" spans="5:35" x14ac:dyDescent="0.45">
      <c r="E60" t="s">
        <v>1338</v>
      </c>
      <c r="G60" t="s">
        <v>158</v>
      </c>
      <c r="I60" t="s">
        <v>252</v>
      </c>
      <c r="J60" t="s">
        <v>327</v>
      </c>
      <c r="K60">
        <v>7.55060257483479E-3</v>
      </c>
      <c r="L60" t="s">
        <v>254</v>
      </c>
      <c r="N60" t="s">
        <v>422</v>
      </c>
      <c r="O60" t="s">
        <v>327</v>
      </c>
      <c r="P60">
        <v>2.1271741024613093E-3</v>
      </c>
      <c r="Q60" t="s">
        <v>254</v>
      </c>
      <c r="S60" t="s">
        <v>423</v>
      </c>
      <c r="T60" t="s">
        <v>327</v>
      </c>
      <c r="U60">
        <v>2.7065679260956034E-3</v>
      </c>
      <c r="V60" t="s">
        <v>254</v>
      </c>
      <c r="X60">
        <v>3.5388127853881279E-3</v>
      </c>
      <c r="Y60">
        <v>5.9087255218821738E-3</v>
      </c>
      <c r="Z60" t="s">
        <v>327</v>
      </c>
      <c r="AA60" t="s">
        <v>25</v>
      </c>
      <c r="AC60" t="s">
        <v>22</v>
      </c>
      <c r="AD60" t="s">
        <v>327</v>
      </c>
      <c r="AE60">
        <v>3.5128636638608918E-3</v>
      </c>
      <c r="AG60" t="s">
        <v>97</v>
      </c>
      <c r="AH60" t="s">
        <v>327</v>
      </c>
      <c r="AI60">
        <v>8.4097695100208369E-2</v>
      </c>
    </row>
    <row r="61" spans="5:35" x14ac:dyDescent="0.45">
      <c r="E61" t="s">
        <v>1339</v>
      </c>
      <c r="G61" t="s">
        <v>158</v>
      </c>
      <c r="I61" t="s">
        <v>252</v>
      </c>
      <c r="J61" t="s">
        <v>328</v>
      </c>
      <c r="K61">
        <v>2.0721789575153613E-2</v>
      </c>
      <c r="L61" t="s">
        <v>254</v>
      </c>
      <c r="N61" t="s">
        <v>422</v>
      </c>
      <c r="O61" t="s">
        <v>328</v>
      </c>
      <c r="P61">
        <v>4.1715642512792578E-3</v>
      </c>
      <c r="Q61" t="s">
        <v>254</v>
      </c>
      <c r="S61" t="s">
        <v>423</v>
      </c>
      <c r="T61" t="s">
        <v>328</v>
      </c>
      <c r="U61">
        <v>5.4643547861619023E-3</v>
      </c>
      <c r="V61" t="s">
        <v>254</v>
      </c>
      <c r="X61">
        <v>7.0776255707762558E-3</v>
      </c>
      <c r="Y61">
        <v>9.0018148820326695E-3</v>
      </c>
      <c r="Z61" t="s">
        <v>328</v>
      </c>
      <c r="AA61" t="s">
        <v>25</v>
      </c>
      <c r="AC61" t="s">
        <v>22</v>
      </c>
      <c r="AD61" t="s">
        <v>328</v>
      </c>
      <c r="AE61">
        <v>7.4054069461412407E-3</v>
      </c>
      <c r="AG61" t="s">
        <v>97</v>
      </c>
      <c r="AH61" t="s">
        <v>328</v>
      </c>
      <c r="AI61">
        <v>8.0283624945774568E-2</v>
      </c>
    </row>
    <row r="62" spans="5:35" x14ac:dyDescent="0.45">
      <c r="E62" t="s">
        <v>1340</v>
      </c>
      <c r="G62" t="s">
        <v>158</v>
      </c>
      <c r="I62" t="s">
        <v>252</v>
      </c>
      <c r="J62" t="s">
        <v>329</v>
      </c>
      <c r="K62">
        <v>3.6099682601023697E-2</v>
      </c>
      <c r="L62" t="s">
        <v>254</v>
      </c>
      <c r="N62" t="s">
        <v>422</v>
      </c>
      <c r="O62" t="s">
        <v>329</v>
      </c>
      <c r="P62">
        <v>6.5230661504722112E-3</v>
      </c>
      <c r="Q62" t="s">
        <v>254</v>
      </c>
      <c r="S62" t="s">
        <v>423</v>
      </c>
      <c r="T62" t="s">
        <v>329</v>
      </c>
      <c r="U62">
        <v>7.8405552467663148E-3</v>
      </c>
      <c r="V62" t="s">
        <v>254</v>
      </c>
      <c r="X62">
        <v>1.0616438356164383E-2</v>
      </c>
      <c r="Y62">
        <v>1.3143060769543132E-2</v>
      </c>
      <c r="Z62" t="s">
        <v>329</v>
      </c>
      <c r="AA62" t="s">
        <v>25</v>
      </c>
      <c r="AC62" t="s">
        <v>22</v>
      </c>
      <c r="AD62" t="s">
        <v>329</v>
      </c>
      <c r="AE62">
        <v>1.1291179002468097E-2</v>
      </c>
      <c r="AG62" t="s">
        <v>97</v>
      </c>
      <c r="AH62" t="s">
        <v>329</v>
      </c>
      <c r="AI62">
        <v>7.6367802863346324E-2</v>
      </c>
    </row>
    <row r="63" spans="5:35" x14ac:dyDescent="0.45">
      <c r="E63" t="s">
        <v>1341</v>
      </c>
      <c r="G63" t="s">
        <v>158</v>
      </c>
      <c r="I63" t="s">
        <v>252</v>
      </c>
      <c r="J63" t="s">
        <v>330</v>
      </c>
      <c r="K63">
        <v>1.1819498630638E-2</v>
      </c>
      <c r="L63" t="s">
        <v>254</v>
      </c>
      <c r="N63" t="s">
        <v>422</v>
      </c>
      <c r="O63" t="s">
        <v>330</v>
      </c>
      <c r="P63">
        <v>2.4607224403917377E-3</v>
      </c>
      <c r="Q63" t="s">
        <v>254</v>
      </c>
      <c r="S63" t="s">
        <v>423</v>
      </c>
      <c r="T63" t="s">
        <v>330</v>
      </c>
      <c r="U63">
        <v>2.6489329002128701E-3</v>
      </c>
      <c r="V63" t="s">
        <v>254</v>
      </c>
      <c r="X63">
        <v>3.5388127853881279E-3</v>
      </c>
      <c r="Y63">
        <v>4.6139439292610376E-3</v>
      </c>
      <c r="Z63" t="s">
        <v>330</v>
      </c>
      <c r="AA63" t="s">
        <v>25</v>
      </c>
      <c r="AC63" t="s">
        <v>22</v>
      </c>
      <c r="AD63" t="s">
        <v>330</v>
      </c>
      <c r="AE63">
        <v>3.7514087376990914E-3</v>
      </c>
      <c r="AG63" t="s">
        <v>97</v>
      </c>
      <c r="AH63" t="s">
        <v>330</v>
      </c>
      <c r="AI63">
        <v>6.6606082518882115E-2</v>
      </c>
    </row>
    <row r="64" spans="5:35" x14ac:dyDescent="0.45">
      <c r="E64" t="s">
        <v>1342</v>
      </c>
      <c r="G64" t="s">
        <v>158</v>
      </c>
      <c r="I64" t="s">
        <v>252</v>
      </c>
      <c r="J64" t="s">
        <v>331</v>
      </c>
      <c r="K64">
        <v>2.2654420268322401E-2</v>
      </c>
      <c r="L64" t="s">
        <v>254</v>
      </c>
      <c r="N64" t="s">
        <v>422</v>
      </c>
      <c r="O64" t="s">
        <v>331</v>
      </c>
      <c r="P64">
        <v>5.2701698669585344E-3</v>
      </c>
      <c r="Q64" t="s">
        <v>254</v>
      </c>
      <c r="S64" t="s">
        <v>423</v>
      </c>
      <c r="T64" t="s">
        <v>331</v>
      </c>
      <c r="U64">
        <v>5.4321792671511064E-3</v>
      </c>
      <c r="V64" t="s">
        <v>254</v>
      </c>
      <c r="X64">
        <v>7.0776255707762558E-3</v>
      </c>
      <c r="Y64">
        <v>1.0008867231849112E-2</v>
      </c>
      <c r="Z64" t="s">
        <v>331</v>
      </c>
      <c r="AA64" t="s">
        <v>25</v>
      </c>
      <c r="AC64" t="s">
        <v>22</v>
      </c>
      <c r="AD64" t="s">
        <v>331</v>
      </c>
      <c r="AE64">
        <v>7.4168321113830121E-3</v>
      </c>
      <c r="AG64" t="s">
        <v>97</v>
      </c>
      <c r="AH64" t="s">
        <v>331</v>
      </c>
      <c r="AI64">
        <v>6.1976360186815738E-2</v>
      </c>
    </row>
    <row r="65" spans="5:35" x14ac:dyDescent="0.45">
      <c r="E65" t="s">
        <v>1343</v>
      </c>
      <c r="G65" t="s">
        <v>158</v>
      </c>
      <c r="I65" t="s">
        <v>252</v>
      </c>
      <c r="J65" t="s">
        <v>332</v>
      </c>
      <c r="K65">
        <v>1.7943417315136038E-2</v>
      </c>
      <c r="L65" t="s">
        <v>254</v>
      </c>
      <c r="N65" t="s">
        <v>422</v>
      </c>
      <c r="O65" t="s">
        <v>332</v>
      </c>
      <c r="P65">
        <v>5.7330128839986833E-3</v>
      </c>
      <c r="Q65" t="s">
        <v>254</v>
      </c>
      <c r="S65" t="s">
        <v>423</v>
      </c>
      <c r="T65" t="s">
        <v>332</v>
      </c>
      <c r="U65">
        <v>5.604131701026362E-3</v>
      </c>
      <c r="V65" t="s">
        <v>254</v>
      </c>
      <c r="X65">
        <v>7.0776255707762558E-3</v>
      </c>
      <c r="Y65">
        <v>1.376989947708193E-2</v>
      </c>
      <c r="Z65" t="s">
        <v>332</v>
      </c>
      <c r="AA65" t="s">
        <v>25</v>
      </c>
      <c r="AC65" t="s">
        <v>22</v>
      </c>
      <c r="AD65" t="s">
        <v>332</v>
      </c>
      <c r="AE65">
        <v>7.3722437930480167E-3</v>
      </c>
      <c r="AG65" t="s">
        <v>97</v>
      </c>
      <c r="AH65" t="s">
        <v>332</v>
      </c>
      <c r="AI65">
        <v>6.0412964463251617E-2</v>
      </c>
    </row>
    <row r="66" spans="5:35" x14ac:dyDescent="0.45">
      <c r="E66" t="s">
        <v>1344</v>
      </c>
      <c r="G66" t="s">
        <v>158</v>
      </c>
      <c r="I66" t="s">
        <v>252</v>
      </c>
      <c r="J66" t="s">
        <v>333</v>
      </c>
      <c r="K66">
        <v>1.0110616542517919E-2</v>
      </c>
      <c r="L66" t="s">
        <v>254</v>
      </c>
      <c r="N66" t="s">
        <v>422</v>
      </c>
      <c r="O66" t="s">
        <v>333</v>
      </c>
      <c r="P66">
        <v>1.7772919654848611E-2</v>
      </c>
      <c r="Q66" t="s">
        <v>254</v>
      </c>
      <c r="S66" t="s">
        <v>423</v>
      </c>
      <c r="T66" t="s">
        <v>333</v>
      </c>
      <c r="U66">
        <v>1.6571575300024611E-2</v>
      </c>
      <c r="V66" t="s">
        <v>254</v>
      </c>
      <c r="X66">
        <v>2.1232876712328767E-2</v>
      </c>
      <c r="Y66">
        <v>1.8702400782305319E-2</v>
      </c>
      <c r="Z66" t="s">
        <v>333</v>
      </c>
      <c r="AA66" t="s">
        <v>25</v>
      </c>
      <c r="AC66" t="s">
        <v>22</v>
      </c>
      <c r="AD66" t="s">
        <v>333</v>
      </c>
      <c r="AE66">
        <v>1.9901975371152368E-2</v>
      </c>
      <c r="AG66" t="s">
        <v>97</v>
      </c>
      <c r="AH66" t="s">
        <v>333</v>
      </c>
      <c r="AI66">
        <v>0.13890349193737483</v>
      </c>
    </row>
    <row r="67" spans="5:35" x14ac:dyDescent="0.45">
      <c r="E67" t="s">
        <v>1345</v>
      </c>
      <c r="G67" t="s">
        <v>158</v>
      </c>
      <c r="I67" t="s">
        <v>252</v>
      </c>
      <c r="J67" t="s">
        <v>334</v>
      </c>
      <c r="K67">
        <v>3.1485666584710821E-3</v>
      </c>
      <c r="L67" t="s">
        <v>254</v>
      </c>
      <c r="N67" t="s">
        <v>422</v>
      </c>
      <c r="O67" t="s">
        <v>334</v>
      </c>
      <c r="P67">
        <v>1.0978024326515687E-2</v>
      </c>
      <c r="Q67" t="s">
        <v>254</v>
      </c>
      <c r="S67" t="s">
        <v>423</v>
      </c>
      <c r="T67" t="s">
        <v>334</v>
      </c>
      <c r="U67">
        <v>1.1583468125495296E-2</v>
      </c>
      <c r="V67" t="s">
        <v>254</v>
      </c>
      <c r="X67">
        <v>1.9178082191780823E-2</v>
      </c>
      <c r="Y67">
        <v>7.5737761976978363E-3</v>
      </c>
      <c r="Z67" t="s">
        <v>334</v>
      </c>
      <c r="AA67" t="s">
        <v>25</v>
      </c>
      <c r="AC67" t="s">
        <v>22</v>
      </c>
      <c r="AD67" t="s">
        <v>334</v>
      </c>
      <c r="AE67">
        <v>1.4296668091983874E-2</v>
      </c>
      <c r="AG67" t="s">
        <v>97</v>
      </c>
      <c r="AH67" t="s">
        <v>334</v>
      </c>
      <c r="AI67">
        <v>0.25505274676492284</v>
      </c>
    </row>
    <row r="68" spans="5:35" x14ac:dyDescent="0.45">
      <c r="E68" t="s">
        <v>1346</v>
      </c>
      <c r="G68" t="s">
        <v>158</v>
      </c>
      <c r="I68" t="s">
        <v>252</v>
      </c>
      <c r="J68" t="s">
        <v>335</v>
      </c>
      <c r="K68">
        <v>5.5515428738416002E-3</v>
      </c>
      <c r="L68" t="s">
        <v>254</v>
      </c>
      <c r="N68" t="s">
        <v>422</v>
      </c>
      <c r="O68" t="s">
        <v>335</v>
      </c>
      <c r="P68">
        <v>1.3796285173653233E-3</v>
      </c>
      <c r="Q68" t="s">
        <v>254</v>
      </c>
      <c r="S68" t="s">
        <v>423</v>
      </c>
      <c r="T68" t="s">
        <v>335</v>
      </c>
      <c r="U68">
        <v>1.6087281138393726E-3</v>
      </c>
      <c r="V68" t="s">
        <v>254</v>
      </c>
      <c r="X68">
        <v>2.7397260273972603E-3</v>
      </c>
      <c r="Y68">
        <v>4.5744971782313605E-3</v>
      </c>
      <c r="Z68" t="s">
        <v>335</v>
      </c>
      <c r="AA68" t="s">
        <v>25</v>
      </c>
      <c r="AC68" t="s">
        <v>22</v>
      </c>
      <c r="AD68" t="s">
        <v>335</v>
      </c>
      <c r="AE68">
        <v>2.6886357866799061E-3</v>
      </c>
      <c r="AG68" t="s">
        <v>97</v>
      </c>
      <c r="AH68" t="s">
        <v>335</v>
      </c>
      <c r="AI68">
        <v>9.6975109500434753E-2</v>
      </c>
    </row>
    <row r="69" spans="5:35" x14ac:dyDescent="0.45">
      <c r="E69" t="s">
        <v>1347</v>
      </c>
      <c r="G69" t="s">
        <v>158</v>
      </c>
      <c r="I69" t="s">
        <v>252</v>
      </c>
      <c r="J69" t="s">
        <v>336</v>
      </c>
      <c r="K69">
        <v>1.6055817640576099E-2</v>
      </c>
      <c r="L69" t="s">
        <v>254</v>
      </c>
      <c r="N69" t="s">
        <v>422</v>
      </c>
      <c r="O69" t="s">
        <v>336</v>
      </c>
      <c r="P69">
        <v>2.676620014916014E-3</v>
      </c>
      <c r="Q69" t="s">
        <v>254</v>
      </c>
      <c r="S69" t="s">
        <v>423</v>
      </c>
      <c r="T69" t="s">
        <v>336</v>
      </c>
      <c r="U69">
        <v>3.2220294506682618E-3</v>
      </c>
      <c r="V69" t="s">
        <v>254</v>
      </c>
      <c r="X69">
        <v>5.4794520547945206E-3</v>
      </c>
      <c r="Y69">
        <v>6.9691470054446493E-3</v>
      </c>
      <c r="Z69" t="s">
        <v>336</v>
      </c>
      <c r="AA69" t="s">
        <v>25</v>
      </c>
      <c r="AC69" t="s">
        <v>22</v>
      </c>
      <c r="AD69" t="s">
        <v>336</v>
      </c>
      <c r="AE69">
        <v>5.7118079806829786E-3</v>
      </c>
      <c r="AG69" t="s">
        <v>97</v>
      </c>
      <c r="AH69" t="s">
        <v>336</v>
      </c>
      <c r="AI69">
        <v>9.2162459306260214E-2</v>
      </c>
    </row>
    <row r="70" spans="5:35" x14ac:dyDescent="0.45">
      <c r="E70" t="s">
        <v>1348</v>
      </c>
      <c r="G70" t="s">
        <v>158</v>
      </c>
      <c r="I70" t="s">
        <v>252</v>
      </c>
      <c r="J70" t="s">
        <v>337</v>
      </c>
      <c r="K70">
        <v>2.757382609316E-2</v>
      </c>
      <c r="L70" t="s">
        <v>254</v>
      </c>
      <c r="N70" t="s">
        <v>422</v>
      </c>
      <c r="O70" t="s">
        <v>337</v>
      </c>
      <c r="P70">
        <v>4.3380956060560137E-3</v>
      </c>
      <c r="Q70" t="s">
        <v>254</v>
      </c>
      <c r="S70" t="s">
        <v>423</v>
      </c>
      <c r="T70" t="s">
        <v>337</v>
      </c>
      <c r="U70">
        <v>4.6929631534879512E-3</v>
      </c>
      <c r="V70" t="s">
        <v>254</v>
      </c>
      <c r="X70">
        <v>8.21917808219178E-3</v>
      </c>
      <c r="Y70">
        <v>1.0175272853839845E-2</v>
      </c>
      <c r="Z70" t="s">
        <v>337</v>
      </c>
      <c r="AA70" t="s">
        <v>25</v>
      </c>
      <c r="AC70" t="s">
        <v>22</v>
      </c>
      <c r="AD70" t="s">
        <v>337</v>
      </c>
      <c r="AE70">
        <v>8.6722542786742719E-3</v>
      </c>
      <c r="AG70" t="s">
        <v>97</v>
      </c>
      <c r="AH70" t="s">
        <v>337</v>
      </c>
      <c r="AI70">
        <v>8.9837902055543983E-2</v>
      </c>
    </row>
    <row r="71" spans="5:35" x14ac:dyDescent="0.45">
      <c r="E71" t="s">
        <v>1349</v>
      </c>
      <c r="G71" t="s">
        <v>158</v>
      </c>
      <c r="I71" t="s">
        <v>252</v>
      </c>
      <c r="J71" t="s">
        <v>338</v>
      </c>
      <c r="K71">
        <v>8.9554376973734993E-3</v>
      </c>
      <c r="L71" t="s">
        <v>254</v>
      </c>
      <c r="N71" t="s">
        <v>422</v>
      </c>
      <c r="O71" t="s">
        <v>338</v>
      </c>
      <c r="P71">
        <v>1.6575736058919398E-3</v>
      </c>
      <c r="Q71" t="s">
        <v>254</v>
      </c>
      <c r="S71" t="s">
        <v>423</v>
      </c>
      <c r="T71" t="s">
        <v>338</v>
      </c>
      <c r="U71">
        <v>1.6579164373267073E-3</v>
      </c>
      <c r="V71" t="s">
        <v>254</v>
      </c>
      <c r="X71">
        <v>2.7397260273972603E-3</v>
      </c>
      <c r="Y71">
        <v>3.572085622653706E-3</v>
      </c>
      <c r="Z71" t="s">
        <v>338</v>
      </c>
      <c r="AA71" t="s">
        <v>25</v>
      </c>
      <c r="AC71" t="s">
        <v>22</v>
      </c>
      <c r="AD71" t="s">
        <v>338</v>
      </c>
      <c r="AE71">
        <v>2.878969118022952E-3</v>
      </c>
      <c r="AG71" t="s">
        <v>97</v>
      </c>
      <c r="AH71" t="s">
        <v>338</v>
      </c>
      <c r="AI71">
        <v>8.7687856968124089E-2</v>
      </c>
    </row>
    <row r="72" spans="5:35" x14ac:dyDescent="0.45">
      <c r="E72" t="s">
        <v>1350</v>
      </c>
      <c r="G72" t="s">
        <v>158</v>
      </c>
      <c r="I72" t="s">
        <v>252</v>
      </c>
      <c r="J72" t="s">
        <v>339</v>
      </c>
      <c r="K72">
        <v>1.7892083548270599E-2</v>
      </c>
      <c r="L72" t="s">
        <v>254</v>
      </c>
      <c r="N72" t="s">
        <v>422</v>
      </c>
      <c r="O72" t="s">
        <v>339</v>
      </c>
      <c r="P72">
        <v>3.5866482383866255E-3</v>
      </c>
      <c r="Q72" t="s">
        <v>254</v>
      </c>
      <c r="S72" t="s">
        <v>423</v>
      </c>
      <c r="T72" t="s">
        <v>339</v>
      </c>
      <c r="U72">
        <v>3.538270192609425E-3</v>
      </c>
      <c r="V72" t="s">
        <v>254</v>
      </c>
      <c r="X72">
        <v>5.4794520547945206E-3</v>
      </c>
      <c r="Y72">
        <v>7.7488004375606007E-3</v>
      </c>
      <c r="Z72" t="s">
        <v>339</v>
      </c>
      <c r="AA72" t="s">
        <v>25</v>
      </c>
      <c r="AC72" t="s">
        <v>22</v>
      </c>
      <c r="AD72" t="s">
        <v>339</v>
      </c>
      <c r="AE72">
        <v>5.7034155473070867E-3</v>
      </c>
      <c r="AG72" t="s">
        <v>97</v>
      </c>
      <c r="AH72" t="s">
        <v>339</v>
      </c>
      <c r="AI72">
        <v>7.9801161564597267E-2</v>
      </c>
    </row>
    <row r="73" spans="5:35" x14ac:dyDescent="0.45">
      <c r="E73" t="s">
        <v>1351</v>
      </c>
      <c r="G73" t="s">
        <v>158</v>
      </c>
      <c r="I73" t="s">
        <v>252</v>
      </c>
      <c r="J73" t="s">
        <v>340</v>
      </c>
      <c r="K73">
        <v>1.49270816794853E-2</v>
      </c>
      <c r="L73" t="s">
        <v>254</v>
      </c>
      <c r="N73" t="s">
        <v>422</v>
      </c>
      <c r="O73" t="s">
        <v>340</v>
      </c>
      <c r="P73">
        <v>3.6977352279668296E-3</v>
      </c>
      <c r="Q73" t="s">
        <v>254</v>
      </c>
      <c r="S73" t="s">
        <v>423</v>
      </c>
      <c r="T73" t="s">
        <v>340</v>
      </c>
      <c r="U73">
        <v>3.7685741730434487E-3</v>
      </c>
      <c r="V73" t="s">
        <v>254</v>
      </c>
      <c r="X73">
        <v>5.4794520547945206E-3</v>
      </c>
      <c r="Y73">
        <v>1.0660567337095693E-2</v>
      </c>
      <c r="Z73" t="s">
        <v>340</v>
      </c>
      <c r="AA73" t="s">
        <v>25</v>
      </c>
      <c r="AC73" t="s">
        <v>22</v>
      </c>
      <c r="AD73" t="s">
        <v>340</v>
      </c>
      <c r="AE73">
        <v>5.6675827718968494E-3</v>
      </c>
      <c r="AG73" t="s">
        <v>97</v>
      </c>
      <c r="AH73" t="s">
        <v>340</v>
      </c>
      <c r="AI73">
        <v>7.2911681386939931E-2</v>
      </c>
    </row>
    <row r="74" spans="5:35" x14ac:dyDescent="0.45">
      <c r="E74" t="s">
        <v>1352</v>
      </c>
      <c r="G74" t="s">
        <v>158</v>
      </c>
      <c r="I74" t="s">
        <v>252</v>
      </c>
      <c r="J74" t="s">
        <v>341</v>
      </c>
      <c r="K74">
        <v>7.0033411333022899E-3</v>
      </c>
      <c r="L74" t="s">
        <v>254</v>
      </c>
      <c r="N74" t="s">
        <v>422</v>
      </c>
      <c r="O74" t="s">
        <v>341</v>
      </c>
      <c r="P74">
        <v>1.0794826416903538E-2</v>
      </c>
      <c r="Q74" t="s">
        <v>254</v>
      </c>
      <c r="S74" t="s">
        <v>423</v>
      </c>
      <c r="T74" t="s">
        <v>341</v>
      </c>
      <c r="U74">
        <v>1.1624040681188847E-2</v>
      </c>
      <c r="V74" t="s">
        <v>254</v>
      </c>
      <c r="X74">
        <v>1.643835616438356E-2</v>
      </c>
      <c r="Y74">
        <v>1.4479278025010568E-2</v>
      </c>
      <c r="Z74" t="s">
        <v>341</v>
      </c>
      <c r="AA74" t="s">
        <v>25</v>
      </c>
      <c r="AC74" t="s">
        <v>22</v>
      </c>
      <c r="AD74" t="s">
        <v>341</v>
      </c>
      <c r="AE74">
        <v>1.5126978085550387E-2</v>
      </c>
      <c r="AG74" t="s">
        <v>97</v>
      </c>
      <c r="AH74" t="s">
        <v>341</v>
      </c>
      <c r="AI74">
        <v>0.16672847604459085</v>
      </c>
    </row>
    <row r="75" spans="5:35" x14ac:dyDescent="0.45">
      <c r="E75" t="s">
        <v>1353</v>
      </c>
      <c r="G75" t="s">
        <v>158</v>
      </c>
      <c r="I75" t="s">
        <v>252</v>
      </c>
      <c r="J75" t="s">
        <v>1553</v>
      </c>
      <c r="K75">
        <v>0</v>
      </c>
      <c r="L75" t="s">
        <v>254</v>
      </c>
      <c r="N75" t="s">
        <v>422</v>
      </c>
      <c r="O75" t="s">
        <v>1553</v>
      </c>
      <c r="P75">
        <v>7.7202843327054671E-5</v>
      </c>
      <c r="Q75" t="s">
        <v>254</v>
      </c>
      <c r="S75" t="s">
        <v>423</v>
      </c>
      <c r="T75" t="s">
        <v>1553</v>
      </c>
      <c r="U75">
        <v>4.2674150112778461E-5</v>
      </c>
      <c r="V75" t="s">
        <v>254</v>
      </c>
      <c r="X75">
        <v>1.1415525114155251E-4</v>
      </c>
      <c r="Y75">
        <v>2.1546544680075254E-5</v>
      </c>
      <c r="Z75" t="s">
        <v>1553</v>
      </c>
      <c r="AA75" t="s">
        <v>25</v>
      </c>
      <c r="AC75" t="s">
        <v>22</v>
      </c>
      <c r="AD75" t="s">
        <v>1553</v>
      </c>
      <c r="AE75">
        <v>8.9584552324365729E-5</v>
      </c>
      <c r="AG75" t="s">
        <v>97</v>
      </c>
      <c r="AH75" t="s">
        <v>1553</v>
      </c>
      <c r="AI75">
        <v>0</v>
      </c>
    </row>
    <row r="76" spans="5:35" x14ac:dyDescent="0.45">
      <c r="E76" t="s">
        <v>1354</v>
      </c>
      <c r="G76" t="s">
        <v>158</v>
      </c>
      <c r="I76" t="s">
        <v>252</v>
      </c>
      <c r="J76" t="s">
        <v>1554</v>
      </c>
      <c r="K76">
        <v>0</v>
      </c>
      <c r="L76" t="s">
        <v>254</v>
      </c>
      <c r="N76" t="s">
        <v>422</v>
      </c>
      <c r="O76" t="s">
        <v>1554</v>
      </c>
      <c r="P76">
        <v>6.0480840993066199E-5</v>
      </c>
      <c r="Q76" t="s">
        <v>254</v>
      </c>
      <c r="S76" t="s">
        <v>423</v>
      </c>
      <c r="T76" t="s">
        <v>1554</v>
      </c>
      <c r="U76">
        <v>3.9275697533704983E-5</v>
      </c>
      <c r="V76" t="s">
        <v>254</v>
      </c>
      <c r="X76">
        <v>1.1415525114155251E-4</v>
      </c>
      <c r="Y76">
        <v>1.4916838624667481E-5</v>
      </c>
      <c r="Z76" t="s">
        <v>1554</v>
      </c>
      <c r="AA76" t="s">
        <v>25</v>
      </c>
      <c r="AC76" t="s">
        <v>22</v>
      </c>
      <c r="AD76" t="s">
        <v>1554</v>
      </c>
      <c r="AE76">
        <v>8.4639102553196337E-5</v>
      </c>
      <c r="AG76" t="s">
        <v>97</v>
      </c>
      <c r="AH76" t="s">
        <v>1554</v>
      </c>
      <c r="AI76">
        <v>0</v>
      </c>
    </row>
    <row r="77" spans="5:35" x14ac:dyDescent="0.45">
      <c r="E77" t="s">
        <v>1355</v>
      </c>
      <c r="G77" t="s">
        <v>158</v>
      </c>
      <c r="I77" t="s">
        <v>252</v>
      </c>
      <c r="J77" t="s">
        <v>1555</v>
      </c>
      <c r="K77">
        <v>0</v>
      </c>
      <c r="L77" t="s">
        <v>254</v>
      </c>
      <c r="N77" t="s">
        <v>422</v>
      </c>
      <c r="O77" t="s">
        <v>1555</v>
      </c>
      <c r="P77">
        <v>4.7824721139245536E-5</v>
      </c>
      <c r="Q77" t="s">
        <v>254</v>
      </c>
      <c r="S77" t="s">
        <v>423</v>
      </c>
      <c r="T77" t="s">
        <v>1555</v>
      </c>
      <c r="U77">
        <v>3.5020508958299002E-5</v>
      </c>
      <c r="V77" t="s">
        <v>254</v>
      </c>
      <c r="X77">
        <v>1.1415525114155251E-4</v>
      </c>
      <c r="Y77">
        <v>1.6574265138519424E-5</v>
      </c>
      <c r="Z77" t="s">
        <v>1555</v>
      </c>
      <c r="AA77" t="s">
        <v>25</v>
      </c>
      <c r="AC77" t="s">
        <v>22</v>
      </c>
      <c r="AD77" t="s">
        <v>1555</v>
      </c>
      <c r="AE77">
        <v>8.2667571129426128E-5</v>
      </c>
      <c r="AG77" t="s">
        <v>97</v>
      </c>
      <c r="AH77" t="s">
        <v>1555</v>
      </c>
      <c r="AI77">
        <v>0</v>
      </c>
    </row>
    <row r="78" spans="5:35" x14ac:dyDescent="0.45">
      <c r="E78" t="s">
        <v>1356</v>
      </c>
      <c r="G78" t="s">
        <v>158</v>
      </c>
      <c r="I78" t="s">
        <v>252</v>
      </c>
      <c r="J78" t="s">
        <v>1556</v>
      </c>
      <c r="K78">
        <v>0</v>
      </c>
      <c r="L78" t="s">
        <v>254</v>
      </c>
      <c r="N78" t="s">
        <v>422</v>
      </c>
      <c r="O78" t="s">
        <v>1556</v>
      </c>
      <c r="P78">
        <v>3.401166308053036E-5</v>
      </c>
      <c r="Q78" t="s">
        <v>254</v>
      </c>
      <c r="S78" t="s">
        <v>423</v>
      </c>
      <c r="T78" t="s">
        <v>1556</v>
      </c>
      <c r="U78">
        <v>2.7159266470415359E-5</v>
      </c>
      <c r="V78" t="s">
        <v>254</v>
      </c>
      <c r="X78">
        <v>1.1415525114155251E-4</v>
      </c>
      <c r="Y78">
        <v>1.4585353321897093E-5</v>
      </c>
      <c r="Z78" t="s">
        <v>1556</v>
      </c>
      <c r="AA78" t="s">
        <v>25</v>
      </c>
      <c r="AC78" t="s">
        <v>22</v>
      </c>
      <c r="AD78" t="s">
        <v>1556</v>
      </c>
      <c r="AE78">
        <v>8.139157348939846E-5</v>
      </c>
      <c r="AG78" t="s">
        <v>97</v>
      </c>
      <c r="AH78" t="s">
        <v>1556</v>
      </c>
      <c r="AI78">
        <v>0</v>
      </c>
    </row>
    <row r="79" spans="5:35" x14ac:dyDescent="0.45">
      <c r="E79" t="s">
        <v>1357</v>
      </c>
      <c r="G79" t="s">
        <v>158</v>
      </c>
      <c r="I79" t="s">
        <v>252</v>
      </c>
      <c r="J79" t="s">
        <v>1557</v>
      </c>
      <c r="K79">
        <v>0</v>
      </c>
      <c r="L79" t="s">
        <v>254</v>
      </c>
      <c r="N79" t="s">
        <v>422</v>
      </c>
      <c r="O79" t="s">
        <v>1557</v>
      </c>
      <c r="P79">
        <v>2.192127759112073E-5</v>
      </c>
      <c r="Q79" t="s">
        <v>254</v>
      </c>
      <c r="S79" t="s">
        <v>423</v>
      </c>
      <c r="T79" t="s">
        <v>1557</v>
      </c>
      <c r="U79">
        <v>1.8556134993848084E-5</v>
      </c>
      <c r="V79" t="s">
        <v>254</v>
      </c>
      <c r="X79">
        <v>1.1415525114155251E-4</v>
      </c>
      <c r="Y79">
        <v>2.1215059377304864E-5</v>
      </c>
      <c r="Z79" t="s">
        <v>1557</v>
      </c>
      <c r="AA79" t="s">
        <v>25</v>
      </c>
      <c r="AC79" t="s">
        <v>22</v>
      </c>
      <c r="AD79" t="s">
        <v>1557</v>
      </c>
      <c r="AE79">
        <v>8.7053013920302812E-5</v>
      </c>
      <c r="AG79" t="s">
        <v>97</v>
      </c>
      <c r="AH79" t="s">
        <v>1557</v>
      </c>
      <c r="AI79">
        <v>0</v>
      </c>
    </row>
    <row r="80" spans="5:35" x14ac:dyDescent="0.45">
      <c r="E80" t="s">
        <v>1358</v>
      </c>
      <c r="G80" t="s">
        <v>158</v>
      </c>
      <c r="I80" t="s">
        <v>252</v>
      </c>
      <c r="J80" t="s">
        <v>1558</v>
      </c>
      <c r="K80">
        <v>2.1482045428683219E-7</v>
      </c>
      <c r="L80" t="s">
        <v>254</v>
      </c>
      <c r="N80" t="s">
        <v>422</v>
      </c>
      <c r="O80" t="s">
        <v>1558</v>
      </c>
      <c r="P80">
        <v>1.3095701165461552E-5</v>
      </c>
      <c r="Q80" t="s">
        <v>254</v>
      </c>
      <c r="S80" t="s">
        <v>423</v>
      </c>
      <c r="T80" t="s">
        <v>1558</v>
      </c>
      <c r="U80">
        <v>1.1222642358857039E-5</v>
      </c>
      <c r="V80" t="s">
        <v>254</v>
      </c>
      <c r="X80">
        <v>1.1415525114155251E-4</v>
      </c>
      <c r="Y80">
        <v>5.7678442682047593E-5</v>
      </c>
      <c r="Z80" t="s">
        <v>1558</v>
      </c>
      <c r="AA80" t="s">
        <v>25</v>
      </c>
      <c r="AC80" t="s">
        <v>22</v>
      </c>
      <c r="AD80" t="s">
        <v>1558</v>
      </c>
      <c r="AE80">
        <v>1.017333795543687E-4</v>
      </c>
      <c r="AG80" t="s">
        <v>97</v>
      </c>
      <c r="AH80" t="s">
        <v>1558</v>
      </c>
      <c r="AI80">
        <v>0</v>
      </c>
    </row>
    <row r="81" spans="5:35" x14ac:dyDescent="0.45">
      <c r="E81" t="s">
        <v>1359</v>
      </c>
      <c r="G81" t="s">
        <v>158</v>
      </c>
      <c r="I81" t="s">
        <v>252</v>
      </c>
      <c r="J81" t="s">
        <v>1559</v>
      </c>
      <c r="K81">
        <v>8.8882619634613876E-5</v>
      </c>
      <c r="L81" t="s">
        <v>254</v>
      </c>
      <c r="N81" t="s">
        <v>422</v>
      </c>
      <c r="O81" t="s">
        <v>1559</v>
      </c>
      <c r="P81">
        <v>7.863047377529743E-6</v>
      </c>
      <c r="Q81" t="s">
        <v>254</v>
      </c>
      <c r="S81" t="s">
        <v>423</v>
      </c>
      <c r="T81" t="s">
        <v>1559</v>
      </c>
      <c r="U81">
        <v>5.1366239567740714E-6</v>
      </c>
      <c r="V81" t="s">
        <v>254</v>
      </c>
      <c r="X81">
        <v>1.1415525114155251E-4</v>
      </c>
      <c r="Y81">
        <v>1.6905750441289813E-4</v>
      </c>
      <c r="Z81" t="s">
        <v>1559</v>
      </c>
      <c r="AA81" t="s">
        <v>25</v>
      </c>
      <c r="AC81" t="s">
        <v>22</v>
      </c>
      <c r="AD81" t="s">
        <v>1559</v>
      </c>
      <c r="AE81">
        <v>1.1450614150214072E-4</v>
      </c>
      <c r="AG81" t="s">
        <v>97</v>
      </c>
      <c r="AH81" t="s">
        <v>1559</v>
      </c>
      <c r="AI81">
        <v>0</v>
      </c>
    </row>
    <row r="82" spans="5:35" x14ac:dyDescent="0.45">
      <c r="E82" t="s">
        <v>1360</v>
      </c>
      <c r="G82" t="s">
        <v>158</v>
      </c>
      <c r="I82" t="s">
        <v>252</v>
      </c>
      <c r="J82" t="s">
        <v>1560</v>
      </c>
      <c r="K82">
        <v>1.8967929420020001E-4</v>
      </c>
      <c r="L82" t="s">
        <v>254</v>
      </c>
      <c r="N82" t="s">
        <v>422</v>
      </c>
      <c r="O82" t="s">
        <v>1560</v>
      </c>
      <c r="P82">
        <v>4.4990723743956429E-6</v>
      </c>
      <c r="Q82" t="s">
        <v>254</v>
      </c>
      <c r="S82" t="s">
        <v>423</v>
      </c>
      <c r="T82" t="s">
        <v>1560</v>
      </c>
      <c r="U82">
        <v>1.6636561995101367E-6</v>
      </c>
      <c r="V82" t="s">
        <v>254</v>
      </c>
      <c r="X82">
        <v>1.1415525114155251E-4</v>
      </c>
      <c r="Y82">
        <v>1.9060404909297337E-4</v>
      </c>
      <c r="Z82" t="s">
        <v>1560</v>
      </c>
      <c r="AA82" t="s">
        <v>25</v>
      </c>
      <c r="AC82" t="s">
        <v>22</v>
      </c>
      <c r="AD82" t="s">
        <v>1560</v>
      </c>
      <c r="AE82">
        <v>1.2308780098096411E-4</v>
      </c>
      <c r="AG82" t="s">
        <v>97</v>
      </c>
      <c r="AH82" t="s">
        <v>1560</v>
      </c>
      <c r="AI82">
        <v>0</v>
      </c>
    </row>
    <row r="83" spans="5:35" x14ac:dyDescent="0.45">
      <c r="E83" t="s">
        <v>1361</v>
      </c>
      <c r="G83" t="s">
        <v>158</v>
      </c>
      <c r="I83" t="s">
        <v>252</v>
      </c>
      <c r="J83" t="s">
        <v>1561</v>
      </c>
      <c r="K83">
        <v>2.6032548271060001E-4</v>
      </c>
      <c r="L83" t="s">
        <v>254</v>
      </c>
      <c r="N83" t="s">
        <v>422</v>
      </c>
      <c r="O83" t="s">
        <v>1561</v>
      </c>
      <c r="P83">
        <v>1.9341065082449028E-6</v>
      </c>
      <c r="Q83" t="s">
        <v>254</v>
      </c>
      <c r="S83" t="s">
        <v>423</v>
      </c>
      <c r="T83" t="s">
        <v>1561</v>
      </c>
      <c r="U83">
        <v>5.6623507162717785E-7</v>
      </c>
      <c r="V83" t="s">
        <v>254</v>
      </c>
      <c r="X83">
        <v>1.1415525114155251E-4</v>
      </c>
      <c r="Y83">
        <v>1.4585353321897094E-4</v>
      </c>
      <c r="Z83" t="s">
        <v>1561</v>
      </c>
      <c r="AA83" t="s">
        <v>25</v>
      </c>
      <c r="AC83" t="s">
        <v>22</v>
      </c>
      <c r="AD83" t="s">
        <v>1561</v>
      </c>
      <c r="AE83">
        <v>1.2709479156598088E-4</v>
      </c>
      <c r="AG83" t="s">
        <v>97</v>
      </c>
      <c r="AH83" t="s">
        <v>1561</v>
      </c>
      <c r="AI83">
        <v>0</v>
      </c>
    </row>
    <row r="84" spans="5:35" x14ac:dyDescent="0.45">
      <c r="E84" t="s">
        <v>1362</v>
      </c>
      <c r="G84" t="s">
        <v>158</v>
      </c>
      <c r="I84" t="s">
        <v>252</v>
      </c>
      <c r="J84" t="s">
        <v>1562</v>
      </c>
      <c r="K84">
        <v>3.0540458736230002E-4</v>
      </c>
      <c r="L84" t="s">
        <v>254</v>
      </c>
      <c r="N84" t="s">
        <v>422</v>
      </c>
      <c r="O84" t="s">
        <v>1562</v>
      </c>
      <c r="P84">
        <v>1.7615603710087599E-6</v>
      </c>
      <c r="Q84" t="s">
        <v>254</v>
      </c>
      <c r="S84" t="s">
        <v>423</v>
      </c>
      <c r="T84" t="s">
        <v>1562</v>
      </c>
      <c r="U84">
        <v>7.6118090535149389E-7</v>
      </c>
      <c r="V84" t="s">
        <v>254</v>
      </c>
      <c r="X84">
        <v>1.1415525114155251E-4</v>
      </c>
      <c r="Y84">
        <v>1.4452759200788939E-4</v>
      </c>
      <c r="Z84" t="s">
        <v>1562</v>
      </c>
      <c r="AA84" t="s">
        <v>25</v>
      </c>
      <c r="AC84" t="s">
        <v>22</v>
      </c>
      <c r="AD84" t="s">
        <v>1562</v>
      </c>
      <c r="AE84">
        <v>1.2747068666234173E-4</v>
      </c>
      <c r="AG84" t="s">
        <v>97</v>
      </c>
      <c r="AH84" t="s">
        <v>1562</v>
      </c>
      <c r="AI84">
        <v>0</v>
      </c>
    </row>
    <row r="85" spans="5:35" x14ac:dyDescent="0.45">
      <c r="E85" t="s">
        <v>1363</v>
      </c>
      <c r="G85" t="s">
        <v>158</v>
      </c>
      <c r="I85" t="s">
        <v>252</v>
      </c>
      <c r="J85" t="s">
        <v>1563</v>
      </c>
      <c r="K85">
        <v>3.4640050456559998E-4</v>
      </c>
      <c r="L85" t="s">
        <v>254</v>
      </c>
      <c r="N85" t="s">
        <v>422</v>
      </c>
      <c r="O85" t="s">
        <v>1563</v>
      </c>
      <c r="P85">
        <v>1.790279474932652E-6</v>
      </c>
      <c r="Q85" t="s">
        <v>254</v>
      </c>
      <c r="S85" t="s">
        <v>423</v>
      </c>
      <c r="T85" t="s">
        <v>1563</v>
      </c>
      <c r="U85">
        <v>2.2282912897258297E-6</v>
      </c>
      <c r="V85" t="s">
        <v>254</v>
      </c>
      <c r="X85">
        <v>1.1415525114155251E-4</v>
      </c>
      <c r="Y85">
        <v>1.408812536774151E-4</v>
      </c>
      <c r="Z85" t="s">
        <v>1563</v>
      </c>
      <c r="AA85" t="s">
        <v>25</v>
      </c>
      <c r="AC85" t="s">
        <v>22</v>
      </c>
      <c r="AD85" t="s">
        <v>1563</v>
      </c>
      <c r="AE85">
        <v>1.2774429737874048E-4</v>
      </c>
      <c r="AG85" t="s">
        <v>97</v>
      </c>
      <c r="AH85" t="s">
        <v>1563</v>
      </c>
      <c r="AI85">
        <v>0</v>
      </c>
    </row>
    <row r="86" spans="5:35" x14ac:dyDescent="0.45">
      <c r="E86" t="s">
        <v>1364</v>
      </c>
      <c r="G86" t="s">
        <v>158</v>
      </c>
      <c r="I86" t="s">
        <v>252</v>
      </c>
      <c r="J86" t="s">
        <v>1564</v>
      </c>
      <c r="K86">
        <v>3.5544721031579999E-4</v>
      </c>
      <c r="L86" t="s">
        <v>254</v>
      </c>
      <c r="N86" t="s">
        <v>422</v>
      </c>
      <c r="O86" t="s">
        <v>1564</v>
      </c>
      <c r="P86">
        <v>3.0924075047444737E-6</v>
      </c>
      <c r="Q86" t="s">
        <v>254</v>
      </c>
      <c r="S86" t="s">
        <v>423</v>
      </c>
      <c r="T86" t="s">
        <v>1564</v>
      </c>
      <c r="U86">
        <v>2.376878097729589E-6</v>
      </c>
      <c r="V86" t="s">
        <v>254</v>
      </c>
      <c r="X86">
        <v>1.1415525114155251E-4</v>
      </c>
      <c r="Y86">
        <v>1.4054976837464471E-4</v>
      </c>
      <c r="Z86" t="s">
        <v>1564</v>
      </c>
      <c r="AA86" t="s">
        <v>25</v>
      </c>
      <c r="AC86" t="s">
        <v>22</v>
      </c>
      <c r="AD86" t="s">
        <v>1564</v>
      </c>
      <c r="AE86">
        <v>1.2784913886820163E-4</v>
      </c>
      <c r="AG86" t="s">
        <v>97</v>
      </c>
      <c r="AH86" t="s">
        <v>1564</v>
      </c>
      <c r="AI86">
        <v>0</v>
      </c>
    </row>
    <row r="87" spans="5:35" x14ac:dyDescent="0.45">
      <c r="E87" t="s">
        <v>1365</v>
      </c>
      <c r="G87" t="s">
        <v>158</v>
      </c>
      <c r="I87" t="s">
        <v>252</v>
      </c>
      <c r="J87" t="s">
        <v>1565</v>
      </c>
      <c r="K87">
        <v>3.3412595098299998E-4</v>
      </c>
      <c r="L87" t="s">
        <v>254</v>
      </c>
      <c r="N87" t="s">
        <v>422</v>
      </c>
      <c r="O87" t="s">
        <v>1565</v>
      </c>
      <c r="P87">
        <v>5.715899167645322E-6</v>
      </c>
      <c r="Q87" t="s">
        <v>254</v>
      </c>
      <c r="S87" t="s">
        <v>423</v>
      </c>
      <c r="T87" t="s">
        <v>1565</v>
      </c>
      <c r="U87">
        <v>2.3814710728945893E-6</v>
      </c>
      <c r="V87" t="s">
        <v>254</v>
      </c>
      <c r="X87">
        <v>1.1415525114155251E-4</v>
      </c>
      <c r="Y87">
        <v>1.4253868019126702E-4</v>
      </c>
      <c r="Z87" t="s">
        <v>1565</v>
      </c>
      <c r="AA87" t="s">
        <v>25</v>
      </c>
      <c r="AC87" t="s">
        <v>22</v>
      </c>
      <c r="AD87" t="s">
        <v>1565</v>
      </c>
      <c r="AE87">
        <v>1.2892312485780408E-4</v>
      </c>
      <c r="AG87" t="s">
        <v>97</v>
      </c>
      <c r="AH87" t="s">
        <v>1565</v>
      </c>
      <c r="AI87">
        <v>0</v>
      </c>
    </row>
    <row r="88" spans="5:35" x14ac:dyDescent="0.45">
      <c r="E88" t="s">
        <v>1366</v>
      </c>
      <c r="G88" t="s">
        <v>158</v>
      </c>
      <c r="I88" t="s">
        <v>252</v>
      </c>
      <c r="J88" t="s">
        <v>1566</v>
      </c>
      <c r="K88">
        <v>3.289827738823E-4</v>
      </c>
      <c r="L88" t="s">
        <v>254</v>
      </c>
      <c r="N88" t="s">
        <v>422</v>
      </c>
      <c r="O88" t="s">
        <v>1566</v>
      </c>
      <c r="P88">
        <v>8.8945698734103068E-6</v>
      </c>
      <c r="Q88" t="s">
        <v>254</v>
      </c>
      <c r="S88" t="s">
        <v>423</v>
      </c>
      <c r="T88" t="s">
        <v>1566</v>
      </c>
      <c r="U88">
        <v>4.6137953673257388E-6</v>
      </c>
      <c r="V88" t="s">
        <v>254</v>
      </c>
      <c r="X88">
        <v>1.1415525114155251E-4</v>
      </c>
      <c r="Y88">
        <v>1.4883690094390442E-4</v>
      </c>
      <c r="Z88" t="s">
        <v>1566</v>
      </c>
      <c r="AA88" t="s">
        <v>25</v>
      </c>
      <c r="AC88" t="s">
        <v>22</v>
      </c>
      <c r="AD88" t="s">
        <v>1566</v>
      </c>
      <c r="AE88">
        <v>1.2851910155695366E-4</v>
      </c>
      <c r="AG88" t="s">
        <v>97</v>
      </c>
      <c r="AH88" t="s">
        <v>1566</v>
      </c>
      <c r="AI88">
        <v>0</v>
      </c>
    </row>
    <row r="89" spans="5:35" x14ac:dyDescent="0.45">
      <c r="E89" t="s">
        <v>1367</v>
      </c>
      <c r="G89" t="s">
        <v>158</v>
      </c>
      <c r="I89" t="s">
        <v>252</v>
      </c>
      <c r="J89" t="s">
        <v>1567</v>
      </c>
      <c r="K89">
        <v>3.0248621117670002E-4</v>
      </c>
      <c r="L89" t="s">
        <v>254</v>
      </c>
      <c r="N89" t="s">
        <v>422</v>
      </c>
      <c r="O89" t="s">
        <v>1567</v>
      </c>
      <c r="P89">
        <v>1.1943163050543637E-5</v>
      </c>
      <c r="Q89" t="s">
        <v>254</v>
      </c>
      <c r="S89" t="s">
        <v>423</v>
      </c>
      <c r="T89" t="s">
        <v>1567</v>
      </c>
      <c r="U89">
        <v>6.9714950816156917E-6</v>
      </c>
      <c r="V89" t="s">
        <v>254</v>
      </c>
      <c r="X89">
        <v>1.1415525114155251E-4</v>
      </c>
      <c r="Y89">
        <v>1.5049432745775637E-4</v>
      </c>
      <c r="Z89" t="s">
        <v>1567</v>
      </c>
      <c r="AA89" t="s">
        <v>25</v>
      </c>
      <c r="AC89" t="s">
        <v>22</v>
      </c>
      <c r="AD89" t="s">
        <v>1567</v>
      </c>
      <c r="AE89">
        <v>1.2740420181536635E-4</v>
      </c>
      <c r="AG89" t="s">
        <v>97</v>
      </c>
      <c r="AH89" t="s">
        <v>1567</v>
      </c>
      <c r="AI89">
        <v>0</v>
      </c>
    </row>
    <row r="90" spans="5:35" x14ac:dyDescent="0.45">
      <c r="E90" t="s">
        <v>1368</v>
      </c>
      <c r="G90" t="s">
        <v>158</v>
      </c>
      <c r="I90" t="s">
        <v>252</v>
      </c>
      <c r="J90" t="s">
        <v>1568</v>
      </c>
      <c r="K90">
        <v>2.5145354020510001E-4</v>
      </c>
      <c r="L90" t="s">
        <v>254</v>
      </c>
      <c r="N90" t="s">
        <v>422</v>
      </c>
      <c r="O90" t="s">
        <v>1568</v>
      </c>
      <c r="P90">
        <v>1.3242036729857386E-5</v>
      </c>
      <c r="Q90" t="s">
        <v>254</v>
      </c>
      <c r="S90" t="s">
        <v>423</v>
      </c>
      <c r="T90" t="s">
        <v>1568</v>
      </c>
      <c r="U90">
        <v>6.3114449172557824E-6</v>
      </c>
      <c r="V90" t="s">
        <v>254</v>
      </c>
      <c r="X90">
        <v>1.1415525114155251E-4</v>
      </c>
      <c r="Y90">
        <v>1.7237235744060203E-4</v>
      </c>
      <c r="Z90" t="s">
        <v>1568</v>
      </c>
      <c r="AA90" t="s">
        <v>25</v>
      </c>
      <c r="AC90" t="s">
        <v>22</v>
      </c>
      <c r="AD90" t="s">
        <v>1568</v>
      </c>
      <c r="AE90">
        <v>1.2703086382850453E-4</v>
      </c>
      <c r="AG90" t="s">
        <v>97</v>
      </c>
      <c r="AH90" t="s">
        <v>1568</v>
      </c>
      <c r="AI90">
        <v>0</v>
      </c>
    </row>
    <row r="91" spans="5:35" x14ac:dyDescent="0.45">
      <c r="E91" t="s">
        <v>1369</v>
      </c>
      <c r="G91" t="s">
        <v>158</v>
      </c>
      <c r="I91" t="s">
        <v>252</v>
      </c>
      <c r="J91" t="s">
        <v>1569</v>
      </c>
      <c r="K91">
        <v>1.916550329768E-4</v>
      </c>
      <c r="L91" t="s">
        <v>254</v>
      </c>
      <c r="N91" t="s">
        <v>422</v>
      </c>
      <c r="O91" t="s">
        <v>1569</v>
      </c>
      <c r="P91">
        <v>1.9733809122272959E-5</v>
      </c>
      <c r="Q91" t="s">
        <v>254</v>
      </c>
      <c r="S91" t="s">
        <v>423</v>
      </c>
      <c r="T91" t="s">
        <v>1569</v>
      </c>
      <c r="U91">
        <v>5.3413732681281927E-6</v>
      </c>
      <c r="V91" t="s">
        <v>254</v>
      </c>
      <c r="X91">
        <v>1.1415525114155251E-4</v>
      </c>
      <c r="Y91">
        <v>2.2209515285616027E-4</v>
      </c>
      <c r="Z91" t="s">
        <v>1569</v>
      </c>
      <c r="AA91" t="s">
        <v>25</v>
      </c>
      <c r="AC91" t="s">
        <v>22</v>
      </c>
      <c r="AD91" t="s">
        <v>1569</v>
      </c>
      <c r="AE91">
        <v>1.2667286849863703E-4</v>
      </c>
      <c r="AG91" t="s">
        <v>97</v>
      </c>
      <c r="AH91" t="s">
        <v>1569</v>
      </c>
      <c r="AI91">
        <v>0</v>
      </c>
    </row>
    <row r="92" spans="5:35" x14ac:dyDescent="0.45">
      <c r="E92" t="s">
        <v>1370</v>
      </c>
      <c r="G92" t="s">
        <v>158</v>
      </c>
      <c r="I92" t="s">
        <v>252</v>
      </c>
      <c r="J92" t="s">
        <v>1570</v>
      </c>
      <c r="K92">
        <v>1.4679809963520001E-4</v>
      </c>
      <c r="L92" t="s">
        <v>254</v>
      </c>
      <c r="N92" t="s">
        <v>422</v>
      </c>
      <c r="O92" t="s">
        <v>1570</v>
      </c>
      <c r="P92">
        <v>2.0198535267064229E-5</v>
      </c>
      <c r="Q92" t="s">
        <v>254</v>
      </c>
      <c r="S92" t="s">
        <v>423</v>
      </c>
      <c r="T92" t="s">
        <v>1570</v>
      </c>
      <c r="U92">
        <v>6.2233401587142525E-6</v>
      </c>
      <c r="V92" t="s">
        <v>254</v>
      </c>
      <c r="X92">
        <v>1.1415525114155251E-4</v>
      </c>
      <c r="Y92">
        <v>2.2209515285616027E-4</v>
      </c>
      <c r="Z92" t="s">
        <v>1570</v>
      </c>
      <c r="AA92" t="s">
        <v>25</v>
      </c>
      <c r="AC92" t="s">
        <v>22</v>
      </c>
      <c r="AD92" t="s">
        <v>1570</v>
      </c>
      <c r="AE92">
        <v>1.2535084288762643E-4</v>
      </c>
      <c r="AG92" t="s">
        <v>97</v>
      </c>
      <c r="AH92" t="s">
        <v>1570</v>
      </c>
      <c r="AI92">
        <v>0</v>
      </c>
    </row>
    <row r="93" spans="5:35" x14ac:dyDescent="0.45">
      <c r="E93" t="s">
        <v>1371</v>
      </c>
      <c r="G93" t="s">
        <v>158</v>
      </c>
      <c r="I93" t="s">
        <v>252</v>
      </c>
      <c r="J93" t="s">
        <v>1571</v>
      </c>
      <c r="K93">
        <v>1.003602631514E-4</v>
      </c>
      <c r="L93" t="s">
        <v>254</v>
      </c>
      <c r="N93" t="s">
        <v>422</v>
      </c>
      <c r="O93" t="s">
        <v>1571</v>
      </c>
      <c r="P93">
        <v>2.3007953970991813E-5</v>
      </c>
      <c r="Q93" t="s">
        <v>254</v>
      </c>
      <c r="S93" t="s">
        <v>423</v>
      </c>
      <c r="T93" t="s">
        <v>1571</v>
      </c>
      <c r="U93">
        <v>8.3552519337187975E-6</v>
      </c>
      <c r="V93" t="s">
        <v>254</v>
      </c>
      <c r="X93">
        <v>1.1415525114155251E-4</v>
      </c>
      <c r="Y93">
        <v>1.7237235744060203E-4</v>
      </c>
      <c r="Z93" t="s">
        <v>1571</v>
      </c>
      <c r="AA93" t="s">
        <v>25</v>
      </c>
      <c r="AC93" t="s">
        <v>22</v>
      </c>
      <c r="AD93" t="s">
        <v>1571</v>
      </c>
      <c r="AE93">
        <v>1.2415922986106751E-4</v>
      </c>
      <c r="AG93" t="s">
        <v>97</v>
      </c>
      <c r="AH93" t="s">
        <v>1571</v>
      </c>
      <c r="AI93">
        <v>0</v>
      </c>
    </row>
    <row r="94" spans="5:35" x14ac:dyDescent="0.45">
      <c r="E94" t="s">
        <v>1372</v>
      </c>
      <c r="G94" t="s">
        <v>158</v>
      </c>
      <c r="I94" t="s">
        <v>252</v>
      </c>
      <c r="J94" t="s">
        <v>1572</v>
      </c>
      <c r="K94">
        <v>4.2406946228324088E-5</v>
      </c>
      <c r="L94" t="s">
        <v>254</v>
      </c>
      <c r="N94" t="s">
        <v>422</v>
      </c>
      <c r="O94" t="s">
        <v>1572</v>
      </c>
      <c r="P94">
        <v>2.9010386449972675E-5</v>
      </c>
      <c r="Q94" t="s">
        <v>254</v>
      </c>
      <c r="S94" t="s">
        <v>423</v>
      </c>
      <c r="T94" t="s">
        <v>1572</v>
      </c>
      <c r="U94">
        <v>9.9243614921079915E-6</v>
      </c>
      <c r="V94" t="s">
        <v>254</v>
      </c>
      <c r="X94">
        <v>1.1415525114155251E-4</v>
      </c>
      <c r="Y94">
        <v>1.5579809230208258E-4</v>
      </c>
      <c r="Z94" t="s">
        <v>1572</v>
      </c>
      <c r="AA94" t="s">
        <v>25</v>
      </c>
      <c r="AC94" t="s">
        <v>22</v>
      </c>
      <c r="AD94" t="s">
        <v>1572</v>
      </c>
      <c r="AE94">
        <v>1.2170440474197619E-4</v>
      </c>
      <c r="AG94" t="s">
        <v>97</v>
      </c>
      <c r="AH94" t="s">
        <v>1572</v>
      </c>
      <c r="AI94">
        <v>0</v>
      </c>
    </row>
    <row r="95" spans="5:35" x14ac:dyDescent="0.45">
      <c r="E95" t="s">
        <v>1373</v>
      </c>
      <c r="G95" t="s">
        <v>158</v>
      </c>
      <c r="I95" t="s">
        <v>252</v>
      </c>
      <c r="J95" t="s">
        <v>1573</v>
      </c>
      <c r="K95">
        <v>0</v>
      </c>
      <c r="L95" t="s">
        <v>254</v>
      </c>
      <c r="N95" t="s">
        <v>422</v>
      </c>
      <c r="O95" t="s">
        <v>1573</v>
      </c>
      <c r="P95">
        <v>3.8856197555067081E-5</v>
      </c>
      <c r="Q95" t="s">
        <v>254</v>
      </c>
      <c r="S95" t="s">
        <v>423</v>
      </c>
      <c r="T95" t="s">
        <v>1573</v>
      </c>
      <c r="U95">
        <v>9.4161508065793394E-6</v>
      </c>
      <c r="V95" t="s">
        <v>254</v>
      </c>
      <c r="X95">
        <v>1.1415525114155251E-4</v>
      </c>
      <c r="Y95">
        <v>1.093901499142282E-4</v>
      </c>
      <c r="Z95" t="s">
        <v>1573</v>
      </c>
      <c r="AA95" t="s">
        <v>25</v>
      </c>
      <c r="AC95" t="s">
        <v>22</v>
      </c>
      <c r="AD95" t="s">
        <v>1573</v>
      </c>
      <c r="AE95">
        <v>1.1545994334528765E-4</v>
      </c>
      <c r="AG95" t="s">
        <v>97</v>
      </c>
      <c r="AH95" t="s">
        <v>1573</v>
      </c>
      <c r="AI95">
        <v>0</v>
      </c>
    </row>
    <row r="96" spans="5:35" x14ac:dyDescent="0.45">
      <c r="E96" t="s">
        <v>1374</v>
      </c>
      <c r="G96" t="s">
        <v>158</v>
      </c>
      <c r="I96" t="s">
        <v>252</v>
      </c>
      <c r="J96" t="s">
        <v>1574</v>
      </c>
      <c r="K96">
        <v>0</v>
      </c>
      <c r="L96" t="s">
        <v>254</v>
      </c>
      <c r="N96" t="s">
        <v>422</v>
      </c>
      <c r="O96" t="s">
        <v>1574</v>
      </c>
      <c r="P96">
        <v>4.6788902490008283E-5</v>
      </c>
      <c r="Q96" t="s">
        <v>254</v>
      </c>
      <c r="S96" t="s">
        <v>423</v>
      </c>
      <c r="T96" t="s">
        <v>1574</v>
      </c>
      <c r="U96">
        <v>1.0815912420637584E-5</v>
      </c>
      <c r="V96" t="s">
        <v>254</v>
      </c>
      <c r="X96">
        <v>1.1415525114155251E-4</v>
      </c>
      <c r="Y96">
        <v>7.9556472664893237E-5</v>
      </c>
      <c r="Z96" t="s">
        <v>1574</v>
      </c>
      <c r="AA96" t="s">
        <v>25</v>
      </c>
      <c r="AC96" t="s">
        <v>22</v>
      </c>
      <c r="AD96" t="s">
        <v>1574</v>
      </c>
      <c r="AE96">
        <v>1.0890862880871271E-4</v>
      </c>
      <c r="AG96" t="s">
        <v>97</v>
      </c>
      <c r="AH96" t="s">
        <v>1574</v>
      </c>
      <c r="AI96">
        <v>0</v>
      </c>
    </row>
    <row r="97" spans="5:35" x14ac:dyDescent="0.45">
      <c r="E97" t="s">
        <v>1375</v>
      </c>
      <c r="G97" t="s">
        <v>158</v>
      </c>
      <c r="I97" t="s">
        <v>252</v>
      </c>
      <c r="J97" t="s">
        <v>1575</v>
      </c>
      <c r="K97">
        <v>0</v>
      </c>
      <c r="L97" t="s">
        <v>254</v>
      </c>
      <c r="N97" t="s">
        <v>422</v>
      </c>
      <c r="O97" t="s">
        <v>1575</v>
      </c>
      <c r="P97">
        <v>5.3251611982961312E-5</v>
      </c>
      <c r="Q97" t="s">
        <v>254</v>
      </c>
      <c r="S97" t="s">
        <v>423</v>
      </c>
      <c r="T97" t="s">
        <v>1575</v>
      </c>
      <c r="U97">
        <v>1.3847296375010571E-5</v>
      </c>
      <c r="V97" t="s">
        <v>254</v>
      </c>
      <c r="X97">
        <v>1.1415525114155251E-4</v>
      </c>
      <c r="Y97">
        <v>5.6352501470966035E-5</v>
      </c>
      <c r="Z97" t="s">
        <v>1575</v>
      </c>
      <c r="AA97" t="s">
        <v>25</v>
      </c>
      <c r="AC97" t="s">
        <v>22</v>
      </c>
      <c r="AD97" t="s">
        <v>1575</v>
      </c>
      <c r="AE97">
        <v>1.0200187605176931E-4</v>
      </c>
      <c r="AG97" t="s">
        <v>97</v>
      </c>
      <c r="AH97" t="s">
        <v>1575</v>
      </c>
      <c r="AI97">
        <v>0</v>
      </c>
    </row>
    <row r="98" spans="5:35" x14ac:dyDescent="0.45">
      <c r="E98" t="s">
        <v>1376</v>
      </c>
      <c r="G98" t="s">
        <v>158</v>
      </c>
      <c r="I98" t="s">
        <v>252</v>
      </c>
      <c r="J98" t="s">
        <v>1576</v>
      </c>
      <c r="K98">
        <v>0</v>
      </c>
      <c r="L98" t="s">
        <v>254</v>
      </c>
      <c r="N98" t="s">
        <v>422</v>
      </c>
      <c r="O98" t="s">
        <v>1576</v>
      </c>
      <c r="P98">
        <v>5.1930327989647472E-5</v>
      </c>
      <c r="Q98" t="s">
        <v>254</v>
      </c>
      <c r="S98" t="s">
        <v>423</v>
      </c>
      <c r="T98" t="s">
        <v>1576</v>
      </c>
      <c r="U98">
        <v>1.7678888109079146E-5</v>
      </c>
      <c r="V98" t="s">
        <v>254</v>
      </c>
      <c r="X98">
        <v>1.1415525114155251E-4</v>
      </c>
      <c r="Y98">
        <v>2.9833677249334962E-5</v>
      </c>
      <c r="Z98" t="s">
        <v>1576</v>
      </c>
      <c r="AA98" t="s">
        <v>25</v>
      </c>
      <c r="AC98" t="s">
        <v>22</v>
      </c>
      <c r="AD98" t="s">
        <v>1576</v>
      </c>
      <c r="AE98">
        <v>9.0817079102909493E-5</v>
      </c>
      <c r="AG98" t="s">
        <v>97</v>
      </c>
      <c r="AH98" t="s">
        <v>1576</v>
      </c>
      <c r="AI98">
        <v>0</v>
      </c>
    </row>
    <row r="99" spans="5:35" x14ac:dyDescent="0.45">
      <c r="E99" t="s">
        <v>1377</v>
      </c>
      <c r="G99" t="s">
        <v>158</v>
      </c>
      <c r="I99" t="s">
        <v>252</v>
      </c>
      <c r="J99" t="s">
        <v>1577</v>
      </c>
      <c r="K99">
        <v>0</v>
      </c>
      <c r="L99" t="s">
        <v>254</v>
      </c>
      <c r="N99" t="s">
        <v>422</v>
      </c>
      <c r="O99" t="s">
        <v>1577</v>
      </c>
      <c r="P99">
        <v>4.3566518725653573E-5</v>
      </c>
      <c r="Q99" t="s">
        <v>254</v>
      </c>
      <c r="S99" t="s">
        <v>423</v>
      </c>
      <c r="T99" t="s">
        <v>1577</v>
      </c>
      <c r="U99">
        <v>1.8812162365624E-5</v>
      </c>
      <c r="V99" t="s">
        <v>254</v>
      </c>
      <c r="X99">
        <v>1.1415525114155251E-4</v>
      </c>
      <c r="Y99">
        <v>2.1546544680075254E-5</v>
      </c>
      <c r="Z99" t="s">
        <v>1577</v>
      </c>
      <c r="AA99" t="s">
        <v>25</v>
      </c>
      <c r="AC99" t="s">
        <v>22</v>
      </c>
      <c r="AD99" t="s">
        <v>1577</v>
      </c>
      <c r="AE99">
        <v>8.5142853124509885E-5</v>
      </c>
      <c r="AG99" t="s">
        <v>97</v>
      </c>
      <c r="AH99" t="s">
        <v>1577</v>
      </c>
      <c r="AI99">
        <v>0</v>
      </c>
    </row>
    <row r="100" spans="5:35" x14ac:dyDescent="0.45">
      <c r="E100" t="s">
        <v>1378</v>
      </c>
      <c r="G100" t="s">
        <v>158</v>
      </c>
      <c r="I100" t="s">
        <v>252</v>
      </c>
      <c r="J100" t="s">
        <v>1578</v>
      </c>
      <c r="K100">
        <v>0</v>
      </c>
      <c r="L100" t="s">
        <v>254</v>
      </c>
      <c r="N100" t="s">
        <v>422</v>
      </c>
      <c r="O100" t="s">
        <v>1578</v>
      </c>
      <c r="P100">
        <v>3.9597950954985588E-5</v>
      </c>
      <c r="Q100" t="s">
        <v>254</v>
      </c>
      <c r="S100" t="s">
        <v>423</v>
      </c>
      <c r="T100" t="s">
        <v>1578</v>
      </c>
      <c r="U100">
        <v>2.0318772790369089E-5</v>
      </c>
      <c r="V100" t="s">
        <v>254</v>
      </c>
      <c r="X100">
        <v>1.1415525114155251E-4</v>
      </c>
      <c r="Y100">
        <v>1.4916838624667481E-5</v>
      </c>
      <c r="Z100" t="s">
        <v>1578</v>
      </c>
      <c r="AA100" t="s">
        <v>25</v>
      </c>
      <c r="AC100" t="s">
        <v>22</v>
      </c>
      <c r="AD100" t="s">
        <v>1578</v>
      </c>
      <c r="AE100">
        <v>8.2667571129426128E-5</v>
      </c>
      <c r="AG100" t="s">
        <v>97</v>
      </c>
      <c r="AH100" t="s">
        <v>1578</v>
      </c>
      <c r="AI100">
        <v>0</v>
      </c>
    </row>
    <row r="101" spans="5:35" x14ac:dyDescent="0.45">
      <c r="E101" t="s">
        <v>1379</v>
      </c>
      <c r="G101" t="s">
        <v>158</v>
      </c>
      <c r="I101" t="s">
        <v>252</v>
      </c>
      <c r="J101" t="s">
        <v>1579</v>
      </c>
      <c r="K101">
        <v>0</v>
      </c>
      <c r="L101" t="s">
        <v>254</v>
      </c>
      <c r="N101" t="s">
        <v>422</v>
      </c>
      <c r="O101" t="s">
        <v>1579</v>
      </c>
      <c r="P101">
        <v>4.2184161021988442E-5</v>
      </c>
      <c r="Q101" t="s">
        <v>254</v>
      </c>
      <c r="S101" t="s">
        <v>423</v>
      </c>
      <c r="T101" t="s">
        <v>1579</v>
      </c>
      <c r="U101">
        <v>2.0463124458403155E-5</v>
      </c>
      <c r="V101" t="s">
        <v>254</v>
      </c>
      <c r="X101">
        <v>1.1415525114155251E-4</v>
      </c>
      <c r="Y101">
        <v>1.6574265138519424E-5</v>
      </c>
      <c r="Z101" t="s">
        <v>1579</v>
      </c>
      <c r="AA101" t="s">
        <v>25</v>
      </c>
      <c r="AC101" t="s">
        <v>22</v>
      </c>
      <c r="AD101" t="s">
        <v>1579</v>
      </c>
      <c r="AE101">
        <v>8.0529827588217453E-5</v>
      </c>
      <c r="AG101" t="s">
        <v>97</v>
      </c>
      <c r="AH101" t="s">
        <v>1579</v>
      </c>
      <c r="AI101">
        <v>0</v>
      </c>
    </row>
    <row r="102" spans="5:35" x14ac:dyDescent="0.45">
      <c r="E102" t="s">
        <v>1380</v>
      </c>
      <c r="G102" t="s">
        <v>158</v>
      </c>
      <c r="I102" t="s">
        <v>252</v>
      </c>
      <c r="J102" t="s">
        <v>1580</v>
      </c>
      <c r="K102">
        <v>0</v>
      </c>
      <c r="L102" t="s">
        <v>254</v>
      </c>
      <c r="N102" t="s">
        <v>422</v>
      </c>
      <c r="O102" t="s">
        <v>1580</v>
      </c>
      <c r="P102">
        <v>4.5581159399382388E-5</v>
      </c>
      <c r="Q102" t="s">
        <v>254</v>
      </c>
      <c r="S102" t="s">
        <v>423</v>
      </c>
      <c r="T102" t="s">
        <v>1580</v>
      </c>
      <c r="U102">
        <v>2.202181695061268E-5</v>
      </c>
      <c r="V102" t="s">
        <v>254</v>
      </c>
      <c r="X102">
        <v>1.1415525114155251E-4</v>
      </c>
      <c r="Y102">
        <v>1.4585353321897093E-5</v>
      </c>
      <c r="Z102" t="s">
        <v>1580</v>
      </c>
      <c r="AA102" t="s">
        <v>25</v>
      </c>
      <c r="AC102" t="s">
        <v>22</v>
      </c>
      <c r="AD102" t="s">
        <v>1580</v>
      </c>
      <c r="AE102">
        <v>8.1391573489398474E-5</v>
      </c>
      <c r="AG102" t="s">
        <v>97</v>
      </c>
      <c r="AH102" t="s">
        <v>1580</v>
      </c>
      <c r="AI102">
        <v>0</v>
      </c>
    </row>
    <row r="103" spans="5:35" x14ac:dyDescent="0.45">
      <c r="E103" t="s">
        <v>1381</v>
      </c>
      <c r="G103" t="s">
        <v>158</v>
      </c>
      <c r="I103" t="s">
        <v>252</v>
      </c>
      <c r="J103" t="s">
        <v>1581</v>
      </c>
      <c r="K103">
        <v>0</v>
      </c>
      <c r="L103" t="s">
        <v>254</v>
      </c>
      <c r="N103" t="s">
        <v>422</v>
      </c>
      <c r="O103" t="s">
        <v>1581</v>
      </c>
      <c r="P103">
        <v>5.1228514265242991E-5</v>
      </c>
      <c r="Q103" t="s">
        <v>254</v>
      </c>
      <c r="S103" t="s">
        <v>423</v>
      </c>
      <c r="T103" t="s">
        <v>1581</v>
      </c>
      <c r="U103">
        <v>2.5839231084282783E-5</v>
      </c>
      <c r="V103" t="s">
        <v>254</v>
      </c>
      <c r="X103">
        <v>1.1415525114155251E-4</v>
      </c>
      <c r="Y103">
        <v>2.1215059377304864E-5</v>
      </c>
      <c r="Z103" t="s">
        <v>1581</v>
      </c>
      <c r="AA103" t="s">
        <v>25</v>
      </c>
      <c r="AC103" t="s">
        <v>22</v>
      </c>
      <c r="AD103" t="s">
        <v>1581</v>
      </c>
      <c r="AE103">
        <v>8.7053013920302826E-5</v>
      </c>
      <c r="AG103" t="s">
        <v>97</v>
      </c>
      <c r="AH103" t="s">
        <v>1581</v>
      </c>
      <c r="AI103">
        <v>0</v>
      </c>
    </row>
    <row r="104" spans="5:35" x14ac:dyDescent="0.45">
      <c r="E104" t="s">
        <v>1382</v>
      </c>
      <c r="G104" t="s">
        <v>158</v>
      </c>
      <c r="I104" t="s">
        <v>252</v>
      </c>
      <c r="J104" t="s">
        <v>1582</v>
      </c>
      <c r="K104">
        <v>7.6444171887280874E-10</v>
      </c>
      <c r="L104" t="s">
        <v>254</v>
      </c>
      <c r="N104" t="s">
        <v>422</v>
      </c>
      <c r="O104" t="s">
        <v>1582</v>
      </c>
      <c r="P104">
        <v>5.4084645192897785E-5</v>
      </c>
      <c r="Q104" t="s">
        <v>254</v>
      </c>
      <c r="S104" t="s">
        <v>423</v>
      </c>
      <c r="T104" t="s">
        <v>1582</v>
      </c>
      <c r="U104">
        <v>2.8702994098369256E-5</v>
      </c>
      <c r="V104" t="s">
        <v>254</v>
      </c>
      <c r="X104">
        <v>1.1415525114155251E-4</v>
      </c>
      <c r="Y104">
        <v>5.7678442682047593E-5</v>
      </c>
      <c r="Z104" t="s">
        <v>1582</v>
      </c>
      <c r="AA104" t="s">
        <v>25</v>
      </c>
      <c r="AC104" t="s">
        <v>22</v>
      </c>
      <c r="AD104" t="s">
        <v>1582</v>
      </c>
      <c r="AE104">
        <v>1.0225502989217561E-4</v>
      </c>
      <c r="AG104" t="s">
        <v>97</v>
      </c>
      <c r="AH104" t="s">
        <v>1582</v>
      </c>
      <c r="AI104">
        <v>0</v>
      </c>
    </row>
    <row r="105" spans="5:35" x14ac:dyDescent="0.45">
      <c r="E105" t="s">
        <v>1383</v>
      </c>
      <c r="G105" t="s">
        <v>158</v>
      </c>
      <c r="I105" t="s">
        <v>252</v>
      </c>
      <c r="J105" t="s">
        <v>1583</v>
      </c>
      <c r="K105">
        <v>5.6476291852149611E-5</v>
      </c>
      <c r="L105" t="s">
        <v>254</v>
      </c>
      <c r="N105" t="s">
        <v>422</v>
      </c>
      <c r="O105" t="s">
        <v>1583</v>
      </c>
      <c r="P105">
        <v>5.1189984679846627E-5</v>
      </c>
      <c r="Q105" t="s">
        <v>254</v>
      </c>
      <c r="S105" t="s">
        <v>423</v>
      </c>
      <c r="T105" t="s">
        <v>1583</v>
      </c>
      <c r="U105">
        <v>3.3407151499970108E-5</v>
      </c>
      <c r="V105" t="s">
        <v>254</v>
      </c>
      <c r="X105">
        <v>1.1415525114155251E-4</v>
      </c>
      <c r="Y105">
        <v>1.6905750441289813E-4</v>
      </c>
      <c r="Z105" t="s">
        <v>1583</v>
      </c>
      <c r="AA105" t="s">
        <v>25</v>
      </c>
      <c r="AC105" t="s">
        <v>22</v>
      </c>
      <c r="AD105" t="s">
        <v>1583</v>
      </c>
      <c r="AE105">
        <v>1.1369809490043981E-4</v>
      </c>
      <c r="AG105" t="s">
        <v>97</v>
      </c>
      <c r="AH105" t="s">
        <v>1583</v>
      </c>
      <c r="AI105">
        <v>0</v>
      </c>
    </row>
    <row r="106" spans="5:35" x14ac:dyDescent="0.45">
      <c r="E106" t="s">
        <v>1384</v>
      </c>
      <c r="G106" t="s">
        <v>158</v>
      </c>
      <c r="I106" t="s">
        <v>252</v>
      </c>
      <c r="J106" t="s">
        <v>1584</v>
      </c>
      <c r="K106">
        <v>8.5147354847752693E-5</v>
      </c>
      <c r="L106" t="s">
        <v>254</v>
      </c>
      <c r="N106" t="s">
        <v>422</v>
      </c>
      <c r="O106" t="s">
        <v>1584</v>
      </c>
      <c r="P106">
        <v>5.1568470397458722E-5</v>
      </c>
      <c r="Q106" t="s">
        <v>254</v>
      </c>
      <c r="S106" t="s">
        <v>423</v>
      </c>
      <c r="T106" t="s">
        <v>1584</v>
      </c>
      <c r="U106">
        <v>3.8488650116524127E-5</v>
      </c>
      <c r="V106" t="s">
        <v>254</v>
      </c>
      <c r="X106">
        <v>1.1415525114155251E-4</v>
      </c>
      <c r="Y106">
        <v>1.9060404909297337E-4</v>
      </c>
      <c r="Z106" t="s">
        <v>1584</v>
      </c>
      <c r="AA106" t="s">
        <v>25</v>
      </c>
      <c r="AC106" t="s">
        <v>22</v>
      </c>
      <c r="AD106" t="s">
        <v>1584</v>
      </c>
      <c r="AE106">
        <v>1.2200870077236355E-4</v>
      </c>
      <c r="AG106" t="s">
        <v>97</v>
      </c>
      <c r="AH106" t="s">
        <v>1584</v>
      </c>
      <c r="AI106">
        <v>0</v>
      </c>
    </row>
    <row r="107" spans="5:35" x14ac:dyDescent="0.45">
      <c r="E107" t="s">
        <v>1385</v>
      </c>
      <c r="G107" t="s">
        <v>158</v>
      </c>
      <c r="I107" t="s">
        <v>252</v>
      </c>
      <c r="J107" t="s">
        <v>1585</v>
      </c>
      <c r="K107">
        <v>1.2469261972460001E-4</v>
      </c>
      <c r="L107" t="s">
        <v>254</v>
      </c>
      <c r="N107" t="s">
        <v>422</v>
      </c>
      <c r="O107" t="s">
        <v>1585</v>
      </c>
      <c r="P107">
        <v>4.9546926690296957E-5</v>
      </c>
      <c r="Q107" t="s">
        <v>254</v>
      </c>
      <c r="S107" t="s">
        <v>423</v>
      </c>
      <c r="T107" t="s">
        <v>1585</v>
      </c>
      <c r="U107">
        <v>4.2569379304782812E-5</v>
      </c>
      <c r="V107" t="s">
        <v>254</v>
      </c>
      <c r="X107">
        <v>1.1415525114155251E-4</v>
      </c>
      <c r="Y107">
        <v>1.4585353321897094E-4</v>
      </c>
      <c r="Z107" t="s">
        <v>1585</v>
      </c>
      <c r="AA107" t="s">
        <v>25</v>
      </c>
      <c r="AC107" t="s">
        <v>22</v>
      </c>
      <c r="AD107" t="s">
        <v>1585</v>
      </c>
      <c r="AE107">
        <v>1.2655268435218155E-4</v>
      </c>
      <c r="AG107" t="s">
        <v>97</v>
      </c>
      <c r="AH107" t="s">
        <v>1585</v>
      </c>
      <c r="AI107">
        <v>0</v>
      </c>
    </row>
    <row r="108" spans="5:35" x14ac:dyDescent="0.45">
      <c r="E108" t="s">
        <v>1386</v>
      </c>
      <c r="G108" t="s">
        <v>158</v>
      </c>
      <c r="I108" t="s">
        <v>252</v>
      </c>
      <c r="J108" t="s">
        <v>1586</v>
      </c>
      <c r="K108">
        <v>1.75422288671E-4</v>
      </c>
      <c r="L108" t="s">
        <v>254</v>
      </c>
      <c r="N108" t="s">
        <v>422</v>
      </c>
      <c r="O108" t="s">
        <v>1586</v>
      </c>
      <c r="P108">
        <v>4.7779789150002721E-5</v>
      </c>
      <c r="Q108" t="s">
        <v>254</v>
      </c>
      <c r="S108" t="s">
        <v>423</v>
      </c>
      <c r="T108" t="s">
        <v>1586</v>
      </c>
      <c r="U108">
        <v>4.3105453883515822E-5</v>
      </c>
      <c r="V108" t="s">
        <v>254</v>
      </c>
      <c r="X108">
        <v>1.1415525114155251E-4</v>
      </c>
      <c r="Y108">
        <v>1.4452759200788939E-4</v>
      </c>
      <c r="Z108" t="s">
        <v>1586</v>
      </c>
      <c r="AA108" t="s">
        <v>25</v>
      </c>
      <c r="AC108" t="s">
        <v>22</v>
      </c>
      <c r="AD108" t="s">
        <v>1586</v>
      </c>
      <c r="AE108">
        <v>1.2707944890898656E-4</v>
      </c>
      <c r="AG108" t="s">
        <v>97</v>
      </c>
      <c r="AH108" t="s">
        <v>1586</v>
      </c>
      <c r="AI108">
        <v>0</v>
      </c>
    </row>
    <row r="109" spans="5:35" x14ac:dyDescent="0.45">
      <c r="E109" t="s">
        <v>1387</v>
      </c>
      <c r="G109" t="s">
        <v>158</v>
      </c>
      <c r="I109" t="s">
        <v>252</v>
      </c>
      <c r="J109" t="s">
        <v>1587</v>
      </c>
      <c r="K109">
        <v>2.142161517853E-4</v>
      </c>
      <c r="L109" t="s">
        <v>254</v>
      </c>
      <c r="N109" t="s">
        <v>422</v>
      </c>
      <c r="O109" t="s">
        <v>1587</v>
      </c>
      <c r="P109">
        <v>3.1786684624231428E-5</v>
      </c>
      <c r="Q109" t="s">
        <v>254</v>
      </c>
      <c r="S109" t="s">
        <v>423</v>
      </c>
      <c r="T109" t="s">
        <v>1587</v>
      </c>
      <c r="U109">
        <v>3.2601447231443219E-5</v>
      </c>
      <c r="V109" t="s">
        <v>254</v>
      </c>
      <c r="X109">
        <v>1.1415525114155251E-4</v>
      </c>
      <c r="Y109">
        <v>1.408812536774151E-4</v>
      </c>
      <c r="Z109" t="s">
        <v>1587</v>
      </c>
      <c r="AA109" t="s">
        <v>25</v>
      </c>
      <c r="AC109" t="s">
        <v>22</v>
      </c>
      <c r="AD109" t="s">
        <v>1587</v>
      </c>
      <c r="AE109">
        <v>1.2707944890898656E-4</v>
      </c>
      <c r="AG109" t="s">
        <v>97</v>
      </c>
      <c r="AH109" t="s">
        <v>1587</v>
      </c>
      <c r="AI109">
        <v>0</v>
      </c>
    </row>
    <row r="110" spans="5:35" x14ac:dyDescent="0.45">
      <c r="E110" t="s">
        <v>1388</v>
      </c>
      <c r="G110" t="s">
        <v>158</v>
      </c>
      <c r="I110" t="s">
        <v>252</v>
      </c>
      <c r="J110" t="s">
        <v>1588</v>
      </c>
      <c r="K110">
        <v>2.1595253074290001E-4</v>
      </c>
      <c r="L110" t="s">
        <v>254</v>
      </c>
      <c r="N110" t="s">
        <v>422</v>
      </c>
      <c r="O110" t="s">
        <v>1588</v>
      </c>
      <c r="P110">
        <v>3.837312263341218E-5</v>
      </c>
      <c r="Q110" t="s">
        <v>254</v>
      </c>
      <c r="S110" t="s">
        <v>423</v>
      </c>
      <c r="T110" t="s">
        <v>1588</v>
      </c>
      <c r="U110">
        <v>3.0967210454772292E-5</v>
      </c>
      <c r="V110" t="s">
        <v>254</v>
      </c>
      <c r="X110">
        <v>1.1415525114155251E-4</v>
      </c>
      <c r="Y110">
        <v>1.4054976837464471E-4</v>
      </c>
      <c r="Z110" t="s">
        <v>1588</v>
      </c>
      <c r="AA110" t="s">
        <v>25</v>
      </c>
      <c r="AC110" t="s">
        <v>22</v>
      </c>
      <c r="AD110" t="s">
        <v>1588</v>
      </c>
      <c r="AE110">
        <v>1.2682373795908119E-4</v>
      </c>
      <c r="AG110" t="s">
        <v>97</v>
      </c>
      <c r="AH110" t="s">
        <v>1588</v>
      </c>
      <c r="AI110">
        <v>0</v>
      </c>
    </row>
    <row r="111" spans="5:35" x14ac:dyDescent="0.45">
      <c r="E111" t="s">
        <v>1389</v>
      </c>
      <c r="G111" t="s">
        <v>158</v>
      </c>
      <c r="I111" t="s">
        <v>252</v>
      </c>
      <c r="J111" t="s">
        <v>1589</v>
      </c>
      <c r="K111">
        <v>2.1947019975979999E-4</v>
      </c>
      <c r="L111" t="s">
        <v>254</v>
      </c>
      <c r="N111" t="s">
        <v>422</v>
      </c>
      <c r="O111" t="s">
        <v>1589</v>
      </c>
      <c r="P111">
        <v>4.4183271465710507E-5</v>
      </c>
      <c r="Q111" t="s">
        <v>254</v>
      </c>
      <c r="S111" t="s">
        <v>423</v>
      </c>
      <c r="T111" t="s">
        <v>1589</v>
      </c>
      <c r="U111">
        <v>2.8413183354228217E-5</v>
      </c>
      <c r="V111" t="s">
        <v>254</v>
      </c>
      <c r="X111">
        <v>1.1415525114155251E-4</v>
      </c>
      <c r="Y111">
        <v>1.4253868019126702E-4</v>
      </c>
      <c r="Z111" t="s">
        <v>1589</v>
      </c>
      <c r="AA111" t="s">
        <v>25</v>
      </c>
      <c r="AC111" t="s">
        <v>22</v>
      </c>
      <c r="AD111" t="s">
        <v>1589</v>
      </c>
      <c r="AE111">
        <v>1.2682373795908124E-4</v>
      </c>
      <c r="AG111" t="s">
        <v>97</v>
      </c>
      <c r="AH111" t="s">
        <v>1589</v>
      </c>
      <c r="AI111">
        <v>0</v>
      </c>
    </row>
    <row r="112" spans="5:35" x14ac:dyDescent="0.45">
      <c r="E112" t="s">
        <v>1390</v>
      </c>
      <c r="G112" t="s">
        <v>158</v>
      </c>
      <c r="I112" t="s">
        <v>252</v>
      </c>
      <c r="J112" t="s">
        <v>1590</v>
      </c>
      <c r="K112">
        <v>2.3481054188379999E-4</v>
      </c>
      <c r="L112" t="s">
        <v>254</v>
      </c>
      <c r="N112" t="s">
        <v>422</v>
      </c>
      <c r="O112" t="s">
        <v>1590</v>
      </c>
      <c r="P112">
        <v>4.3523678420837611E-5</v>
      </c>
      <c r="Q112" t="s">
        <v>254</v>
      </c>
      <c r="S112" t="s">
        <v>423</v>
      </c>
      <c r="T112" t="s">
        <v>1590</v>
      </c>
      <c r="U112">
        <v>2.957188493050223E-5</v>
      </c>
      <c r="V112" t="s">
        <v>254</v>
      </c>
      <c r="X112">
        <v>1.1415525114155251E-4</v>
      </c>
      <c r="Y112">
        <v>1.4883690094390442E-4</v>
      </c>
      <c r="Z112" t="s">
        <v>1590</v>
      </c>
      <c r="AA112" t="s">
        <v>25</v>
      </c>
      <c r="AC112" t="s">
        <v>22</v>
      </c>
      <c r="AD112" t="s">
        <v>1590</v>
      </c>
      <c r="AE112">
        <v>1.2564746758951661E-4</v>
      </c>
      <c r="AG112" t="s">
        <v>97</v>
      </c>
      <c r="AH112" t="s">
        <v>1590</v>
      </c>
      <c r="AI112">
        <v>0</v>
      </c>
    </row>
    <row r="113" spans="5:35" x14ac:dyDescent="0.45">
      <c r="E113" t="s">
        <v>1391</v>
      </c>
      <c r="G113" t="s">
        <v>158</v>
      </c>
      <c r="I113" t="s">
        <v>252</v>
      </c>
      <c r="J113" t="s">
        <v>1591</v>
      </c>
      <c r="K113">
        <v>2.1627453463240001E-4</v>
      </c>
      <c r="L113" t="s">
        <v>254</v>
      </c>
      <c r="N113" t="s">
        <v>422</v>
      </c>
      <c r="O113" t="s">
        <v>1591</v>
      </c>
      <c r="P113">
        <v>5.0814056328656602E-5</v>
      </c>
      <c r="Q113" t="s">
        <v>254</v>
      </c>
      <c r="S113" t="s">
        <v>423</v>
      </c>
      <c r="T113" t="s">
        <v>1591</v>
      </c>
      <c r="U113">
        <v>3.3254758700626654E-5</v>
      </c>
      <c r="V113" t="s">
        <v>254</v>
      </c>
      <c r="X113">
        <v>1.1415525114155251E-4</v>
      </c>
      <c r="Y113">
        <v>1.5049432745775637E-4</v>
      </c>
      <c r="Z113" t="s">
        <v>1591</v>
      </c>
      <c r="AA113" t="s">
        <v>25</v>
      </c>
      <c r="AC113" t="s">
        <v>22</v>
      </c>
      <c r="AD113" t="s">
        <v>1591</v>
      </c>
      <c r="AE113">
        <v>1.2463229511839241E-4</v>
      </c>
      <c r="AG113" t="s">
        <v>97</v>
      </c>
      <c r="AH113" t="s">
        <v>1591</v>
      </c>
      <c r="AI113">
        <v>0</v>
      </c>
    </row>
    <row r="114" spans="5:35" x14ac:dyDescent="0.45">
      <c r="E114" t="s">
        <v>1392</v>
      </c>
      <c r="G114" t="s">
        <v>158</v>
      </c>
      <c r="I114" t="s">
        <v>252</v>
      </c>
      <c r="J114" t="s">
        <v>1592</v>
      </c>
      <c r="K114">
        <v>2.060443851704E-4</v>
      </c>
      <c r="L114" t="s">
        <v>254</v>
      </c>
      <c r="N114" t="s">
        <v>422</v>
      </c>
      <c r="O114" t="s">
        <v>1592</v>
      </c>
      <c r="P114">
        <v>5.6878830836188266E-5</v>
      </c>
      <c r="Q114" t="s">
        <v>254</v>
      </c>
      <c r="S114" t="s">
        <v>423</v>
      </c>
      <c r="T114" t="s">
        <v>1592</v>
      </c>
      <c r="U114">
        <v>3.2995332051621671E-5</v>
      </c>
      <c r="V114" t="s">
        <v>254</v>
      </c>
      <c r="X114">
        <v>1.1415525114155251E-4</v>
      </c>
      <c r="Y114">
        <v>1.7237235744060203E-4</v>
      </c>
      <c r="Z114" t="s">
        <v>1592</v>
      </c>
      <c r="AA114" t="s">
        <v>25</v>
      </c>
      <c r="AC114" t="s">
        <v>22</v>
      </c>
      <c r="AD114" t="s">
        <v>1592</v>
      </c>
      <c r="AE114">
        <v>1.2426151424102966E-4</v>
      </c>
      <c r="AG114" t="s">
        <v>97</v>
      </c>
      <c r="AH114" t="s">
        <v>1592</v>
      </c>
      <c r="AI114">
        <v>0</v>
      </c>
    </row>
    <row r="115" spans="5:35" x14ac:dyDescent="0.45">
      <c r="E115" t="s">
        <v>1393</v>
      </c>
      <c r="G115" t="s">
        <v>158</v>
      </c>
      <c r="I115" t="s">
        <v>252</v>
      </c>
      <c r="J115" t="s">
        <v>1593</v>
      </c>
      <c r="K115">
        <v>1.7871288938010001E-4</v>
      </c>
      <c r="L115" t="s">
        <v>254</v>
      </c>
      <c r="N115" t="s">
        <v>422</v>
      </c>
      <c r="O115" t="s">
        <v>1593</v>
      </c>
      <c r="P115">
        <v>6.5723783398614487E-5</v>
      </c>
      <c r="Q115" t="s">
        <v>254</v>
      </c>
      <c r="S115" t="s">
        <v>423</v>
      </c>
      <c r="T115" t="s">
        <v>1593</v>
      </c>
      <c r="U115">
        <v>3.2161345359874209E-5</v>
      </c>
      <c r="V115" t="s">
        <v>254</v>
      </c>
      <c r="X115">
        <v>1.1415525114155251E-4</v>
      </c>
      <c r="Y115">
        <v>2.2209515285616027E-4</v>
      </c>
      <c r="Z115" t="s">
        <v>1593</v>
      </c>
      <c r="AA115" t="s">
        <v>25</v>
      </c>
      <c r="AC115" t="s">
        <v>22</v>
      </c>
      <c r="AD115" t="s">
        <v>1593</v>
      </c>
      <c r="AE115">
        <v>1.2390351891116216E-4</v>
      </c>
      <c r="AG115" t="s">
        <v>97</v>
      </c>
      <c r="AH115" t="s">
        <v>1593</v>
      </c>
      <c r="AI115">
        <v>0</v>
      </c>
    </row>
    <row r="116" spans="5:35" x14ac:dyDescent="0.45">
      <c r="E116" t="s">
        <v>1394</v>
      </c>
      <c r="G116" t="s">
        <v>158</v>
      </c>
      <c r="I116" t="s">
        <v>252</v>
      </c>
      <c r="J116" t="s">
        <v>1594</v>
      </c>
      <c r="K116">
        <v>1.331618283331E-4</v>
      </c>
      <c r="L116" t="s">
        <v>254</v>
      </c>
      <c r="N116" t="s">
        <v>422</v>
      </c>
      <c r="O116" t="s">
        <v>1594</v>
      </c>
      <c r="P116">
        <v>6.4837673666885354E-5</v>
      </c>
      <c r="Q116" t="s">
        <v>254</v>
      </c>
      <c r="S116" t="s">
        <v>423</v>
      </c>
      <c r="T116" t="s">
        <v>1594</v>
      </c>
      <c r="U116">
        <v>3.4420857062215075E-5</v>
      </c>
      <c r="V116" t="s">
        <v>254</v>
      </c>
      <c r="X116">
        <v>1.1415525114155251E-4</v>
      </c>
      <c r="Y116">
        <v>2.2209515285616027E-4</v>
      </c>
      <c r="Z116" t="s">
        <v>1594</v>
      </c>
      <c r="AA116" t="s">
        <v>25</v>
      </c>
      <c r="AC116" t="s">
        <v>22</v>
      </c>
      <c r="AD116" t="s">
        <v>1594</v>
      </c>
      <c r="AE116">
        <v>1.2390351891116216E-4</v>
      </c>
      <c r="AG116" t="s">
        <v>97</v>
      </c>
      <c r="AH116" t="s">
        <v>1594</v>
      </c>
      <c r="AI116">
        <v>0</v>
      </c>
    </row>
    <row r="117" spans="5:35" x14ac:dyDescent="0.45">
      <c r="E117" t="s">
        <v>1395</v>
      </c>
      <c r="G117" t="s">
        <v>158</v>
      </c>
      <c r="I117" t="s">
        <v>252</v>
      </c>
      <c r="J117" t="s">
        <v>1595</v>
      </c>
      <c r="K117">
        <v>1.017397195796E-4</v>
      </c>
      <c r="L117" t="s">
        <v>254</v>
      </c>
      <c r="N117" t="s">
        <v>422</v>
      </c>
      <c r="O117" t="s">
        <v>1595</v>
      </c>
      <c r="P117">
        <v>5.4155842471863538E-5</v>
      </c>
      <c r="Q117" t="s">
        <v>254</v>
      </c>
      <c r="S117" t="s">
        <v>423</v>
      </c>
      <c r="T117" t="s">
        <v>1595</v>
      </c>
      <c r="U117">
        <v>3.4493792594144054E-5</v>
      </c>
      <c r="V117" t="s">
        <v>254</v>
      </c>
      <c r="X117">
        <v>1.1415525114155251E-4</v>
      </c>
      <c r="Y117">
        <v>1.7237235744060203E-4</v>
      </c>
      <c r="Z117" t="s">
        <v>1595</v>
      </c>
      <c r="AA117" t="s">
        <v>25</v>
      </c>
      <c r="AC117" t="s">
        <v>22</v>
      </c>
      <c r="AD117" t="s">
        <v>1595</v>
      </c>
      <c r="AE117">
        <v>1.2325145598890354E-4</v>
      </c>
      <c r="AG117" t="s">
        <v>97</v>
      </c>
      <c r="AH117" t="s">
        <v>1595</v>
      </c>
      <c r="AI117">
        <v>0</v>
      </c>
    </row>
    <row r="118" spans="5:35" x14ac:dyDescent="0.45">
      <c r="E118" t="s">
        <v>1396</v>
      </c>
      <c r="G118" t="s">
        <v>158</v>
      </c>
      <c r="I118" t="s">
        <v>252</v>
      </c>
      <c r="J118" t="s">
        <v>1596</v>
      </c>
      <c r="K118">
        <v>4.5595625579634095E-5</v>
      </c>
      <c r="L118" t="s">
        <v>254</v>
      </c>
      <c r="N118" t="s">
        <v>422</v>
      </c>
      <c r="O118" t="s">
        <v>1596</v>
      </c>
      <c r="P118">
        <v>4.5702550904325051E-5</v>
      </c>
      <c r="Q118" t="s">
        <v>254</v>
      </c>
      <c r="S118" t="s">
        <v>423</v>
      </c>
      <c r="T118" t="s">
        <v>1596</v>
      </c>
      <c r="U118">
        <v>3.152886429015507E-5</v>
      </c>
      <c r="V118" t="s">
        <v>254</v>
      </c>
      <c r="X118">
        <v>1.1415525114155251E-4</v>
      </c>
      <c r="Y118">
        <v>1.5579809230208258E-4</v>
      </c>
      <c r="Z118" t="s">
        <v>1596</v>
      </c>
      <c r="AA118" t="s">
        <v>25</v>
      </c>
      <c r="AC118" t="s">
        <v>22</v>
      </c>
      <c r="AD118" t="s">
        <v>1596</v>
      </c>
      <c r="AE118">
        <v>1.2104211338172137E-4</v>
      </c>
      <c r="AG118" t="s">
        <v>97</v>
      </c>
      <c r="AH118" t="s">
        <v>1596</v>
      </c>
      <c r="AI118">
        <v>0</v>
      </c>
    </row>
    <row r="119" spans="5:35" x14ac:dyDescent="0.45">
      <c r="E119" t="s">
        <v>1397</v>
      </c>
      <c r="G119" t="s">
        <v>158</v>
      </c>
      <c r="I119" t="s">
        <v>252</v>
      </c>
      <c r="J119" t="s">
        <v>1597</v>
      </c>
      <c r="K119">
        <v>0</v>
      </c>
      <c r="L119" t="s">
        <v>254</v>
      </c>
      <c r="N119" t="s">
        <v>422</v>
      </c>
      <c r="O119" t="s">
        <v>1597</v>
      </c>
      <c r="P119">
        <v>5.0992354704357983E-5</v>
      </c>
      <c r="Q119" t="s">
        <v>254</v>
      </c>
      <c r="S119" t="s">
        <v>423</v>
      </c>
      <c r="T119" t="s">
        <v>1597</v>
      </c>
      <c r="U119">
        <v>2.8349693719126888E-5</v>
      </c>
      <c r="V119" t="s">
        <v>254</v>
      </c>
      <c r="X119">
        <v>1.1415525114155251E-4</v>
      </c>
      <c r="Y119">
        <v>1.093901499142282E-4</v>
      </c>
      <c r="Z119" t="s">
        <v>1597</v>
      </c>
      <c r="AA119" t="s">
        <v>25</v>
      </c>
      <c r="AC119" t="s">
        <v>22</v>
      </c>
      <c r="AD119" t="s">
        <v>1597</v>
      </c>
      <c r="AE119">
        <v>1.1500477785445612E-4</v>
      </c>
      <c r="AG119" t="s">
        <v>97</v>
      </c>
      <c r="AH119" t="s">
        <v>1597</v>
      </c>
      <c r="AI119">
        <v>0</v>
      </c>
    </row>
    <row r="120" spans="5:35" x14ac:dyDescent="0.45">
      <c r="E120" t="s">
        <v>1398</v>
      </c>
      <c r="G120" t="s">
        <v>158</v>
      </c>
      <c r="I120" t="s">
        <v>252</v>
      </c>
      <c r="J120" t="s">
        <v>1598</v>
      </c>
      <c r="K120">
        <v>0</v>
      </c>
      <c r="L120" t="s">
        <v>254</v>
      </c>
      <c r="N120" t="s">
        <v>422</v>
      </c>
      <c r="O120" t="s">
        <v>1598</v>
      </c>
      <c r="P120">
        <v>5.243273155285926E-5</v>
      </c>
      <c r="Q120" t="s">
        <v>254</v>
      </c>
      <c r="S120" t="s">
        <v>423</v>
      </c>
      <c r="T120" t="s">
        <v>1598</v>
      </c>
      <c r="U120">
        <v>2.4079227333823703E-5</v>
      </c>
      <c r="V120" t="s">
        <v>254</v>
      </c>
      <c r="X120">
        <v>1.1415525114155251E-4</v>
      </c>
      <c r="Y120">
        <v>7.9556472664893237E-5</v>
      </c>
      <c r="Z120" t="s">
        <v>1598</v>
      </c>
      <c r="AA120" t="s">
        <v>25</v>
      </c>
      <c r="AC120" t="s">
        <v>22</v>
      </c>
      <c r="AD120" t="s">
        <v>1598</v>
      </c>
      <c r="AE120">
        <v>1.0846113464637836E-4</v>
      </c>
      <c r="AG120" t="s">
        <v>97</v>
      </c>
      <c r="AH120" t="s">
        <v>1598</v>
      </c>
      <c r="AI120">
        <v>0</v>
      </c>
    </row>
    <row r="121" spans="5:35" x14ac:dyDescent="0.45">
      <c r="E121" t="s">
        <v>1399</v>
      </c>
      <c r="G121" t="s">
        <v>158</v>
      </c>
      <c r="I121" t="s">
        <v>252</v>
      </c>
      <c r="J121" t="s">
        <v>1599</v>
      </c>
      <c r="K121">
        <v>0</v>
      </c>
      <c r="L121" t="s">
        <v>254</v>
      </c>
      <c r="N121" t="s">
        <v>422</v>
      </c>
      <c r="O121" t="s">
        <v>1599</v>
      </c>
      <c r="P121">
        <v>5.4795220933096328E-5</v>
      </c>
      <c r="Q121" t="s">
        <v>254</v>
      </c>
      <c r="S121" t="s">
        <v>423</v>
      </c>
      <c r="T121" t="s">
        <v>1599</v>
      </c>
      <c r="U121">
        <v>3.1534084526685957E-5</v>
      </c>
      <c r="V121" t="s">
        <v>254</v>
      </c>
      <c r="X121">
        <v>1.1415525114155251E-4</v>
      </c>
      <c r="Y121">
        <v>5.6352501470966035E-5</v>
      </c>
      <c r="Z121" t="s">
        <v>1599</v>
      </c>
      <c r="AA121" t="s">
        <v>25</v>
      </c>
      <c r="AC121" t="s">
        <v>22</v>
      </c>
      <c r="AD121" t="s">
        <v>1599</v>
      </c>
      <c r="AE121">
        <v>9.4632286475497253E-5</v>
      </c>
      <c r="AG121" t="s">
        <v>97</v>
      </c>
      <c r="AH121" t="s">
        <v>1599</v>
      </c>
      <c r="AI121">
        <v>0</v>
      </c>
    </row>
    <row r="122" spans="5:35" x14ac:dyDescent="0.45">
      <c r="E122" t="s">
        <v>1400</v>
      </c>
      <c r="G122" t="s">
        <v>158</v>
      </c>
      <c r="I122" t="s">
        <v>252</v>
      </c>
      <c r="J122" t="s">
        <v>1600</v>
      </c>
      <c r="K122">
        <v>0</v>
      </c>
      <c r="L122" t="s">
        <v>254</v>
      </c>
      <c r="N122" t="s">
        <v>422</v>
      </c>
      <c r="O122" t="s">
        <v>1600</v>
      </c>
      <c r="P122">
        <v>5.4999231429228232E-5</v>
      </c>
      <c r="Q122" t="s">
        <v>254</v>
      </c>
      <c r="S122" t="s">
        <v>423</v>
      </c>
      <c r="T122" t="s">
        <v>1600</v>
      </c>
      <c r="U122">
        <v>3.3420932354590846E-5</v>
      </c>
      <c r="V122" t="s">
        <v>254</v>
      </c>
      <c r="X122">
        <v>1.1415525114155251E-4</v>
      </c>
      <c r="Y122">
        <v>2.9833677249334962E-5</v>
      </c>
      <c r="Z122" t="s">
        <v>1600</v>
      </c>
      <c r="AA122" t="s">
        <v>25</v>
      </c>
      <c r="AC122" t="s">
        <v>22</v>
      </c>
      <c r="AD122" t="s">
        <v>1600</v>
      </c>
      <c r="AE122">
        <v>8.5733545418791241E-5</v>
      </c>
      <c r="AG122" t="s">
        <v>97</v>
      </c>
      <c r="AH122" t="s">
        <v>1600</v>
      </c>
      <c r="AI122">
        <v>0</v>
      </c>
    </row>
    <row r="123" spans="5:35" x14ac:dyDescent="0.45">
      <c r="E123" t="s">
        <v>1401</v>
      </c>
      <c r="G123" t="s">
        <v>158</v>
      </c>
      <c r="I123" t="s">
        <v>252</v>
      </c>
      <c r="J123" t="s">
        <v>1601</v>
      </c>
      <c r="K123">
        <v>0</v>
      </c>
      <c r="L123" t="s">
        <v>254</v>
      </c>
      <c r="N123" t="s">
        <v>422</v>
      </c>
      <c r="O123" t="s">
        <v>1601</v>
      </c>
      <c r="P123">
        <v>5.2576182098558711E-5</v>
      </c>
      <c r="Q123" t="s">
        <v>254</v>
      </c>
      <c r="S123" t="s">
        <v>423</v>
      </c>
      <c r="T123" t="s">
        <v>1601</v>
      </c>
      <c r="U123">
        <v>3.1302900954804312E-5</v>
      </c>
      <c r="V123" t="s">
        <v>254</v>
      </c>
      <c r="X123">
        <v>1.1415525114155251E-4</v>
      </c>
      <c r="Y123">
        <v>2.1546544680075254E-5</v>
      </c>
      <c r="Z123" t="s">
        <v>1601</v>
      </c>
      <c r="AA123" t="s">
        <v>25</v>
      </c>
      <c r="AC123" t="s">
        <v>22</v>
      </c>
      <c r="AD123" t="s">
        <v>1601</v>
      </c>
      <c r="AE123">
        <v>8.0031191235902026E-5</v>
      </c>
      <c r="AG123" t="s">
        <v>97</v>
      </c>
      <c r="AH123" t="s">
        <v>1601</v>
      </c>
      <c r="AI123">
        <v>0</v>
      </c>
    </row>
    <row r="124" spans="5:35" x14ac:dyDescent="0.45">
      <c r="E124" t="s">
        <v>1402</v>
      </c>
      <c r="G124" t="s">
        <v>158</v>
      </c>
      <c r="I124" t="s">
        <v>252</v>
      </c>
      <c r="J124" t="s">
        <v>1602</v>
      </c>
      <c r="K124">
        <v>0</v>
      </c>
      <c r="L124" t="s">
        <v>254</v>
      </c>
      <c r="N124" t="s">
        <v>422</v>
      </c>
      <c r="O124" t="s">
        <v>1602</v>
      </c>
      <c r="P124">
        <v>4.9409942861762434E-5</v>
      </c>
      <c r="Q124" t="s">
        <v>254</v>
      </c>
      <c r="S124" t="s">
        <v>423</v>
      </c>
      <c r="T124" t="s">
        <v>1602</v>
      </c>
      <c r="U124">
        <v>2.7914302321053717E-5</v>
      </c>
      <c r="V124" t="s">
        <v>254</v>
      </c>
      <c r="X124">
        <v>1.1415525114155251E-4</v>
      </c>
      <c r="Y124">
        <v>1.4916838624667481E-5</v>
      </c>
      <c r="Z124" t="s">
        <v>1602</v>
      </c>
      <c r="AA124" t="s">
        <v>25</v>
      </c>
      <c r="AC124" t="s">
        <v>22</v>
      </c>
      <c r="AD124" t="s">
        <v>1602</v>
      </c>
      <c r="AE124">
        <v>7.8563410383445338E-5</v>
      </c>
      <c r="AG124" t="s">
        <v>97</v>
      </c>
      <c r="AH124" t="s">
        <v>1602</v>
      </c>
      <c r="AI124">
        <v>0</v>
      </c>
    </row>
    <row r="125" spans="5:35" x14ac:dyDescent="0.45">
      <c r="E125" t="s">
        <v>1403</v>
      </c>
      <c r="G125" t="s">
        <v>158</v>
      </c>
      <c r="I125" t="s">
        <v>252</v>
      </c>
      <c r="J125" t="s">
        <v>1603</v>
      </c>
      <c r="K125">
        <v>0</v>
      </c>
      <c r="L125" t="s">
        <v>254</v>
      </c>
      <c r="N125" t="s">
        <v>422</v>
      </c>
      <c r="O125" t="s">
        <v>1603</v>
      </c>
      <c r="P125">
        <v>4.2534879998317017E-5</v>
      </c>
      <c r="Q125" t="s">
        <v>254</v>
      </c>
      <c r="S125" t="s">
        <v>423</v>
      </c>
      <c r="T125" t="s">
        <v>1603</v>
      </c>
      <c r="U125">
        <v>2.4459632006051952E-5</v>
      </c>
      <c r="V125" t="s">
        <v>254</v>
      </c>
      <c r="X125">
        <v>1.1415525114155251E-4</v>
      </c>
      <c r="Y125">
        <v>1.6574265138519424E-5</v>
      </c>
      <c r="Z125" t="s">
        <v>1603</v>
      </c>
      <c r="AA125" t="s">
        <v>25</v>
      </c>
      <c r="AC125" t="s">
        <v>22</v>
      </c>
      <c r="AD125" t="s">
        <v>1603</v>
      </c>
      <c r="AE125">
        <v>7.8563410383445338E-5</v>
      </c>
      <c r="AG125" t="s">
        <v>97</v>
      </c>
      <c r="AH125" t="s">
        <v>1603</v>
      </c>
      <c r="AI125">
        <v>0</v>
      </c>
    </row>
    <row r="126" spans="5:35" x14ac:dyDescent="0.45">
      <c r="E126" t="s">
        <v>1404</v>
      </c>
      <c r="G126" t="s">
        <v>158</v>
      </c>
      <c r="I126" t="s">
        <v>252</v>
      </c>
      <c r="J126" t="s">
        <v>1604</v>
      </c>
      <c r="K126">
        <v>0</v>
      </c>
      <c r="L126" t="s">
        <v>254</v>
      </c>
      <c r="N126" t="s">
        <v>422</v>
      </c>
      <c r="O126" t="s">
        <v>1604</v>
      </c>
      <c r="P126">
        <v>4.0610722388524391E-5</v>
      </c>
      <c r="Q126" t="s">
        <v>254</v>
      </c>
      <c r="S126" t="s">
        <v>423</v>
      </c>
      <c r="T126" t="s">
        <v>1604</v>
      </c>
      <c r="U126">
        <v>2.2666080990786007E-5</v>
      </c>
      <c r="V126" t="s">
        <v>254</v>
      </c>
      <c r="X126">
        <v>1.1415525114155251E-4</v>
      </c>
      <c r="Y126">
        <v>1.4585353321897093E-5</v>
      </c>
      <c r="Z126" t="s">
        <v>1604</v>
      </c>
      <c r="AA126" t="s">
        <v>25</v>
      </c>
      <c r="AC126" t="s">
        <v>22</v>
      </c>
      <c r="AD126" t="s">
        <v>1604</v>
      </c>
      <c r="AE126">
        <v>7.9427713394125414E-5</v>
      </c>
      <c r="AG126" t="s">
        <v>97</v>
      </c>
      <c r="AH126" t="s">
        <v>1604</v>
      </c>
      <c r="AI126">
        <v>0</v>
      </c>
    </row>
    <row r="127" spans="5:35" x14ac:dyDescent="0.45">
      <c r="E127" t="s">
        <v>1405</v>
      </c>
      <c r="G127" t="s">
        <v>158</v>
      </c>
      <c r="I127" t="s">
        <v>252</v>
      </c>
      <c r="J127" t="s">
        <v>1605</v>
      </c>
      <c r="K127">
        <v>0</v>
      </c>
      <c r="L127" t="s">
        <v>254</v>
      </c>
      <c r="N127" t="s">
        <v>422</v>
      </c>
      <c r="O127" t="s">
        <v>1605</v>
      </c>
      <c r="P127">
        <v>3.745057502489245E-5</v>
      </c>
      <c r="Q127" t="s">
        <v>254</v>
      </c>
      <c r="S127" t="s">
        <v>423</v>
      </c>
      <c r="T127" t="s">
        <v>1605</v>
      </c>
      <c r="U127">
        <v>2.1905318449678971E-5</v>
      </c>
      <c r="V127" t="s">
        <v>254</v>
      </c>
      <c r="X127">
        <v>1.1415525114155251E-4</v>
      </c>
      <c r="Y127">
        <v>2.1215059377304864E-5</v>
      </c>
      <c r="Z127" t="s">
        <v>1605</v>
      </c>
      <c r="AA127" t="s">
        <v>25</v>
      </c>
      <c r="AC127" t="s">
        <v>22</v>
      </c>
      <c r="AD127" t="s">
        <v>1605</v>
      </c>
      <c r="AE127">
        <v>8.5956013945208881E-5</v>
      </c>
      <c r="AG127" t="s">
        <v>97</v>
      </c>
      <c r="AH127" t="s">
        <v>1605</v>
      </c>
      <c r="AI127">
        <v>0</v>
      </c>
    </row>
    <row r="128" spans="5:35" x14ac:dyDescent="0.45">
      <c r="E128" t="s">
        <v>1406</v>
      </c>
      <c r="G128" t="s">
        <v>158</v>
      </c>
      <c r="I128" t="s">
        <v>252</v>
      </c>
      <c r="J128" t="s">
        <v>1606</v>
      </c>
      <c r="K128">
        <v>0</v>
      </c>
      <c r="L128" t="s">
        <v>254</v>
      </c>
      <c r="N128" t="s">
        <v>422</v>
      </c>
      <c r="O128" t="s">
        <v>1606</v>
      </c>
      <c r="P128">
        <v>3.2385372088986415E-5</v>
      </c>
      <c r="Q128" t="s">
        <v>254</v>
      </c>
      <c r="S128" t="s">
        <v>423</v>
      </c>
      <c r="T128" t="s">
        <v>1606</v>
      </c>
      <c r="U128">
        <v>2.1716637755565701E-5</v>
      </c>
      <c r="V128" t="s">
        <v>254</v>
      </c>
      <c r="X128">
        <v>1.1415525114155251E-4</v>
      </c>
      <c r="Y128">
        <v>5.7678442682047593E-5</v>
      </c>
      <c r="Z128" t="s">
        <v>1606</v>
      </c>
      <c r="AA128" t="s">
        <v>25</v>
      </c>
      <c r="AC128" t="s">
        <v>22</v>
      </c>
      <c r="AD128" t="s">
        <v>1606</v>
      </c>
      <c r="AE128">
        <v>1.0116058702658072E-4</v>
      </c>
      <c r="AG128" t="s">
        <v>97</v>
      </c>
      <c r="AH128" t="s">
        <v>1606</v>
      </c>
      <c r="AI128">
        <v>0</v>
      </c>
    </row>
    <row r="129" spans="5:35" x14ac:dyDescent="0.45">
      <c r="E129" t="s">
        <v>1407</v>
      </c>
      <c r="G129" t="s">
        <v>158</v>
      </c>
      <c r="I129" t="s">
        <v>252</v>
      </c>
      <c r="J129" t="s">
        <v>1607</v>
      </c>
      <c r="K129">
        <v>6.0806073441376678E-5</v>
      </c>
      <c r="L129" t="s">
        <v>254</v>
      </c>
      <c r="N129" t="s">
        <v>422</v>
      </c>
      <c r="O129" t="s">
        <v>1607</v>
      </c>
      <c r="P129">
        <v>2.7211177274688331E-5</v>
      </c>
      <c r="Q129" t="s">
        <v>254</v>
      </c>
      <c r="S129" t="s">
        <v>423</v>
      </c>
      <c r="T129" t="s">
        <v>1607</v>
      </c>
      <c r="U129">
        <v>2.1440446956429039E-5</v>
      </c>
      <c r="V129" t="s">
        <v>254</v>
      </c>
      <c r="X129">
        <v>1.1415525114155251E-4</v>
      </c>
      <c r="Y129">
        <v>1.6905750441289813E-4</v>
      </c>
      <c r="Z129" t="s">
        <v>1607</v>
      </c>
      <c r="AA129" t="s">
        <v>25</v>
      </c>
      <c r="AC129" t="s">
        <v>22</v>
      </c>
      <c r="AD129" t="s">
        <v>1607</v>
      </c>
      <c r="AE129">
        <v>1.1274173594779383E-4</v>
      </c>
      <c r="AG129" t="s">
        <v>97</v>
      </c>
      <c r="AH129" t="s">
        <v>1607</v>
      </c>
      <c r="AI129">
        <v>0</v>
      </c>
    </row>
    <row r="130" spans="5:35" x14ac:dyDescent="0.45">
      <c r="E130" t="s">
        <v>1408</v>
      </c>
      <c r="G130" t="s">
        <v>158</v>
      </c>
      <c r="I130" t="s">
        <v>252</v>
      </c>
      <c r="J130" t="s">
        <v>1608</v>
      </c>
      <c r="K130">
        <v>1.219571617026E-4</v>
      </c>
      <c r="L130" t="s">
        <v>254</v>
      </c>
      <c r="N130" t="s">
        <v>422</v>
      </c>
      <c r="O130" t="s">
        <v>1608</v>
      </c>
      <c r="P130">
        <v>2.181408613492133E-5</v>
      </c>
      <c r="Q130" t="s">
        <v>254</v>
      </c>
      <c r="S130" t="s">
        <v>423</v>
      </c>
      <c r="T130" t="s">
        <v>1608</v>
      </c>
      <c r="U130">
        <v>2.1916354465489799E-5</v>
      </c>
      <c r="V130" t="s">
        <v>254</v>
      </c>
      <c r="X130">
        <v>1.1415525114155251E-4</v>
      </c>
      <c r="Y130">
        <v>1.9060404909297337E-4</v>
      </c>
      <c r="Z130" t="s">
        <v>1608</v>
      </c>
      <c r="AA130" t="s">
        <v>25</v>
      </c>
      <c r="AC130" t="s">
        <v>22</v>
      </c>
      <c r="AD130" t="s">
        <v>1608</v>
      </c>
      <c r="AE130">
        <v>1.2158677770501974E-4</v>
      </c>
      <c r="AG130" t="s">
        <v>97</v>
      </c>
      <c r="AH130" t="s">
        <v>1608</v>
      </c>
      <c r="AI130">
        <v>0</v>
      </c>
    </row>
    <row r="131" spans="5:35" x14ac:dyDescent="0.45">
      <c r="E131" t="s">
        <v>1409</v>
      </c>
      <c r="G131" t="s">
        <v>158</v>
      </c>
      <c r="I131" t="s">
        <v>252</v>
      </c>
      <c r="J131" t="s">
        <v>1609</v>
      </c>
      <c r="K131">
        <v>1.88622437429E-4</v>
      </c>
      <c r="L131" t="s">
        <v>254</v>
      </c>
      <c r="N131" t="s">
        <v>422</v>
      </c>
      <c r="O131" t="s">
        <v>1609</v>
      </c>
      <c r="P131">
        <v>2.4853431620773699E-5</v>
      </c>
      <c r="Q131" t="s">
        <v>254</v>
      </c>
      <c r="S131" t="s">
        <v>423</v>
      </c>
      <c r="T131" t="s">
        <v>1609</v>
      </c>
      <c r="U131">
        <v>2.3781318442884761E-5</v>
      </c>
      <c r="V131" t="s">
        <v>254</v>
      </c>
      <c r="X131">
        <v>1.1415525114155251E-4</v>
      </c>
      <c r="Y131">
        <v>1.4585353321897094E-4</v>
      </c>
      <c r="Z131" t="s">
        <v>1609</v>
      </c>
      <c r="AA131" t="s">
        <v>25</v>
      </c>
      <c r="AC131" t="s">
        <v>22</v>
      </c>
      <c r="AD131" t="s">
        <v>1609</v>
      </c>
      <c r="AE131">
        <v>1.2655268435218152E-4</v>
      </c>
      <c r="AG131" t="s">
        <v>97</v>
      </c>
      <c r="AH131" t="s">
        <v>1609</v>
      </c>
      <c r="AI131">
        <v>0</v>
      </c>
    </row>
    <row r="132" spans="5:35" x14ac:dyDescent="0.45">
      <c r="E132" t="s">
        <v>1410</v>
      </c>
      <c r="G132" t="s">
        <v>158</v>
      </c>
      <c r="I132" t="s">
        <v>252</v>
      </c>
      <c r="J132" t="s">
        <v>1610</v>
      </c>
      <c r="K132">
        <v>2.4631117077800001E-4</v>
      </c>
      <c r="L132" t="s">
        <v>254</v>
      </c>
      <c r="N132" t="s">
        <v>422</v>
      </c>
      <c r="O132" t="s">
        <v>1610</v>
      </c>
      <c r="P132">
        <v>2.5246496241434214E-5</v>
      </c>
      <c r="Q132" t="s">
        <v>254</v>
      </c>
      <c r="S132" t="s">
        <v>423</v>
      </c>
      <c r="T132" t="s">
        <v>1610</v>
      </c>
      <c r="U132">
        <v>2.3654842116093544E-5</v>
      </c>
      <c r="V132" t="s">
        <v>254</v>
      </c>
      <c r="X132">
        <v>1.1415525114155251E-4</v>
      </c>
      <c r="Y132">
        <v>1.4452759200788939E-4</v>
      </c>
      <c r="Z132" t="s">
        <v>1610</v>
      </c>
      <c r="AA132" t="s">
        <v>25</v>
      </c>
      <c r="AC132" t="s">
        <v>22</v>
      </c>
      <c r="AD132" t="s">
        <v>1610</v>
      </c>
      <c r="AE132">
        <v>1.2707944890898653E-4</v>
      </c>
      <c r="AG132" t="s">
        <v>97</v>
      </c>
      <c r="AH132" t="s">
        <v>1610</v>
      </c>
      <c r="AI132">
        <v>0</v>
      </c>
    </row>
    <row r="133" spans="5:35" x14ac:dyDescent="0.45">
      <c r="E133" t="s">
        <v>1411</v>
      </c>
      <c r="G133" t="s">
        <v>158</v>
      </c>
      <c r="I133" t="s">
        <v>252</v>
      </c>
      <c r="J133" t="s">
        <v>1611</v>
      </c>
      <c r="K133">
        <v>2.8232618237520002E-4</v>
      </c>
      <c r="L133" t="s">
        <v>254</v>
      </c>
      <c r="N133" t="s">
        <v>422</v>
      </c>
      <c r="O133" t="s">
        <v>1611</v>
      </c>
      <c r="P133">
        <v>2.4167362561615629E-5</v>
      </c>
      <c r="Q133" t="s">
        <v>254</v>
      </c>
      <c r="S133" t="s">
        <v>423</v>
      </c>
      <c r="T133" t="s">
        <v>1611</v>
      </c>
      <c r="U133">
        <v>2.7648689781416031E-5</v>
      </c>
      <c r="V133" t="s">
        <v>254</v>
      </c>
      <c r="X133">
        <v>1.1415525114155251E-4</v>
      </c>
      <c r="Y133">
        <v>1.408812536774151E-4</v>
      </c>
      <c r="Z133" t="s">
        <v>1611</v>
      </c>
      <c r="AA133" t="s">
        <v>25</v>
      </c>
      <c r="AC133" t="s">
        <v>22</v>
      </c>
      <c r="AD133" t="s">
        <v>1611</v>
      </c>
      <c r="AE133">
        <v>1.2717917617944963E-4</v>
      </c>
      <c r="AG133" t="s">
        <v>97</v>
      </c>
      <c r="AH133" t="s">
        <v>1611</v>
      </c>
      <c r="AI133">
        <v>0</v>
      </c>
    </row>
    <row r="134" spans="5:35" x14ac:dyDescent="0.45">
      <c r="E134" t="s">
        <v>1412</v>
      </c>
      <c r="G134" t="s">
        <v>158</v>
      </c>
      <c r="I134" t="s">
        <v>252</v>
      </c>
      <c r="J134" t="s">
        <v>1612</v>
      </c>
      <c r="K134">
        <v>3.0695463095269999E-4</v>
      </c>
      <c r="L134" t="s">
        <v>254</v>
      </c>
      <c r="N134" t="s">
        <v>422</v>
      </c>
      <c r="O134" t="s">
        <v>1612</v>
      </c>
      <c r="P134">
        <v>2.5861223468253771E-5</v>
      </c>
      <c r="Q134" t="s">
        <v>254</v>
      </c>
      <c r="S134" t="s">
        <v>423</v>
      </c>
      <c r="T134" t="s">
        <v>1612</v>
      </c>
      <c r="U134">
        <v>3.4115841282625379E-5</v>
      </c>
      <c r="V134" t="s">
        <v>254</v>
      </c>
      <c r="X134">
        <v>1.1415525114155251E-4</v>
      </c>
      <c r="Y134">
        <v>1.4054976837464471E-4</v>
      </c>
      <c r="Z134" t="s">
        <v>1612</v>
      </c>
      <c r="AA134" t="s">
        <v>25</v>
      </c>
      <c r="AC134" t="s">
        <v>22</v>
      </c>
      <c r="AD134" t="s">
        <v>1612</v>
      </c>
      <c r="AE134">
        <v>1.2727890344991271E-4</v>
      </c>
      <c r="AG134" t="s">
        <v>97</v>
      </c>
      <c r="AH134" t="s">
        <v>1612</v>
      </c>
      <c r="AI134">
        <v>0</v>
      </c>
    </row>
    <row r="135" spans="5:35" x14ac:dyDescent="0.45">
      <c r="E135" t="s">
        <v>1413</v>
      </c>
      <c r="G135" t="s">
        <v>158</v>
      </c>
      <c r="I135" t="s">
        <v>252</v>
      </c>
      <c r="J135" t="s">
        <v>1613</v>
      </c>
      <c r="K135">
        <v>3.0320226442499999E-4</v>
      </c>
      <c r="L135" t="s">
        <v>254</v>
      </c>
      <c r="N135" t="s">
        <v>422</v>
      </c>
      <c r="O135" t="s">
        <v>1613</v>
      </c>
      <c r="P135">
        <v>2.8075922670839317E-5</v>
      </c>
      <c r="Q135" t="s">
        <v>254</v>
      </c>
      <c r="S135" t="s">
        <v>423</v>
      </c>
      <c r="T135" t="s">
        <v>1613</v>
      </c>
      <c r="U135">
        <v>3.9474756991771576E-5</v>
      </c>
      <c r="V135" t="s">
        <v>254</v>
      </c>
      <c r="X135">
        <v>1.1415525114155251E-4</v>
      </c>
      <c r="Y135">
        <v>1.4253868019126702E-4</v>
      </c>
      <c r="Z135" t="s">
        <v>1613</v>
      </c>
      <c r="AA135" t="s">
        <v>25</v>
      </c>
      <c r="AC135" t="s">
        <v>22</v>
      </c>
      <c r="AD135" t="s">
        <v>1613</v>
      </c>
      <c r="AE135">
        <v>1.2736584517288055E-4</v>
      </c>
      <c r="AG135" t="s">
        <v>97</v>
      </c>
      <c r="AH135" t="s">
        <v>1613</v>
      </c>
      <c r="AI135">
        <v>0</v>
      </c>
    </row>
    <row r="136" spans="5:35" x14ac:dyDescent="0.45">
      <c r="E136" t="s">
        <v>1414</v>
      </c>
      <c r="G136" t="s">
        <v>158</v>
      </c>
      <c r="I136" t="s">
        <v>252</v>
      </c>
      <c r="J136" t="s">
        <v>1614</v>
      </c>
      <c r="K136">
        <v>3.046185948099E-4</v>
      </c>
      <c r="L136" t="s">
        <v>254</v>
      </c>
      <c r="N136" t="s">
        <v>422</v>
      </c>
      <c r="O136" t="s">
        <v>1614</v>
      </c>
      <c r="P136">
        <v>3.1085247105171507E-5</v>
      </c>
      <c r="Q136" t="s">
        <v>254</v>
      </c>
      <c r="S136" t="s">
        <v>423</v>
      </c>
      <c r="T136" t="s">
        <v>1614</v>
      </c>
      <c r="U136">
        <v>4.5872459224707019E-5</v>
      </c>
      <c r="V136" t="s">
        <v>254</v>
      </c>
      <c r="X136">
        <v>1.1415525114155251E-4</v>
      </c>
      <c r="Y136">
        <v>1.4883690094390442E-4</v>
      </c>
      <c r="Z136" t="s">
        <v>1614</v>
      </c>
      <c r="AA136" t="s">
        <v>25</v>
      </c>
      <c r="AC136" t="s">
        <v>22</v>
      </c>
      <c r="AD136" t="s">
        <v>1614</v>
      </c>
      <c r="AE136">
        <v>1.2630975894977145E-4</v>
      </c>
      <c r="AG136" t="s">
        <v>97</v>
      </c>
      <c r="AH136" t="s">
        <v>1614</v>
      </c>
      <c r="AI136">
        <v>0</v>
      </c>
    </row>
    <row r="137" spans="5:35" x14ac:dyDescent="0.45">
      <c r="E137" t="s">
        <v>1415</v>
      </c>
      <c r="G137" t="s">
        <v>158</v>
      </c>
      <c r="I137" t="s">
        <v>252</v>
      </c>
      <c r="J137" t="s">
        <v>1615</v>
      </c>
      <c r="K137">
        <v>2.8173201002049998E-4</v>
      </c>
      <c r="L137" t="s">
        <v>254</v>
      </c>
      <c r="N137" t="s">
        <v>422</v>
      </c>
      <c r="O137" t="s">
        <v>1615</v>
      </c>
      <c r="P137">
        <v>3.3127284056667087E-5</v>
      </c>
      <c r="Q137" t="s">
        <v>254</v>
      </c>
      <c r="S137" t="s">
        <v>423</v>
      </c>
      <c r="T137" t="s">
        <v>1615</v>
      </c>
      <c r="U137">
        <v>5.6105571336600649E-5</v>
      </c>
      <c r="V137" t="s">
        <v>254</v>
      </c>
      <c r="X137">
        <v>1.1415525114155251E-4</v>
      </c>
      <c r="Y137">
        <v>1.5049432745775637E-4</v>
      </c>
      <c r="Z137" t="s">
        <v>1615</v>
      </c>
      <c r="AA137" t="s">
        <v>25</v>
      </c>
      <c r="AC137" t="s">
        <v>22</v>
      </c>
      <c r="AD137" t="s">
        <v>1615</v>
      </c>
      <c r="AE137">
        <v>1.2529458647864722E-4</v>
      </c>
      <c r="AG137" t="s">
        <v>97</v>
      </c>
      <c r="AH137" t="s">
        <v>1615</v>
      </c>
      <c r="AI137">
        <v>0</v>
      </c>
    </row>
    <row r="138" spans="5:35" x14ac:dyDescent="0.45">
      <c r="E138" t="s">
        <v>1416</v>
      </c>
      <c r="G138" t="s">
        <v>158</v>
      </c>
      <c r="I138" t="s">
        <v>252</v>
      </c>
      <c r="J138" t="s">
        <v>1616</v>
      </c>
      <c r="K138">
        <v>2.293073349313E-4</v>
      </c>
      <c r="L138" t="s">
        <v>254</v>
      </c>
      <c r="N138" t="s">
        <v>422</v>
      </c>
      <c r="O138" t="s">
        <v>1616</v>
      </c>
      <c r="P138">
        <v>3.8672711731084677E-5</v>
      </c>
      <c r="Q138" t="s">
        <v>254</v>
      </c>
      <c r="S138" t="s">
        <v>423</v>
      </c>
      <c r="T138" t="s">
        <v>1616</v>
      </c>
      <c r="U138">
        <v>6.8427249604775881E-5</v>
      </c>
      <c r="V138" t="s">
        <v>254</v>
      </c>
      <c r="X138">
        <v>1.1415525114155251E-4</v>
      </c>
      <c r="Y138">
        <v>1.7237235744060203E-4</v>
      </c>
      <c r="Z138" t="s">
        <v>1616</v>
      </c>
      <c r="AA138" t="s">
        <v>25</v>
      </c>
      <c r="AC138" t="s">
        <v>22</v>
      </c>
      <c r="AD138" t="s">
        <v>1616</v>
      </c>
      <c r="AE138">
        <v>1.2492380560128448E-4</v>
      </c>
      <c r="AG138" t="s">
        <v>97</v>
      </c>
      <c r="AH138" t="s">
        <v>1616</v>
      </c>
      <c r="AI138">
        <v>0</v>
      </c>
    </row>
    <row r="139" spans="5:35" x14ac:dyDescent="0.45">
      <c r="E139" t="s">
        <v>1417</v>
      </c>
      <c r="G139" t="s">
        <v>158</v>
      </c>
      <c r="I139" t="s">
        <v>252</v>
      </c>
      <c r="J139" t="s">
        <v>1617</v>
      </c>
      <c r="K139">
        <v>1.9329758813709999E-4</v>
      </c>
      <c r="L139" t="s">
        <v>254</v>
      </c>
      <c r="N139" t="s">
        <v>422</v>
      </c>
      <c r="O139" t="s">
        <v>1617</v>
      </c>
      <c r="P139">
        <v>4.0210154167966089E-5</v>
      </c>
      <c r="Q139" t="s">
        <v>254</v>
      </c>
      <c r="S139" t="s">
        <v>423</v>
      </c>
      <c r="T139" t="s">
        <v>1617</v>
      </c>
      <c r="U139">
        <v>7.9559019278035577E-5</v>
      </c>
      <c r="V139" t="s">
        <v>254</v>
      </c>
      <c r="X139">
        <v>1.1415525114155251E-4</v>
      </c>
      <c r="Y139">
        <v>2.2209515285616027E-4</v>
      </c>
      <c r="Z139" t="s">
        <v>1617</v>
      </c>
      <c r="AA139" t="s">
        <v>25</v>
      </c>
      <c r="AC139" t="s">
        <v>22</v>
      </c>
      <c r="AD139" t="s">
        <v>1617</v>
      </c>
      <c r="AE139">
        <v>1.24565810271417E-4</v>
      </c>
      <c r="AG139" t="s">
        <v>97</v>
      </c>
      <c r="AH139" t="s">
        <v>1617</v>
      </c>
      <c r="AI139">
        <v>0</v>
      </c>
    </row>
    <row r="140" spans="5:35" x14ac:dyDescent="0.45">
      <c r="E140" t="s">
        <v>1418</v>
      </c>
      <c r="G140" t="s">
        <v>158</v>
      </c>
      <c r="I140" t="s">
        <v>252</v>
      </c>
      <c r="J140" t="s">
        <v>1618</v>
      </c>
      <c r="K140">
        <v>1.6086372764329999E-4</v>
      </c>
      <c r="L140" t="s">
        <v>254</v>
      </c>
      <c r="N140" t="s">
        <v>422</v>
      </c>
      <c r="O140" t="s">
        <v>1618</v>
      </c>
      <c r="P140">
        <v>4.3845352115939689E-5</v>
      </c>
      <c r="Q140" t="s">
        <v>254</v>
      </c>
      <c r="S140" t="s">
        <v>423</v>
      </c>
      <c r="T140" t="s">
        <v>1618</v>
      </c>
      <c r="U140">
        <v>9.2026471760082296E-5</v>
      </c>
      <c r="V140" t="s">
        <v>254</v>
      </c>
      <c r="X140">
        <v>1.1415525114155251E-4</v>
      </c>
      <c r="Y140">
        <v>2.2209515285616027E-4</v>
      </c>
      <c r="Z140" t="s">
        <v>1618</v>
      </c>
      <c r="AA140" t="s">
        <v>25</v>
      </c>
      <c r="AC140" t="s">
        <v>22</v>
      </c>
      <c r="AD140" t="s">
        <v>1618</v>
      </c>
      <c r="AE140">
        <v>1.24565810271417E-4</v>
      </c>
      <c r="AG140" t="s">
        <v>97</v>
      </c>
      <c r="AH140" t="s">
        <v>1618</v>
      </c>
      <c r="AI140">
        <v>0</v>
      </c>
    </row>
    <row r="141" spans="5:35" x14ac:dyDescent="0.45">
      <c r="E141" t="s">
        <v>1419</v>
      </c>
      <c r="G141" t="s">
        <v>158</v>
      </c>
      <c r="I141" t="s">
        <v>252</v>
      </c>
      <c r="J141" t="s">
        <v>1619</v>
      </c>
      <c r="K141">
        <v>1.123763359041E-4</v>
      </c>
      <c r="L141" t="s">
        <v>254</v>
      </c>
      <c r="N141" t="s">
        <v>422</v>
      </c>
      <c r="O141" t="s">
        <v>1619</v>
      </c>
      <c r="P141">
        <v>4.5842034943486106E-5</v>
      </c>
      <c r="Q141" t="s">
        <v>254</v>
      </c>
      <c r="S141" t="s">
        <v>423</v>
      </c>
      <c r="T141" t="s">
        <v>1619</v>
      </c>
      <c r="U141">
        <v>1.035612562249E-4</v>
      </c>
      <c r="V141" t="s">
        <v>254</v>
      </c>
      <c r="X141">
        <v>1.1415525114155251E-4</v>
      </c>
      <c r="Y141">
        <v>1.7237235744060203E-4</v>
      </c>
      <c r="Z141" t="s">
        <v>1619</v>
      </c>
      <c r="AA141" t="s">
        <v>25</v>
      </c>
      <c r="AC141" t="s">
        <v>22</v>
      </c>
      <c r="AD141" t="s">
        <v>1619</v>
      </c>
      <c r="AE141">
        <v>1.2379356320270287E-4</v>
      </c>
      <c r="AG141" t="s">
        <v>97</v>
      </c>
      <c r="AH141" t="s">
        <v>1619</v>
      </c>
      <c r="AI141">
        <v>0</v>
      </c>
    </row>
    <row r="142" spans="5:35" x14ac:dyDescent="0.45">
      <c r="E142" t="s">
        <v>1420</v>
      </c>
      <c r="G142" t="s">
        <v>158</v>
      </c>
      <c r="I142" t="s">
        <v>252</v>
      </c>
      <c r="J142" t="s">
        <v>1620</v>
      </c>
      <c r="K142">
        <v>9.5364348313986395E-5</v>
      </c>
      <c r="L142" t="s">
        <v>254</v>
      </c>
      <c r="N142" t="s">
        <v>422</v>
      </c>
      <c r="O142" t="s">
        <v>1620</v>
      </c>
      <c r="P142">
        <v>5.2517188187807499E-5</v>
      </c>
      <c r="Q142" t="s">
        <v>254</v>
      </c>
      <c r="S142" t="s">
        <v>423</v>
      </c>
      <c r="T142" t="s">
        <v>1620</v>
      </c>
      <c r="U142">
        <v>1.161739804864E-4</v>
      </c>
      <c r="V142" t="s">
        <v>254</v>
      </c>
      <c r="X142">
        <v>1.1415525114155251E-4</v>
      </c>
      <c r="Y142">
        <v>1.5579809230208258E-4</v>
      </c>
      <c r="Z142" t="s">
        <v>1620</v>
      </c>
      <c r="AA142" t="s">
        <v>25</v>
      </c>
      <c r="AC142" t="s">
        <v>22</v>
      </c>
      <c r="AD142" t="s">
        <v>1620</v>
      </c>
      <c r="AE142">
        <v>1.2131316698862101E-4</v>
      </c>
      <c r="AG142" t="s">
        <v>97</v>
      </c>
      <c r="AH142" t="s">
        <v>1620</v>
      </c>
      <c r="AI142">
        <v>0</v>
      </c>
    </row>
    <row r="143" spans="5:35" x14ac:dyDescent="0.45">
      <c r="E143" t="s">
        <v>1421</v>
      </c>
      <c r="G143" t="s">
        <v>158</v>
      </c>
      <c r="I143" t="s">
        <v>252</v>
      </c>
      <c r="J143" t="s">
        <v>1621</v>
      </c>
      <c r="K143">
        <v>0</v>
      </c>
      <c r="L143" t="s">
        <v>254</v>
      </c>
      <c r="N143" t="s">
        <v>422</v>
      </c>
      <c r="O143" t="s">
        <v>1621</v>
      </c>
      <c r="P143">
        <v>6.0451291337154123E-5</v>
      </c>
      <c r="Q143" t="s">
        <v>254</v>
      </c>
      <c r="S143" t="s">
        <v>423</v>
      </c>
      <c r="T143" t="s">
        <v>1621</v>
      </c>
      <c r="U143">
        <v>1.2373591957339999E-4</v>
      </c>
      <c r="V143" t="s">
        <v>254</v>
      </c>
      <c r="X143">
        <v>1.1415525114155251E-4</v>
      </c>
      <c r="Y143">
        <v>1.093901499142282E-4</v>
      </c>
      <c r="Z143" t="s">
        <v>1621</v>
      </c>
      <c r="AA143" t="s">
        <v>25</v>
      </c>
      <c r="AC143" t="s">
        <v>22</v>
      </c>
      <c r="AD143" t="s">
        <v>1621</v>
      </c>
      <c r="AE143">
        <v>1.1500477785445612E-4</v>
      </c>
      <c r="AG143" t="s">
        <v>97</v>
      </c>
      <c r="AH143" t="s">
        <v>1621</v>
      </c>
      <c r="AI143">
        <v>0</v>
      </c>
    </row>
    <row r="144" spans="5:35" x14ac:dyDescent="0.45">
      <c r="E144" t="s">
        <v>1422</v>
      </c>
      <c r="G144" t="s">
        <v>158</v>
      </c>
      <c r="I144" t="s">
        <v>252</v>
      </c>
      <c r="J144" t="s">
        <v>1622</v>
      </c>
      <c r="K144">
        <v>0</v>
      </c>
      <c r="L144" t="s">
        <v>254</v>
      </c>
      <c r="N144" t="s">
        <v>422</v>
      </c>
      <c r="O144" t="s">
        <v>1622</v>
      </c>
      <c r="P144">
        <v>6.6781063486463004E-5</v>
      </c>
      <c r="Q144" t="s">
        <v>254</v>
      </c>
      <c r="S144" t="s">
        <v>423</v>
      </c>
      <c r="T144" t="s">
        <v>1622</v>
      </c>
      <c r="U144">
        <v>1.2883800508259999E-4</v>
      </c>
      <c r="V144" t="s">
        <v>254</v>
      </c>
      <c r="X144">
        <v>1.1415525114155251E-4</v>
      </c>
      <c r="Y144">
        <v>7.9556472664893237E-5</v>
      </c>
      <c r="Z144" t="s">
        <v>1622</v>
      </c>
      <c r="AA144" t="s">
        <v>25</v>
      </c>
      <c r="AC144" t="s">
        <v>22</v>
      </c>
      <c r="AD144" t="s">
        <v>1622</v>
      </c>
      <c r="AE144">
        <v>1.0846113464637833E-4</v>
      </c>
      <c r="AG144" t="s">
        <v>97</v>
      </c>
      <c r="AH144" t="s">
        <v>1622</v>
      </c>
      <c r="AI144">
        <v>0</v>
      </c>
    </row>
    <row r="145" spans="5:35" x14ac:dyDescent="0.45">
      <c r="E145" t="s">
        <v>1423</v>
      </c>
      <c r="G145" t="s">
        <v>158</v>
      </c>
      <c r="I145" t="s">
        <v>252</v>
      </c>
      <c r="J145" t="s">
        <v>1623</v>
      </c>
      <c r="K145">
        <v>0</v>
      </c>
      <c r="L145" t="s">
        <v>254</v>
      </c>
      <c r="N145" t="s">
        <v>422</v>
      </c>
      <c r="O145" t="s">
        <v>1623</v>
      </c>
      <c r="P145">
        <v>7.5445420191800727E-5</v>
      </c>
      <c r="Q145" t="s">
        <v>254</v>
      </c>
      <c r="S145" t="s">
        <v>423</v>
      </c>
      <c r="T145" t="s">
        <v>1623</v>
      </c>
      <c r="U145">
        <v>1.3318219863570001E-4</v>
      </c>
      <c r="V145" t="s">
        <v>254</v>
      </c>
      <c r="X145">
        <v>1.1415525114155251E-4</v>
      </c>
      <c r="Y145">
        <v>5.6352501470966035E-5</v>
      </c>
      <c r="Z145" t="s">
        <v>1623</v>
      </c>
      <c r="AA145" t="s">
        <v>25</v>
      </c>
      <c r="AC145" t="s">
        <v>22</v>
      </c>
      <c r="AD145" t="s">
        <v>1623</v>
      </c>
      <c r="AE145">
        <v>9.4632286475497253E-5</v>
      </c>
      <c r="AG145" t="s">
        <v>97</v>
      </c>
      <c r="AH145" t="s">
        <v>1623</v>
      </c>
      <c r="AI145">
        <v>0</v>
      </c>
    </row>
    <row r="146" spans="5:35" x14ac:dyDescent="0.45">
      <c r="E146" t="s">
        <v>1424</v>
      </c>
      <c r="G146" t="s">
        <v>158</v>
      </c>
      <c r="I146" t="s">
        <v>252</v>
      </c>
      <c r="J146" t="s">
        <v>1624</v>
      </c>
      <c r="K146">
        <v>0</v>
      </c>
      <c r="L146" t="s">
        <v>254</v>
      </c>
      <c r="N146" t="s">
        <v>422</v>
      </c>
      <c r="O146" t="s">
        <v>1624</v>
      </c>
      <c r="P146">
        <v>8.2953497165422576E-5</v>
      </c>
      <c r="Q146" t="s">
        <v>254</v>
      </c>
      <c r="S146" t="s">
        <v>423</v>
      </c>
      <c r="T146" t="s">
        <v>1624</v>
      </c>
      <c r="U146">
        <v>1.337347279809E-4</v>
      </c>
      <c r="V146" t="s">
        <v>254</v>
      </c>
      <c r="X146">
        <v>1.1415525114155251E-4</v>
      </c>
      <c r="Y146">
        <v>2.9833677249334962E-5</v>
      </c>
      <c r="Z146" t="s">
        <v>1624</v>
      </c>
      <c r="AA146" t="s">
        <v>25</v>
      </c>
      <c r="AC146" t="s">
        <v>22</v>
      </c>
      <c r="AD146" t="s">
        <v>1624</v>
      </c>
      <c r="AE146">
        <v>8.5385778526919957E-5</v>
      </c>
      <c r="AG146" t="s">
        <v>97</v>
      </c>
      <c r="AH146" t="s">
        <v>1624</v>
      </c>
      <c r="AI146">
        <v>0</v>
      </c>
    </row>
    <row r="147" spans="5:35" x14ac:dyDescent="0.45">
      <c r="E147" t="s">
        <v>1425</v>
      </c>
      <c r="G147" t="s">
        <v>158</v>
      </c>
      <c r="I147" t="s">
        <v>252</v>
      </c>
      <c r="J147" t="s">
        <v>1625</v>
      </c>
      <c r="K147">
        <v>0</v>
      </c>
      <c r="L147" t="s">
        <v>254</v>
      </c>
      <c r="N147" t="s">
        <v>422</v>
      </c>
      <c r="O147" t="s">
        <v>1625</v>
      </c>
      <c r="P147">
        <v>8.7664898498623857E-5</v>
      </c>
      <c r="Q147" t="s">
        <v>254</v>
      </c>
      <c r="S147" t="s">
        <v>423</v>
      </c>
      <c r="T147" t="s">
        <v>1625</v>
      </c>
      <c r="U147">
        <v>1.2544885527920001E-4</v>
      </c>
      <c r="V147" t="s">
        <v>254</v>
      </c>
      <c r="X147">
        <v>1.1415525114155251E-4</v>
      </c>
      <c r="Y147">
        <v>2.1546544680075254E-5</v>
      </c>
      <c r="Z147" t="s">
        <v>1625</v>
      </c>
      <c r="AA147" t="s">
        <v>25</v>
      </c>
      <c r="AC147" t="s">
        <v>22</v>
      </c>
      <c r="AD147" t="s">
        <v>1625</v>
      </c>
      <c r="AE147">
        <v>7.9680867234531701E-5</v>
      </c>
      <c r="AG147" t="s">
        <v>97</v>
      </c>
      <c r="AH147" t="s">
        <v>1625</v>
      </c>
      <c r="AI147">
        <v>0</v>
      </c>
    </row>
    <row r="148" spans="5:35" x14ac:dyDescent="0.45">
      <c r="E148" t="s">
        <v>1426</v>
      </c>
      <c r="G148" t="s">
        <v>158</v>
      </c>
      <c r="I148" t="s">
        <v>252</v>
      </c>
      <c r="J148" t="s">
        <v>1626</v>
      </c>
      <c r="K148">
        <v>0</v>
      </c>
      <c r="L148" t="s">
        <v>254</v>
      </c>
      <c r="N148" t="s">
        <v>422</v>
      </c>
      <c r="O148" t="s">
        <v>1626</v>
      </c>
      <c r="P148">
        <v>9.0808021501416738E-5</v>
      </c>
      <c r="Q148" t="s">
        <v>254</v>
      </c>
      <c r="S148" t="s">
        <v>423</v>
      </c>
      <c r="T148" t="s">
        <v>1626</v>
      </c>
      <c r="U148">
        <v>1.2383293909559999E-4</v>
      </c>
      <c r="V148" t="s">
        <v>254</v>
      </c>
      <c r="X148">
        <v>1.1415525114155251E-4</v>
      </c>
      <c r="Y148">
        <v>1.4916838624667481E-5</v>
      </c>
      <c r="Z148" t="s">
        <v>1626</v>
      </c>
      <c r="AA148" t="s">
        <v>25</v>
      </c>
      <c r="AC148" t="s">
        <v>22</v>
      </c>
      <c r="AD148" t="s">
        <v>1626</v>
      </c>
      <c r="AE148">
        <v>7.8563410383445338E-5</v>
      </c>
      <c r="AG148" t="s">
        <v>97</v>
      </c>
      <c r="AH148" t="s">
        <v>1626</v>
      </c>
      <c r="AI148">
        <v>0</v>
      </c>
    </row>
    <row r="149" spans="5:35" x14ac:dyDescent="0.45">
      <c r="E149" t="s">
        <v>1427</v>
      </c>
      <c r="G149" t="s">
        <v>158</v>
      </c>
      <c r="I149" t="s">
        <v>252</v>
      </c>
      <c r="J149" t="s">
        <v>1627</v>
      </c>
      <c r="K149">
        <v>0</v>
      </c>
      <c r="L149" t="s">
        <v>254</v>
      </c>
      <c r="N149" t="s">
        <v>422</v>
      </c>
      <c r="O149" t="s">
        <v>1627</v>
      </c>
      <c r="P149">
        <v>9.3554259094894823E-5</v>
      </c>
      <c r="Q149" t="s">
        <v>254</v>
      </c>
      <c r="S149" t="s">
        <v>423</v>
      </c>
      <c r="T149" t="s">
        <v>1627</v>
      </c>
      <c r="U149">
        <v>1.3542456613599999E-4</v>
      </c>
      <c r="V149" t="s">
        <v>254</v>
      </c>
      <c r="X149">
        <v>1.1415525114155251E-4</v>
      </c>
      <c r="Y149">
        <v>1.6574265138519424E-5</v>
      </c>
      <c r="Z149" t="s">
        <v>1627</v>
      </c>
      <c r="AA149" t="s">
        <v>25</v>
      </c>
      <c r="AC149" t="s">
        <v>22</v>
      </c>
      <c r="AD149" t="s">
        <v>1627</v>
      </c>
      <c r="AE149">
        <v>7.8563410383445338E-5</v>
      </c>
      <c r="AG149" t="s">
        <v>97</v>
      </c>
      <c r="AH149" t="s">
        <v>1627</v>
      </c>
      <c r="AI149">
        <v>0</v>
      </c>
    </row>
    <row r="150" spans="5:35" x14ac:dyDescent="0.45">
      <c r="E150" t="s">
        <v>1428</v>
      </c>
      <c r="G150" t="s">
        <v>158</v>
      </c>
      <c r="I150" t="s">
        <v>252</v>
      </c>
      <c r="J150" t="s">
        <v>1628</v>
      </c>
      <c r="K150">
        <v>0</v>
      </c>
      <c r="L150" t="s">
        <v>254</v>
      </c>
      <c r="N150" t="s">
        <v>422</v>
      </c>
      <c r="O150" t="s">
        <v>1628</v>
      </c>
      <c r="P150">
        <v>9.5447205848939764E-5</v>
      </c>
      <c r="Q150" t="s">
        <v>254</v>
      </c>
      <c r="S150" t="s">
        <v>423</v>
      </c>
      <c r="T150" t="s">
        <v>1628</v>
      </c>
      <c r="U150">
        <v>1.3988582204190001E-4</v>
      </c>
      <c r="V150" t="s">
        <v>254</v>
      </c>
      <c r="X150">
        <v>1.1415525114155251E-4</v>
      </c>
      <c r="Y150">
        <v>1.4585353321897093E-5</v>
      </c>
      <c r="Z150" t="s">
        <v>1628</v>
      </c>
      <c r="AA150" t="s">
        <v>25</v>
      </c>
      <c r="AC150" t="s">
        <v>22</v>
      </c>
      <c r="AD150" t="s">
        <v>1628</v>
      </c>
      <c r="AE150">
        <v>7.9427713394125414E-5</v>
      </c>
      <c r="AG150" t="s">
        <v>97</v>
      </c>
      <c r="AH150" t="s">
        <v>1628</v>
      </c>
      <c r="AI150">
        <v>0</v>
      </c>
    </row>
    <row r="151" spans="5:35" x14ac:dyDescent="0.45">
      <c r="E151" t="s">
        <v>1429</v>
      </c>
      <c r="G151" t="s">
        <v>158</v>
      </c>
      <c r="I151" t="s">
        <v>252</v>
      </c>
      <c r="J151" t="s">
        <v>1629</v>
      </c>
      <c r="K151">
        <v>0</v>
      </c>
      <c r="L151" t="s">
        <v>254</v>
      </c>
      <c r="N151" t="s">
        <v>422</v>
      </c>
      <c r="O151" t="s">
        <v>1629</v>
      </c>
      <c r="P151">
        <v>1.026988867769E-4</v>
      </c>
      <c r="Q151" t="s">
        <v>254</v>
      </c>
      <c r="S151" t="s">
        <v>423</v>
      </c>
      <c r="T151" t="s">
        <v>1629</v>
      </c>
      <c r="U151">
        <v>1.396699853555E-4</v>
      </c>
      <c r="V151" t="s">
        <v>254</v>
      </c>
      <c r="X151">
        <v>1.1415525114155251E-4</v>
      </c>
      <c r="Y151">
        <v>2.1215059377304864E-5</v>
      </c>
      <c r="Z151" t="s">
        <v>1629</v>
      </c>
      <c r="AA151" t="s">
        <v>25</v>
      </c>
      <c r="AC151" t="s">
        <v>22</v>
      </c>
      <c r="AD151" t="s">
        <v>1629</v>
      </c>
      <c r="AE151">
        <v>8.5956013945208881E-5</v>
      </c>
      <c r="AG151" t="s">
        <v>97</v>
      </c>
      <c r="AH151" t="s">
        <v>1629</v>
      </c>
      <c r="AI151">
        <v>0</v>
      </c>
    </row>
    <row r="152" spans="5:35" x14ac:dyDescent="0.45">
      <c r="E152" t="s">
        <v>1430</v>
      </c>
      <c r="G152" t="s">
        <v>158</v>
      </c>
      <c r="I152" t="s">
        <v>252</v>
      </c>
      <c r="J152" t="s">
        <v>1630</v>
      </c>
      <c r="K152">
        <v>0</v>
      </c>
      <c r="L152" t="s">
        <v>254</v>
      </c>
      <c r="N152" t="s">
        <v>422</v>
      </c>
      <c r="O152" t="s">
        <v>1630</v>
      </c>
      <c r="P152">
        <v>1.0791722901710001E-4</v>
      </c>
      <c r="Q152" t="s">
        <v>254</v>
      </c>
      <c r="S152" t="s">
        <v>423</v>
      </c>
      <c r="T152" t="s">
        <v>1630</v>
      </c>
      <c r="U152">
        <v>1.3040636216390001E-4</v>
      </c>
      <c r="V152" t="s">
        <v>254</v>
      </c>
      <c r="X152">
        <v>1.1415525114155251E-4</v>
      </c>
      <c r="Y152">
        <v>5.7678442682047593E-5</v>
      </c>
      <c r="Z152" t="s">
        <v>1630</v>
      </c>
      <c r="AA152" t="s">
        <v>25</v>
      </c>
      <c r="AC152" t="s">
        <v>22</v>
      </c>
      <c r="AD152" t="s">
        <v>1630</v>
      </c>
      <c r="AE152">
        <v>1.0116058702658071E-4</v>
      </c>
      <c r="AG152" t="s">
        <v>97</v>
      </c>
      <c r="AH152" t="s">
        <v>1630</v>
      </c>
      <c r="AI152">
        <v>0</v>
      </c>
    </row>
    <row r="153" spans="5:35" x14ac:dyDescent="0.45">
      <c r="E153" t="s">
        <v>1431</v>
      </c>
      <c r="G153" t="s">
        <v>158</v>
      </c>
      <c r="I153" t="s">
        <v>252</v>
      </c>
      <c r="J153" t="s">
        <v>1631</v>
      </c>
      <c r="K153">
        <v>1.3833572139829999E-4</v>
      </c>
      <c r="L153" t="s">
        <v>254</v>
      </c>
      <c r="N153" t="s">
        <v>422</v>
      </c>
      <c r="O153" t="s">
        <v>1631</v>
      </c>
      <c r="P153">
        <v>1.0621417795410001E-4</v>
      </c>
      <c r="Q153" t="s">
        <v>254</v>
      </c>
      <c r="S153" t="s">
        <v>423</v>
      </c>
      <c r="T153" t="s">
        <v>1631</v>
      </c>
      <c r="U153">
        <v>1.124847100798E-4</v>
      </c>
      <c r="V153" t="s">
        <v>254</v>
      </c>
      <c r="X153">
        <v>1.1415525114155251E-4</v>
      </c>
      <c r="Y153">
        <v>1.6905750441289813E-4</v>
      </c>
      <c r="Z153" t="s">
        <v>1631</v>
      </c>
      <c r="AA153" t="s">
        <v>25</v>
      </c>
      <c r="AC153" t="s">
        <v>22</v>
      </c>
      <c r="AD153" t="s">
        <v>1631</v>
      </c>
      <c r="AE153">
        <v>1.1260109492534589E-4</v>
      </c>
      <c r="AG153" t="s">
        <v>97</v>
      </c>
      <c r="AH153" t="s">
        <v>1631</v>
      </c>
      <c r="AI153">
        <v>0</v>
      </c>
    </row>
    <row r="154" spans="5:35" x14ac:dyDescent="0.45">
      <c r="E154" t="s">
        <v>1432</v>
      </c>
      <c r="G154" t="s">
        <v>158</v>
      </c>
      <c r="I154" t="s">
        <v>252</v>
      </c>
      <c r="J154" t="s">
        <v>1632</v>
      </c>
      <c r="K154">
        <v>1.720199117164E-4</v>
      </c>
      <c r="L154" t="s">
        <v>254</v>
      </c>
      <c r="N154" t="s">
        <v>422</v>
      </c>
      <c r="O154" t="s">
        <v>1632</v>
      </c>
      <c r="P154">
        <v>1.009381963325E-4</v>
      </c>
      <c r="Q154" t="s">
        <v>254</v>
      </c>
      <c r="S154" t="s">
        <v>423</v>
      </c>
      <c r="T154" t="s">
        <v>1632</v>
      </c>
      <c r="U154">
        <v>9.6880982655579283E-5</v>
      </c>
      <c r="V154" t="s">
        <v>254</v>
      </c>
      <c r="X154">
        <v>1.1415525114155251E-4</v>
      </c>
      <c r="Y154">
        <v>1.9060404909297337E-4</v>
      </c>
      <c r="Z154" t="s">
        <v>1632</v>
      </c>
      <c r="AA154" t="s">
        <v>25</v>
      </c>
      <c r="AC154" t="s">
        <v>22</v>
      </c>
      <c r="AD154" t="s">
        <v>1632</v>
      </c>
      <c r="AE154">
        <v>1.2158677770501974E-4</v>
      </c>
      <c r="AG154" t="s">
        <v>97</v>
      </c>
      <c r="AH154" t="s">
        <v>1632</v>
      </c>
      <c r="AI154">
        <v>0</v>
      </c>
    </row>
    <row r="155" spans="5:35" x14ac:dyDescent="0.45">
      <c r="E155" t="s">
        <v>1433</v>
      </c>
      <c r="G155" t="s">
        <v>158</v>
      </c>
      <c r="I155" t="s">
        <v>252</v>
      </c>
      <c r="J155" t="s">
        <v>1633</v>
      </c>
      <c r="K155">
        <v>2.545160639877E-4</v>
      </c>
      <c r="L155" t="s">
        <v>254</v>
      </c>
      <c r="N155" t="s">
        <v>422</v>
      </c>
      <c r="O155" t="s">
        <v>1633</v>
      </c>
      <c r="P155">
        <v>9.9469451766068015E-5</v>
      </c>
      <c r="Q155" t="s">
        <v>254</v>
      </c>
      <c r="S155" t="s">
        <v>423</v>
      </c>
      <c r="T155" t="s">
        <v>1633</v>
      </c>
      <c r="U155">
        <v>8.9457055196742272E-5</v>
      </c>
      <c r="V155" t="s">
        <v>254</v>
      </c>
      <c r="X155">
        <v>1.1415525114155251E-4</v>
      </c>
      <c r="Y155">
        <v>1.4585353321897094E-4</v>
      </c>
      <c r="Z155" t="s">
        <v>1633</v>
      </c>
      <c r="AA155" t="s">
        <v>25</v>
      </c>
      <c r="AC155" t="s">
        <v>22</v>
      </c>
      <c r="AD155" t="s">
        <v>1633</v>
      </c>
      <c r="AE155">
        <v>1.2655268435218152E-4</v>
      </c>
      <c r="AG155" t="s">
        <v>97</v>
      </c>
      <c r="AH155" t="s">
        <v>1633</v>
      </c>
      <c r="AI155">
        <v>0</v>
      </c>
    </row>
    <row r="156" spans="5:35" x14ac:dyDescent="0.45">
      <c r="E156" t="s">
        <v>1434</v>
      </c>
      <c r="G156" t="s">
        <v>158</v>
      </c>
      <c r="I156" t="s">
        <v>252</v>
      </c>
      <c r="J156" t="s">
        <v>1634</v>
      </c>
      <c r="K156">
        <v>2.9525823436130002E-4</v>
      </c>
      <c r="L156" t="s">
        <v>254</v>
      </c>
      <c r="N156" t="s">
        <v>422</v>
      </c>
      <c r="O156" t="s">
        <v>1634</v>
      </c>
      <c r="P156">
        <v>1.022034818628E-4</v>
      </c>
      <c r="Q156" t="s">
        <v>254</v>
      </c>
      <c r="S156" t="s">
        <v>423</v>
      </c>
      <c r="T156" t="s">
        <v>1634</v>
      </c>
      <c r="U156">
        <v>8.0259310134124631E-5</v>
      </c>
      <c r="V156" t="s">
        <v>254</v>
      </c>
      <c r="X156">
        <v>1.1415525114155251E-4</v>
      </c>
      <c r="Y156">
        <v>1.4452759200788939E-4</v>
      </c>
      <c r="Z156" t="s">
        <v>1634</v>
      </c>
      <c r="AA156" t="s">
        <v>25</v>
      </c>
      <c r="AC156" t="s">
        <v>22</v>
      </c>
      <c r="AD156" t="s">
        <v>1634</v>
      </c>
      <c r="AE156">
        <v>1.27532057290319E-4</v>
      </c>
      <c r="AG156" t="s">
        <v>97</v>
      </c>
      <c r="AH156" t="s">
        <v>1634</v>
      </c>
      <c r="AI156">
        <v>0</v>
      </c>
    </row>
    <row r="157" spans="5:35" x14ac:dyDescent="0.45">
      <c r="E157" t="s">
        <v>1435</v>
      </c>
      <c r="G157" t="s">
        <v>158</v>
      </c>
      <c r="I157" t="s">
        <v>252</v>
      </c>
      <c r="J157" t="s">
        <v>1635</v>
      </c>
      <c r="K157">
        <v>3.1915130692850003E-4</v>
      </c>
      <c r="L157" t="s">
        <v>254</v>
      </c>
      <c r="N157" t="s">
        <v>422</v>
      </c>
      <c r="O157" t="s">
        <v>1635</v>
      </c>
      <c r="P157">
        <v>9.8968548769777021E-5</v>
      </c>
      <c r="Q157" t="s">
        <v>254</v>
      </c>
      <c r="S157" t="s">
        <v>423</v>
      </c>
      <c r="T157" t="s">
        <v>1635</v>
      </c>
      <c r="U157">
        <v>8.3269875438208964E-5</v>
      </c>
      <c r="V157" t="s">
        <v>254</v>
      </c>
      <c r="X157">
        <v>1.1415525114155251E-4</v>
      </c>
      <c r="Y157">
        <v>1.408812536774151E-4</v>
      </c>
      <c r="Z157" t="s">
        <v>1635</v>
      </c>
      <c r="AA157" t="s">
        <v>25</v>
      </c>
      <c r="AC157" t="s">
        <v>22</v>
      </c>
      <c r="AD157" t="s">
        <v>1635</v>
      </c>
      <c r="AE157">
        <v>1.2747068666234173E-4</v>
      </c>
      <c r="AG157" t="s">
        <v>97</v>
      </c>
      <c r="AH157" t="s">
        <v>1635</v>
      </c>
      <c r="AI157">
        <v>0</v>
      </c>
    </row>
    <row r="158" spans="5:35" x14ac:dyDescent="0.45">
      <c r="E158" t="s">
        <v>1436</v>
      </c>
      <c r="G158" t="s">
        <v>158</v>
      </c>
      <c r="I158" t="s">
        <v>252</v>
      </c>
      <c r="J158" t="s">
        <v>1636</v>
      </c>
      <c r="K158">
        <v>3.3121366904749998E-4</v>
      </c>
      <c r="L158" t="s">
        <v>254</v>
      </c>
      <c r="N158" t="s">
        <v>422</v>
      </c>
      <c r="O158" t="s">
        <v>1636</v>
      </c>
      <c r="P158">
        <v>1.0978417041019999E-4</v>
      </c>
      <c r="Q158" t="s">
        <v>254</v>
      </c>
      <c r="S158" t="s">
        <v>423</v>
      </c>
      <c r="T158" t="s">
        <v>1636</v>
      </c>
      <c r="U158">
        <v>8.858070750400545E-5</v>
      </c>
      <c r="V158" t="s">
        <v>254</v>
      </c>
      <c r="X158">
        <v>1.1415525114155251E-4</v>
      </c>
      <c r="Y158">
        <v>1.4054976837464471E-4</v>
      </c>
      <c r="Z158" t="s">
        <v>1636</v>
      </c>
      <c r="AA158" t="s">
        <v>25</v>
      </c>
      <c r="AC158" t="s">
        <v>22</v>
      </c>
      <c r="AD158" t="s">
        <v>1636</v>
      </c>
      <c r="AE158">
        <v>1.2725844657392028E-4</v>
      </c>
      <c r="AG158" t="s">
        <v>97</v>
      </c>
      <c r="AH158" t="s">
        <v>1636</v>
      </c>
      <c r="AI158">
        <v>0</v>
      </c>
    </row>
    <row r="159" spans="5:35" x14ac:dyDescent="0.45">
      <c r="E159" t="s">
        <v>1437</v>
      </c>
      <c r="G159" t="s">
        <v>158</v>
      </c>
      <c r="I159" t="s">
        <v>252</v>
      </c>
      <c r="J159" t="s">
        <v>1637</v>
      </c>
      <c r="K159">
        <v>3.2204290910190002E-4</v>
      </c>
      <c r="L159" t="s">
        <v>254</v>
      </c>
      <c r="N159" t="s">
        <v>422</v>
      </c>
      <c r="O159" t="s">
        <v>1637</v>
      </c>
      <c r="P159">
        <v>1.246150972248E-4</v>
      </c>
      <c r="Q159" t="s">
        <v>254</v>
      </c>
      <c r="S159" t="s">
        <v>423</v>
      </c>
      <c r="T159" t="s">
        <v>1637</v>
      </c>
      <c r="U159">
        <v>9.4505569158095739E-5</v>
      </c>
      <c r="V159" t="s">
        <v>254</v>
      </c>
      <c r="X159">
        <v>1.1415525114155251E-4</v>
      </c>
      <c r="Y159">
        <v>1.4253868019126702E-4</v>
      </c>
      <c r="Z159" t="s">
        <v>1637</v>
      </c>
      <c r="AA159" t="s">
        <v>25</v>
      </c>
      <c r="AC159" t="s">
        <v>22</v>
      </c>
      <c r="AD159" t="s">
        <v>1637</v>
      </c>
      <c r="AE159">
        <v>1.2755762838530954E-4</v>
      </c>
      <c r="AG159" t="s">
        <v>97</v>
      </c>
      <c r="AH159" t="s">
        <v>1637</v>
      </c>
      <c r="AI159">
        <v>0</v>
      </c>
    </row>
    <row r="160" spans="5:35" x14ac:dyDescent="0.45">
      <c r="E160" t="s">
        <v>1438</v>
      </c>
      <c r="G160" t="s">
        <v>158</v>
      </c>
      <c r="I160" t="s">
        <v>252</v>
      </c>
      <c r="J160" t="s">
        <v>1638</v>
      </c>
      <c r="K160">
        <v>3.297666530292E-4</v>
      </c>
      <c r="L160" t="s">
        <v>254</v>
      </c>
      <c r="N160" t="s">
        <v>422</v>
      </c>
      <c r="O160" t="s">
        <v>1638</v>
      </c>
      <c r="P160">
        <v>1.3306341456810001E-4</v>
      </c>
      <c r="Q160" t="s">
        <v>254</v>
      </c>
      <c r="S160" t="s">
        <v>423</v>
      </c>
      <c r="T160" t="s">
        <v>1638</v>
      </c>
      <c r="U160">
        <v>1.018082461926E-4</v>
      </c>
      <c r="V160" t="s">
        <v>254</v>
      </c>
      <c r="X160">
        <v>1.1415525114155251E-4</v>
      </c>
      <c r="Y160">
        <v>1.4883690094390442E-4</v>
      </c>
      <c r="Z160" t="s">
        <v>1638</v>
      </c>
      <c r="AA160" t="s">
        <v>25</v>
      </c>
      <c r="AC160" t="s">
        <v>22</v>
      </c>
      <c r="AD160" t="s">
        <v>1638</v>
      </c>
      <c r="AE160">
        <v>1.2686465171106605E-4</v>
      </c>
      <c r="AG160" t="s">
        <v>97</v>
      </c>
      <c r="AH160" t="s">
        <v>1638</v>
      </c>
      <c r="AI160">
        <v>0</v>
      </c>
    </row>
    <row r="161" spans="5:35" x14ac:dyDescent="0.45">
      <c r="E161" t="s">
        <v>1439</v>
      </c>
      <c r="G161" t="s">
        <v>158</v>
      </c>
      <c r="I161" t="s">
        <v>252</v>
      </c>
      <c r="J161" t="s">
        <v>1639</v>
      </c>
      <c r="K161">
        <v>3.2387276625739998E-4</v>
      </c>
      <c r="L161" t="s">
        <v>254</v>
      </c>
      <c r="N161" t="s">
        <v>422</v>
      </c>
      <c r="O161" t="s">
        <v>1639</v>
      </c>
      <c r="P161">
        <v>1.330687049839E-4</v>
      </c>
      <c r="Q161" t="s">
        <v>254</v>
      </c>
      <c r="S161" t="s">
        <v>423</v>
      </c>
      <c r="T161" t="s">
        <v>1639</v>
      </c>
      <c r="U161">
        <v>1.103432789793E-4</v>
      </c>
      <c r="V161" t="s">
        <v>254</v>
      </c>
      <c r="X161">
        <v>1.1415525114155251E-4</v>
      </c>
      <c r="Y161">
        <v>1.5049432745775637E-4</v>
      </c>
      <c r="Z161" t="s">
        <v>1639</v>
      </c>
      <c r="AA161" t="s">
        <v>25</v>
      </c>
      <c r="AC161" t="s">
        <v>22</v>
      </c>
      <c r="AD161" t="s">
        <v>1639</v>
      </c>
      <c r="AE161">
        <v>1.2590317853942195E-4</v>
      </c>
      <c r="AG161" t="s">
        <v>97</v>
      </c>
      <c r="AH161" t="s">
        <v>1639</v>
      </c>
      <c r="AI161">
        <v>0</v>
      </c>
    </row>
    <row r="162" spans="5:35" x14ac:dyDescent="0.45">
      <c r="E162" t="s">
        <v>1440</v>
      </c>
      <c r="G162" t="s">
        <v>158</v>
      </c>
      <c r="I162" t="s">
        <v>252</v>
      </c>
      <c r="J162" t="s">
        <v>1640</v>
      </c>
      <c r="K162">
        <v>3.0585692845789999E-4</v>
      </c>
      <c r="L162" t="s">
        <v>254</v>
      </c>
      <c r="N162" t="s">
        <v>422</v>
      </c>
      <c r="O162" t="s">
        <v>1640</v>
      </c>
      <c r="P162">
        <v>1.4149971242249999E-4</v>
      </c>
      <c r="Q162" t="s">
        <v>254</v>
      </c>
      <c r="S162" t="s">
        <v>423</v>
      </c>
      <c r="T162" t="s">
        <v>1640</v>
      </c>
      <c r="U162">
        <v>1.143394699204E-4</v>
      </c>
      <c r="V162" t="s">
        <v>254</v>
      </c>
      <c r="X162">
        <v>1.1415525114155251E-4</v>
      </c>
      <c r="Y162">
        <v>1.7237235744060203E-4</v>
      </c>
      <c r="Z162" t="s">
        <v>1640</v>
      </c>
      <c r="AA162" t="s">
        <v>25</v>
      </c>
      <c r="AC162" t="s">
        <v>22</v>
      </c>
      <c r="AD162" t="s">
        <v>1640</v>
      </c>
      <c r="AE162">
        <v>1.2552984055256018E-4</v>
      </c>
      <c r="AG162" t="s">
        <v>97</v>
      </c>
      <c r="AH162" t="s">
        <v>1640</v>
      </c>
      <c r="AI162">
        <v>0</v>
      </c>
    </row>
    <row r="163" spans="5:35" x14ac:dyDescent="0.45">
      <c r="E163" t="s">
        <v>1441</v>
      </c>
      <c r="G163" t="s">
        <v>158</v>
      </c>
      <c r="I163" t="s">
        <v>252</v>
      </c>
      <c r="J163" t="s">
        <v>1641</v>
      </c>
      <c r="K163">
        <v>2.7295203582020002E-4</v>
      </c>
      <c r="L163" t="s">
        <v>254</v>
      </c>
      <c r="N163" t="s">
        <v>422</v>
      </c>
      <c r="O163" t="s">
        <v>1641</v>
      </c>
      <c r="P163">
        <v>1.4503987175669999E-4</v>
      </c>
      <c r="Q163" t="s">
        <v>254</v>
      </c>
      <c r="S163" t="s">
        <v>423</v>
      </c>
      <c r="T163" t="s">
        <v>1641</v>
      </c>
      <c r="U163">
        <v>1.1047109596800001E-4</v>
      </c>
      <c r="V163" t="s">
        <v>254</v>
      </c>
      <c r="X163">
        <v>1.1415525114155251E-4</v>
      </c>
      <c r="Y163">
        <v>2.2209515285616027E-4</v>
      </c>
      <c r="Z163" t="s">
        <v>1641</v>
      </c>
      <c r="AA163" t="s">
        <v>25</v>
      </c>
      <c r="AC163" t="s">
        <v>22</v>
      </c>
      <c r="AD163" t="s">
        <v>1641</v>
      </c>
      <c r="AE163">
        <v>1.2517184522269268E-4</v>
      </c>
      <c r="AG163" t="s">
        <v>97</v>
      </c>
      <c r="AH163" t="s">
        <v>1641</v>
      </c>
      <c r="AI163">
        <v>0</v>
      </c>
    </row>
    <row r="164" spans="5:35" x14ac:dyDescent="0.45">
      <c r="E164" t="s">
        <v>1442</v>
      </c>
      <c r="G164" t="s">
        <v>158</v>
      </c>
      <c r="I164" t="s">
        <v>252</v>
      </c>
      <c r="J164" t="s">
        <v>1642</v>
      </c>
      <c r="K164">
        <v>2.394106973107E-4</v>
      </c>
      <c r="L164" t="s">
        <v>254</v>
      </c>
      <c r="N164" t="s">
        <v>422</v>
      </c>
      <c r="O164" t="s">
        <v>1642</v>
      </c>
      <c r="P164">
        <v>1.4101419957910001E-4</v>
      </c>
      <c r="Q164" t="s">
        <v>254</v>
      </c>
      <c r="S164" t="s">
        <v>423</v>
      </c>
      <c r="T164" t="s">
        <v>1642</v>
      </c>
      <c r="U164">
        <v>1.07106837994E-4</v>
      </c>
      <c r="V164" t="s">
        <v>254</v>
      </c>
      <c r="X164">
        <v>1.1415525114155251E-4</v>
      </c>
      <c r="Y164">
        <v>2.2209515285616027E-4</v>
      </c>
      <c r="Z164" t="s">
        <v>1642</v>
      </c>
      <c r="AA164" t="s">
        <v>25</v>
      </c>
      <c r="AC164" t="s">
        <v>22</v>
      </c>
      <c r="AD164" t="s">
        <v>1642</v>
      </c>
      <c r="AE164">
        <v>1.2498006201026366E-4</v>
      </c>
      <c r="AG164" t="s">
        <v>97</v>
      </c>
      <c r="AH164" t="s">
        <v>1642</v>
      </c>
      <c r="AI164">
        <v>0</v>
      </c>
    </row>
    <row r="165" spans="5:35" x14ac:dyDescent="0.45">
      <c r="E165" t="s">
        <v>1443</v>
      </c>
      <c r="G165" t="s">
        <v>158</v>
      </c>
      <c r="I165" t="s">
        <v>252</v>
      </c>
      <c r="J165" t="s">
        <v>1643</v>
      </c>
      <c r="K165">
        <v>1.6633142011739999E-4</v>
      </c>
      <c r="L165" t="s">
        <v>254</v>
      </c>
      <c r="N165" t="s">
        <v>422</v>
      </c>
      <c r="O165" t="s">
        <v>1643</v>
      </c>
      <c r="P165">
        <v>1.289763408602E-4</v>
      </c>
      <c r="Q165" t="s">
        <v>254</v>
      </c>
      <c r="S165" t="s">
        <v>423</v>
      </c>
      <c r="T165" t="s">
        <v>1643</v>
      </c>
      <c r="U165">
        <v>1.075890873944E-4</v>
      </c>
      <c r="V165" t="s">
        <v>254</v>
      </c>
      <c r="X165">
        <v>1.1415525114155251E-4</v>
      </c>
      <c r="Y165">
        <v>1.7237235744060203E-4</v>
      </c>
      <c r="Z165" t="s">
        <v>1643</v>
      </c>
      <c r="AA165" t="s">
        <v>25</v>
      </c>
      <c r="AC165" t="s">
        <v>22</v>
      </c>
      <c r="AD165" t="s">
        <v>1643</v>
      </c>
      <c r="AE165">
        <v>1.2395466110114322E-4</v>
      </c>
      <c r="AG165" t="s">
        <v>97</v>
      </c>
      <c r="AH165" t="s">
        <v>1643</v>
      </c>
      <c r="AI165">
        <v>0</v>
      </c>
    </row>
    <row r="166" spans="5:35" x14ac:dyDescent="0.45">
      <c r="E166" t="s">
        <v>1444</v>
      </c>
      <c r="G166" t="s">
        <v>158</v>
      </c>
      <c r="I166" t="s">
        <v>252</v>
      </c>
      <c r="J166" t="s">
        <v>1644</v>
      </c>
      <c r="K166">
        <v>9.2116516791823647E-5</v>
      </c>
      <c r="L166" t="s">
        <v>254</v>
      </c>
      <c r="N166" t="s">
        <v>422</v>
      </c>
      <c r="O166" t="s">
        <v>1644</v>
      </c>
      <c r="P166">
        <v>1.213451480369E-4</v>
      </c>
      <c r="Q166" t="s">
        <v>254</v>
      </c>
      <c r="S166" t="s">
        <v>423</v>
      </c>
      <c r="T166" t="s">
        <v>1644</v>
      </c>
      <c r="U166">
        <v>9.7703528944141155E-5</v>
      </c>
      <c r="V166" t="s">
        <v>254</v>
      </c>
      <c r="X166">
        <v>1.1415525114155251E-4</v>
      </c>
      <c r="Y166">
        <v>1.5579809230208258E-4</v>
      </c>
      <c r="Z166" t="s">
        <v>1644</v>
      </c>
      <c r="AA166" t="s">
        <v>25</v>
      </c>
      <c r="AC166" t="s">
        <v>22</v>
      </c>
      <c r="AD166" t="s">
        <v>1644</v>
      </c>
      <c r="AE166">
        <v>1.214947217630538E-4</v>
      </c>
      <c r="AG166" t="s">
        <v>97</v>
      </c>
      <c r="AH166" t="s">
        <v>1644</v>
      </c>
      <c r="AI166">
        <v>0</v>
      </c>
    </row>
    <row r="167" spans="5:35" x14ac:dyDescent="0.45">
      <c r="E167" t="s">
        <v>1445</v>
      </c>
      <c r="G167" t="s">
        <v>158</v>
      </c>
      <c r="I167" t="s">
        <v>252</v>
      </c>
      <c r="J167" t="s">
        <v>1645</v>
      </c>
      <c r="K167">
        <v>0</v>
      </c>
      <c r="L167" t="s">
        <v>254</v>
      </c>
      <c r="N167" t="s">
        <v>422</v>
      </c>
      <c r="O167" t="s">
        <v>1645</v>
      </c>
      <c r="P167">
        <v>1.097632815244E-4</v>
      </c>
      <c r="Q167" t="s">
        <v>254</v>
      </c>
      <c r="S167" t="s">
        <v>423</v>
      </c>
      <c r="T167" t="s">
        <v>1645</v>
      </c>
      <c r="U167">
        <v>8.6399760593908084E-5</v>
      </c>
      <c r="V167" t="s">
        <v>254</v>
      </c>
      <c r="X167">
        <v>1.1415525114155251E-4</v>
      </c>
      <c r="Y167">
        <v>1.093901499142282E-4</v>
      </c>
      <c r="Z167" t="s">
        <v>1645</v>
      </c>
      <c r="AA167" t="s">
        <v>25</v>
      </c>
      <c r="AC167" t="s">
        <v>22</v>
      </c>
      <c r="AD167" t="s">
        <v>1645</v>
      </c>
      <c r="AE167">
        <v>1.1500477785445612E-4</v>
      </c>
      <c r="AG167" t="s">
        <v>97</v>
      </c>
      <c r="AH167" t="s">
        <v>1645</v>
      </c>
      <c r="AI167">
        <v>0</v>
      </c>
    </row>
    <row r="168" spans="5:35" x14ac:dyDescent="0.45">
      <c r="E168" t="s">
        <v>1446</v>
      </c>
      <c r="G168" t="s">
        <v>158</v>
      </c>
      <c r="I168" t="s">
        <v>252</v>
      </c>
      <c r="J168" t="s">
        <v>1646</v>
      </c>
      <c r="K168">
        <v>0</v>
      </c>
      <c r="L168" t="s">
        <v>254</v>
      </c>
      <c r="N168" t="s">
        <v>422</v>
      </c>
      <c r="O168" t="s">
        <v>1646</v>
      </c>
      <c r="P168">
        <v>1.0107417571369999E-4</v>
      </c>
      <c r="Q168" t="s">
        <v>254</v>
      </c>
      <c r="S168" t="s">
        <v>423</v>
      </c>
      <c r="T168" t="s">
        <v>1646</v>
      </c>
      <c r="U168">
        <v>7.8494503900073615E-5</v>
      </c>
      <c r="V168" t="s">
        <v>254</v>
      </c>
      <c r="X168">
        <v>1.1415525114155251E-4</v>
      </c>
      <c r="Y168">
        <v>7.9556472664893237E-5</v>
      </c>
      <c r="Z168" t="s">
        <v>1646</v>
      </c>
      <c r="AA168" t="s">
        <v>25</v>
      </c>
      <c r="AC168" t="s">
        <v>22</v>
      </c>
      <c r="AD168" t="s">
        <v>1646</v>
      </c>
      <c r="AE168">
        <v>1.0846113464637833E-4</v>
      </c>
      <c r="AG168" t="s">
        <v>97</v>
      </c>
      <c r="AH168" t="s">
        <v>1646</v>
      </c>
      <c r="AI168">
        <v>0</v>
      </c>
    </row>
    <row r="169" spans="5:35" x14ac:dyDescent="0.45">
      <c r="E169" t="s">
        <v>1447</v>
      </c>
      <c r="G169" t="s">
        <v>158</v>
      </c>
      <c r="I169" t="s">
        <v>252</v>
      </c>
      <c r="J169" t="s">
        <v>1647</v>
      </c>
      <c r="K169">
        <v>0</v>
      </c>
      <c r="L169" t="s">
        <v>254</v>
      </c>
      <c r="N169" t="s">
        <v>422</v>
      </c>
      <c r="O169" t="s">
        <v>1647</v>
      </c>
      <c r="P169">
        <v>9.8769827436728742E-5</v>
      </c>
      <c r="Q169" t="s">
        <v>254</v>
      </c>
      <c r="S169" t="s">
        <v>423</v>
      </c>
      <c r="T169" t="s">
        <v>1647</v>
      </c>
      <c r="U169">
        <v>7.9689470654575374E-5</v>
      </c>
      <c r="V169" t="s">
        <v>254</v>
      </c>
      <c r="X169">
        <v>1.1415525114155251E-4</v>
      </c>
      <c r="Y169">
        <v>5.6352501470966035E-5</v>
      </c>
      <c r="Z169" t="s">
        <v>1647</v>
      </c>
      <c r="AA169" t="s">
        <v>25</v>
      </c>
      <c r="AC169" t="s">
        <v>22</v>
      </c>
      <c r="AD169" t="s">
        <v>1647</v>
      </c>
      <c r="AE169">
        <v>8.951806747739034E-5</v>
      </c>
      <c r="AG169" t="s">
        <v>97</v>
      </c>
      <c r="AH169" t="s">
        <v>1647</v>
      </c>
      <c r="AI169">
        <v>0</v>
      </c>
    </row>
    <row r="170" spans="5:35" x14ac:dyDescent="0.45">
      <c r="E170" t="s">
        <v>1448</v>
      </c>
      <c r="G170" t="s">
        <v>158</v>
      </c>
      <c r="I170" t="s">
        <v>252</v>
      </c>
      <c r="J170" t="s">
        <v>1648</v>
      </c>
      <c r="K170">
        <v>0</v>
      </c>
      <c r="L170" t="s">
        <v>254</v>
      </c>
      <c r="N170" t="s">
        <v>422</v>
      </c>
      <c r="O170" t="s">
        <v>1648</v>
      </c>
      <c r="P170">
        <v>9.3155314120055662E-5</v>
      </c>
      <c r="Q170" t="s">
        <v>254</v>
      </c>
      <c r="S170" t="s">
        <v>423</v>
      </c>
      <c r="T170" t="s">
        <v>1648</v>
      </c>
      <c r="U170">
        <v>7.1741010419153539E-5</v>
      </c>
      <c r="V170" t="s">
        <v>254</v>
      </c>
      <c r="X170">
        <v>1.1415525114155251E-4</v>
      </c>
      <c r="Y170">
        <v>2.9833677249334962E-5</v>
      </c>
      <c r="Z170" t="s">
        <v>1648</v>
      </c>
      <c r="AA170" t="s">
        <v>25</v>
      </c>
      <c r="AC170" t="s">
        <v>22</v>
      </c>
      <c r="AD170" t="s">
        <v>1648</v>
      </c>
      <c r="AE170">
        <v>7.9864979118463532E-5</v>
      </c>
      <c r="AG170" t="s">
        <v>97</v>
      </c>
      <c r="AH170" t="s">
        <v>1648</v>
      </c>
      <c r="AI170">
        <v>0</v>
      </c>
    </row>
    <row r="171" spans="5:35" x14ac:dyDescent="0.45">
      <c r="E171" t="s">
        <v>1449</v>
      </c>
      <c r="G171" t="s">
        <v>158</v>
      </c>
      <c r="I171" t="s">
        <v>252</v>
      </c>
      <c r="J171" t="s">
        <v>1649</v>
      </c>
      <c r="K171">
        <v>0</v>
      </c>
      <c r="L171" t="s">
        <v>254</v>
      </c>
      <c r="N171" t="s">
        <v>422</v>
      </c>
      <c r="O171" t="s">
        <v>1649</v>
      </c>
      <c r="P171">
        <v>8.3155269759579596E-5</v>
      </c>
      <c r="Q171" t="s">
        <v>254</v>
      </c>
      <c r="S171" t="s">
        <v>423</v>
      </c>
      <c r="T171" t="s">
        <v>1649</v>
      </c>
      <c r="U171">
        <v>6.2788570278604405E-5</v>
      </c>
      <c r="V171" t="s">
        <v>254</v>
      </c>
      <c r="X171">
        <v>1.1415525114155251E-4</v>
      </c>
      <c r="Y171">
        <v>2.1546544680075254E-5</v>
      </c>
      <c r="Z171" t="s">
        <v>1649</v>
      </c>
      <c r="AA171" t="s">
        <v>25</v>
      </c>
      <c r="AC171" t="s">
        <v>22</v>
      </c>
      <c r="AD171" t="s">
        <v>1649</v>
      </c>
      <c r="AE171">
        <v>7.319092332593403E-5</v>
      </c>
      <c r="AG171" t="s">
        <v>97</v>
      </c>
      <c r="AH171" t="s">
        <v>1649</v>
      </c>
      <c r="AI171">
        <v>0</v>
      </c>
    </row>
    <row r="172" spans="5:35" x14ac:dyDescent="0.45">
      <c r="E172" t="s">
        <v>1450</v>
      </c>
      <c r="G172" t="s">
        <v>158</v>
      </c>
      <c r="I172" t="s">
        <v>252</v>
      </c>
      <c r="J172" t="s">
        <v>1650</v>
      </c>
      <c r="K172">
        <v>0</v>
      </c>
      <c r="L172" t="s">
        <v>254</v>
      </c>
      <c r="N172" t="s">
        <v>422</v>
      </c>
      <c r="O172" t="s">
        <v>1650</v>
      </c>
      <c r="P172">
        <v>7.5748974472062769E-5</v>
      </c>
      <c r="Q172" t="s">
        <v>254</v>
      </c>
      <c r="S172" t="s">
        <v>423</v>
      </c>
      <c r="T172" t="s">
        <v>1650</v>
      </c>
      <c r="U172">
        <v>5.8578651815171493E-5</v>
      </c>
      <c r="V172" t="s">
        <v>254</v>
      </c>
      <c r="X172">
        <v>1.1415525114155251E-4</v>
      </c>
      <c r="Y172">
        <v>1.4916838624667481E-5</v>
      </c>
      <c r="Z172" t="s">
        <v>1650</v>
      </c>
      <c r="AA172" t="s">
        <v>25</v>
      </c>
      <c r="AC172" t="s">
        <v>22</v>
      </c>
      <c r="AD172" t="s">
        <v>1650</v>
      </c>
      <c r="AE172">
        <v>7.0306503811001734E-5</v>
      </c>
      <c r="AG172" t="s">
        <v>97</v>
      </c>
      <c r="AH172" t="s">
        <v>1650</v>
      </c>
      <c r="AI172">
        <v>0</v>
      </c>
    </row>
    <row r="173" spans="5:35" x14ac:dyDescent="0.45">
      <c r="E173" t="s">
        <v>1451</v>
      </c>
      <c r="G173" t="s">
        <v>158</v>
      </c>
      <c r="I173" t="s">
        <v>252</v>
      </c>
      <c r="J173" t="s">
        <v>1651</v>
      </c>
      <c r="K173">
        <v>0</v>
      </c>
      <c r="L173" t="s">
        <v>254</v>
      </c>
      <c r="N173" t="s">
        <v>422</v>
      </c>
      <c r="O173" t="s">
        <v>1651</v>
      </c>
      <c r="P173">
        <v>7.0035399527289849E-5</v>
      </c>
      <c r="Q173" t="s">
        <v>254</v>
      </c>
      <c r="S173" t="s">
        <v>423</v>
      </c>
      <c r="T173" t="s">
        <v>1651</v>
      </c>
      <c r="U173">
        <v>5.6238072086422368E-5</v>
      </c>
      <c r="V173" t="s">
        <v>254</v>
      </c>
      <c r="X173">
        <v>1.1415525114155251E-4</v>
      </c>
      <c r="Y173">
        <v>1.6574265138519424E-5</v>
      </c>
      <c r="Z173" t="s">
        <v>1651</v>
      </c>
      <c r="AA173" t="s">
        <v>25</v>
      </c>
      <c r="AC173" t="s">
        <v>22</v>
      </c>
      <c r="AD173" t="s">
        <v>1651</v>
      </c>
      <c r="AE173">
        <v>7.0306503811001734E-5</v>
      </c>
      <c r="AG173" t="s">
        <v>97</v>
      </c>
      <c r="AH173" t="s">
        <v>1651</v>
      </c>
      <c r="AI173">
        <v>0</v>
      </c>
    </row>
    <row r="174" spans="5:35" x14ac:dyDescent="0.45">
      <c r="E174" t="s">
        <v>1452</v>
      </c>
      <c r="G174" t="s">
        <v>158</v>
      </c>
      <c r="I174" t="s">
        <v>252</v>
      </c>
      <c r="J174" t="s">
        <v>1652</v>
      </c>
      <c r="K174">
        <v>0</v>
      </c>
      <c r="L174" t="s">
        <v>254</v>
      </c>
      <c r="N174" t="s">
        <v>422</v>
      </c>
      <c r="O174" t="s">
        <v>1652</v>
      </c>
      <c r="P174">
        <v>6.7286640649460937E-5</v>
      </c>
      <c r="Q174" t="s">
        <v>254</v>
      </c>
      <c r="S174" t="s">
        <v>423</v>
      </c>
      <c r="T174" t="s">
        <v>1652</v>
      </c>
      <c r="U174">
        <v>5.1714541921810777E-5</v>
      </c>
      <c r="V174" t="s">
        <v>254</v>
      </c>
      <c r="X174">
        <v>1.1415525114155251E-4</v>
      </c>
      <c r="Y174">
        <v>1.4585353321897093E-5</v>
      </c>
      <c r="Z174" t="s">
        <v>1652</v>
      </c>
      <c r="AA174" t="s">
        <v>25</v>
      </c>
      <c r="AC174" t="s">
        <v>22</v>
      </c>
      <c r="AD174" t="s">
        <v>1652</v>
      </c>
      <c r="AE174">
        <v>7.0505958351927889E-5</v>
      </c>
      <c r="AG174" t="s">
        <v>97</v>
      </c>
      <c r="AH174" t="s">
        <v>1652</v>
      </c>
      <c r="AI174">
        <v>0</v>
      </c>
    </row>
    <row r="175" spans="5:35" x14ac:dyDescent="0.45">
      <c r="E175" t="s">
        <v>1453</v>
      </c>
      <c r="G175" t="s">
        <v>158</v>
      </c>
      <c r="I175" t="s">
        <v>252</v>
      </c>
      <c r="J175" t="s">
        <v>1653</v>
      </c>
      <c r="K175">
        <v>0</v>
      </c>
      <c r="L175" t="s">
        <v>254</v>
      </c>
      <c r="N175" t="s">
        <v>422</v>
      </c>
      <c r="O175" t="s">
        <v>1653</v>
      </c>
      <c r="P175">
        <v>6.4971498780628641E-5</v>
      </c>
      <c r="Q175" t="s">
        <v>254</v>
      </c>
      <c r="S175" t="s">
        <v>423</v>
      </c>
      <c r="T175" t="s">
        <v>1653</v>
      </c>
      <c r="U175">
        <v>4.3768448604433967E-5</v>
      </c>
      <c r="V175" t="s">
        <v>254</v>
      </c>
      <c r="X175">
        <v>1.1415525114155251E-4</v>
      </c>
      <c r="Y175">
        <v>2.1215059377304864E-5</v>
      </c>
      <c r="Z175" t="s">
        <v>1653</v>
      </c>
      <c r="AA175" t="s">
        <v>25</v>
      </c>
      <c r="AC175" t="s">
        <v>22</v>
      </c>
      <c r="AD175" t="s">
        <v>1653</v>
      </c>
      <c r="AE175">
        <v>7.0700298673855963E-5</v>
      </c>
      <c r="AG175" t="s">
        <v>97</v>
      </c>
      <c r="AH175" t="s">
        <v>1653</v>
      </c>
      <c r="AI175">
        <v>0</v>
      </c>
    </row>
    <row r="176" spans="5:35" x14ac:dyDescent="0.45">
      <c r="E176" t="s">
        <v>1454</v>
      </c>
      <c r="G176" t="s">
        <v>158</v>
      </c>
      <c r="I176" t="s">
        <v>252</v>
      </c>
      <c r="J176" t="s">
        <v>1654</v>
      </c>
      <c r="K176">
        <v>0</v>
      </c>
      <c r="L176" t="s">
        <v>254</v>
      </c>
      <c r="N176" t="s">
        <v>422</v>
      </c>
      <c r="O176" t="s">
        <v>1654</v>
      </c>
      <c r="P176">
        <v>5.6089245780918043E-5</v>
      </c>
      <c r="Q176" t="s">
        <v>254</v>
      </c>
      <c r="S176" t="s">
        <v>423</v>
      </c>
      <c r="T176" t="s">
        <v>1654</v>
      </c>
      <c r="U176">
        <v>3.6767348312216203E-5</v>
      </c>
      <c r="V176" t="s">
        <v>254</v>
      </c>
      <c r="X176">
        <v>1.1415525114155251E-4</v>
      </c>
      <c r="Y176">
        <v>5.7678442682047593E-5</v>
      </c>
      <c r="Z176" t="s">
        <v>1654</v>
      </c>
      <c r="AA176" t="s">
        <v>25</v>
      </c>
      <c r="AC176" t="s">
        <v>22</v>
      </c>
      <c r="AD176" t="s">
        <v>1654</v>
      </c>
      <c r="AE176">
        <v>7.3198594654431178E-5</v>
      </c>
      <c r="AG176" t="s">
        <v>97</v>
      </c>
      <c r="AH176" t="s">
        <v>1654</v>
      </c>
      <c r="AI176">
        <v>0</v>
      </c>
    </row>
    <row r="177" spans="5:35" x14ac:dyDescent="0.45">
      <c r="E177" t="s">
        <v>1455</v>
      </c>
      <c r="G177" t="s">
        <v>158</v>
      </c>
      <c r="I177" t="s">
        <v>252</v>
      </c>
      <c r="J177" t="s">
        <v>1655</v>
      </c>
      <c r="K177">
        <v>1.232649903884E-4</v>
      </c>
      <c r="L177" t="s">
        <v>254</v>
      </c>
      <c r="N177" t="s">
        <v>422</v>
      </c>
      <c r="O177" t="s">
        <v>1655</v>
      </c>
      <c r="P177">
        <v>4.6800718034066279E-5</v>
      </c>
      <c r="Q177" t="s">
        <v>254</v>
      </c>
      <c r="S177" t="s">
        <v>423</v>
      </c>
      <c r="T177" t="s">
        <v>1655</v>
      </c>
      <c r="U177">
        <v>3.2363823958377786E-5</v>
      </c>
      <c r="V177" t="s">
        <v>254</v>
      </c>
      <c r="X177">
        <v>1.1415525114155251E-4</v>
      </c>
      <c r="Y177">
        <v>1.6905750441289813E-4</v>
      </c>
      <c r="Z177" t="s">
        <v>1655</v>
      </c>
      <c r="AA177" t="s">
        <v>25</v>
      </c>
      <c r="AC177" t="s">
        <v>22</v>
      </c>
      <c r="AD177" t="s">
        <v>1655</v>
      </c>
      <c r="AE177">
        <v>7.8706608515392333E-5</v>
      </c>
      <c r="AG177" t="s">
        <v>97</v>
      </c>
      <c r="AH177" t="s">
        <v>1655</v>
      </c>
      <c r="AI177">
        <v>0</v>
      </c>
    </row>
    <row r="178" spans="5:35" x14ac:dyDescent="0.45">
      <c r="E178" t="s">
        <v>1456</v>
      </c>
      <c r="G178" t="s">
        <v>158</v>
      </c>
      <c r="I178" t="s">
        <v>252</v>
      </c>
      <c r="J178" t="s">
        <v>1656</v>
      </c>
      <c r="K178">
        <v>1.8163164572030001E-4</v>
      </c>
      <c r="L178" t="s">
        <v>254</v>
      </c>
      <c r="N178" t="s">
        <v>422</v>
      </c>
      <c r="O178" t="s">
        <v>1656</v>
      </c>
      <c r="P178">
        <v>4.2938758144945181E-5</v>
      </c>
      <c r="Q178" t="s">
        <v>254</v>
      </c>
      <c r="S178" t="s">
        <v>423</v>
      </c>
      <c r="T178" t="s">
        <v>1656</v>
      </c>
      <c r="U178">
        <v>2.9114603687691439E-5</v>
      </c>
      <c r="V178" t="s">
        <v>254</v>
      </c>
      <c r="X178">
        <v>1.1415525114155251E-4</v>
      </c>
      <c r="Y178">
        <v>1.9060404909297337E-4</v>
      </c>
      <c r="Z178" t="s">
        <v>1656</v>
      </c>
      <c r="AA178" t="s">
        <v>25</v>
      </c>
      <c r="AC178" t="s">
        <v>22</v>
      </c>
      <c r="AD178" t="s">
        <v>1656</v>
      </c>
      <c r="AE178">
        <v>8.7063242358299014E-5</v>
      </c>
      <c r="AG178" t="s">
        <v>97</v>
      </c>
      <c r="AH178" t="s">
        <v>1656</v>
      </c>
      <c r="AI178">
        <v>0</v>
      </c>
    </row>
    <row r="179" spans="5:35" x14ac:dyDescent="0.45">
      <c r="E179" t="s">
        <v>1457</v>
      </c>
      <c r="G179" t="s">
        <v>162</v>
      </c>
      <c r="I179" t="s">
        <v>252</v>
      </c>
      <c r="J179" t="s">
        <v>1657</v>
      </c>
      <c r="K179">
        <v>2.5367301838910003E-4</v>
      </c>
      <c r="L179" t="s">
        <v>254</v>
      </c>
      <c r="N179" t="s">
        <v>422</v>
      </c>
      <c r="O179" t="s">
        <v>1657</v>
      </c>
      <c r="P179">
        <v>4.2148338762029296E-5</v>
      </c>
      <c r="Q179" t="s">
        <v>254</v>
      </c>
      <c r="S179" t="s">
        <v>423</v>
      </c>
      <c r="T179" t="s">
        <v>1657</v>
      </c>
      <c r="U179">
        <v>2.7347553179538771E-5</v>
      </c>
      <c r="V179" t="s">
        <v>254</v>
      </c>
      <c r="X179">
        <v>1.1415525114155251E-4</v>
      </c>
      <c r="Y179">
        <v>1.4585353321897094E-4</v>
      </c>
      <c r="Z179" t="s">
        <v>1657</v>
      </c>
      <c r="AA179" t="s">
        <v>25</v>
      </c>
      <c r="AC179" t="s">
        <v>22</v>
      </c>
      <c r="AD179" t="s">
        <v>1657</v>
      </c>
      <c r="AE179">
        <v>9.6591032351772205E-5</v>
      </c>
      <c r="AG179" t="s">
        <v>97</v>
      </c>
      <c r="AH179" t="s">
        <v>1657</v>
      </c>
      <c r="AI179">
        <v>0</v>
      </c>
    </row>
    <row r="180" spans="5:35" x14ac:dyDescent="0.45">
      <c r="E180" t="s">
        <v>1458</v>
      </c>
      <c r="G180" t="s">
        <v>162</v>
      </c>
      <c r="I180" t="s">
        <v>252</v>
      </c>
      <c r="J180" t="s">
        <v>1658</v>
      </c>
      <c r="K180">
        <v>2.8255668052849998E-4</v>
      </c>
      <c r="L180" t="s">
        <v>254</v>
      </c>
      <c r="N180" t="s">
        <v>422</v>
      </c>
      <c r="O180" t="s">
        <v>1658</v>
      </c>
      <c r="P180">
        <v>4.003689790061878E-5</v>
      </c>
      <c r="Q180" t="s">
        <v>254</v>
      </c>
      <c r="S180" t="s">
        <v>423</v>
      </c>
      <c r="T180" t="s">
        <v>1658</v>
      </c>
      <c r="U180">
        <v>2.6944246617991025E-5</v>
      </c>
      <c r="V180" t="s">
        <v>254</v>
      </c>
      <c r="X180">
        <v>1.1415525114155251E-4</v>
      </c>
      <c r="Y180">
        <v>1.4452759200788939E-4</v>
      </c>
      <c r="Z180" t="s">
        <v>1658</v>
      </c>
      <c r="AA180" t="s">
        <v>25</v>
      </c>
      <c r="AC180" t="s">
        <v>22</v>
      </c>
      <c r="AD180" t="s">
        <v>1658</v>
      </c>
      <c r="AE180">
        <v>9.9081657003850259E-5</v>
      </c>
      <c r="AG180" t="s">
        <v>97</v>
      </c>
      <c r="AH180" t="s">
        <v>1658</v>
      </c>
      <c r="AI180">
        <v>0</v>
      </c>
    </row>
    <row r="181" spans="5:35" x14ac:dyDescent="0.45">
      <c r="E181" t="s">
        <v>1459</v>
      </c>
      <c r="G181" t="s">
        <v>162</v>
      </c>
      <c r="I181" t="s">
        <v>252</v>
      </c>
      <c r="J181" t="s">
        <v>1659</v>
      </c>
      <c r="K181">
        <v>3.2545371854300002E-4</v>
      </c>
      <c r="L181" t="s">
        <v>254</v>
      </c>
      <c r="N181" t="s">
        <v>422</v>
      </c>
      <c r="O181" t="s">
        <v>1659</v>
      </c>
      <c r="P181">
        <v>4.2071901787658969E-5</v>
      </c>
      <c r="Q181" t="s">
        <v>254</v>
      </c>
      <c r="S181" t="s">
        <v>423</v>
      </c>
      <c r="T181" t="s">
        <v>1659</v>
      </c>
      <c r="U181">
        <v>3.0746296575510441E-5</v>
      </c>
      <c r="V181" t="s">
        <v>254</v>
      </c>
      <c r="X181">
        <v>1.1415525114155251E-4</v>
      </c>
      <c r="Y181">
        <v>1.408812536774151E-4</v>
      </c>
      <c r="Z181" t="s">
        <v>1659</v>
      </c>
      <c r="AA181" t="s">
        <v>25</v>
      </c>
      <c r="AC181" t="s">
        <v>22</v>
      </c>
      <c r="AD181" t="s">
        <v>1659</v>
      </c>
      <c r="AE181">
        <v>9.9252983340286833E-5</v>
      </c>
      <c r="AG181" t="s">
        <v>97</v>
      </c>
      <c r="AH181" t="s">
        <v>1659</v>
      </c>
      <c r="AI181">
        <v>0</v>
      </c>
    </row>
    <row r="182" spans="5:35" x14ac:dyDescent="0.45">
      <c r="E182" t="s">
        <v>1460</v>
      </c>
      <c r="G182" t="s">
        <v>162</v>
      </c>
      <c r="I182" t="s">
        <v>252</v>
      </c>
      <c r="J182" t="s">
        <v>1660</v>
      </c>
      <c r="K182">
        <v>3.6390887405440001E-4</v>
      </c>
      <c r="L182" t="s">
        <v>254</v>
      </c>
      <c r="N182" t="s">
        <v>422</v>
      </c>
      <c r="O182" t="s">
        <v>1660</v>
      </c>
      <c r="P182">
        <v>4.3382611669403711E-5</v>
      </c>
      <c r="Q182" t="s">
        <v>254</v>
      </c>
      <c r="S182" t="s">
        <v>423</v>
      </c>
      <c r="T182" t="s">
        <v>1660</v>
      </c>
      <c r="U182">
        <v>3.5939671962460842E-5</v>
      </c>
      <c r="V182" t="s">
        <v>254</v>
      </c>
      <c r="X182">
        <v>1.1415525114155251E-4</v>
      </c>
      <c r="Y182">
        <v>1.4054976837464471E-4</v>
      </c>
      <c r="Z182" t="s">
        <v>1660</v>
      </c>
      <c r="AA182" t="s">
        <v>25</v>
      </c>
      <c r="AC182" t="s">
        <v>22</v>
      </c>
      <c r="AD182" t="s">
        <v>1660</v>
      </c>
      <c r="AE182">
        <v>9.8787589411459121E-5</v>
      </c>
      <c r="AG182" t="s">
        <v>97</v>
      </c>
      <c r="AH182" t="s">
        <v>1660</v>
      </c>
      <c r="AI182">
        <v>0</v>
      </c>
    </row>
    <row r="183" spans="5:35" x14ac:dyDescent="0.45">
      <c r="E183" t="s">
        <v>1461</v>
      </c>
      <c r="G183" t="s">
        <v>162</v>
      </c>
      <c r="I183" t="s">
        <v>252</v>
      </c>
      <c r="J183" t="s">
        <v>1661</v>
      </c>
      <c r="K183">
        <v>3.7514474124609998E-4</v>
      </c>
      <c r="L183" t="s">
        <v>254</v>
      </c>
      <c r="N183" t="s">
        <v>422</v>
      </c>
      <c r="O183" t="s">
        <v>1661</v>
      </c>
      <c r="P183">
        <v>4.726764327163614E-5</v>
      </c>
      <c r="Q183" t="s">
        <v>254</v>
      </c>
      <c r="S183" t="s">
        <v>423</v>
      </c>
      <c r="T183" t="s">
        <v>1661</v>
      </c>
      <c r="U183">
        <v>4.0575624508938429E-5</v>
      </c>
      <c r="V183" t="s">
        <v>254</v>
      </c>
      <c r="X183">
        <v>1.1415525114155251E-4</v>
      </c>
      <c r="Y183">
        <v>1.4253868019126702E-4</v>
      </c>
      <c r="Z183" t="s">
        <v>1661</v>
      </c>
      <c r="AA183" t="s">
        <v>25</v>
      </c>
      <c r="AC183" t="s">
        <v>22</v>
      </c>
      <c r="AD183" t="s">
        <v>1661</v>
      </c>
      <c r="AE183">
        <v>9.8350323687120976E-5</v>
      </c>
      <c r="AG183" t="s">
        <v>97</v>
      </c>
      <c r="AH183" t="s">
        <v>1661</v>
      </c>
      <c r="AI183">
        <v>0</v>
      </c>
    </row>
    <row r="184" spans="5:35" x14ac:dyDescent="0.45">
      <c r="E184" t="s">
        <v>1462</v>
      </c>
      <c r="G184" t="s">
        <v>162</v>
      </c>
      <c r="I184" t="s">
        <v>252</v>
      </c>
      <c r="J184" t="s">
        <v>1662</v>
      </c>
      <c r="K184">
        <v>3.9646528152010002E-4</v>
      </c>
      <c r="L184" t="s">
        <v>254</v>
      </c>
      <c r="N184" t="s">
        <v>422</v>
      </c>
      <c r="O184" t="s">
        <v>1662</v>
      </c>
      <c r="P184">
        <v>5.1542347200118464E-5</v>
      </c>
      <c r="Q184" t="s">
        <v>254</v>
      </c>
      <c r="S184" t="s">
        <v>423</v>
      </c>
      <c r="T184" t="s">
        <v>1662</v>
      </c>
      <c r="U184">
        <v>4.5642061358450142E-5</v>
      </c>
      <c r="V184" t="s">
        <v>254</v>
      </c>
      <c r="X184">
        <v>1.1415525114155251E-4</v>
      </c>
      <c r="Y184">
        <v>1.4883690094390442E-4</v>
      </c>
      <c r="Z184" t="s">
        <v>1662</v>
      </c>
      <c r="AA184" t="s">
        <v>25</v>
      </c>
      <c r="AC184" t="s">
        <v>22</v>
      </c>
      <c r="AD184" t="s">
        <v>1662</v>
      </c>
      <c r="AE184">
        <v>9.7739174516847215E-5</v>
      </c>
      <c r="AG184" t="s">
        <v>97</v>
      </c>
      <c r="AH184" t="s">
        <v>1662</v>
      </c>
      <c r="AI184">
        <v>0</v>
      </c>
    </row>
    <row r="185" spans="5:35" x14ac:dyDescent="0.45">
      <c r="E185" t="s">
        <v>1463</v>
      </c>
      <c r="G185" t="s">
        <v>162</v>
      </c>
      <c r="I185" t="s">
        <v>252</v>
      </c>
      <c r="J185" t="s">
        <v>1663</v>
      </c>
      <c r="K185">
        <v>4.186662771654E-4</v>
      </c>
      <c r="L185" t="s">
        <v>254</v>
      </c>
      <c r="N185" t="s">
        <v>422</v>
      </c>
      <c r="O185" t="s">
        <v>1663</v>
      </c>
      <c r="P185">
        <v>5.5995816351460391E-5</v>
      </c>
      <c r="Q185" t="s">
        <v>254</v>
      </c>
      <c r="S185" t="s">
        <v>423</v>
      </c>
      <c r="T185" t="s">
        <v>1663</v>
      </c>
      <c r="U185">
        <v>5.286507780828569E-5</v>
      </c>
      <c r="V185" t="s">
        <v>254</v>
      </c>
      <c r="X185">
        <v>1.1415525114155251E-4</v>
      </c>
      <c r="Y185">
        <v>1.5049432745775637E-4</v>
      </c>
      <c r="Z185" t="s">
        <v>1663</v>
      </c>
      <c r="AA185" t="s">
        <v>25</v>
      </c>
      <c r="AC185" t="s">
        <v>22</v>
      </c>
      <c r="AD185" t="s">
        <v>1663</v>
      </c>
      <c r="AE185">
        <v>9.7214967069541249E-5</v>
      </c>
      <c r="AG185" t="s">
        <v>97</v>
      </c>
      <c r="AH185" t="s">
        <v>1663</v>
      </c>
      <c r="AI185">
        <v>0</v>
      </c>
    </row>
    <row r="186" spans="5:35" x14ac:dyDescent="0.45">
      <c r="E186" t="s">
        <v>1464</v>
      </c>
      <c r="G186" t="s">
        <v>162</v>
      </c>
      <c r="I186" t="s">
        <v>252</v>
      </c>
      <c r="J186" t="s">
        <v>1664</v>
      </c>
      <c r="K186">
        <v>4.2054526416280001E-4</v>
      </c>
      <c r="L186" t="s">
        <v>254</v>
      </c>
      <c r="N186" t="s">
        <v>422</v>
      </c>
      <c r="O186" t="s">
        <v>1664</v>
      </c>
      <c r="P186">
        <v>6.0666812078225552E-5</v>
      </c>
      <c r="Q186" t="s">
        <v>254</v>
      </c>
      <c r="S186" t="s">
        <v>423</v>
      </c>
      <c r="T186" t="s">
        <v>1664</v>
      </c>
      <c r="U186">
        <v>5.9700328413564987E-5</v>
      </c>
      <c r="V186" t="s">
        <v>254</v>
      </c>
      <c r="X186">
        <v>1.1415525114155251E-4</v>
      </c>
      <c r="Y186">
        <v>1.7237235744060203E-4</v>
      </c>
      <c r="Z186" t="s">
        <v>1664</v>
      </c>
      <c r="AA186" t="s">
        <v>25</v>
      </c>
      <c r="AC186" t="s">
        <v>22</v>
      </c>
      <c r="AD186" t="s">
        <v>1664</v>
      </c>
      <c r="AE186">
        <v>9.7010398309616959E-5</v>
      </c>
      <c r="AG186" t="s">
        <v>97</v>
      </c>
      <c r="AH186" t="s">
        <v>1664</v>
      </c>
      <c r="AI186">
        <v>0</v>
      </c>
    </row>
    <row r="187" spans="5:35" x14ac:dyDescent="0.45">
      <c r="E187" t="s">
        <v>1465</v>
      </c>
      <c r="G187" t="s">
        <v>162</v>
      </c>
      <c r="I187" t="s">
        <v>252</v>
      </c>
      <c r="J187" t="s">
        <v>1665</v>
      </c>
      <c r="K187">
        <v>3.9879763390180003E-4</v>
      </c>
      <c r="L187" t="s">
        <v>254</v>
      </c>
      <c r="N187" t="s">
        <v>422</v>
      </c>
      <c r="O187" t="s">
        <v>1665</v>
      </c>
      <c r="P187">
        <v>6.3899391043549056E-5</v>
      </c>
      <c r="Q187" t="s">
        <v>254</v>
      </c>
      <c r="S187" t="s">
        <v>423</v>
      </c>
      <c r="T187" t="s">
        <v>1665</v>
      </c>
      <c r="U187">
        <v>6.4343904759130995E-5</v>
      </c>
      <c r="V187" t="s">
        <v>254</v>
      </c>
      <c r="X187">
        <v>1.1415525114155251E-4</v>
      </c>
      <c r="Y187">
        <v>2.2209515285616027E-4</v>
      </c>
      <c r="Z187" t="s">
        <v>1665</v>
      </c>
      <c r="AA187" t="s">
        <v>25</v>
      </c>
      <c r="AC187" t="s">
        <v>22</v>
      </c>
      <c r="AD187" t="s">
        <v>1665</v>
      </c>
      <c r="AE187">
        <v>9.6821172206687007E-5</v>
      </c>
      <c r="AG187" t="s">
        <v>97</v>
      </c>
      <c r="AH187" t="s">
        <v>1665</v>
      </c>
      <c r="AI187">
        <v>0</v>
      </c>
    </row>
    <row r="188" spans="5:35" x14ac:dyDescent="0.45">
      <c r="E188" t="s">
        <v>1466</v>
      </c>
      <c r="G188" t="s">
        <v>162</v>
      </c>
      <c r="I188" t="s">
        <v>252</v>
      </c>
      <c r="J188" t="s">
        <v>1666</v>
      </c>
      <c r="K188">
        <v>3.4822004996759999E-4</v>
      </c>
      <c r="L188" t="s">
        <v>254</v>
      </c>
      <c r="N188" t="s">
        <v>422</v>
      </c>
      <c r="O188" t="s">
        <v>1666</v>
      </c>
      <c r="P188">
        <v>6.2357173297917289E-5</v>
      </c>
      <c r="Q188" t="s">
        <v>254</v>
      </c>
      <c r="S188" t="s">
        <v>423</v>
      </c>
      <c r="T188" t="s">
        <v>1666</v>
      </c>
      <c r="U188">
        <v>6.7578589436836941E-5</v>
      </c>
      <c r="V188" t="s">
        <v>254</v>
      </c>
      <c r="X188">
        <v>1.1415525114155251E-4</v>
      </c>
      <c r="Y188">
        <v>2.2209515285616027E-4</v>
      </c>
      <c r="Z188" t="s">
        <v>1666</v>
      </c>
      <c r="AA188" t="s">
        <v>25</v>
      </c>
      <c r="AC188" t="s">
        <v>22</v>
      </c>
      <c r="AD188" t="s">
        <v>1666</v>
      </c>
      <c r="AE188">
        <v>9.6920899477150098E-5</v>
      </c>
      <c r="AG188" t="s">
        <v>97</v>
      </c>
      <c r="AH188" t="s">
        <v>1666</v>
      </c>
      <c r="AI188">
        <v>0</v>
      </c>
    </row>
    <row r="189" spans="5:35" x14ac:dyDescent="0.45">
      <c r="E189" t="s">
        <v>1467</v>
      </c>
      <c r="G189" t="s">
        <v>162</v>
      </c>
      <c r="I189" t="s">
        <v>252</v>
      </c>
      <c r="J189" t="s">
        <v>1667</v>
      </c>
      <c r="K189">
        <v>2.694482343239E-4</v>
      </c>
      <c r="L189" t="s">
        <v>254</v>
      </c>
      <c r="N189" t="s">
        <v>422</v>
      </c>
      <c r="O189" t="s">
        <v>1667</v>
      </c>
      <c r="P189">
        <v>5.7516744858783786E-5</v>
      </c>
      <c r="Q189" t="s">
        <v>254</v>
      </c>
      <c r="S189" t="s">
        <v>423</v>
      </c>
      <c r="T189" t="s">
        <v>1667</v>
      </c>
      <c r="U189">
        <v>6.6244836682486272E-5</v>
      </c>
      <c r="V189" t="s">
        <v>254</v>
      </c>
      <c r="X189">
        <v>1.1415525114155251E-4</v>
      </c>
      <c r="Y189">
        <v>1.7237235744060203E-4</v>
      </c>
      <c r="Z189" t="s">
        <v>1667</v>
      </c>
      <c r="AA189" t="s">
        <v>25</v>
      </c>
      <c r="AC189" t="s">
        <v>22</v>
      </c>
      <c r="AD189" t="s">
        <v>1667</v>
      </c>
      <c r="AE189">
        <v>9.6989941433624555E-5</v>
      </c>
      <c r="AG189" t="s">
        <v>97</v>
      </c>
      <c r="AH189" t="s">
        <v>1667</v>
      </c>
      <c r="AI189">
        <v>0</v>
      </c>
    </row>
    <row r="190" spans="5:35" x14ac:dyDescent="0.45">
      <c r="E190" t="s">
        <v>1468</v>
      </c>
      <c r="G190" t="s">
        <v>162</v>
      </c>
      <c r="I190" t="s">
        <v>252</v>
      </c>
      <c r="J190" t="s">
        <v>1668</v>
      </c>
      <c r="K190">
        <v>1.524385916467E-4</v>
      </c>
      <c r="L190" t="s">
        <v>254</v>
      </c>
      <c r="N190" t="s">
        <v>422</v>
      </c>
      <c r="O190" t="s">
        <v>1668</v>
      </c>
      <c r="P190">
        <v>5.2454065633412885E-5</v>
      </c>
      <c r="Q190" t="s">
        <v>254</v>
      </c>
      <c r="S190" t="s">
        <v>423</v>
      </c>
      <c r="T190" t="s">
        <v>1668</v>
      </c>
      <c r="U190">
        <v>5.9572585167958738E-5</v>
      </c>
      <c r="V190" t="s">
        <v>254</v>
      </c>
      <c r="X190">
        <v>1.1415525114155251E-4</v>
      </c>
      <c r="Y190">
        <v>1.5579809230208258E-4</v>
      </c>
      <c r="Z190" t="s">
        <v>1668</v>
      </c>
      <c r="AA190" t="s">
        <v>25</v>
      </c>
      <c r="AC190" t="s">
        <v>22</v>
      </c>
      <c r="AD190" t="s">
        <v>1668</v>
      </c>
      <c r="AE190">
        <v>9.6759801578709726E-5</v>
      </c>
      <c r="AG190" t="s">
        <v>97</v>
      </c>
      <c r="AH190" t="s">
        <v>1668</v>
      </c>
      <c r="AI190">
        <v>0</v>
      </c>
    </row>
    <row r="191" spans="5:35" x14ac:dyDescent="0.45">
      <c r="E191" t="s">
        <v>1469</v>
      </c>
      <c r="G191" t="s">
        <v>162</v>
      </c>
      <c r="I191" t="s">
        <v>252</v>
      </c>
      <c r="J191" t="s">
        <v>1669</v>
      </c>
      <c r="K191">
        <v>0</v>
      </c>
      <c r="L191" t="s">
        <v>254</v>
      </c>
      <c r="N191" t="s">
        <v>422</v>
      </c>
      <c r="O191" t="s">
        <v>1669</v>
      </c>
      <c r="P191">
        <v>4.9595541696877264E-5</v>
      </c>
      <c r="Q191" t="s">
        <v>254</v>
      </c>
      <c r="S191" t="s">
        <v>423</v>
      </c>
      <c r="T191" t="s">
        <v>1669</v>
      </c>
      <c r="U191">
        <v>5.2457830260296558E-5</v>
      </c>
      <c r="V191" t="s">
        <v>254</v>
      </c>
      <c r="X191">
        <v>1.1415525114155251E-4</v>
      </c>
      <c r="Y191">
        <v>1.093901499142282E-4</v>
      </c>
      <c r="Z191" t="s">
        <v>1669</v>
      </c>
      <c r="AA191" t="s">
        <v>25</v>
      </c>
      <c r="AC191" t="s">
        <v>22</v>
      </c>
      <c r="AD191" t="s">
        <v>1669</v>
      </c>
      <c r="AE191">
        <v>9.6342992730363998E-5</v>
      </c>
      <c r="AG191" t="s">
        <v>97</v>
      </c>
      <c r="AH191" t="s">
        <v>1669</v>
      </c>
      <c r="AI191">
        <v>0</v>
      </c>
    </row>
    <row r="192" spans="5:35" x14ac:dyDescent="0.45">
      <c r="E192" t="s">
        <v>1470</v>
      </c>
      <c r="G192" t="s">
        <v>162</v>
      </c>
      <c r="I192" t="s">
        <v>252</v>
      </c>
      <c r="J192" t="s">
        <v>1670</v>
      </c>
      <c r="K192">
        <v>0</v>
      </c>
      <c r="L192" t="s">
        <v>254</v>
      </c>
      <c r="N192" t="s">
        <v>422</v>
      </c>
      <c r="O192" t="s">
        <v>1670</v>
      </c>
      <c r="P192">
        <v>4.7697609250033359E-5</v>
      </c>
      <c r="Q192" t="s">
        <v>254</v>
      </c>
      <c r="S192" t="s">
        <v>423</v>
      </c>
      <c r="T192" t="s">
        <v>1670</v>
      </c>
      <c r="U192">
        <v>4.9318219887695079E-5</v>
      </c>
      <c r="V192" t="s">
        <v>254</v>
      </c>
      <c r="X192">
        <v>1.1415525114155251E-4</v>
      </c>
      <c r="Y192">
        <v>7.9556472664893237E-5</v>
      </c>
      <c r="Z192" t="s">
        <v>1670</v>
      </c>
      <c r="AA192" t="s">
        <v>25</v>
      </c>
      <c r="AC192" t="s">
        <v>22</v>
      </c>
      <c r="AD192" t="s">
        <v>1670</v>
      </c>
      <c r="AE192">
        <v>9.2082848304940958E-5</v>
      </c>
      <c r="AG192" t="s">
        <v>97</v>
      </c>
      <c r="AH192" t="s">
        <v>1670</v>
      </c>
      <c r="AI192">
        <v>0</v>
      </c>
    </row>
    <row r="193" spans="5:35" x14ac:dyDescent="0.45">
      <c r="E193" t="s">
        <v>1471</v>
      </c>
      <c r="G193" t="s">
        <v>162</v>
      </c>
      <c r="I193" t="s">
        <v>252</v>
      </c>
      <c r="J193" t="s">
        <v>1671</v>
      </c>
      <c r="K193">
        <v>0</v>
      </c>
      <c r="L193" t="s">
        <v>254</v>
      </c>
      <c r="N193" t="s">
        <v>422</v>
      </c>
      <c r="O193" t="s">
        <v>1671</v>
      </c>
      <c r="P193">
        <v>4.9591384613861959E-5</v>
      </c>
      <c r="Q193" t="s">
        <v>254</v>
      </c>
      <c r="S193" t="s">
        <v>423</v>
      </c>
      <c r="T193" t="s">
        <v>1671</v>
      </c>
      <c r="U193">
        <v>5.1408577200548682E-5</v>
      </c>
      <c r="V193" t="s">
        <v>254</v>
      </c>
      <c r="X193">
        <v>1.1415525114155251E-4</v>
      </c>
      <c r="Y193">
        <v>5.6352501470966035E-5</v>
      </c>
      <c r="Z193" t="s">
        <v>1671</v>
      </c>
      <c r="AA193" t="s">
        <v>25</v>
      </c>
      <c r="AC193" t="s">
        <v>22</v>
      </c>
      <c r="AD193" t="s">
        <v>1671</v>
      </c>
      <c r="AE193">
        <v>8.8518237663260432E-5</v>
      </c>
      <c r="AG193" t="s">
        <v>97</v>
      </c>
      <c r="AH193" t="s">
        <v>1671</v>
      </c>
      <c r="AI193">
        <v>0</v>
      </c>
    </row>
    <row r="194" spans="5:35" x14ac:dyDescent="0.45">
      <c r="E194" t="s">
        <v>1472</v>
      </c>
      <c r="G194" t="s">
        <v>162</v>
      </c>
      <c r="I194" t="s">
        <v>252</v>
      </c>
      <c r="J194" t="s">
        <v>1672</v>
      </c>
      <c r="K194">
        <v>0</v>
      </c>
      <c r="L194" t="s">
        <v>254</v>
      </c>
      <c r="N194" t="s">
        <v>422</v>
      </c>
      <c r="O194" t="s">
        <v>1672</v>
      </c>
      <c r="P194">
        <v>4.7825249151282691E-5</v>
      </c>
      <c r="Q194" t="s">
        <v>254</v>
      </c>
      <c r="S194" t="s">
        <v>423</v>
      </c>
      <c r="T194" t="s">
        <v>1672</v>
      </c>
      <c r="U194">
        <v>5.1897479185711965E-5</v>
      </c>
      <c r="V194" t="s">
        <v>254</v>
      </c>
      <c r="X194">
        <v>1.1415525114155251E-4</v>
      </c>
      <c r="Y194">
        <v>2.9833677249334962E-5</v>
      </c>
      <c r="Z194" t="s">
        <v>1672</v>
      </c>
      <c r="AA194" t="s">
        <v>25</v>
      </c>
      <c r="AC194" t="s">
        <v>22</v>
      </c>
      <c r="AD194" t="s">
        <v>1672</v>
      </c>
      <c r="AE194">
        <v>7.9517212226592289E-5</v>
      </c>
      <c r="AG194" t="s">
        <v>97</v>
      </c>
      <c r="AH194" t="s">
        <v>1672</v>
      </c>
      <c r="AI194">
        <v>0</v>
      </c>
    </row>
    <row r="195" spans="5:35" x14ac:dyDescent="0.45">
      <c r="E195" t="s">
        <v>1473</v>
      </c>
      <c r="G195" t="s">
        <v>162</v>
      </c>
      <c r="I195" t="s">
        <v>252</v>
      </c>
      <c r="J195" t="s">
        <v>1673</v>
      </c>
      <c r="K195">
        <v>0</v>
      </c>
      <c r="L195" t="s">
        <v>254</v>
      </c>
      <c r="N195" t="s">
        <v>422</v>
      </c>
      <c r="O195" t="s">
        <v>1673</v>
      </c>
      <c r="P195">
        <v>4.5396947745506488E-5</v>
      </c>
      <c r="Q195" t="s">
        <v>254</v>
      </c>
      <c r="S195" t="s">
        <v>423</v>
      </c>
      <c r="T195" t="s">
        <v>1673</v>
      </c>
      <c r="U195">
        <v>5.1146275261765517E-5</v>
      </c>
      <c r="V195" t="s">
        <v>254</v>
      </c>
      <c r="X195">
        <v>1.1415525114155251E-4</v>
      </c>
      <c r="Y195">
        <v>2.1546544680075254E-5</v>
      </c>
      <c r="Z195" t="s">
        <v>1673</v>
      </c>
      <c r="AA195" t="s">
        <v>25</v>
      </c>
      <c r="AC195" t="s">
        <v>22</v>
      </c>
      <c r="AD195" t="s">
        <v>1673</v>
      </c>
      <c r="AE195">
        <v>7.319092332593403E-5</v>
      </c>
      <c r="AG195" t="s">
        <v>97</v>
      </c>
      <c r="AH195" t="s">
        <v>1673</v>
      </c>
      <c r="AI195">
        <v>0</v>
      </c>
    </row>
    <row r="196" spans="5:35" x14ac:dyDescent="0.45">
      <c r="E196" t="s">
        <v>1474</v>
      </c>
      <c r="G196" t="s">
        <v>162</v>
      </c>
      <c r="I196" t="s">
        <v>252</v>
      </c>
      <c r="J196" t="s">
        <v>1674</v>
      </c>
      <c r="K196">
        <v>0</v>
      </c>
      <c r="L196" t="s">
        <v>254</v>
      </c>
      <c r="N196" t="s">
        <v>422</v>
      </c>
      <c r="O196" t="s">
        <v>1674</v>
      </c>
      <c r="P196">
        <v>4.5196360861313337E-5</v>
      </c>
      <c r="Q196" t="s">
        <v>254</v>
      </c>
      <c r="S196" t="s">
        <v>423</v>
      </c>
      <c r="T196" t="s">
        <v>1674</v>
      </c>
      <c r="U196">
        <v>5.2066699063009851E-5</v>
      </c>
      <c r="V196" t="s">
        <v>254</v>
      </c>
      <c r="X196">
        <v>1.1415525114155251E-4</v>
      </c>
      <c r="Y196">
        <v>1.4916838624667481E-5</v>
      </c>
      <c r="Z196" t="s">
        <v>1674</v>
      </c>
      <c r="AA196" t="s">
        <v>25</v>
      </c>
      <c r="AC196" t="s">
        <v>22</v>
      </c>
      <c r="AD196" t="s">
        <v>1674</v>
      </c>
      <c r="AE196">
        <v>7.0306503811001734E-5</v>
      </c>
      <c r="AG196" t="s">
        <v>97</v>
      </c>
      <c r="AH196" t="s">
        <v>1674</v>
      </c>
      <c r="AI196">
        <v>0</v>
      </c>
    </row>
    <row r="197" spans="5:35" x14ac:dyDescent="0.45">
      <c r="E197" t="s">
        <v>1475</v>
      </c>
      <c r="G197" t="s">
        <v>162</v>
      </c>
      <c r="I197" t="s">
        <v>252</v>
      </c>
      <c r="J197" t="s">
        <v>1675</v>
      </c>
      <c r="K197">
        <v>0</v>
      </c>
      <c r="L197" t="s">
        <v>254</v>
      </c>
      <c r="N197" t="s">
        <v>422</v>
      </c>
      <c r="O197" t="s">
        <v>1675</v>
      </c>
      <c r="P197">
        <v>4.5341734780779405E-5</v>
      </c>
      <c r="Q197" t="s">
        <v>254</v>
      </c>
      <c r="S197" t="s">
        <v>423</v>
      </c>
      <c r="T197" t="s">
        <v>1675</v>
      </c>
      <c r="U197">
        <v>5.2082030729538929E-5</v>
      </c>
      <c r="V197" t="s">
        <v>254</v>
      </c>
      <c r="X197">
        <v>1.1415525114155251E-4</v>
      </c>
      <c r="Y197">
        <v>1.6574265138519424E-5</v>
      </c>
      <c r="Z197" t="s">
        <v>1675</v>
      </c>
      <c r="AA197" t="s">
        <v>25</v>
      </c>
      <c r="AC197" t="s">
        <v>22</v>
      </c>
      <c r="AD197" t="s">
        <v>1675</v>
      </c>
      <c r="AE197">
        <v>7.0306503811001734E-5</v>
      </c>
      <c r="AG197" t="s">
        <v>97</v>
      </c>
      <c r="AH197" t="s">
        <v>1675</v>
      </c>
      <c r="AI197">
        <v>0</v>
      </c>
    </row>
    <row r="198" spans="5:35" x14ac:dyDescent="0.45">
      <c r="E198" t="s">
        <v>1476</v>
      </c>
      <c r="G198" t="s">
        <v>162</v>
      </c>
      <c r="I198" t="s">
        <v>252</v>
      </c>
      <c r="J198" t="s">
        <v>1676</v>
      </c>
      <c r="K198">
        <v>0</v>
      </c>
      <c r="L198" t="s">
        <v>254</v>
      </c>
      <c r="N198" t="s">
        <v>422</v>
      </c>
      <c r="O198" t="s">
        <v>1676</v>
      </c>
      <c r="P198">
        <v>4.5641869278247392E-5</v>
      </c>
      <c r="Q198" t="s">
        <v>254</v>
      </c>
      <c r="S198" t="s">
        <v>423</v>
      </c>
      <c r="T198" t="s">
        <v>1676</v>
      </c>
      <c r="U198">
        <v>5.3755797948495232E-5</v>
      </c>
      <c r="V198" t="s">
        <v>254</v>
      </c>
      <c r="X198">
        <v>1.1415525114155251E-4</v>
      </c>
      <c r="Y198">
        <v>1.4585353321897093E-5</v>
      </c>
      <c r="Z198" t="s">
        <v>1676</v>
      </c>
      <c r="AA198" t="s">
        <v>25</v>
      </c>
      <c r="AC198" t="s">
        <v>22</v>
      </c>
      <c r="AD198" t="s">
        <v>1676</v>
      </c>
      <c r="AE198">
        <v>7.0505958351927889E-5</v>
      </c>
      <c r="AG198" t="s">
        <v>97</v>
      </c>
      <c r="AH198" t="s">
        <v>1676</v>
      </c>
      <c r="AI198">
        <v>0</v>
      </c>
    </row>
    <row r="199" spans="5:35" x14ac:dyDescent="0.45">
      <c r="E199" t="s">
        <v>1477</v>
      </c>
      <c r="G199" t="s">
        <v>162</v>
      </c>
      <c r="I199" t="s">
        <v>252</v>
      </c>
      <c r="J199" t="s">
        <v>1677</v>
      </c>
      <c r="K199">
        <v>0</v>
      </c>
      <c r="L199" t="s">
        <v>254</v>
      </c>
      <c r="N199" t="s">
        <v>422</v>
      </c>
      <c r="O199" t="s">
        <v>1677</v>
      </c>
      <c r="P199">
        <v>4.7167365307268123E-5</v>
      </c>
      <c r="Q199" t="s">
        <v>254</v>
      </c>
      <c r="S199" t="s">
        <v>423</v>
      </c>
      <c r="T199" t="s">
        <v>1677</v>
      </c>
      <c r="U199">
        <v>5.4430904824681921E-5</v>
      </c>
      <c r="V199" t="s">
        <v>254</v>
      </c>
      <c r="X199">
        <v>1.1415525114155251E-4</v>
      </c>
      <c r="Y199">
        <v>2.1215059377304864E-5</v>
      </c>
      <c r="Z199" t="s">
        <v>1677</v>
      </c>
      <c r="AA199" t="s">
        <v>25</v>
      </c>
      <c r="AC199" t="s">
        <v>22</v>
      </c>
      <c r="AD199" t="s">
        <v>1677</v>
      </c>
      <c r="AE199">
        <v>7.0700298673855963E-5</v>
      </c>
      <c r="AG199" t="s">
        <v>97</v>
      </c>
      <c r="AH199" t="s">
        <v>1677</v>
      </c>
      <c r="AI199">
        <v>0</v>
      </c>
    </row>
    <row r="200" spans="5:35" x14ac:dyDescent="0.45">
      <c r="E200" t="s">
        <v>1478</v>
      </c>
      <c r="G200" t="s">
        <v>162</v>
      </c>
      <c r="I200" t="s">
        <v>252</v>
      </c>
      <c r="J200" t="s">
        <v>1678</v>
      </c>
      <c r="K200">
        <v>0</v>
      </c>
      <c r="L200" t="s">
        <v>254</v>
      </c>
      <c r="N200" t="s">
        <v>422</v>
      </c>
      <c r="O200" t="s">
        <v>1678</v>
      </c>
      <c r="P200">
        <v>4.932613754021016E-5</v>
      </c>
      <c r="Q200" t="s">
        <v>254</v>
      </c>
      <c r="S200" t="s">
        <v>423</v>
      </c>
      <c r="T200" t="s">
        <v>1678</v>
      </c>
      <c r="U200">
        <v>5.576522658156092E-5</v>
      </c>
      <c r="V200" t="s">
        <v>254</v>
      </c>
      <c r="X200">
        <v>1.1415525114155251E-4</v>
      </c>
      <c r="Y200">
        <v>5.7678442682047593E-5</v>
      </c>
      <c r="Z200" t="s">
        <v>1678</v>
      </c>
      <c r="AA200" t="s">
        <v>25</v>
      </c>
      <c r="AC200" t="s">
        <v>22</v>
      </c>
      <c r="AD200" t="s">
        <v>1678</v>
      </c>
      <c r="AE200">
        <v>7.3198594654431178E-5</v>
      </c>
      <c r="AG200" t="s">
        <v>97</v>
      </c>
      <c r="AH200" t="s">
        <v>1678</v>
      </c>
      <c r="AI200">
        <v>0</v>
      </c>
    </row>
    <row r="201" spans="5:35" x14ac:dyDescent="0.45">
      <c r="E201" t="s">
        <v>1479</v>
      </c>
      <c r="G201" t="s">
        <v>162</v>
      </c>
      <c r="I201" t="s">
        <v>252</v>
      </c>
      <c r="J201" t="s">
        <v>1679</v>
      </c>
      <c r="K201">
        <v>1.742994356862E-4</v>
      </c>
      <c r="L201" t="s">
        <v>254</v>
      </c>
      <c r="N201" t="s">
        <v>422</v>
      </c>
      <c r="O201" t="s">
        <v>1679</v>
      </c>
      <c r="P201">
        <v>4.9419436918524827E-5</v>
      </c>
      <c r="Q201" t="s">
        <v>254</v>
      </c>
      <c r="S201" t="s">
        <v>423</v>
      </c>
      <c r="T201" t="s">
        <v>1679</v>
      </c>
      <c r="U201">
        <v>5.7477443729766457E-5</v>
      </c>
      <c r="V201" t="s">
        <v>254</v>
      </c>
      <c r="X201">
        <v>1.1415525114155251E-4</v>
      </c>
      <c r="Y201">
        <v>1.6905750441289813E-4</v>
      </c>
      <c r="Z201" t="s">
        <v>1679</v>
      </c>
      <c r="AA201" t="s">
        <v>25</v>
      </c>
      <c r="AC201" t="s">
        <v>22</v>
      </c>
      <c r="AD201" t="s">
        <v>1679</v>
      </c>
      <c r="AE201">
        <v>7.8706608515392333E-5</v>
      </c>
      <c r="AG201" t="s">
        <v>97</v>
      </c>
      <c r="AH201" t="s">
        <v>1679</v>
      </c>
      <c r="AI201">
        <v>0</v>
      </c>
    </row>
    <row r="202" spans="5:35" x14ac:dyDescent="0.45">
      <c r="E202" t="s">
        <v>1480</v>
      </c>
      <c r="G202" t="s">
        <v>162</v>
      </c>
      <c r="I202" t="s">
        <v>252</v>
      </c>
      <c r="J202" t="s">
        <v>1680</v>
      </c>
      <c r="K202">
        <v>2.8827543352999999E-4</v>
      </c>
      <c r="L202" t="s">
        <v>254</v>
      </c>
      <c r="N202" t="s">
        <v>422</v>
      </c>
      <c r="O202" t="s">
        <v>1680</v>
      </c>
      <c r="P202">
        <v>4.871569519613625E-5</v>
      </c>
      <c r="Q202" t="s">
        <v>254</v>
      </c>
      <c r="S202" t="s">
        <v>423</v>
      </c>
      <c r="T202" t="s">
        <v>1680</v>
      </c>
      <c r="U202">
        <v>5.7989176658051513E-5</v>
      </c>
      <c r="V202" t="s">
        <v>254</v>
      </c>
      <c r="X202">
        <v>1.1415525114155251E-4</v>
      </c>
      <c r="Y202">
        <v>1.9060404909297337E-4</v>
      </c>
      <c r="Z202" t="s">
        <v>1680</v>
      </c>
      <c r="AA202" t="s">
        <v>25</v>
      </c>
      <c r="AC202" t="s">
        <v>22</v>
      </c>
      <c r="AD202" t="s">
        <v>1680</v>
      </c>
      <c r="AE202">
        <v>8.6764060546909755E-5</v>
      </c>
      <c r="AG202" t="s">
        <v>97</v>
      </c>
      <c r="AH202" t="s">
        <v>1680</v>
      </c>
      <c r="AI202">
        <v>0</v>
      </c>
    </row>
    <row r="203" spans="5:35" x14ac:dyDescent="0.45">
      <c r="E203" t="s">
        <v>535</v>
      </c>
      <c r="G203" t="s">
        <v>162</v>
      </c>
      <c r="I203" t="s">
        <v>252</v>
      </c>
      <c r="J203" t="s">
        <v>1681</v>
      </c>
      <c r="K203">
        <v>3.66841238102E-4</v>
      </c>
      <c r="L203" t="s">
        <v>254</v>
      </c>
      <c r="N203" t="s">
        <v>422</v>
      </c>
      <c r="O203" t="s">
        <v>1681</v>
      </c>
      <c r="P203">
        <v>5.2855176024892898E-5</v>
      </c>
      <c r="Q203" t="s">
        <v>254</v>
      </c>
      <c r="S203" t="s">
        <v>423</v>
      </c>
      <c r="T203" t="s">
        <v>1681</v>
      </c>
      <c r="U203">
        <v>5.7199819964697878E-5</v>
      </c>
      <c r="V203" t="s">
        <v>254</v>
      </c>
      <c r="X203">
        <v>1.1415525114155251E-4</v>
      </c>
      <c r="Y203">
        <v>1.4585353321897094E-4</v>
      </c>
      <c r="Z203" t="s">
        <v>1681</v>
      </c>
      <c r="AA203" t="s">
        <v>25</v>
      </c>
      <c r="AC203" t="s">
        <v>22</v>
      </c>
      <c r="AD203" t="s">
        <v>1681</v>
      </c>
      <c r="AE203">
        <v>9.6591032351772205E-5</v>
      </c>
      <c r="AG203" t="s">
        <v>97</v>
      </c>
      <c r="AH203" t="s">
        <v>1681</v>
      </c>
      <c r="AI203">
        <v>0</v>
      </c>
    </row>
    <row r="204" spans="5:35" x14ac:dyDescent="0.45">
      <c r="E204" t="s">
        <v>536</v>
      </c>
      <c r="G204" t="s">
        <v>162</v>
      </c>
      <c r="I204" t="s">
        <v>252</v>
      </c>
      <c r="J204" t="s">
        <v>1682</v>
      </c>
      <c r="K204">
        <v>4.1246507667309999E-4</v>
      </c>
      <c r="L204" t="s">
        <v>254</v>
      </c>
      <c r="N204" t="s">
        <v>422</v>
      </c>
      <c r="O204" t="s">
        <v>1682</v>
      </c>
      <c r="P204">
        <v>5.2331454552740179E-5</v>
      </c>
      <c r="Q204" t="s">
        <v>254</v>
      </c>
      <c r="S204" t="s">
        <v>423</v>
      </c>
      <c r="T204" t="s">
        <v>1682</v>
      </c>
      <c r="U204">
        <v>5.6928015765678789E-5</v>
      </c>
      <c r="V204" t="s">
        <v>254</v>
      </c>
      <c r="X204">
        <v>1.1415525114155251E-4</v>
      </c>
      <c r="Y204">
        <v>1.4452759200788939E-4</v>
      </c>
      <c r="Z204" t="s">
        <v>1682</v>
      </c>
      <c r="AA204" t="s">
        <v>25</v>
      </c>
      <c r="AC204" t="s">
        <v>22</v>
      </c>
      <c r="AD204" t="s">
        <v>1682</v>
      </c>
      <c r="AE204">
        <v>9.9081657003850259E-5</v>
      </c>
      <c r="AG204" t="s">
        <v>97</v>
      </c>
      <c r="AH204" t="s">
        <v>1682</v>
      </c>
      <c r="AI204">
        <v>0</v>
      </c>
    </row>
    <row r="205" spans="5:35" x14ac:dyDescent="0.45">
      <c r="E205" t="s">
        <v>537</v>
      </c>
      <c r="G205" t="s">
        <v>162</v>
      </c>
      <c r="I205" t="s">
        <v>252</v>
      </c>
      <c r="J205" t="s">
        <v>1683</v>
      </c>
      <c r="K205">
        <v>4.3619290305510001E-4</v>
      </c>
      <c r="L205" t="s">
        <v>254</v>
      </c>
      <c r="N205" t="s">
        <v>422</v>
      </c>
      <c r="O205" t="s">
        <v>1683</v>
      </c>
      <c r="P205">
        <v>4.2519148327636229E-5</v>
      </c>
      <c r="Q205" t="s">
        <v>254</v>
      </c>
      <c r="S205" t="s">
        <v>423</v>
      </c>
      <c r="T205" t="s">
        <v>1683</v>
      </c>
      <c r="U205">
        <v>4.5993664843911388E-5</v>
      </c>
      <c r="V205" t="s">
        <v>254</v>
      </c>
      <c r="X205">
        <v>1.1415525114155251E-4</v>
      </c>
      <c r="Y205">
        <v>1.408812536774151E-4</v>
      </c>
      <c r="Z205" t="s">
        <v>1683</v>
      </c>
      <c r="AA205" t="s">
        <v>25</v>
      </c>
      <c r="AC205" t="s">
        <v>22</v>
      </c>
      <c r="AD205" t="s">
        <v>1683</v>
      </c>
      <c r="AE205">
        <v>9.9040743251865423E-5</v>
      </c>
      <c r="AG205" t="s">
        <v>97</v>
      </c>
      <c r="AH205" t="s">
        <v>1683</v>
      </c>
      <c r="AI205">
        <v>0</v>
      </c>
    </row>
    <row r="206" spans="5:35" x14ac:dyDescent="0.45">
      <c r="E206" t="s">
        <v>538</v>
      </c>
      <c r="G206" t="s">
        <v>162</v>
      </c>
      <c r="I206" t="s">
        <v>252</v>
      </c>
      <c r="J206" t="s">
        <v>1684</v>
      </c>
      <c r="K206">
        <v>4.3485839603939999E-4</v>
      </c>
      <c r="L206" t="s">
        <v>254</v>
      </c>
      <c r="N206" t="s">
        <v>422</v>
      </c>
      <c r="O206" t="s">
        <v>1684</v>
      </c>
      <c r="P206">
        <v>4.4320665573742803E-5</v>
      </c>
      <c r="Q206" t="s">
        <v>254</v>
      </c>
      <c r="S206" t="s">
        <v>423</v>
      </c>
      <c r="T206" t="s">
        <v>1684</v>
      </c>
      <c r="U206">
        <v>4.0935475086004906E-5</v>
      </c>
      <c r="V206" t="s">
        <v>254</v>
      </c>
      <c r="X206">
        <v>1.1415525114155251E-4</v>
      </c>
      <c r="Y206">
        <v>1.4054976837464471E-4</v>
      </c>
      <c r="Z206" t="s">
        <v>1684</v>
      </c>
      <c r="AA206" t="s">
        <v>25</v>
      </c>
      <c r="AC206" t="s">
        <v>22</v>
      </c>
      <c r="AD206" t="s">
        <v>1684</v>
      </c>
      <c r="AE206">
        <v>9.8787589411459121E-5</v>
      </c>
      <c r="AG206" t="s">
        <v>97</v>
      </c>
      <c r="AH206" t="s">
        <v>1684</v>
      </c>
      <c r="AI206">
        <v>0</v>
      </c>
    </row>
    <row r="207" spans="5:35" x14ac:dyDescent="0.45">
      <c r="E207" t="s">
        <v>539</v>
      </c>
      <c r="G207" t="s">
        <v>162</v>
      </c>
      <c r="I207" t="s">
        <v>252</v>
      </c>
      <c r="J207" t="s">
        <v>1685</v>
      </c>
      <c r="K207">
        <v>4.1940961213639998E-4</v>
      </c>
      <c r="L207" t="s">
        <v>254</v>
      </c>
      <c r="N207" t="s">
        <v>422</v>
      </c>
      <c r="O207" t="s">
        <v>1685</v>
      </c>
      <c r="P207">
        <v>4.4480919517319323E-5</v>
      </c>
      <c r="Q207" t="s">
        <v>254</v>
      </c>
      <c r="S207" t="s">
        <v>423</v>
      </c>
      <c r="T207" t="s">
        <v>1685</v>
      </c>
      <c r="U207">
        <v>3.525259855431975E-5</v>
      </c>
      <c r="V207" t="s">
        <v>254</v>
      </c>
      <c r="X207">
        <v>1.1415525114155251E-4</v>
      </c>
      <c r="Y207">
        <v>1.4253868019126702E-4</v>
      </c>
      <c r="Z207" t="s">
        <v>1685</v>
      </c>
      <c r="AA207" t="s">
        <v>25</v>
      </c>
      <c r="AC207" t="s">
        <v>22</v>
      </c>
      <c r="AD207" t="s">
        <v>1685</v>
      </c>
      <c r="AE207">
        <v>9.8350323687120976E-5</v>
      </c>
      <c r="AG207" t="s">
        <v>97</v>
      </c>
      <c r="AH207" t="s">
        <v>1685</v>
      </c>
      <c r="AI207">
        <v>0</v>
      </c>
    </row>
    <row r="208" spans="5:35" x14ac:dyDescent="0.45">
      <c r="E208" t="s">
        <v>540</v>
      </c>
      <c r="G208" t="s">
        <v>162</v>
      </c>
      <c r="I208" t="s">
        <v>252</v>
      </c>
      <c r="J208" t="s">
        <v>1686</v>
      </c>
      <c r="K208">
        <v>4.22331550524E-4</v>
      </c>
      <c r="L208" t="s">
        <v>254</v>
      </c>
      <c r="N208" t="s">
        <v>422</v>
      </c>
      <c r="O208" t="s">
        <v>1686</v>
      </c>
      <c r="P208">
        <v>4.4788281945668478E-5</v>
      </c>
      <c r="Q208" t="s">
        <v>254</v>
      </c>
      <c r="S208" t="s">
        <v>423</v>
      </c>
      <c r="T208" t="s">
        <v>1686</v>
      </c>
      <c r="U208">
        <v>3.4337933522674025E-5</v>
      </c>
      <c r="V208" t="s">
        <v>254</v>
      </c>
      <c r="X208">
        <v>1.1415525114155251E-4</v>
      </c>
      <c r="Y208">
        <v>1.4883690094390442E-4</v>
      </c>
      <c r="Z208" t="s">
        <v>1686</v>
      </c>
      <c r="AA208" t="s">
        <v>25</v>
      </c>
      <c r="AC208" t="s">
        <v>22</v>
      </c>
      <c r="AD208" t="s">
        <v>1686</v>
      </c>
      <c r="AE208">
        <v>9.7734060297849094E-5</v>
      </c>
      <c r="AG208" t="s">
        <v>97</v>
      </c>
      <c r="AH208" t="s">
        <v>1686</v>
      </c>
      <c r="AI208">
        <v>0</v>
      </c>
    </row>
    <row r="209" spans="5:35" x14ac:dyDescent="0.45">
      <c r="E209" t="s">
        <v>541</v>
      </c>
      <c r="G209" t="s">
        <v>162</v>
      </c>
      <c r="I209" t="s">
        <v>252</v>
      </c>
      <c r="J209" t="s">
        <v>1687</v>
      </c>
      <c r="K209">
        <v>4.3290507933460001E-4</v>
      </c>
      <c r="L209" t="s">
        <v>254</v>
      </c>
      <c r="N209" t="s">
        <v>422</v>
      </c>
      <c r="O209" t="s">
        <v>1687</v>
      </c>
      <c r="P209">
        <v>4.8530500665107833E-5</v>
      </c>
      <c r="Q209" t="s">
        <v>254</v>
      </c>
      <c r="S209" t="s">
        <v>423</v>
      </c>
      <c r="T209" t="s">
        <v>1687</v>
      </c>
      <c r="U209">
        <v>3.5537659901302055E-5</v>
      </c>
      <c r="V209" t="s">
        <v>254</v>
      </c>
      <c r="X209">
        <v>1.1415525114155251E-4</v>
      </c>
      <c r="Y209">
        <v>1.5049432745775637E-4</v>
      </c>
      <c r="Z209" t="s">
        <v>1687</v>
      </c>
      <c r="AA209" t="s">
        <v>25</v>
      </c>
      <c r="AC209" t="s">
        <v>22</v>
      </c>
      <c r="AD209" t="s">
        <v>1687</v>
      </c>
      <c r="AE209">
        <v>9.6874871506167127E-5</v>
      </c>
      <c r="AG209" t="s">
        <v>97</v>
      </c>
      <c r="AH209" t="s">
        <v>1687</v>
      </c>
      <c r="AI209">
        <v>0</v>
      </c>
    </row>
    <row r="210" spans="5:35" x14ac:dyDescent="0.45">
      <c r="E210" t="s">
        <v>542</v>
      </c>
      <c r="G210" t="s">
        <v>162</v>
      </c>
      <c r="I210" t="s">
        <v>252</v>
      </c>
      <c r="J210" t="s">
        <v>1688</v>
      </c>
      <c r="K210">
        <v>4.2696117257640001E-4</v>
      </c>
      <c r="L210" t="s">
        <v>254</v>
      </c>
      <c r="N210" t="s">
        <v>422</v>
      </c>
      <c r="O210" t="s">
        <v>1688</v>
      </c>
      <c r="P210">
        <v>5.2047192590058882E-5</v>
      </c>
      <c r="Q210" t="s">
        <v>254</v>
      </c>
      <c r="S210" t="s">
        <v>423</v>
      </c>
      <c r="T210" t="s">
        <v>1688</v>
      </c>
      <c r="U210">
        <v>3.4045662061508566E-5</v>
      </c>
      <c r="V210" t="s">
        <v>254</v>
      </c>
      <c r="X210">
        <v>1.1415525114155251E-4</v>
      </c>
      <c r="Y210">
        <v>1.7237235744060203E-4</v>
      </c>
      <c r="Z210" t="s">
        <v>1688</v>
      </c>
      <c r="AA210" t="s">
        <v>25</v>
      </c>
      <c r="AC210" t="s">
        <v>22</v>
      </c>
      <c r="AD210" t="s">
        <v>1688</v>
      </c>
      <c r="AE210">
        <v>9.6874871506167127E-5</v>
      </c>
      <c r="AG210" t="s">
        <v>97</v>
      </c>
      <c r="AH210" t="s">
        <v>1688</v>
      </c>
      <c r="AI210">
        <v>0</v>
      </c>
    </row>
    <row r="211" spans="5:35" x14ac:dyDescent="0.45">
      <c r="E211" t="s">
        <v>543</v>
      </c>
      <c r="G211" t="s">
        <v>162</v>
      </c>
      <c r="I211" t="s">
        <v>252</v>
      </c>
      <c r="J211" t="s">
        <v>1689</v>
      </c>
      <c r="K211">
        <v>4.002306693422E-4</v>
      </c>
      <c r="L211" t="s">
        <v>254</v>
      </c>
      <c r="N211" t="s">
        <v>422</v>
      </c>
      <c r="O211" t="s">
        <v>1689</v>
      </c>
      <c r="P211">
        <v>5.1385107597124451E-5</v>
      </c>
      <c r="Q211" t="s">
        <v>254</v>
      </c>
      <c r="S211" t="s">
        <v>423</v>
      </c>
      <c r="T211" t="s">
        <v>1689</v>
      </c>
      <c r="U211">
        <v>3.5933795388986021E-5</v>
      </c>
      <c r="V211" t="s">
        <v>254</v>
      </c>
      <c r="X211">
        <v>1.1415525114155251E-4</v>
      </c>
      <c r="Y211">
        <v>2.2209515285616027E-4</v>
      </c>
      <c r="Z211" t="s">
        <v>1689</v>
      </c>
      <c r="AA211" t="s">
        <v>25</v>
      </c>
      <c r="AC211" t="s">
        <v>22</v>
      </c>
      <c r="AD211" t="s">
        <v>1689</v>
      </c>
      <c r="AE211">
        <v>9.6578246804276922E-5</v>
      </c>
      <c r="AG211" t="s">
        <v>97</v>
      </c>
      <c r="AH211" t="s">
        <v>1689</v>
      </c>
      <c r="AI211">
        <v>0</v>
      </c>
    </row>
    <row r="212" spans="5:35" x14ac:dyDescent="0.45">
      <c r="E212" t="s">
        <v>544</v>
      </c>
      <c r="G212" t="s">
        <v>162</v>
      </c>
      <c r="I212" t="s">
        <v>252</v>
      </c>
      <c r="J212" t="s">
        <v>1690</v>
      </c>
      <c r="K212">
        <v>3.5023541580189997E-4</v>
      </c>
      <c r="L212" t="s">
        <v>254</v>
      </c>
      <c r="N212" t="s">
        <v>422</v>
      </c>
      <c r="O212" t="s">
        <v>1690</v>
      </c>
      <c r="P212">
        <v>4.8666116773284691E-5</v>
      </c>
      <c r="Q212" t="s">
        <v>254</v>
      </c>
      <c r="S212" t="s">
        <v>423</v>
      </c>
      <c r="T212" t="s">
        <v>1690</v>
      </c>
      <c r="U212">
        <v>4.0445832840708599E-5</v>
      </c>
      <c r="V212" t="s">
        <v>254</v>
      </c>
      <c r="X212">
        <v>1.1415525114155251E-4</v>
      </c>
      <c r="Y212">
        <v>2.2209515285616027E-4</v>
      </c>
      <c r="Z212" t="s">
        <v>1690</v>
      </c>
      <c r="AA212" t="s">
        <v>25</v>
      </c>
      <c r="AC212" t="s">
        <v>22</v>
      </c>
      <c r="AD212" t="s">
        <v>1690</v>
      </c>
      <c r="AE212">
        <v>9.6747016031214456E-5</v>
      </c>
      <c r="AG212" t="s">
        <v>97</v>
      </c>
      <c r="AH212" t="s">
        <v>1690</v>
      </c>
      <c r="AI212">
        <v>0</v>
      </c>
    </row>
    <row r="213" spans="5:35" x14ac:dyDescent="0.45">
      <c r="E213" t="s">
        <v>545</v>
      </c>
      <c r="G213" t="s">
        <v>162</v>
      </c>
      <c r="I213" t="s">
        <v>252</v>
      </c>
      <c r="J213" t="s">
        <v>1691</v>
      </c>
      <c r="K213">
        <v>2.6892989289999998E-4</v>
      </c>
      <c r="L213" t="s">
        <v>254</v>
      </c>
      <c r="N213" t="s">
        <v>422</v>
      </c>
      <c r="O213" t="s">
        <v>1691</v>
      </c>
      <c r="P213">
        <v>4.5931462592259879E-5</v>
      </c>
      <c r="Q213" t="s">
        <v>254</v>
      </c>
      <c r="S213" t="s">
        <v>423</v>
      </c>
      <c r="T213" t="s">
        <v>1691</v>
      </c>
      <c r="U213">
        <v>4.6648676537336791E-5</v>
      </c>
      <c r="V213" t="s">
        <v>254</v>
      </c>
      <c r="X213">
        <v>1.1415525114155251E-4</v>
      </c>
      <c r="Y213">
        <v>1.7237235744060203E-4</v>
      </c>
      <c r="Z213" t="s">
        <v>1691</v>
      </c>
      <c r="AA213" t="s">
        <v>25</v>
      </c>
      <c r="AC213" t="s">
        <v>22</v>
      </c>
      <c r="AD213" t="s">
        <v>1691</v>
      </c>
      <c r="AE213">
        <v>9.6989941433624555E-5</v>
      </c>
      <c r="AG213" t="s">
        <v>97</v>
      </c>
      <c r="AH213" t="s">
        <v>1691</v>
      </c>
      <c r="AI213">
        <v>0</v>
      </c>
    </row>
    <row r="214" spans="5:35" x14ac:dyDescent="0.45">
      <c r="E214" t="s">
        <v>546</v>
      </c>
      <c r="G214" t="s">
        <v>162</v>
      </c>
      <c r="I214" t="s">
        <v>252</v>
      </c>
      <c r="J214" t="s">
        <v>1692</v>
      </c>
      <c r="K214">
        <v>1.5353142617390001E-4</v>
      </c>
      <c r="L214" t="s">
        <v>254</v>
      </c>
      <c r="N214" t="s">
        <v>422</v>
      </c>
      <c r="O214" t="s">
        <v>1692</v>
      </c>
      <c r="P214">
        <v>4.8710641871796402E-5</v>
      </c>
      <c r="Q214" t="s">
        <v>254</v>
      </c>
      <c r="S214" t="s">
        <v>423</v>
      </c>
      <c r="T214" t="s">
        <v>1692</v>
      </c>
      <c r="U214">
        <v>5.1373528866285446E-5</v>
      </c>
      <c r="V214" t="s">
        <v>254</v>
      </c>
      <c r="X214">
        <v>1.1415525114155251E-4</v>
      </c>
      <c r="Y214">
        <v>1.5579809230208258E-4</v>
      </c>
      <c r="Z214" t="s">
        <v>1692</v>
      </c>
      <c r="AA214" t="s">
        <v>25</v>
      </c>
      <c r="AC214" t="s">
        <v>22</v>
      </c>
      <c r="AD214" t="s">
        <v>1692</v>
      </c>
      <c r="AE214">
        <v>9.69311279151463E-5</v>
      </c>
      <c r="AG214" t="s">
        <v>97</v>
      </c>
      <c r="AH214" t="s">
        <v>1692</v>
      </c>
      <c r="AI214">
        <v>0</v>
      </c>
    </row>
    <row r="215" spans="5:35" x14ac:dyDescent="0.45">
      <c r="E215" t="s">
        <v>547</v>
      </c>
      <c r="G215" t="s">
        <v>162</v>
      </c>
      <c r="I215" t="s">
        <v>252</v>
      </c>
      <c r="J215" t="s">
        <v>1693</v>
      </c>
      <c r="K215">
        <v>0</v>
      </c>
      <c r="L215" t="s">
        <v>254</v>
      </c>
      <c r="N215" t="s">
        <v>422</v>
      </c>
      <c r="O215" t="s">
        <v>1693</v>
      </c>
      <c r="P215">
        <v>5.2029501859049922E-5</v>
      </c>
      <c r="Q215" t="s">
        <v>254</v>
      </c>
      <c r="S215" t="s">
        <v>423</v>
      </c>
      <c r="T215" t="s">
        <v>1693</v>
      </c>
      <c r="U215">
        <v>5.4323398498230861E-5</v>
      </c>
      <c r="V215" t="s">
        <v>254</v>
      </c>
      <c r="X215">
        <v>1.1415525114155251E-4</v>
      </c>
      <c r="Y215">
        <v>1.093901499142282E-4</v>
      </c>
      <c r="Z215" t="s">
        <v>1693</v>
      </c>
      <c r="AA215" t="s">
        <v>25</v>
      </c>
      <c r="AC215" t="s">
        <v>22</v>
      </c>
      <c r="AD215" t="s">
        <v>1693</v>
      </c>
      <c r="AE215">
        <v>9.6342992730363998E-5</v>
      </c>
      <c r="AG215" t="s">
        <v>97</v>
      </c>
      <c r="AH215" t="s">
        <v>1693</v>
      </c>
      <c r="AI215">
        <v>0</v>
      </c>
    </row>
    <row r="216" spans="5:35" x14ac:dyDescent="0.45">
      <c r="E216" t="s">
        <v>548</v>
      </c>
      <c r="G216" t="s">
        <v>162</v>
      </c>
      <c r="I216" t="s">
        <v>252</v>
      </c>
      <c r="J216" t="s">
        <v>1694</v>
      </c>
      <c r="K216">
        <v>0</v>
      </c>
      <c r="L216" t="s">
        <v>254</v>
      </c>
      <c r="N216" t="s">
        <v>422</v>
      </c>
      <c r="O216" t="s">
        <v>1694</v>
      </c>
      <c r="P216">
        <v>5.3943243231268943E-5</v>
      </c>
      <c r="Q216" t="s">
        <v>254</v>
      </c>
      <c r="S216" t="s">
        <v>423</v>
      </c>
      <c r="T216" t="s">
        <v>1694</v>
      </c>
      <c r="U216">
        <v>5.608132657798693E-5</v>
      </c>
      <c r="V216" t="s">
        <v>254</v>
      </c>
      <c r="X216">
        <v>1.1415525114155251E-4</v>
      </c>
      <c r="Y216">
        <v>7.9556472664893237E-5</v>
      </c>
      <c r="Z216" t="s">
        <v>1694</v>
      </c>
      <c r="AA216" t="s">
        <v>25</v>
      </c>
      <c r="AC216" t="s">
        <v>22</v>
      </c>
      <c r="AD216" t="s">
        <v>1694</v>
      </c>
      <c r="AE216">
        <v>9.2461300510800863E-5</v>
      </c>
      <c r="AG216" t="s">
        <v>97</v>
      </c>
      <c r="AH216" t="s">
        <v>1694</v>
      </c>
      <c r="AI216">
        <v>0</v>
      </c>
    </row>
    <row r="217" spans="5:35" x14ac:dyDescent="0.45">
      <c r="E217" t="s">
        <v>549</v>
      </c>
      <c r="G217" t="s">
        <v>162</v>
      </c>
      <c r="I217" t="s">
        <v>252</v>
      </c>
      <c r="J217" t="s">
        <v>1695</v>
      </c>
      <c r="K217">
        <v>0</v>
      </c>
      <c r="L217" t="s">
        <v>254</v>
      </c>
      <c r="N217" t="s">
        <v>422</v>
      </c>
      <c r="O217" t="s">
        <v>1695</v>
      </c>
      <c r="P217">
        <v>6.3273095920029761E-5</v>
      </c>
      <c r="Q217" t="s">
        <v>254</v>
      </c>
      <c r="S217" t="s">
        <v>423</v>
      </c>
      <c r="T217" t="s">
        <v>1695</v>
      </c>
      <c r="U217">
        <v>5.5646835291895251E-5</v>
      </c>
      <c r="V217" t="s">
        <v>254</v>
      </c>
      <c r="X217">
        <v>1.1415525114155251E-4</v>
      </c>
      <c r="Y217">
        <v>5.6352501470966035E-5</v>
      </c>
      <c r="Z217" t="s">
        <v>1695</v>
      </c>
      <c r="AA217" t="s">
        <v>25</v>
      </c>
      <c r="AC217" t="s">
        <v>22</v>
      </c>
      <c r="AD217" t="s">
        <v>1695</v>
      </c>
      <c r="AE217">
        <v>9.4632286475497239E-5</v>
      </c>
      <c r="AG217" t="s">
        <v>97</v>
      </c>
      <c r="AH217" t="s">
        <v>1695</v>
      </c>
      <c r="AI217">
        <v>0</v>
      </c>
    </row>
    <row r="218" spans="5:35" x14ac:dyDescent="0.45">
      <c r="E218" t="s">
        <v>550</v>
      </c>
      <c r="G218" t="s">
        <v>162</v>
      </c>
      <c r="I218" t="s">
        <v>252</v>
      </c>
      <c r="J218" t="s">
        <v>1696</v>
      </c>
      <c r="K218">
        <v>0</v>
      </c>
      <c r="L218" t="s">
        <v>254</v>
      </c>
      <c r="N218" t="s">
        <v>422</v>
      </c>
      <c r="O218" t="s">
        <v>1696</v>
      </c>
      <c r="P218">
        <v>5.9857669722641453E-5</v>
      </c>
      <c r="Q218" t="s">
        <v>254</v>
      </c>
      <c r="S218" t="s">
        <v>423</v>
      </c>
      <c r="T218" t="s">
        <v>1696</v>
      </c>
      <c r="U218">
        <v>4.4558762313122467E-5</v>
      </c>
      <c r="V218" t="s">
        <v>254</v>
      </c>
      <c r="X218">
        <v>1.1415525114155251E-4</v>
      </c>
      <c r="Y218">
        <v>2.9833677249334962E-5</v>
      </c>
      <c r="Z218" t="s">
        <v>1696</v>
      </c>
      <c r="AA218" t="s">
        <v>25</v>
      </c>
      <c r="AC218" t="s">
        <v>22</v>
      </c>
      <c r="AD218" t="s">
        <v>1696</v>
      </c>
      <c r="AE218">
        <v>8.5733545418791227E-5</v>
      </c>
      <c r="AG218" t="s">
        <v>97</v>
      </c>
      <c r="AH218" t="s">
        <v>1696</v>
      </c>
      <c r="AI218">
        <v>0</v>
      </c>
    </row>
    <row r="219" spans="5:35" x14ac:dyDescent="0.45">
      <c r="E219" t="s">
        <v>551</v>
      </c>
      <c r="G219" t="s">
        <v>162</v>
      </c>
      <c r="I219" t="s">
        <v>252</v>
      </c>
      <c r="J219" t="s">
        <v>1697</v>
      </c>
      <c r="K219">
        <v>0</v>
      </c>
      <c r="L219" t="s">
        <v>254</v>
      </c>
      <c r="N219" t="s">
        <v>422</v>
      </c>
      <c r="O219" t="s">
        <v>1697</v>
      </c>
      <c r="P219">
        <v>4.7513953185401042E-5</v>
      </c>
      <c r="Q219" t="s">
        <v>254</v>
      </c>
      <c r="S219" t="s">
        <v>423</v>
      </c>
      <c r="T219" t="s">
        <v>1697</v>
      </c>
      <c r="U219">
        <v>3.8622379431516843E-5</v>
      </c>
      <c r="V219" t="s">
        <v>254</v>
      </c>
      <c r="X219">
        <v>1.1415525114155251E-4</v>
      </c>
      <c r="Y219">
        <v>2.1546544680075254E-5</v>
      </c>
      <c r="Z219" t="s">
        <v>1697</v>
      </c>
      <c r="AA219" t="s">
        <v>25</v>
      </c>
      <c r="AC219" t="s">
        <v>22</v>
      </c>
      <c r="AD219" t="s">
        <v>1697</v>
      </c>
      <c r="AE219">
        <v>7.9680867234531701E-5</v>
      </c>
      <c r="AG219" t="s">
        <v>97</v>
      </c>
      <c r="AH219" t="s">
        <v>1697</v>
      </c>
      <c r="AI219">
        <v>0</v>
      </c>
    </row>
    <row r="220" spans="5:35" x14ac:dyDescent="0.45">
      <c r="E220" t="s">
        <v>552</v>
      </c>
      <c r="G220" t="s">
        <v>162</v>
      </c>
      <c r="I220" t="s">
        <v>252</v>
      </c>
      <c r="J220" t="s">
        <v>1698</v>
      </c>
      <c r="K220">
        <v>0</v>
      </c>
      <c r="L220" t="s">
        <v>254</v>
      </c>
      <c r="N220" t="s">
        <v>422</v>
      </c>
      <c r="O220" t="s">
        <v>1698</v>
      </c>
      <c r="P220">
        <v>3.9557971476433865E-5</v>
      </c>
      <c r="Q220" t="s">
        <v>254</v>
      </c>
      <c r="S220" t="s">
        <v>423</v>
      </c>
      <c r="T220" t="s">
        <v>1698</v>
      </c>
      <c r="U220">
        <v>3.6607418711837667E-5</v>
      </c>
      <c r="V220" t="s">
        <v>254</v>
      </c>
      <c r="X220">
        <v>1.1415525114155251E-4</v>
      </c>
      <c r="Y220">
        <v>1.4916838624667481E-5</v>
      </c>
      <c r="Z220" t="s">
        <v>1698</v>
      </c>
      <c r="AA220" t="s">
        <v>25</v>
      </c>
      <c r="AC220" t="s">
        <v>22</v>
      </c>
      <c r="AD220" t="s">
        <v>1698</v>
      </c>
      <c r="AE220">
        <v>7.8563410383445338E-5</v>
      </c>
      <c r="AG220" t="s">
        <v>97</v>
      </c>
      <c r="AH220" t="s">
        <v>1698</v>
      </c>
      <c r="AI220">
        <v>0</v>
      </c>
    </row>
    <row r="221" spans="5:35" x14ac:dyDescent="0.45">
      <c r="E221" t="s">
        <v>553</v>
      </c>
      <c r="G221" t="s">
        <v>162</v>
      </c>
      <c r="I221" t="s">
        <v>252</v>
      </c>
      <c r="J221" t="s">
        <v>1699</v>
      </c>
      <c r="K221">
        <v>0</v>
      </c>
      <c r="L221" t="s">
        <v>254</v>
      </c>
      <c r="N221" t="s">
        <v>422</v>
      </c>
      <c r="O221" t="s">
        <v>1699</v>
      </c>
      <c r="P221">
        <v>3.6354994254447143E-5</v>
      </c>
      <c r="Q221" t="s">
        <v>254</v>
      </c>
      <c r="S221" t="s">
        <v>423</v>
      </c>
      <c r="T221" t="s">
        <v>1699</v>
      </c>
      <c r="U221">
        <v>3.2811118382190953E-5</v>
      </c>
      <c r="V221" t="s">
        <v>254</v>
      </c>
      <c r="X221">
        <v>1.1415525114155251E-4</v>
      </c>
      <c r="Y221">
        <v>1.6574265138519424E-5</v>
      </c>
      <c r="Z221" t="s">
        <v>1699</v>
      </c>
      <c r="AA221" t="s">
        <v>25</v>
      </c>
      <c r="AC221" t="s">
        <v>22</v>
      </c>
      <c r="AD221" t="s">
        <v>1699</v>
      </c>
      <c r="AE221">
        <v>7.8563410383445338E-5</v>
      </c>
      <c r="AG221" t="s">
        <v>97</v>
      </c>
      <c r="AH221" t="s">
        <v>1699</v>
      </c>
      <c r="AI221">
        <v>0</v>
      </c>
    </row>
    <row r="222" spans="5:35" x14ac:dyDescent="0.45">
      <c r="E222" t="s">
        <v>554</v>
      </c>
      <c r="G222" t="s">
        <v>162</v>
      </c>
      <c r="I222" t="s">
        <v>252</v>
      </c>
      <c r="J222" t="s">
        <v>1700</v>
      </c>
      <c r="K222">
        <v>0</v>
      </c>
      <c r="L222" t="s">
        <v>254</v>
      </c>
      <c r="N222" t="s">
        <v>422</v>
      </c>
      <c r="O222" t="s">
        <v>1700</v>
      </c>
      <c r="P222">
        <v>3.2163401752987002E-5</v>
      </c>
      <c r="Q222" t="s">
        <v>254</v>
      </c>
      <c r="S222" t="s">
        <v>423</v>
      </c>
      <c r="T222" t="s">
        <v>1700</v>
      </c>
      <c r="U222">
        <v>3.2220889272226982E-5</v>
      </c>
      <c r="V222" t="s">
        <v>254</v>
      </c>
      <c r="X222">
        <v>1.1415525114155251E-4</v>
      </c>
      <c r="Y222">
        <v>1.4585353321897093E-5</v>
      </c>
      <c r="Z222" t="s">
        <v>1700</v>
      </c>
      <c r="AA222" t="s">
        <v>25</v>
      </c>
      <c r="AC222" t="s">
        <v>22</v>
      </c>
      <c r="AD222" t="s">
        <v>1700</v>
      </c>
      <c r="AE222">
        <v>7.9427713394125414E-5</v>
      </c>
      <c r="AG222" t="s">
        <v>97</v>
      </c>
      <c r="AH222" t="s">
        <v>1700</v>
      </c>
      <c r="AI222">
        <v>0</v>
      </c>
    </row>
    <row r="223" spans="5:35" x14ac:dyDescent="0.45">
      <c r="E223" t="s">
        <v>555</v>
      </c>
      <c r="G223" t="s">
        <v>162</v>
      </c>
      <c r="I223" t="s">
        <v>252</v>
      </c>
      <c r="J223" t="s">
        <v>1701</v>
      </c>
      <c r="K223">
        <v>0</v>
      </c>
      <c r="L223" t="s">
        <v>254</v>
      </c>
      <c r="N223" t="s">
        <v>422</v>
      </c>
      <c r="O223" t="s">
        <v>1701</v>
      </c>
      <c r="P223">
        <v>2.9727676111654105E-5</v>
      </c>
      <c r="Q223" t="s">
        <v>254</v>
      </c>
      <c r="S223" t="s">
        <v>423</v>
      </c>
      <c r="T223" t="s">
        <v>1701</v>
      </c>
      <c r="U223">
        <v>3.7862582993458242E-5</v>
      </c>
      <c r="V223" t="s">
        <v>254</v>
      </c>
      <c r="X223">
        <v>1.1415525114155251E-4</v>
      </c>
      <c r="Y223">
        <v>2.1215059377304864E-5</v>
      </c>
      <c r="Z223" t="s">
        <v>1701</v>
      </c>
      <c r="AA223" t="s">
        <v>25</v>
      </c>
      <c r="AC223" t="s">
        <v>22</v>
      </c>
      <c r="AD223" t="s">
        <v>1701</v>
      </c>
      <c r="AE223">
        <v>8.5956013945208881E-5</v>
      </c>
      <c r="AG223" t="s">
        <v>97</v>
      </c>
      <c r="AH223" t="s">
        <v>1701</v>
      </c>
      <c r="AI223">
        <v>0</v>
      </c>
    </row>
    <row r="224" spans="5:35" x14ac:dyDescent="0.45">
      <c r="E224" t="s">
        <v>556</v>
      </c>
      <c r="G224" t="s">
        <v>162</v>
      </c>
      <c r="I224" t="s">
        <v>252</v>
      </c>
      <c r="J224" t="s">
        <v>1702</v>
      </c>
      <c r="K224">
        <v>0</v>
      </c>
      <c r="L224" t="s">
        <v>254</v>
      </c>
      <c r="N224" t="s">
        <v>422</v>
      </c>
      <c r="O224" t="s">
        <v>1702</v>
      </c>
      <c r="P224">
        <v>3.1785431175851318E-5</v>
      </c>
      <c r="Q224" t="s">
        <v>254</v>
      </c>
      <c r="S224" t="s">
        <v>423</v>
      </c>
      <c r="T224" t="s">
        <v>1702</v>
      </c>
      <c r="U224">
        <v>4.1664170868726157E-5</v>
      </c>
      <c r="V224" t="s">
        <v>254</v>
      </c>
      <c r="X224">
        <v>1.1415525114155251E-4</v>
      </c>
      <c r="Y224">
        <v>5.7678442682047593E-5</v>
      </c>
      <c r="Z224" t="s">
        <v>1702</v>
      </c>
      <c r="AA224" t="s">
        <v>25</v>
      </c>
      <c r="AC224" t="s">
        <v>22</v>
      </c>
      <c r="AD224" t="s">
        <v>1702</v>
      </c>
      <c r="AE224">
        <v>1.0116058702658071E-4</v>
      </c>
      <c r="AG224" t="s">
        <v>97</v>
      </c>
      <c r="AH224" t="s">
        <v>1702</v>
      </c>
      <c r="AI224">
        <v>0</v>
      </c>
    </row>
    <row r="225" spans="5:35" x14ac:dyDescent="0.45">
      <c r="E225" t="s">
        <v>557</v>
      </c>
      <c r="G225" t="s">
        <v>162</v>
      </c>
      <c r="I225" t="s">
        <v>252</v>
      </c>
      <c r="J225" t="s">
        <v>1703</v>
      </c>
      <c r="K225">
        <v>1.6961554983489999E-4</v>
      </c>
      <c r="L225" t="s">
        <v>254</v>
      </c>
      <c r="N225" t="s">
        <v>422</v>
      </c>
      <c r="O225" t="s">
        <v>1703</v>
      </c>
      <c r="P225">
        <v>3.1539579665057806E-5</v>
      </c>
      <c r="Q225" t="s">
        <v>254</v>
      </c>
      <c r="S225" t="s">
        <v>423</v>
      </c>
      <c r="T225" t="s">
        <v>1703</v>
      </c>
      <c r="U225">
        <v>4.5985531898008861E-5</v>
      </c>
      <c r="V225" t="s">
        <v>254</v>
      </c>
      <c r="X225">
        <v>1.1415525114155251E-4</v>
      </c>
      <c r="Y225">
        <v>1.6905750441289813E-4</v>
      </c>
      <c r="Z225" t="s">
        <v>1703</v>
      </c>
      <c r="AA225" t="s">
        <v>25</v>
      </c>
      <c r="AC225" t="s">
        <v>22</v>
      </c>
      <c r="AD225" t="s">
        <v>1703</v>
      </c>
      <c r="AE225">
        <v>1.1260109492534589E-4</v>
      </c>
      <c r="AG225" t="s">
        <v>97</v>
      </c>
      <c r="AH225" t="s">
        <v>1703</v>
      </c>
      <c r="AI225">
        <v>0</v>
      </c>
    </row>
    <row r="226" spans="5:35" x14ac:dyDescent="0.45">
      <c r="E226" t="s">
        <v>558</v>
      </c>
      <c r="G226" t="s">
        <v>162</v>
      </c>
      <c r="I226" t="s">
        <v>252</v>
      </c>
      <c r="J226" t="s">
        <v>1704</v>
      </c>
      <c r="K226">
        <v>2.8737810949930001E-4</v>
      </c>
      <c r="L226" t="s">
        <v>254</v>
      </c>
      <c r="N226" t="s">
        <v>422</v>
      </c>
      <c r="O226" t="s">
        <v>1704</v>
      </c>
      <c r="P226">
        <v>3.3750531513173332E-5</v>
      </c>
      <c r="Q226" t="s">
        <v>254</v>
      </c>
      <c r="S226" t="s">
        <v>423</v>
      </c>
      <c r="T226" t="s">
        <v>1704</v>
      </c>
      <c r="U226">
        <v>4.6786813535813845E-5</v>
      </c>
      <c r="V226" t="s">
        <v>254</v>
      </c>
      <c r="X226">
        <v>1.1415525114155251E-4</v>
      </c>
      <c r="Y226">
        <v>1.9060404909297337E-4</v>
      </c>
      <c r="Z226" t="s">
        <v>1704</v>
      </c>
      <c r="AA226" t="s">
        <v>25</v>
      </c>
      <c r="AC226" t="s">
        <v>22</v>
      </c>
      <c r="AD226" t="s">
        <v>1704</v>
      </c>
      <c r="AE226">
        <v>1.2210842804282664E-4</v>
      </c>
      <c r="AG226" t="s">
        <v>97</v>
      </c>
      <c r="AH226" t="s">
        <v>1704</v>
      </c>
      <c r="AI226">
        <v>0</v>
      </c>
    </row>
    <row r="227" spans="5:35" x14ac:dyDescent="0.45">
      <c r="E227" t="s">
        <v>1481</v>
      </c>
      <c r="G227" t="s">
        <v>162</v>
      </c>
      <c r="I227" t="s">
        <v>252</v>
      </c>
      <c r="J227" t="s">
        <v>1705</v>
      </c>
      <c r="K227">
        <v>3.6339420285829999E-4</v>
      </c>
      <c r="L227" t="s">
        <v>254</v>
      </c>
      <c r="N227" t="s">
        <v>422</v>
      </c>
      <c r="O227" t="s">
        <v>1705</v>
      </c>
      <c r="P227">
        <v>4.1386393849084347E-5</v>
      </c>
      <c r="Q227" t="s">
        <v>254</v>
      </c>
      <c r="S227" t="s">
        <v>423</v>
      </c>
      <c r="T227" t="s">
        <v>1705</v>
      </c>
      <c r="U227">
        <v>4.2633847853301262E-5</v>
      </c>
      <c r="V227" t="s">
        <v>254</v>
      </c>
      <c r="X227">
        <v>1.1415525114155251E-4</v>
      </c>
      <c r="Y227">
        <v>1.4585353321897094E-4</v>
      </c>
      <c r="Z227" t="s">
        <v>1705</v>
      </c>
      <c r="AA227" t="s">
        <v>25</v>
      </c>
      <c r="AC227" t="s">
        <v>22</v>
      </c>
      <c r="AD227" t="s">
        <v>1705</v>
      </c>
      <c r="AE227">
        <v>1.2665241162264463E-4</v>
      </c>
      <c r="AG227" t="s">
        <v>97</v>
      </c>
      <c r="AH227" t="s">
        <v>1705</v>
      </c>
      <c r="AI227">
        <v>0</v>
      </c>
    </row>
    <row r="228" spans="5:35" x14ac:dyDescent="0.45">
      <c r="E228" t="s">
        <v>1482</v>
      </c>
      <c r="G228" t="s">
        <v>162</v>
      </c>
      <c r="I228" t="s">
        <v>252</v>
      </c>
      <c r="J228" t="s">
        <v>1706</v>
      </c>
      <c r="K228">
        <v>4.0905586136109998E-4</v>
      </c>
      <c r="L228" t="s">
        <v>254</v>
      </c>
      <c r="N228" t="s">
        <v>422</v>
      </c>
      <c r="O228" t="s">
        <v>1706</v>
      </c>
      <c r="P228">
        <v>4.0349782563891763E-5</v>
      </c>
      <c r="Q228" t="s">
        <v>254</v>
      </c>
      <c r="S228" t="s">
        <v>423</v>
      </c>
      <c r="T228" t="s">
        <v>1706</v>
      </c>
      <c r="U228">
        <v>3.6123724494873043E-5</v>
      </c>
      <c r="V228" t="s">
        <v>254</v>
      </c>
      <c r="X228">
        <v>1.1415525114155251E-4</v>
      </c>
      <c r="Y228">
        <v>1.4452759200788939E-4</v>
      </c>
      <c r="Z228" t="s">
        <v>1706</v>
      </c>
      <c r="AA228" t="s">
        <v>25</v>
      </c>
      <c r="AC228" t="s">
        <v>22</v>
      </c>
      <c r="AD228" t="s">
        <v>1706</v>
      </c>
      <c r="AE228">
        <v>1.2762155612278589E-4</v>
      </c>
      <c r="AG228" t="s">
        <v>97</v>
      </c>
      <c r="AH228" t="s">
        <v>1706</v>
      </c>
      <c r="AI228">
        <v>0</v>
      </c>
    </row>
    <row r="229" spans="5:35" x14ac:dyDescent="0.45">
      <c r="E229" t="s">
        <v>1483</v>
      </c>
      <c r="G229" t="s">
        <v>162</v>
      </c>
      <c r="I229" t="s">
        <v>252</v>
      </c>
      <c r="J229" t="s">
        <v>1707</v>
      </c>
      <c r="K229">
        <v>4.2922467041290002E-4</v>
      </c>
      <c r="L229" t="s">
        <v>254</v>
      </c>
      <c r="N229" t="s">
        <v>422</v>
      </c>
      <c r="O229" t="s">
        <v>1707</v>
      </c>
      <c r="P229">
        <v>3.9853422488158207E-5</v>
      </c>
      <c r="Q229" t="s">
        <v>254</v>
      </c>
      <c r="S229" t="s">
        <v>423</v>
      </c>
      <c r="T229" t="s">
        <v>1707</v>
      </c>
      <c r="U229">
        <v>3.4407075153582384E-5</v>
      </c>
      <c r="V229" t="s">
        <v>254</v>
      </c>
      <c r="X229">
        <v>1.1415525114155251E-4</v>
      </c>
      <c r="Y229">
        <v>1.408812536774151E-4</v>
      </c>
      <c r="Z229" t="s">
        <v>1707</v>
      </c>
      <c r="AA229" t="s">
        <v>25</v>
      </c>
      <c r="AC229" t="s">
        <v>22</v>
      </c>
      <c r="AD229" t="s">
        <v>1707</v>
      </c>
      <c r="AE229">
        <v>1.2747068666234173E-4</v>
      </c>
      <c r="AG229" t="s">
        <v>97</v>
      </c>
      <c r="AH229" t="s">
        <v>1707</v>
      </c>
      <c r="AI229">
        <v>0</v>
      </c>
    </row>
    <row r="230" spans="5:35" x14ac:dyDescent="0.45">
      <c r="E230" t="s">
        <v>1484</v>
      </c>
      <c r="G230" t="s">
        <v>162</v>
      </c>
      <c r="I230" t="s">
        <v>252</v>
      </c>
      <c r="J230" t="s">
        <v>1708</v>
      </c>
      <c r="K230">
        <v>4.2774950046239998E-4</v>
      </c>
      <c r="L230" t="s">
        <v>254</v>
      </c>
      <c r="N230" t="s">
        <v>422</v>
      </c>
      <c r="O230" t="s">
        <v>1708</v>
      </c>
      <c r="P230">
        <v>4.9220091474819845E-5</v>
      </c>
      <c r="Q230" t="s">
        <v>254</v>
      </c>
      <c r="S230" t="s">
        <v>423</v>
      </c>
      <c r="T230" t="s">
        <v>1708</v>
      </c>
      <c r="U230">
        <v>3.6048160606732359E-5</v>
      </c>
      <c r="V230" t="s">
        <v>254</v>
      </c>
      <c r="X230">
        <v>1.1415525114155251E-4</v>
      </c>
      <c r="Y230">
        <v>1.4054976837464471E-4</v>
      </c>
      <c r="Z230" t="s">
        <v>1708</v>
      </c>
      <c r="AA230" t="s">
        <v>25</v>
      </c>
      <c r="AC230" t="s">
        <v>22</v>
      </c>
      <c r="AD230" t="s">
        <v>1708</v>
      </c>
      <c r="AE230">
        <v>1.2746301533384457E-4</v>
      </c>
      <c r="AG230" t="s">
        <v>97</v>
      </c>
      <c r="AH230" t="s">
        <v>1708</v>
      </c>
      <c r="AI230">
        <v>0</v>
      </c>
    </row>
    <row r="231" spans="5:35" x14ac:dyDescent="0.45">
      <c r="E231" t="s">
        <v>1485</v>
      </c>
      <c r="G231" t="s">
        <v>162</v>
      </c>
      <c r="I231" t="s">
        <v>252</v>
      </c>
      <c r="J231" t="s">
        <v>1709</v>
      </c>
      <c r="K231">
        <v>4.1175291358510002E-4</v>
      </c>
      <c r="L231" t="s">
        <v>254</v>
      </c>
      <c r="N231" t="s">
        <v>422</v>
      </c>
      <c r="O231" t="s">
        <v>1709</v>
      </c>
      <c r="P231">
        <v>5.620100089362686E-5</v>
      </c>
      <c r="Q231" t="s">
        <v>254</v>
      </c>
      <c r="S231" t="s">
        <v>423</v>
      </c>
      <c r="T231" t="s">
        <v>1709</v>
      </c>
      <c r="U231">
        <v>3.9974486564873082E-5</v>
      </c>
      <c r="V231" t="s">
        <v>254</v>
      </c>
      <c r="X231">
        <v>1.1415525114155251E-4</v>
      </c>
      <c r="Y231">
        <v>1.4253868019126702E-4</v>
      </c>
      <c r="Z231" t="s">
        <v>1709</v>
      </c>
      <c r="AA231" t="s">
        <v>25</v>
      </c>
      <c r="AC231" t="s">
        <v>22</v>
      </c>
      <c r="AD231" t="s">
        <v>1709</v>
      </c>
      <c r="AE231">
        <v>1.2746301533384457E-4</v>
      </c>
      <c r="AG231" t="s">
        <v>97</v>
      </c>
      <c r="AH231" t="s">
        <v>1709</v>
      </c>
      <c r="AI231">
        <v>0</v>
      </c>
    </row>
    <row r="232" spans="5:35" x14ac:dyDescent="0.45">
      <c r="E232" t="s">
        <v>1486</v>
      </c>
      <c r="G232" t="s">
        <v>162</v>
      </c>
      <c r="I232" t="s">
        <v>252</v>
      </c>
      <c r="J232" t="s">
        <v>1710</v>
      </c>
      <c r="K232">
        <v>4.1138141285169998E-4</v>
      </c>
      <c r="L232" t="s">
        <v>254</v>
      </c>
      <c r="N232" t="s">
        <v>422</v>
      </c>
      <c r="O232" t="s">
        <v>1710</v>
      </c>
      <c r="P232">
        <v>6.1471816564100606E-5</v>
      </c>
      <c r="Q232" t="s">
        <v>254</v>
      </c>
      <c r="S232" t="s">
        <v>423</v>
      </c>
      <c r="T232" t="s">
        <v>1710</v>
      </c>
      <c r="U232">
        <v>4.7845007456973881E-5</v>
      </c>
      <c r="V232" t="s">
        <v>254</v>
      </c>
      <c r="X232">
        <v>1.1415525114155251E-4</v>
      </c>
      <c r="Y232">
        <v>1.4883690094390442E-4</v>
      </c>
      <c r="Z232" t="s">
        <v>1710</v>
      </c>
      <c r="AA232" t="s">
        <v>25</v>
      </c>
      <c r="AC232" t="s">
        <v>22</v>
      </c>
      <c r="AD232" t="s">
        <v>1710</v>
      </c>
      <c r="AE232">
        <v>1.2686465171106605E-4</v>
      </c>
      <c r="AG232" t="s">
        <v>97</v>
      </c>
      <c r="AH232" t="s">
        <v>1710</v>
      </c>
      <c r="AI232">
        <v>0</v>
      </c>
    </row>
    <row r="233" spans="5:35" x14ac:dyDescent="0.45">
      <c r="E233" t="s">
        <v>1487</v>
      </c>
      <c r="G233" t="s">
        <v>162</v>
      </c>
      <c r="I233" t="s">
        <v>252</v>
      </c>
      <c r="J233" t="s">
        <v>1711</v>
      </c>
      <c r="K233">
        <v>4.163506032992E-4</v>
      </c>
      <c r="L233" t="s">
        <v>254</v>
      </c>
      <c r="N233" t="s">
        <v>422</v>
      </c>
      <c r="O233" t="s">
        <v>1711</v>
      </c>
      <c r="P233">
        <v>7.3124460361858308E-5</v>
      </c>
      <c r="Q233" t="s">
        <v>254</v>
      </c>
      <c r="S233" t="s">
        <v>423</v>
      </c>
      <c r="T233" t="s">
        <v>1711</v>
      </c>
      <c r="U233">
        <v>5.7941466038377072E-5</v>
      </c>
      <c r="V233" t="s">
        <v>254</v>
      </c>
      <c r="X233">
        <v>1.1415525114155251E-4</v>
      </c>
      <c r="Y233">
        <v>1.5049432745775637E-4</v>
      </c>
      <c r="Z233" t="s">
        <v>1711</v>
      </c>
      <c r="AA233" t="s">
        <v>25</v>
      </c>
      <c r="AC233" t="s">
        <v>22</v>
      </c>
      <c r="AD233" t="s">
        <v>1711</v>
      </c>
      <c r="AE233">
        <v>1.2607961909485665E-4</v>
      </c>
      <c r="AG233" t="s">
        <v>97</v>
      </c>
      <c r="AH233" t="s">
        <v>1711</v>
      </c>
      <c r="AI233">
        <v>0</v>
      </c>
    </row>
    <row r="234" spans="5:35" x14ac:dyDescent="0.45">
      <c r="E234" t="s">
        <v>1488</v>
      </c>
      <c r="G234" t="s">
        <v>162</v>
      </c>
      <c r="I234" t="s">
        <v>252</v>
      </c>
      <c r="J234" t="s">
        <v>1712</v>
      </c>
      <c r="K234">
        <v>3.9918765499180001E-4</v>
      </c>
      <c r="L234" t="s">
        <v>254</v>
      </c>
      <c r="N234" t="s">
        <v>422</v>
      </c>
      <c r="O234" t="s">
        <v>1712</v>
      </c>
      <c r="P234">
        <v>8.7394761899293801E-5</v>
      </c>
      <c r="Q234" t="s">
        <v>254</v>
      </c>
      <c r="S234" t="s">
        <v>423</v>
      </c>
      <c r="T234" t="s">
        <v>1712</v>
      </c>
      <c r="U234">
        <v>6.9069101243909956E-5</v>
      </c>
      <c r="V234" t="s">
        <v>254</v>
      </c>
      <c r="X234">
        <v>1.1415525114155251E-4</v>
      </c>
      <c r="Y234">
        <v>1.7237235744060203E-4</v>
      </c>
      <c r="Z234" t="s">
        <v>1712</v>
      </c>
      <c r="AA234" t="s">
        <v>25</v>
      </c>
      <c r="AC234" t="s">
        <v>22</v>
      </c>
      <c r="AD234" t="s">
        <v>1712</v>
      </c>
      <c r="AE234">
        <v>1.2579577994046171E-4</v>
      </c>
      <c r="AG234" t="s">
        <v>97</v>
      </c>
      <c r="AH234" t="s">
        <v>1712</v>
      </c>
      <c r="AI234">
        <v>0</v>
      </c>
    </row>
    <row r="235" spans="5:35" x14ac:dyDescent="0.45">
      <c r="E235" t="s">
        <v>1489</v>
      </c>
      <c r="G235" t="s">
        <v>162</v>
      </c>
      <c r="I235" t="s">
        <v>252</v>
      </c>
      <c r="J235" t="s">
        <v>1713</v>
      </c>
      <c r="K235">
        <v>3.6010713069899999E-4</v>
      </c>
      <c r="L235" t="s">
        <v>254</v>
      </c>
      <c r="N235" t="s">
        <v>422</v>
      </c>
      <c r="O235" t="s">
        <v>1713</v>
      </c>
      <c r="P235">
        <v>9.8143144156808315E-5</v>
      </c>
      <c r="Q235" t="s">
        <v>254</v>
      </c>
      <c r="S235" t="s">
        <v>423</v>
      </c>
      <c r="T235" t="s">
        <v>1713</v>
      </c>
      <c r="U235">
        <v>7.9309329474262213E-5</v>
      </c>
      <c r="V235" t="s">
        <v>254</v>
      </c>
      <c r="X235">
        <v>1.1415525114155251E-4</v>
      </c>
      <c r="Y235">
        <v>2.2209515285616027E-4</v>
      </c>
      <c r="Z235" t="s">
        <v>1713</v>
      </c>
      <c r="AA235" t="s">
        <v>25</v>
      </c>
      <c r="AC235" t="s">
        <v>22</v>
      </c>
      <c r="AD235" t="s">
        <v>1713</v>
      </c>
      <c r="AE235">
        <v>1.2526901538365668E-4</v>
      </c>
      <c r="AG235" t="s">
        <v>97</v>
      </c>
      <c r="AH235" t="s">
        <v>1713</v>
      </c>
      <c r="AI235">
        <v>0</v>
      </c>
    </row>
    <row r="236" spans="5:35" x14ac:dyDescent="0.45">
      <c r="E236" t="s">
        <v>1490</v>
      </c>
      <c r="G236" t="s">
        <v>162</v>
      </c>
      <c r="I236" t="s">
        <v>252</v>
      </c>
      <c r="J236" t="s">
        <v>1714</v>
      </c>
      <c r="K236">
        <v>2.9554089493079999E-4</v>
      </c>
      <c r="L236" t="s">
        <v>254</v>
      </c>
      <c r="N236" t="s">
        <v>422</v>
      </c>
      <c r="O236" t="s">
        <v>1714</v>
      </c>
      <c r="P236">
        <v>1.043773176182E-4</v>
      </c>
      <c r="Q236" t="s">
        <v>254</v>
      </c>
      <c r="S236" t="s">
        <v>423</v>
      </c>
      <c r="T236" t="s">
        <v>1714</v>
      </c>
      <c r="U236">
        <v>8.0213836218376606E-5</v>
      </c>
      <c r="V236" t="s">
        <v>254</v>
      </c>
      <c r="X236">
        <v>1.1415525114155251E-4</v>
      </c>
      <c r="Y236">
        <v>2.2209515285616027E-4</v>
      </c>
      <c r="Z236" t="s">
        <v>1714</v>
      </c>
      <c r="AA236" t="s">
        <v>25</v>
      </c>
      <c r="AC236" t="s">
        <v>22</v>
      </c>
      <c r="AD236" t="s">
        <v>1714</v>
      </c>
      <c r="AE236">
        <v>1.2517184522269268E-4</v>
      </c>
      <c r="AG236" t="s">
        <v>97</v>
      </c>
      <c r="AH236" t="s">
        <v>1714</v>
      </c>
      <c r="AI236">
        <v>0</v>
      </c>
    </row>
    <row r="237" spans="5:35" x14ac:dyDescent="0.45">
      <c r="E237" t="s">
        <v>1491</v>
      </c>
      <c r="G237" t="s">
        <v>162</v>
      </c>
      <c r="I237" t="s">
        <v>252</v>
      </c>
      <c r="J237" t="s">
        <v>1715</v>
      </c>
      <c r="K237">
        <v>1.9909324089829999E-4</v>
      </c>
      <c r="L237" t="s">
        <v>254</v>
      </c>
      <c r="N237" t="s">
        <v>422</v>
      </c>
      <c r="O237" t="s">
        <v>1715</v>
      </c>
      <c r="P237">
        <v>9.8363929448358901E-5</v>
      </c>
      <c r="Q237" t="s">
        <v>254</v>
      </c>
      <c r="S237" t="s">
        <v>423</v>
      </c>
      <c r="T237" t="s">
        <v>1715</v>
      </c>
      <c r="U237">
        <v>8.0480747345849704E-5</v>
      </c>
      <c r="V237" t="s">
        <v>254</v>
      </c>
      <c r="X237">
        <v>1.1415525114155251E-4</v>
      </c>
      <c r="Y237">
        <v>1.7237235744060203E-4</v>
      </c>
      <c r="Z237" t="s">
        <v>1715</v>
      </c>
      <c r="AA237" t="s">
        <v>25</v>
      </c>
      <c r="AC237" t="s">
        <v>22</v>
      </c>
      <c r="AD237" t="s">
        <v>1715</v>
      </c>
      <c r="AE237">
        <v>1.2415922986106751E-4</v>
      </c>
      <c r="AG237" t="s">
        <v>97</v>
      </c>
      <c r="AH237" t="s">
        <v>1715</v>
      </c>
      <c r="AI237">
        <v>0</v>
      </c>
    </row>
    <row r="238" spans="5:35" x14ac:dyDescent="0.45">
      <c r="E238" t="s">
        <v>1492</v>
      </c>
      <c r="G238" t="s">
        <v>162</v>
      </c>
      <c r="I238" t="s">
        <v>252</v>
      </c>
      <c r="J238" t="s">
        <v>1716</v>
      </c>
      <c r="K238">
        <v>1.047481429464E-4</v>
      </c>
      <c r="L238" t="s">
        <v>254</v>
      </c>
      <c r="N238" t="s">
        <v>422</v>
      </c>
      <c r="O238" t="s">
        <v>1716</v>
      </c>
      <c r="P238">
        <v>9.4293165340874835E-5</v>
      </c>
      <c r="Q238" t="s">
        <v>254</v>
      </c>
      <c r="S238" t="s">
        <v>423</v>
      </c>
      <c r="T238" t="s">
        <v>1716</v>
      </c>
      <c r="U238">
        <v>7.6142970277997301E-5</v>
      </c>
      <c r="V238" t="s">
        <v>254</v>
      </c>
      <c r="X238">
        <v>1.1415525114155251E-4</v>
      </c>
      <c r="Y238">
        <v>1.5579809230208258E-4</v>
      </c>
      <c r="Z238" t="s">
        <v>1716</v>
      </c>
      <c r="AA238" t="s">
        <v>25</v>
      </c>
      <c r="AC238" t="s">
        <v>22</v>
      </c>
      <c r="AD238" t="s">
        <v>1716</v>
      </c>
      <c r="AE238">
        <v>1.214947217630538E-4</v>
      </c>
      <c r="AG238" t="s">
        <v>97</v>
      </c>
      <c r="AH238" t="s">
        <v>1716</v>
      </c>
      <c r="AI238">
        <v>0</v>
      </c>
    </row>
    <row r="239" spans="5:35" x14ac:dyDescent="0.45">
      <c r="E239" t="s">
        <v>1493</v>
      </c>
      <c r="G239" t="s">
        <v>162</v>
      </c>
      <c r="I239" t="s">
        <v>252</v>
      </c>
      <c r="J239" t="s">
        <v>1717</v>
      </c>
      <c r="K239">
        <v>0</v>
      </c>
      <c r="L239" t="s">
        <v>254</v>
      </c>
      <c r="N239" t="s">
        <v>422</v>
      </c>
      <c r="O239" t="s">
        <v>1717</v>
      </c>
      <c r="P239">
        <v>9.0994749739612736E-5</v>
      </c>
      <c r="Q239" t="s">
        <v>254</v>
      </c>
      <c r="S239" t="s">
        <v>423</v>
      </c>
      <c r="T239" t="s">
        <v>1717</v>
      </c>
      <c r="U239">
        <v>7.0411693045294751E-5</v>
      </c>
      <c r="V239" t="s">
        <v>254</v>
      </c>
      <c r="X239">
        <v>1.1415525114155251E-4</v>
      </c>
      <c r="Y239">
        <v>1.093901499142282E-4</v>
      </c>
      <c r="Z239" t="s">
        <v>1717</v>
      </c>
      <c r="AA239" t="s">
        <v>25</v>
      </c>
      <c r="AC239" t="s">
        <v>22</v>
      </c>
      <c r="AD239" t="s">
        <v>1717</v>
      </c>
      <c r="AE239">
        <v>1.1500477785445612E-4</v>
      </c>
      <c r="AG239" t="s">
        <v>97</v>
      </c>
      <c r="AH239" t="s">
        <v>1717</v>
      </c>
      <c r="AI239">
        <v>0</v>
      </c>
    </row>
    <row r="240" spans="5:35" x14ac:dyDescent="0.45">
      <c r="E240" t="s">
        <v>1494</v>
      </c>
      <c r="G240" t="s">
        <v>162</v>
      </c>
      <c r="I240" t="s">
        <v>252</v>
      </c>
      <c r="J240" t="s">
        <v>1718</v>
      </c>
      <c r="K240">
        <v>0</v>
      </c>
      <c r="L240" t="s">
        <v>254</v>
      </c>
      <c r="N240" t="s">
        <v>422</v>
      </c>
      <c r="O240" t="s">
        <v>1718</v>
      </c>
      <c r="P240">
        <v>8.5303893716185346E-5</v>
      </c>
      <c r="Q240" t="s">
        <v>254</v>
      </c>
      <c r="S240" t="s">
        <v>423</v>
      </c>
      <c r="T240" t="s">
        <v>1718</v>
      </c>
      <c r="U240">
        <v>6.6564460692238029E-5</v>
      </c>
      <c r="V240" t="s">
        <v>254</v>
      </c>
      <c r="X240">
        <v>1.1415525114155251E-4</v>
      </c>
      <c r="Y240">
        <v>7.9556472664893237E-5</v>
      </c>
      <c r="Z240" t="s">
        <v>1718</v>
      </c>
      <c r="AA240" t="s">
        <v>25</v>
      </c>
      <c r="AC240" t="s">
        <v>22</v>
      </c>
      <c r="AD240" t="s">
        <v>1718</v>
      </c>
      <c r="AE240">
        <v>1.0846113464637833E-4</v>
      </c>
      <c r="AG240" t="s">
        <v>97</v>
      </c>
      <c r="AH240" t="s">
        <v>1718</v>
      </c>
      <c r="AI240">
        <v>0</v>
      </c>
    </row>
    <row r="241" spans="5:35" x14ac:dyDescent="0.45">
      <c r="E241" t="s">
        <v>1495</v>
      </c>
      <c r="G241" t="s">
        <v>162</v>
      </c>
      <c r="I241" t="s">
        <v>252</v>
      </c>
      <c r="J241" t="s">
        <v>1719</v>
      </c>
      <c r="K241">
        <v>0</v>
      </c>
      <c r="L241" t="s">
        <v>254</v>
      </c>
      <c r="N241" t="s">
        <v>422</v>
      </c>
      <c r="O241" t="s">
        <v>1719</v>
      </c>
      <c r="P241">
        <v>7.4413393523023962E-5</v>
      </c>
      <c r="Q241" t="s">
        <v>254</v>
      </c>
      <c r="S241" t="s">
        <v>423</v>
      </c>
      <c r="T241" t="s">
        <v>1719</v>
      </c>
      <c r="U241">
        <v>5.8779777729317559E-5</v>
      </c>
      <c r="V241" t="s">
        <v>254</v>
      </c>
      <c r="X241">
        <v>1.1415525114155251E-4</v>
      </c>
      <c r="Y241">
        <v>5.6352501470966035E-5</v>
      </c>
      <c r="Z241" t="s">
        <v>1719</v>
      </c>
      <c r="AA241" t="s">
        <v>25</v>
      </c>
      <c r="AC241" t="s">
        <v>22</v>
      </c>
      <c r="AD241" t="s">
        <v>1719</v>
      </c>
      <c r="AE241">
        <v>9.528434939775589E-5</v>
      </c>
      <c r="AG241" t="s">
        <v>97</v>
      </c>
      <c r="AH241" t="s">
        <v>1719</v>
      </c>
      <c r="AI241">
        <v>0</v>
      </c>
    </row>
    <row r="242" spans="5:35" x14ac:dyDescent="0.45">
      <c r="E242" t="s">
        <v>1496</v>
      </c>
      <c r="G242" t="s">
        <v>162</v>
      </c>
      <c r="I242" t="s">
        <v>252</v>
      </c>
      <c r="J242" t="s">
        <v>1720</v>
      </c>
      <c r="K242">
        <v>0</v>
      </c>
      <c r="L242" t="s">
        <v>254</v>
      </c>
      <c r="N242" t="s">
        <v>422</v>
      </c>
      <c r="O242" t="s">
        <v>1720</v>
      </c>
      <c r="P242">
        <v>7.1900570832232055E-5</v>
      </c>
      <c r="Q242" t="s">
        <v>254</v>
      </c>
      <c r="S242" t="s">
        <v>423</v>
      </c>
      <c r="T242" t="s">
        <v>1720</v>
      </c>
      <c r="U242">
        <v>4.7721826273802152E-5</v>
      </c>
      <c r="V242" t="s">
        <v>254</v>
      </c>
      <c r="X242">
        <v>1.1415525114155251E-4</v>
      </c>
      <c r="Y242">
        <v>2.9833677249334962E-5</v>
      </c>
      <c r="Z242" t="s">
        <v>1720</v>
      </c>
      <c r="AA242" t="s">
        <v>25</v>
      </c>
      <c r="AC242" t="s">
        <v>22</v>
      </c>
      <c r="AD242" t="s">
        <v>1720</v>
      </c>
      <c r="AE242">
        <v>8.5733545418791227E-5</v>
      </c>
      <c r="AG242" t="s">
        <v>97</v>
      </c>
      <c r="AH242" t="s">
        <v>1720</v>
      </c>
      <c r="AI242">
        <v>0</v>
      </c>
    </row>
    <row r="243" spans="5:35" x14ac:dyDescent="0.45">
      <c r="E243" t="s">
        <v>1497</v>
      </c>
      <c r="G243" t="s">
        <v>162</v>
      </c>
      <c r="I243" t="s">
        <v>252</v>
      </c>
      <c r="J243" t="s">
        <v>366</v>
      </c>
      <c r="K243">
        <v>7.9795930754921157E-4</v>
      </c>
      <c r="L243" t="s">
        <v>254</v>
      </c>
      <c r="N243" t="s">
        <v>422</v>
      </c>
      <c r="O243" t="s">
        <v>366</v>
      </c>
      <c r="P243">
        <v>1.444145976161792E-2</v>
      </c>
      <c r="Q243" t="s">
        <v>254</v>
      </c>
      <c r="S243" t="s">
        <v>423</v>
      </c>
      <c r="T243" t="s">
        <v>366</v>
      </c>
      <c r="U243">
        <v>1.3670567082447713E-2</v>
      </c>
      <c r="V243" t="s">
        <v>254</v>
      </c>
      <c r="X243">
        <v>1.8378995433789954E-2</v>
      </c>
      <c r="Y243">
        <v>7.2582021894604257E-3</v>
      </c>
      <c r="Z243" t="s">
        <v>366</v>
      </c>
      <c r="AA243" t="s">
        <v>25</v>
      </c>
      <c r="AC243" t="s">
        <v>22</v>
      </c>
      <c r="AD243" t="s">
        <v>366</v>
      </c>
      <c r="AE243">
        <v>1.3503924996657262E-2</v>
      </c>
      <c r="AG243" t="s">
        <v>97</v>
      </c>
      <c r="AH243" t="s">
        <v>366</v>
      </c>
      <c r="AI243">
        <v>0.24478758525300015</v>
      </c>
    </row>
    <row r="244" spans="5:35" x14ac:dyDescent="0.45">
      <c r="E244" t="s">
        <v>1498</v>
      </c>
      <c r="G244" t="s">
        <v>162</v>
      </c>
      <c r="I244" t="s">
        <v>252</v>
      </c>
      <c r="J244" t="s">
        <v>367</v>
      </c>
      <c r="K244">
        <v>3.2619264477406142E-3</v>
      </c>
      <c r="L244" t="s">
        <v>254</v>
      </c>
      <c r="N244" t="s">
        <v>422</v>
      </c>
      <c r="O244" t="s">
        <v>367</v>
      </c>
      <c r="P244">
        <v>1.7745597749009075E-3</v>
      </c>
      <c r="Q244" t="s">
        <v>254</v>
      </c>
      <c r="S244" t="s">
        <v>423</v>
      </c>
      <c r="T244" t="s">
        <v>367</v>
      </c>
      <c r="U244">
        <v>1.8967289821780998E-3</v>
      </c>
      <c r="V244" t="s">
        <v>254</v>
      </c>
      <c r="X244">
        <v>2.625570776255708E-3</v>
      </c>
      <c r="Y244">
        <v>4.3838931291383864E-3</v>
      </c>
      <c r="Z244" t="s">
        <v>367</v>
      </c>
      <c r="AA244" t="s">
        <v>25</v>
      </c>
      <c r="AC244" t="s">
        <v>22</v>
      </c>
      <c r="AD244" t="s">
        <v>367</v>
      </c>
      <c r="AE244">
        <v>2.5728650977943947E-3</v>
      </c>
      <c r="AG244" t="s">
        <v>97</v>
      </c>
      <c r="AH244" t="s">
        <v>367</v>
      </c>
      <c r="AI244">
        <v>7.9787125256013613E-2</v>
      </c>
    </row>
    <row r="245" spans="5:35" x14ac:dyDescent="0.45">
      <c r="E245" t="s">
        <v>1499</v>
      </c>
      <c r="G245" t="s">
        <v>162</v>
      </c>
      <c r="I245" t="s">
        <v>252</v>
      </c>
      <c r="J245" t="s">
        <v>368</v>
      </c>
      <c r="K245">
        <v>1.13734344277482E-2</v>
      </c>
      <c r="L245" t="s">
        <v>254</v>
      </c>
      <c r="N245" t="s">
        <v>422</v>
      </c>
      <c r="O245" t="s">
        <v>368</v>
      </c>
      <c r="P245">
        <v>3.716827935997214E-3</v>
      </c>
      <c r="Q245" t="s">
        <v>254</v>
      </c>
      <c r="S245" t="s">
        <v>423</v>
      </c>
      <c r="T245" t="s">
        <v>368</v>
      </c>
      <c r="U245">
        <v>3.858922480669053E-3</v>
      </c>
      <c r="V245" t="s">
        <v>254</v>
      </c>
      <c r="X245">
        <v>5.2511415525114159E-3</v>
      </c>
      <c r="Y245">
        <v>6.6787658802177864E-3</v>
      </c>
      <c r="Z245" t="s">
        <v>368</v>
      </c>
      <c r="AA245" t="s">
        <v>25</v>
      </c>
      <c r="AC245" t="s">
        <v>22</v>
      </c>
      <c r="AD245" t="s">
        <v>368</v>
      </c>
      <c r="AE245">
        <v>5.457444400632905E-3</v>
      </c>
      <c r="AG245" t="s">
        <v>97</v>
      </c>
      <c r="AH245" t="s">
        <v>368</v>
      </c>
      <c r="AI245">
        <v>6.918057353803464E-2</v>
      </c>
    </row>
    <row r="246" spans="5:35" x14ac:dyDescent="0.45">
      <c r="E246" t="s">
        <v>1500</v>
      </c>
      <c r="G246" t="s">
        <v>162</v>
      </c>
      <c r="I246" t="s">
        <v>252</v>
      </c>
      <c r="J246" t="s">
        <v>369</v>
      </c>
      <c r="K246">
        <v>2.0585004476945799E-2</v>
      </c>
      <c r="L246" t="s">
        <v>254</v>
      </c>
      <c r="N246" t="s">
        <v>422</v>
      </c>
      <c r="O246" t="s">
        <v>369</v>
      </c>
      <c r="P246">
        <v>5.7513437184950542E-3</v>
      </c>
      <c r="Q246" t="s">
        <v>254</v>
      </c>
      <c r="S246" t="s">
        <v>423</v>
      </c>
      <c r="T246" t="s">
        <v>369</v>
      </c>
      <c r="U246">
        <v>5.5259232356245783E-3</v>
      </c>
      <c r="V246" t="s">
        <v>254</v>
      </c>
      <c r="X246">
        <v>7.8767123287671239E-3</v>
      </c>
      <c r="Y246">
        <v>9.7513031515965177E-3</v>
      </c>
      <c r="Z246" t="s">
        <v>369</v>
      </c>
      <c r="AA246" t="s">
        <v>25</v>
      </c>
      <c r="AC246" t="s">
        <v>22</v>
      </c>
      <c r="AD246" t="s">
        <v>369</v>
      </c>
      <c r="AE246">
        <v>8.2226245896321118E-3</v>
      </c>
      <c r="AG246" t="s">
        <v>97</v>
      </c>
      <c r="AH246" t="s">
        <v>369</v>
      </c>
      <c r="AI246">
        <v>8.9299964942140431E-2</v>
      </c>
    </row>
    <row r="247" spans="5:35" x14ac:dyDescent="0.45">
      <c r="E247" t="s">
        <v>1501</v>
      </c>
      <c r="G247" t="s">
        <v>162</v>
      </c>
      <c r="I247" t="s">
        <v>252</v>
      </c>
      <c r="J247" t="s">
        <v>370</v>
      </c>
      <c r="K247">
        <v>6.6904918723942001E-3</v>
      </c>
      <c r="L247" t="s">
        <v>254</v>
      </c>
      <c r="N247" t="s">
        <v>422</v>
      </c>
      <c r="O247" t="s">
        <v>370</v>
      </c>
      <c r="P247">
        <v>2.0663988996589429E-3</v>
      </c>
      <c r="Q247" t="s">
        <v>254</v>
      </c>
      <c r="S247" t="s">
        <v>423</v>
      </c>
      <c r="T247" t="s">
        <v>370</v>
      </c>
      <c r="U247">
        <v>1.907136188197135E-3</v>
      </c>
      <c r="V247" t="s">
        <v>254</v>
      </c>
      <c r="X247">
        <v>2.625570776255708E-3</v>
      </c>
      <c r="Y247">
        <v>3.423248721709802E-3</v>
      </c>
      <c r="Z247" t="s">
        <v>370</v>
      </c>
      <c r="AA247" t="s">
        <v>25</v>
      </c>
      <c r="AC247" t="s">
        <v>22</v>
      </c>
      <c r="AD247" t="s">
        <v>370</v>
      </c>
      <c r="AE247">
        <v>2.7180680035886464E-3</v>
      </c>
      <c r="AG247" t="s">
        <v>97</v>
      </c>
      <c r="AH247" t="s">
        <v>370</v>
      </c>
      <c r="AI247">
        <v>9.1919778490334281E-2</v>
      </c>
    </row>
    <row r="248" spans="5:35" x14ac:dyDescent="0.45">
      <c r="E248" t="s">
        <v>1502</v>
      </c>
      <c r="G248" t="s">
        <v>162</v>
      </c>
      <c r="I248" t="s">
        <v>252</v>
      </c>
      <c r="J248" t="s">
        <v>371</v>
      </c>
      <c r="K248">
        <v>1.30558292820787E-2</v>
      </c>
      <c r="L248" t="s">
        <v>254</v>
      </c>
      <c r="N248" t="s">
        <v>422</v>
      </c>
      <c r="O248" t="s">
        <v>371</v>
      </c>
      <c r="P248">
        <v>4.4225494849103935E-3</v>
      </c>
      <c r="Q248" t="s">
        <v>254</v>
      </c>
      <c r="S248" t="s">
        <v>423</v>
      </c>
      <c r="T248" t="s">
        <v>371</v>
      </c>
      <c r="U248">
        <v>4.1209154474971983E-3</v>
      </c>
      <c r="V248" t="s">
        <v>254</v>
      </c>
      <c r="X248">
        <v>5.2511415525114159E-3</v>
      </c>
      <c r="Y248">
        <v>7.4259337526622442E-3</v>
      </c>
      <c r="Z248" t="s">
        <v>371</v>
      </c>
      <c r="AA248" t="s">
        <v>25</v>
      </c>
      <c r="AC248" t="s">
        <v>22</v>
      </c>
      <c r="AD248" t="s">
        <v>371</v>
      </c>
      <c r="AE248">
        <v>5.3934757494045844E-3</v>
      </c>
      <c r="AG248" t="s">
        <v>97</v>
      </c>
      <c r="AH248" t="s">
        <v>371</v>
      </c>
      <c r="AI248">
        <v>8.6581721969608116E-2</v>
      </c>
    </row>
    <row r="249" spans="5:35" x14ac:dyDescent="0.45">
      <c r="E249" t="s">
        <v>1503</v>
      </c>
      <c r="G249" t="s">
        <v>162</v>
      </c>
      <c r="I249" t="s">
        <v>252</v>
      </c>
      <c r="J249" t="s">
        <v>372</v>
      </c>
      <c r="K249">
        <v>9.8984169389985856E-3</v>
      </c>
      <c r="L249" t="s">
        <v>254</v>
      </c>
      <c r="N249" t="s">
        <v>422</v>
      </c>
      <c r="O249" t="s">
        <v>372</v>
      </c>
      <c r="P249">
        <v>4.5209177926412748E-3</v>
      </c>
      <c r="Q249" t="s">
        <v>254</v>
      </c>
      <c r="S249" t="s">
        <v>423</v>
      </c>
      <c r="T249" t="s">
        <v>372</v>
      </c>
      <c r="U249">
        <v>4.5593937326782775E-3</v>
      </c>
      <c r="V249" t="s">
        <v>254</v>
      </c>
      <c r="X249">
        <v>5.2511415525114159E-3</v>
      </c>
      <c r="Y249">
        <v>1.0216377031383372E-2</v>
      </c>
      <c r="Z249" t="s">
        <v>372</v>
      </c>
      <c r="AA249" t="s">
        <v>25</v>
      </c>
      <c r="AC249" t="s">
        <v>22</v>
      </c>
      <c r="AD249" t="s">
        <v>372</v>
      </c>
      <c r="AE249">
        <v>5.3808282858222659E-3</v>
      </c>
      <c r="AG249" t="s">
        <v>97</v>
      </c>
      <c r="AH249" t="s">
        <v>372</v>
      </c>
      <c r="AI249">
        <v>8.1605257811188769E-2</v>
      </c>
    </row>
    <row r="250" spans="5:35" x14ac:dyDescent="0.45">
      <c r="E250" t="s">
        <v>1504</v>
      </c>
      <c r="G250" t="s">
        <v>162</v>
      </c>
      <c r="I250" t="s">
        <v>252</v>
      </c>
      <c r="J250" t="s">
        <v>373</v>
      </c>
      <c r="K250">
        <v>2.6118443894821591E-3</v>
      </c>
      <c r="L250" t="s">
        <v>254</v>
      </c>
      <c r="N250" t="s">
        <v>422</v>
      </c>
      <c r="O250" t="s">
        <v>373</v>
      </c>
      <c r="P250">
        <v>1.3525353852638115E-2</v>
      </c>
      <c r="Q250" t="s">
        <v>254</v>
      </c>
      <c r="S250" t="s">
        <v>423</v>
      </c>
      <c r="T250" t="s">
        <v>373</v>
      </c>
      <c r="U250">
        <v>1.3534571620046433E-2</v>
      </c>
      <c r="V250" t="s">
        <v>254</v>
      </c>
      <c r="X250">
        <v>1.5753424657534248E-2</v>
      </c>
      <c r="Y250">
        <v>1.387597477396846E-2</v>
      </c>
      <c r="Z250" t="s">
        <v>373</v>
      </c>
      <c r="AA250" t="s">
        <v>25</v>
      </c>
      <c r="AC250" t="s">
        <v>22</v>
      </c>
      <c r="AD250" t="s">
        <v>373</v>
      </c>
      <c r="AE250">
        <v>1.4322792038640878E-2</v>
      </c>
      <c r="AG250" t="s">
        <v>97</v>
      </c>
      <c r="AH250" t="s">
        <v>373</v>
      </c>
      <c r="AI250">
        <v>0.17010584418489483</v>
      </c>
    </row>
    <row r="251" spans="5:35" x14ac:dyDescent="0.45">
      <c r="E251" t="s">
        <v>1505</v>
      </c>
      <c r="G251" t="s">
        <v>162</v>
      </c>
      <c r="I251" t="s">
        <v>252</v>
      </c>
      <c r="J251" t="s">
        <v>1721</v>
      </c>
      <c r="K251">
        <v>0</v>
      </c>
      <c r="L251" t="s">
        <v>254</v>
      </c>
      <c r="N251" t="s">
        <v>422</v>
      </c>
      <c r="O251" t="s">
        <v>1721</v>
      </c>
      <c r="P251">
        <v>8.7496155038659581E-5</v>
      </c>
      <c r="Q251" t="s">
        <v>254</v>
      </c>
      <c r="S251" t="s">
        <v>423</v>
      </c>
      <c r="T251" t="s">
        <v>1721</v>
      </c>
      <c r="U251">
        <v>7.4067639668505225E-5</v>
      </c>
      <c r="V251" t="s">
        <v>254</v>
      </c>
      <c r="X251">
        <v>1.1415525114155251E-4</v>
      </c>
      <c r="Y251">
        <v>2.1546544680075254E-5</v>
      </c>
      <c r="Z251" t="s">
        <v>1721</v>
      </c>
      <c r="AA251" t="s">
        <v>25</v>
      </c>
      <c r="AC251" t="s">
        <v>22</v>
      </c>
      <c r="AD251" t="s">
        <v>1721</v>
      </c>
      <c r="AE251">
        <v>8.013330638106692E-5</v>
      </c>
      <c r="AG251" t="s">
        <v>97</v>
      </c>
      <c r="AH251" t="s">
        <v>1721</v>
      </c>
      <c r="AI251">
        <v>0</v>
      </c>
    </row>
    <row r="252" spans="5:35" x14ac:dyDescent="0.45">
      <c r="E252" t="s">
        <v>1506</v>
      </c>
      <c r="G252" t="s">
        <v>162</v>
      </c>
      <c r="I252" t="s">
        <v>252</v>
      </c>
      <c r="J252" t="s">
        <v>1722</v>
      </c>
      <c r="K252">
        <v>0</v>
      </c>
      <c r="L252" t="s">
        <v>254</v>
      </c>
      <c r="N252" t="s">
        <v>422</v>
      </c>
      <c r="O252" t="s">
        <v>1722</v>
      </c>
      <c r="P252">
        <v>6.6407487839849859E-5</v>
      </c>
      <c r="Q252" t="s">
        <v>254</v>
      </c>
      <c r="S252" t="s">
        <v>423</v>
      </c>
      <c r="T252" t="s">
        <v>1722</v>
      </c>
      <c r="U252">
        <v>5.816660599727896E-5</v>
      </c>
      <c r="V252" t="s">
        <v>254</v>
      </c>
      <c r="X252">
        <v>1.1415525114155251E-4</v>
      </c>
      <c r="Y252">
        <v>1.4916838624667481E-5</v>
      </c>
      <c r="Z252" t="s">
        <v>1722</v>
      </c>
      <c r="AA252" t="s">
        <v>25</v>
      </c>
      <c r="AC252" t="s">
        <v>22</v>
      </c>
      <c r="AD252" t="s">
        <v>1722</v>
      </c>
      <c r="AE252">
        <v>7.9015849529980543E-5</v>
      </c>
      <c r="AG252" t="s">
        <v>97</v>
      </c>
      <c r="AH252" t="s">
        <v>1722</v>
      </c>
      <c r="AI252">
        <v>0</v>
      </c>
    </row>
    <row r="253" spans="5:35" x14ac:dyDescent="0.45">
      <c r="E253" t="s">
        <v>1507</v>
      </c>
      <c r="G253" t="s">
        <v>162</v>
      </c>
      <c r="I253" t="s">
        <v>252</v>
      </c>
      <c r="J253" t="s">
        <v>1723</v>
      </c>
      <c r="K253">
        <v>0</v>
      </c>
      <c r="L253" t="s">
        <v>254</v>
      </c>
      <c r="N253" t="s">
        <v>422</v>
      </c>
      <c r="O253" t="s">
        <v>1723</v>
      </c>
      <c r="P253">
        <v>4.8398874626160816E-5</v>
      </c>
      <c r="Q253" t="s">
        <v>254</v>
      </c>
      <c r="S253" t="s">
        <v>423</v>
      </c>
      <c r="T253" t="s">
        <v>1723</v>
      </c>
      <c r="U253">
        <v>4.6764142112176012E-5</v>
      </c>
      <c r="V253" t="s">
        <v>254</v>
      </c>
      <c r="X253">
        <v>1.1415525114155251E-4</v>
      </c>
      <c r="Y253">
        <v>1.6574265138519424E-5</v>
      </c>
      <c r="Z253" t="s">
        <v>1723</v>
      </c>
      <c r="AA253" t="s">
        <v>25</v>
      </c>
      <c r="AC253" t="s">
        <v>22</v>
      </c>
      <c r="AD253" t="s">
        <v>1723</v>
      </c>
      <c r="AE253">
        <v>7.9015849529980543E-5</v>
      </c>
      <c r="AG253" t="s">
        <v>97</v>
      </c>
      <c r="AH253" t="s">
        <v>1723</v>
      </c>
      <c r="AI253">
        <v>0</v>
      </c>
    </row>
    <row r="254" spans="5:35" x14ac:dyDescent="0.45">
      <c r="E254" t="s">
        <v>1508</v>
      </c>
      <c r="G254" t="s">
        <v>162</v>
      </c>
      <c r="I254" t="s">
        <v>252</v>
      </c>
      <c r="J254" t="s">
        <v>1724</v>
      </c>
      <c r="K254">
        <v>0</v>
      </c>
      <c r="L254" t="s">
        <v>254</v>
      </c>
      <c r="N254" t="s">
        <v>422</v>
      </c>
      <c r="O254" t="s">
        <v>1724</v>
      </c>
      <c r="P254">
        <v>3.8372911066293457E-5</v>
      </c>
      <c r="Q254" t="s">
        <v>254</v>
      </c>
      <c r="S254" t="s">
        <v>423</v>
      </c>
      <c r="T254" t="s">
        <v>1724</v>
      </c>
      <c r="U254">
        <v>4.0766609540587521E-5</v>
      </c>
      <c r="V254" t="s">
        <v>254</v>
      </c>
      <c r="X254">
        <v>1.1415525114155251E-4</v>
      </c>
      <c r="Y254">
        <v>1.4585353321897093E-5</v>
      </c>
      <c r="Z254" t="s">
        <v>1724</v>
      </c>
      <c r="AA254" t="s">
        <v>25</v>
      </c>
      <c r="AC254" t="s">
        <v>22</v>
      </c>
      <c r="AD254" t="s">
        <v>1724</v>
      </c>
      <c r="AE254">
        <v>8.0048921767598139E-5</v>
      </c>
      <c r="AG254" t="s">
        <v>97</v>
      </c>
      <c r="AH254" t="s">
        <v>1724</v>
      </c>
      <c r="AI254">
        <v>0</v>
      </c>
    </row>
    <row r="255" spans="5:35" x14ac:dyDescent="0.45">
      <c r="E255" t="s">
        <v>1509</v>
      </c>
      <c r="G255" t="s">
        <v>162</v>
      </c>
      <c r="I255" t="s">
        <v>252</v>
      </c>
      <c r="J255" t="s">
        <v>1725</v>
      </c>
      <c r="K255">
        <v>0</v>
      </c>
      <c r="L255" t="s">
        <v>254</v>
      </c>
      <c r="N255" t="s">
        <v>422</v>
      </c>
      <c r="O255" t="s">
        <v>1725</v>
      </c>
      <c r="P255">
        <v>3.1349240066753512E-5</v>
      </c>
      <c r="Q255" t="s">
        <v>254</v>
      </c>
      <c r="S255" t="s">
        <v>423</v>
      </c>
      <c r="T255" t="s">
        <v>1725</v>
      </c>
      <c r="U255">
        <v>3.6161267840369981E-5</v>
      </c>
      <c r="V255" t="s">
        <v>254</v>
      </c>
      <c r="X255">
        <v>1.1415525114155251E-4</v>
      </c>
      <c r="Y255">
        <v>2.1215059377304864E-5</v>
      </c>
      <c r="Z255" t="s">
        <v>1725</v>
      </c>
      <c r="AA255" t="s">
        <v>25</v>
      </c>
      <c r="AC255" t="s">
        <v>22</v>
      </c>
      <c r="AD255" t="s">
        <v>1725</v>
      </c>
      <c r="AE255">
        <v>8.6127171046848205E-5</v>
      </c>
      <c r="AG255" t="s">
        <v>97</v>
      </c>
      <c r="AH255" t="s">
        <v>1725</v>
      </c>
      <c r="AI255">
        <v>0</v>
      </c>
    </row>
    <row r="256" spans="5:35" x14ac:dyDescent="0.45">
      <c r="E256" t="s">
        <v>1510</v>
      </c>
      <c r="G256" t="s">
        <v>162</v>
      </c>
      <c r="I256" t="s">
        <v>252</v>
      </c>
      <c r="J256" t="s">
        <v>1726</v>
      </c>
      <c r="K256">
        <v>0</v>
      </c>
      <c r="L256" t="s">
        <v>254</v>
      </c>
      <c r="N256" t="s">
        <v>422</v>
      </c>
      <c r="O256" t="s">
        <v>1726</v>
      </c>
      <c r="P256">
        <v>2.6661884047857561E-5</v>
      </c>
      <c r="Q256" t="s">
        <v>254</v>
      </c>
      <c r="S256" t="s">
        <v>423</v>
      </c>
      <c r="T256" t="s">
        <v>1726</v>
      </c>
      <c r="U256">
        <v>3.0725986089639158E-5</v>
      </c>
      <c r="V256" t="s">
        <v>254</v>
      </c>
      <c r="X256">
        <v>1.1415525114155251E-4</v>
      </c>
      <c r="Y256">
        <v>5.7678442682047593E-5</v>
      </c>
      <c r="Z256" t="s">
        <v>1726</v>
      </c>
      <c r="AA256" t="s">
        <v>25</v>
      </c>
      <c r="AC256" t="s">
        <v>22</v>
      </c>
      <c r="AD256" t="s">
        <v>1726</v>
      </c>
      <c r="AE256">
        <v>1.0164882570610267E-4</v>
      </c>
      <c r="AG256" t="s">
        <v>97</v>
      </c>
      <c r="AH256" t="s">
        <v>1726</v>
      </c>
      <c r="AI256">
        <v>0</v>
      </c>
    </row>
    <row r="257" spans="5:35" x14ac:dyDescent="0.45">
      <c r="E257" t="s">
        <v>1511</v>
      </c>
      <c r="G257" t="s">
        <v>162</v>
      </c>
      <c r="I257" t="s">
        <v>252</v>
      </c>
      <c r="J257" t="s">
        <v>1727</v>
      </c>
      <c r="K257">
        <v>3.3525929486338573E-6</v>
      </c>
      <c r="L257" t="s">
        <v>254</v>
      </c>
      <c r="N257" t="s">
        <v>422</v>
      </c>
      <c r="O257" t="s">
        <v>1727</v>
      </c>
      <c r="P257">
        <v>2.5223133352768693E-5</v>
      </c>
      <c r="Q257" t="s">
        <v>254</v>
      </c>
      <c r="S257" t="s">
        <v>423</v>
      </c>
      <c r="T257" t="s">
        <v>1727</v>
      </c>
      <c r="U257">
        <v>2.6087155661327757E-5</v>
      </c>
      <c r="V257" t="s">
        <v>254</v>
      </c>
      <c r="X257">
        <v>1.1415525114155251E-4</v>
      </c>
      <c r="Y257">
        <v>1.6905750441289813E-4</v>
      </c>
      <c r="Z257" t="s">
        <v>1727</v>
      </c>
      <c r="AA257" t="s">
        <v>25</v>
      </c>
      <c r="AC257" t="s">
        <v>22</v>
      </c>
      <c r="AD257" t="s">
        <v>1727</v>
      </c>
      <c r="AE257">
        <v>1.1384879512608672E-4</v>
      </c>
      <c r="AG257" t="s">
        <v>97</v>
      </c>
      <c r="AH257" t="s">
        <v>1727</v>
      </c>
      <c r="AI257">
        <v>0</v>
      </c>
    </row>
    <row r="258" spans="5:35" x14ac:dyDescent="0.45">
      <c r="E258" t="s">
        <v>1512</v>
      </c>
      <c r="G258" t="s">
        <v>162</v>
      </c>
      <c r="I258" t="s">
        <v>252</v>
      </c>
      <c r="J258" t="s">
        <v>1728</v>
      </c>
      <c r="K258">
        <v>1.9183561416580001E-4</v>
      </c>
      <c r="L258" t="s">
        <v>254</v>
      </c>
      <c r="N258" t="s">
        <v>422</v>
      </c>
      <c r="O258" t="s">
        <v>1728</v>
      </c>
      <c r="P258">
        <v>2.3935707980108719E-5</v>
      </c>
      <c r="Q258" t="s">
        <v>254</v>
      </c>
      <c r="S258" t="s">
        <v>423</v>
      </c>
      <c r="T258" t="s">
        <v>1728</v>
      </c>
      <c r="U258">
        <v>2.370001472579775E-5</v>
      </c>
      <c r="V258" t="s">
        <v>254</v>
      </c>
      <c r="X258">
        <v>1.1415525114155251E-4</v>
      </c>
      <c r="Y258">
        <v>1.9060404909297337E-4</v>
      </c>
      <c r="Z258" t="s">
        <v>1728</v>
      </c>
      <c r="AA258" t="s">
        <v>25</v>
      </c>
      <c r="AC258" t="s">
        <v>22</v>
      </c>
      <c r="AD258" t="s">
        <v>1728</v>
      </c>
      <c r="AE258">
        <v>1.2290096275273596E-4</v>
      </c>
      <c r="AG258" t="s">
        <v>97</v>
      </c>
      <c r="AH258" t="s">
        <v>1728</v>
      </c>
      <c r="AI258">
        <v>0</v>
      </c>
    </row>
    <row r="259" spans="5:35" x14ac:dyDescent="0.45">
      <c r="E259" t="s">
        <v>1513</v>
      </c>
      <c r="G259" t="s">
        <v>162</v>
      </c>
      <c r="I259" t="s">
        <v>252</v>
      </c>
      <c r="J259" t="s">
        <v>1729</v>
      </c>
      <c r="K259">
        <v>2.9253241066879999E-4</v>
      </c>
      <c r="L259" t="s">
        <v>254</v>
      </c>
      <c r="N259" t="s">
        <v>422</v>
      </c>
      <c r="O259" t="s">
        <v>1729</v>
      </c>
      <c r="P259">
        <v>1.4994680991723118E-5</v>
      </c>
      <c r="Q259" t="s">
        <v>254</v>
      </c>
      <c r="S259" t="s">
        <v>423</v>
      </c>
      <c r="T259" t="s">
        <v>1729</v>
      </c>
      <c r="U259">
        <v>1.9581192310574547E-5</v>
      </c>
      <c r="V259" t="s">
        <v>254</v>
      </c>
      <c r="X259">
        <v>1.1415525114155251E-4</v>
      </c>
      <c r="Y259">
        <v>1.4585353321897094E-4</v>
      </c>
      <c r="Z259" t="s">
        <v>1729</v>
      </c>
      <c r="AA259" t="s">
        <v>25</v>
      </c>
      <c r="AC259" t="s">
        <v>22</v>
      </c>
      <c r="AD259" t="s">
        <v>1729</v>
      </c>
      <c r="AE259">
        <v>1.2750120274153311E-4</v>
      </c>
      <c r="AG259" t="s">
        <v>97</v>
      </c>
      <c r="AH259" t="s">
        <v>1729</v>
      </c>
      <c r="AI259">
        <v>0</v>
      </c>
    </row>
    <row r="260" spans="5:35" x14ac:dyDescent="0.45">
      <c r="E260" t="s">
        <v>1514</v>
      </c>
      <c r="G260" t="s">
        <v>162</v>
      </c>
      <c r="I260" t="s">
        <v>252</v>
      </c>
      <c r="J260" t="s">
        <v>1730</v>
      </c>
      <c r="K260">
        <v>3.5758041448089999E-4</v>
      </c>
      <c r="L260" t="s">
        <v>254</v>
      </c>
      <c r="N260" t="s">
        <v>422</v>
      </c>
      <c r="O260" t="s">
        <v>1730</v>
      </c>
      <c r="P260">
        <v>7.9217742113258568E-6</v>
      </c>
      <c r="Q260" t="s">
        <v>254</v>
      </c>
      <c r="S260" t="s">
        <v>423</v>
      </c>
      <c r="T260" t="s">
        <v>1730</v>
      </c>
      <c r="U260">
        <v>1.4642659451539763E-5</v>
      </c>
      <c r="V260" t="s">
        <v>254</v>
      </c>
      <c r="X260">
        <v>1.1415525114155251E-4</v>
      </c>
      <c r="Y260">
        <v>1.4452759200788939E-4</v>
      </c>
      <c r="Z260" t="s">
        <v>1730</v>
      </c>
      <c r="AA260" t="s">
        <v>25</v>
      </c>
      <c r="AC260" t="s">
        <v>22</v>
      </c>
      <c r="AD260" t="s">
        <v>1730</v>
      </c>
      <c r="AE260">
        <v>1.2748841719403784E-4</v>
      </c>
      <c r="AG260" t="s">
        <v>97</v>
      </c>
      <c r="AH260" t="s">
        <v>1730</v>
      </c>
      <c r="AI260">
        <v>0</v>
      </c>
    </row>
    <row r="261" spans="5:35" x14ac:dyDescent="0.45">
      <c r="E261" t="s">
        <v>1515</v>
      </c>
      <c r="G261" t="s">
        <v>162</v>
      </c>
      <c r="I261" t="s">
        <v>252</v>
      </c>
      <c r="J261" t="s">
        <v>1731</v>
      </c>
      <c r="K261">
        <v>3.9107525200820001E-4</v>
      </c>
      <c r="L261" t="s">
        <v>254</v>
      </c>
      <c r="N261" t="s">
        <v>422</v>
      </c>
      <c r="O261" t="s">
        <v>1731</v>
      </c>
      <c r="P261">
        <v>5.9370242566268941E-6</v>
      </c>
      <c r="Q261" t="s">
        <v>254</v>
      </c>
      <c r="S261" t="s">
        <v>423</v>
      </c>
      <c r="T261" t="s">
        <v>1731</v>
      </c>
      <c r="U261">
        <v>1.0121888879183485E-5</v>
      </c>
      <c r="V261" t="s">
        <v>254</v>
      </c>
      <c r="X261">
        <v>1.1415525114155251E-4</v>
      </c>
      <c r="Y261">
        <v>1.408812536774151E-4</v>
      </c>
      <c r="Z261" t="s">
        <v>1731</v>
      </c>
      <c r="AA261" t="s">
        <v>25</v>
      </c>
      <c r="AC261" t="s">
        <v>22</v>
      </c>
      <c r="AD261" t="s">
        <v>1731</v>
      </c>
      <c r="AE261">
        <v>1.2724293468212869E-4</v>
      </c>
      <c r="AG261" t="s">
        <v>97</v>
      </c>
      <c r="AH261" t="s">
        <v>1731</v>
      </c>
      <c r="AI261">
        <v>0</v>
      </c>
    </row>
    <row r="262" spans="5:35" x14ac:dyDescent="0.45">
      <c r="E262" t="s">
        <v>1516</v>
      </c>
      <c r="G262" t="s">
        <v>162</v>
      </c>
      <c r="I262" t="s">
        <v>252</v>
      </c>
      <c r="J262" t="s">
        <v>1732</v>
      </c>
      <c r="K262">
        <v>3.8703788204469999E-4</v>
      </c>
      <c r="L262" t="s">
        <v>254</v>
      </c>
      <c r="N262" t="s">
        <v>422</v>
      </c>
      <c r="O262" t="s">
        <v>1732</v>
      </c>
      <c r="P262">
        <v>6.2838351396928462E-6</v>
      </c>
      <c r="Q262" t="s">
        <v>254</v>
      </c>
      <c r="S262" t="s">
        <v>423</v>
      </c>
      <c r="T262" t="s">
        <v>1732</v>
      </c>
      <c r="U262">
        <v>9.97587788905522E-6</v>
      </c>
      <c r="V262" t="s">
        <v>254</v>
      </c>
      <c r="X262">
        <v>1.1415525114155251E-4</v>
      </c>
      <c r="Y262">
        <v>1.4054976837464471E-4</v>
      </c>
      <c r="Z262" t="s">
        <v>1732</v>
      </c>
      <c r="AA262" t="s">
        <v>25</v>
      </c>
      <c r="AC262" t="s">
        <v>22</v>
      </c>
      <c r="AD262" t="s">
        <v>1732</v>
      </c>
      <c r="AE262">
        <v>1.2730174820060696E-4</v>
      </c>
      <c r="AG262" t="s">
        <v>97</v>
      </c>
      <c r="AH262" t="s">
        <v>1732</v>
      </c>
      <c r="AI262">
        <v>0</v>
      </c>
    </row>
    <row r="263" spans="5:35" x14ac:dyDescent="0.45">
      <c r="E263" t="s">
        <v>1517</v>
      </c>
      <c r="G263" t="s">
        <v>162</v>
      </c>
      <c r="I263" t="s">
        <v>252</v>
      </c>
      <c r="J263" t="s">
        <v>1733</v>
      </c>
      <c r="K263">
        <v>3.4883435276769999E-4</v>
      </c>
      <c r="L263" t="s">
        <v>254</v>
      </c>
      <c r="N263" t="s">
        <v>422</v>
      </c>
      <c r="O263" t="s">
        <v>1733</v>
      </c>
      <c r="P263">
        <v>6.7996595071408506E-6</v>
      </c>
      <c r="Q263" t="s">
        <v>254</v>
      </c>
      <c r="S263" t="s">
        <v>423</v>
      </c>
      <c r="T263" t="s">
        <v>1733</v>
      </c>
      <c r="U263">
        <v>1.5627461635298193E-5</v>
      </c>
      <c r="V263" t="s">
        <v>254</v>
      </c>
      <c r="X263">
        <v>1.1415525114155251E-4</v>
      </c>
      <c r="Y263">
        <v>1.4253868019126702E-4</v>
      </c>
      <c r="Z263" t="s">
        <v>1733</v>
      </c>
      <c r="AA263" t="s">
        <v>25</v>
      </c>
      <c r="AC263" t="s">
        <v>22</v>
      </c>
      <c r="AD263" t="s">
        <v>1733</v>
      </c>
      <c r="AE263">
        <v>1.2754723071251608E-4</v>
      </c>
      <c r="AG263" t="s">
        <v>97</v>
      </c>
      <c r="AH263" t="s">
        <v>1733</v>
      </c>
      <c r="AI263">
        <v>0</v>
      </c>
    </row>
    <row r="264" spans="5:35" x14ac:dyDescent="0.45">
      <c r="E264" t="s">
        <v>1518</v>
      </c>
      <c r="G264" t="s">
        <v>162</v>
      </c>
      <c r="I264" t="s">
        <v>252</v>
      </c>
      <c r="J264" t="s">
        <v>1734</v>
      </c>
      <c r="K264">
        <v>3.7264952317749998E-4</v>
      </c>
      <c r="L264" t="s">
        <v>254</v>
      </c>
      <c r="N264" t="s">
        <v>422</v>
      </c>
      <c r="O264" t="s">
        <v>1734</v>
      </c>
      <c r="P264">
        <v>5.9320511635057739E-6</v>
      </c>
      <c r="Q264" t="s">
        <v>254</v>
      </c>
      <c r="S264" t="s">
        <v>423</v>
      </c>
      <c r="T264" t="s">
        <v>1734</v>
      </c>
      <c r="U264">
        <v>1.8514371652625263E-5</v>
      </c>
      <c r="V264" t="s">
        <v>254</v>
      </c>
      <c r="X264">
        <v>1.1415525114155251E-4</v>
      </c>
      <c r="Y264">
        <v>1.4883690094390442E-4</v>
      </c>
      <c r="Z264" t="s">
        <v>1734</v>
      </c>
      <c r="AA264" t="s">
        <v>25</v>
      </c>
      <c r="AC264" t="s">
        <v>22</v>
      </c>
      <c r="AD264" t="s">
        <v>1734</v>
      </c>
      <c r="AE264">
        <v>1.2709462233118359E-4</v>
      </c>
      <c r="AG264" t="s">
        <v>97</v>
      </c>
      <c r="AH264" t="s">
        <v>1734</v>
      </c>
      <c r="AI264">
        <v>0</v>
      </c>
    </row>
    <row r="265" spans="5:35" x14ac:dyDescent="0.45">
      <c r="E265" t="s">
        <v>1519</v>
      </c>
      <c r="G265" t="s">
        <v>162</v>
      </c>
      <c r="I265" t="s">
        <v>252</v>
      </c>
      <c r="J265" t="s">
        <v>1735</v>
      </c>
      <c r="K265">
        <v>3.9222885638629998E-4</v>
      </c>
      <c r="L265" t="s">
        <v>254</v>
      </c>
      <c r="N265" t="s">
        <v>422</v>
      </c>
      <c r="O265" t="s">
        <v>1735</v>
      </c>
      <c r="P265">
        <v>6.1169274915050905E-6</v>
      </c>
      <c r="Q265" t="s">
        <v>254</v>
      </c>
      <c r="S265" t="s">
        <v>423</v>
      </c>
      <c r="T265" t="s">
        <v>1735</v>
      </c>
      <c r="U265">
        <v>1.6090523278280322E-5</v>
      </c>
      <c r="V265" t="s">
        <v>254</v>
      </c>
      <c r="X265">
        <v>1.1415525114155251E-4</v>
      </c>
      <c r="Y265">
        <v>1.5049432745775637E-4</v>
      </c>
      <c r="Z265" t="s">
        <v>1735</v>
      </c>
      <c r="AA265" t="s">
        <v>25</v>
      </c>
      <c r="AC265" t="s">
        <v>22</v>
      </c>
      <c r="AD265" t="s">
        <v>1735</v>
      </c>
      <c r="AE265">
        <v>1.2613314915953952E-4</v>
      </c>
      <c r="AG265" t="s">
        <v>97</v>
      </c>
      <c r="AH265" t="s">
        <v>1735</v>
      </c>
      <c r="AI265">
        <v>0</v>
      </c>
    </row>
    <row r="266" spans="5:35" x14ac:dyDescent="0.45">
      <c r="E266" t="s">
        <v>1520</v>
      </c>
      <c r="G266" t="s">
        <v>162</v>
      </c>
      <c r="I266" t="s">
        <v>252</v>
      </c>
      <c r="J266" t="s">
        <v>1736</v>
      </c>
      <c r="K266">
        <v>3.8380962875920002E-4</v>
      </c>
      <c r="L266" t="s">
        <v>254</v>
      </c>
      <c r="N266" t="s">
        <v>422</v>
      </c>
      <c r="O266" t="s">
        <v>1736</v>
      </c>
      <c r="P266">
        <v>7.3665895217830891E-6</v>
      </c>
      <c r="Q266" t="s">
        <v>254</v>
      </c>
      <c r="S266" t="s">
        <v>423</v>
      </c>
      <c r="T266" t="s">
        <v>1736</v>
      </c>
      <c r="U266">
        <v>1.536096750203176E-5</v>
      </c>
      <c r="V266" t="s">
        <v>254</v>
      </c>
      <c r="X266">
        <v>1.1415525114155251E-4</v>
      </c>
      <c r="Y266">
        <v>1.7237235744060203E-4</v>
      </c>
      <c r="Z266" t="s">
        <v>1736</v>
      </c>
      <c r="AA266" t="s">
        <v>25</v>
      </c>
      <c r="AC266" t="s">
        <v>22</v>
      </c>
      <c r="AD266" t="s">
        <v>1736</v>
      </c>
      <c r="AE266">
        <v>1.2615360603553195E-4</v>
      </c>
      <c r="AG266" t="s">
        <v>97</v>
      </c>
      <c r="AH266" t="s">
        <v>1736</v>
      </c>
      <c r="AI266">
        <v>0</v>
      </c>
    </row>
    <row r="267" spans="5:35" x14ac:dyDescent="0.45">
      <c r="E267" t="s">
        <v>1521</v>
      </c>
      <c r="G267" t="s">
        <v>162</v>
      </c>
      <c r="I267" t="s">
        <v>252</v>
      </c>
      <c r="J267" t="s">
        <v>1737</v>
      </c>
      <c r="K267">
        <v>3.46007846356E-4</v>
      </c>
      <c r="L267" t="s">
        <v>254</v>
      </c>
      <c r="N267" t="s">
        <v>422</v>
      </c>
      <c r="O267" t="s">
        <v>1737</v>
      </c>
      <c r="P267">
        <v>8.0796716570250433E-6</v>
      </c>
      <c r="Q267" t="s">
        <v>254</v>
      </c>
      <c r="S267" t="s">
        <v>423</v>
      </c>
      <c r="T267" t="s">
        <v>1737</v>
      </c>
      <c r="U267">
        <v>1.6240741443697963E-5</v>
      </c>
      <c r="V267" t="s">
        <v>254</v>
      </c>
      <c r="X267">
        <v>1.1415525114155251E-4</v>
      </c>
      <c r="Y267">
        <v>2.2209515285616027E-4</v>
      </c>
      <c r="Z267" t="s">
        <v>1737</v>
      </c>
      <c r="AA267" t="s">
        <v>25</v>
      </c>
      <c r="AC267" t="s">
        <v>22</v>
      </c>
      <c r="AD267" t="s">
        <v>1737</v>
      </c>
      <c r="AE267">
        <v>1.2577515382967204E-4</v>
      </c>
      <c r="AG267" t="s">
        <v>97</v>
      </c>
      <c r="AH267" t="s">
        <v>1737</v>
      </c>
      <c r="AI267">
        <v>0</v>
      </c>
    </row>
    <row r="268" spans="5:35" x14ac:dyDescent="0.45">
      <c r="E268" t="s">
        <v>1522</v>
      </c>
      <c r="G268" t="s">
        <v>162</v>
      </c>
      <c r="I268" t="s">
        <v>252</v>
      </c>
      <c r="J268" t="s">
        <v>1738</v>
      </c>
      <c r="K268">
        <v>2.5750830139790001E-4</v>
      </c>
      <c r="L268" t="s">
        <v>254</v>
      </c>
      <c r="N268" t="s">
        <v>422</v>
      </c>
      <c r="O268" t="s">
        <v>1738</v>
      </c>
      <c r="P268">
        <v>1.0714821390390743E-5</v>
      </c>
      <c r="Q268" t="s">
        <v>254</v>
      </c>
      <c r="S268" t="s">
        <v>423</v>
      </c>
      <c r="T268" t="s">
        <v>1738</v>
      </c>
      <c r="U268">
        <v>1.6264638986859114E-5</v>
      </c>
      <c r="V268" t="s">
        <v>254</v>
      </c>
      <c r="X268">
        <v>1.1415525114155251E-4</v>
      </c>
      <c r="Y268">
        <v>2.2209515285616027E-4</v>
      </c>
      <c r="Z268" t="s">
        <v>1738</v>
      </c>
      <c r="AA268" t="s">
        <v>25</v>
      </c>
      <c r="AC268" t="s">
        <v>22</v>
      </c>
      <c r="AD268" t="s">
        <v>1738</v>
      </c>
      <c r="AE268">
        <v>1.2502080652745126E-4</v>
      </c>
      <c r="AG268" t="s">
        <v>97</v>
      </c>
      <c r="AH268" t="s">
        <v>1738</v>
      </c>
      <c r="AI268">
        <v>0</v>
      </c>
    </row>
    <row r="269" spans="5:35" x14ac:dyDescent="0.45">
      <c r="E269" t="s">
        <v>1523</v>
      </c>
      <c r="G269" t="s">
        <v>162</v>
      </c>
      <c r="I269" t="s">
        <v>252</v>
      </c>
      <c r="J269" t="s">
        <v>1739</v>
      </c>
      <c r="K269">
        <v>1.0908958053100001E-4</v>
      </c>
      <c r="L269" t="s">
        <v>254</v>
      </c>
      <c r="N269" t="s">
        <v>422</v>
      </c>
      <c r="O269" t="s">
        <v>1739</v>
      </c>
      <c r="P269">
        <v>1.4977191411984276E-5</v>
      </c>
      <c r="Q269" t="s">
        <v>254</v>
      </c>
      <c r="S269" t="s">
        <v>423</v>
      </c>
      <c r="T269" t="s">
        <v>1739</v>
      </c>
      <c r="U269">
        <v>1.5503828986204952E-5</v>
      </c>
      <c r="V269" t="s">
        <v>254</v>
      </c>
      <c r="X269">
        <v>1.1415525114155251E-4</v>
      </c>
      <c r="Y269">
        <v>1.7237235744060203E-4</v>
      </c>
      <c r="Z269" t="s">
        <v>1739</v>
      </c>
      <c r="AA269" t="s">
        <v>25</v>
      </c>
      <c r="AC269" t="s">
        <v>22</v>
      </c>
      <c r="AD269" t="s">
        <v>1739</v>
      </c>
      <c r="AE269">
        <v>1.2384709326738571E-4</v>
      </c>
      <c r="AG269" t="s">
        <v>97</v>
      </c>
      <c r="AH269" t="s">
        <v>1739</v>
      </c>
      <c r="AI269">
        <v>0</v>
      </c>
    </row>
    <row r="270" spans="5:35" x14ac:dyDescent="0.45">
      <c r="E270" t="s">
        <v>1524</v>
      </c>
      <c r="G270" t="s">
        <v>162</v>
      </c>
      <c r="I270" t="s">
        <v>252</v>
      </c>
      <c r="J270" t="s">
        <v>1740</v>
      </c>
      <c r="K270">
        <v>0</v>
      </c>
      <c r="L270" t="s">
        <v>254</v>
      </c>
      <c r="N270" t="s">
        <v>422</v>
      </c>
      <c r="O270" t="s">
        <v>1740</v>
      </c>
      <c r="P270">
        <v>1.6707731302613627E-5</v>
      </c>
      <c r="Q270" t="s">
        <v>254</v>
      </c>
      <c r="S270" t="s">
        <v>423</v>
      </c>
      <c r="T270" t="s">
        <v>1740</v>
      </c>
      <c r="U270">
        <v>1.4981763775536788E-5</v>
      </c>
      <c r="V270" t="s">
        <v>254</v>
      </c>
      <c r="X270">
        <v>1.1415525114155251E-4</v>
      </c>
      <c r="Y270">
        <v>1.5579809230208258E-4</v>
      </c>
      <c r="Z270" t="s">
        <v>1740</v>
      </c>
      <c r="AA270" t="s">
        <v>25</v>
      </c>
      <c r="AC270" t="s">
        <v>22</v>
      </c>
      <c r="AD270" t="s">
        <v>1740</v>
      </c>
      <c r="AE270">
        <v>1.2203665974205588E-4</v>
      </c>
      <c r="AG270" t="s">
        <v>97</v>
      </c>
      <c r="AH270" t="s">
        <v>1740</v>
      </c>
      <c r="AI270">
        <v>0</v>
      </c>
    </row>
    <row r="271" spans="5:35" x14ac:dyDescent="0.45">
      <c r="E271" t="s">
        <v>1525</v>
      </c>
      <c r="G271" t="s">
        <v>162</v>
      </c>
      <c r="I271" t="s">
        <v>252</v>
      </c>
      <c r="J271" t="s">
        <v>1741</v>
      </c>
      <c r="K271">
        <v>0</v>
      </c>
      <c r="L271" t="s">
        <v>254</v>
      </c>
      <c r="N271" t="s">
        <v>422</v>
      </c>
      <c r="O271" t="s">
        <v>1741</v>
      </c>
      <c r="P271">
        <v>1.590076694452013E-5</v>
      </c>
      <c r="Q271" t="s">
        <v>254</v>
      </c>
      <c r="S271" t="s">
        <v>423</v>
      </c>
      <c r="T271" t="s">
        <v>1741</v>
      </c>
      <c r="U271">
        <v>1.3998169507715656E-5</v>
      </c>
      <c r="V271" t="s">
        <v>254</v>
      </c>
      <c r="X271">
        <v>1.1415525114155251E-4</v>
      </c>
      <c r="Y271">
        <v>1.093901499142282E-4</v>
      </c>
      <c r="Z271" t="s">
        <v>1741</v>
      </c>
      <c r="AA271" t="s">
        <v>25</v>
      </c>
      <c r="AC271" t="s">
        <v>22</v>
      </c>
      <c r="AD271" t="s">
        <v>1741</v>
      </c>
      <c r="AE271">
        <v>1.1541118903000837E-4</v>
      </c>
      <c r="AG271" t="s">
        <v>97</v>
      </c>
      <c r="AH271" t="s">
        <v>1741</v>
      </c>
      <c r="AI271">
        <v>0</v>
      </c>
    </row>
    <row r="272" spans="5:35" x14ac:dyDescent="0.45">
      <c r="E272" t="s">
        <v>1526</v>
      </c>
      <c r="G272" t="s">
        <v>162</v>
      </c>
      <c r="I272" t="s">
        <v>252</v>
      </c>
      <c r="J272" t="s">
        <v>1742</v>
      </c>
      <c r="K272">
        <v>0</v>
      </c>
      <c r="L272" t="s">
        <v>254</v>
      </c>
      <c r="N272" t="s">
        <v>422</v>
      </c>
      <c r="O272" t="s">
        <v>1742</v>
      </c>
      <c r="P272">
        <v>1.466748013273698E-5</v>
      </c>
      <c r="Q272" t="s">
        <v>254</v>
      </c>
      <c r="S272" t="s">
        <v>423</v>
      </c>
      <c r="T272" t="s">
        <v>1742</v>
      </c>
      <c r="U272">
        <v>1.590824870018713E-5</v>
      </c>
      <c r="V272" t="s">
        <v>254</v>
      </c>
      <c r="X272">
        <v>1.1415525114155251E-4</v>
      </c>
      <c r="Y272">
        <v>7.9556472664893237E-5</v>
      </c>
      <c r="Z272" t="s">
        <v>1742</v>
      </c>
      <c r="AA272" t="s">
        <v>25</v>
      </c>
      <c r="AC272" t="s">
        <v>22</v>
      </c>
      <c r="AD272" t="s">
        <v>1742</v>
      </c>
      <c r="AE272">
        <v>1.0886754582193058E-4</v>
      </c>
      <c r="AG272" t="s">
        <v>97</v>
      </c>
      <c r="AH272" t="s">
        <v>1742</v>
      </c>
      <c r="AI272">
        <v>0</v>
      </c>
    </row>
    <row r="273" spans="5:35" x14ac:dyDescent="0.45">
      <c r="E273" t="s">
        <v>1527</v>
      </c>
      <c r="G273" t="s">
        <v>162</v>
      </c>
      <c r="I273" t="s">
        <v>252</v>
      </c>
      <c r="J273" t="s">
        <v>1743</v>
      </c>
      <c r="K273">
        <v>0</v>
      </c>
      <c r="L273" t="s">
        <v>254</v>
      </c>
      <c r="N273" t="s">
        <v>422</v>
      </c>
      <c r="O273" t="s">
        <v>1743</v>
      </c>
      <c r="P273">
        <v>1.1436609203270768E-5</v>
      </c>
      <c r="Q273" t="s">
        <v>254</v>
      </c>
      <c r="S273" t="s">
        <v>423</v>
      </c>
      <c r="T273" t="s">
        <v>1743</v>
      </c>
      <c r="U273">
        <v>1.4540360038946708E-5</v>
      </c>
      <c r="V273" t="s">
        <v>254</v>
      </c>
      <c r="X273">
        <v>1.1415525114155251E-4</v>
      </c>
      <c r="Y273">
        <v>5.6352501470966035E-5</v>
      </c>
      <c r="Z273" t="s">
        <v>1743</v>
      </c>
      <c r="AA273" t="s">
        <v>25</v>
      </c>
      <c r="AC273" t="s">
        <v>22</v>
      </c>
      <c r="AD273" t="s">
        <v>1743</v>
      </c>
      <c r="AE273">
        <v>9.4657688335690542E-5</v>
      </c>
      <c r="AG273" t="s">
        <v>97</v>
      </c>
      <c r="AH273" t="s">
        <v>1743</v>
      </c>
      <c r="AI273">
        <v>0</v>
      </c>
    </row>
    <row r="274" spans="5:35" x14ac:dyDescent="0.45">
      <c r="E274" t="s">
        <v>1528</v>
      </c>
      <c r="G274" t="s">
        <v>162</v>
      </c>
      <c r="I274" t="s">
        <v>252</v>
      </c>
      <c r="J274" t="s">
        <v>1744</v>
      </c>
      <c r="K274">
        <v>0</v>
      </c>
      <c r="L274" t="s">
        <v>254</v>
      </c>
      <c r="N274" t="s">
        <v>422</v>
      </c>
      <c r="O274" t="s">
        <v>1744</v>
      </c>
      <c r="P274">
        <v>9.0820620782172162E-6</v>
      </c>
      <c r="Q274" t="s">
        <v>254</v>
      </c>
      <c r="S274" t="s">
        <v>423</v>
      </c>
      <c r="T274" t="s">
        <v>1744</v>
      </c>
      <c r="U274">
        <v>1.1556586052066491E-5</v>
      </c>
      <c r="V274" t="s">
        <v>254</v>
      </c>
      <c r="X274">
        <v>1.1415525114155251E-4</v>
      </c>
      <c r="Y274">
        <v>2.9833677249334962E-5</v>
      </c>
      <c r="Z274" t="s">
        <v>1744</v>
      </c>
      <c r="AA274" t="s">
        <v>25</v>
      </c>
      <c r="AC274" t="s">
        <v>22</v>
      </c>
      <c r="AD274" t="s">
        <v>1744</v>
      </c>
      <c r="AE274">
        <v>8.5835660563956108E-5</v>
      </c>
      <c r="AG274" t="s">
        <v>97</v>
      </c>
      <c r="AH274" t="s">
        <v>1744</v>
      </c>
      <c r="AI274">
        <v>0</v>
      </c>
    </row>
    <row r="275" spans="5:35" x14ac:dyDescent="0.45">
      <c r="E275" t="s">
        <v>1529</v>
      </c>
      <c r="G275" t="s">
        <v>162</v>
      </c>
      <c r="I275" t="s">
        <v>252</v>
      </c>
      <c r="J275" t="s">
        <v>1745</v>
      </c>
      <c r="K275">
        <v>0</v>
      </c>
      <c r="L275" t="s">
        <v>254</v>
      </c>
      <c r="N275" t="s">
        <v>422</v>
      </c>
      <c r="O275" t="s">
        <v>1745</v>
      </c>
      <c r="P275">
        <v>7.7988729531866018E-6</v>
      </c>
      <c r="Q275" t="s">
        <v>254</v>
      </c>
      <c r="S275" t="s">
        <v>423</v>
      </c>
      <c r="T275" t="s">
        <v>1745</v>
      </c>
      <c r="U275">
        <v>9.4552101282672203E-6</v>
      </c>
      <c r="V275" t="s">
        <v>254</v>
      </c>
      <c r="X275">
        <v>1.1415525114155251E-4</v>
      </c>
      <c r="Y275">
        <v>2.1546544680075254E-5</v>
      </c>
      <c r="Z275" t="s">
        <v>1745</v>
      </c>
      <c r="AA275" t="s">
        <v>25</v>
      </c>
      <c r="AC275" t="s">
        <v>22</v>
      </c>
      <c r="AD275" t="s">
        <v>1745</v>
      </c>
      <c r="AE275">
        <v>8.0133306381066893E-5</v>
      </c>
      <c r="AG275" t="s">
        <v>97</v>
      </c>
      <c r="AH275" t="s">
        <v>1745</v>
      </c>
      <c r="AI275">
        <v>0</v>
      </c>
    </row>
    <row r="276" spans="5:35" x14ac:dyDescent="0.45">
      <c r="E276" t="s">
        <v>1530</v>
      </c>
      <c r="G276" t="s">
        <v>162</v>
      </c>
      <c r="I276" t="s">
        <v>252</v>
      </c>
      <c r="J276" t="s">
        <v>1746</v>
      </c>
      <c r="K276">
        <v>0</v>
      </c>
      <c r="L276" t="s">
        <v>254</v>
      </c>
      <c r="N276" t="s">
        <v>422</v>
      </c>
      <c r="O276" t="s">
        <v>1746</v>
      </c>
      <c r="P276">
        <v>6.133735935406136E-6</v>
      </c>
      <c r="Q276" t="s">
        <v>254</v>
      </c>
      <c r="S276" t="s">
        <v>423</v>
      </c>
      <c r="T276" t="s">
        <v>1746</v>
      </c>
      <c r="U276">
        <v>7.6882258734501587E-6</v>
      </c>
      <c r="V276" t="s">
        <v>254</v>
      </c>
      <c r="X276">
        <v>1.1415525114155251E-4</v>
      </c>
      <c r="Y276">
        <v>1.4916838624667481E-5</v>
      </c>
      <c r="Z276" t="s">
        <v>1746</v>
      </c>
      <c r="AA276" t="s">
        <v>25</v>
      </c>
      <c r="AC276" t="s">
        <v>22</v>
      </c>
      <c r="AD276" t="s">
        <v>1746</v>
      </c>
      <c r="AE276">
        <v>7.901584952998053E-5</v>
      </c>
      <c r="AG276" t="s">
        <v>97</v>
      </c>
      <c r="AH276" t="s">
        <v>1746</v>
      </c>
      <c r="AI276">
        <v>0</v>
      </c>
    </row>
    <row r="277" spans="5:35" x14ac:dyDescent="0.45">
      <c r="E277" t="s">
        <v>1531</v>
      </c>
      <c r="G277" t="s">
        <v>162</v>
      </c>
      <c r="I277" t="s">
        <v>252</v>
      </c>
      <c r="J277" t="s">
        <v>1747</v>
      </c>
      <c r="K277">
        <v>0</v>
      </c>
      <c r="L277" t="s">
        <v>254</v>
      </c>
      <c r="N277" t="s">
        <v>422</v>
      </c>
      <c r="O277" t="s">
        <v>1747</v>
      </c>
      <c r="P277">
        <v>5.5009763945577636E-6</v>
      </c>
      <c r="Q277" t="s">
        <v>254</v>
      </c>
      <c r="S277" t="s">
        <v>423</v>
      </c>
      <c r="T277" t="s">
        <v>1747</v>
      </c>
      <c r="U277">
        <v>6.6998186040782446E-6</v>
      </c>
      <c r="V277" t="s">
        <v>254</v>
      </c>
      <c r="X277">
        <v>1.1415525114155251E-4</v>
      </c>
      <c r="Y277">
        <v>1.6574265138519424E-5</v>
      </c>
      <c r="Z277" t="s">
        <v>1747</v>
      </c>
      <c r="AA277" t="s">
        <v>25</v>
      </c>
      <c r="AC277" t="s">
        <v>22</v>
      </c>
      <c r="AD277" t="s">
        <v>1747</v>
      </c>
      <c r="AE277">
        <v>7.901584952998053E-5</v>
      </c>
      <c r="AG277" t="s">
        <v>97</v>
      </c>
      <c r="AH277" t="s">
        <v>1747</v>
      </c>
      <c r="AI277">
        <v>0</v>
      </c>
    </row>
    <row r="278" spans="5:35" x14ac:dyDescent="0.45">
      <c r="E278" t="s">
        <v>1532</v>
      </c>
      <c r="G278" t="s">
        <v>162</v>
      </c>
      <c r="I278" t="s">
        <v>252</v>
      </c>
      <c r="J278" t="s">
        <v>1748</v>
      </c>
      <c r="K278">
        <v>0</v>
      </c>
      <c r="L278" t="s">
        <v>254</v>
      </c>
      <c r="N278" t="s">
        <v>422</v>
      </c>
      <c r="O278" t="s">
        <v>1748</v>
      </c>
      <c r="P278">
        <v>5.204529712570276E-6</v>
      </c>
      <c r="Q278" t="s">
        <v>254</v>
      </c>
      <c r="S278" t="s">
        <v>423</v>
      </c>
      <c r="T278" t="s">
        <v>1748</v>
      </c>
      <c r="U278">
        <v>6.4395850310266432E-6</v>
      </c>
      <c r="V278" t="s">
        <v>254</v>
      </c>
      <c r="X278">
        <v>1.1415525114155251E-4</v>
      </c>
      <c r="Y278">
        <v>1.4585353321897093E-5</v>
      </c>
      <c r="Z278" t="s">
        <v>1748</v>
      </c>
      <c r="AA278" t="s">
        <v>25</v>
      </c>
      <c r="AC278" t="s">
        <v>22</v>
      </c>
      <c r="AD278" t="s">
        <v>1748</v>
      </c>
      <c r="AE278">
        <v>8.0048921767598126E-5</v>
      </c>
      <c r="AG278" t="s">
        <v>97</v>
      </c>
      <c r="AH278" t="s">
        <v>1748</v>
      </c>
      <c r="AI278">
        <v>0</v>
      </c>
    </row>
    <row r="279" spans="5:35" x14ac:dyDescent="0.45">
      <c r="E279" t="s">
        <v>1533</v>
      </c>
      <c r="G279" t="s">
        <v>162</v>
      </c>
      <c r="I279" t="s">
        <v>252</v>
      </c>
      <c r="J279" t="s">
        <v>1749</v>
      </c>
      <c r="K279">
        <v>0</v>
      </c>
      <c r="L279" t="s">
        <v>254</v>
      </c>
      <c r="N279" t="s">
        <v>422</v>
      </c>
      <c r="O279" t="s">
        <v>1749</v>
      </c>
      <c r="P279">
        <v>5.6979969579611403E-6</v>
      </c>
      <c r="Q279" t="s">
        <v>254</v>
      </c>
      <c r="S279" t="s">
        <v>423</v>
      </c>
      <c r="T279" t="s">
        <v>1749</v>
      </c>
      <c r="U279">
        <v>6.2274982923490295E-6</v>
      </c>
      <c r="V279" t="s">
        <v>254</v>
      </c>
      <c r="X279">
        <v>1.1415525114155251E-4</v>
      </c>
      <c r="Y279">
        <v>2.1215059377304864E-5</v>
      </c>
      <c r="Z279" t="s">
        <v>1749</v>
      </c>
      <c r="AA279" t="s">
        <v>25</v>
      </c>
      <c r="AC279" t="s">
        <v>22</v>
      </c>
      <c r="AD279" t="s">
        <v>1749</v>
      </c>
      <c r="AE279">
        <v>8.6653935603653198E-5</v>
      </c>
      <c r="AG279" t="s">
        <v>97</v>
      </c>
      <c r="AH279" t="s">
        <v>1749</v>
      </c>
      <c r="AI279">
        <v>0</v>
      </c>
    </row>
    <row r="280" spans="5:35" x14ac:dyDescent="0.45">
      <c r="E280" t="s">
        <v>1534</v>
      </c>
      <c r="G280" t="s">
        <v>162</v>
      </c>
      <c r="I280" t="s">
        <v>252</v>
      </c>
      <c r="J280" t="s">
        <v>1750</v>
      </c>
      <c r="K280">
        <v>0</v>
      </c>
      <c r="L280" t="s">
        <v>254</v>
      </c>
      <c r="N280" t="s">
        <v>422</v>
      </c>
      <c r="O280" t="s">
        <v>1750</v>
      </c>
      <c r="P280">
        <v>6.143305292490462E-6</v>
      </c>
      <c r="Q280" t="s">
        <v>254</v>
      </c>
      <c r="S280" t="s">
        <v>423</v>
      </c>
      <c r="T280" t="s">
        <v>1750</v>
      </c>
      <c r="U280">
        <v>5.7463803203439855E-6</v>
      </c>
      <c r="V280" t="s">
        <v>254</v>
      </c>
      <c r="X280">
        <v>1.1415525114155251E-4</v>
      </c>
      <c r="Y280">
        <v>5.7678442682047593E-5</v>
      </c>
      <c r="Z280" t="s">
        <v>1750</v>
      </c>
      <c r="AA280" t="s">
        <v>25</v>
      </c>
      <c r="AC280" t="s">
        <v>22</v>
      </c>
      <c r="AD280" t="s">
        <v>1750</v>
      </c>
      <c r="AE280">
        <v>1.0224974643838024E-4</v>
      </c>
      <c r="AG280" t="s">
        <v>97</v>
      </c>
      <c r="AH280" t="s">
        <v>1750</v>
      </c>
      <c r="AI280">
        <v>0</v>
      </c>
    </row>
    <row r="281" spans="5:35" x14ac:dyDescent="0.45">
      <c r="E281" t="s">
        <v>1535</v>
      </c>
      <c r="G281" t="s">
        <v>162</v>
      </c>
      <c r="I281" t="s">
        <v>252</v>
      </c>
      <c r="J281" t="s">
        <v>1751</v>
      </c>
      <c r="K281">
        <v>9.6980899820552984E-7</v>
      </c>
      <c r="L281" t="s">
        <v>254</v>
      </c>
      <c r="N281" t="s">
        <v>422</v>
      </c>
      <c r="O281" t="s">
        <v>1751</v>
      </c>
      <c r="P281">
        <v>6.9676725997364693E-6</v>
      </c>
      <c r="Q281" t="s">
        <v>254</v>
      </c>
      <c r="S281" t="s">
        <v>423</v>
      </c>
      <c r="T281" t="s">
        <v>1751</v>
      </c>
      <c r="U281">
        <v>5.0986106688587846E-6</v>
      </c>
      <c r="V281" t="s">
        <v>254</v>
      </c>
      <c r="X281">
        <v>1.1415525114155251E-4</v>
      </c>
      <c r="Y281">
        <v>1.6905750441289813E-4</v>
      </c>
      <c r="Z281" t="s">
        <v>1751</v>
      </c>
      <c r="AA281" t="s">
        <v>25</v>
      </c>
      <c r="AC281" t="s">
        <v>22</v>
      </c>
      <c r="AD281" t="s">
        <v>1751</v>
      </c>
      <c r="AE281">
        <v>1.1409939185699398E-4</v>
      </c>
      <c r="AG281" t="s">
        <v>97</v>
      </c>
      <c r="AH281" t="s">
        <v>1751</v>
      </c>
      <c r="AI281">
        <v>0</v>
      </c>
    </row>
    <row r="282" spans="5:35" x14ac:dyDescent="0.45">
      <c r="E282" t="s">
        <v>1536</v>
      </c>
      <c r="G282" t="s">
        <v>162</v>
      </c>
      <c r="I282" t="s">
        <v>252</v>
      </c>
      <c r="J282" t="s">
        <v>1752</v>
      </c>
      <c r="K282">
        <v>1.128515048199E-4</v>
      </c>
      <c r="L282" t="s">
        <v>254</v>
      </c>
      <c r="N282" t="s">
        <v>422</v>
      </c>
      <c r="O282" t="s">
        <v>1752</v>
      </c>
      <c r="P282">
        <v>7.9659939191059851E-6</v>
      </c>
      <c r="Q282" t="s">
        <v>254</v>
      </c>
      <c r="S282" t="s">
        <v>423</v>
      </c>
      <c r="T282" t="s">
        <v>1752</v>
      </c>
      <c r="U282">
        <v>4.7024113982935758E-6</v>
      </c>
      <c r="V282" t="s">
        <v>254</v>
      </c>
      <c r="X282">
        <v>1.1415525114155251E-4</v>
      </c>
      <c r="Y282">
        <v>1.9060404909297337E-4</v>
      </c>
      <c r="Z282" t="s">
        <v>1752</v>
      </c>
      <c r="AA282" t="s">
        <v>25</v>
      </c>
      <c r="AC282" t="s">
        <v>22</v>
      </c>
      <c r="AD282" t="s">
        <v>1752</v>
      </c>
      <c r="AE282">
        <v>1.2277055016828421E-4</v>
      </c>
      <c r="AG282" t="s">
        <v>97</v>
      </c>
      <c r="AH282" t="s">
        <v>1752</v>
      </c>
      <c r="AI282">
        <v>0</v>
      </c>
    </row>
    <row r="283" spans="5:35" x14ac:dyDescent="0.45">
      <c r="E283" t="s">
        <v>1537</v>
      </c>
      <c r="G283" t="s">
        <v>162</v>
      </c>
      <c r="I283" t="s">
        <v>252</v>
      </c>
      <c r="J283" t="s">
        <v>1753</v>
      </c>
      <c r="K283">
        <v>1.9654832156739999E-4</v>
      </c>
      <c r="L283" t="s">
        <v>254</v>
      </c>
      <c r="N283" t="s">
        <v>422</v>
      </c>
      <c r="O283" t="s">
        <v>1753</v>
      </c>
      <c r="P283">
        <v>7.9730558642827294E-6</v>
      </c>
      <c r="Q283" t="s">
        <v>254</v>
      </c>
      <c r="S283" t="s">
        <v>423</v>
      </c>
      <c r="T283" t="s">
        <v>1753</v>
      </c>
      <c r="U283">
        <v>4.9597455903637021E-6</v>
      </c>
      <c r="V283" t="s">
        <v>254</v>
      </c>
      <c r="X283">
        <v>1.1415525114155251E-4</v>
      </c>
      <c r="Y283">
        <v>1.4585353321897094E-4</v>
      </c>
      <c r="Z283" t="s">
        <v>1753</v>
      </c>
      <c r="AA283" t="s">
        <v>25</v>
      </c>
      <c r="AC283" t="s">
        <v>22</v>
      </c>
      <c r="AD283" t="s">
        <v>1753</v>
      </c>
      <c r="AE283">
        <v>1.2746028898954825E-4</v>
      </c>
      <c r="AG283" t="s">
        <v>97</v>
      </c>
      <c r="AH283" t="s">
        <v>1753</v>
      </c>
      <c r="AI283">
        <v>0</v>
      </c>
    </row>
    <row r="284" spans="5:35" x14ac:dyDescent="0.45">
      <c r="E284" t="s">
        <v>1538</v>
      </c>
      <c r="G284" t="s">
        <v>162</v>
      </c>
      <c r="I284" t="s">
        <v>252</v>
      </c>
      <c r="J284" t="s">
        <v>1754</v>
      </c>
      <c r="K284">
        <v>2.7249706554510002E-4</v>
      </c>
      <c r="L284" t="s">
        <v>254</v>
      </c>
      <c r="N284" t="s">
        <v>422</v>
      </c>
      <c r="O284" t="s">
        <v>1754</v>
      </c>
      <c r="P284">
        <v>4.9295853229951588E-6</v>
      </c>
      <c r="Q284" t="s">
        <v>254</v>
      </c>
      <c r="S284" t="s">
        <v>423</v>
      </c>
      <c r="T284" t="s">
        <v>1754</v>
      </c>
      <c r="U284">
        <v>8.0252328807766679E-6</v>
      </c>
      <c r="V284" t="s">
        <v>254</v>
      </c>
      <c r="X284">
        <v>1.1415525114155251E-4</v>
      </c>
      <c r="Y284">
        <v>1.4452759200788939E-4</v>
      </c>
      <c r="Z284" t="s">
        <v>1754</v>
      </c>
      <c r="AA284" t="s">
        <v>25</v>
      </c>
      <c r="AC284" t="s">
        <v>22</v>
      </c>
      <c r="AD284" t="s">
        <v>1754</v>
      </c>
      <c r="AE284">
        <v>1.2730174820060693E-4</v>
      </c>
      <c r="AG284" t="s">
        <v>97</v>
      </c>
      <c r="AH284" t="s">
        <v>1754</v>
      </c>
      <c r="AI284">
        <v>0</v>
      </c>
    </row>
    <row r="285" spans="5:35" x14ac:dyDescent="0.45">
      <c r="E285" t="s">
        <v>1539</v>
      </c>
      <c r="G285" t="s">
        <v>162</v>
      </c>
      <c r="I285" t="s">
        <v>252</v>
      </c>
      <c r="J285" t="s">
        <v>1755</v>
      </c>
      <c r="K285">
        <v>3.1690920896569998E-4</v>
      </c>
      <c r="L285" t="s">
        <v>254</v>
      </c>
      <c r="N285" t="s">
        <v>422</v>
      </c>
      <c r="O285" t="s">
        <v>1755</v>
      </c>
      <c r="P285">
        <v>1.28176198922374E-6</v>
      </c>
      <c r="Q285" t="s">
        <v>254</v>
      </c>
      <c r="S285" t="s">
        <v>423</v>
      </c>
      <c r="T285" t="s">
        <v>1755</v>
      </c>
      <c r="U285">
        <v>7.1794046118942272E-6</v>
      </c>
      <c r="V285" t="s">
        <v>254</v>
      </c>
      <c r="X285">
        <v>1.1415525114155251E-4</v>
      </c>
      <c r="Y285">
        <v>1.408812536774151E-4</v>
      </c>
      <c r="Z285" t="s">
        <v>1755</v>
      </c>
      <c r="AA285" t="s">
        <v>25</v>
      </c>
      <c r="AC285" t="s">
        <v>22</v>
      </c>
      <c r="AD285" t="s">
        <v>1755</v>
      </c>
      <c r="AE285">
        <v>1.2741426101856531E-4</v>
      </c>
      <c r="AG285" t="s">
        <v>97</v>
      </c>
      <c r="AH285" t="s">
        <v>1755</v>
      </c>
      <c r="AI285">
        <v>0</v>
      </c>
    </row>
    <row r="286" spans="5:35" x14ac:dyDescent="0.45">
      <c r="E286" t="s">
        <v>1540</v>
      </c>
      <c r="G286" t="s">
        <v>162</v>
      </c>
      <c r="I286" t="s">
        <v>252</v>
      </c>
      <c r="J286" t="s">
        <v>1756</v>
      </c>
      <c r="K286">
        <v>3.3291893012600001E-4</v>
      </c>
      <c r="L286" t="s">
        <v>254</v>
      </c>
      <c r="N286" t="s">
        <v>422</v>
      </c>
      <c r="O286" t="s">
        <v>1756</v>
      </c>
      <c r="P286">
        <v>2.0434868413139346E-6</v>
      </c>
      <c r="Q286" t="s">
        <v>254</v>
      </c>
      <c r="S286" t="s">
        <v>423</v>
      </c>
      <c r="T286" t="s">
        <v>1756</v>
      </c>
      <c r="U286">
        <v>6.004328433880243E-6</v>
      </c>
      <c r="V286" t="s">
        <v>254</v>
      </c>
      <c r="X286">
        <v>1.1415525114155251E-4</v>
      </c>
      <c r="Y286">
        <v>1.4054976837464471E-4</v>
      </c>
      <c r="Z286" t="s">
        <v>1756</v>
      </c>
      <c r="AA286" t="s">
        <v>25</v>
      </c>
      <c r="AC286" t="s">
        <v>22</v>
      </c>
      <c r="AD286" t="s">
        <v>1756</v>
      </c>
      <c r="AE286">
        <v>1.2730174820060696E-4</v>
      </c>
      <c r="AG286" t="s">
        <v>97</v>
      </c>
      <c r="AH286" t="s">
        <v>1756</v>
      </c>
      <c r="AI286">
        <v>0</v>
      </c>
    </row>
    <row r="287" spans="5:35" x14ac:dyDescent="0.45">
      <c r="E287" t="s">
        <v>1541</v>
      </c>
      <c r="G287" t="s">
        <v>162</v>
      </c>
      <c r="I287" t="s">
        <v>252</v>
      </c>
      <c r="J287" t="s">
        <v>1757</v>
      </c>
      <c r="K287">
        <v>3.1316942691530001E-4</v>
      </c>
      <c r="L287" t="s">
        <v>254</v>
      </c>
      <c r="N287" t="s">
        <v>422</v>
      </c>
      <c r="O287" t="s">
        <v>1757</v>
      </c>
      <c r="P287">
        <v>2.5623332144238328E-6</v>
      </c>
      <c r="Q287" t="s">
        <v>254</v>
      </c>
      <c r="S287" t="s">
        <v>423</v>
      </c>
      <c r="T287" t="s">
        <v>1757</v>
      </c>
      <c r="U287">
        <v>5.7764917773054467E-6</v>
      </c>
      <c r="V287" t="s">
        <v>254</v>
      </c>
      <c r="X287">
        <v>1.1415525114155251E-4</v>
      </c>
      <c r="Y287">
        <v>1.4253868019126702E-4</v>
      </c>
      <c r="Z287" t="s">
        <v>1757</v>
      </c>
      <c r="AA287" t="s">
        <v>25</v>
      </c>
      <c r="AC287" t="s">
        <v>22</v>
      </c>
      <c r="AD287" t="s">
        <v>1757</v>
      </c>
      <c r="AE287">
        <v>1.2794869690386745E-4</v>
      </c>
      <c r="AG287" t="s">
        <v>97</v>
      </c>
      <c r="AH287" t="s">
        <v>1757</v>
      </c>
      <c r="AI287">
        <v>0</v>
      </c>
    </row>
    <row r="288" spans="5:35" x14ac:dyDescent="0.45">
      <c r="E288" t="s">
        <v>1542</v>
      </c>
      <c r="G288" t="s">
        <v>162</v>
      </c>
      <c r="I288" t="s">
        <v>252</v>
      </c>
      <c r="J288" t="s">
        <v>1758</v>
      </c>
      <c r="K288">
        <v>3.2376914224840003E-4</v>
      </c>
      <c r="L288" t="s">
        <v>254</v>
      </c>
      <c r="N288" t="s">
        <v>422</v>
      </c>
      <c r="O288" t="s">
        <v>1758</v>
      </c>
      <c r="P288">
        <v>3.4515491240956103E-6</v>
      </c>
      <c r="Q288" t="s">
        <v>254</v>
      </c>
      <c r="S288" t="s">
        <v>423</v>
      </c>
      <c r="T288" t="s">
        <v>1758</v>
      </c>
      <c r="U288">
        <v>6.0740885701340953E-6</v>
      </c>
      <c r="V288" t="s">
        <v>254</v>
      </c>
      <c r="X288">
        <v>1.1415525114155251E-4</v>
      </c>
      <c r="Y288">
        <v>1.4883690094390442E-4</v>
      </c>
      <c r="Z288" t="s">
        <v>1758</v>
      </c>
      <c r="AA288" t="s">
        <v>25</v>
      </c>
      <c r="AC288" t="s">
        <v>22</v>
      </c>
      <c r="AD288" t="s">
        <v>1758</v>
      </c>
      <c r="AE288">
        <v>1.2770065728245927E-4</v>
      </c>
      <c r="AG288" t="s">
        <v>97</v>
      </c>
      <c r="AH288" t="s">
        <v>1758</v>
      </c>
      <c r="AI288">
        <v>0</v>
      </c>
    </row>
    <row r="289" spans="5:35" x14ac:dyDescent="0.45">
      <c r="E289" t="s">
        <v>1543</v>
      </c>
      <c r="G289" t="s">
        <v>162</v>
      </c>
      <c r="I289" t="s">
        <v>252</v>
      </c>
      <c r="J289" t="s">
        <v>1759</v>
      </c>
      <c r="K289">
        <v>3.42575580119E-4</v>
      </c>
      <c r="L289" t="s">
        <v>254</v>
      </c>
      <c r="N289" t="s">
        <v>422</v>
      </c>
      <c r="O289" t="s">
        <v>1759</v>
      </c>
      <c r="P289">
        <v>4.7241772696501588E-6</v>
      </c>
      <c r="Q289" t="s">
        <v>254</v>
      </c>
      <c r="S289" t="s">
        <v>423</v>
      </c>
      <c r="T289" t="s">
        <v>1759</v>
      </c>
      <c r="U289">
        <v>8.1484646363902713E-6</v>
      </c>
      <c r="V289" t="s">
        <v>254</v>
      </c>
      <c r="X289">
        <v>1.1415525114155251E-4</v>
      </c>
      <c r="Y289">
        <v>1.5049432745775637E-4</v>
      </c>
      <c r="Z289" t="s">
        <v>1759</v>
      </c>
      <c r="AA289" t="s">
        <v>25</v>
      </c>
      <c r="AC289" t="s">
        <v>22</v>
      </c>
      <c r="AD289" t="s">
        <v>1759</v>
      </c>
      <c r="AE289">
        <v>1.2624310486799881E-4</v>
      </c>
      <c r="AG289" t="s">
        <v>97</v>
      </c>
      <c r="AH289" t="s">
        <v>1759</v>
      </c>
      <c r="AI289">
        <v>0</v>
      </c>
    </row>
    <row r="290" spans="5:35" x14ac:dyDescent="0.45">
      <c r="E290" t="s">
        <v>1544</v>
      </c>
      <c r="G290" t="s">
        <v>162</v>
      </c>
      <c r="I290" t="s">
        <v>252</v>
      </c>
      <c r="J290" t="s">
        <v>1760</v>
      </c>
      <c r="K290">
        <v>3.3559014288069998E-4</v>
      </c>
      <c r="L290" t="s">
        <v>254</v>
      </c>
      <c r="N290" t="s">
        <v>422</v>
      </c>
      <c r="O290" t="s">
        <v>1760</v>
      </c>
      <c r="P290">
        <v>5.6755518682629815E-6</v>
      </c>
      <c r="Q290" t="s">
        <v>254</v>
      </c>
      <c r="S290" t="s">
        <v>423</v>
      </c>
      <c r="T290" t="s">
        <v>1760</v>
      </c>
      <c r="U290">
        <v>1.0501969906108424E-5</v>
      </c>
      <c r="V290" t="s">
        <v>254</v>
      </c>
      <c r="X290">
        <v>1.1415525114155251E-4</v>
      </c>
      <c r="Y290">
        <v>1.7237235744060203E-4</v>
      </c>
      <c r="Z290" t="s">
        <v>1760</v>
      </c>
      <c r="AA290" t="s">
        <v>25</v>
      </c>
      <c r="AC290" t="s">
        <v>22</v>
      </c>
      <c r="AD290" t="s">
        <v>1760</v>
      </c>
      <c r="AE290">
        <v>1.2624310486799881E-4</v>
      </c>
      <c r="AG290" t="s">
        <v>97</v>
      </c>
      <c r="AH290" t="s">
        <v>1760</v>
      </c>
      <c r="AI290">
        <v>0</v>
      </c>
    </row>
    <row r="291" spans="5:35" x14ac:dyDescent="0.45">
      <c r="E291" t="s">
        <v>1545</v>
      </c>
      <c r="G291" t="s">
        <v>162</v>
      </c>
      <c r="I291" t="s">
        <v>252</v>
      </c>
      <c r="J291" t="s">
        <v>1761</v>
      </c>
      <c r="K291">
        <v>2.9461233865229997E-4</v>
      </c>
      <c r="L291" t="s">
        <v>254</v>
      </c>
      <c r="N291" t="s">
        <v>422</v>
      </c>
      <c r="O291" t="s">
        <v>1761</v>
      </c>
      <c r="P291">
        <v>4.9377184503836712E-6</v>
      </c>
      <c r="Q291" t="s">
        <v>254</v>
      </c>
      <c r="S291" t="s">
        <v>423</v>
      </c>
      <c r="T291" t="s">
        <v>1761</v>
      </c>
      <c r="U291">
        <v>9.6860627060283717E-6</v>
      </c>
      <c r="V291" t="s">
        <v>254</v>
      </c>
      <c r="X291">
        <v>1.1415525114155251E-4</v>
      </c>
      <c r="Y291">
        <v>2.2209515285616027E-4</v>
      </c>
      <c r="Z291" t="s">
        <v>1761</v>
      </c>
      <c r="AA291" t="s">
        <v>25</v>
      </c>
      <c r="AC291" t="s">
        <v>22</v>
      </c>
      <c r="AD291" t="s">
        <v>1761</v>
      </c>
      <c r="AE291">
        <v>1.2577515382967204E-4</v>
      </c>
      <c r="AG291" t="s">
        <v>97</v>
      </c>
      <c r="AH291" t="s">
        <v>1761</v>
      </c>
      <c r="AI291">
        <v>0</v>
      </c>
    </row>
    <row r="292" spans="5:35" x14ac:dyDescent="0.45">
      <c r="E292" t="s">
        <v>1546</v>
      </c>
      <c r="G292" t="s">
        <v>162</v>
      </c>
      <c r="I292" t="s">
        <v>252</v>
      </c>
      <c r="J292" t="s">
        <v>1762</v>
      </c>
      <c r="K292">
        <v>2.0385980567559999E-4</v>
      </c>
      <c r="L292" t="s">
        <v>254</v>
      </c>
      <c r="N292" t="s">
        <v>422</v>
      </c>
      <c r="O292" t="s">
        <v>1762</v>
      </c>
      <c r="P292">
        <v>6.3207927507327554E-6</v>
      </c>
      <c r="Q292" t="s">
        <v>254</v>
      </c>
      <c r="S292" t="s">
        <v>423</v>
      </c>
      <c r="T292" t="s">
        <v>1762</v>
      </c>
      <c r="U292">
        <v>9.2319114265843445E-6</v>
      </c>
      <c r="V292" t="s">
        <v>254</v>
      </c>
      <c r="X292">
        <v>1.1415525114155251E-4</v>
      </c>
      <c r="Y292">
        <v>2.2209515285616027E-4</v>
      </c>
      <c r="Z292" t="s">
        <v>1762</v>
      </c>
      <c r="AA292" t="s">
        <v>25</v>
      </c>
      <c r="AC292" t="s">
        <v>22</v>
      </c>
      <c r="AD292" t="s">
        <v>1762</v>
      </c>
      <c r="AE292">
        <v>1.2502080652745126E-4</v>
      </c>
      <c r="AG292" t="s">
        <v>97</v>
      </c>
      <c r="AH292" t="s">
        <v>1762</v>
      </c>
      <c r="AI292">
        <v>0</v>
      </c>
    </row>
    <row r="293" spans="5:35" x14ac:dyDescent="0.45">
      <c r="E293" t="s">
        <v>1547</v>
      </c>
      <c r="G293" t="s">
        <v>162</v>
      </c>
      <c r="I293" t="s">
        <v>252</v>
      </c>
      <c r="J293" t="s">
        <v>1763</v>
      </c>
      <c r="K293">
        <v>5.5080628930487843E-5</v>
      </c>
      <c r="L293" t="s">
        <v>254</v>
      </c>
      <c r="N293" t="s">
        <v>422</v>
      </c>
      <c r="O293" t="s">
        <v>1763</v>
      </c>
      <c r="P293">
        <v>9.5480648024768687E-6</v>
      </c>
      <c r="Q293" t="s">
        <v>254</v>
      </c>
      <c r="S293" t="s">
        <v>423</v>
      </c>
      <c r="T293" t="s">
        <v>1763</v>
      </c>
      <c r="U293">
        <v>9.7357882601549259E-6</v>
      </c>
      <c r="V293" t="s">
        <v>254</v>
      </c>
      <c r="X293">
        <v>1.1415525114155251E-4</v>
      </c>
      <c r="Y293">
        <v>1.7237235744060203E-4</v>
      </c>
      <c r="Z293" t="s">
        <v>1763</v>
      </c>
      <c r="AA293" t="s">
        <v>25</v>
      </c>
      <c r="AC293" t="s">
        <v>22</v>
      </c>
      <c r="AD293" t="s">
        <v>1763</v>
      </c>
      <c r="AE293">
        <v>1.2395960608534406E-4</v>
      </c>
      <c r="AG293" t="s">
        <v>97</v>
      </c>
      <c r="AH293" t="s">
        <v>1763</v>
      </c>
      <c r="AI293">
        <v>0</v>
      </c>
    </row>
    <row r="294" spans="5:35" x14ac:dyDescent="0.45">
      <c r="E294" t="s">
        <v>1548</v>
      </c>
      <c r="G294" t="s">
        <v>162</v>
      </c>
      <c r="I294" t="s">
        <v>252</v>
      </c>
      <c r="J294" t="s">
        <v>1764</v>
      </c>
      <c r="K294">
        <v>0</v>
      </c>
      <c r="L294" t="s">
        <v>254</v>
      </c>
      <c r="N294" t="s">
        <v>422</v>
      </c>
      <c r="O294" t="s">
        <v>1764</v>
      </c>
      <c r="P294">
        <v>1.0092610492353384E-5</v>
      </c>
      <c r="Q294" t="s">
        <v>254</v>
      </c>
      <c r="S294" t="s">
        <v>423</v>
      </c>
      <c r="T294" t="s">
        <v>1764</v>
      </c>
      <c r="U294">
        <v>1.0730217062800386E-5</v>
      </c>
      <c r="V294" t="s">
        <v>254</v>
      </c>
      <c r="X294">
        <v>1.1415525114155251E-4</v>
      </c>
      <c r="Y294">
        <v>1.5579809230208258E-4</v>
      </c>
      <c r="Z294" t="s">
        <v>1764</v>
      </c>
      <c r="AA294" t="s">
        <v>25</v>
      </c>
      <c r="AC294" t="s">
        <v>22</v>
      </c>
      <c r="AD294" t="s">
        <v>1764</v>
      </c>
      <c r="AE294">
        <v>1.2203665974205589E-4</v>
      </c>
      <c r="AG294" t="s">
        <v>97</v>
      </c>
      <c r="AH294" t="s">
        <v>1764</v>
      </c>
      <c r="AI294">
        <v>0</v>
      </c>
    </row>
    <row r="295" spans="5:35" x14ac:dyDescent="0.45">
      <c r="E295" t="s">
        <v>1549</v>
      </c>
      <c r="G295" t="s">
        <v>162</v>
      </c>
      <c r="I295" t="s">
        <v>252</v>
      </c>
      <c r="J295" t="s">
        <v>1765</v>
      </c>
      <c r="K295">
        <v>0</v>
      </c>
      <c r="L295" t="s">
        <v>254</v>
      </c>
      <c r="N295" t="s">
        <v>422</v>
      </c>
      <c r="O295" t="s">
        <v>1765</v>
      </c>
      <c r="P295">
        <v>8.0735082390544852E-6</v>
      </c>
      <c r="Q295" t="s">
        <v>254</v>
      </c>
      <c r="S295" t="s">
        <v>423</v>
      </c>
      <c r="T295" t="s">
        <v>1765</v>
      </c>
      <c r="U295">
        <v>1.065554759704089E-5</v>
      </c>
      <c r="V295" t="s">
        <v>254</v>
      </c>
      <c r="X295">
        <v>1.1415525114155251E-4</v>
      </c>
      <c r="Y295">
        <v>1.093901499142282E-4</v>
      </c>
      <c r="Z295" t="s">
        <v>1765</v>
      </c>
      <c r="AA295" t="s">
        <v>25</v>
      </c>
      <c r="AC295" t="s">
        <v>22</v>
      </c>
      <c r="AD295" t="s">
        <v>1765</v>
      </c>
      <c r="AE295">
        <v>1.160964943757547E-4</v>
      </c>
      <c r="AG295" t="s">
        <v>97</v>
      </c>
      <c r="AH295" t="s">
        <v>1765</v>
      </c>
      <c r="AI295">
        <v>0</v>
      </c>
    </row>
    <row r="296" spans="5:35" x14ac:dyDescent="0.45">
      <c r="E296" t="s">
        <v>1550</v>
      </c>
      <c r="G296" t="s">
        <v>162</v>
      </c>
      <c r="I296" t="s">
        <v>252</v>
      </c>
      <c r="J296" t="s">
        <v>1766</v>
      </c>
      <c r="K296">
        <v>0</v>
      </c>
      <c r="L296" t="s">
        <v>254</v>
      </c>
      <c r="N296" t="s">
        <v>422</v>
      </c>
      <c r="O296" t="s">
        <v>1766</v>
      </c>
      <c r="P296">
        <v>5.8722873825447073E-6</v>
      </c>
      <c r="Q296" t="s">
        <v>254</v>
      </c>
      <c r="S296" t="s">
        <v>423</v>
      </c>
      <c r="T296" t="s">
        <v>1766</v>
      </c>
      <c r="U296">
        <v>8.7105351640318873E-6</v>
      </c>
      <c r="V296" t="s">
        <v>254</v>
      </c>
      <c r="X296">
        <v>1.1415525114155251E-4</v>
      </c>
      <c r="Y296">
        <v>7.9556472664893237E-5</v>
      </c>
      <c r="Z296" t="s">
        <v>1766</v>
      </c>
      <c r="AA296" t="s">
        <v>25</v>
      </c>
      <c r="AC296" t="s">
        <v>22</v>
      </c>
      <c r="AD296" t="s">
        <v>1766</v>
      </c>
      <c r="AE296">
        <v>1.0955540827717597E-4</v>
      </c>
      <c r="AG296" t="s">
        <v>97</v>
      </c>
      <c r="AH296" t="s">
        <v>1766</v>
      </c>
      <c r="AI296">
        <v>0</v>
      </c>
    </row>
    <row r="297" spans="5:35" x14ac:dyDescent="0.45">
      <c r="E297" t="s">
        <v>1551</v>
      </c>
      <c r="G297" t="s">
        <v>162</v>
      </c>
      <c r="I297" t="s">
        <v>252</v>
      </c>
      <c r="J297" t="s">
        <v>1767</v>
      </c>
      <c r="K297">
        <v>0</v>
      </c>
      <c r="L297" t="s">
        <v>254</v>
      </c>
      <c r="N297" t="s">
        <v>422</v>
      </c>
      <c r="O297" t="s">
        <v>1767</v>
      </c>
      <c r="P297">
        <v>1.0940157459685727E-5</v>
      </c>
      <c r="Q297" t="s">
        <v>254</v>
      </c>
      <c r="S297" t="s">
        <v>423</v>
      </c>
      <c r="T297" t="s">
        <v>1767</v>
      </c>
      <c r="U297">
        <v>8.4033871436179016E-6</v>
      </c>
      <c r="V297" t="s">
        <v>254</v>
      </c>
      <c r="X297">
        <v>1.1415525114155251E-4</v>
      </c>
      <c r="Y297">
        <v>5.6352501470966035E-5</v>
      </c>
      <c r="Z297" t="s">
        <v>1767</v>
      </c>
      <c r="AA297" t="s">
        <v>25</v>
      </c>
      <c r="AC297" t="s">
        <v>22</v>
      </c>
      <c r="AD297" t="s">
        <v>1767</v>
      </c>
      <c r="AE297">
        <v>9.6181725597126389E-5</v>
      </c>
      <c r="AG297" t="s">
        <v>97</v>
      </c>
      <c r="AH297" t="s">
        <v>1767</v>
      </c>
      <c r="AI297">
        <v>0</v>
      </c>
    </row>
    <row r="298" spans="5:35" x14ac:dyDescent="0.45">
      <c r="E298" t="s">
        <v>1552</v>
      </c>
      <c r="G298" t="s">
        <v>162</v>
      </c>
      <c r="I298" t="s">
        <v>252</v>
      </c>
      <c r="J298" t="s">
        <v>1768</v>
      </c>
      <c r="K298">
        <v>0</v>
      </c>
      <c r="L298" t="s">
        <v>254</v>
      </c>
      <c r="N298" t="s">
        <v>422</v>
      </c>
      <c r="O298" t="s">
        <v>1768</v>
      </c>
      <c r="P298">
        <v>7.2415071841464544E-6</v>
      </c>
      <c r="Q298" t="s">
        <v>254</v>
      </c>
      <c r="S298" t="s">
        <v>423</v>
      </c>
      <c r="T298" t="s">
        <v>1768</v>
      </c>
      <c r="U298">
        <v>7.4851182299046766E-6</v>
      </c>
      <c r="V298" t="s">
        <v>254</v>
      </c>
      <c r="X298">
        <v>1.1415525114155251E-4</v>
      </c>
      <c r="Y298">
        <v>2.9833677249334962E-5</v>
      </c>
      <c r="Z298" t="s">
        <v>1768</v>
      </c>
      <c r="AA298" t="s">
        <v>25</v>
      </c>
      <c r="AC298" t="s">
        <v>22</v>
      </c>
      <c r="AD298" t="s">
        <v>1768</v>
      </c>
      <c r="AE298">
        <v>8.6835490378086016E-5</v>
      </c>
      <c r="AG298" t="s">
        <v>97</v>
      </c>
      <c r="AH298" t="s">
        <v>1768</v>
      </c>
      <c r="AI298">
        <v>0</v>
      </c>
    </row>
    <row r="299" spans="5:35" x14ac:dyDescent="0.45">
      <c r="E299" t="s">
        <v>903</v>
      </c>
      <c r="G299" t="s">
        <v>162</v>
      </c>
      <c r="I299" t="s">
        <v>252</v>
      </c>
      <c r="J299" t="s">
        <v>1769</v>
      </c>
      <c r="K299">
        <v>0</v>
      </c>
      <c r="L299" t="s">
        <v>254</v>
      </c>
      <c r="N299" t="s">
        <v>422</v>
      </c>
      <c r="O299" t="s">
        <v>1769</v>
      </c>
      <c r="P299">
        <v>6.5465975254280781E-6</v>
      </c>
      <c r="Q299" t="s">
        <v>254</v>
      </c>
      <c r="S299" t="s">
        <v>423</v>
      </c>
      <c r="T299" t="s">
        <v>1769</v>
      </c>
      <c r="U299">
        <v>6.3973164948473426E-6</v>
      </c>
      <c r="V299" t="s">
        <v>254</v>
      </c>
      <c r="X299">
        <v>1.1415525114155251E-4</v>
      </c>
      <c r="Y299">
        <v>2.1546544680075254E-5</v>
      </c>
      <c r="Z299" t="s">
        <v>1769</v>
      </c>
      <c r="AA299" t="s">
        <v>25</v>
      </c>
      <c r="AC299" t="s">
        <v>22</v>
      </c>
      <c r="AD299" t="s">
        <v>1769</v>
      </c>
      <c r="AE299">
        <v>8.0481073272938177E-5</v>
      </c>
      <c r="AG299" t="s">
        <v>97</v>
      </c>
      <c r="AH299" t="s">
        <v>1769</v>
      </c>
      <c r="AI299">
        <v>0</v>
      </c>
    </row>
    <row r="300" spans="5:35" x14ac:dyDescent="0.45">
      <c r="E300" t="s">
        <v>904</v>
      </c>
      <c r="G300" t="s">
        <v>162</v>
      </c>
      <c r="I300" t="s">
        <v>252</v>
      </c>
      <c r="J300" t="s">
        <v>1770</v>
      </c>
      <c r="K300">
        <v>0</v>
      </c>
      <c r="L300" t="s">
        <v>254</v>
      </c>
      <c r="N300" t="s">
        <v>422</v>
      </c>
      <c r="O300" t="s">
        <v>1770</v>
      </c>
      <c r="P300">
        <v>5.9908280359525424E-6</v>
      </c>
      <c r="Q300" t="s">
        <v>254</v>
      </c>
      <c r="S300" t="s">
        <v>423</v>
      </c>
      <c r="T300" t="s">
        <v>1770</v>
      </c>
      <c r="U300">
        <v>5.4509111152336434E-6</v>
      </c>
      <c r="V300" t="s">
        <v>254</v>
      </c>
      <c r="X300">
        <v>1.1415525114155251E-4</v>
      </c>
      <c r="Y300">
        <v>1.4916838624667481E-5</v>
      </c>
      <c r="Z300" t="s">
        <v>1770</v>
      </c>
      <c r="AA300" t="s">
        <v>25</v>
      </c>
      <c r="AC300" t="s">
        <v>22</v>
      </c>
      <c r="AD300" t="s">
        <v>1770</v>
      </c>
      <c r="AE300">
        <v>7.9363616421851814E-5</v>
      </c>
      <c r="AG300" t="s">
        <v>97</v>
      </c>
      <c r="AH300" t="s">
        <v>1770</v>
      </c>
      <c r="AI300">
        <v>0</v>
      </c>
    </row>
    <row r="301" spans="5:35" x14ac:dyDescent="0.45">
      <c r="E301" t="s">
        <v>905</v>
      </c>
      <c r="G301" t="s">
        <v>162</v>
      </c>
      <c r="I301" t="s">
        <v>252</v>
      </c>
      <c r="J301" t="s">
        <v>1771</v>
      </c>
      <c r="K301">
        <v>0</v>
      </c>
      <c r="L301" t="s">
        <v>254</v>
      </c>
      <c r="N301" t="s">
        <v>422</v>
      </c>
      <c r="O301" t="s">
        <v>1771</v>
      </c>
      <c r="P301">
        <v>5.7893139285242011E-6</v>
      </c>
      <c r="Q301" t="s">
        <v>254</v>
      </c>
      <c r="S301" t="s">
        <v>423</v>
      </c>
      <c r="T301" t="s">
        <v>1771</v>
      </c>
      <c r="U301">
        <v>5.6112346327450883E-6</v>
      </c>
      <c r="V301" t="s">
        <v>254</v>
      </c>
      <c r="X301">
        <v>1.1415525114155251E-4</v>
      </c>
      <c r="Y301">
        <v>1.6574265138519424E-5</v>
      </c>
      <c r="Z301" t="s">
        <v>1771</v>
      </c>
      <c r="AA301" t="s">
        <v>25</v>
      </c>
      <c r="AC301" t="s">
        <v>22</v>
      </c>
      <c r="AD301" t="s">
        <v>1771</v>
      </c>
      <c r="AE301">
        <v>7.9015849529980543E-5</v>
      </c>
      <c r="AG301" t="s">
        <v>97</v>
      </c>
      <c r="AH301" t="s">
        <v>1771</v>
      </c>
      <c r="AI301">
        <v>0</v>
      </c>
    </row>
    <row r="302" spans="5:35" x14ac:dyDescent="0.45">
      <c r="E302" t="s">
        <v>906</v>
      </c>
      <c r="G302" t="s">
        <v>162</v>
      </c>
      <c r="I302" t="s">
        <v>252</v>
      </c>
      <c r="J302" t="s">
        <v>1772</v>
      </c>
      <c r="K302">
        <v>0</v>
      </c>
      <c r="L302" t="s">
        <v>254</v>
      </c>
      <c r="N302" t="s">
        <v>422</v>
      </c>
      <c r="O302" t="s">
        <v>1772</v>
      </c>
      <c r="P302">
        <v>7.516769882424297E-6</v>
      </c>
      <c r="Q302" t="s">
        <v>254</v>
      </c>
      <c r="S302" t="s">
        <v>423</v>
      </c>
      <c r="T302" t="s">
        <v>1772</v>
      </c>
      <c r="U302">
        <v>6.8279659838882077E-6</v>
      </c>
      <c r="V302" t="s">
        <v>254</v>
      </c>
      <c r="X302">
        <v>1.1415525114155251E-4</v>
      </c>
      <c r="Y302">
        <v>1.4585353321897093E-5</v>
      </c>
      <c r="Z302" t="s">
        <v>1772</v>
      </c>
      <c r="AA302" t="s">
        <v>25</v>
      </c>
      <c r="AC302" t="s">
        <v>22</v>
      </c>
      <c r="AD302" t="s">
        <v>1772</v>
      </c>
      <c r="AE302">
        <v>8.0048921767598126E-5</v>
      </c>
      <c r="AG302" t="s">
        <v>97</v>
      </c>
      <c r="AH302" t="s">
        <v>1772</v>
      </c>
      <c r="AI302">
        <v>0</v>
      </c>
    </row>
    <row r="303" spans="5:35" x14ac:dyDescent="0.45">
      <c r="E303" t="s">
        <v>907</v>
      </c>
      <c r="G303" t="s">
        <v>162</v>
      </c>
      <c r="I303" t="s">
        <v>252</v>
      </c>
      <c r="J303" t="s">
        <v>1773</v>
      </c>
      <c r="K303">
        <v>0</v>
      </c>
      <c r="L303" t="s">
        <v>254</v>
      </c>
      <c r="N303" t="s">
        <v>422</v>
      </c>
      <c r="O303" t="s">
        <v>1773</v>
      </c>
      <c r="P303">
        <v>1.1761435803374926E-5</v>
      </c>
      <c r="Q303" t="s">
        <v>254</v>
      </c>
      <c r="S303" t="s">
        <v>423</v>
      </c>
      <c r="T303" t="s">
        <v>1773</v>
      </c>
      <c r="U303">
        <v>9.4424239722726715E-6</v>
      </c>
      <c r="V303" t="s">
        <v>254</v>
      </c>
      <c r="X303">
        <v>1.1415525114155251E-4</v>
      </c>
      <c r="Y303">
        <v>2.1215059377304864E-5</v>
      </c>
      <c r="Z303" t="s">
        <v>1773</v>
      </c>
      <c r="AA303" t="s">
        <v>25</v>
      </c>
      <c r="AC303" t="s">
        <v>22</v>
      </c>
      <c r="AD303" t="s">
        <v>1773</v>
      </c>
      <c r="AE303">
        <v>8.6840604597084124E-5</v>
      </c>
      <c r="AG303" t="s">
        <v>97</v>
      </c>
      <c r="AH303" t="s">
        <v>1773</v>
      </c>
      <c r="AI303">
        <v>0</v>
      </c>
    </row>
    <row r="304" spans="5:35" x14ac:dyDescent="0.45">
      <c r="E304" t="s">
        <v>908</v>
      </c>
      <c r="G304" t="s">
        <v>162</v>
      </c>
      <c r="I304" t="s">
        <v>252</v>
      </c>
      <c r="J304" t="s">
        <v>1774</v>
      </c>
      <c r="K304">
        <v>0</v>
      </c>
      <c r="L304" t="s">
        <v>254</v>
      </c>
      <c r="N304" t="s">
        <v>422</v>
      </c>
      <c r="O304" t="s">
        <v>1774</v>
      </c>
      <c r="P304">
        <v>1.6964193704386738E-5</v>
      </c>
      <c r="Q304" t="s">
        <v>254</v>
      </c>
      <c r="S304" t="s">
        <v>423</v>
      </c>
      <c r="T304" t="s">
        <v>1774</v>
      </c>
      <c r="U304">
        <v>1.351053506427679E-5</v>
      </c>
      <c r="V304" t="s">
        <v>254</v>
      </c>
      <c r="X304">
        <v>1.1415525114155251E-4</v>
      </c>
      <c r="Y304">
        <v>5.7678442682047593E-5</v>
      </c>
      <c r="Z304" t="s">
        <v>1774</v>
      </c>
      <c r="AA304" t="s">
        <v>25</v>
      </c>
      <c r="AC304" t="s">
        <v>22</v>
      </c>
      <c r="AD304" t="s">
        <v>1774</v>
      </c>
      <c r="AE304">
        <v>1.0243385832231208E-4</v>
      </c>
      <c r="AG304" t="s">
        <v>97</v>
      </c>
      <c r="AH304" t="s">
        <v>1774</v>
      </c>
      <c r="AI304">
        <v>0</v>
      </c>
    </row>
    <row r="305" spans="5:35" x14ac:dyDescent="0.45">
      <c r="E305" t="s">
        <v>909</v>
      </c>
      <c r="G305" t="s">
        <v>162</v>
      </c>
      <c r="I305" t="s">
        <v>252</v>
      </c>
      <c r="J305" t="s">
        <v>1775</v>
      </c>
      <c r="K305">
        <v>7.6461013239153015E-7</v>
      </c>
      <c r="L305" t="s">
        <v>254</v>
      </c>
      <c r="N305" t="s">
        <v>422</v>
      </c>
      <c r="O305" t="s">
        <v>1775</v>
      </c>
      <c r="P305">
        <v>2.1216502270397079E-5</v>
      </c>
      <c r="Q305" t="s">
        <v>254</v>
      </c>
      <c r="S305" t="s">
        <v>423</v>
      </c>
      <c r="T305" t="s">
        <v>1775</v>
      </c>
      <c r="U305">
        <v>1.9003689606114529E-5</v>
      </c>
      <c r="V305" t="s">
        <v>254</v>
      </c>
      <c r="X305">
        <v>1.1415525114155251E-4</v>
      </c>
      <c r="Y305">
        <v>1.6905750441289813E-4</v>
      </c>
      <c r="Z305" t="s">
        <v>1775</v>
      </c>
      <c r="AA305" t="s">
        <v>25</v>
      </c>
      <c r="AC305" t="s">
        <v>22</v>
      </c>
      <c r="AD305" t="s">
        <v>1775</v>
      </c>
      <c r="AE305">
        <v>1.138769233305763E-4</v>
      </c>
      <c r="AG305" t="s">
        <v>97</v>
      </c>
      <c r="AH305" t="s">
        <v>1775</v>
      </c>
      <c r="AI305">
        <v>0</v>
      </c>
    </row>
    <row r="306" spans="5:35" x14ac:dyDescent="0.45">
      <c r="E306" t="s">
        <v>910</v>
      </c>
      <c r="G306" t="s">
        <v>162</v>
      </c>
      <c r="I306" t="s">
        <v>252</v>
      </c>
      <c r="J306" t="s">
        <v>1776</v>
      </c>
      <c r="K306">
        <v>1.009135909768E-4</v>
      </c>
      <c r="L306" t="s">
        <v>254</v>
      </c>
      <c r="N306" t="s">
        <v>422</v>
      </c>
      <c r="O306" t="s">
        <v>1776</v>
      </c>
      <c r="P306">
        <v>2.4429306384762853E-5</v>
      </c>
      <c r="Q306" t="s">
        <v>254</v>
      </c>
      <c r="S306" t="s">
        <v>423</v>
      </c>
      <c r="T306" t="s">
        <v>1776</v>
      </c>
      <c r="U306">
        <v>2.5017655562674181E-5</v>
      </c>
      <c r="V306" t="s">
        <v>254</v>
      </c>
      <c r="X306">
        <v>1.1415525114155251E-4</v>
      </c>
      <c r="Y306">
        <v>1.9060404909297337E-4</v>
      </c>
      <c r="Z306" t="s">
        <v>1776</v>
      </c>
      <c r="AA306" t="s">
        <v>25</v>
      </c>
      <c r="AC306" t="s">
        <v>22</v>
      </c>
      <c r="AD306" t="s">
        <v>1776</v>
      </c>
      <c r="AE306">
        <v>1.2197528911407859E-4</v>
      </c>
      <c r="AG306" t="s">
        <v>97</v>
      </c>
      <c r="AH306" t="s">
        <v>1776</v>
      </c>
      <c r="AI306">
        <v>0</v>
      </c>
    </row>
    <row r="307" spans="5:35" x14ac:dyDescent="0.45">
      <c r="E307" t="s">
        <v>911</v>
      </c>
      <c r="G307" t="s">
        <v>162</v>
      </c>
      <c r="I307" t="s">
        <v>252</v>
      </c>
      <c r="J307" t="s">
        <v>1777</v>
      </c>
      <c r="K307">
        <v>1.998997465845E-4</v>
      </c>
      <c r="L307" t="s">
        <v>254</v>
      </c>
      <c r="N307" t="s">
        <v>422</v>
      </c>
      <c r="O307" t="s">
        <v>1777</v>
      </c>
      <c r="P307">
        <v>2.6663150560824183E-5</v>
      </c>
      <c r="Q307" t="s">
        <v>254</v>
      </c>
      <c r="S307" t="s">
        <v>423</v>
      </c>
      <c r="T307" t="s">
        <v>1777</v>
      </c>
      <c r="U307">
        <v>3.0664463154036983E-5</v>
      </c>
      <c r="V307" t="s">
        <v>254</v>
      </c>
      <c r="X307">
        <v>1.1415525114155251E-4</v>
      </c>
      <c r="Y307">
        <v>1.4585353321897094E-4</v>
      </c>
      <c r="Z307" t="s">
        <v>1777</v>
      </c>
      <c r="AA307" t="s">
        <v>25</v>
      </c>
      <c r="AC307" t="s">
        <v>22</v>
      </c>
      <c r="AD307" t="s">
        <v>1777</v>
      </c>
      <c r="AE307">
        <v>1.2689005357125935E-4</v>
      </c>
      <c r="AG307" t="s">
        <v>97</v>
      </c>
      <c r="AH307" t="s">
        <v>1777</v>
      </c>
      <c r="AI307">
        <v>0</v>
      </c>
    </row>
    <row r="308" spans="5:35" x14ac:dyDescent="0.45">
      <c r="E308" t="s">
        <v>912</v>
      </c>
      <c r="G308" t="s">
        <v>162</v>
      </c>
      <c r="I308" t="s">
        <v>252</v>
      </c>
      <c r="J308" t="s">
        <v>1778</v>
      </c>
      <c r="K308">
        <v>2.7769479116099998E-4</v>
      </c>
      <c r="L308" t="s">
        <v>254</v>
      </c>
      <c r="N308" t="s">
        <v>422</v>
      </c>
      <c r="O308" t="s">
        <v>1778</v>
      </c>
      <c r="P308">
        <v>2.8497441274588696E-5</v>
      </c>
      <c r="Q308" t="s">
        <v>254</v>
      </c>
      <c r="S308" t="s">
        <v>423</v>
      </c>
      <c r="T308" t="s">
        <v>1778</v>
      </c>
      <c r="U308">
        <v>4.0407702513434383E-5</v>
      </c>
      <c r="V308" t="s">
        <v>254</v>
      </c>
      <c r="X308">
        <v>1.1415525114155251E-4</v>
      </c>
      <c r="Y308">
        <v>1.4452759200788939E-4</v>
      </c>
      <c r="Z308" t="s">
        <v>1778</v>
      </c>
      <c r="AA308" t="s">
        <v>25</v>
      </c>
      <c r="AC308" t="s">
        <v>22</v>
      </c>
      <c r="AD308" t="s">
        <v>1778</v>
      </c>
      <c r="AE308">
        <v>1.2730174820060696E-4</v>
      </c>
      <c r="AG308" t="s">
        <v>97</v>
      </c>
      <c r="AH308" t="s">
        <v>1778</v>
      </c>
      <c r="AI308">
        <v>0</v>
      </c>
    </row>
    <row r="309" spans="5:35" x14ac:dyDescent="0.45">
      <c r="E309" t="s">
        <v>913</v>
      </c>
      <c r="G309" t="s">
        <v>162</v>
      </c>
      <c r="I309" t="s">
        <v>252</v>
      </c>
      <c r="J309" t="s">
        <v>1779</v>
      </c>
      <c r="K309">
        <v>3.2818371928579999E-4</v>
      </c>
      <c r="L309" t="s">
        <v>254</v>
      </c>
      <c r="N309" t="s">
        <v>422</v>
      </c>
      <c r="O309" t="s">
        <v>1779</v>
      </c>
      <c r="P309">
        <v>3.4005115041141907E-5</v>
      </c>
      <c r="Q309" t="s">
        <v>254</v>
      </c>
      <c r="S309" t="s">
        <v>423</v>
      </c>
      <c r="T309" t="s">
        <v>1779</v>
      </c>
      <c r="U309">
        <v>5.4009004175972872E-5</v>
      </c>
      <c r="V309" t="s">
        <v>254</v>
      </c>
      <c r="X309">
        <v>1.1415525114155251E-4</v>
      </c>
      <c r="Y309">
        <v>1.408812536774151E-4</v>
      </c>
      <c r="Z309" t="s">
        <v>1779</v>
      </c>
      <c r="AA309" t="s">
        <v>25</v>
      </c>
      <c r="AC309" t="s">
        <v>22</v>
      </c>
      <c r="AD309" t="s">
        <v>1779</v>
      </c>
      <c r="AE309">
        <v>1.2746540320854636E-4</v>
      </c>
      <c r="AG309" t="s">
        <v>97</v>
      </c>
      <c r="AH309" t="s">
        <v>1779</v>
      </c>
      <c r="AI309">
        <v>0</v>
      </c>
    </row>
    <row r="310" spans="5:35" x14ac:dyDescent="0.45">
      <c r="E310" t="s">
        <v>914</v>
      </c>
      <c r="G310" t="s">
        <v>162</v>
      </c>
      <c r="I310" t="s">
        <v>252</v>
      </c>
      <c r="J310" t="s">
        <v>1780</v>
      </c>
      <c r="K310">
        <v>3.3283490820779999E-4</v>
      </c>
      <c r="L310" t="s">
        <v>254</v>
      </c>
      <c r="N310" t="s">
        <v>422</v>
      </c>
      <c r="O310" t="s">
        <v>1780</v>
      </c>
      <c r="P310">
        <v>3.1398306109353096E-5</v>
      </c>
      <c r="Q310" t="s">
        <v>254</v>
      </c>
      <c r="S310" t="s">
        <v>423</v>
      </c>
      <c r="T310" t="s">
        <v>1780</v>
      </c>
      <c r="U310">
        <v>5.8939007308703806E-5</v>
      </c>
      <c r="V310" t="s">
        <v>254</v>
      </c>
      <c r="X310">
        <v>1.1415525114155251E-4</v>
      </c>
      <c r="Y310">
        <v>1.4054976837464471E-4</v>
      </c>
      <c r="Z310" t="s">
        <v>1780</v>
      </c>
      <c r="AA310" t="s">
        <v>25</v>
      </c>
      <c r="AC310" t="s">
        <v>22</v>
      </c>
      <c r="AD310" t="s">
        <v>1780</v>
      </c>
      <c r="AE310">
        <v>1.2730174820060696E-4</v>
      </c>
      <c r="AG310" t="s">
        <v>97</v>
      </c>
      <c r="AH310" t="s">
        <v>1780</v>
      </c>
      <c r="AI310">
        <v>0</v>
      </c>
    </row>
    <row r="311" spans="5:35" x14ac:dyDescent="0.45">
      <c r="E311" t="s">
        <v>915</v>
      </c>
      <c r="G311" t="s">
        <v>162</v>
      </c>
      <c r="I311" t="s">
        <v>252</v>
      </c>
      <c r="J311" t="s">
        <v>1781</v>
      </c>
      <c r="K311">
        <v>3.1166572838520001E-4</v>
      </c>
      <c r="L311" t="s">
        <v>254</v>
      </c>
      <c r="N311" t="s">
        <v>422</v>
      </c>
      <c r="O311" t="s">
        <v>1781</v>
      </c>
      <c r="P311">
        <v>3.1875407593010804E-5</v>
      </c>
      <c r="Q311" t="s">
        <v>254</v>
      </c>
      <c r="S311" t="s">
        <v>423</v>
      </c>
      <c r="T311" t="s">
        <v>1781</v>
      </c>
      <c r="U311">
        <v>6.1508749523728451E-5</v>
      </c>
      <c r="V311" t="s">
        <v>254</v>
      </c>
      <c r="X311">
        <v>1.1415525114155251E-4</v>
      </c>
      <c r="Y311">
        <v>1.4253868019126702E-4</v>
      </c>
      <c r="Z311" t="s">
        <v>1781</v>
      </c>
      <c r="AA311" t="s">
        <v>25</v>
      </c>
      <c r="AC311" t="s">
        <v>22</v>
      </c>
      <c r="AD311" t="s">
        <v>1781</v>
      </c>
      <c r="AE311">
        <v>1.2730174820060696E-4</v>
      </c>
      <c r="AG311" t="s">
        <v>97</v>
      </c>
      <c r="AH311" t="s">
        <v>1781</v>
      </c>
      <c r="AI311">
        <v>0</v>
      </c>
    </row>
    <row r="312" spans="5:35" x14ac:dyDescent="0.45">
      <c r="E312" t="s">
        <v>916</v>
      </c>
      <c r="G312" t="s">
        <v>162</v>
      </c>
      <c r="I312" t="s">
        <v>252</v>
      </c>
      <c r="J312" t="s">
        <v>1782</v>
      </c>
      <c r="K312">
        <v>3.4049249825630001E-4</v>
      </c>
      <c r="L312" t="s">
        <v>254</v>
      </c>
      <c r="N312" t="s">
        <v>422</v>
      </c>
      <c r="O312" t="s">
        <v>1782</v>
      </c>
      <c r="P312">
        <v>3.220649945841594E-5</v>
      </c>
      <c r="Q312" t="s">
        <v>254</v>
      </c>
      <c r="S312" t="s">
        <v>423</v>
      </c>
      <c r="T312" t="s">
        <v>1782</v>
      </c>
      <c r="U312">
        <v>6.4523993904289618E-5</v>
      </c>
      <c r="V312" t="s">
        <v>254</v>
      </c>
      <c r="X312">
        <v>1.1415525114155251E-4</v>
      </c>
      <c r="Y312">
        <v>1.4883690094390442E-4</v>
      </c>
      <c r="Z312" t="s">
        <v>1782</v>
      </c>
      <c r="AA312" t="s">
        <v>25</v>
      </c>
      <c r="AC312" t="s">
        <v>22</v>
      </c>
      <c r="AD312" t="s">
        <v>1782</v>
      </c>
      <c r="AE312">
        <v>1.2663945684035209E-4</v>
      </c>
      <c r="AG312" t="s">
        <v>97</v>
      </c>
      <c r="AH312" t="s">
        <v>1782</v>
      </c>
      <c r="AI312">
        <v>0</v>
      </c>
    </row>
    <row r="313" spans="5:35" x14ac:dyDescent="0.45">
      <c r="E313" t="s">
        <v>917</v>
      </c>
      <c r="G313" t="s">
        <v>162</v>
      </c>
      <c r="I313" t="s">
        <v>252</v>
      </c>
      <c r="J313" t="s">
        <v>1783</v>
      </c>
      <c r="K313">
        <v>3.551001027068E-4</v>
      </c>
      <c r="L313" t="s">
        <v>254</v>
      </c>
      <c r="N313" t="s">
        <v>422</v>
      </c>
      <c r="O313" t="s">
        <v>1783</v>
      </c>
      <c r="P313">
        <v>3.2748350551368273E-5</v>
      </c>
      <c r="Q313" t="s">
        <v>254</v>
      </c>
      <c r="S313" t="s">
        <v>423</v>
      </c>
      <c r="T313" t="s">
        <v>1783</v>
      </c>
      <c r="U313">
        <v>6.7479226280149968E-5</v>
      </c>
      <c r="V313" t="s">
        <v>254</v>
      </c>
      <c r="X313">
        <v>1.1415525114155251E-4</v>
      </c>
      <c r="Y313">
        <v>1.5049432745775637E-4</v>
      </c>
      <c r="Z313" t="s">
        <v>1783</v>
      </c>
      <c r="AA313" t="s">
        <v>25</v>
      </c>
      <c r="AC313" t="s">
        <v>22</v>
      </c>
      <c r="AD313" t="s">
        <v>1783</v>
      </c>
      <c r="AE313">
        <v>1.2562428436922789E-4</v>
      </c>
      <c r="AG313" t="s">
        <v>97</v>
      </c>
      <c r="AH313" t="s">
        <v>1783</v>
      </c>
      <c r="AI313">
        <v>0</v>
      </c>
    </row>
    <row r="314" spans="5:35" x14ac:dyDescent="0.45">
      <c r="E314" t="s">
        <v>918</v>
      </c>
      <c r="G314" t="s">
        <v>162</v>
      </c>
      <c r="I314" t="s">
        <v>252</v>
      </c>
      <c r="J314" t="s">
        <v>1784</v>
      </c>
      <c r="K314">
        <v>3.4684196479180002E-4</v>
      </c>
      <c r="L314" t="s">
        <v>254</v>
      </c>
      <c r="N314" t="s">
        <v>422</v>
      </c>
      <c r="O314" t="s">
        <v>1784</v>
      </c>
      <c r="P314">
        <v>3.7138531190571851E-5</v>
      </c>
      <c r="Q314" t="s">
        <v>254</v>
      </c>
      <c r="S314" t="s">
        <v>423</v>
      </c>
      <c r="T314" t="s">
        <v>1784</v>
      </c>
      <c r="U314">
        <v>7.2985822655302217E-5</v>
      </c>
      <c r="V314" t="s">
        <v>254</v>
      </c>
      <c r="X314">
        <v>1.1415525114155251E-4</v>
      </c>
      <c r="Y314">
        <v>1.7237235744060203E-4</v>
      </c>
      <c r="Z314" t="s">
        <v>1784</v>
      </c>
      <c r="AA314" t="s">
        <v>25</v>
      </c>
      <c r="AC314" t="s">
        <v>22</v>
      </c>
      <c r="AD314" t="s">
        <v>1784</v>
      </c>
      <c r="AE314">
        <v>1.2562428436922786E-4</v>
      </c>
      <c r="AG314" t="s">
        <v>97</v>
      </c>
      <c r="AH314" t="s">
        <v>1784</v>
      </c>
      <c r="AI314">
        <v>0</v>
      </c>
    </row>
    <row r="315" spans="5:35" x14ac:dyDescent="0.45">
      <c r="E315" t="s">
        <v>919</v>
      </c>
      <c r="G315" t="s">
        <v>162</v>
      </c>
      <c r="I315" t="s">
        <v>252</v>
      </c>
      <c r="J315" t="s">
        <v>1785</v>
      </c>
      <c r="K315">
        <v>2.9682256914330001E-4</v>
      </c>
      <c r="L315" t="s">
        <v>254</v>
      </c>
      <c r="N315" t="s">
        <v>422</v>
      </c>
      <c r="O315" t="s">
        <v>1785</v>
      </c>
      <c r="P315">
        <v>4.726084368198602E-5</v>
      </c>
      <c r="Q315" t="s">
        <v>254</v>
      </c>
      <c r="S315" t="s">
        <v>423</v>
      </c>
      <c r="T315" t="s">
        <v>1785</v>
      </c>
      <c r="U315">
        <v>8.5294072553324202E-5</v>
      </c>
      <c r="V315" t="s">
        <v>254</v>
      </c>
      <c r="X315">
        <v>1.1415525114155251E-4</v>
      </c>
      <c r="Y315">
        <v>2.2209515285616027E-4</v>
      </c>
      <c r="Z315" t="s">
        <v>1785</v>
      </c>
      <c r="AA315" t="s">
        <v>25</v>
      </c>
      <c r="AC315" t="s">
        <v>22</v>
      </c>
      <c r="AD315" t="s">
        <v>1785</v>
      </c>
      <c r="AE315">
        <v>1.2502080652745126E-4</v>
      </c>
      <c r="AG315" t="s">
        <v>97</v>
      </c>
      <c r="AH315" t="s">
        <v>1785</v>
      </c>
      <c r="AI315">
        <v>0</v>
      </c>
    </row>
    <row r="316" spans="5:35" x14ac:dyDescent="0.45">
      <c r="E316" t="s">
        <v>920</v>
      </c>
      <c r="G316" t="s">
        <v>162</v>
      </c>
      <c r="I316" t="s">
        <v>252</v>
      </c>
      <c r="J316" t="s">
        <v>1786</v>
      </c>
      <c r="K316">
        <v>2.110949026611E-4</v>
      </c>
      <c r="L316" t="s">
        <v>254</v>
      </c>
      <c r="N316" t="s">
        <v>422</v>
      </c>
      <c r="O316" t="s">
        <v>1786</v>
      </c>
      <c r="P316">
        <v>6.2932058433336186E-5</v>
      </c>
      <c r="Q316" t="s">
        <v>254</v>
      </c>
      <c r="S316" t="s">
        <v>423</v>
      </c>
      <c r="T316" t="s">
        <v>1786</v>
      </c>
      <c r="U316">
        <v>9.8809830440859398E-5</v>
      </c>
      <c r="V316" t="s">
        <v>254</v>
      </c>
      <c r="X316">
        <v>1.1415525114155251E-4</v>
      </c>
      <c r="Y316">
        <v>2.2209515285616027E-4</v>
      </c>
      <c r="Z316" t="s">
        <v>1786</v>
      </c>
      <c r="AA316" t="s">
        <v>25</v>
      </c>
      <c r="AC316" t="s">
        <v>22</v>
      </c>
      <c r="AD316" t="s">
        <v>1786</v>
      </c>
      <c r="AE316">
        <v>1.2475231003005065E-4</v>
      </c>
      <c r="AG316" t="s">
        <v>97</v>
      </c>
      <c r="AH316" t="s">
        <v>1786</v>
      </c>
      <c r="AI316">
        <v>0</v>
      </c>
    </row>
    <row r="317" spans="5:35" x14ac:dyDescent="0.45">
      <c r="E317" t="s">
        <v>921</v>
      </c>
      <c r="G317" t="s">
        <v>162</v>
      </c>
      <c r="I317" t="s">
        <v>252</v>
      </c>
      <c r="J317" t="s">
        <v>1787</v>
      </c>
      <c r="K317">
        <v>7.9263931042365833E-5</v>
      </c>
      <c r="L317" t="s">
        <v>254</v>
      </c>
      <c r="N317" t="s">
        <v>422</v>
      </c>
      <c r="O317" t="s">
        <v>1787</v>
      </c>
      <c r="P317">
        <v>7.8884280984854686E-5</v>
      </c>
      <c r="Q317" t="s">
        <v>254</v>
      </c>
      <c r="S317" t="s">
        <v>423</v>
      </c>
      <c r="T317" t="s">
        <v>1787</v>
      </c>
      <c r="U317">
        <v>1.1481523262659999E-4</v>
      </c>
      <c r="V317" t="s">
        <v>254</v>
      </c>
      <c r="X317">
        <v>1.1415525114155251E-4</v>
      </c>
      <c r="Y317">
        <v>1.7237235744060203E-4</v>
      </c>
      <c r="Z317" t="s">
        <v>1787</v>
      </c>
      <c r="AA317" t="s">
        <v>25</v>
      </c>
      <c r="AC317" t="s">
        <v>22</v>
      </c>
      <c r="AD317" t="s">
        <v>1787</v>
      </c>
      <c r="AE317">
        <v>1.2384709326738574E-4</v>
      </c>
      <c r="AG317" t="s">
        <v>97</v>
      </c>
      <c r="AH317" t="s">
        <v>1787</v>
      </c>
      <c r="AI317">
        <v>0</v>
      </c>
    </row>
    <row r="318" spans="5:35" x14ac:dyDescent="0.45">
      <c r="E318" t="s">
        <v>922</v>
      </c>
      <c r="G318" t="s">
        <v>162</v>
      </c>
      <c r="I318" t="s">
        <v>252</v>
      </c>
      <c r="J318" t="s">
        <v>1788</v>
      </c>
      <c r="K318">
        <v>0</v>
      </c>
      <c r="L318" t="s">
        <v>254</v>
      </c>
      <c r="N318" t="s">
        <v>422</v>
      </c>
      <c r="O318" t="s">
        <v>1788</v>
      </c>
      <c r="P318">
        <v>9.3061359876350165E-5</v>
      </c>
      <c r="Q318" t="s">
        <v>254</v>
      </c>
      <c r="S318" t="s">
        <v>423</v>
      </c>
      <c r="T318" t="s">
        <v>1788</v>
      </c>
      <c r="U318">
        <v>1.2757026703099999E-4</v>
      </c>
      <c r="V318" t="s">
        <v>254</v>
      </c>
      <c r="X318">
        <v>1.1415525114155251E-4</v>
      </c>
      <c r="Y318">
        <v>1.5579809230208258E-4</v>
      </c>
      <c r="Z318" t="s">
        <v>1788</v>
      </c>
      <c r="AA318" t="s">
        <v>25</v>
      </c>
      <c r="AC318" t="s">
        <v>22</v>
      </c>
      <c r="AD318" t="s">
        <v>1788</v>
      </c>
      <c r="AE318">
        <v>1.2203665974205589E-4</v>
      </c>
      <c r="AG318" t="s">
        <v>97</v>
      </c>
      <c r="AH318" t="s">
        <v>1788</v>
      </c>
      <c r="AI318">
        <v>0</v>
      </c>
    </row>
    <row r="319" spans="5:35" x14ac:dyDescent="0.45">
      <c r="E319" t="s">
        <v>923</v>
      </c>
      <c r="G319" t="s">
        <v>162</v>
      </c>
      <c r="I319" t="s">
        <v>252</v>
      </c>
      <c r="J319" t="s">
        <v>1789</v>
      </c>
      <c r="K319">
        <v>0</v>
      </c>
      <c r="L319" t="s">
        <v>254</v>
      </c>
      <c r="N319" t="s">
        <v>422</v>
      </c>
      <c r="O319" t="s">
        <v>1789</v>
      </c>
      <c r="P319">
        <v>1.000759198759E-4</v>
      </c>
      <c r="Q319" t="s">
        <v>254</v>
      </c>
      <c r="S319" t="s">
        <v>423</v>
      </c>
      <c r="T319" t="s">
        <v>1789</v>
      </c>
      <c r="U319">
        <v>1.3554727008929999E-4</v>
      </c>
      <c r="V319" t="s">
        <v>254</v>
      </c>
      <c r="X319">
        <v>1.1415525114155251E-4</v>
      </c>
      <c r="Y319">
        <v>1.093901499142282E-4</v>
      </c>
      <c r="Z319" t="s">
        <v>1789</v>
      </c>
      <c r="AA319" t="s">
        <v>25</v>
      </c>
      <c r="AC319" t="s">
        <v>22</v>
      </c>
      <c r="AD319" t="s">
        <v>1789</v>
      </c>
      <c r="AE319">
        <v>1.1572059927939385E-4</v>
      </c>
      <c r="AG319" t="s">
        <v>97</v>
      </c>
      <c r="AH319" t="s">
        <v>1789</v>
      </c>
      <c r="AI319">
        <v>0</v>
      </c>
    </row>
    <row r="320" spans="5:35" x14ac:dyDescent="0.45">
      <c r="E320" t="s">
        <v>924</v>
      </c>
      <c r="G320" t="s">
        <v>162</v>
      </c>
      <c r="I320" t="s">
        <v>252</v>
      </c>
      <c r="J320" t="s">
        <v>1790</v>
      </c>
      <c r="K320">
        <v>0</v>
      </c>
      <c r="L320" t="s">
        <v>254</v>
      </c>
      <c r="N320" t="s">
        <v>422</v>
      </c>
      <c r="O320" t="s">
        <v>1790</v>
      </c>
      <c r="P320">
        <v>9.7339165025482399E-5</v>
      </c>
      <c r="Q320" t="s">
        <v>254</v>
      </c>
      <c r="S320" t="s">
        <v>423</v>
      </c>
      <c r="T320" t="s">
        <v>1790</v>
      </c>
      <c r="U320">
        <v>1.2506523622440001E-4</v>
      </c>
      <c r="V320" t="s">
        <v>254</v>
      </c>
      <c r="X320">
        <v>1.1415525114155251E-4</v>
      </c>
      <c r="Y320">
        <v>7.9556472664893237E-5</v>
      </c>
      <c r="Z320" t="s">
        <v>1790</v>
      </c>
      <c r="AA320" t="s">
        <v>25</v>
      </c>
      <c r="AC320" t="s">
        <v>22</v>
      </c>
      <c r="AD320" t="s">
        <v>1790</v>
      </c>
      <c r="AE320">
        <v>1.0917695607131603E-4</v>
      </c>
      <c r="AG320" t="s">
        <v>97</v>
      </c>
      <c r="AH320" t="s">
        <v>1790</v>
      </c>
      <c r="AI320">
        <v>0</v>
      </c>
    </row>
    <row r="321" spans="5:35" x14ac:dyDescent="0.45">
      <c r="E321" t="s">
        <v>925</v>
      </c>
      <c r="G321" t="s">
        <v>162</v>
      </c>
      <c r="I321" t="s">
        <v>252</v>
      </c>
      <c r="J321" t="s">
        <v>1791</v>
      </c>
      <c r="K321">
        <v>0</v>
      </c>
      <c r="L321" t="s">
        <v>254</v>
      </c>
      <c r="N321" t="s">
        <v>422</v>
      </c>
      <c r="O321" t="s">
        <v>1791</v>
      </c>
      <c r="P321">
        <v>1.1203844622650001E-4</v>
      </c>
      <c r="Q321" t="s">
        <v>254</v>
      </c>
      <c r="S321" t="s">
        <v>423</v>
      </c>
      <c r="T321" t="s">
        <v>1791</v>
      </c>
      <c r="U321">
        <v>1.316124437548E-4</v>
      </c>
      <c r="V321" t="s">
        <v>254</v>
      </c>
      <c r="X321">
        <v>1.1415525114155251E-4</v>
      </c>
      <c r="Y321">
        <v>5.6352501470966035E-5</v>
      </c>
      <c r="Z321" t="s">
        <v>1791</v>
      </c>
      <c r="AA321" t="s">
        <v>25</v>
      </c>
      <c r="AC321" t="s">
        <v>22</v>
      </c>
      <c r="AD321" t="s">
        <v>1791</v>
      </c>
      <c r="AE321">
        <v>9.4657688335690542E-5</v>
      </c>
      <c r="AG321" t="s">
        <v>97</v>
      </c>
      <c r="AH321" t="s">
        <v>1791</v>
      </c>
      <c r="AI321">
        <v>0</v>
      </c>
    </row>
    <row r="322" spans="5:35" x14ac:dyDescent="0.45">
      <c r="E322" t="s">
        <v>926</v>
      </c>
      <c r="G322" t="s">
        <v>162</v>
      </c>
      <c r="I322" t="s">
        <v>252</v>
      </c>
      <c r="J322" t="s">
        <v>1792</v>
      </c>
      <c r="K322">
        <v>0</v>
      </c>
      <c r="L322" t="s">
        <v>254</v>
      </c>
      <c r="N322" t="s">
        <v>422</v>
      </c>
      <c r="O322" t="s">
        <v>1792</v>
      </c>
      <c r="P322">
        <v>1.083131456562E-4</v>
      </c>
      <c r="Q322" t="s">
        <v>254</v>
      </c>
      <c r="S322" t="s">
        <v>423</v>
      </c>
      <c r="T322" t="s">
        <v>1792</v>
      </c>
      <c r="U322">
        <v>1.272182414965E-4</v>
      </c>
      <c r="V322" t="s">
        <v>254</v>
      </c>
      <c r="X322">
        <v>1.1415525114155251E-4</v>
      </c>
      <c r="Y322">
        <v>2.9833677249334962E-5</v>
      </c>
      <c r="Z322" t="s">
        <v>1792</v>
      </c>
      <c r="AA322" t="s">
        <v>25</v>
      </c>
      <c r="AC322" t="s">
        <v>22</v>
      </c>
      <c r="AD322" t="s">
        <v>1792</v>
      </c>
      <c r="AE322">
        <v>8.5835660563956108E-5</v>
      </c>
      <c r="AG322" t="s">
        <v>97</v>
      </c>
      <c r="AH322" t="s">
        <v>1792</v>
      </c>
      <c r="AI322">
        <v>0</v>
      </c>
    </row>
    <row r="323" spans="5:35" x14ac:dyDescent="0.45">
      <c r="E323" t="s">
        <v>219</v>
      </c>
      <c r="G323" t="s">
        <v>162</v>
      </c>
      <c r="I323" t="s">
        <v>252</v>
      </c>
      <c r="J323" t="s">
        <v>1793</v>
      </c>
      <c r="K323">
        <v>0</v>
      </c>
      <c r="L323" t="s">
        <v>254</v>
      </c>
      <c r="N323" t="s">
        <v>422</v>
      </c>
      <c r="O323" t="s">
        <v>1793</v>
      </c>
      <c r="P323">
        <v>1.071335383783E-4</v>
      </c>
      <c r="Q323" t="s">
        <v>254</v>
      </c>
      <c r="S323" t="s">
        <v>423</v>
      </c>
      <c r="T323" t="s">
        <v>1793</v>
      </c>
      <c r="U323">
        <v>1.2641892201620001E-4</v>
      </c>
      <c r="V323" t="s">
        <v>254</v>
      </c>
      <c r="X323">
        <v>1.1415525114155251E-4</v>
      </c>
      <c r="Y323">
        <v>2.1546544680075254E-5</v>
      </c>
      <c r="Z323" t="s">
        <v>1793</v>
      </c>
      <c r="AA323" t="s">
        <v>25</v>
      </c>
      <c r="AC323" t="s">
        <v>22</v>
      </c>
      <c r="AD323" t="s">
        <v>1793</v>
      </c>
      <c r="AE323">
        <v>8.0133306381066906E-5</v>
      </c>
      <c r="AG323" t="s">
        <v>97</v>
      </c>
      <c r="AH323" t="s">
        <v>1793</v>
      </c>
      <c r="AI323">
        <v>0</v>
      </c>
    </row>
    <row r="324" spans="5:35" x14ac:dyDescent="0.45">
      <c r="E324" t="s">
        <v>220</v>
      </c>
      <c r="G324" t="s">
        <v>162</v>
      </c>
      <c r="I324" t="s">
        <v>252</v>
      </c>
      <c r="J324" t="s">
        <v>1794</v>
      </c>
      <c r="K324">
        <v>0</v>
      </c>
      <c r="L324" t="s">
        <v>254</v>
      </c>
      <c r="N324" t="s">
        <v>422</v>
      </c>
      <c r="O324" t="s">
        <v>1794</v>
      </c>
      <c r="P324">
        <v>1.04498307565E-4</v>
      </c>
      <c r="Q324" t="s">
        <v>254</v>
      </c>
      <c r="S324" t="s">
        <v>423</v>
      </c>
      <c r="T324" t="s">
        <v>1794</v>
      </c>
      <c r="U324">
        <v>1.3888109352E-4</v>
      </c>
      <c r="V324" t="s">
        <v>254</v>
      </c>
      <c r="X324">
        <v>1.1415525114155251E-4</v>
      </c>
      <c r="Y324">
        <v>1.4916838624667481E-5</v>
      </c>
      <c r="Z324" t="s">
        <v>1794</v>
      </c>
      <c r="AA324" t="s">
        <v>25</v>
      </c>
      <c r="AC324" t="s">
        <v>22</v>
      </c>
      <c r="AD324" t="s">
        <v>1794</v>
      </c>
      <c r="AE324">
        <v>7.9015849529980543E-5</v>
      </c>
      <c r="AG324" t="s">
        <v>97</v>
      </c>
      <c r="AH324" t="s">
        <v>1794</v>
      </c>
      <c r="AI324">
        <v>0</v>
      </c>
    </row>
    <row r="325" spans="5:35" x14ac:dyDescent="0.45">
      <c r="E325" t="s">
        <v>221</v>
      </c>
      <c r="G325" t="s">
        <v>162</v>
      </c>
      <c r="I325" t="s">
        <v>252</v>
      </c>
      <c r="J325" t="s">
        <v>1795</v>
      </c>
      <c r="K325">
        <v>0</v>
      </c>
      <c r="L325" t="s">
        <v>254</v>
      </c>
      <c r="N325" t="s">
        <v>422</v>
      </c>
      <c r="O325" t="s">
        <v>1795</v>
      </c>
      <c r="P325">
        <v>1.019061677176E-4</v>
      </c>
      <c r="Q325" t="s">
        <v>254</v>
      </c>
      <c r="S325" t="s">
        <v>423</v>
      </c>
      <c r="T325" t="s">
        <v>1795</v>
      </c>
      <c r="U325">
        <v>1.4911176842149999E-4</v>
      </c>
      <c r="V325" t="s">
        <v>254</v>
      </c>
      <c r="X325">
        <v>1.1415525114155251E-4</v>
      </c>
      <c r="Y325">
        <v>1.6574265138519424E-5</v>
      </c>
      <c r="Z325" t="s">
        <v>1795</v>
      </c>
      <c r="AA325" t="s">
        <v>25</v>
      </c>
      <c r="AC325" t="s">
        <v>22</v>
      </c>
      <c r="AD325" t="s">
        <v>1795</v>
      </c>
      <c r="AE325">
        <v>7.9015849529980543E-5</v>
      </c>
      <c r="AG325" t="s">
        <v>97</v>
      </c>
      <c r="AH325" t="s">
        <v>1795</v>
      </c>
      <c r="AI325">
        <v>0</v>
      </c>
    </row>
    <row r="326" spans="5:35" x14ac:dyDescent="0.45">
      <c r="E326" t="s">
        <v>222</v>
      </c>
      <c r="G326" t="s">
        <v>162</v>
      </c>
      <c r="I326" t="s">
        <v>252</v>
      </c>
      <c r="J326" t="s">
        <v>1796</v>
      </c>
      <c r="K326">
        <v>0</v>
      </c>
      <c r="L326" t="s">
        <v>254</v>
      </c>
      <c r="N326" t="s">
        <v>422</v>
      </c>
      <c r="O326" t="s">
        <v>1796</v>
      </c>
      <c r="P326">
        <v>9.8320501895786521E-5</v>
      </c>
      <c r="Q326" t="s">
        <v>254</v>
      </c>
      <c r="S326" t="s">
        <v>423</v>
      </c>
      <c r="T326" t="s">
        <v>1796</v>
      </c>
      <c r="U326">
        <v>1.5405410026229999E-4</v>
      </c>
      <c r="V326" t="s">
        <v>254</v>
      </c>
      <c r="X326">
        <v>1.1415525114155251E-4</v>
      </c>
      <c r="Y326">
        <v>1.4585353321897093E-5</v>
      </c>
      <c r="Z326" t="s">
        <v>1796</v>
      </c>
      <c r="AA326" t="s">
        <v>25</v>
      </c>
      <c r="AC326" t="s">
        <v>22</v>
      </c>
      <c r="AD326" t="s">
        <v>1796</v>
      </c>
      <c r="AE326">
        <v>8.0048921767598139E-5</v>
      </c>
      <c r="AG326" t="s">
        <v>97</v>
      </c>
      <c r="AH326" t="s">
        <v>1796</v>
      </c>
      <c r="AI326">
        <v>0</v>
      </c>
    </row>
    <row r="327" spans="5:35" x14ac:dyDescent="0.45">
      <c r="E327" t="s">
        <v>223</v>
      </c>
      <c r="G327" t="s">
        <v>162</v>
      </c>
      <c r="I327" t="s">
        <v>252</v>
      </c>
      <c r="J327" t="s">
        <v>1797</v>
      </c>
      <c r="K327">
        <v>0</v>
      </c>
      <c r="L327" t="s">
        <v>254</v>
      </c>
      <c r="N327" t="s">
        <v>422</v>
      </c>
      <c r="O327" t="s">
        <v>1797</v>
      </c>
      <c r="P327">
        <v>1.018159269819E-4</v>
      </c>
      <c r="Q327" t="s">
        <v>254</v>
      </c>
      <c r="S327" t="s">
        <v>423</v>
      </c>
      <c r="T327" t="s">
        <v>1797</v>
      </c>
      <c r="U327">
        <v>1.596536522152E-4</v>
      </c>
      <c r="V327" t="s">
        <v>254</v>
      </c>
      <c r="X327">
        <v>1.1415525114155251E-4</v>
      </c>
      <c r="Y327">
        <v>2.1215059377304864E-5</v>
      </c>
      <c r="Z327" t="s">
        <v>1797</v>
      </c>
      <c r="AA327" t="s">
        <v>25</v>
      </c>
      <c r="AC327" t="s">
        <v>22</v>
      </c>
      <c r="AD327" t="s">
        <v>1797</v>
      </c>
      <c r="AE327">
        <v>8.6840604597084124E-5</v>
      </c>
      <c r="AG327" t="s">
        <v>97</v>
      </c>
      <c r="AH327" t="s">
        <v>1797</v>
      </c>
      <c r="AI327">
        <v>0</v>
      </c>
    </row>
    <row r="328" spans="5:35" x14ac:dyDescent="0.45">
      <c r="E328" t="s">
        <v>224</v>
      </c>
      <c r="G328" t="s">
        <v>162</v>
      </c>
      <c r="I328" t="s">
        <v>252</v>
      </c>
      <c r="J328" t="s">
        <v>1798</v>
      </c>
      <c r="K328">
        <v>0</v>
      </c>
      <c r="L328" t="s">
        <v>254</v>
      </c>
      <c r="N328" t="s">
        <v>422</v>
      </c>
      <c r="O328" t="s">
        <v>1798</v>
      </c>
      <c r="P328">
        <v>1.088462185812E-4</v>
      </c>
      <c r="Q328" t="s">
        <v>254</v>
      </c>
      <c r="S328" t="s">
        <v>423</v>
      </c>
      <c r="T328" t="s">
        <v>1798</v>
      </c>
      <c r="U328">
        <v>1.628887123762E-4</v>
      </c>
      <c r="V328" t="s">
        <v>254</v>
      </c>
      <c r="X328">
        <v>1.1415525114155251E-4</v>
      </c>
      <c r="Y328">
        <v>5.7678442682047593E-5</v>
      </c>
      <c r="Z328" t="s">
        <v>1798</v>
      </c>
      <c r="AA328" t="s">
        <v>25</v>
      </c>
      <c r="AC328" t="s">
        <v>22</v>
      </c>
      <c r="AD328" t="s">
        <v>1798</v>
      </c>
      <c r="AE328">
        <v>1.0243385832231208E-4</v>
      </c>
      <c r="AG328" t="s">
        <v>97</v>
      </c>
      <c r="AH328" t="s">
        <v>1798</v>
      </c>
      <c r="AI328">
        <v>0</v>
      </c>
    </row>
    <row r="329" spans="5:35" x14ac:dyDescent="0.45">
      <c r="E329" t="s">
        <v>225</v>
      </c>
      <c r="G329" t="s">
        <v>162</v>
      </c>
      <c r="I329" t="s">
        <v>252</v>
      </c>
      <c r="J329" t="s">
        <v>1799</v>
      </c>
      <c r="K329">
        <v>8.4797544773878865E-7</v>
      </c>
      <c r="L329" t="s">
        <v>254</v>
      </c>
      <c r="N329" t="s">
        <v>422</v>
      </c>
      <c r="O329" t="s">
        <v>1799</v>
      </c>
      <c r="P329">
        <v>1.1548074686999999E-4</v>
      </c>
      <c r="Q329" t="s">
        <v>254</v>
      </c>
      <c r="S329" t="s">
        <v>423</v>
      </c>
      <c r="T329" t="s">
        <v>1799</v>
      </c>
      <c r="U329">
        <v>1.6454467363189999E-4</v>
      </c>
      <c r="V329" t="s">
        <v>254</v>
      </c>
      <c r="X329">
        <v>1.1415525114155251E-4</v>
      </c>
      <c r="Y329">
        <v>1.6905750441289813E-4</v>
      </c>
      <c r="Z329" t="s">
        <v>1799</v>
      </c>
      <c r="AA329" t="s">
        <v>25</v>
      </c>
      <c r="AC329" t="s">
        <v>22</v>
      </c>
      <c r="AD329" t="s">
        <v>1799</v>
      </c>
      <c r="AE329">
        <v>1.1428350374092581E-4</v>
      </c>
      <c r="AG329" t="s">
        <v>97</v>
      </c>
      <c r="AH329" t="s">
        <v>1799</v>
      </c>
      <c r="AI329">
        <v>0</v>
      </c>
    </row>
    <row r="330" spans="5:35" x14ac:dyDescent="0.45">
      <c r="E330" t="s">
        <v>226</v>
      </c>
      <c r="G330" t="s">
        <v>162</v>
      </c>
      <c r="I330" t="s">
        <v>252</v>
      </c>
      <c r="J330" t="s">
        <v>1800</v>
      </c>
      <c r="K330">
        <v>1.3889502557930001E-4</v>
      </c>
      <c r="L330" t="s">
        <v>254</v>
      </c>
      <c r="N330" t="s">
        <v>422</v>
      </c>
      <c r="O330" t="s">
        <v>1800</v>
      </c>
      <c r="P330">
        <v>1.1894031504880001E-4</v>
      </c>
      <c r="Q330" t="s">
        <v>254</v>
      </c>
      <c r="S330" t="s">
        <v>423</v>
      </c>
      <c r="T330" t="s">
        <v>1800</v>
      </c>
      <c r="U330">
        <v>1.626004631412E-4</v>
      </c>
      <c r="V330" t="s">
        <v>254</v>
      </c>
      <c r="X330">
        <v>1.1415525114155251E-4</v>
      </c>
      <c r="Y330">
        <v>1.9060404909297337E-4</v>
      </c>
      <c r="Z330" t="s">
        <v>1800</v>
      </c>
      <c r="AA330" t="s">
        <v>25</v>
      </c>
      <c r="AC330" t="s">
        <v>22</v>
      </c>
      <c r="AD330" t="s">
        <v>1800</v>
      </c>
      <c r="AE330">
        <v>1.222591282684735E-4</v>
      </c>
      <c r="AG330" t="s">
        <v>97</v>
      </c>
      <c r="AH330" t="s">
        <v>1800</v>
      </c>
      <c r="AI330">
        <v>0</v>
      </c>
    </row>
    <row r="331" spans="5:35" x14ac:dyDescent="0.45">
      <c r="E331" t="s">
        <v>227</v>
      </c>
      <c r="G331" t="s">
        <v>162</v>
      </c>
      <c r="I331" t="s">
        <v>252</v>
      </c>
      <c r="J331" t="s">
        <v>1801</v>
      </c>
      <c r="K331">
        <v>2.435927418568E-4</v>
      </c>
      <c r="L331" t="s">
        <v>254</v>
      </c>
      <c r="N331" t="s">
        <v>422</v>
      </c>
      <c r="O331" t="s">
        <v>1801</v>
      </c>
      <c r="P331">
        <v>1.101384856097E-4</v>
      </c>
      <c r="Q331" t="s">
        <v>254</v>
      </c>
      <c r="S331" t="s">
        <v>423</v>
      </c>
      <c r="T331" t="s">
        <v>1801</v>
      </c>
      <c r="U331">
        <v>1.5978070968310001E-4</v>
      </c>
      <c r="V331" t="s">
        <v>254</v>
      </c>
      <c r="X331">
        <v>1.1415525114155251E-4</v>
      </c>
      <c r="Y331">
        <v>1.4585353321897094E-4</v>
      </c>
      <c r="Z331" t="s">
        <v>1801</v>
      </c>
      <c r="AA331" t="s">
        <v>25</v>
      </c>
      <c r="AC331" t="s">
        <v>22</v>
      </c>
      <c r="AD331" t="s">
        <v>1801</v>
      </c>
      <c r="AE331">
        <v>1.2727617710561639E-4</v>
      </c>
      <c r="AG331" t="s">
        <v>97</v>
      </c>
      <c r="AH331" t="s">
        <v>1801</v>
      </c>
      <c r="AI331">
        <v>0</v>
      </c>
    </row>
    <row r="332" spans="5:35" x14ac:dyDescent="0.45">
      <c r="E332" t="s">
        <v>228</v>
      </c>
      <c r="G332" t="s">
        <v>162</v>
      </c>
      <c r="I332" t="s">
        <v>252</v>
      </c>
      <c r="J332" t="s">
        <v>1802</v>
      </c>
      <c r="K332">
        <v>3.0361904117389999E-4</v>
      </c>
      <c r="L332" t="s">
        <v>254</v>
      </c>
      <c r="N332" t="s">
        <v>422</v>
      </c>
      <c r="O332" t="s">
        <v>1802</v>
      </c>
      <c r="P332">
        <v>9.330391400802432E-5</v>
      </c>
      <c r="Q332" t="s">
        <v>254</v>
      </c>
      <c r="S332" t="s">
        <v>423</v>
      </c>
      <c r="T332" t="s">
        <v>1802</v>
      </c>
      <c r="U332">
        <v>1.634705395139E-4</v>
      </c>
      <c r="V332" t="s">
        <v>254</v>
      </c>
      <c r="X332">
        <v>1.1415525114155251E-4</v>
      </c>
      <c r="Y332">
        <v>1.4452759200788939E-4</v>
      </c>
      <c r="Z332" t="s">
        <v>1802</v>
      </c>
      <c r="AA332" t="s">
        <v>25</v>
      </c>
      <c r="AC332" t="s">
        <v>22</v>
      </c>
      <c r="AD332" t="s">
        <v>1802</v>
      </c>
      <c r="AE332">
        <v>1.2751654539852744E-4</v>
      </c>
      <c r="AG332" t="s">
        <v>97</v>
      </c>
      <c r="AH332" t="s">
        <v>1802</v>
      </c>
      <c r="AI332">
        <v>0</v>
      </c>
    </row>
    <row r="333" spans="5:35" x14ac:dyDescent="0.45">
      <c r="E333" t="s">
        <v>229</v>
      </c>
      <c r="G333" t="s">
        <v>162</v>
      </c>
      <c r="I333" t="s">
        <v>252</v>
      </c>
      <c r="J333" t="s">
        <v>1803</v>
      </c>
      <c r="K333">
        <v>3.3466872310759999E-4</v>
      </c>
      <c r="L333" t="s">
        <v>254</v>
      </c>
      <c r="N333" t="s">
        <v>422</v>
      </c>
      <c r="O333" t="s">
        <v>1803</v>
      </c>
      <c r="P333">
        <v>9.3260499478123803E-5</v>
      </c>
      <c r="Q333" t="s">
        <v>254</v>
      </c>
      <c r="S333" t="s">
        <v>423</v>
      </c>
      <c r="T333" t="s">
        <v>1803</v>
      </c>
      <c r="U333">
        <v>1.6774756942160001E-4</v>
      </c>
      <c r="V333" t="s">
        <v>254</v>
      </c>
      <c r="X333">
        <v>1.1415525114155251E-4</v>
      </c>
      <c r="Y333">
        <v>1.408812536774151E-4</v>
      </c>
      <c r="Z333" t="s">
        <v>1803</v>
      </c>
      <c r="AA333" t="s">
        <v>25</v>
      </c>
      <c r="AC333" t="s">
        <v>22</v>
      </c>
      <c r="AD333" t="s">
        <v>1803</v>
      </c>
      <c r="AE333">
        <v>1.2730174820060693E-4</v>
      </c>
      <c r="AG333" t="s">
        <v>97</v>
      </c>
      <c r="AH333" t="s">
        <v>1803</v>
      </c>
      <c r="AI333">
        <v>0</v>
      </c>
    </row>
    <row r="334" spans="5:35" x14ac:dyDescent="0.45">
      <c r="E334" t="s">
        <v>230</v>
      </c>
      <c r="G334" t="s">
        <v>162</v>
      </c>
      <c r="I334" t="s">
        <v>252</v>
      </c>
      <c r="J334" t="s">
        <v>1804</v>
      </c>
      <c r="K334">
        <v>3.4195928593640002E-4</v>
      </c>
      <c r="L334" t="s">
        <v>254</v>
      </c>
      <c r="N334" t="s">
        <v>422</v>
      </c>
      <c r="O334" t="s">
        <v>1804</v>
      </c>
      <c r="P334">
        <v>1.0059331774930001E-4</v>
      </c>
      <c r="Q334" t="s">
        <v>254</v>
      </c>
      <c r="S334" t="s">
        <v>423</v>
      </c>
      <c r="T334" t="s">
        <v>1804</v>
      </c>
      <c r="U334">
        <v>1.709121774111E-4</v>
      </c>
      <c r="V334" t="s">
        <v>254</v>
      </c>
      <c r="X334">
        <v>1.1415525114155251E-4</v>
      </c>
      <c r="Y334">
        <v>1.4054976837464471E-4</v>
      </c>
      <c r="Z334" t="s">
        <v>1804</v>
      </c>
      <c r="AA334" t="s">
        <v>25</v>
      </c>
      <c r="AC334" t="s">
        <v>22</v>
      </c>
      <c r="AD334" t="s">
        <v>1804</v>
      </c>
      <c r="AE334">
        <v>1.2721224936814004E-4</v>
      </c>
      <c r="AG334" t="s">
        <v>97</v>
      </c>
      <c r="AH334" t="s">
        <v>1804</v>
      </c>
      <c r="AI334">
        <v>0</v>
      </c>
    </row>
    <row r="335" spans="5:35" x14ac:dyDescent="0.45">
      <c r="E335" t="s">
        <v>231</v>
      </c>
      <c r="G335" t="s">
        <v>162</v>
      </c>
      <c r="I335" t="s">
        <v>252</v>
      </c>
      <c r="J335" t="s">
        <v>1805</v>
      </c>
      <c r="K335">
        <v>3.119013636676E-4</v>
      </c>
      <c r="L335" t="s">
        <v>254</v>
      </c>
      <c r="N335" t="s">
        <v>422</v>
      </c>
      <c r="O335" t="s">
        <v>1805</v>
      </c>
      <c r="P335">
        <v>1.0332477759110001E-4</v>
      </c>
      <c r="Q335" t="s">
        <v>254</v>
      </c>
      <c r="S335" t="s">
        <v>423</v>
      </c>
      <c r="T335" t="s">
        <v>1805</v>
      </c>
      <c r="U335">
        <v>1.7194196068709999E-4</v>
      </c>
      <c r="V335" t="s">
        <v>254</v>
      </c>
      <c r="X335">
        <v>1.1415525114155251E-4</v>
      </c>
      <c r="Y335">
        <v>1.4253868019126702E-4</v>
      </c>
      <c r="Z335" t="s">
        <v>1805</v>
      </c>
      <c r="AA335" t="s">
        <v>25</v>
      </c>
      <c r="AC335" t="s">
        <v>22</v>
      </c>
      <c r="AD335" t="s">
        <v>1805</v>
      </c>
      <c r="AE335">
        <v>1.2730174820060696E-4</v>
      </c>
      <c r="AG335" t="s">
        <v>97</v>
      </c>
      <c r="AH335" t="s">
        <v>1805</v>
      </c>
      <c r="AI335">
        <v>0</v>
      </c>
    </row>
    <row r="336" spans="5:35" x14ac:dyDescent="0.45">
      <c r="E336" t="s">
        <v>232</v>
      </c>
      <c r="G336" t="s">
        <v>162</v>
      </c>
      <c r="I336" t="s">
        <v>252</v>
      </c>
      <c r="J336" t="s">
        <v>1806</v>
      </c>
      <c r="K336">
        <v>3.3729866533329999E-4</v>
      </c>
      <c r="L336" t="s">
        <v>254</v>
      </c>
      <c r="N336" t="s">
        <v>422</v>
      </c>
      <c r="O336" t="s">
        <v>1806</v>
      </c>
      <c r="P336">
        <v>1.020084348297E-4</v>
      </c>
      <c r="Q336" t="s">
        <v>254</v>
      </c>
      <c r="S336" t="s">
        <v>423</v>
      </c>
      <c r="T336" t="s">
        <v>1806</v>
      </c>
      <c r="U336">
        <v>1.7198932749120001E-4</v>
      </c>
      <c r="V336" t="s">
        <v>254</v>
      </c>
      <c r="X336">
        <v>1.1415525114155251E-4</v>
      </c>
      <c r="Y336">
        <v>1.4883690094390442E-4</v>
      </c>
      <c r="Z336" t="s">
        <v>1806</v>
      </c>
      <c r="AA336" t="s">
        <v>25</v>
      </c>
      <c r="AC336" t="s">
        <v>22</v>
      </c>
      <c r="AD336" t="s">
        <v>1806</v>
      </c>
      <c r="AE336">
        <v>1.2663945684035209E-4</v>
      </c>
      <c r="AG336" t="s">
        <v>97</v>
      </c>
      <c r="AH336" t="s">
        <v>1806</v>
      </c>
      <c r="AI336">
        <v>0</v>
      </c>
    </row>
    <row r="337" spans="5:35" x14ac:dyDescent="0.45">
      <c r="E337" t="s">
        <v>233</v>
      </c>
      <c r="G337" t="s">
        <v>162</v>
      </c>
      <c r="I337" t="s">
        <v>252</v>
      </c>
      <c r="J337" t="s">
        <v>1807</v>
      </c>
      <c r="K337">
        <v>3.5327146971289998E-4</v>
      </c>
      <c r="L337" t="s">
        <v>254</v>
      </c>
      <c r="N337" t="s">
        <v>422</v>
      </c>
      <c r="O337" t="s">
        <v>1807</v>
      </c>
      <c r="P337">
        <v>1.0201245796050001E-4</v>
      </c>
      <c r="Q337" t="s">
        <v>254</v>
      </c>
      <c r="S337" t="s">
        <v>423</v>
      </c>
      <c r="T337" t="s">
        <v>1807</v>
      </c>
      <c r="U337">
        <v>1.723201237181E-4</v>
      </c>
      <c r="V337" t="s">
        <v>254</v>
      </c>
      <c r="X337">
        <v>1.1415525114155251E-4</v>
      </c>
      <c r="Y337">
        <v>1.5049432745775637E-4</v>
      </c>
      <c r="Z337" t="s">
        <v>1807</v>
      </c>
      <c r="AA337" t="s">
        <v>25</v>
      </c>
      <c r="AC337" t="s">
        <v>22</v>
      </c>
      <c r="AD337" t="s">
        <v>1807</v>
      </c>
      <c r="AE337">
        <v>1.254197156093036E-4</v>
      </c>
      <c r="AG337" t="s">
        <v>97</v>
      </c>
      <c r="AH337" t="s">
        <v>1807</v>
      </c>
      <c r="AI337">
        <v>0</v>
      </c>
    </row>
    <row r="338" spans="5:35" x14ac:dyDescent="0.45">
      <c r="E338" t="s">
        <v>234</v>
      </c>
      <c r="G338" t="s">
        <v>162</v>
      </c>
      <c r="I338" t="s">
        <v>252</v>
      </c>
      <c r="J338" t="s">
        <v>1808</v>
      </c>
      <c r="K338">
        <v>3.277983348103E-4</v>
      </c>
      <c r="L338" t="s">
        <v>254</v>
      </c>
      <c r="N338" t="s">
        <v>422</v>
      </c>
      <c r="O338" t="s">
        <v>1808</v>
      </c>
      <c r="P338">
        <v>1.017163856031E-4</v>
      </c>
      <c r="Q338" t="s">
        <v>254</v>
      </c>
      <c r="S338" t="s">
        <v>423</v>
      </c>
      <c r="T338" t="s">
        <v>1808</v>
      </c>
      <c r="U338">
        <v>1.7150591957809999E-4</v>
      </c>
      <c r="V338" t="s">
        <v>254</v>
      </c>
      <c r="X338">
        <v>1.1415525114155251E-4</v>
      </c>
      <c r="Y338">
        <v>1.7237235744060203E-4</v>
      </c>
      <c r="Z338" t="s">
        <v>1808</v>
      </c>
      <c r="AA338" t="s">
        <v>25</v>
      </c>
      <c r="AC338" t="s">
        <v>22</v>
      </c>
      <c r="AD338" t="s">
        <v>1808</v>
      </c>
      <c r="AE338">
        <v>1.254197156093036E-4</v>
      </c>
      <c r="AG338" t="s">
        <v>97</v>
      </c>
      <c r="AH338" t="s">
        <v>1808</v>
      </c>
      <c r="AI338">
        <v>0</v>
      </c>
    </row>
    <row r="339" spans="5:35" x14ac:dyDescent="0.45">
      <c r="E339" t="s">
        <v>235</v>
      </c>
      <c r="G339" t="s">
        <v>162</v>
      </c>
      <c r="I339" t="s">
        <v>252</v>
      </c>
      <c r="J339" t="s">
        <v>1809</v>
      </c>
      <c r="K339">
        <v>2.4246450004890001E-4</v>
      </c>
      <c r="L339" t="s">
        <v>254</v>
      </c>
      <c r="N339" t="s">
        <v>422</v>
      </c>
      <c r="O339" t="s">
        <v>1809</v>
      </c>
      <c r="P339">
        <v>9.5118454750215125E-5</v>
      </c>
      <c r="Q339" t="s">
        <v>254</v>
      </c>
      <c r="S339" t="s">
        <v>423</v>
      </c>
      <c r="T339" t="s">
        <v>1809</v>
      </c>
      <c r="U339">
        <v>1.651636204473E-4</v>
      </c>
      <c r="V339" t="s">
        <v>254</v>
      </c>
      <c r="X339">
        <v>1.1415525114155251E-4</v>
      </c>
      <c r="Y339">
        <v>2.2209515285616027E-4</v>
      </c>
      <c r="Z339" t="s">
        <v>1809</v>
      </c>
      <c r="AA339" t="s">
        <v>25</v>
      </c>
      <c r="AC339" t="s">
        <v>22</v>
      </c>
      <c r="AD339" t="s">
        <v>1809</v>
      </c>
      <c r="AE339">
        <v>1.2502080652745126E-4</v>
      </c>
      <c r="AG339" t="s">
        <v>97</v>
      </c>
      <c r="AH339" t="s">
        <v>1809</v>
      </c>
      <c r="AI339">
        <v>0</v>
      </c>
    </row>
    <row r="340" spans="5:35" x14ac:dyDescent="0.45">
      <c r="E340" t="s">
        <v>236</v>
      </c>
      <c r="G340" t="s">
        <v>162</v>
      </c>
      <c r="I340" t="s">
        <v>252</v>
      </c>
      <c r="J340" t="s">
        <v>1810</v>
      </c>
      <c r="K340">
        <v>1.3585487063750001E-4</v>
      </c>
      <c r="L340" t="s">
        <v>254</v>
      </c>
      <c r="N340" t="s">
        <v>422</v>
      </c>
      <c r="O340" t="s">
        <v>1810</v>
      </c>
      <c r="P340">
        <v>9.9459358662985024E-5</v>
      </c>
      <c r="Q340" t="s">
        <v>254</v>
      </c>
      <c r="S340" t="s">
        <v>423</v>
      </c>
      <c r="T340" t="s">
        <v>1810</v>
      </c>
      <c r="U340">
        <v>1.5179196927230001E-4</v>
      </c>
      <c r="V340" t="s">
        <v>254</v>
      </c>
      <c r="X340">
        <v>1.1415525114155251E-4</v>
      </c>
      <c r="Y340">
        <v>2.2209515285616027E-4</v>
      </c>
      <c r="Z340" t="s">
        <v>1810</v>
      </c>
      <c r="AA340" t="s">
        <v>25</v>
      </c>
      <c r="AC340" t="s">
        <v>22</v>
      </c>
      <c r="AD340" t="s">
        <v>1810</v>
      </c>
      <c r="AE340">
        <v>1.2475231003005065E-4</v>
      </c>
      <c r="AG340" t="s">
        <v>97</v>
      </c>
      <c r="AH340" t="s">
        <v>1810</v>
      </c>
      <c r="AI340">
        <v>0</v>
      </c>
    </row>
    <row r="341" spans="5:35" x14ac:dyDescent="0.45">
      <c r="E341" t="s">
        <v>237</v>
      </c>
      <c r="G341" t="s">
        <v>162</v>
      </c>
      <c r="I341" t="s">
        <v>252</v>
      </c>
      <c r="J341" t="s">
        <v>1811</v>
      </c>
      <c r="K341">
        <v>9.2495864060063633E-6</v>
      </c>
      <c r="L341" t="s">
        <v>254</v>
      </c>
      <c r="N341" t="s">
        <v>422</v>
      </c>
      <c r="O341" t="s">
        <v>1811</v>
      </c>
      <c r="P341">
        <v>1.139310213964E-4</v>
      </c>
      <c r="Q341" t="s">
        <v>254</v>
      </c>
      <c r="S341" t="s">
        <v>423</v>
      </c>
      <c r="T341" t="s">
        <v>1811</v>
      </c>
      <c r="U341">
        <v>1.4049893455870001E-4</v>
      </c>
      <c r="V341" t="s">
        <v>254</v>
      </c>
      <c r="X341">
        <v>1.1415525114155251E-4</v>
      </c>
      <c r="Y341">
        <v>1.7237235744060203E-4</v>
      </c>
      <c r="Z341" t="s">
        <v>1811</v>
      </c>
      <c r="AA341" t="s">
        <v>25</v>
      </c>
      <c r="AC341" t="s">
        <v>22</v>
      </c>
      <c r="AD341" t="s">
        <v>1811</v>
      </c>
      <c r="AE341">
        <v>1.2384709326738574E-4</v>
      </c>
      <c r="AG341" t="s">
        <v>97</v>
      </c>
      <c r="AH341" t="s">
        <v>1811</v>
      </c>
      <c r="AI341">
        <v>0</v>
      </c>
    </row>
    <row r="342" spans="5:35" x14ac:dyDescent="0.45">
      <c r="E342" t="s">
        <v>238</v>
      </c>
      <c r="G342" t="s">
        <v>162</v>
      </c>
      <c r="I342" t="s">
        <v>252</v>
      </c>
      <c r="J342" t="s">
        <v>1812</v>
      </c>
      <c r="K342">
        <v>0</v>
      </c>
      <c r="L342" t="s">
        <v>254</v>
      </c>
      <c r="N342" t="s">
        <v>422</v>
      </c>
      <c r="O342" t="s">
        <v>1812</v>
      </c>
      <c r="P342">
        <v>1.193117447519E-4</v>
      </c>
      <c r="Q342" t="s">
        <v>254</v>
      </c>
      <c r="S342" t="s">
        <v>423</v>
      </c>
      <c r="T342" t="s">
        <v>1812</v>
      </c>
      <c r="U342">
        <v>1.320945387439E-4</v>
      </c>
      <c r="V342" t="s">
        <v>254</v>
      </c>
      <c r="X342">
        <v>1.1415525114155251E-4</v>
      </c>
      <c r="Y342">
        <v>1.5579809230208258E-4</v>
      </c>
      <c r="Z342" t="s">
        <v>1812</v>
      </c>
      <c r="AA342" t="s">
        <v>25</v>
      </c>
      <c r="AC342" t="s">
        <v>22</v>
      </c>
      <c r="AD342" t="s">
        <v>1812</v>
      </c>
      <c r="AE342">
        <v>1.2203665974205588E-4</v>
      </c>
      <c r="AG342" t="s">
        <v>97</v>
      </c>
      <c r="AH342" t="s">
        <v>1812</v>
      </c>
      <c r="AI342">
        <v>0</v>
      </c>
    </row>
    <row r="343" spans="5:35" x14ac:dyDescent="0.45">
      <c r="E343" t="s">
        <v>239</v>
      </c>
      <c r="G343" t="s">
        <v>162</v>
      </c>
      <c r="I343" t="s">
        <v>252</v>
      </c>
      <c r="J343" t="s">
        <v>1813</v>
      </c>
      <c r="K343">
        <v>0</v>
      </c>
      <c r="L343" t="s">
        <v>254</v>
      </c>
      <c r="N343" t="s">
        <v>422</v>
      </c>
      <c r="O343" t="s">
        <v>1813</v>
      </c>
      <c r="P343">
        <v>1.228062093821E-4</v>
      </c>
      <c r="Q343" t="s">
        <v>254</v>
      </c>
      <c r="S343" t="s">
        <v>423</v>
      </c>
      <c r="T343" t="s">
        <v>1813</v>
      </c>
      <c r="U343">
        <v>1.3105297801980001E-4</v>
      </c>
      <c r="V343" t="s">
        <v>254</v>
      </c>
      <c r="X343">
        <v>1.1415525114155251E-4</v>
      </c>
      <c r="Y343">
        <v>1.093901499142282E-4</v>
      </c>
      <c r="Z343" t="s">
        <v>1813</v>
      </c>
      <c r="AA343" t="s">
        <v>25</v>
      </c>
      <c r="AC343" t="s">
        <v>22</v>
      </c>
      <c r="AD343" t="s">
        <v>1813</v>
      </c>
      <c r="AE343">
        <v>1.160964943757547E-4</v>
      </c>
      <c r="AG343" t="s">
        <v>97</v>
      </c>
      <c r="AH343" t="s">
        <v>1813</v>
      </c>
      <c r="AI343">
        <v>0</v>
      </c>
    </row>
    <row r="344" spans="5:35" x14ac:dyDescent="0.45">
      <c r="E344" t="s">
        <v>240</v>
      </c>
      <c r="G344" t="s">
        <v>162</v>
      </c>
      <c r="I344" t="s">
        <v>252</v>
      </c>
      <c r="J344" t="s">
        <v>1814</v>
      </c>
      <c r="K344">
        <v>0</v>
      </c>
      <c r="L344" t="s">
        <v>254</v>
      </c>
      <c r="N344" t="s">
        <v>422</v>
      </c>
      <c r="O344" t="s">
        <v>1814</v>
      </c>
      <c r="P344">
        <v>1.2698004653549999E-4</v>
      </c>
      <c r="Q344" t="s">
        <v>254</v>
      </c>
      <c r="S344" t="s">
        <v>423</v>
      </c>
      <c r="T344" t="s">
        <v>1814</v>
      </c>
      <c r="U344">
        <v>1.3467880362149999E-4</v>
      </c>
      <c r="V344" t="s">
        <v>254</v>
      </c>
      <c r="X344">
        <v>1.1415525114155251E-4</v>
      </c>
      <c r="Y344">
        <v>7.9556472664893237E-5</v>
      </c>
      <c r="Z344" t="s">
        <v>1814</v>
      </c>
      <c r="AA344" t="s">
        <v>25</v>
      </c>
      <c r="AC344" t="s">
        <v>22</v>
      </c>
      <c r="AD344" t="s">
        <v>1814</v>
      </c>
      <c r="AE344">
        <v>1.0917695607131603E-4</v>
      </c>
      <c r="AG344" t="s">
        <v>97</v>
      </c>
      <c r="AH344" t="s">
        <v>1814</v>
      </c>
      <c r="AI344">
        <v>0</v>
      </c>
    </row>
    <row r="345" spans="5:35" x14ac:dyDescent="0.45">
      <c r="E345" t="s">
        <v>241</v>
      </c>
      <c r="G345" t="s">
        <v>162</v>
      </c>
      <c r="I345" t="s">
        <v>252</v>
      </c>
      <c r="J345" t="s">
        <v>1815</v>
      </c>
      <c r="K345">
        <v>0</v>
      </c>
      <c r="L345" t="s">
        <v>254</v>
      </c>
      <c r="N345" t="s">
        <v>422</v>
      </c>
      <c r="O345" t="s">
        <v>1815</v>
      </c>
      <c r="P345">
        <v>1.328116543053E-4</v>
      </c>
      <c r="Q345" t="s">
        <v>254</v>
      </c>
      <c r="S345" t="s">
        <v>423</v>
      </c>
      <c r="T345" t="s">
        <v>1815</v>
      </c>
      <c r="U345">
        <v>1.301730125542E-4</v>
      </c>
      <c r="V345" t="s">
        <v>254</v>
      </c>
      <c r="X345">
        <v>1.1415525114155251E-4</v>
      </c>
      <c r="Y345">
        <v>5.6352501470966035E-5</v>
      </c>
      <c r="Z345" t="s">
        <v>1815</v>
      </c>
      <c r="AA345" t="s">
        <v>25</v>
      </c>
      <c r="AC345" t="s">
        <v>22</v>
      </c>
      <c r="AD345" t="s">
        <v>1815</v>
      </c>
      <c r="AE345">
        <v>8.8543639523453707E-5</v>
      </c>
      <c r="AG345" t="s">
        <v>97</v>
      </c>
      <c r="AH345" t="s">
        <v>1815</v>
      </c>
      <c r="AI345">
        <v>0</v>
      </c>
    </row>
    <row r="346" spans="5:35" x14ac:dyDescent="0.45">
      <c r="E346" t="s">
        <v>242</v>
      </c>
      <c r="G346" t="s">
        <v>162</v>
      </c>
      <c r="I346" t="s">
        <v>252</v>
      </c>
      <c r="J346" t="s">
        <v>1816</v>
      </c>
      <c r="K346">
        <v>0</v>
      </c>
      <c r="L346" t="s">
        <v>254</v>
      </c>
      <c r="N346" t="s">
        <v>422</v>
      </c>
      <c r="O346" t="s">
        <v>1816</v>
      </c>
      <c r="P346">
        <v>1.297217410832E-4</v>
      </c>
      <c r="Q346" t="s">
        <v>254</v>
      </c>
      <c r="S346" t="s">
        <v>423</v>
      </c>
      <c r="T346" t="s">
        <v>1816</v>
      </c>
      <c r="U346">
        <v>1.2255029269009999E-4</v>
      </c>
      <c r="V346" t="s">
        <v>254</v>
      </c>
      <c r="X346">
        <v>1.1415525114155251E-4</v>
      </c>
      <c r="Y346">
        <v>2.9833677249334962E-5</v>
      </c>
      <c r="Z346" t="s">
        <v>1816</v>
      </c>
      <c r="AA346" t="s">
        <v>25</v>
      </c>
      <c r="AC346" t="s">
        <v>22</v>
      </c>
      <c r="AD346" t="s">
        <v>1816</v>
      </c>
      <c r="AE346">
        <v>7.962188448125621E-5</v>
      </c>
      <c r="AG346" t="s">
        <v>97</v>
      </c>
      <c r="AH346" t="s">
        <v>1816</v>
      </c>
      <c r="AI346">
        <v>0</v>
      </c>
    </row>
    <row r="347" spans="5:35" x14ac:dyDescent="0.45">
      <c r="E347" t="s">
        <v>243</v>
      </c>
      <c r="G347" t="s">
        <v>155</v>
      </c>
      <c r="I347" t="s">
        <v>252</v>
      </c>
      <c r="J347" t="s">
        <v>1817</v>
      </c>
      <c r="K347">
        <v>0</v>
      </c>
      <c r="L347" t="s">
        <v>254</v>
      </c>
      <c r="N347" t="s">
        <v>422</v>
      </c>
      <c r="O347" t="s">
        <v>1817</v>
      </c>
      <c r="P347">
        <v>1.4212094062790001E-4</v>
      </c>
      <c r="Q347" t="s">
        <v>254</v>
      </c>
      <c r="S347" t="s">
        <v>423</v>
      </c>
      <c r="T347" t="s">
        <v>1817</v>
      </c>
      <c r="U347">
        <v>1.1668565234459999E-4</v>
      </c>
      <c r="V347" t="s">
        <v>254</v>
      </c>
      <c r="X347">
        <v>1.1415525114155251E-4</v>
      </c>
      <c r="Y347">
        <v>2.1546544680075254E-5</v>
      </c>
      <c r="Z347" t="s">
        <v>1817</v>
      </c>
      <c r="AA347" t="s">
        <v>25</v>
      </c>
      <c r="AC347" t="s">
        <v>22</v>
      </c>
      <c r="AD347" t="s">
        <v>1817</v>
      </c>
      <c r="AE347">
        <v>7.3295595580597964E-5</v>
      </c>
      <c r="AG347" t="s">
        <v>97</v>
      </c>
      <c r="AH347" t="s">
        <v>1817</v>
      </c>
      <c r="AI347">
        <v>0</v>
      </c>
    </row>
    <row r="348" spans="5:35" x14ac:dyDescent="0.45">
      <c r="E348" t="s">
        <v>244</v>
      </c>
      <c r="G348" t="s">
        <v>155</v>
      </c>
      <c r="I348" t="s">
        <v>252</v>
      </c>
      <c r="J348" t="s">
        <v>1818</v>
      </c>
      <c r="K348">
        <v>0</v>
      </c>
      <c r="L348" t="s">
        <v>254</v>
      </c>
      <c r="N348" t="s">
        <v>422</v>
      </c>
      <c r="O348" t="s">
        <v>1818</v>
      </c>
      <c r="P348">
        <v>1.482360513427E-4</v>
      </c>
      <c r="Q348" t="s">
        <v>254</v>
      </c>
      <c r="S348" t="s">
        <v>423</v>
      </c>
      <c r="T348" t="s">
        <v>1818</v>
      </c>
      <c r="U348">
        <v>1.2381431134559999E-4</v>
      </c>
      <c r="V348" t="s">
        <v>254</v>
      </c>
      <c r="X348">
        <v>1.1415525114155251E-4</v>
      </c>
      <c r="Y348">
        <v>1.4916838624667481E-5</v>
      </c>
      <c r="Z348" t="s">
        <v>1818</v>
      </c>
      <c r="AA348" t="s">
        <v>25</v>
      </c>
      <c r="AC348" t="s">
        <v>22</v>
      </c>
      <c r="AD348" t="s">
        <v>1818</v>
      </c>
      <c r="AE348">
        <v>7.0411176065665655E-5</v>
      </c>
      <c r="AG348" t="s">
        <v>97</v>
      </c>
      <c r="AH348" t="s">
        <v>1818</v>
      </c>
      <c r="AI348">
        <v>0</v>
      </c>
    </row>
    <row r="349" spans="5:35" x14ac:dyDescent="0.45">
      <c r="E349" t="s">
        <v>245</v>
      </c>
      <c r="G349" t="s">
        <v>155</v>
      </c>
      <c r="I349" t="s">
        <v>252</v>
      </c>
      <c r="J349" t="s">
        <v>1819</v>
      </c>
      <c r="K349">
        <v>0</v>
      </c>
      <c r="L349" t="s">
        <v>254</v>
      </c>
      <c r="N349" t="s">
        <v>422</v>
      </c>
      <c r="O349" t="s">
        <v>1819</v>
      </c>
      <c r="P349">
        <v>1.4423250073500001E-4</v>
      </c>
      <c r="Q349" t="s">
        <v>254</v>
      </c>
      <c r="S349" t="s">
        <v>423</v>
      </c>
      <c r="T349" t="s">
        <v>1819</v>
      </c>
      <c r="U349">
        <v>1.2615012013929999E-4</v>
      </c>
      <c r="V349" t="s">
        <v>254</v>
      </c>
      <c r="X349">
        <v>1.1415525114155251E-4</v>
      </c>
      <c r="Y349">
        <v>1.6574265138519424E-5</v>
      </c>
      <c r="Z349" t="s">
        <v>1819</v>
      </c>
      <c r="AA349" t="s">
        <v>25</v>
      </c>
      <c r="AC349" t="s">
        <v>22</v>
      </c>
      <c r="AD349" t="s">
        <v>1819</v>
      </c>
      <c r="AE349">
        <v>7.0411176065665655E-5</v>
      </c>
      <c r="AG349" t="s">
        <v>97</v>
      </c>
      <c r="AH349" t="s">
        <v>1819</v>
      </c>
      <c r="AI349">
        <v>0</v>
      </c>
    </row>
    <row r="350" spans="5:35" x14ac:dyDescent="0.45">
      <c r="E350" t="s">
        <v>246</v>
      </c>
      <c r="G350" t="s">
        <v>155</v>
      </c>
      <c r="I350" t="s">
        <v>252</v>
      </c>
      <c r="J350" t="s">
        <v>1820</v>
      </c>
      <c r="K350">
        <v>0</v>
      </c>
      <c r="L350" t="s">
        <v>254</v>
      </c>
      <c r="N350" t="s">
        <v>422</v>
      </c>
      <c r="O350" t="s">
        <v>1820</v>
      </c>
      <c r="P350">
        <v>1.3258945894069999E-4</v>
      </c>
      <c r="Q350" t="s">
        <v>254</v>
      </c>
      <c r="S350" t="s">
        <v>423</v>
      </c>
      <c r="T350" t="s">
        <v>1820</v>
      </c>
      <c r="U350">
        <v>1.239902931921E-4</v>
      </c>
      <c r="V350" t="s">
        <v>254</v>
      </c>
      <c r="X350">
        <v>1.1415525114155251E-4</v>
      </c>
      <c r="Y350">
        <v>1.4585353321897093E-5</v>
      </c>
      <c r="Z350" t="s">
        <v>1820</v>
      </c>
      <c r="AA350" t="s">
        <v>25</v>
      </c>
      <c r="AC350" t="s">
        <v>22</v>
      </c>
      <c r="AD350" t="s">
        <v>1820</v>
      </c>
      <c r="AE350">
        <v>7.0608073497092783E-5</v>
      </c>
      <c r="AG350" t="s">
        <v>97</v>
      </c>
      <c r="AH350" t="s">
        <v>1820</v>
      </c>
      <c r="AI350">
        <v>0</v>
      </c>
    </row>
    <row r="351" spans="5:35" x14ac:dyDescent="0.45">
      <c r="E351" t="s">
        <v>247</v>
      </c>
      <c r="G351" t="s">
        <v>155</v>
      </c>
      <c r="I351" t="s">
        <v>252</v>
      </c>
      <c r="J351" t="s">
        <v>1821</v>
      </c>
      <c r="K351">
        <v>0</v>
      </c>
      <c r="L351" t="s">
        <v>254</v>
      </c>
      <c r="N351" t="s">
        <v>422</v>
      </c>
      <c r="O351" t="s">
        <v>1821</v>
      </c>
      <c r="P351">
        <v>1.2404840044920001E-4</v>
      </c>
      <c r="Q351" t="s">
        <v>254</v>
      </c>
      <c r="S351" t="s">
        <v>423</v>
      </c>
      <c r="T351" t="s">
        <v>1821</v>
      </c>
      <c r="U351">
        <v>1.150300962768E-4</v>
      </c>
      <c r="V351" t="s">
        <v>254</v>
      </c>
      <c r="X351">
        <v>1.1415525114155251E-4</v>
      </c>
      <c r="Y351">
        <v>2.1215059377304864E-5</v>
      </c>
      <c r="Z351" t="s">
        <v>1821</v>
      </c>
      <c r="AA351" t="s">
        <v>25</v>
      </c>
      <c r="AC351" t="s">
        <v>22</v>
      </c>
      <c r="AD351" t="s">
        <v>1821</v>
      </c>
      <c r="AE351">
        <v>7.0804970928519897E-5</v>
      </c>
      <c r="AG351" t="s">
        <v>97</v>
      </c>
      <c r="AH351" t="s">
        <v>1821</v>
      </c>
      <c r="AI351">
        <v>0</v>
      </c>
    </row>
    <row r="352" spans="5:35" x14ac:dyDescent="0.45">
      <c r="E352" t="s">
        <v>248</v>
      </c>
      <c r="G352" t="s">
        <v>155</v>
      </c>
      <c r="I352" t="s">
        <v>252</v>
      </c>
      <c r="J352" t="s">
        <v>1822</v>
      </c>
      <c r="K352">
        <v>0</v>
      </c>
      <c r="L352" t="s">
        <v>254</v>
      </c>
      <c r="N352" t="s">
        <v>422</v>
      </c>
      <c r="O352" t="s">
        <v>1822</v>
      </c>
      <c r="P352">
        <v>1.0833041358709999E-4</v>
      </c>
      <c r="Q352" t="s">
        <v>254</v>
      </c>
      <c r="S352" t="s">
        <v>423</v>
      </c>
      <c r="T352" t="s">
        <v>1822</v>
      </c>
      <c r="U352">
        <v>1.063954275297E-4</v>
      </c>
      <c r="V352" t="s">
        <v>254</v>
      </c>
      <c r="X352">
        <v>1.1415525114155251E-4</v>
      </c>
      <c r="Y352">
        <v>5.7678442682047593E-5</v>
      </c>
      <c r="Z352" t="s">
        <v>1822</v>
      </c>
      <c r="AA352" t="s">
        <v>25</v>
      </c>
      <c r="AC352" t="s">
        <v>22</v>
      </c>
      <c r="AD352" t="s">
        <v>1822</v>
      </c>
      <c r="AE352">
        <v>7.315495455815001E-5</v>
      </c>
      <c r="AG352" t="s">
        <v>97</v>
      </c>
      <c r="AH352" t="s">
        <v>1822</v>
      </c>
      <c r="AI352">
        <v>0</v>
      </c>
    </row>
    <row r="353" spans="5:35" x14ac:dyDescent="0.45">
      <c r="E353" t="s">
        <v>249</v>
      </c>
      <c r="G353" t="s">
        <v>155</v>
      </c>
      <c r="I353" t="s">
        <v>252</v>
      </c>
      <c r="J353" t="s">
        <v>1823</v>
      </c>
      <c r="K353">
        <v>9.4624061618080638E-7</v>
      </c>
      <c r="L353" t="s">
        <v>254</v>
      </c>
      <c r="N353" t="s">
        <v>422</v>
      </c>
      <c r="O353" t="s">
        <v>1823</v>
      </c>
      <c r="P353">
        <v>1.0019220132359999E-4</v>
      </c>
      <c r="Q353" t="s">
        <v>254</v>
      </c>
      <c r="S353" t="s">
        <v>423</v>
      </c>
      <c r="T353" t="s">
        <v>1823</v>
      </c>
      <c r="U353">
        <v>1.0141932447859999E-4</v>
      </c>
      <c r="V353" t="s">
        <v>254</v>
      </c>
      <c r="X353">
        <v>1.1415525114155251E-4</v>
      </c>
      <c r="Y353">
        <v>1.6905750441289813E-4</v>
      </c>
      <c r="Z353" t="s">
        <v>1823</v>
      </c>
      <c r="AA353" t="s">
        <v>25</v>
      </c>
      <c r="AC353" t="s">
        <v>22</v>
      </c>
      <c r="AD353" t="s">
        <v>1823</v>
      </c>
      <c r="AE353">
        <v>7.8662968419111165E-5</v>
      </c>
      <c r="AG353" t="s">
        <v>97</v>
      </c>
      <c r="AH353" t="s">
        <v>1823</v>
      </c>
      <c r="AI353">
        <v>0</v>
      </c>
    </row>
    <row r="354" spans="5:35" x14ac:dyDescent="0.45">
      <c r="E354" t="s">
        <v>250</v>
      </c>
      <c r="G354" t="s">
        <v>155</v>
      </c>
      <c r="I354" t="s">
        <v>252</v>
      </c>
      <c r="J354" t="s">
        <v>1824</v>
      </c>
      <c r="K354">
        <v>3.679150350043665E-5</v>
      </c>
      <c r="L354" t="s">
        <v>254</v>
      </c>
      <c r="N354" t="s">
        <v>422</v>
      </c>
      <c r="O354" t="s">
        <v>1824</v>
      </c>
      <c r="P354">
        <v>9.9727242547905442E-5</v>
      </c>
      <c r="Q354" t="s">
        <v>254</v>
      </c>
      <c r="S354" t="s">
        <v>423</v>
      </c>
      <c r="T354" t="s">
        <v>1824</v>
      </c>
      <c r="U354">
        <v>9.8805974464995566E-5</v>
      </c>
      <c r="V354" t="s">
        <v>254</v>
      </c>
      <c r="X354">
        <v>1.1415525114155251E-4</v>
      </c>
      <c r="Y354">
        <v>1.9060404909297337E-4</v>
      </c>
      <c r="Z354" t="s">
        <v>1824</v>
      </c>
      <c r="AA354" t="s">
        <v>25</v>
      </c>
      <c r="AC354" t="s">
        <v>22</v>
      </c>
      <c r="AD354" t="s">
        <v>1824</v>
      </c>
      <c r="AE354">
        <v>8.7144900627471477E-5</v>
      </c>
      <c r="AG354" t="s">
        <v>97</v>
      </c>
      <c r="AH354" t="s">
        <v>1824</v>
      </c>
      <c r="AI354">
        <v>0</v>
      </c>
    </row>
    <row r="355" spans="5:35" x14ac:dyDescent="0.45">
      <c r="I355" t="s">
        <v>252</v>
      </c>
      <c r="J355" t="s">
        <v>1825</v>
      </c>
      <c r="K355">
        <v>9.0185565472127366E-5</v>
      </c>
      <c r="L355" t="s">
        <v>254</v>
      </c>
      <c r="N355" t="s">
        <v>422</v>
      </c>
      <c r="O355" t="s">
        <v>1825</v>
      </c>
      <c r="P355">
        <v>9.4665317867627282E-5</v>
      </c>
      <c r="Q355" t="s">
        <v>254</v>
      </c>
      <c r="S355" t="s">
        <v>423</v>
      </c>
      <c r="T355" t="s">
        <v>1825</v>
      </c>
      <c r="U355">
        <v>1.070337758897E-4</v>
      </c>
      <c r="V355" t="s">
        <v>254</v>
      </c>
      <c r="X355">
        <v>1.1415525114155251E-4</v>
      </c>
      <c r="Y355">
        <v>1.4585353321897094E-4</v>
      </c>
      <c r="Z355" t="s">
        <v>1825</v>
      </c>
      <c r="AA355" t="s">
        <v>25</v>
      </c>
      <c r="AC355" t="s">
        <v>22</v>
      </c>
      <c r="AD355" t="s">
        <v>1825</v>
      </c>
      <c r="AE355">
        <v>9.6327480838572437E-5</v>
      </c>
      <c r="AG355" t="s">
        <v>97</v>
      </c>
      <c r="AH355" t="s">
        <v>1825</v>
      </c>
      <c r="AI355">
        <v>0</v>
      </c>
    </row>
    <row r="356" spans="5:35" x14ac:dyDescent="0.45">
      <c r="I356" t="s">
        <v>252</v>
      </c>
      <c r="J356" t="s">
        <v>1826</v>
      </c>
      <c r="K356">
        <v>1.5494036887340001E-4</v>
      </c>
      <c r="L356" t="s">
        <v>254</v>
      </c>
      <c r="N356" t="s">
        <v>422</v>
      </c>
      <c r="O356" t="s">
        <v>1826</v>
      </c>
      <c r="P356">
        <v>9.4470342943849718E-5</v>
      </c>
      <c r="Q356" t="s">
        <v>254</v>
      </c>
      <c r="S356" t="s">
        <v>423</v>
      </c>
      <c r="T356" t="s">
        <v>1826</v>
      </c>
      <c r="U356">
        <v>1.069869857311E-4</v>
      </c>
      <c r="V356" t="s">
        <v>254</v>
      </c>
      <c r="X356">
        <v>1.1415525114155251E-4</v>
      </c>
      <c r="Y356">
        <v>1.4452759200788939E-4</v>
      </c>
      <c r="Z356" t="s">
        <v>1826</v>
      </c>
      <c r="AA356" t="s">
        <v>25</v>
      </c>
      <c r="AC356" t="s">
        <v>22</v>
      </c>
      <c r="AD356" t="s">
        <v>1826</v>
      </c>
      <c r="AE356">
        <v>9.9020117141075727E-5</v>
      </c>
      <c r="AG356" t="s">
        <v>97</v>
      </c>
      <c r="AH356" t="s">
        <v>1826</v>
      </c>
      <c r="AI356">
        <v>0</v>
      </c>
    </row>
    <row r="357" spans="5:35" x14ac:dyDescent="0.45">
      <c r="I357" t="s">
        <v>252</v>
      </c>
      <c r="J357" t="s">
        <v>1827</v>
      </c>
      <c r="K357">
        <v>1.902721953692E-4</v>
      </c>
      <c r="L357" t="s">
        <v>254</v>
      </c>
      <c r="N357" t="s">
        <v>422</v>
      </c>
      <c r="O357" t="s">
        <v>1827</v>
      </c>
      <c r="P357">
        <v>1.354378784451E-4</v>
      </c>
      <c r="Q357" t="s">
        <v>254</v>
      </c>
      <c r="S357" t="s">
        <v>423</v>
      </c>
      <c r="T357" t="s">
        <v>1827</v>
      </c>
      <c r="U357">
        <v>1.2787482306480001E-4</v>
      </c>
      <c r="V357" t="s">
        <v>254</v>
      </c>
      <c r="X357">
        <v>1.1415525114155251E-4</v>
      </c>
      <c r="Y357">
        <v>1.408812536774151E-4</v>
      </c>
      <c r="Z357" t="s">
        <v>1827</v>
      </c>
      <c r="AA357" t="s">
        <v>25</v>
      </c>
      <c r="AC357" t="s">
        <v>22</v>
      </c>
      <c r="AD357" t="s">
        <v>1827</v>
      </c>
      <c r="AE357">
        <v>9.9020117141075727E-5</v>
      </c>
      <c r="AG357" t="s">
        <v>97</v>
      </c>
      <c r="AH357" t="s">
        <v>1827</v>
      </c>
      <c r="AI357">
        <v>0</v>
      </c>
    </row>
    <row r="358" spans="5:35" x14ac:dyDescent="0.45">
      <c r="I358" t="s">
        <v>252</v>
      </c>
      <c r="J358" t="s">
        <v>1828</v>
      </c>
      <c r="K358">
        <v>2.2842224607110001E-4</v>
      </c>
      <c r="L358" t="s">
        <v>254</v>
      </c>
      <c r="N358" t="s">
        <v>422</v>
      </c>
      <c r="O358" t="s">
        <v>1828</v>
      </c>
      <c r="P358">
        <v>1.158191778527E-4</v>
      </c>
      <c r="Q358" t="s">
        <v>254</v>
      </c>
      <c r="S358" t="s">
        <v>423</v>
      </c>
      <c r="T358" t="s">
        <v>1828</v>
      </c>
      <c r="U358">
        <v>1.2306425635749999E-4</v>
      </c>
      <c r="V358" t="s">
        <v>254</v>
      </c>
      <c r="X358">
        <v>1.1415525114155251E-4</v>
      </c>
      <c r="Y358">
        <v>1.4054976837464471E-4</v>
      </c>
      <c r="Z358" t="s">
        <v>1828</v>
      </c>
      <c r="AA358" t="s">
        <v>25</v>
      </c>
      <c r="AC358" t="s">
        <v>22</v>
      </c>
      <c r="AD358" t="s">
        <v>1828</v>
      </c>
      <c r="AE358">
        <v>9.8938289637106014E-5</v>
      </c>
      <c r="AG358" t="s">
        <v>97</v>
      </c>
      <c r="AH358" t="s">
        <v>1828</v>
      </c>
      <c r="AI358">
        <v>0</v>
      </c>
    </row>
    <row r="359" spans="5:35" x14ac:dyDescent="0.45">
      <c r="I359" t="s">
        <v>252</v>
      </c>
      <c r="J359" t="s">
        <v>1829</v>
      </c>
      <c r="K359">
        <v>2.382628215116E-4</v>
      </c>
      <c r="L359" t="s">
        <v>254</v>
      </c>
      <c r="N359" t="s">
        <v>422</v>
      </c>
      <c r="O359" t="s">
        <v>1829</v>
      </c>
      <c r="P359">
        <v>8.6896438255563556E-5</v>
      </c>
      <c r="Q359" t="s">
        <v>254</v>
      </c>
      <c r="S359" t="s">
        <v>423</v>
      </c>
      <c r="T359" t="s">
        <v>1829</v>
      </c>
      <c r="U359">
        <v>9.6706820759510559E-5</v>
      </c>
      <c r="V359" t="s">
        <v>254</v>
      </c>
      <c r="X359">
        <v>1.1415525114155251E-4</v>
      </c>
      <c r="Y359">
        <v>1.4253868019126702E-4</v>
      </c>
      <c r="Z359" t="s">
        <v>1829</v>
      </c>
      <c r="AA359" t="s">
        <v>25</v>
      </c>
      <c r="AC359" t="s">
        <v>22</v>
      </c>
      <c r="AD359" t="s">
        <v>1829</v>
      </c>
      <c r="AE359">
        <v>9.8501023912767882E-5</v>
      </c>
      <c r="AG359" t="s">
        <v>97</v>
      </c>
      <c r="AH359" t="s">
        <v>1829</v>
      </c>
      <c r="AI359">
        <v>0</v>
      </c>
    </row>
    <row r="360" spans="5:35" x14ac:dyDescent="0.45">
      <c r="I360" t="s">
        <v>252</v>
      </c>
      <c r="J360" t="s">
        <v>1830</v>
      </c>
      <c r="K360">
        <v>2.5182026176849998E-4</v>
      </c>
      <c r="L360" t="s">
        <v>254</v>
      </c>
      <c r="N360" t="s">
        <v>422</v>
      </c>
      <c r="O360" t="s">
        <v>1830</v>
      </c>
      <c r="P360">
        <v>6.9530287828403073E-5</v>
      </c>
      <c r="Q360" t="s">
        <v>254</v>
      </c>
      <c r="S360" t="s">
        <v>423</v>
      </c>
      <c r="T360" t="s">
        <v>1830</v>
      </c>
      <c r="U360">
        <v>8.4865926288958264E-5</v>
      </c>
      <c r="V360" t="s">
        <v>254</v>
      </c>
      <c r="X360">
        <v>1.1415525114155251E-4</v>
      </c>
      <c r="Y360">
        <v>1.4883690094390442E-4</v>
      </c>
      <c r="Z360" t="s">
        <v>1830</v>
      </c>
      <c r="AA360" t="s">
        <v>25</v>
      </c>
      <c r="AC360" t="s">
        <v>22</v>
      </c>
      <c r="AD360" t="s">
        <v>1830</v>
      </c>
      <c r="AE360">
        <v>9.7828504114516826E-5</v>
      </c>
      <c r="AG360" t="s">
        <v>97</v>
      </c>
      <c r="AH360" t="s">
        <v>1830</v>
      </c>
      <c r="AI360">
        <v>0</v>
      </c>
    </row>
    <row r="361" spans="5:35" x14ac:dyDescent="0.45">
      <c r="I361" t="s">
        <v>252</v>
      </c>
      <c r="J361" t="s">
        <v>1831</v>
      </c>
      <c r="K361">
        <v>2.3888029628310001E-4</v>
      </c>
      <c r="L361" t="s">
        <v>254</v>
      </c>
      <c r="N361" t="s">
        <v>422</v>
      </c>
      <c r="O361" t="s">
        <v>1831</v>
      </c>
      <c r="P361">
        <v>6.5706080009362306E-5</v>
      </c>
      <c r="Q361" t="s">
        <v>254</v>
      </c>
      <c r="S361" t="s">
        <v>423</v>
      </c>
      <c r="T361" t="s">
        <v>1831</v>
      </c>
      <c r="U361">
        <v>8.1239632965796353E-5</v>
      </c>
      <c r="V361" t="s">
        <v>254</v>
      </c>
      <c r="X361">
        <v>1.1415525114155251E-4</v>
      </c>
      <c r="Y361">
        <v>1.5049432745775637E-4</v>
      </c>
      <c r="Z361" t="s">
        <v>1831</v>
      </c>
      <c r="AA361" t="s">
        <v>25</v>
      </c>
      <c r="AC361" t="s">
        <v>22</v>
      </c>
      <c r="AD361" t="s">
        <v>1831</v>
      </c>
      <c r="AE361">
        <v>9.7306853776709914E-5</v>
      </c>
      <c r="AG361" t="s">
        <v>97</v>
      </c>
      <c r="AH361" t="s">
        <v>1831</v>
      </c>
      <c r="AI361">
        <v>0</v>
      </c>
    </row>
    <row r="362" spans="5:35" x14ac:dyDescent="0.45">
      <c r="I362" t="s">
        <v>252</v>
      </c>
      <c r="J362" t="s">
        <v>1832</v>
      </c>
      <c r="K362">
        <v>1.899092404017E-4</v>
      </c>
      <c r="L362" t="s">
        <v>254</v>
      </c>
      <c r="N362" t="s">
        <v>422</v>
      </c>
      <c r="O362" t="s">
        <v>1832</v>
      </c>
      <c r="P362">
        <v>7.0745081395918991E-5</v>
      </c>
      <c r="Q362" t="s">
        <v>254</v>
      </c>
      <c r="S362" t="s">
        <v>423</v>
      </c>
      <c r="T362" t="s">
        <v>1832</v>
      </c>
      <c r="U362">
        <v>8.3090248894324102E-5</v>
      </c>
      <c r="V362" t="s">
        <v>254</v>
      </c>
      <c r="X362">
        <v>1.1415525114155251E-4</v>
      </c>
      <c r="Y362">
        <v>1.7237235744060203E-4</v>
      </c>
      <c r="Z362" t="s">
        <v>1832</v>
      </c>
      <c r="AA362" t="s">
        <v>25</v>
      </c>
      <c r="AC362" t="s">
        <v>22</v>
      </c>
      <c r="AD362" t="s">
        <v>1832</v>
      </c>
      <c r="AE362">
        <v>9.7306853776709914E-5</v>
      </c>
      <c r="AG362" t="s">
        <v>97</v>
      </c>
      <c r="AH362" t="s">
        <v>1832</v>
      </c>
      <c r="AI362">
        <v>0</v>
      </c>
    </row>
    <row r="363" spans="5:35" x14ac:dyDescent="0.45">
      <c r="I363" t="s">
        <v>252</v>
      </c>
      <c r="J363" t="s">
        <v>1833</v>
      </c>
      <c r="K363">
        <v>1.2657098718349999E-4</v>
      </c>
      <c r="L363" t="s">
        <v>254</v>
      </c>
      <c r="N363" t="s">
        <v>422</v>
      </c>
      <c r="O363" t="s">
        <v>1833</v>
      </c>
      <c r="P363">
        <v>8.5926668818101925E-5</v>
      </c>
      <c r="Q363" t="s">
        <v>254</v>
      </c>
      <c r="S363" t="s">
        <v>423</v>
      </c>
      <c r="T363" t="s">
        <v>1833</v>
      </c>
      <c r="U363">
        <v>8.9615450869514265E-5</v>
      </c>
      <c r="V363" t="s">
        <v>254</v>
      </c>
      <c r="X363">
        <v>1.1415525114155251E-4</v>
      </c>
      <c r="Y363">
        <v>2.2209515285616027E-4</v>
      </c>
      <c r="Z363" t="s">
        <v>1833</v>
      </c>
      <c r="AA363" t="s">
        <v>25</v>
      </c>
      <c r="AC363" t="s">
        <v>22</v>
      </c>
      <c r="AD363" t="s">
        <v>1833</v>
      </c>
      <c r="AE363">
        <v>9.6803103205396365E-5</v>
      </c>
      <c r="AG363" t="s">
        <v>97</v>
      </c>
      <c r="AH363" t="s">
        <v>1833</v>
      </c>
      <c r="AI363">
        <v>0</v>
      </c>
    </row>
    <row r="364" spans="5:35" x14ac:dyDescent="0.45">
      <c r="I364" t="s">
        <v>252</v>
      </c>
      <c r="J364" t="s">
        <v>1834</v>
      </c>
      <c r="K364">
        <v>7.3395738468633802E-5</v>
      </c>
      <c r="L364" t="s">
        <v>254</v>
      </c>
      <c r="N364" t="s">
        <v>422</v>
      </c>
      <c r="O364" t="s">
        <v>1834</v>
      </c>
      <c r="P364">
        <v>9.4116445085707715E-5</v>
      </c>
      <c r="Q364" t="s">
        <v>254</v>
      </c>
      <c r="S364" t="s">
        <v>423</v>
      </c>
      <c r="T364" t="s">
        <v>1834</v>
      </c>
      <c r="U364">
        <v>9.6768190649023199E-5</v>
      </c>
      <c r="V364" t="s">
        <v>254</v>
      </c>
      <c r="X364">
        <v>1.1415525114155251E-4</v>
      </c>
      <c r="Y364">
        <v>2.2209515285616027E-4</v>
      </c>
      <c r="Z364" t="s">
        <v>1834</v>
      </c>
      <c r="AA364" t="s">
        <v>25</v>
      </c>
      <c r="AC364" t="s">
        <v>22</v>
      </c>
      <c r="AD364" t="s">
        <v>1834</v>
      </c>
      <c r="AE364">
        <v>9.6803103205396365E-5</v>
      </c>
      <c r="AG364" t="s">
        <v>97</v>
      </c>
      <c r="AH364" t="s">
        <v>1834</v>
      </c>
      <c r="AI364">
        <v>0</v>
      </c>
    </row>
    <row r="365" spans="5:35" x14ac:dyDescent="0.45">
      <c r="I365" t="s">
        <v>252</v>
      </c>
      <c r="J365" t="s">
        <v>1835</v>
      </c>
      <c r="K365">
        <v>2.5047148429164009E-5</v>
      </c>
      <c r="L365" t="s">
        <v>254</v>
      </c>
      <c r="N365" t="s">
        <v>422</v>
      </c>
      <c r="O365" t="s">
        <v>1835</v>
      </c>
      <c r="P365">
        <v>9.3493020476608806E-5</v>
      </c>
      <c r="Q365" t="s">
        <v>254</v>
      </c>
      <c r="S365" t="s">
        <v>423</v>
      </c>
      <c r="T365" t="s">
        <v>1835</v>
      </c>
      <c r="U365">
        <v>9.6275525535177519E-5</v>
      </c>
      <c r="V365" t="s">
        <v>254</v>
      </c>
      <c r="X365">
        <v>1.1415525114155251E-4</v>
      </c>
      <c r="Y365">
        <v>1.7237235744060203E-4</v>
      </c>
      <c r="Z365" t="s">
        <v>1835</v>
      </c>
      <c r="AA365" t="s">
        <v>25</v>
      </c>
      <c r="AC365" t="s">
        <v>22</v>
      </c>
      <c r="AD365" t="s">
        <v>1835</v>
      </c>
      <c r="AE365">
        <v>9.6700818825434261E-5</v>
      </c>
      <c r="AG365" t="s">
        <v>97</v>
      </c>
      <c r="AH365" t="s">
        <v>1835</v>
      </c>
      <c r="AI365">
        <v>0</v>
      </c>
    </row>
    <row r="366" spans="5:35" x14ac:dyDescent="0.45">
      <c r="I366" t="s">
        <v>252</v>
      </c>
      <c r="J366" t="s">
        <v>1836</v>
      </c>
      <c r="K366">
        <v>0</v>
      </c>
      <c r="L366" t="s">
        <v>254</v>
      </c>
      <c r="N366" t="s">
        <v>422</v>
      </c>
      <c r="O366" t="s">
        <v>1836</v>
      </c>
      <c r="P366">
        <v>9.2228954899725737E-5</v>
      </c>
      <c r="Q366" t="s">
        <v>254</v>
      </c>
      <c r="S366" t="s">
        <v>423</v>
      </c>
      <c r="T366" t="s">
        <v>1836</v>
      </c>
      <c r="U366">
        <v>8.9677892533117078E-5</v>
      </c>
      <c r="V366" t="s">
        <v>254</v>
      </c>
      <c r="X366">
        <v>1.1415525114155251E-4</v>
      </c>
      <c r="Y366">
        <v>1.5579809230208258E-4</v>
      </c>
      <c r="Z366" t="s">
        <v>1836</v>
      </c>
      <c r="AA366" t="s">
        <v>25</v>
      </c>
      <c r="AC366" t="s">
        <v>22</v>
      </c>
      <c r="AD366" t="s">
        <v>1836</v>
      </c>
      <c r="AE366">
        <v>9.6700818825434261E-5</v>
      </c>
      <c r="AG366" t="s">
        <v>97</v>
      </c>
      <c r="AH366" t="s">
        <v>1836</v>
      </c>
      <c r="AI366">
        <v>0</v>
      </c>
    </row>
    <row r="367" spans="5:35" x14ac:dyDescent="0.45">
      <c r="I367" t="s">
        <v>252</v>
      </c>
      <c r="J367" t="s">
        <v>1837</v>
      </c>
      <c r="K367">
        <v>0</v>
      </c>
      <c r="L367" t="s">
        <v>254</v>
      </c>
      <c r="N367" t="s">
        <v>422</v>
      </c>
      <c r="O367" t="s">
        <v>1837</v>
      </c>
      <c r="P367">
        <v>9.5595739168070917E-5</v>
      </c>
      <c r="Q367" t="s">
        <v>254</v>
      </c>
      <c r="S367" t="s">
        <v>423</v>
      </c>
      <c r="T367" t="s">
        <v>1837</v>
      </c>
      <c r="U367">
        <v>8.4589574957277873E-5</v>
      </c>
      <c r="V367" t="s">
        <v>254</v>
      </c>
      <c r="X367">
        <v>1.1415525114155251E-4</v>
      </c>
      <c r="Y367">
        <v>1.093901499142282E-4</v>
      </c>
      <c r="Z367" t="s">
        <v>1837</v>
      </c>
      <c r="AA367" t="s">
        <v>25</v>
      </c>
      <c r="AC367" t="s">
        <v>22</v>
      </c>
      <c r="AD367" t="s">
        <v>1837</v>
      </c>
      <c r="AE367">
        <v>9.637862302855349E-5</v>
      </c>
      <c r="AG367" t="s">
        <v>97</v>
      </c>
      <c r="AH367" t="s">
        <v>1837</v>
      </c>
      <c r="AI367">
        <v>0</v>
      </c>
    </row>
    <row r="368" spans="5:35" x14ac:dyDescent="0.45">
      <c r="I368" t="s">
        <v>252</v>
      </c>
      <c r="J368" t="s">
        <v>1838</v>
      </c>
      <c r="K368">
        <v>0</v>
      </c>
      <c r="L368" t="s">
        <v>254</v>
      </c>
      <c r="N368" t="s">
        <v>422</v>
      </c>
      <c r="O368" t="s">
        <v>1838</v>
      </c>
      <c r="P368">
        <v>9.501952464114744E-5</v>
      </c>
      <c r="Q368" t="s">
        <v>254</v>
      </c>
      <c r="S368" t="s">
        <v>423</v>
      </c>
      <c r="T368" t="s">
        <v>1838</v>
      </c>
      <c r="U368">
        <v>8.0768318564798804E-5</v>
      </c>
      <c r="V368" t="s">
        <v>254</v>
      </c>
      <c r="X368">
        <v>1.1415525114155251E-4</v>
      </c>
      <c r="Y368">
        <v>7.9556472664893237E-5</v>
      </c>
      <c r="Z368" t="s">
        <v>1838</v>
      </c>
      <c r="AA368" t="s">
        <v>25</v>
      </c>
      <c r="AC368" t="s">
        <v>22</v>
      </c>
      <c r="AD368" t="s">
        <v>1838</v>
      </c>
      <c r="AE368">
        <v>9.2496930808990354E-5</v>
      </c>
      <c r="AG368" t="s">
        <v>97</v>
      </c>
      <c r="AH368" t="s">
        <v>1838</v>
      </c>
      <c r="AI368">
        <v>0</v>
      </c>
    </row>
    <row r="369" spans="9:35" x14ac:dyDescent="0.45">
      <c r="I369" t="s">
        <v>252</v>
      </c>
      <c r="J369" t="s">
        <v>1839</v>
      </c>
      <c r="K369">
        <v>0</v>
      </c>
      <c r="L369" t="s">
        <v>254</v>
      </c>
      <c r="N369" t="s">
        <v>422</v>
      </c>
      <c r="O369" t="s">
        <v>1839</v>
      </c>
      <c r="P369">
        <v>8.5347539282007757E-5</v>
      </c>
      <c r="Q369" t="s">
        <v>254</v>
      </c>
      <c r="S369" t="s">
        <v>423</v>
      </c>
      <c r="T369" t="s">
        <v>1839</v>
      </c>
      <c r="U369">
        <v>8.6095060237445492E-5</v>
      </c>
      <c r="V369" t="s">
        <v>254</v>
      </c>
      <c r="X369">
        <v>1.1415525114155251E-4</v>
      </c>
      <c r="Y369">
        <v>5.6352501470966035E-5</v>
      </c>
      <c r="Z369" t="s">
        <v>1839</v>
      </c>
      <c r="AA369" t="s">
        <v>25</v>
      </c>
      <c r="AC369" t="s">
        <v>22</v>
      </c>
      <c r="AD369" t="s">
        <v>1839</v>
      </c>
      <c r="AE369">
        <v>8.9546026447082669E-5</v>
      </c>
      <c r="AG369" t="s">
        <v>97</v>
      </c>
      <c r="AH369" t="s">
        <v>1839</v>
      </c>
      <c r="AI369">
        <v>0</v>
      </c>
    </row>
    <row r="370" spans="9:35" x14ac:dyDescent="0.45">
      <c r="I370" t="s">
        <v>252</v>
      </c>
      <c r="J370" t="s">
        <v>1840</v>
      </c>
      <c r="K370">
        <v>0</v>
      </c>
      <c r="L370" t="s">
        <v>254</v>
      </c>
      <c r="N370" t="s">
        <v>422</v>
      </c>
      <c r="O370" t="s">
        <v>1840</v>
      </c>
      <c r="P370">
        <v>7.6096673787327403E-5</v>
      </c>
      <c r="Q370" t="s">
        <v>254</v>
      </c>
      <c r="S370" t="s">
        <v>423</v>
      </c>
      <c r="T370" t="s">
        <v>1840</v>
      </c>
      <c r="U370">
        <v>8.8673666642941746E-5</v>
      </c>
      <c r="V370" t="s">
        <v>254</v>
      </c>
      <c r="X370">
        <v>1.1415525114155251E-4</v>
      </c>
      <c r="Y370">
        <v>2.9833677249334962E-5</v>
      </c>
      <c r="Z370" t="s">
        <v>1840</v>
      </c>
      <c r="AA370" t="s">
        <v>25</v>
      </c>
      <c r="AC370" t="s">
        <v>22</v>
      </c>
      <c r="AD370" t="s">
        <v>1840</v>
      </c>
      <c r="AE370">
        <v>7.996965137312748E-5</v>
      </c>
      <c r="AG370" t="s">
        <v>97</v>
      </c>
      <c r="AH370" t="s">
        <v>1840</v>
      </c>
      <c r="AI370">
        <v>0</v>
      </c>
    </row>
    <row r="371" spans="9:35" x14ac:dyDescent="0.45">
      <c r="I371" t="s">
        <v>252</v>
      </c>
      <c r="J371" t="s">
        <v>1841</v>
      </c>
      <c r="K371">
        <v>0</v>
      </c>
      <c r="L371" t="s">
        <v>254</v>
      </c>
      <c r="N371" t="s">
        <v>422</v>
      </c>
      <c r="O371" t="s">
        <v>1841</v>
      </c>
      <c r="P371">
        <v>6.8225007290585404E-5</v>
      </c>
      <c r="Q371" t="s">
        <v>254</v>
      </c>
      <c r="S371" t="s">
        <v>423</v>
      </c>
      <c r="T371" t="s">
        <v>1841</v>
      </c>
      <c r="U371">
        <v>9.2403011573542407E-5</v>
      </c>
      <c r="V371" t="s">
        <v>254</v>
      </c>
      <c r="X371">
        <v>1.1415525114155251E-4</v>
      </c>
      <c r="Y371">
        <v>2.1546544680075254E-5</v>
      </c>
      <c r="Z371" t="s">
        <v>1841</v>
      </c>
      <c r="AA371" t="s">
        <v>25</v>
      </c>
      <c r="AC371" t="s">
        <v>22</v>
      </c>
      <c r="AD371" t="s">
        <v>1841</v>
      </c>
      <c r="AE371">
        <v>7.3295595580597964E-5</v>
      </c>
      <c r="AG371" t="s">
        <v>97</v>
      </c>
      <c r="AH371" t="s">
        <v>1841</v>
      </c>
      <c r="AI371">
        <v>0</v>
      </c>
    </row>
    <row r="372" spans="9:35" x14ac:dyDescent="0.45">
      <c r="I372" t="s">
        <v>252</v>
      </c>
      <c r="J372" t="s">
        <v>1842</v>
      </c>
      <c r="K372">
        <v>0</v>
      </c>
      <c r="L372" t="s">
        <v>254</v>
      </c>
      <c r="N372" t="s">
        <v>422</v>
      </c>
      <c r="O372" t="s">
        <v>1842</v>
      </c>
      <c r="P372">
        <v>6.1125797182901812E-5</v>
      </c>
      <c r="Q372" t="s">
        <v>254</v>
      </c>
      <c r="S372" t="s">
        <v>423</v>
      </c>
      <c r="T372" t="s">
        <v>1842</v>
      </c>
      <c r="U372">
        <v>8.4679278297710852E-5</v>
      </c>
      <c r="V372" t="s">
        <v>254</v>
      </c>
      <c r="X372">
        <v>1.1415525114155251E-4</v>
      </c>
      <c r="Y372">
        <v>1.4916838624667481E-5</v>
      </c>
      <c r="Z372" t="s">
        <v>1842</v>
      </c>
      <c r="AA372" t="s">
        <v>25</v>
      </c>
      <c r="AC372" t="s">
        <v>22</v>
      </c>
      <c r="AD372" t="s">
        <v>1842</v>
      </c>
      <c r="AE372">
        <v>7.0411176065665669E-5</v>
      </c>
      <c r="AG372" t="s">
        <v>97</v>
      </c>
      <c r="AH372" t="s">
        <v>1842</v>
      </c>
      <c r="AI372">
        <v>0</v>
      </c>
    </row>
    <row r="373" spans="9:35" x14ac:dyDescent="0.45">
      <c r="I373" t="s">
        <v>252</v>
      </c>
      <c r="J373" t="s">
        <v>1843</v>
      </c>
      <c r="K373">
        <v>0</v>
      </c>
      <c r="L373" t="s">
        <v>254</v>
      </c>
      <c r="N373" t="s">
        <v>422</v>
      </c>
      <c r="O373" t="s">
        <v>1843</v>
      </c>
      <c r="P373">
        <v>5.6925980681626497E-5</v>
      </c>
      <c r="Q373" t="s">
        <v>254</v>
      </c>
      <c r="S373" t="s">
        <v>423</v>
      </c>
      <c r="T373" t="s">
        <v>1843</v>
      </c>
      <c r="U373">
        <v>7.6263231349868772E-5</v>
      </c>
      <c r="V373" t="s">
        <v>254</v>
      </c>
      <c r="X373">
        <v>1.1415525114155251E-4</v>
      </c>
      <c r="Y373">
        <v>1.6574265138519424E-5</v>
      </c>
      <c r="Z373" t="s">
        <v>1843</v>
      </c>
      <c r="AA373" t="s">
        <v>25</v>
      </c>
      <c r="AC373" t="s">
        <v>22</v>
      </c>
      <c r="AD373" t="s">
        <v>1843</v>
      </c>
      <c r="AE373">
        <v>7.0411176065665669E-5</v>
      </c>
      <c r="AG373" t="s">
        <v>97</v>
      </c>
      <c r="AH373" t="s">
        <v>1843</v>
      </c>
      <c r="AI373">
        <v>0</v>
      </c>
    </row>
    <row r="374" spans="9:35" x14ac:dyDescent="0.45">
      <c r="I374" t="s">
        <v>252</v>
      </c>
      <c r="J374" t="s">
        <v>1844</v>
      </c>
      <c r="K374">
        <v>0</v>
      </c>
      <c r="L374" t="s">
        <v>254</v>
      </c>
      <c r="N374" t="s">
        <v>422</v>
      </c>
      <c r="O374" t="s">
        <v>1844</v>
      </c>
      <c r="P374">
        <v>5.1084544988345333E-5</v>
      </c>
      <c r="Q374" t="s">
        <v>254</v>
      </c>
      <c r="S374" t="s">
        <v>423</v>
      </c>
      <c r="T374" t="s">
        <v>1844</v>
      </c>
      <c r="U374">
        <v>6.5171334562115225E-5</v>
      </c>
      <c r="V374" t="s">
        <v>254</v>
      </c>
      <c r="X374">
        <v>1.1415525114155251E-4</v>
      </c>
      <c r="Y374">
        <v>1.4585353321897093E-5</v>
      </c>
      <c r="Z374" t="s">
        <v>1844</v>
      </c>
      <c r="AA374" t="s">
        <v>25</v>
      </c>
      <c r="AC374" t="s">
        <v>22</v>
      </c>
      <c r="AD374" t="s">
        <v>1844</v>
      </c>
      <c r="AE374">
        <v>7.0608073497092783E-5</v>
      </c>
      <c r="AG374" t="s">
        <v>97</v>
      </c>
      <c r="AH374" t="s">
        <v>1844</v>
      </c>
      <c r="AI374">
        <v>0</v>
      </c>
    </row>
    <row r="375" spans="9:35" x14ac:dyDescent="0.45">
      <c r="I375" t="s">
        <v>252</v>
      </c>
      <c r="J375" t="s">
        <v>1845</v>
      </c>
      <c r="K375">
        <v>0</v>
      </c>
      <c r="L375" t="s">
        <v>254</v>
      </c>
      <c r="N375" t="s">
        <v>422</v>
      </c>
      <c r="O375" t="s">
        <v>1845</v>
      </c>
      <c r="P375">
        <v>4.4559980354126869E-5</v>
      </c>
      <c r="Q375" t="s">
        <v>254</v>
      </c>
      <c r="S375" t="s">
        <v>423</v>
      </c>
      <c r="T375" t="s">
        <v>1845</v>
      </c>
      <c r="U375">
        <v>5.2469831071098809E-5</v>
      </c>
      <c r="V375" t="s">
        <v>254</v>
      </c>
      <c r="X375">
        <v>1.1415525114155251E-4</v>
      </c>
      <c r="Y375">
        <v>2.1215059377304864E-5</v>
      </c>
      <c r="Z375" t="s">
        <v>1845</v>
      </c>
      <c r="AA375" t="s">
        <v>25</v>
      </c>
      <c r="AC375" t="s">
        <v>22</v>
      </c>
      <c r="AD375" t="s">
        <v>1845</v>
      </c>
      <c r="AE375">
        <v>7.0804970928519897E-5</v>
      </c>
      <c r="AG375" t="s">
        <v>97</v>
      </c>
      <c r="AH375" t="s">
        <v>1845</v>
      </c>
      <c r="AI375">
        <v>0</v>
      </c>
    </row>
    <row r="376" spans="9:35" x14ac:dyDescent="0.45">
      <c r="I376" t="s">
        <v>252</v>
      </c>
      <c r="J376" t="s">
        <v>1846</v>
      </c>
      <c r="K376">
        <v>0</v>
      </c>
      <c r="L376" t="s">
        <v>254</v>
      </c>
      <c r="N376" t="s">
        <v>422</v>
      </c>
      <c r="O376" t="s">
        <v>1846</v>
      </c>
      <c r="P376">
        <v>3.8773877371252158E-5</v>
      </c>
      <c r="Q376" t="s">
        <v>254</v>
      </c>
      <c r="S376" t="s">
        <v>423</v>
      </c>
      <c r="T376" t="s">
        <v>1846</v>
      </c>
      <c r="U376">
        <v>4.486503031639383E-5</v>
      </c>
      <c r="V376" t="s">
        <v>254</v>
      </c>
      <c r="X376">
        <v>1.1415525114155251E-4</v>
      </c>
      <c r="Y376">
        <v>5.7678442682047593E-5</v>
      </c>
      <c r="Z376" t="s">
        <v>1846</v>
      </c>
      <c r="AA376" t="s">
        <v>25</v>
      </c>
      <c r="AC376" t="s">
        <v>22</v>
      </c>
      <c r="AD376" t="s">
        <v>1846</v>
      </c>
      <c r="AE376">
        <v>7.3154954558150024E-5</v>
      </c>
      <c r="AG376" t="s">
        <v>97</v>
      </c>
      <c r="AH376" t="s">
        <v>1846</v>
      </c>
      <c r="AI376">
        <v>0</v>
      </c>
    </row>
    <row r="377" spans="9:35" x14ac:dyDescent="0.45">
      <c r="I377" t="s">
        <v>252</v>
      </c>
      <c r="J377" t="s">
        <v>1847</v>
      </c>
      <c r="K377">
        <v>4.5550529325253807E-9</v>
      </c>
      <c r="L377" t="s">
        <v>254</v>
      </c>
      <c r="N377" t="s">
        <v>422</v>
      </c>
      <c r="O377" t="s">
        <v>1847</v>
      </c>
      <c r="P377">
        <v>3.5438435994494416E-5</v>
      </c>
      <c r="Q377" t="s">
        <v>254</v>
      </c>
      <c r="S377" t="s">
        <v>423</v>
      </c>
      <c r="T377" t="s">
        <v>1847</v>
      </c>
      <c r="U377">
        <v>4.5186812063855732E-5</v>
      </c>
      <c r="V377" t="s">
        <v>254</v>
      </c>
      <c r="X377">
        <v>1.1415525114155251E-4</v>
      </c>
      <c r="Y377">
        <v>1.6905750441289813E-4</v>
      </c>
      <c r="Z377" t="s">
        <v>1847</v>
      </c>
      <c r="AA377" t="s">
        <v>25</v>
      </c>
      <c r="AC377" t="s">
        <v>22</v>
      </c>
      <c r="AD377" t="s">
        <v>1847</v>
      </c>
      <c r="AE377">
        <v>7.8662968419111165E-5</v>
      </c>
      <c r="AG377" t="s">
        <v>97</v>
      </c>
      <c r="AH377" t="s">
        <v>1847</v>
      </c>
      <c r="AI377">
        <v>0</v>
      </c>
    </row>
    <row r="378" spans="9:35" x14ac:dyDescent="0.45">
      <c r="I378" t="s">
        <v>252</v>
      </c>
      <c r="J378" t="s">
        <v>1848</v>
      </c>
      <c r="K378">
        <v>8.5148882796186052E-5</v>
      </c>
      <c r="L378" t="s">
        <v>254</v>
      </c>
      <c r="N378" t="s">
        <v>422</v>
      </c>
      <c r="O378" t="s">
        <v>1848</v>
      </c>
      <c r="P378">
        <v>3.5169492605064122E-5</v>
      </c>
      <c r="Q378" t="s">
        <v>254</v>
      </c>
      <c r="S378" t="s">
        <v>423</v>
      </c>
      <c r="T378" t="s">
        <v>1848</v>
      </c>
      <c r="U378">
        <v>4.4644829179646807E-5</v>
      </c>
      <c r="V378" t="s">
        <v>254</v>
      </c>
      <c r="X378">
        <v>1.1415525114155251E-4</v>
      </c>
      <c r="Y378">
        <v>1.9060404909297337E-4</v>
      </c>
      <c r="Z378" t="s">
        <v>1848</v>
      </c>
      <c r="AA378" t="s">
        <v>25</v>
      </c>
      <c r="AC378" t="s">
        <v>22</v>
      </c>
      <c r="AD378" t="s">
        <v>1848</v>
      </c>
      <c r="AE378">
        <v>8.7300884306913728E-5</v>
      </c>
      <c r="AG378" t="s">
        <v>97</v>
      </c>
      <c r="AH378" t="s">
        <v>1848</v>
      </c>
      <c r="AI378">
        <v>0</v>
      </c>
    </row>
    <row r="379" spans="9:35" x14ac:dyDescent="0.45">
      <c r="I379" t="s">
        <v>252</v>
      </c>
      <c r="J379" t="s">
        <v>1849</v>
      </c>
      <c r="K379">
        <v>1.3675084524680001E-4</v>
      </c>
      <c r="L379" t="s">
        <v>254</v>
      </c>
      <c r="N379" t="s">
        <v>422</v>
      </c>
      <c r="O379" t="s">
        <v>1849</v>
      </c>
      <c r="P379">
        <v>3.0447131453054867E-5</v>
      </c>
      <c r="Q379" t="s">
        <v>254</v>
      </c>
      <c r="S379" t="s">
        <v>423</v>
      </c>
      <c r="T379" t="s">
        <v>1849</v>
      </c>
      <c r="U379">
        <v>4.2892382714275448E-5</v>
      </c>
      <c r="V379" t="s">
        <v>254</v>
      </c>
      <c r="X379">
        <v>1.1415525114155251E-4</v>
      </c>
      <c r="Y379">
        <v>1.4585353321897094E-4</v>
      </c>
      <c r="Z379" t="s">
        <v>1849</v>
      </c>
      <c r="AA379" t="s">
        <v>25</v>
      </c>
      <c r="AC379" t="s">
        <v>22</v>
      </c>
      <c r="AD379" t="s">
        <v>1849</v>
      </c>
      <c r="AE379">
        <v>9.6751961015415313E-5</v>
      </c>
      <c r="AG379" t="s">
        <v>97</v>
      </c>
      <c r="AH379" t="s">
        <v>1849</v>
      </c>
      <c r="AI379">
        <v>0</v>
      </c>
    </row>
    <row r="380" spans="9:35" x14ac:dyDescent="0.45">
      <c r="I380" t="s">
        <v>252</v>
      </c>
      <c r="J380" t="s">
        <v>1850</v>
      </c>
      <c r="K380">
        <v>2.005456090554E-4</v>
      </c>
      <c r="L380" t="s">
        <v>254</v>
      </c>
      <c r="N380" t="s">
        <v>422</v>
      </c>
      <c r="O380" t="s">
        <v>1850</v>
      </c>
      <c r="P380">
        <v>2.7980070937000404E-5</v>
      </c>
      <c r="Q380" t="s">
        <v>254</v>
      </c>
      <c r="S380" t="s">
        <v>423</v>
      </c>
      <c r="T380" t="s">
        <v>1850</v>
      </c>
      <c r="U380">
        <v>5.3876673721443113E-5</v>
      </c>
      <c r="V380" t="s">
        <v>254</v>
      </c>
      <c r="X380">
        <v>1.1415525114155251E-4</v>
      </c>
      <c r="Y380">
        <v>1.4452759200788939E-4</v>
      </c>
      <c r="Z380" t="s">
        <v>1850</v>
      </c>
      <c r="AA380" t="s">
        <v>25</v>
      </c>
      <c r="AC380" t="s">
        <v>22</v>
      </c>
      <c r="AD380" t="s">
        <v>1850</v>
      </c>
      <c r="AE380">
        <v>9.9188886368013234E-5</v>
      </c>
      <c r="AG380" t="s">
        <v>97</v>
      </c>
      <c r="AH380" t="s">
        <v>1850</v>
      </c>
      <c r="AI380">
        <v>0</v>
      </c>
    </row>
    <row r="381" spans="9:35" x14ac:dyDescent="0.45">
      <c r="I381" t="s">
        <v>252</v>
      </c>
      <c r="J381" t="s">
        <v>1851</v>
      </c>
      <c r="K381">
        <v>2.407209652661E-4</v>
      </c>
      <c r="L381" t="s">
        <v>254</v>
      </c>
      <c r="N381" t="s">
        <v>422</v>
      </c>
      <c r="O381" t="s">
        <v>1851</v>
      </c>
      <c r="P381">
        <v>2.0379962996756748E-5</v>
      </c>
      <c r="Q381" t="s">
        <v>254</v>
      </c>
      <c r="S381" t="s">
        <v>423</v>
      </c>
      <c r="T381" t="s">
        <v>1851</v>
      </c>
      <c r="U381">
        <v>4.8278646558504897E-5</v>
      </c>
      <c r="V381" t="s">
        <v>254</v>
      </c>
      <c r="X381">
        <v>1.1415525114155251E-4</v>
      </c>
      <c r="Y381">
        <v>1.408812536774151E-4</v>
      </c>
      <c r="Z381" t="s">
        <v>1851</v>
      </c>
      <c r="AA381" t="s">
        <v>25</v>
      </c>
      <c r="AC381" t="s">
        <v>22</v>
      </c>
      <c r="AD381" t="s">
        <v>1851</v>
      </c>
      <c r="AE381">
        <v>9.8815548381151437E-5</v>
      </c>
      <c r="AG381" t="s">
        <v>97</v>
      </c>
      <c r="AH381" t="s">
        <v>1851</v>
      </c>
      <c r="AI381">
        <v>0</v>
      </c>
    </row>
    <row r="382" spans="9:35" x14ac:dyDescent="0.45">
      <c r="I382" t="s">
        <v>252</v>
      </c>
      <c r="J382" t="s">
        <v>1852</v>
      </c>
      <c r="K382">
        <v>2.5452373587779998E-4</v>
      </c>
      <c r="L382" t="s">
        <v>254</v>
      </c>
      <c r="N382" t="s">
        <v>422</v>
      </c>
      <c r="O382" t="s">
        <v>1852</v>
      </c>
      <c r="P382">
        <v>1.8412402279963162E-5</v>
      </c>
      <c r="Q382" t="s">
        <v>254</v>
      </c>
      <c r="S382" t="s">
        <v>423</v>
      </c>
      <c r="T382" t="s">
        <v>1852</v>
      </c>
      <c r="U382">
        <v>3.9619091852767039E-5</v>
      </c>
      <c r="V382" t="s">
        <v>254</v>
      </c>
      <c r="X382">
        <v>1.1415525114155251E-4</v>
      </c>
      <c r="Y382">
        <v>1.4054976837464471E-4</v>
      </c>
      <c r="Z382" t="s">
        <v>1852</v>
      </c>
      <c r="AA382" t="s">
        <v>25</v>
      </c>
      <c r="AC382" t="s">
        <v>22</v>
      </c>
      <c r="AD382" t="s">
        <v>1852</v>
      </c>
      <c r="AE382">
        <v>9.8766963300669425E-5</v>
      </c>
      <c r="AG382" t="s">
        <v>97</v>
      </c>
      <c r="AH382" t="s">
        <v>1852</v>
      </c>
      <c r="AI382">
        <v>0</v>
      </c>
    </row>
    <row r="383" spans="9:35" x14ac:dyDescent="0.45">
      <c r="I383" t="s">
        <v>252</v>
      </c>
      <c r="J383" t="s">
        <v>1853</v>
      </c>
      <c r="K383">
        <v>2.2278587053669999E-4</v>
      </c>
      <c r="L383" t="s">
        <v>254</v>
      </c>
      <c r="N383" t="s">
        <v>422</v>
      </c>
      <c r="O383" t="s">
        <v>1853</v>
      </c>
      <c r="P383">
        <v>1.547376404978127E-5</v>
      </c>
      <c r="Q383" t="s">
        <v>254</v>
      </c>
      <c r="S383" t="s">
        <v>423</v>
      </c>
      <c r="T383" t="s">
        <v>1853</v>
      </c>
      <c r="U383">
        <v>3.5980840008205393E-5</v>
      </c>
      <c r="V383" t="s">
        <v>254</v>
      </c>
      <c r="X383">
        <v>1.1415525114155251E-4</v>
      </c>
      <c r="Y383">
        <v>1.4253868019126702E-4</v>
      </c>
      <c r="Z383" t="s">
        <v>1853</v>
      </c>
      <c r="AA383" t="s">
        <v>25</v>
      </c>
      <c r="AC383" t="s">
        <v>22</v>
      </c>
      <c r="AD383" t="s">
        <v>1853</v>
      </c>
      <c r="AE383">
        <v>9.832969757633128E-5</v>
      </c>
      <c r="AG383" t="s">
        <v>97</v>
      </c>
      <c r="AH383" t="s">
        <v>1853</v>
      </c>
      <c r="AI383">
        <v>0</v>
      </c>
    </row>
    <row r="384" spans="9:35" x14ac:dyDescent="0.45">
      <c r="I384" t="s">
        <v>252</v>
      </c>
      <c r="J384" t="s">
        <v>1854</v>
      </c>
      <c r="K384">
        <v>2.1281567441340001E-4</v>
      </c>
      <c r="L384" t="s">
        <v>254</v>
      </c>
      <c r="N384" t="s">
        <v>422</v>
      </c>
      <c r="O384" t="s">
        <v>1854</v>
      </c>
      <c r="P384">
        <v>1.314157839833316E-5</v>
      </c>
      <c r="Q384" t="s">
        <v>254</v>
      </c>
      <c r="S384" t="s">
        <v>423</v>
      </c>
      <c r="T384" t="s">
        <v>1854</v>
      </c>
      <c r="U384">
        <v>2.9526486909560748E-5</v>
      </c>
      <c r="V384" t="s">
        <v>254</v>
      </c>
      <c r="X384">
        <v>1.1415525114155251E-4</v>
      </c>
      <c r="Y384">
        <v>1.4883690094390442E-4</v>
      </c>
      <c r="Z384" t="s">
        <v>1854</v>
      </c>
      <c r="AA384" t="s">
        <v>25</v>
      </c>
      <c r="AC384" t="s">
        <v>22</v>
      </c>
      <c r="AD384" t="s">
        <v>1854</v>
      </c>
      <c r="AE384">
        <v>9.7450051908656908E-5</v>
      </c>
      <c r="AG384" t="s">
        <v>97</v>
      </c>
      <c r="AH384" t="s">
        <v>1854</v>
      </c>
      <c r="AI384">
        <v>0</v>
      </c>
    </row>
    <row r="385" spans="9:35" x14ac:dyDescent="0.45">
      <c r="I385" t="s">
        <v>252</v>
      </c>
      <c r="J385" t="s">
        <v>1855</v>
      </c>
      <c r="K385">
        <v>2.0875444507029999E-4</v>
      </c>
      <c r="L385" t="s">
        <v>254</v>
      </c>
      <c r="N385" t="s">
        <v>422</v>
      </c>
      <c r="O385" t="s">
        <v>1855</v>
      </c>
      <c r="P385">
        <v>1.3038277821083374E-5</v>
      </c>
      <c r="Q385" t="s">
        <v>254</v>
      </c>
      <c r="S385" t="s">
        <v>423</v>
      </c>
      <c r="T385" t="s">
        <v>1855</v>
      </c>
      <c r="U385">
        <v>2.8430423251304451E-5</v>
      </c>
      <c r="V385" t="s">
        <v>254</v>
      </c>
      <c r="X385">
        <v>1.1415525114155251E-4</v>
      </c>
      <c r="Y385">
        <v>1.5049432745775637E-4</v>
      </c>
      <c r="Z385" t="s">
        <v>1855</v>
      </c>
      <c r="AA385" t="s">
        <v>25</v>
      </c>
      <c r="AC385" t="s">
        <v>22</v>
      </c>
      <c r="AD385" t="s">
        <v>1855</v>
      </c>
      <c r="AE385">
        <v>9.7097170797787516E-5</v>
      </c>
      <c r="AG385" t="s">
        <v>97</v>
      </c>
      <c r="AH385" t="s">
        <v>1855</v>
      </c>
      <c r="AI385">
        <v>0</v>
      </c>
    </row>
    <row r="386" spans="9:35" x14ac:dyDescent="0.45">
      <c r="I386" t="s">
        <v>252</v>
      </c>
      <c r="J386" t="s">
        <v>1856</v>
      </c>
      <c r="K386">
        <v>1.7391934782060001E-4</v>
      </c>
      <c r="L386" t="s">
        <v>254</v>
      </c>
      <c r="N386" t="s">
        <v>422</v>
      </c>
      <c r="O386" t="s">
        <v>1856</v>
      </c>
      <c r="P386">
        <v>1.4810386139317004E-5</v>
      </c>
      <c r="Q386" t="s">
        <v>254</v>
      </c>
      <c r="S386" t="s">
        <v>423</v>
      </c>
      <c r="T386" t="s">
        <v>1856</v>
      </c>
      <c r="U386">
        <v>3.250923209365187E-5</v>
      </c>
      <c r="V386" t="s">
        <v>254</v>
      </c>
      <c r="X386">
        <v>1.1415525114155251E-4</v>
      </c>
      <c r="Y386">
        <v>1.7237235744060203E-4</v>
      </c>
      <c r="Z386" t="s">
        <v>1856</v>
      </c>
      <c r="AA386" t="s">
        <v>25</v>
      </c>
      <c r="AC386" t="s">
        <v>22</v>
      </c>
      <c r="AD386" t="s">
        <v>1856</v>
      </c>
      <c r="AE386">
        <v>9.7097170797787516E-5</v>
      </c>
      <c r="AG386" t="s">
        <v>97</v>
      </c>
      <c r="AH386" t="s">
        <v>1856</v>
      </c>
      <c r="AI386">
        <v>0</v>
      </c>
    </row>
    <row r="387" spans="9:35" x14ac:dyDescent="0.45">
      <c r="I387" t="s">
        <v>252</v>
      </c>
      <c r="J387" t="s">
        <v>1857</v>
      </c>
      <c r="K387">
        <v>1.4974242404829999E-4</v>
      </c>
      <c r="L387" t="s">
        <v>254</v>
      </c>
      <c r="N387" t="s">
        <v>422</v>
      </c>
      <c r="O387" t="s">
        <v>1857</v>
      </c>
      <c r="P387">
        <v>2.0024927658302161E-5</v>
      </c>
      <c r="Q387" t="s">
        <v>254</v>
      </c>
      <c r="S387" t="s">
        <v>423</v>
      </c>
      <c r="T387" t="s">
        <v>1857</v>
      </c>
      <c r="U387">
        <v>4.0163706551767392E-5</v>
      </c>
      <c r="V387" t="s">
        <v>254</v>
      </c>
      <c r="X387">
        <v>1.1415525114155251E-4</v>
      </c>
      <c r="Y387">
        <v>2.2209515285616027E-4</v>
      </c>
      <c r="Z387" t="s">
        <v>1857</v>
      </c>
      <c r="AA387" t="s">
        <v>25</v>
      </c>
      <c r="AC387" t="s">
        <v>22</v>
      </c>
      <c r="AD387" t="s">
        <v>1857</v>
      </c>
      <c r="AE387">
        <v>9.6631776868959804E-5</v>
      </c>
      <c r="AG387" t="s">
        <v>97</v>
      </c>
      <c r="AH387" t="s">
        <v>1857</v>
      </c>
      <c r="AI387">
        <v>0</v>
      </c>
    </row>
    <row r="388" spans="9:35" x14ac:dyDescent="0.45">
      <c r="I388" t="s">
        <v>252</v>
      </c>
      <c r="J388" t="s">
        <v>1858</v>
      </c>
      <c r="K388">
        <v>1.070859717694E-4</v>
      </c>
      <c r="L388" t="s">
        <v>254</v>
      </c>
      <c r="N388" t="s">
        <v>422</v>
      </c>
      <c r="O388" t="s">
        <v>1858</v>
      </c>
      <c r="P388">
        <v>2.7924191416968677E-5</v>
      </c>
      <c r="Q388" t="s">
        <v>254</v>
      </c>
      <c r="S388" t="s">
        <v>423</v>
      </c>
      <c r="T388" t="s">
        <v>1858</v>
      </c>
      <c r="U388">
        <v>4.6548713269807335E-5</v>
      </c>
      <c r="V388" t="s">
        <v>254</v>
      </c>
      <c r="X388">
        <v>1.1415525114155251E-4</v>
      </c>
      <c r="Y388">
        <v>2.2209515285616027E-4</v>
      </c>
      <c r="Z388" t="s">
        <v>1858</v>
      </c>
      <c r="AA388" t="s">
        <v>25</v>
      </c>
      <c r="AC388" t="s">
        <v>22</v>
      </c>
      <c r="AD388" t="s">
        <v>1858</v>
      </c>
      <c r="AE388">
        <v>9.6631776868959804E-5</v>
      </c>
      <c r="AG388" t="s">
        <v>97</v>
      </c>
      <c r="AH388" t="s">
        <v>1858</v>
      </c>
      <c r="AI388">
        <v>0</v>
      </c>
    </row>
    <row r="389" spans="9:35" x14ac:dyDescent="0.45">
      <c r="I389" t="s">
        <v>252</v>
      </c>
      <c r="J389" t="s">
        <v>1859</v>
      </c>
      <c r="K389">
        <v>2.6566143556366951E-5</v>
      </c>
      <c r="L389" t="s">
        <v>254</v>
      </c>
      <c r="N389" t="s">
        <v>422</v>
      </c>
      <c r="O389" t="s">
        <v>1859</v>
      </c>
      <c r="P389">
        <v>3.4537897763813287E-5</v>
      </c>
      <c r="Q389" t="s">
        <v>254</v>
      </c>
      <c r="S389" t="s">
        <v>423</v>
      </c>
      <c r="T389" t="s">
        <v>1859</v>
      </c>
      <c r="U389">
        <v>4.8007963490430373E-5</v>
      </c>
      <c r="V389" t="s">
        <v>254</v>
      </c>
      <c r="X389">
        <v>1.1415525114155251E-4</v>
      </c>
      <c r="Y389">
        <v>1.7237235744060203E-4</v>
      </c>
      <c r="Z389" t="s">
        <v>1859</v>
      </c>
      <c r="AA389" t="s">
        <v>25</v>
      </c>
      <c r="AC389" t="s">
        <v>22</v>
      </c>
      <c r="AD389" t="s">
        <v>1859</v>
      </c>
      <c r="AE389">
        <v>9.6700818825434261E-5</v>
      </c>
      <c r="AG389" t="s">
        <v>97</v>
      </c>
      <c r="AH389" t="s">
        <v>1859</v>
      </c>
      <c r="AI389">
        <v>0</v>
      </c>
    </row>
    <row r="390" spans="9:35" x14ac:dyDescent="0.45">
      <c r="I390" t="s">
        <v>252</v>
      </c>
      <c r="J390" t="s">
        <v>1860</v>
      </c>
      <c r="K390">
        <v>0</v>
      </c>
      <c r="L390" t="s">
        <v>254</v>
      </c>
      <c r="N390" t="s">
        <v>422</v>
      </c>
      <c r="O390" t="s">
        <v>1860</v>
      </c>
      <c r="P390">
        <v>3.8928649335200881E-5</v>
      </c>
      <c r="Q390" t="s">
        <v>254</v>
      </c>
      <c r="S390" t="s">
        <v>423</v>
      </c>
      <c r="T390" t="s">
        <v>1860</v>
      </c>
      <c r="U390">
        <v>4.6488975933315545E-5</v>
      </c>
      <c r="V390" t="s">
        <v>254</v>
      </c>
      <c r="X390">
        <v>1.1415525114155251E-4</v>
      </c>
      <c r="Y390">
        <v>1.5579809230208258E-4</v>
      </c>
      <c r="Z390" t="s">
        <v>1860</v>
      </c>
      <c r="AA390" t="s">
        <v>25</v>
      </c>
      <c r="AC390" t="s">
        <v>22</v>
      </c>
      <c r="AD390" t="s">
        <v>1860</v>
      </c>
      <c r="AE390">
        <v>9.6700818825434261E-5</v>
      </c>
      <c r="AG390" t="s">
        <v>97</v>
      </c>
      <c r="AH390" t="s">
        <v>1860</v>
      </c>
      <c r="AI390">
        <v>0</v>
      </c>
    </row>
    <row r="391" spans="9:35" x14ac:dyDescent="0.45">
      <c r="I391" t="s">
        <v>252</v>
      </c>
      <c r="J391" t="s">
        <v>1861</v>
      </c>
      <c r="K391">
        <v>0</v>
      </c>
      <c r="L391" t="s">
        <v>254</v>
      </c>
      <c r="N391" t="s">
        <v>422</v>
      </c>
      <c r="O391" t="s">
        <v>1861</v>
      </c>
      <c r="P391">
        <v>4.0325855771564639E-5</v>
      </c>
      <c r="Q391" t="s">
        <v>254</v>
      </c>
      <c r="S391" t="s">
        <v>423</v>
      </c>
      <c r="T391" t="s">
        <v>1861</v>
      </c>
      <c r="U391">
        <v>4.4281891338095738E-5</v>
      </c>
      <c r="V391" t="s">
        <v>254</v>
      </c>
      <c r="X391">
        <v>1.1415525114155251E-4</v>
      </c>
      <c r="Y391">
        <v>1.093901499142282E-4</v>
      </c>
      <c r="Z391" t="s">
        <v>1861</v>
      </c>
      <c r="AA391" t="s">
        <v>25</v>
      </c>
      <c r="AC391" t="s">
        <v>22</v>
      </c>
      <c r="AD391" t="s">
        <v>1861</v>
      </c>
      <c r="AE391">
        <v>9.6002727932192653E-5</v>
      </c>
      <c r="AG391" t="s">
        <v>97</v>
      </c>
      <c r="AH391" t="s">
        <v>1861</v>
      </c>
      <c r="AI391">
        <v>0</v>
      </c>
    </row>
    <row r="392" spans="9:35" x14ac:dyDescent="0.45">
      <c r="I392" t="s">
        <v>252</v>
      </c>
      <c r="J392" t="s">
        <v>1862</v>
      </c>
      <c r="K392">
        <v>0</v>
      </c>
      <c r="L392" t="s">
        <v>254</v>
      </c>
      <c r="N392" t="s">
        <v>422</v>
      </c>
      <c r="O392" t="s">
        <v>1862</v>
      </c>
      <c r="P392">
        <v>3.8889223390734371E-5</v>
      </c>
      <c r="Q392" t="s">
        <v>254</v>
      </c>
      <c r="S392" t="s">
        <v>423</v>
      </c>
      <c r="T392" t="s">
        <v>1862</v>
      </c>
      <c r="U392">
        <v>4.8276217726564313E-5</v>
      </c>
      <c r="V392" t="s">
        <v>254</v>
      </c>
      <c r="X392">
        <v>1.1415525114155251E-4</v>
      </c>
      <c r="Y392">
        <v>7.9556472664893237E-5</v>
      </c>
      <c r="Z392" t="s">
        <v>1862</v>
      </c>
      <c r="AA392" t="s">
        <v>25</v>
      </c>
      <c r="AC392" t="s">
        <v>22</v>
      </c>
      <c r="AD392" t="s">
        <v>1862</v>
      </c>
      <c r="AE392">
        <v>9.2530173232478069E-5</v>
      </c>
      <c r="AG392" t="s">
        <v>97</v>
      </c>
      <c r="AH392" t="s">
        <v>1862</v>
      </c>
      <c r="AI392">
        <v>0</v>
      </c>
    </row>
    <row r="393" spans="9:35" x14ac:dyDescent="0.45">
      <c r="I393" t="s">
        <v>252</v>
      </c>
      <c r="J393" t="s">
        <v>1863</v>
      </c>
      <c r="K393">
        <v>0</v>
      </c>
      <c r="L393" t="s">
        <v>254</v>
      </c>
      <c r="N393" t="s">
        <v>422</v>
      </c>
      <c r="O393" t="s">
        <v>1863</v>
      </c>
      <c r="P393">
        <v>3.8301548640012183E-5</v>
      </c>
      <c r="Q393" t="s">
        <v>254</v>
      </c>
      <c r="S393" t="s">
        <v>423</v>
      </c>
      <c r="T393" t="s">
        <v>1863</v>
      </c>
      <c r="U393">
        <v>5.6437357634780143E-5</v>
      </c>
      <c r="V393" t="s">
        <v>254</v>
      </c>
      <c r="X393">
        <v>1.1415525114155251E-4</v>
      </c>
      <c r="Y393">
        <v>5.6352501470966035E-5</v>
      </c>
      <c r="Z393" t="s">
        <v>1863</v>
      </c>
      <c r="AA393" t="s">
        <v>25</v>
      </c>
      <c r="AC393" t="s">
        <v>22</v>
      </c>
      <c r="AD393" t="s">
        <v>1863</v>
      </c>
      <c r="AE393">
        <v>9.4657688335690542E-5</v>
      </c>
      <c r="AG393" t="s">
        <v>97</v>
      </c>
      <c r="AH393" t="s">
        <v>1863</v>
      </c>
      <c r="AI393">
        <v>0</v>
      </c>
    </row>
    <row r="394" spans="9:35" x14ac:dyDescent="0.45">
      <c r="I394" t="s">
        <v>252</v>
      </c>
      <c r="J394" t="s">
        <v>1864</v>
      </c>
      <c r="K394">
        <v>0</v>
      </c>
      <c r="L394" t="s">
        <v>254</v>
      </c>
      <c r="N394" t="s">
        <v>422</v>
      </c>
      <c r="O394" t="s">
        <v>1864</v>
      </c>
      <c r="P394">
        <v>3.3654031881671714E-5</v>
      </c>
      <c r="Q394" t="s">
        <v>254</v>
      </c>
      <c r="S394" t="s">
        <v>423</v>
      </c>
      <c r="T394" t="s">
        <v>1864</v>
      </c>
      <c r="U394">
        <v>4.68466141657026E-5</v>
      </c>
      <c r="V394" t="s">
        <v>254</v>
      </c>
      <c r="X394">
        <v>1.1415525114155251E-4</v>
      </c>
      <c r="Y394">
        <v>2.9833677249334962E-5</v>
      </c>
      <c r="Z394" t="s">
        <v>1864</v>
      </c>
      <c r="AA394" t="s">
        <v>25</v>
      </c>
      <c r="AC394" t="s">
        <v>22</v>
      </c>
      <c r="AD394" t="s">
        <v>1864</v>
      </c>
      <c r="AE394">
        <v>8.5835660563956094E-5</v>
      </c>
      <c r="AG394" t="s">
        <v>97</v>
      </c>
      <c r="AH394" t="s">
        <v>1864</v>
      </c>
      <c r="AI394">
        <v>0</v>
      </c>
    </row>
    <row r="395" spans="9:35" x14ac:dyDescent="0.45">
      <c r="I395" t="s">
        <v>252</v>
      </c>
      <c r="J395" t="s">
        <v>1865</v>
      </c>
      <c r="K395">
        <v>0</v>
      </c>
      <c r="L395" t="s">
        <v>254</v>
      </c>
      <c r="N395" t="s">
        <v>422</v>
      </c>
      <c r="O395" t="s">
        <v>1865</v>
      </c>
      <c r="P395">
        <v>3.1906148699199427E-5</v>
      </c>
      <c r="Q395" t="s">
        <v>254</v>
      </c>
      <c r="S395" t="s">
        <v>423</v>
      </c>
      <c r="T395" t="s">
        <v>1865</v>
      </c>
      <c r="U395">
        <v>3.9771537295658766E-5</v>
      </c>
      <c r="V395" t="s">
        <v>254</v>
      </c>
      <c r="X395">
        <v>1.1415525114155251E-4</v>
      </c>
      <c r="Y395">
        <v>2.1546544680075254E-5</v>
      </c>
      <c r="Z395" t="s">
        <v>1865</v>
      </c>
      <c r="AA395" t="s">
        <v>25</v>
      </c>
      <c r="AC395" t="s">
        <v>22</v>
      </c>
      <c r="AD395" t="s">
        <v>1865</v>
      </c>
      <c r="AE395">
        <v>8.0133306381066906E-5</v>
      </c>
      <c r="AG395" t="s">
        <v>97</v>
      </c>
      <c r="AH395" t="s">
        <v>1865</v>
      </c>
      <c r="AI395">
        <v>0</v>
      </c>
    </row>
    <row r="396" spans="9:35" x14ac:dyDescent="0.45">
      <c r="I396" t="s">
        <v>252</v>
      </c>
      <c r="J396" t="s">
        <v>1866</v>
      </c>
      <c r="K396">
        <v>0</v>
      </c>
      <c r="L396" t="s">
        <v>254</v>
      </c>
      <c r="N396" t="s">
        <v>422</v>
      </c>
      <c r="O396" t="s">
        <v>1866</v>
      </c>
      <c r="P396">
        <v>3.1294991697989145E-5</v>
      </c>
      <c r="Q396" t="s">
        <v>254</v>
      </c>
      <c r="S396" t="s">
        <v>423</v>
      </c>
      <c r="T396" t="s">
        <v>1866</v>
      </c>
      <c r="U396">
        <v>3.5534524949985278E-5</v>
      </c>
      <c r="V396" t="s">
        <v>254</v>
      </c>
      <c r="X396">
        <v>1.1415525114155251E-4</v>
      </c>
      <c r="Y396">
        <v>1.4916838624667481E-5</v>
      </c>
      <c r="Z396" t="s">
        <v>1866</v>
      </c>
      <c r="AA396" t="s">
        <v>25</v>
      </c>
      <c r="AC396" t="s">
        <v>22</v>
      </c>
      <c r="AD396" t="s">
        <v>1866</v>
      </c>
      <c r="AE396">
        <v>7.901584952998053E-5</v>
      </c>
      <c r="AG396" t="s">
        <v>97</v>
      </c>
      <c r="AH396" t="s">
        <v>1866</v>
      </c>
      <c r="AI396">
        <v>0</v>
      </c>
    </row>
    <row r="397" spans="9:35" x14ac:dyDescent="0.45">
      <c r="I397" t="s">
        <v>252</v>
      </c>
      <c r="J397" t="s">
        <v>1867</v>
      </c>
      <c r="K397">
        <v>0</v>
      </c>
      <c r="L397" t="s">
        <v>254</v>
      </c>
      <c r="N397" t="s">
        <v>422</v>
      </c>
      <c r="O397" t="s">
        <v>1867</v>
      </c>
      <c r="P397">
        <v>3.0735943182498923E-5</v>
      </c>
      <c r="Q397" t="s">
        <v>254</v>
      </c>
      <c r="S397" t="s">
        <v>423</v>
      </c>
      <c r="T397" t="s">
        <v>1867</v>
      </c>
      <c r="U397">
        <v>3.2864067496697409E-5</v>
      </c>
      <c r="V397" t="s">
        <v>254</v>
      </c>
      <c r="X397">
        <v>1.1415525114155251E-4</v>
      </c>
      <c r="Y397">
        <v>1.6574265138519424E-5</v>
      </c>
      <c r="Z397" t="s">
        <v>1867</v>
      </c>
      <c r="AA397" t="s">
        <v>25</v>
      </c>
      <c r="AC397" t="s">
        <v>22</v>
      </c>
      <c r="AD397" t="s">
        <v>1867</v>
      </c>
      <c r="AE397">
        <v>7.901584952998053E-5</v>
      </c>
      <c r="AG397" t="s">
        <v>97</v>
      </c>
      <c r="AH397" t="s">
        <v>1867</v>
      </c>
      <c r="AI397">
        <v>0</v>
      </c>
    </row>
    <row r="398" spans="9:35" x14ac:dyDescent="0.45">
      <c r="I398" t="s">
        <v>252</v>
      </c>
      <c r="J398" t="s">
        <v>1868</v>
      </c>
      <c r="K398">
        <v>0</v>
      </c>
      <c r="L398" t="s">
        <v>254</v>
      </c>
      <c r="N398" t="s">
        <v>422</v>
      </c>
      <c r="O398" t="s">
        <v>1868</v>
      </c>
      <c r="P398">
        <v>3.073102825111934E-5</v>
      </c>
      <c r="Q398" t="s">
        <v>254</v>
      </c>
      <c r="S398" t="s">
        <v>423</v>
      </c>
      <c r="T398" t="s">
        <v>1868</v>
      </c>
      <c r="U398">
        <v>3.0869551288963338E-5</v>
      </c>
      <c r="V398" t="s">
        <v>254</v>
      </c>
      <c r="X398">
        <v>1.1415525114155251E-4</v>
      </c>
      <c r="Y398">
        <v>1.4585353321897093E-5</v>
      </c>
      <c r="Z398" t="s">
        <v>1868</v>
      </c>
      <c r="AA398" t="s">
        <v>25</v>
      </c>
      <c r="AC398" t="s">
        <v>22</v>
      </c>
      <c r="AD398" t="s">
        <v>1868</v>
      </c>
      <c r="AE398">
        <v>8.0048921767598126E-5</v>
      </c>
      <c r="AG398" t="s">
        <v>97</v>
      </c>
      <c r="AH398" t="s">
        <v>1868</v>
      </c>
      <c r="AI398">
        <v>0</v>
      </c>
    </row>
    <row r="399" spans="9:35" x14ac:dyDescent="0.45">
      <c r="I399" t="s">
        <v>252</v>
      </c>
      <c r="J399" t="s">
        <v>1869</v>
      </c>
      <c r="K399">
        <v>0</v>
      </c>
      <c r="L399" t="s">
        <v>254</v>
      </c>
      <c r="N399" t="s">
        <v>422</v>
      </c>
      <c r="O399" t="s">
        <v>1869</v>
      </c>
      <c r="P399">
        <v>2.997846758931142E-5</v>
      </c>
      <c r="Q399" t="s">
        <v>254</v>
      </c>
      <c r="S399" t="s">
        <v>423</v>
      </c>
      <c r="T399" t="s">
        <v>1869</v>
      </c>
      <c r="U399">
        <v>2.820041843411405E-5</v>
      </c>
      <c r="V399" t="s">
        <v>254</v>
      </c>
      <c r="X399">
        <v>1.1415525114155251E-4</v>
      </c>
      <c r="Y399">
        <v>2.1215059377304864E-5</v>
      </c>
      <c r="Z399" t="s">
        <v>1869</v>
      </c>
      <c r="AA399" t="s">
        <v>25</v>
      </c>
      <c r="AC399" t="s">
        <v>22</v>
      </c>
      <c r="AD399" t="s">
        <v>1869</v>
      </c>
      <c r="AE399">
        <v>8.6840604597084124E-5</v>
      </c>
      <c r="AG399" t="s">
        <v>97</v>
      </c>
      <c r="AH399" t="s">
        <v>1869</v>
      </c>
      <c r="AI399">
        <v>0</v>
      </c>
    </row>
    <row r="400" spans="9:35" x14ac:dyDescent="0.45">
      <c r="I400" t="s">
        <v>252</v>
      </c>
      <c r="J400" t="s">
        <v>1870</v>
      </c>
      <c r="K400">
        <v>0</v>
      </c>
      <c r="L400" t="s">
        <v>254</v>
      </c>
      <c r="N400" t="s">
        <v>422</v>
      </c>
      <c r="O400" t="s">
        <v>1870</v>
      </c>
      <c r="P400">
        <v>3.0459138731807801E-5</v>
      </c>
      <c r="Q400" t="s">
        <v>254</v>
      </c>
      <c r="S400" t="s">
        <v>423</v>
      </c>
      <c r="T400" t="s">
        <v>1870</v>
      </c>
      <c r="U400">
        <v>2.689804173468857E-5</v>
      </c>
      <c r="V400" t="s">
        <v>254</v>
      </c>
      <c r="X400">
        <v>1.1415525114155251E-4</v>
      </c>
      <c r="Y400">
        <v>5.7678442682047593E-5</v>
      </c>
      <c r="Z400" t="s">
        <v>1870</v>
      </c>
      <c r="AA400" t="s">
        <v>25</v>
      </c>
      <c r="AC400" t="s">
        <v>22</v>
      </c>
      <c r="AD400" t="s">
        <v>1870</v>
      </c>
      <c r="AE400">
        <v>1.0243385832231207E-4</v>
      </c>
      <c r="AG400" t="s">
        <v>97</v>
      </c>
      <c r="AH400" t="s">
        <v>1870</v>
      </c>
      <c r="AI400">
        <v>0</v>
      </c>
    </row>
    <row r="401" spans="9:35" x14ac:dyDescent="0.45">
      <c r="I401" t="s">
        <v>252</v>
      </c>
      <c r="J401" t="s">
        <v>1871</v>
      </c>
      <c r="K401">
        <v>4.2057934589133619E-7</v>
      </c>
      <c r="L401" t="s">
        <v>254</v>
      </c>
      <c r="N401" t="s">
        <v>422</v>
      </c>
      <c r="O401" t="s">
        <v>1871</v>
      </c>
      <c r="P401">
        <v>3.3171117190108364E-5</v>
      </c>
      <c r="Q401" t="s">
        <v>254</v>
      </c>
      <c r="S401" t="s">
        <v>423</v>
      </c>
      <c r="T401" t="s">
        <v>1871</v>
      </c>
      <c r="U401">
        <v>2.7750827675545807E-5</v>
      </c>
      <c r="V401" t="s">
        <v>254</v>
      </c>
      <c r="X401">
        <v>1.1415525114155251E-4</v>
      </c>
      <c r="Y401">
        <v>1.6905750441289813E-4</v>
      </c>
      <c r="Z401" t="s">
        <v>1871</v>
      </c>
      <c r="AA401" t="s">
        <v>25</v>
      </c>
      <c r="AC401" t="s">
        <v>22</v>
      </c>
      <c r="AD401" t="s">
        <v>1871</v>
      </c>
      <c r="AE401">
        <v>1.1428350374092581E-4</v>
      </c>
      <c r="AG401" t="s">
        <v>97</v>
      </c>
      <c r="AH401" t="s">
        <v>1871</v>
      </c>
      <c r="AI401">
        <v>0</v>
      </c>
    </row>
    <row r="402" spans="9:35" x14ac:dyDescent="0.45">
      <c r="I402" t="s">
        <v>252</v>
      </c>
      <c r="J402" t="s">
        <v>1872</v>
      </c>
      <c r="K402">
        <v>7.920650429448173E-5</v>
      </c>
      <c r="L402" t="s">
        <v>254</v>
      </c>
      <c r="N402" t="s">
        <v>422</v>
      </c>
      <c r="O402" t="s">
        <v>1872</v>
      </c>
      <c r="P402">
        <v>3.1075350932897762E-5</v>
      </c>
      <c r="Q402" t="s">
        <v>254</v>
      </c>
      <c r="S402" t="s">
        <v>423</v>
      </c>
      <c r="T402" t="s">
        <v>1872</v>
      </c>
      <c r="U402">
        <v>2.9073628080120008E-5</v>
      </c>
      <c r="V402" t="s">
        <v>254</v>
      </c>
      <c r="X402">
        <v>1.1415525114155251E-4</v>
      </c>
      <c r="Y402">
        <v>1.9060404909297337E-4</v>
      </c>
      <c r="Z402" t="s">
        <v>1872</v>
      </c>
      <c r="AA402" t="s">
        <v>25</v>
      </c>
      <c r="AC402" t="s">
        <v>22</v>
      </c>
      <c r="AD402" t="s">
        <v>1872</v>
      </c>
      <c r="AE402">
        <v>1.222591282684735E-4</v>
      </c>
      <c r="AG402" t="s">
        <v>97</v>
      </c>
      <c r="AH402" t="s">
        <v>1872</v>
      </c>
      <c r="AI402">
        <v>0</v>
      </c>
    </row>
    <row r="403" spans="9:35" x14ac:dyDescent="0.45">
      <c r="I403" t="s">
        <v>252</v>
      </c>
      <c r="J403" t="s">
        <v>1873</v>
      </c>
      <c r="K403">
        <v>1.4518628178089999E-4</v>
      </c>
      <c r="L403" t="s">
        <v>254</v>
      </c>
      <c r="N403" t="s">
        <v>422</v>
      </c>
      <c r="O403" t="s">
        <v>1873</v>
      </c>
      <c r="P403">
        <v>2.559749757255029E-5</v>
      </c>
      <c r="Q403" t="s">
        <v>254</v>
      </c>
      <c r="S403" t="s">
        <v>423</v>
      </c>
      <c r="T403" t="s">
        <v>1873</v>
      </c>
      <c r="U403">
        <v>3.0888147508942493E-5</v>
      </c>
      <c r="V403" t="s">
        <v>254</v>
      </c>
      <c r="X403">
        <v>1.1415525114155251E-4</v>
      </c>
      <c r="Y403">
        <v>1.4585353321897094E-4</v>
      </c>
      <c r="Z403" t="s">
        <v>1873</v>
      </c>
      <c r="AA403" t="s">
        <v>25</v>
      </c>
      <c r="AC403" t="s">
        <v>22</v>
      </c>
      <c r="AD403" t="s">
        <v>1873</v>
      </c>
      <c r="AE403">
        <v>1.2750120274153311E-4</v>
      </c>
      <c r="AG403" t="s">
        <v>97</v>
      </c>
      <c r="AH403" t="s">
        <v>1873</v>
      </c>
      <c r="AI403">
        <v>0</v>
      </c>
    </row>
    <row r="404" spans="9:35" x14ac:dyDescent="0.45">
      <c r="I404" t="s">
        <v>252</v>
      </c>
      <c r="J404" t="s">
        <v>1874</v>
      </c>
      <c r="K404">
        <v>2.041808831374E-4</v>
      </c>
      <c r="L404" t="s">
        <v>254</v>
      </c>
      <c r="N404" t="s">
        <v>422</v>
      </c>
      <c r="O404" t="s">
        <v>1874</v>
      </c>
      <c r="P404">
        <v>2.1141155240731917E-5</v>
      </c>
      <c r="Q404" t="s">
        <v>254</v>
      </c>
      <c r="S404" t="s">
        <v>423</v>
      </c>
      <c r="T404" t="s">
        <v>1874</v>
      </c>
      <c r="U404">
        <v>2.9542421315392777E-5</v>
      </c>
      <c r="V404" t="s">
        <v>254</v>
      </c>
      <c r="X404">
        <v>1.1415525114155251E-4</v>
      </c>
      <c r="Y404">
        <v>1.4452759200788939E-4</v>
      </c>
      <c r="Z404" t="s">
        <v>1874</v>
      </c>
      <c r="AA404" t="s">
        <v>25</v>
      </c>
      <c r="AC404" t="s">
        <v>22</v>
      </c>
      <c r="AD404" t="s">
        <v>1874</v>
      </c>
      <c r="AE404">
        <v>1.2756768758850849E-4</v>
      </c>
      <c r="AG404" t="s">
        <v>97</v>
      </c>
      <c r="AH404" t="s">
        <v>1874</v>
      </c>
      <c r="AI404">
        <v>0</v>
      </c>
    </row>
    <row r="405" spans="9:35" x14ac:dyDescent="0.45">
      <c r="I405" t="s">
        <v>252</v>
      </c>
      <c r="J405" t="s">
        <v>1875</v>
      </c>
      <c r="K405">
        <v>2.502357475638E-4</v>
      </c>
      <c r="L405" t="s">
        <v>254</v>
      </c>
      <c r="N405" t="s">
        <v>422</v>
      </c>
      <c r="O405" t="s">
        <v>1875</v>
      </c>
      <c r="P405">
        <v>2.1184814862373397E-5</v>
      </c>
      <c r="Q405" t="s">
        <v>254</v>
      </c>
      <c r="S405" t="s">
        <v>423</v>
      </c>
      <c r="T405" t="s">
        <v>1875</v>
      </c>
      <c r="U405">
        <v>4.1398065854470639E-5</v>
      </c>
      <c r="V405" t="s">
        <v>254</v>
      </c>
      <c r="X405">
        <v>1.1415525114155251E-4</v>
      </c>
      <c r="Y405">
        <v>1.408812536774151E-4</v>
      </c>
      <c r="Z405" t="s">
        <v>1875</v>
      </c>
      <c r="AA405" t="s">
        <v>25</v>
      </c>
      <c r="AC405" t="s">
        <v>22</v>
      </c>
      <c r="AD405" t="s">
        <v>1875</v>
      </c>
      <c r="AE405">
        <v>1.2748841719403784E-4</v>
      </c>
      <c r="AG405" t="s">
        <v>97</v>
      </c>
      <c r="AH405" t="s">
        <v>1875</v>
      </c>
      <c r="AI405">
        <v>0</v>
      </c>
    </row>
    <row r="406" spans="9:35" x14ac:dyDescent="0.45">
      <c r="I406" t="s">
        <v>252</v>
      </c>
      <c r="J406" t="s">
        <v>1876</v>
      </c>
      <c r="K406">
        <v>2.4183660186060001E-4</v>
      </c>
      <c r="L406" t="s">
        <v>254</v>
      </c>
      <c r="N406" t="s">
        <v>422</v>
      </c>
      <c r="O406" t="s">
        <v>1876</v>
      </c>
      <c r="P406">
        <v>2.2556789224207856E-5</v>
      </c>
      <c r="Q406" t="s">
        <v>254</v>
      </c>
      <c r="S406" t="s">
        <v>423</v>
      </c>
      <c r="T406" t="s">
        <v>1876</v>
      </c>
      <c r="U406">
        <v>5.2281014085653078E-5</v>
      </c>
      <c r="V406" t="s">
        <v>254</v>
      </c>
      <c r="X406">
        <v>1.1415525114155251E-4</v>
      </c>
      <c r="Y406">
        <v>1.4054976837464471E-4</v>
      </c>
      <c r="Z406" t="s">
        <v>1876</v>
      </c>
      <c r="AA406" t="s">
        <v>25</v>
      </c>
      <c r="AC406" t="s">
        <v>22</v>
      </c>
      <c r="AD406" t="s">
        <v>1876</v>
      </c>
      <c r="AE406">
        <v>1.2704603725070159E-4</v>
      </c>
      <c r="AG406" t="s">
        <v>97</v>
      </c>
      <c r="AH406" t="s">
        <v>1876</v>
      </c>
      <c r="AI406">
        <v>0</v>
      </c>
    </row>
    <row r="407" spans="9:35" x14ac:dyDescent="0.45">
      <c r="I407" t="s">
        <v>252</v>
      </c>
      <c r="J407" t="s">
        <v>1877</v>
      </c>
      <c r="K407">
        <v>2.1392690628139999E-4</v>
      </c>
      <c r="L407" t="s">
        <v>254</v>
      </c>
      <c r="N407" t="s">
        <v>422</v>
      </c>
      <c r="O407" t="s">
        <v>1877</v>
      </c>
      <c r="P407">
        <v>2.6509234262134769E-5</v>
      </c>
      <c r="Q407" t="s">
        <v>254</v>
      </c>
      <c r="S407" t="s">
        <v>423</v>
      </c>
      <c r="T407" t="s">
        <v>1877</v>
      </c>
      <c r="U407">
        <v>5.7767525616038342E-5</v>
      </c>
      <c r="V407" t="s">
        <v>254</v>
      </c>
      <c r="X407">
        <v>1.1415525114155251E-4</v>
      </c>
      <c r="Y407">
        <v>1.4253868019126702E-4</v>
      </c>
      <c r="Z407" t="s">
        <v>1877</v>
      </c>
      <c r="AA407" t="s">
        <v>25</v>
      </c>
      <c r="AC407" t="s">
        <v>22</v>
      </c>
      <c r="AD407" t="s">
        <v>1877</v>
      </c>
      <c r="AE407">
        <v>1.2704603725070159E-4</v>
      </c>
      <c r="AG407" t="s">
        <v>97</v>
      </c>
      <c r="AH407" t="s">
        <v>1877</v>
      </c>
      <c r="AI407">
        <v>0</v>
      </c>
    </row>
    <row r="408" spans="9:35" x14ac:dyDescent="0.45">
      <c r="I408" t="s">
        <v>252</v>
      </c>
      <c r="J408" t="s">
        <v>1878</v>
      </c>
      <c r="K408">
        <v>2.10345785809E-4</v>
      </c>
      <c r="L408" t="s">
        <v>254</v>
      </c>
      <c r="N408" t="s">
        <v>422</v>
      </c>
      <c r="O408" t="s">
        <v>1878</v>
      </c>
      <c r="P408">
        <v>3.029445368942508E-5</v>
      </c>
      <c r="Q408" t="s">
        <v>254</v>
      </c>
      <c r="S408" t="s">
        <v>423</v>
      </c>
      <c r="T408" t="s">
        <v>1878</v>
      </c>
      <c r="U408">
        <v>5.5520304496454096E-5</v>
      </c>
      <c r="V408" t="s">
        <v>254</v>
      </c>
      <c r="X408">
        <v>1.1415525114155251E-4</v>
      </c>
      <c r="Y408">
        <v>1.4883690094390442E-4</v>
      </c>
      <c r="Z408" t="s">
        <v>1878</v>
      </c>
      <c r="AA408" t="s">
        <v>25</v>
      </c>
      <c r="AC408" t="s">
        <v>22</v>
      </c>
      <c r="AD408" t="s">
        <v>1878</v>
      </c>
      <c r="AE408">
        <v>1.2581095336265877E-4</v>
      </c>
      <c r="AG408" t="s">
        <v>97</v>
      </c>
      <c r="AH408" t="s">
        <v>1878</v>
      </c>
      <c r="AI408">
        <v>0</v>
      </c>
    </row>
    <row r="409" spans="9:35" x14ac:dyDescent="0.45">
      <c r="I409" t="s">
        <v>252</v>
      </c>
      <c r="J409" t="s">
        <v>1879</v>
      </c>
      <c r="K409">
        <v>1.943573956904E-4</v>
      </c>
      <c r="L409" t="s">
        <v>254</v>
      </c>
      <c r="N409" t="s">
        <v>422</v>
      </c>
      <c r="O409" t="s">
        <v>1879</v>
      </c>
      <c r="P409">
        <v>3.1274082998777582E-5</v>
      </c>
      <c r="Q409" t="s">
        <v>254</v>
      </c>
      <c r="S409" t="s">
        <v>423</v>
      </c>
      <c r="T409" t="s">
        <v>1879</v>
      </c>
      <c r="U409">
        <v>5.0545618168607589E-5</v>
      </c>
      <c r="V409" t="s">
        <v>254</v>
      </c>
      <c r="X409">
        <v>1.1415525114155251E-4</v>
      </c>
      <c r="Y409">
        <v>1.5049432745775637E-4</v>
      </c>
      <c r="Z409" t="s">
        <v>1879</v>
      </c>
      <c r="AA409" t="s">
        <v>25</v>
      </c>
      <c r="AC409" t="s">
        <v>22</v>
      </c>
      <c r="AD409" t="s">
        <v>1879</v>
      </c>
      <c r="AE409">
        <v>1.2479578089153454E-4</v>
      </c>
      <c r="AG409" t="s">
        <v>97</v>
      </c>
      <c r="AH409" t="s">
        <v>1879</v>
      </c>
      <c r="AI409">
        <v>0</v>
      </c>
    </row>
    <row r="410" spans="9:35" x14ac:dyDescent="0.45">
      <c r="I410" t="s">
        <v>252</v>
      </c>
      <c r="J410" t="s">
        <v>1880</v>
      </c>
      <c r="K410">
        <v>1.995036049528E-4</v>
      </c>
      <c r="L410" t="s">
        <v>254</v>
      </c>
      <c r="N410" t="s">
        <v>422</v>
      </c>
      <c r="O410" t="s">
        <v>1880</v>
      </c>
      <c r="P410">
        <v>3.2057964908343284E-5</v>
      </c>
      <c r="Q410" t="s">
        <v>254</v>
      </c>
      <c r="S410" t="s">
        <v>423</v>
      </c>
      <c r="T410" t="s">
        <v>1880</v>
      </c>
      <c r="U410">
        <v>5.1026484633259998E-5</v>
      </c>
      <c r="V410" t="s">
        <v>254</v>
      </c>
      <c r="X410">
        <v>1.1415525114155251E-4</v>
      </c>
      <c r="Y410">
        <v>1.7237235744060203E-4</v>
      </c>
      <c r="Z410" t="s">
        <v>1880</v>
      </c>
      <c r="AA410" t="s">
        <v>25</v>
      </c>
      <c r="AC410" t="s">
        <v>22</v>
      </c>
      <c r="AD410" t="s">
        <v>1880</v>
      </c>
      <c r="AE410">
        <v>1.2479578089153454E-4</v>
      </c>
      <c r="AG410" t="s">
        <v>97</v>
      </c>
      <c r="AH410" t="s">
        <v>1880</v>
      </c>
      <c r="AI410">
        <v>0</v>
      </c>
    </row>
    <row r="411" spans="9:35" x14ac:dyDescent="0.45">
      <c r="I411" t="s">
        <v>252</v>
      </c>
      <c r="J411" t="s">
        <v>1881</v>
      </c>
      <c r="K411">
        <v>1.6573924479780001E-4</v>
      </c>
      <c r="L411" t="s">
        <v>254</v>
      </c>
      <c r="N411" t="s">
        <v>422</v>
      </c>
      <c r="O411" t="s">
        <v>1881</v>
      </c>
      <c r="P411">
        <v>3.2454689719323502E-5</v>
      </c>
      <c r="Q411" t="s">
        <v>254</v>
      </c>
      <c r="S411" t="s">
        <v>423</v>
      </c>
      <c r="T411" t="s">
        <v>1881</v>
      </c>
      <c r="U411">
        <v>5.6775026546545667E-5</v>
      </c>
      <c r="V411" t="s">
        <v>254</v>
      </c>
      <c r="X411">
        <v>1.1415525114155251E-4</v>
      </c>
      <c r="Y411">
        <v>2.2209515285616027E-4</v>
      </c>
      <c r="Z411" t="s">
        <v>1881</v>
      </c>
      <c r="AA411" t="s">
        <v>25</v>
      </c>
      <c r="AC411" t="s">
        <v>22</v>
      </c>
      <c r="AD411" t="s">
        <v>1881</v>
      </c>
      <c r="AE411">
        <v>1.2449915618964436E-4</v>
      </c>
      <c r="AG411" t="s">
        <v>97</v>
      </c>
      <c r="AH411" t="s">
        <v>1881</v>
      </c>
      <c r="AI411">
        <v>0</v>
      </c>
    </row>
    <row r="412" spans="9:35" x14ac:dyDescent="0.45">
      <c r="I412" t="s">
        <v>252</v>
      </c>
      <c r="J412" t="s">
        <v>1882</v>
      </c>
      <c r="K412">
        <v>1.296021840101E-4</v>
      </c>
      <c r="L412" t="s">
        <v>254</v>
      </c>
      <c r="N412" t="s">
        <v>422</v>
      </c>
      <c r="O412" t="s">
        <v>1882</v>
      </c>
      <c r="P412">
        <v>3.6131670211112543E-5</v>
      </c>
      <c r="Q412" t="s">
        <v>254</v>
      </c>
      <c r="S412" t="s">
        <v>423</v>
      </c>
      <c r="T412" t="s">
        <v>1882</v>
      </c>
      <c r="U412">
        <v>6.1719754257643888E-5</v>
      </c>
      <c r="V412" t="s">
        <v>254</v>
      </c>
      <c r="X412">
        <v>1.1415525114155251E-4</v>
      </c>
      <c r="Y412">
        <v>2.2209515285616027E-4</v>
      </c>
      <c r="Z412" t="s">
        <v>1882</v>
      </c>
      <c r="AA412" t="s">
        <v>25</v>
      </c>
      <c r="AC412" t="s">
        <v>22</v>
      </c>
      <c r="AD412" t="s">
        <v>1882</v>
      </c>
      <c r="AE412">
        <v>1.2449915618964436E-4</v>
      </c>
      <c r="AG412" t="s">
        <v>97</v>
      </c>
      <c r="AH412" t="s">
        <v>1882</v>
      </c>
      <c r="AI412">
        <v>0</v>
      </c>
    </row>
    <row r="413" spans="9:35" x14ac:dyDescent="0.45">
      <c r="I413" t="s">
        <v>252</v>
      </c>
      <c r="J413" t="s">
        <v>1883</v>
      </c>
      <c r="K413">
        <v>3.5836835413368332E-5</v>
      </c>
      <c r="L413" t="s">
        <v>254</v>
      </c>
      <c r="N413" t="s">
        <v>422</v>
      </c>
      <c r="O413" t="s">
        <v>1883</v>
      </c>
      <c r="P413">
        <v>4.0696603219425038E-5</v>
      </c>
      <c r="Q413" t="s">
        <v>254</v>
      </c>
      <c r="S413" t="s">
        <v>423</v>
      </c>
      <c r="T413" t="s">
        <v>1883</v>
      </c>
      <c r="U413">
        <v>6.3870972927719506E-5</v>
      </c>
      <c r="V413" t="s">
        <v>254</v>
      </c>
      <c r="X413">
        <v>1.1415525114155251E-4</v>
      </c>
      <c r="Y413">
        <v>1.7237235744060203E-4</v>
      </c>
      <c r="Z413" t="s">
        <v>1883</v>
      </c>
      <c r="AA413" t="s">
        <v>25</v>
      </c>
      <c r="AC413" t="s">
        <v>22</v>
      </c>
      <c r="AD413" t="s">
        <v>1883</v>
      </c>
      <c r="AE413">
        <v>1.2403376226081662E-4</v>
      </c>
      <c r="AG413" t="s">
        <v>97</v>
      </c>
      <c r="AH413" t="s">
        <v>1883</v>
      </c>
      <c r="AI413">
        <v>0</v>
      </c>
    </row>
    <row r="414" spans="9:35" x14ac:dyDescent="0.45">
      <c r="I414" t="s">
        <v>252</v>
      </c>
      <c r="J414" t="s">
        <v>1884</v>
      </c>
      <c r="K414">
        <v>0</v>
      </c>
      <c r="L414" t="s">
        <v>254</v>
      </c>
      <c r="N414" t="s">
        <v>422</v>
      </c>
      <c r="O414" t="s">
        <v>1884</v>
      </c>
      <c r="P414">
        <v>4.2308317529541901E-5</v>
      </c>
      <c r="Q414" t="s">
        <v>254</v>
      </c>
      <c r="S414" t="s">
        <v>423</v>
      </c>
      <c r="T414" t="s">
        <v>1884</v>
      </c>
      <c r="U414">
        <v>7.0200006663653894E-5</v>
      </c>
      <c r="V414" t="s">
        <v>254</v>
      </c>
      <c r="X414">
        <v>1.1415525114155251E-4</v>
      </c>
      <c r="Y414">
        <v>1.5579809230208258E-4</v>
      </c>
      <c r="Z414" t="s">
        <v>1884</v>
      </c>
      <c r="AA414" t="s">
        <v>25</v>
      </c>
      <c r="AC414" t="s">
        <v>22</v>
      </c>
      <c r="AD414" t="s">
        <v>1884</v>
      </c>
      <c r="AE414">
        <v>1.2184487652962686E-4</v>
      </c>
      <c r="AG414" t="s">
        <v>97</v>
      </c>
      <c r="AH414" t="s">
        <v>1884</v>
      </c>
      <c r="AI414">
        <v>0</v>
      </c>
    </row>
    <row r="415" spans="9:35" x14ac:dyDescent="0.45">
      <c r="I415" t="s">
        <v>252</v>
      </c>
      <c r="J415" t="s">
        <v>1885</v>
      </c>
      <c r="K415">
        <v>0</v>
      </c>
      <c r="L415" t="s">
        <v>254</v>
      </c>
      <c r="N415" t="s">
        <v>422</v>
      </c>
      <c r="O415" t="s">
        <v>1885</v>
      </c>
      <c r="P415">
        <v>4.3387743658370177E-5</v>
      </c>
      <c r="Q415" t="s">
        <v>254</v>
      </c>
      <c r="S415" t="s">
        <v>423</v>
      </c>
      <c r="T415" t="s">
        <v>1885</v>
      </c>
      <c r="U415">
        <v>7.4371481878776055E-5</v>
      </c>
      <c r="V415" t="s">
        <v>254</v>
      </c>
      <c r="X415">
        <v>1.1415525114155251E-4</v>
      </c>
      <c r="Y415">
        <v>1.093901499142282E-4</v>
      </c>
      <c r="Z415" t="s">
        <v>1885</v>
      </c>
      <c r="AA415" t="s">
        <v>25</v>
      </c>
      <c r="AC415" t="s">
        <v>22</v>
      </c>
      <c r="AD415" t="s">
        <v>1885</v>
      </c>
      <c r="AE415">
        <v>1.1550068786247523E-4</v>
      </c>
      <c r="AG415" t="s">
        <v>97</v>
      </c>
      <c r="AH415" t="s">
        <v>1885</v>
      </c>
      <c r="AI415">
        <v>0</v>
      </c>
    </row>
    <row r="416" spans="9:35" x14ac:dyDescent="0.45">
      <c r="I416" t="s">
        <v>252</v>
      </c>
      <c r="J416" t="s">
        <v>1886</v>
      </c>
      <c r="K416">
        <v>0</v>
      </c>
      <c r="L416" t="s">
        <v>254</v>
      </c>
      <c r="N416" t="s">
        <v>422</v>
      </c>
      <c r="O416" t="s">
        <v>1886</v>
      </c>
      <c r="P416">
        <v>5.1022474600594536E-5</v>
      </c>
      <c r="Q416" t="s">
        <v>254</v>
      </c>
      <c r="S416" t="s">
        <v>423</v>
      </c>
      <c r="T416" t="s">
        <v>1886</v>
      </c>
      <c r="U416">
        <v>1.002858985674E-4</v>
      </c>
      <c r="V416" t="s">
        <v>254</v>
      </c>
      <c r="X416">
        <v>1.1415525114155251E-4</v>
      </c>
      <c r="Y416">
        <v>7.9556472664893237E-5</v>
      </c>
      <c r="Z416" t="s">
        <v>1886</v>
      </c>
      <c r="AA416" t="s">
        <v>25</v>
      </c>
      <c r="AC416" t="s">
        <v>22</v>
      </c>
      <c r="AD416" t="s">
        <v>1886</v>
      </c>
      <c r="AE416">
        <v>1.0886754582193058E-4</v>
      </c>
      <c r="AG416" t="s">
        <v>97</v>
      </c>
      <c r="AH416" t="s">
        <v>1886</v>
      </c>
      <c r="AI416">
        <v>0</v>
      </c>
    </row>
    <row r="417" spans="9:35" x14ac:dyDescent="0.45">
      <c r="I417" t="s">
        <v>252</v>
      </c>
      <c r="J417" t="s">
        <v>1887</v>
      </c>
      <c r="K417">
        <v>0</v>
      </c>
      <c r="L417" t="s">
        <v>254</v>
      </c>
      <c r="N417" t="s">
        <v>422</v>
      </c>
      <c r="O417" t="s">
        <v>1887</v>
      </c>
      <c r="P417">
        <v>6.3286378759460268E-5</v>
      </c>
      <c r="Q417" t="s">
        <v>254</v>
      </c>
      <c r="S417" t="s">
        <v>423</v>
      </c>
      <c r="T417" t="s">
        <v>1887</v>
      </c>
      <c r="U417">
        <v>1.090800101143E-4</v>
      </c>
      <c r="V417" t="s">
        <v>254</v>
      </c>
      <c r="X417">
        <v>1.1415525114155251E-4</v>
      </c>
      <c r="Y417">
        <v>5.6352501470966035E-5</v>
      </c>
      <c r="Z417" t="s">
        <v>1887</v>
      </c>
      <c r="AA417" t="s">
        <v>25</v>
      </c>
      <c r="AC417" t="s">
        <v>22</v>
      </c>
      <c r="AD417" t="s">
        <v>1887</v>
      </c>
      <c r="AE417">
        <v>9.5015683665558001E-5</v>
      </c>
      <c r="AG417" t="s">
        <v>97</v>
      </c>
      <c r="AH417" t="s">
        <v>1887</v>
      </c>
      <c r="AI417">
        <v>0</v>
      </c>
    </row>
    <row r="418" spans="9:35" x14ac:dyDescent="0.45">
      <c r="I418" t="s">
        <v>252</v>
      </c>
      <c r="J418" t="s">
        <v>1888</v>
      </c>
      <c r="K418">
        <v>0</v>
      </c>
      <c r="L418" t="s">
        <v>254</v>
      </c>
      <c r="N418" t="s">
        <v>422</v>
      </c>
      <c r="O418" t="s">
        <v>1888</v>
      </c>
      <c r="P418">
        <v>6.9594129018796553E-5</v>
      </c>
      <c r="Q418" t="s">
        <v>254</v>
      </c>
      <c r="S418" t="s">
        <v>423</v>
      </c>
      <c r="T418" t="s">
        <v>1888</v>
      </c>
      <c r="U418">
        <v>9.5785287045516674E-5</v>
      </c>
      <c r="V418" t="s">
        <v>254</v>
      </c>
      <c r="X418">
        <v>1.1415525114155251E-4</v>
      </c>
      <c r="Y418">
        <v>2.9833677249334962E-5</v>
      </c>
      <c r="Z418" t="s">
        <v>1888</v>
      </c>
      <c r="AA418" t="s">
        <v>25</v>
      </c>
      <c r="AC418" t="s">
        <v>22</v>
      </c>
      <c r="AD418" t="s">
        <v>1888</v>
      </c>
      <c r="AE418">
        <v>8.6201327222320756E-5</v>
      </c>
      <c r="AG418" t="s">
        <v>97</v>
      </c>
      <c r="AH418" t="s">
        <v>1888</v>
      </c>
      <c r="AI418">
        <v>0</v>
      </c>
    </row>
    <row r="419" spans="9:35" x14ac:dyDescent="0.45">
      <c r="I419" t="s">
        <v>252</v>
      </c>
      <c r="J419" t="s">
        <v>398</v>
      </c>
      <c r="K419">
        <v>3.2958281595258512E-7</v>
      </c>
      <c r="L419" t="s">
        <v>254</v>
      </c>
      <c r="N419" t="s">
        <v>422</v>
      </c>
      <c r="O419" t="s">
        <v>398</v>
      </c>
      <c r="P419">
        <v>3.0734248303117023E-2</v>
      </c>
      <c r="Q419" t="s">
        <v>254</v>
      </c>
      <c r="S419" t="s">
        <v>423</v>
      </c>
      <c r="T419" t="s">
        <v>398</v>
      </c>
      <c r="U419">
        <v>2.86731600145597E-2</v>
      </c>
      <c r="V419" t="s">
        <v>254</v>
      </c>
      <c r="X419">
        <v>2.4771689497716895E-2</v>
      </c>
      <c r="Y419">
        <v>9.7827942553597048E-3</v>
      </c>
      <c r="Z419" t="s">
        <v>398</v>
      </c>
      <c r="AA419" t="s">
        <v>25</v>
      </c>
      <c r="AC419" t="s">
        <v>22</v>
      </c>
      <c r="AD419" t="s">
        <v>398</v>
      </c>
      <c r="AE419">
        <v>1.8463570384942989E-2</v>
      </c>
      <c r="AG419" t="s">
        <v>97</v>
      </c>
      <c r="AH419" t="s">
        <v>398</v>
      </c>
      <c r="AI419">
        <v>0.26158392147292209</v>
      </c>
    </row>
    <row r="420" spans="9:35" x14ac:dyDescent="0.45">
      <c r="I420" t="s">
        <v>252</v>
      </c>
      <c r="J420" t="s">
        <v>399</v>
      </c>
      <c r="K420">
        <v>1.8984719522335222E-3</v>
      </c>
      <c r="L420" t="s">
        <v>254</v>
      </c>
      <c r="N420" t="s">
        <v>422</v>
      </c>
      <c r="O420" t="s">
        <v>399</v>
      </c>
      <c r="P420">
        <v>4.4344888697710307E-3</v>
      </c>
      <c r="Q420" t="s">
        <v>254</v>
      </c>
      <c r="S420" t="s">
        <v>423</v>
      </c>
      <c r="T420" t="s">
        <v>399</v>
      </c>
      <c r="U420">
        <v>4.1685888254161954E-3</v>
      </c>
      <c r="V420" t="s">
        <v>254</v>
      </c>
      <c r="X420">
        <v>3.5388127853881279E-3</v>
      </c>
      <c r="Y420">
        <v>5.9087255218821738E-3</v>
      </c>
      <c r="Z420" t="s">
        <v>399</v>
      </c>
      <c r="AA420" t="s">
        <v>25</v>
      </c>
      <c r="AC420" t="s">
        <v>22</v>
      </c>
      <c r="AD420" t="s">
        <v>399</v>
      </c>
      <c r="AE420">
        <v>3.5211649293716706E-3</v>
      </c>
      <c r="AG420" t="s">
        <v>97</v>
      </c>
      <c r="AH420" t="s">
        <v>399</v>
      </c>
      <c r="AI420">
        <v>7.9840231634114911E-2</v>
      </c>
    </row>
    <row r="421" spans="9:35" x14ac:dyDescent="0.45">
      <c r="I421" t="s">
        <v>252</v>
      </c>
      <c r="J421" t="s">
        <v>400</v>
      </c>
      <c r="K421">
        <v>1.0745151550953907E-2</v>
      </c>
      <c r="L421" t="s">
        <v>254</v>
      </c>
      <c r="N421" t="s">
        <v>422</v>
      </c>
      <c r="O421" t="s">
        <v>400</v>
      </c>
      <c r="P421">
        <v>8.8286100848873218E-3</v>
      </c>
      <c r="Q421" t="s">
        <v>254</v>
      </c>
      <c r="S421" t="s">
        <v>423</v>
      </c>
      <c r="T421" t="s">
        <v>400</v>
      </c>
      <c r="U421">
        <v>8.3054739636949666E-3</v>
      </c>
      <c r="V421" t="s">
        <v>254</v>
      </c>
      <c r="X421">
        <v>7.0776255707762558E-3</v>
      </c>
      <c r="Y421">
        <v>9.0018148820326695E-3</v>
      </c>
      <c r="Z421" t="s">
        <v>400</v>
      </c>
      <c r="AA421" t="s">
        <v>25</v>
      </c>
      <c r="AC421" t="s">
        <v>22</v>
      </c>
      <c r="AD421" t="s">
        <v>400</v>
      </c>
      <c r="AE421">
        <v>7.4816693988852137E-3</v>
      </c>
      <c r="AG421" t="s">
        <v>97</v>
      </c>
      <c r="AH421" t="s">
        <v>400</v>
      </c>
      <c r="AI421">
        <v>6.3218942958019442E-2</v>
      </c>
    </row>
    <row r="422" spans="9:35" x14ac:dyDescent="0.45">
      <c r="I422" t="s">
        <v>252</v>
      </c>
      <c r="J422" t="s">
        <v>401</v>
      </c>
      <c r="K422">
        <v>2.1831181533129931E-2</v>
      </c>
      <c r="L422" t="s">
        <v>254</v>
      </c>
      <c r="N422" t="s">
        <v>422</v>
      </c>
      <c r="O422" t="s">
        <v>401</v>
      </c>
      <c r="P422">
        <v>1.2791133872752417E-2</v>
      </c>
      <c r="Q422" t="s">
        <v>254</v>
      </c>
      <c r="S422" t="s">
        <v>423</v>
      </c>
      <c r="T422" t="s">
        <v>401</v>
      </c>
      <c r="U422">
        <v>1.2222527696226625E-2</v>
      </c>
      <c r="V422" t="s">
        <v>254</v>
      </c>
      <c r="X422">
        <v>1.0616438356164383E-2</v>
      </c>
      <c r="Y422">
        <v>1.3143060769543132E-2</v>
      </c>
      <c r="Z422" t="s">
        <v>401</v>
      </c>
      <c r="AA422" t="s">
        <v>25</v>
      </c>
      <c r="AC422" t="s">
        <v>22</v>
      </c>
      <c r="AD422" t="s">
        <v>401</v>
      </c>
      <c r="AE422">
        <v>1.1209668687197322E-2</v>
      </c>
      <c r="AG422" t="s">
        <v>97</v>
      </c>
      <c r="AH422" t="s">
        <v>401</v>
      </c>
      <c r="AI422">
        <v>6.548258060104617E-2</v>
      </c>
    </row>
    <row r="423" spans="9:35" x14ac:dyDescent="0.45">
      <c r="I423" t="s">
        <v>252</v>
      </c>
      <c r="J423" t="s">
        <v>402</v>
      </c>
      <c r="K423">
        <v>7.2855052323544658E-3</v>
      </c>
      <c r="L423" t="s">
        <v>254</v>
      </c>
      <c r="N423" t="s">
        <v>422</v>
      </c>
      <c r="O423" t="s">
        <v>402</v>
      </c>
      <c r="P423">
        <v>4.2589329846080748E-3</v>
      </c>
      <c r="Q423" t="s">
        <v>254</v>
      </c>
      <c r="S423" t="s">
        <v>423</v>
      </c>
      <c r="T423" t="s">
        <v>402</v>
      </c>
      <c r="U423">
        <v>4.1079596745851685E-3</v>
      </c>
      <c r="V423" t="s">
        <v>254</v>
      </c>
      <c r="X423">
        <v>3.5388127853881279E-3</v>
      </c>
      <c r="Y423">
        <v>4.6139439292610376E-3</v>
      </c>
      <c r="Z423" t="s">
        <v>402</v>
      </c>
      <c r="AA423" t="s">
        <v>25</v>
      </c>
      <c r="AC423" t="s">
        <v>22</v>
      </c>
      <c r="AD423" t="s">
        <v>402</v>
      </c>
      <c r="AE423">
        <v>3.700172822743408E-3</v>
      </c>
      <c r="AG423" t="s">
        <v>97</v>
      </c>
      <c r="AH423" t="s">
        <v>402</v>
      </c>
      <c r="AI423">
        <v>6.666821648959953E-2</v>
      </c>
    </row>
    <row r="424" spans="9:35" x14ac:dyDescent="0.45">
      <c r="I424" t="s">
        <v>252</v>
      </c>
      <c r="J424" t="s">
        <v>403</v>
      </c>
      <c r="K424">
        <v>1.3557370213634876E-2</v>
      </c>
      <c r="L424" t="s">
        <v>254</v>
      </c>
      <c r="N424" t="s">
        <v>422</v>
      </c>
      <c r="O424" t="s">
        <v>403</v>
      </c>
      <c r="P424">
        <v>8.3809070398184055E-3</v>
      </c>
      <c r="Q424" t="s">
        <v>254</v>
      </c>
      <c r="S424" t="s">
        <v>423</v>
      </c>
      <c r="T424" t="s">
        <v>403</v>
      </c>
      <c r="U424">
        <v>8.2800663842089815E-3</v>
      </c>
      <c r="V424" t="s">
        <v>254</v>
      </c>
      <c r="X424">
        <v>7.0776255707762558E-3</v>
      </c>
      <c r="Y424">
        <v>1.0008867231849112E-2</v>
      </c>
      <c r="Z424" t="s">
        <v>403</v>
      </c>
      <c r="AA424" t="s">
        <v>25</v>
      </c>
      <c r="AC424" t="s">
        <v>22</v>
      </c>
      <c r="AD424" t="s">
        <v>403</v>
      </c>
      <c r="AE424">
        <v>7.3484184228895383E-3</v>
      </c>
      <c r="AG424" t="s">
        <v>97</v>
      </c>
      <c r="AH424" t="s">
        <v>403</v>
      </c>
      <c r="AI424">
        <v>7.0312583174223064E-2</v>
      </c>
    </row>
    <row r="425" spans="9:35" x14ac:dyDescent="0.45">
      <c r="I425" t="s">
        <v>252</v>
      </c>
      <c r="J425" t="s">
        <v>404</v>
      </c>
      <c r="K425">
        <v>7.4400963199842329E-3</v>
      </c>
      <c r="L425" t="s">
        <v>254</v>
      </c>
      <c r="N425" t="s">
        <v>422</v>
      </c>
      <c r="O425" t="s">
        <v>404</v>
      </c>
      <c r="P425">
        <v>8.0235516971465456E-3</v>
      </c>
      <c r="Q425" t="s">
        <v>254</v>
      </c>
      <c r="S425" t="s">
        <v>423</v>
      </c>
      <c r="T425" t="s">
        <v>404</v>
      </c>
      <c r="U425">
        <v>8.3079167827620551E-3</v>
      </c>
      <c r="V425" t="s">
        <v>254</v>
      </c>
      <c r="X425">
        <v>7.0776255707762558E-3</v>
      </c>
      <c r="Y425">
        <v>1.376989947708193E-2</v>
      </c>
      <c r="Z425" t="s">
        <v>404</v>
      </c>
      <c r="AA425" t="s">
        <v>25</v>
      </c>
      <c r="AC425" t="s">
        <v>22</v>
      </c>
      <c r="AD425" t="s">
        <v>404</v>
      </c>
      <c r="AE425">
        <v>7.355013208287596E-3</v>
      </c>
      <c r="AG425" t="s">
        <v>97</v>
      </c>
      <c r="AH425" t="s">
        <v>404</v>
      </c>
      <c r="AI425">
        <v>7.3698867732210349E-2</v>
      </c>
    </row>
    <row r="426" spans="9:35" x14ac:dyDescent="0.45">
      <c r="I426" t="s">
        <v>252</v>
      </c>
      <c r="J426" t="s">
        <v>405</v>
      </c>
      <c r="K426">
        <v>2.0476372471086324E-5</v>
      </c>
      <c r="L426" t="s">
        <v>254</v>
      </c>
      <c r="N426" t="s">
        <v>422</v>
      </c>
      <c r="O426" t="s">
        <v>405</v>
      </c>
      <c r="P426">
        <v>2.5153016257585408E-2</v>
      </c>
      <c r="Q426" t="s">
        <v>254</v>
      </c>
      <c r="S426" t="s">
        <v>423</v>
      </c>
      <c r="T426" t="s">
        <v>405</v>
      </c>
      <c r="U426">
        <v>2.471905350643714E-2</v>
      </c>
      <c r="V426" t="s">
        <v>254</v>
      </c>
      <c r="X426">
        <v>2.1232876712328767E-2</v>
      </c>
      <c r="Y426">
        <v>1.8702400782305319E-2</v>
      </c>
      <c r="Z426" t="s">
        <v>405</v>
      </c>
      <c r="AA426" t="s">
        <v>25</v>
      </c>
      <c r="AC426" t="s">
        <v>22</v>
      </c>
      <c r="AD426" t="s">
        <v>405</v>
      </c>
      <c r="AE426">
        <v>1.9619793437954926E-2</v>
      </c>
      <c r="AG426" t="s">
        <v>97</v>
      </c>
      <c r="AH426" t="s">
        <v>405</v>
      </c>
      <c r="AI426">
        <v>0.1673241681685036</v>
      </c>
    </row>
    <row r="427" spans="9:35" x14ac:dyDescent="0.45">
      <c r="I427" t="s">
        <v>252</v>
      </c>
      <c r="J427" t="s">
        <v>406</v>
      </c>
      <c r="K427">
        <v>0</v>
      </c>
      <c r="L427" t="s">
        <v>254</v>
      </c>
      <c r="N427" t="s">
        <v>422</v>
      </c>
      <c r="O427" t="s">
        <v>406</v>
      </c>
      <c r="P427">
        <v>2.931101114839732E-2</v>
      </c>
      <c r="Q427" t="s">
        <v>254</v>
      </c>
      <c r="S427" t="s">
        <v>423</v>
      </c>
      <c r="T427" t="s">
        <v>406</v>
      </c>
      <c r="U427">
        <v>2.7847033930216165E-2</v>
      </c>
      <c r="V427" t="s">
        <v>254</v>
      </c>
      <c r="X427">
        <v>2.3972602739726026E-2</v>
      </c>
      <c r="Y427">
        <v>9.4672202471222967E-3</v>
      </c>
      <c r="Z427" t="s">
        <v>406</v>
      </c>
      <c r="AA427" t="s">
        <v>25</v>
      </c>
      <c r="AC427" t="s">
        <v>22</v>
      </c>
      <c r="AD427" t="s">
        <v>406</v>
      </c>
      <c r="AE427">
        <v>2.0052436889231126E-2</v>
      </c>
      <c r="AG427" t="s">
        <v>97</v>
      </c>
      <c r="AH427" t="s">
        <v>406</v>
      </c>
      <c r="AI427">
        <v>0.29993685127360115</v>
      </c>
    </row>
    <row r="428" spans="9:35" x14ac:dyDescent="0.45">
      <c r="I428" t="s">
        <v>252</v>
      </c>
      <c r="J428" t="s">
        <v>407</v>
      </c>
      <c r="K428">
        <v>6.9595661734516304E-5</v>
      </c>
      <c r="L428" t="s">
        <v>254</v>
      </c>
      <c r="N428" t="s">
        <v>422</v>
      </c>
      <c r="O428" t="s">
        <v>407</v>
      </c>
      <c r="P428">
        <v>4.1448967536828552E-3</v>
      </c>
      <c r="Q428" t="s">
        <v>254</v>
      </c>
      <c r="S428" t="s">
        <v>423</v>
      </c>
      <c r="T428" t="s">
        <v>407</v>
      </c>
      <c r="U428">
        <v>3.9352607163494809E-3</v>
      </c>
      <c r="V428" t="s">
        <v>254</v>
      </c>
      <c r="X428">
        <v>3.4246575342465752E-3</v>
      </c>
      <c r="Y428">
        <v>5.7181214727892006E-3</v>
      </c>
      <c r="Z428" t="s">
        <v>407</v>
      </c>
      <c r="AA428" t="s">
        <v>25</v>
      </c>
      <c r="AC428" t="s">
        <v>22</v>
      </c>
      <c r="AD428" t="s">
        <v>407</v>
      </c>
      <c r="AE428">
        <v>3.9165735287244154E-3</v>
      </c>
      <c r="AG428" t="s">
        <v>97</v>
      </c>
      <c r="AH428" t="s">
        <v>407</v>
      </c>
      <c r="AI428">
        <v>9.6641572988210633E-2</v>
      </c>
    </row>
    <row r="429" spans="9:35" x14ac:dyDescent="0.45">
      <c r="I429" t="s">
        <v>252</v>
      </c>
      <c r="J429" t="s">
        <v>408</v>
      </c>
      <c r="K429">
        <v>6.1529025516527565E-3</v>
      </c>
      <c r="L429" t="s">
        <v>254</v>
      </c>
      <c r="N429" t="s">
        <v>422</v>
      </c>
      <c r="O429" t="s">
        <v>408</v>
      </c>
      <c r="P429">
        <v>8.1377139366058445E-3</v>
      </c>
      <c r="Q429" t="s">
        <v>254</v>
      </c>
      <c r="S429" t="s">
        <v>423</v>
      </c>
      <c r="T429" t="s">
        <v>408</v>
      </c>
      <c r="U429">
        <v>7.8562759010133449E-3</v>
      </c>
      <c r="V429" t="s">
        <v>254</v>
      </c>
      <c r="X429">
        <v>6.8493150684931503E-3</v>
      </c>
      <c r="Y429">
        <v>8.7114337568058101E-3</v>
      </c>
      <c r="Z429" t="s">
        <v>408</v>
      </c>
      <c r="AA429" t="s">
        <v>25</v>
      </c>
      <c r="AC429" t="s">
        <v>22</v>
      </c>
      <c r="AD429" t="s">
        <v>408</v>
      </c>
      <c r="AE429">
        <v>8.1700769192631136E-3</v>
      </c>
      <c r="AG429" t="s">
        <v>97</v>
      </c>
      <c r="AH429" t="s">
        <v>408</v>
      </c>
      <c r="AI429">
        <v>8.8318365814044064E-2</v>
      </c>
    </row>
    <row r="430" spans="9:35" x14ac:dyDescent="0.45">
      <c r="I430" t="s">
        <v>252</v>
      </c>
      <c r="J430" t="s">
        <v>409</v>
      </c>
      <c r="K430">
        <v>1.4808228014460098E-2</v>
      </c>
      <c r="L430" t="s">
        <v>254</v>
      </c>
      <c r="N430" t="s">
        <v>422</v>
      </c>
      <c r="O430" t="s">
        <v>409</v>
      </c>
      <c r="P430">
        <v>1.2782462221910021E-2</v>
      </c>
      <c r="Q430" t="s">
        <v>254</v>
      </c>
      <c r="S430" t="s">
        <v>423</v>
      </c>
      <c r="T430" t="s">
        <v>409</v>
      </c>
      <c r="U430">
        <v>1.1336376707505036E-2</v>
      </c>
      <c r="V430" t="s">
        <v>254</v>
      </c>
      <c r="X430">
        <v>1.0273972602739725E-2</v>
      </c>
      <c r="Y430">
        <v>1.2719091067299805E-2</v>
      </c>
      <c r="Z430" t="s">
        <v>409</v>
      </c>
      <c r="AA430" t="s">
        <v>25</v>
      </c>
      <c r="AC430" t="s">
        <v>22</v>
      </c>
      <c r="AD430" t="s">
        <v>409</v>
      </c>
      <c r="AE430">
        <v>1.2282637548432982E-2</v>
      </c>
      <c r="AG430" t="s">
        <v>97</v>
      </c>
      <c r="AH430" t="s">
        <v>409</v>
      </c>
      <c r="AI430">
        <v>8.524347860116066E-2</v>
      </c>
    </row>
    <row r="431" spans="9:35" x14ac:dyDescent="0.45">
      <c r="I431" t="s">
        <v>252</v>
      </c>
      <c r="J431" t="s">
        <v>410</v>
      </c>
      <c r="K431">
        <v>5.2665416862010123E-3</v>
      </c>
      <c r="L431" t="s">
        <v>254</v>
      </c>
      <c r="N431" t="s">
        <v>422</v>
      </c>
      <c r="O431" t="s">
        <v>410</v>
      </c>
      <c r="P431">
        <v>4.4544946420195762E-3</v>
      </c>
      <c r="Q431" t="s">
        <v>254</v>
      </c>
      <c r="S431" t="s">
        <v>423</v>
      </c>
      <c r="T431" t="s">
        <v>410</v>
      </c>
      <c r="U431">
        <v>3.666573427115692E-3</v>
      </c>
      <c r="V431" t="s">
        <v>254</v>
      </c>
      <c r="X431">
        <v>3.4246575342465752E-3</v>
      </c>
      <c r="Y431">
        <v>4.4651070283171336E-3</v>
      </c>
      <c r="Z431" t="s">
        <v>410</v>
      </c>
      <c r="AA431" t="s">
        <v>25</v>
      </c>
      <c r="AC431" t="s">
        <v>22</v>
      </c>
      <c r="AD431" t="s">
        <v>410</v>
      </c>
      <c r="AE431">
        <v>4.0651825043714063E-3</v>
      </c>
      <c r="AG431" t="s">
        <v>97</v>
      </c>
      <c r="AH431" t="s">
        <v>410</v>
      </c>
      <c r="AI431">
        <v>8.3883454206900465E-2</v>
      </c>
    </row>
    <row r="432" spans="9:35" x14ac:dyDescent="0.45">
      <c r="I432" t="s">
        <v>252</v>
      </c>
      <c r="J432" t="s">
        <v>411</v>
      </c>
      <c r="K432">
        <v>9.6719817741024918E-3</v>
      </c>
      <c r="L432" t="s">
        <v>254</v>
      </c>
      <c r="N432" t="s">
        <v>422</v>
      </c>
      <c r="O432" t="s">
        <v>411</v>
      </c>
      <c r="P432">
        <v>8.8934972559307334E-3</v>
      </c>
      <c r="Q432" t="s">
        <v>254</v>
      </c>
      <c r="S432" t="s">
        <v>423</v>
      </c>
      <c r="T432" t="s">
        <v>411</v>
      </c>
      <c r="U432">
        <v>7.4513489315056712E-3</v>
      </c>
      <c r="V432" t="s">
        <v>254</v>
      </c>
      <c r="X432">
        <v>6.8493150684931503E-3</v>
      </c>
      <c r="Y432">
        <v>9.6860005469507522E-3</v>
      </c>
      <c r="Z432" t="s">
        <v>411</v>
      </c>
      <c r="AA432" t="s">
        <v>25</v>
      </c>
      <c r="AC432" t="s">
        <v>22</v>
      </c>
      <c r="AD432" t="s">
        <v>411</v>
      </c>
      <c r="AE432">
        <v>8.1181445824468363E-3</v>
      </c>
      <c r="AG432" t="s">
        <v>97</v>
      </c>
      <c r="AH432" t="s">
        <v>411</v>
      </c>
      <c r="AI432">
        <v>9.0322808135314681E-2</v>
      </c>
    </row>
    <row r="433" spans="9:35" x14ac:dyDescent="0.45">
      <c r="I433" t="s">
        <v>252</v>
      </c>
      <c r="J433" t="s">
        <v>412</v>
      </c>
      <c r="K433">
        <v>3.0328701328589868E-3</v>
      </c>
      <c r="L433" t="s">
        <v>254</v>
      </c>
      <c r="N433" t="s">
        <v>422</v>
      </c>
      <c r="O433" t="s">
        <v>412</v>
      </c>
      <c r="P433">
        <v>8.9269866837705641E-3</v>
      </c>
      <c r="Q433" t="s">
        <v>254</v>
      </c>
      <c r="S433" t="s">
        <v>423</v>
      </c>
      <c r="T433" t="s">
        <v>412</v>
      </c>
      <c r="U433">
        <v>7.6402466940948379E-3</v>
      </c>
      <c r="V433" t="s">
        <v>254</v>
      </c>
      <c r="X433">
        <v>6.8493150684931503E-3</v>
      </c>
      <c r="Y433">
        <v>1.3325709171369611E-2</v>
      </c>
      <c r="Z433" t="s">
        <v>412</v>
      </c>
      <c r="AA433" t="s">
        <v>25</v>
      </c>
      <c r="AC433" t="s">
        <v>22</v>
      </c>
      <c r="AD433" t="s">
        <v>412</v>
      </c>
      <c r="AE433">
        <v>8.2616291106577238E-3</v>
      </c>
      <c r="AG433" t="s">
        <v>97</v>
      </c>
      <c r="AH433" t="s">
        <v>412</v>
      </c>
      <c r="AI433">
        <v>8.4411488885055563E-2</v>
      </c>
    </row>
    <row r="434" spans="9:35" x14ac:dyDescent="0.45">
      <c r="I434" t="s">
        <v>252</v>
      </c>
      <c r="J434" t="s">
        <v>413</v>
      </c>
      <c r="K434">
        <v>0</v>
      </c>
      <c r="L434" t="s">
        <v>254</v>
      </c>
      <c r="N434" t="s">
        <v>422</v>
      </c>
      <c r="O434" t="s">
        <v>413</v>
      </c>
      <c r="P434">
        <v>2.5727119340730506E-2</v>
      </c>
      <c r="Q434" t="s">
        <v>254</v>
      </c>
      <c r="S434" t="s">
        <v>423</v>
      </c>
      <c r="T434" t="s">
        <v>413</v>
      </c>
      <c r="U434">
        <v>2.3947295215002884E-2</v>
      </c>
      <c r="V434" t="s">
        <v>254</v>
      </c>
      <c r="X434">
        <v>2.0547945205479451E-2</v>
      </c>
      <c r="Y434">
        <v>1.8099097531263209E-2</v>
      </c>
      <c r="Z434" t="s">
        <v>413</v>
      </c>
      <c r="AA434" t="s">
        <v>25</v>
      </c>
      <c r="AC434" t="s">
        <v>22</v>
      </c>
      <c r="AD434" t="s">
        <v>413</v>
      </c>
      <c r="AE434">
        <v>2.1459757666207505E-2</v>
      </c>
      <c r="AG434" t="s">
        <v>97</v>
      </c>
      <c r="AH434" t="s">
        <v>413</v>
      </c>
      <c r="AI434">
        <v>0.20586110636602517</v>
      </c>
    </row>
    <row r="435" spans="9:35" x14ac:dyDescent="0.45">
      <c r="I435" t="s">
        <v>252</v>
      </c>
      <c r="J435" t="s">
        <v>414</v>
      </c>
      <c r="K435">
        <v>0</v>
      </c>
      <c r="L435" t="s">
        <v>254</v>
      </c>
      <c r="N435" t="s">
        <v>422</v>
      </c>
      <c r="O435" t="s">
        <v>414</v>
      </c>
      <c r="P435">
        <v>3.1146804888227204E-2</v>
      </c>
      <c r="Q435" t="s">
        <v>254</v>
      </c>
      <c r="S435" t="s">
        <v>423</v>
      </c>
      <c r="T435" t="s">
        <v>414</v>
      </c>
      <c r="U435">
        <v>2.8793009642577382E-2</v>
      </c>
      <c r="V435" t="s">
        <v>254</v>
      </c>
      <c r="X435">
        <v>2.4771689497716895E-2</v>
      </c>
      <c r="Y435">
        <v>9.7827942553597048E-3</v>
      </c>
      <c r="Z435" t="s">
        <v>414</v>
      </c>
      <c r="AA435" t="s">
        <v>25</v>
      </c>
      <c r="AC435" t="s">
        <v>22</v>
      </c>
      <c r="AD435" t="s">
        <v>414</v>
      </c>
      <c r="AE435">
        <v>2.1425280402942632E-2</v>
      </c>
      <c r="AG435" t="s">
        <v>97</v>
      </c>
      <c r="AH435" t="s">
        <v>414</v>
      </c>
      <c r="AI435">
        <v>0.2947027221455345</v>
      </c>
    </row>
    <row r="436" spans="9:35" x14ac:dyDescent="0.45">
      <c r="I436" t="s">
        <v>252</v>
      </c>
      <c r="J436" t="s">
        <v>415</v>
      </c>
      <c r="K436">
        <v>0</v>
      </c>
      <c r="L436" t="s">
        <v>254</v>
      </c>
      <c r="N436" t="s">
        <v>422</v>
      </c>
      <c r="O436" t="s">
        <v>415</v>
      </c>
      <c r="P436">
        <v>4.31761190741473E-3</v>
      </c>
      <c r="Q436" t="s">
        <v>254</v>
      </c>
      <c r="S436" t="s">
        <v>423</v>
      </c>
      <c r="T436" t="s">
        <v>415</v>
      </c>
      <c r="U436">
        <v>4.1199438315051417E-3</v>
      </c>
      <c r="V436" t="s">
        <v>254</v>
      </c>
      <c r="X436">
        <v>3.5388127853881279E-3</v>
      </c>
      <c r="Y436">
        <v>5.9087255218821738E-3</v>
      </c>
      <c r="Z436" t="s">
        <v>415</v>
      </c>
      <c r="AA436" t="s">
        <v>25</v>
      </c>
      <c r="AC436" t="s">
        <v>22</v>
      </c>
      <c r="AD436" t="s">
        <v>415</v>
      </c>
      <c r="AE436">
        <v>4.1125234349494791E-3</v>
      </c>
      <c r="AG436" t="s">
        <v>97</v>
      </c>
      <c r="AH436" t="s">
        <v>415</v>
      </c>
      <c r="AI436">
        <v>8.4630227908339517E-2</v>
      </c>
    </row>
    <row r="437" spans="9:35" x14ac:dyDescent="0.45">
      <c r="I437" t="s">
        <v>252</v>
      </c>
      <c r="J437" t="s">
        <v>416</v>
      </c>
      <c r="K437">
        <v>6.4038723485293526E-3</v>
      </c>
      <c r="L437" t="s">
        <v>254</v>
      </c>
      <c r="N437" t="s">
        <v>422</v>
      </c>
      <c r="O437" t="s">
        <v>416</v>
      </c>
      <c r="P437">
        <v>8.5232327838381788E-3</v>
      </c>
      <c r="Q437" t="s">
        <v>254</v>
      </c>
      <c r="S437" t="s">
        <v>423</v>
      </c>
      <c r="T437" t="s">
        <v>416</v>
      </c>
      <c r="U437">
        <v>8.239040986961408E-3</v>
      </c>
      <c r="V437" t="s">
        <v>254</v>
      </c>
      <c r="X437">
        <v>7.0776255707762558E-3</v>
      </c>
      <c r="Y437">
        <v>9.0018148820326695E-3</v>
      </c>
      <c r="Z437" t="s">
        <v>416</v>
      </c>
      <c r="AA437" t="s">
        <v>25</v>
      </c>
      <c r="AC437" t="s">
        <v>22</v>
      </c>
      <c r="AD437" t="s">
        <v>416</v>
      </c>
      <c r="AE437">
        <v>8.5682569926429156E-3</v>
      </c>
      <c r="AG437" t="s">
        <v>97</v>
      </c>
      <c r="AH437" t="s">
        <v>416</v>
      </c>
      <c r="AI437">
        <v>7.9188707784562995E-2</v>
      </c>
    </row>
    <row r="438" spans="9:35" x14ac:dyDescent="0.45">
      <c r="I438" t="s">
        <v>252</v>
      </c>
      <c r="J438" t="s">
        <v>417</v>
      </c>
      <c r="K438">
        <v>1.8568084035886397E-2</v>
      </c>
      <c r="L438" t="s">
        <v>254</v>
      </c>
      <c r="N438" t="s">
        <v>422</v>
      </c>
      <c r="O438" t="s">
        <v>417</v>
      </c>
      <c r="P438">
        <v>1.243096882230536E-2</v>
      </c>
      <c r="Q438" t="s">
        <v>254</v>
      </c>
      <c r="S438" t="s">
        <v>423</v>
      </c>
      <c r="T438" t="s">
        <v>417</v>
      </c>
      <c r="U438">
        <v>1.207865958376843E-2</v>
      </c>
      <c r="V438" t="s">
        <v>254</v>
      </c>
      <c r="X438">
        <v>1.0616438356164383E-2</v>
      </c>
      <c r="Y438">
        <v>1.3143060769543132E-2</v>
      </c>
      <c r="Z438" t="s">
        <v>417</v>
      </c>
      <c r="AA438" t="s">
        <v>25</v>
      </c>
      <c r="AC438" t="s">
        <v>22</v>
      </c>
      <c r="AD438" t="s">
        <v>417</v>
      </c>
      <c r="AE438">
        <v>1.2785028667649806E-2</v>
      </c>
      <c r="AG438" t="s">
        <v>97</v>
      </c>
      <c r="AH438" t="s">
        <v>417</v>
      </c>
      <c r="AI438">
        <v>8.0668699840730218E-2</v>
      </c>
    </row>
    <row r="439" spans="9:35" x14ac:dyDescent="0.45">
      <c r="I439" t="s">
        <v>252</v>
      </c>
      <c r="J439" t="s">
        <v>418</v>
      </c>
      <c r="K439">
        <v>6.5515329450327254E-3</v>
      </c>
      <c r="L439" t="s">
        <v>254</v>
      </c>
      <c r="N439" t="s">
        <v>422</v>
      </c>
      <c r="O439" t="s">
        <v>418</v>
      </c>
      <c r="P439">
        <v>4.1898215208638848E-3</v>
      </c>
      <c r="Q439" t="s">
        <v>254</v>
      </c>
      <c r="S439" t="s">
        <v>423</v>
      </c>
      <c r="T439" t="s">
        <v>418</v>
      </c>
      <c r="U439">
        <v>3.9982360424480265E-3</v>
      </c>
      <c r="V439" t="s">
        <v>254</v>
      </c>
      <c r="X439">
        <v>3.5388127853881279E-3</v>
      </c>
      <c r="Y439">
        <v>4.6139439292610376E-3</v>
      </c>
      <c r="Z439" t="s">
        <v>418</v>
      </c>
      <c r="AA439" t="s">
        <v>25</v>
      </c>
      <c r="AC439" t="s">
        <v>22</v>
      </c>
      <c r="AD439" t="s">
        <v>418</v>
      </c>
      <c r="AE439">
        <v>4.2043748081554795E-3</v>
      </c>
      <c r="AG439" t="s">
        <v>97</v>
      </c>
      <c r="AH439" t="s">
        <v>418</v>
      </c>
      <c r="AI439">
        <v>7.6650597053711245E-2</v>
      </c>
    </row>
    <row r="440" spans="9:35" x14ac:dyDescent="0.45">
      <c r="I440" t="s">
        <v>252</v>
      </c>
      <c r="J440" t="s">
        <v>419</v>
      </c>
      <c r="K440">
        <v>1.3234551289396075E-2</v>
      </c>
      <c r="L440" t="s">
        <v>254</v>
      </c>
      <c r="N440" t="s">
        <v>422</v>
      </c>
      <c r="O440" t="s">
        <v>419</v>
      </c>
      <c r="P440">
        <v>8.4239938906834257E-3</v>
      </c>
      <c r="Q440" t="s">
        <v>254</v>
      </c>
      <c r="S440" t="s">
        <v>423</v>
      </c>
      <c r="T440" t="s">
        <v>419</v>
      </c>
      <c r="U440">
        <v>8.1432231404651167E-3</v>
      </c>
      <c r="V440" t="s">
        <v>254</v>
      </c>
      <c r="X440">
        <v>7.0776255707762558E-3</v>
      </c>
      <c r="Y440">
        <v>1.0008867231849112E-2</v>
      </c>
      <c r="Z440" t="s">
        <v>419</v>
      </c>
      <c r="AA440" t="s">
        <v>25</v>
      </c>
      <c r="AC440" t="s">
        <v>22</v>
      </c>
      <c r="AD440" t="s">
        <v>419</v>
      </c>
      <c r="AE440">
        <v>8.4036328402033542E-3</v>
      </c>
      <c r="AG440" t="s">
        <v>97</v>
      </c>
      <c r="AH440" t="s">
        <v>419</v>
      </c>
      <c r="AI440">
        <v>7.9590932437562545E-2</v>
      </c>
    </row>
    <row r="441" spans="9:35" x14ac:dyDescent="0.45">
      <c r="I441" t="s">
        <v>252</v>
      </c>
      <c r="J441" t="s">
        <v>420</v>
      </c>
      <c r="K441">
        <v>3.9746287768223278E-3</v>
      </c>
      <c r="L441" t="s">
        <v>254</v>
      </c>
      <c r="N441" t="s">
        <v>422</v>
      </c>
      <c r="O441" t="s">
        <v>420</v>
      </c>
      <c r="P441">
        <v>8.7486588963055899E-3</v>
      </c>
      <c r="Q441" t="s">
        <v>254</v>
      </c>
      <c r="S441" t="s">
        <v>423</v>
      </c>
      <c r="T441" t="s">
        <v>420</v>
      </c>
      <c r="U441">
        <v>8.3249273270211421E-3</v>
      </c>
      <c r="V441" t="s">
        <v>254</v>
      </c>
      <c r="X441">
        <v>7.0776255707762558E-3</v>
      </c>
      <c r="Y441">
        <v>1.376989947708193E-2</v>
      </c>
      <c r="Z441" t="s">
        <v>420</v>
      </c>
      <c r="AA441" t="s">
        <v>25</v>
      </c>
      <c r="AC441" t="s">
        <v>22</v>
      </c>
      <c r="AD441" t="s">
        <v>420</v>
      </c>
      <c r="AE441">
        <v>8.6302720122139603E-3</v>
      </c>
      <c r="AG441" t="s">
        <v>97</v>
      </c>
      <c r="AH441" t="s">
        <v>420</v>
      </c>
      <c r="AI441">
        <v>7.2305314486669214E-2</v>
      </c>
    </row>
    <row r="442" spans="9:35" x14ac:dyDescent="0.45">
      <c r="I442" t="s">
        <v>252</v>
      </c>
      <c r="J442" t="s">
        <v>421</v>
      </c>
      <c r="K442">
        <v>0</v>
      </c>
      <c r="L442" t="s">
        <v>254</v>
      </c>
      <c r="N442" t="s">
        <v>422</v>
      </c>
      <c r="O442" t="s">
        <v>421</v>
      </c>
      <c r="P442">
        <v>2.8229797330429289E-2</v>
      </c>
      <c r="Q442" t="s">
        <v>254</v>
      </c>
      <c r="S442" t="s">
        <v>423</v>
      </c>
      <c r="T442" t="s">
        <v>421</v>
      </c>
      <c r="U442">
        <v>2.4994685761360526E-2</v>
      </c>
      <c r="V442" t="s">
        <v>254</v>
      </c>
      <c r="X442">
        <v>2.1232876712328767E-2</v>
      </c>
      <c r="Y442">
        <v>1.8702400782305319E-2</v>
      </c>
      <c r="Z442" t="s">
        <v>421</v>
      </c>
      <c r="AA442" t="s">
        <v>25</v>
      </c>
      <c r="AC442" t="s">
        <v>22</v>
      </c>
      <c r="AD442" t="s">
        <v>421</v>
      </c>
      <c r="AE442">
        <v>2.2314284150476777E-2</v>
      </c>
      <c r="AG442" t="s">
        <v>97</v>
      </c>
      <c r="AH442" t="s">
        <v>421</v>
      </c>
      <c r="AI442">
        <v>0.19559280053890871</v>
      </c>
    </row>
    <row r="443" spans="9:35" x14ac:dyDescent="0.45">
      <c r="AC443" t="s">
        <v>19</v>
      </c>
      <c r="AD443" t="s">
        <v>253</v>
      </c>
      <c r="AE443">
        <v>2.4395598085002249E-2</v>
      </c>
    </row>
    <row r="444" spans="9:35" x14ac:dyDescent="0.45">
      <c r="AC444" t="s">
        <v>19</v>
      </c>
      <c r="AD444" t="s">
        <v>255</v>
      </c>
      <c r="AE444">
        <v>3.5730378736559833E-3</v>
      </c>
    </row>
    <row r="445" spans="9:35" x14ac:dyDescent="0.45">
      <c r="AC445" t="s">
        <v>19</v>
      </c>
      <c r="AD445" t="s">
        <v>256</v>
      </c>
      <c r="AE445">
        <v>7.1637458762023425E-3</v>
      </c>
    </row>
    <row r="446" spans="9:35" x14ac:dyDescent="0.45">
      <c r="AC446" t="s">
        <v>19</v>
      </c>
      <c r="AD446" t="s">
        <v>257</v>
      </c>
      <c r="AE446">
        <v>1.0750604014200957E-2</v>
      </c>
    </row>
    <row r="447" spans="9:35" x14ac:dyDescent="0.45">
      <c r="AC447" t="s">
        <v>19</v>
      </c>
      <c r="AD447" t="s">
        <v>258</v>
      </c>
      <c r="AE447">
        <v>3.5820028502134417E-3</v>
      </c>
    </row>
    <row r="448" spans="9:35" x14ac:dyDescent="0.45">
      <c r="AC448" t="s">
        <v>19</v>
      </c>
      <c r="AD448" t="s">
        <v>259</v>
      </c>
      <c r="AE448">
        <v>7.1643928820462645E-3</v>
      </c>
    </row>
    <row r="449" spans="29:31" x14ac:dyDescent="0.45">
      <c r="AC449" t="s">
        <v>19</v>
      </c>
      <c r="AD449" t="s">
        <v>260</v>
      </c>
      <c r="AE449">
        <v>7.1721762544827974E-3</v>
      </c>
    </row>
    <row r="450" spans="29:31" x14ac:dyDescent="0.45">
      <c r="AC450" t="s">
        <v>19</v>
      </c>
      <c r="AD450" t="s">
        <v>261</v>
      </c>
      <c r="AE450">
        <v>2.1209885462618431E-2</v>
      </c>
    </row>
    <row r="451" spans="29:31" x14ac:dyDescent="0.45">
      <c r="AC451" t="s">
        <v>19</v>
      </c>
      <c r="AD451" t="s">
        <v>286</v>
      </c>
      <c r="AE451">
        <v>2.2061060703644643E-2</v>
      </c>
    </row>
    <row r="452" spans="29:31" x14ac:dyDescent="0.45">
      <c r="AC452" t="s">
        <v>19</v>
      </c>
      <c r="AD452" t="s">
        <v>287</v>
      </c>
      <c r="AE452">
        <v>3.2296815430522137E-3</v>
      </c>
    </row>
    <row r="453" spans="29:31" x14ac:dyDescent="0.45">
      <c r="AC453" t="s">
        <v>19</v>
      </c>
      <c r="AD453" t="s">
        <v>288</v>
      </c>
      <c r="AE453">
        <v>6.4722697077987824E-3</v>
      </c>
    </row>
    <row r="454" spans="29:31" x14ac:dyDescent="0.45">
      <c r="AC454" t="s">
        <v>19</v>
      </c>
      <c r="AD454" t="s">
        <v>289</v>
      </c>
      <c r="AE454">
        <v>9.7050672491622025E-3</v>
      </c>
    </row>
    <row r="455" spans="29:31" x14ac:dyDescent="0.45">
      <c r="AC455" t="s">
        <v>19</v>
      </c>
      <c r="AD455" t="s">
        <v>290</v>
      </c>
      <c r="AE455">
        <v>3.232914301411885E-3</v>
      </c>
    </row>
    <row r="456" spans="29:31" x14ac:dyDescent="0.45">
      <c r="AC456" t="s">
        <v>19</v>
      </c>
      <c r="AD456" t="s">
        <v>291</v>
      </c>
      <c r="AE456">
        <v>6.4662581738286562E-3</v>
      </c>
    </row>
    <row r="457" spans="29:31" x14ac:dyDescent="0.45">
      <c r="AC457" t="s">
        <v>19</v>
      </c>
      <c r="AD457" t="s">
        <v>292</v>
      </c>
      <c r="AE457">
        <v>6.4751328837035901E-3</v>
      </c>
    </row>
    <row r="458" spans="29:31" x14ac:dyDescent="0.45">
      <c r="AC458" t="s">
        <v>19</v>
      </c>
      <c r="AD458" t="s">
        <v>293</v>
      </c>
      <c r="AE458">
        <v>1.9151317210927762E-2</v>
      </c>
    </row>
    <row r="459" spans="29:31" x14ac:dyDescent="0.45">
      <c r="AC459" t="s">
        <v>19</v>
      </c>
      <c r="AD459" t="s">
        <v>294</v>
      </c>
      <c r="AE459">
        <v>2.4432411551340204E-2</v>
      </c>
    </row>
    <row r="460" spans="29:31" x14ac:dyDescent="0.45">
      <c r="AC460" t="s">
        <v>19</v>
      </c>
      <c r="AD460" t="s">
        <v>295</v>
      </c>
      <c r="AE460">
        <v>3.5675608551710924E-3</v>
      </c>
    </row>
    <row r="461" spans="29:31" x14ac:dyDescent="0.45">
      <c r="AC461" t="s">
        <v>19</v>
      </c>
      <c r="AD461" t="s">
        <v>296</v>
      </c>
      <c r="AE461">
        <v>7.1577780799408084E-3</v>
      </c>
    </row>
    <row r="462" spans="29:31" x14ac:dyDescent="0.45">
      <c r="AC462" t="s">
        <v>19</v>
      </c>
      <c r="AD462" t="s">
        <v>297</v>
      </c>
      <c r="AE462">
        <v>1.0730786917340819E-2</v>
      </c>
    </row>
    <row r="463" spans="29:31" x14ac:dyDescent="0.45">
      <c r="AC463" t="s">
        <v>19</v>
      </c>
      <c r="AD463" t="s">
        <v>298</v>
      </c>
      <c r="AE463">
        <v>3.5732902347939584E-3</v>
      </c>
    </row>
    <row r="464" spans="29:31" x14ac:dyDescent="0.45">
      <c r="AC464" t="s">
        <v>19</v>
      </c>
      <c r="AD464" t="s">
        <v>299</v>
      </c>
      <c r="AE464">
        <v>7.1447781637506797E-3</v>
      </c>
    </row>
    <row r="465" spans="29:31" x14ac:dyDescent="0.45">
      <c r="AC465" t="s">
        <v>19</v>
      </c>
      <c r="AD465" t="s">
        <v>300</v>
      </c>
      <c r="AE465">
        <v>7.1547004970102151E-3</v>
      </c>
    </row>
    <row r="466" spans="29:31" x14ac:dyDescent="0.45">
      <c r="AC466" t="s">
        <v>19</v>
      </c>
      <c r="AD466" t="s">
        <v>301</v>
      </c>
      <c r="AE466">
        <v>2.1210920477999422E-2</v>
      </c>
    </row>
    <row r="467" spans="29:31" x14ac:dyDescent="0.45">
      <c r="AC467" t="s">
        <v>19</v>
      </c>
      <c r="AD467" t="s">
        <v>302</v>
      </c>
      <c r="AE467">
        <v>2.3682791462922036E-2</v>
      </c>
    </row>
    <row r="468" spans="29:31" x14ac:dyDescent="0.45">
      <c r="AC468" t="s">
        <v>19</v>
      </c>
      <c r="AD468" t="s">
        <v>303</v>
      </c>
      <c r="AE468">
        <v>3.4533939736514372E-3</v>
      </c>
    </row>
    <row r="469" spans="29:31" x14ac:dyDescent="0.45">
      <c r="AC469" t="s">
        <v>19</v>
      </c>
      <c r="AD469" t="s">
        <v>304</v>
      </c>
      <c r="AE469">
        <v>6.9207834463373653E-3</v>
      </c>
    </row>
    <row r="470" spans="29:31" x14ac:dyDescent="0.45">
      <c r="AC470" t="s">
        <v>19</v>
      </c>
      <c r="AD470" t="s">
        <v>305</v>
      </c>
      <c r="AE470">
        <v>1.0370268134606019E-2</v>
      </c>
    </row>
    <row r="471" spans="29:31" x14ac:dyDescent="0.45">
      <c r="AC471" t="s">
        <v>19</v>
      </c>
      <c r="AD471" t="s">
        <v>306</v>
      </c>
      <c r="AE471">
        <v>3.4537794521258651E-3</v>
      </c>
    </row>
    <row r="472" spans="29:31" x14ac:dyDescent="0.45">
      <c r="AC472" t="s">
        <v>19</v>
      </c>
      <c r="AD472" t="s">
        <v>307</v>
      </c>
      <c r="AE472">
        <v>6.9054458690796829E-3</v>
      </c>
    </row>
    <row r="473" spans="29:31" x14ac:dyDescent="0.45">
      <c r="AC473" t="s">
        <v>19</v>
      </c>
      <c r="AD473" t="s">
        <v>308</v>
      </c>
      <c r="AE473">
        <v>6.906657562094784E-3</v>
      </c>
    </row>
    <row r="474" spans="29:31" x14ac:dyDescent="0.45">
      <c r="AC474" t="s">
        <v>19</v>
      </c>
      <c r="AD474" t="s">
        <v>309</v>
      </c>
      <c r="AE474">
        <v>2.0495156606258523E-2</v>
      </c>
    </row>
    <row r="475" spans="29:31" x14ac:dyDescent="0.45">
      <c r="AC475" t="s">
        <v>19</v>
      </c>
      <c r="AD475" t="s">
        <v>310</v>
      </c>
      <c r="AE475">
        <v>2.445360623936129E-2</v>
      </c>
    </row>
    <row r="476" spans="29:31" x14ac:dyDescent="0.45">
      <c r="AC476" t="s">
        <v>19</v>
      </c>
      <c r="AD476" t="s">
        <v>311</v>
      </c>
      <c r="AE476">
        <v>3.5637901726707994E-3</v>
      </c>
    </row>
    <row r="477" spans="29:31" x14ac:dyDescent="0.45">
      <c r="AC477" t="s">
        <v>19</v>
      </c>
      <c r="AD477" t="s">
        <v>312</v>
      </c>
      <c r="AE477">
        <v>7.144888839786894E-3</v>
      </c>
    </row>
    <row r="478" spans="29:31" x14ac:dyDescent="0.45">
      <c r="AC478" t="s">
        <v>19</v>
      </c>
      <c r="AD478" t="s">
        <v>313</v>
      </c>
      <c r="AE478">
        <v>1.0711892468507895E-2</v>
      </c>
    </row>
    <row r="479" spans="29:31" x14ac:dyDescent="0.45">
      <c r="AC479" t="s">
        <v>19</v>
      </c>
      <c r="AD479" t="s">
        <v>314</v>
      </c>
      <c r="AE479">
        <v>3.5676949163337079E-3</v>
      </c>
    </row>
    <row r="480" spans="29:31" x14ac:dyDescent="0.45">
      <c r="AC480" t="s">
        <v>19</v>
      </c>
      <c r="AD480" t="s">
        <v>315</v>
      </c>
      <c r="AE480">
        <v>7.1320632120969851E-3</v>
      </c>
    </row>
    <row r="481" spans="29:31" x14ac:dyDescent="0.45">
      <c r="AC481" t="s">
        <v>19</v>
      </c>
      <c r="AD481" t="s">
        <v>316</v>
      </c>
      <c r="AE481">
        <v>7.1327832639355698E-3</v>
      </c>
    </row>
    <row r="482" spans="29:31" x14ac:dyDescent="0.45">
      <c r="AC482" t="s">
        <v>19</v>
      </c>
      <c r="AD482" t="s">
        <v>317</v>
      </c>
      <c r="AE482">
        <v>2.1195618960105168E-2</v>
      </c>
    </row>
    <row r="483" spans="29:31" x14ac:dyDescent="0.45">
      <c r="AC483" t="s">
        <v>19</v>
      </c>
      <c r="AD483" t="s">
        <v>318</v>
      </c>
      <c r="AE483">
        <v>2.3644233434457197E-2</v>
      </c>
    </row>
    <row r="484" spans="29:31" x14ac:dyDescent="0.45">
      <c r="AC484" t="s">
        <v>19</v>
      </c>
      <c r="AD484" t="s">
        <v>319</v>
      </c>
      <c r="AE484">
        <v>3.4382306091986425E-3</v>
      </c>
    </row>
    <row r="485" spans="29:31" x14ac:dyDescent="0.45">
      <c r="AC485" t="s">
        <v>19</v>
      </c>
      <c r="AD485" t="s">
        <v>320</v>
      </c>
      <c r="AE485">
        <v>6.9077758092234475E-3</v>
      </c>
    </row>
    <row r="486" spans="29:31" x14ac:dyDescent="0.45">
      <c r="AC486" t="s">
        <v>19</v>
      </c>
      <c r="AD486" t="s">
        <v>321</v>
      </c>
      <c r="AE486">
        <v>1.0364475133057232E-2</v>
      </c>
    </row>
    <row r="487" spans="29:31" x14ac:dyDescent="0.45">
      <c r="AC487" t="s">
        <v>19</v>
      </c>
      <c r="AD487" t="s">
        <v>322</v>
      </c>
      <c r="AE487">
        <v>3.452774899384749E-3</v>
      </c>
    </row>
    <row r="488" spans="29:31" x14ac:dyDescent="0.45">
      <c r="AC488" t="s">
        <v>19</v>
      </c>
      <c r="AD488" t="s">
        <v>323</v>
      </c>
      <c r="AE488">
        <v>6.9008529034649824E-3</v>
      </c>
    </row>
    <row r="489" spans="29:31" x14ac:dyDescent="0.45">
      <c r="AC489" t="s">
        <v>19</v>
      </c>
      <c r="AD489" t="s">
        <v>324</v>
      </c>
      <c r="AE489">
        <v>6.8985177024956943E-3</v>
      </c>
    </row>
    <row r="490" spans="29:31" x14ac:dyDescent="0.45">
      <c r="AC490" t="s">
        <v>19</v>
      </c>
      <c r="AD490" t="s">
        <v>325</v>
      </c>
      <c r="AE490">
        <v>2.052883470810786E-2</v>
      </c>
    </row>
    <row r="491" spans="29:31" x14ac:dyDescent="0.45">
      <c r="AC491" t="s">
        <v>19</v>
      </c>
      <c r="AD491" t="s">
        <v>326</v>
      </c>
      <c r="AE491">
        <v>2.4439674861368808E-2</v>
      </c>
    </row>
    <row r="492" spans="29:31" x14ac:dyDescent="0.45">
      <c r="AC492" t="s">
        <v>19</v>
      </c>
      <c r="AD492" t="s">
        <v>327</v>
      </c>
      <c r="AE492">
        <v>3.5519802367630954E-3</v>
      </c>
    </row>
    <row r="493" spans="29:31" x14ac:dyDescent="0.45">
      <c r="AC493" t="s">
        <v>19</v>
      </c>
      <c r="AD493" t="s">
        <v>328</v>
      </c>
      <c r="AE493">
        <v>7.1320585804889019E-3</v>
      </c>
    </row>
    <row r="494" spans="29:31" x14ac:dyDescent="0.45">
      <c r="AC494" t="s">
        <v>19</v>
      </c>
      <c r="AD494" t="s">
        <v>329</v>
      </c>
      <c r="AE494">
        <v>1.0711635821121786E-2</v>
      </c>
    </row>
    <row r="495" spans="29:31" x14ac:dyDescent="0.45">
      <c r="AC495" t="s">
        <v>19</v>
      </c>
      <c r="AD495" t="s">
        <v>330</v>
      </c>
      <c r="AE495">
        <v>3.569633712680596E-3</v>
      </c>
    </row>
    <row r="496" spans="29:31" x14ac:dyDescent="0.45">
      <c r="AC496" t="s">
        <v>19</v>
      </c>
      <c r="AD496" t="s">
        <v>331</v>
      </c>
      <c r="AE496">
        <v>7.1329040973390472E-3</v>
      </c>
    </row>
    <row r="497" spans="29:31" x14ac:dyDescent="0.45">
      <c r="AC497" t="s">
        <v>19</v>
      </c>
      <c r="AD497" t="s">
        <v>332</v>
      </c>
      <c r="AE497">
        <v>7.1296043486112131E-3</v>
      </c>
    </row>
    <row r="498" spans="29:31" x14ac:dyDescent="0.45">
      <c r="AC498" t="s">
        <v>19</v>
      </c>
      <c r="AD498" t="s">
        <v>333</v>
      </c>
      <c r="AE498">
        <v>2.1224910512777185E-2</v>
      </c>
    </row>
    <row r="499" spans="29:31" x14ac:dyDescent="0.45">
      <c r="AC499" t="s">
        <v>19</v>
      </c>
      <c r="AD499" t="s">
        <v>334</v>
      </c>
      <c r="AE499">
        <v>1.8916767727084755E-2</v>
      </c>
    </row>
    <row r="500" spans="29:31" x14ac:dyDescent="0.45">
      <c r="AC500" t="s">
        <v>19</v>
      </c>
      <c r="AD500" t="s">
        <v>335</v>
      </c>
      <c r="AE500">
        <v>2.7502213219147134E-3</v>
      </c>
    </row>
    <row r="501" spans="29:31" x14ac:dyDescent="0.45">
      <c r="AC501" t="s">
        <v>19</v>
      </c>
      <c r="AD501" t="s">
        <v>336</v>
      </c>
      <c r="AE501">
        <v>5.5251999373470964E-3</v>
      </c>
    </row>
    <row r="502" spans="29:31" x14ac:dyDescent="0.45">
      <c r="AC502" t="s">
        <v>19</v>
      </c>
      <c r="AD502" t="s">
        <v>337</v>
      </c>
      <c r="AE502">
        <v>8.2955365365901257E-3</v>
      </c>
    </row>
    <row r="503" spans="29:31" x14ac:dyDescent="0.45">
      <c r="AC503" t="s">
        <v>19</v>
      </c>
      <c r="AD503" t="s">
        <v>338</v>
      </c>
      <c r="AE503">
        <v>2.7643068983934003E-3</v>
      </c>
    </row>
    <row r="504" spans="29:31" x14ac:dyDescent="0.45">
      <c r="AC504" t="s">
        <v>19</v>
      </c>
      <c r="AD504" t="s">
        <v>339</v>
      </c>
      <c r="AE504">
        <v>5.5245788571541311E-3</v>
      </c>
    </row>
    <row r="505" spans="29:31" x14ac:dyDescent="0.45">
      <c r="AC505" t="s">
        <v>19</v>
      </c>
      <c r="AD505" t="s">
        <v>340</v>
      </c>
      <c r="AE505">
        <v>5.5219270604618597E-3</v>
      </c>
    </row>
    <row r="506" spans="29:31" x14ac:dyDescent="0.45">
      <c r="AC506" t="s">
        <v>19</v>
      </c>
      <c r="AD506" t="s">
        <v>341</v>
      </c>
      <c r="AE506">
        <v>1.6426965216537762E-2</v>
      </c>
    </row>
    <row r="507" spans="29:31" x14ac:dyDescent="0.45">
      <c r="AC507" t="s">
        <v>19</v>
      </c>
      <c r="AD507" t="s">
        <v>1553</v>
      </c>
      <c r="AE507">
        <v>1.1293174431748211E-4</v>
      </c>
    </row>
    <row r="508" spans="29:31" x14ac:dyDescent="0.45">
      <c r="AC508" t="s">
        <v>19</v>
      </c>
      <c r="AD508" t="s">
        <v>1554</v>
      </c>
      <c r="AE508">
        <v>1.1256575739085305E-4</v>
      </c>
    </row>
    <row r="509" spans="29:31" x14ac:dyDescent="0.45">
      <c r="AC509" t="s">
        <v>19</v>
      </c>
      <c r="AD509" t="s">
        <v>1555</v>
      </c>
      <c r="AE509">
        <v>1.1241985463985462E-4</v>
      </c>
    </row>
    <row r="510" spans="29:31" x14ac:dyDescent="0.45">
      <c r="AC510" t="s">
        <v>19</v>
      </c>
      <c r="AD510" t="s">
        <v>1556</v>
      </c>
      <c r="AE510">
        <v>1.1232542471411114E-4</v>
      </c>
    </row>
    <row r="511" spans="29:31" x14ac:dyDescent="0.45">
      <c r="AC511" t="s">
        <v>19</v>
      </c>
      <c r="AD511" t="s">
        <v>1557</v>
      </c>
      <c r="AE511">
        <v>1.127443983726203E-4</v>
      </c>
    </row>
    <row r="512" spans="29:31" x14ac:dyDescent="0.45">
      <c r="AC512" t="s">
        <v>19</v>
      </c>
      <c r="AD512" t="s">
        <v>1558</v>
      </c>
      <c r="AE512">
        <v>1.1383081561449074E-4</v>
      </c>
    </row>
    <row r="513" spans="29:31" x14ac:dyDescent="0.45">
      <c r="AC513" t="s">
        <v>19</v>
      </c>
      <c r="AD513" t="s">
        <v>1559</v>
      </c>
      <c r="AE513">
        <v>1.1477606106356631E-4</v>
      </c>
    </row>
    <row r="514" spans="29:31" x14ac:dyDescent="0.45">
      <c r="AC514" t="s">
        <v>19</v>
      </c>
      <c r="AD514" t="s">
        <v>1560</v>
      </c>
      <c r="AE514">
        <v>1.1541114489281507E-4</v>
      </c>
    </row>
    <row r="515" spans="29:31" x14ac:dyDescent="0.45">
      <c r="AC515" t="s">
        <v>19</v>
      </c>
      <c r="AD515" t="s">
        <v>1561</v>
      </c>
      <c r="AE515">
        <v>1.1570768135301556E-4</v>
      </c>
    </row>
    <row r="516" spans="29:31" x14ac:dyDescent="0.45">
      <c r="AC516" t="s">
        <v>19</v>
      </c>
      <c r="AD516" t="s">
        <v>1562</v>
      </c>
      <c r="AE516">
        <v>1.1573549938725264E-4</v>
      </c>
    </row>
    <row r="517" spans="29:31" x14ac:dyDescent="0.45">
      <c r="AC517" t="s">
        <v>19</v>
      </c>
      <c r="AD517" t="s">
        <v>1563</v>
      </c>
      <c r="AE517">
        <v>1.1575574788836394E-4</v>
      </c>
    </row>
    <row r="518" spans="29:31" x14ac:dyDescent="0.45">
      <c r="AC518" t="s">
        <v>19</v>
      </c>
      <c r="AD518" t="s">
        <v>1564</v>
      </c>
      <c r="AE518">
        <v>1.1576350665981783E-4</v>
      </c>
    </row>
    <row r="519" spans="29:31" x14ac:dyDescent="0.45">
      <c r="AC519" t="s">
        <v>19</v>
      </c>
      <c r="AD519" t="s">
        <v>1565</v>
      </c>
      <c r="AE519">
        <v>1.1584298675763799E-4</v>
      </c>
    </row>
    <row r="520" spans="29:31" x14ac:dyDescent="0.45">
      <c r="AC520" t="s">
        <v>19</v>
      </c>
      <c r="AD520" t="s">
        <v>1566</v>
      </c>
      <c r="AE520">
        <v>1.1581308710179135E-4</v>
      </c>
    </row>
    <row r="521" spans="29:31" x14ac:dyDescent="0.45">
      <c r="AC521" t="s">
        <v>19</v>
      </c>
      <c r="AD521" t="s">
        <v>1567</v>
      </c>
      <c r="AE521">
        <v>1.157305791907209E-4</v>
      </c>
    </row>
    <row r="522" spans="29:31" x14ac:dyDescent="0.45">
      <c r="AC522" t="s">
        <v>19</v>
      </c>
      <c r="AD522" t="s">
        <v>1568</v>
      </c>
      <c r="AE522">
        <v>1.1570295039481199E-4</v>
      </c>
    </row>
    <row r="523" spans="29:31" x14ac:dyDescent="0.45">
      <c r="AC523" t="s">
        <v>19</v>
      </c>
      <c r="AD523" t="s">
        <v>1569</v>
      </c>
      <c r="AE523">
        <v>1.1567645702887192E-4</v>
      </c>
    </row>
    <row r="524" spans="29:31" x14ac:dyDescent="0.45">
      <c r="AC524" t="s">
        <v>19</v>
      </c>
      <c r="AD524" t="s">
        <v>1570</v>
      </c>
      <c r="AE524">
        <v>1.1557862081322186E-4</v>
      </c>
    </row>
    <row r="525" spans="29:31" x14ac:dyDescent="0.45">
      <c r="AC525" t="s">
        <v>19</v>
      </c>
      <c r="AD525" t="s">
        <v>1571</v>
      </c>
      <c r="AE525">
        <v>1.154904357523071E-4</v>
      </c>
    </row>
    <row r="526" spans="29:31" x14ac:dyDescent="0.45">
      <c r="AC526" t="s">
        <v>19</v>
      </c>
      <c r="AD526" t="s">
        <v>1572</v>
      </c>
      <c r="AE526">
        <v>1.1530876695728959E-4</v>
      </c>
    </row>
    <row r="527" spans="29:31" x14ac:dyDescent="0.45">
      <c r="AC527" t="s">
        <v>19</v>
      </c>
      <c r="AD527" t="s">
        <v>1573</v>
      </c>
      <c r="AE527">
        <v>1.1484664695996374E-4</v>
      </c>
    </row>
    <row r="528" spans="29:31" x14ac:dyDescent="0.45">
      <c r="AC528" t="s">
        <v>19</v>
      </c>
      <c r="AD528" t="s">
        <v>1574</v>
      </c>
      <c r="AE528">
        <v>1.143618183632607E-4</v>
      </c>
    </row>
    <row r="529" spans="29:31" x14ac:dyDescent="0.45">
      <c r="AC529" t="s">
        <v>19</v>
      </c>
      <c r="AD529" t="s">
        <v>1575</v>
      </c>
      <c r="AE529">
        <v>1.1385068563894578E-4</v>
      </c>
    </row>
    <row r="530" spans="29:31" x14ac:dyDescent="0.45">
      <c r="AC530" t="s">
        <v>19</v>
      </c>
      <c r="AD530" t="s">
        <v>1576</v>
      </c>
      <c r="AE530">
        <v>1.1302295719164718E-4</v>
      </c>
    </row>
    <row r="531" spans="29:31" x14ac:dyDescent="0.45">
      <c r="AC531" t="s">
        <v>19</v>
      </c>
      <c r="AD531" t="s">
        <v>1577</v>
      </c>
      <c r="AE531">
        <v>1.1260303734149726E-4</v>
      </c>
    </row>
    <row r="532" spans="29:31" x14ac:dyDescent="0.45">
      <c r="AC532" t="s">
        <v>19</v>
      </c>
      <c r="AD532" t="s">
        <v>1578</v>
      </c>
      <c r="AE532">
        <v>1.124198546398546E-4</v>
      </c>
    </row>
    <row r="533" spans="29:31" x14ac:dyDescent="0.45">
      <c r="AC533" t="s">
        <v>19</v>
      </c>
      <c r="AD533" t="s">
        <v>1579</v>
      </c>
      <c r="AE533">
        <v>1.1226165139752684E-4</v>
      </c>
    </row>
    <row r="534" spans="29:31" x14ac:dyDescent="0.45">
      <c r="AC534" t="s">
        <v>19</v>
      </c>
      <c r="AD534" t="s">
        <v>1580</v>
      </c>
      <c r="AE534">
        <v>1.1232542471411111E-4</v>
      </c>
    </row>
    <row r="535" spans="29:31" x14ac:dyDescent="0.45">
      <c r="AC535" t="s">
        <v>19</v>
      </c>
      <c r="AD535" t="s">
        <v>1581</v>
      </c>
      <c r="AE535">
        <v>1.1274439837262027E-4</v>
      </c>
    </row>
    <row r="536" spans="29:31" x14ac:dyDescent="0.45">
      <c r="AC536" t="s">
        <v>19</v>
      </c>
      <c r="AD536" t="s">
        <v>1582</v>
      </c>
      <c r="AE536">
        <v>1.1386942023343195E-4</v>
      </c>
    </row>
    <row r="537" spans="29:31" x14ac:dyDescent="0.45">
      <c r="AC537" t="s">
        <v>19</v>
      </c>
      <c r="AD537" t="s">
        <v>1583</v>
      </c>
      <c r="AE537">
        <v>1.1471626175187303E-4</v>
      </c>
    </row>
    <row r="538" spans="29:31" x14ac:dyDescent="0.45">
      <c r="AC538" t="s">
        <v>19</v>
      </c>
      <c r="AD538" t="s">
        <v>1584</v>
      </c>
      <c r="AE538">
        <v>1.1533128631833862E-4</v>
      </c>
    </row>
    <row r="539" spans="29:31" x14ac:dyDescent="0.45">
      <c r="AC539" t="s">
        <v>19</v>
      </c>
      <c r="AD539" t="s">
        <v>1585</v>
      </c>
      <c r="AE539">
        <v>1.1566756282744919E-4</v>
      </c>
    </row>
    <row r="540" spans="29:31" x14ac:dyDescent="0.45">
      <c r="AC540" t="s">
        <v>19</v>
      </c>
      <c r="AD540" t="s">
        <v>1586</v>
      </c>
      <c r="AE540">
        <v>1.1570654592304668E-4</v>
      </c>
    </row>
    <row r="541" spans="29:31" x14ac:dyDescent="0.45">
      <c r="AC541" t="s">
        <v>19</v>
      </c>
      <c r="AD541" t="s">
        <v>1587</v>
      </c>
      <c r="AE541">
        <v>1.1570654592304668E-4</v>
      </c>
    </row>
    <row r="542" spans="29:31" x14ac:dyDescent="0.45">
      <c r="AC542" t="s">
        <v>19</v>
      </c>
      <c r="AD542" t="s">
        <v>1588</v>
      </c>
      <c r="AE542">
        <v>1.1568762209023237E-4</v>
      </c>
    </row>
    <row r="543" spans="29:31" x14ac:dyDescent="0.45">
      <c r="AC543" t="s">
        <v>19</v>
      </c>
      <c r="AD543" t="s">
        <v>1589</v>
      </c>
      <c r="AE543">
        <v>1.1568762209023237E-4</v>
      </c>
    </row>
    <row r="544" spans="29:31" x14ac:dyDescent="0.45">
      <c r="AC544" t="s">
        <v>19</v>
      </c>
      <c r="AD544" t="s">
        <v>1590</v>
      </c>
      <c r="AE544">
        <v>1.1560057245928647E-4</v>
      </c>
    </row>
    <row r="545" spans="29:31" x14ac:dyDescent="0.45">
      <c r="AC545" t="s">
        <v>19</v>
      </c>
      <c r="AD545" t="s">
        <v>1591</v>
      </c>
      <c r="AE545">
        <v>1.155254448430136E-4</v>
      </c>
    </row>
    <row r="546" spans="29:31" x14ac:dyDescent="0.45">
      <c r="AC546" t="s">
        <v>19</v>
      </c>
      <c r="AD546" t="s">
        <v>1592</v>
      </c>
      <c r="AE546">
        <v>1.1549800528543283E-4</v>
      </c>
    </row>
    <row r="547" spans="29:31" x14ac:dyDescent="0.45">
      <c r="AC547" t="s">
        <v>19</v>
      </c>
      <c r="AD547" t="s">
        <v>1593</v>
      </c>
      <c r="AE547">
        <v>1.1547151191949276E-4</v>
      </c>
    </row>
    <row r="548" spans="29:31" x14ac:dyDescent="0.45">
      <c r="AC548" t="s">
        <v>19</v>
      </c>
      <c r="AD548" t="s">
        <v>1594</v>
      </c>
      <c r="AE548">
        <v>1.1547151191949276E-4</v>
      </c>
    </row>
    <row r="549" spans="29:31" x14ac:dyDescent="0.45">
      <c r="AC549" t="s">
        <v>19</v>
      </c>
      <c r="AD549" t="s">
        <v>1595</v>
      </c>
      <c r="AE549">
        <v>1.1542325614581624E-4</v>
      </c>
    </row>
    <row r="550" spans="29:31" x14ac:dyDescent="0.45">
      <c r="AC550" t="s">
        <v>19</v>
      </c>
      <c r="AD550" t="s">
        <v>1596</v>
      </c>
      <c r="AE550">
        <v>1.1525975423030045E-4</v>
      </c>
    </row>
    <row r="551" spans="29:31" x14ac:dyDescent="0.45">
      <c r="AC551" t="s">
        <v>19</v>
      </c>
      <c r="AD551" t="s">
        <v>1597</v>
      </c>
      <c r="AE551">
        <v>1.1481296253755424E-4</v>
      </c>
    </row>
    <row r="552" spans="29:31" x14ac:dyDescent="0.45">
      <c r="AC552" t="s">
        <v>19</v>
      </c>
      <c r="AD552" t="s">
        <v>1598</v>
      </c>
      <c r="AE552">
        <v>1.1432870165583564E-4</v>
      </c>
    </row>
    <row r="553" spans="29:31" x14ac:dyDescent="0.45">
      <c r="AC553" t="s">
        <v>19</v>
      </c>
      <c r="AD553" t="s">
        <v>1599</v>
      </c>
      <c r="AE553">
        <v>1.1330530077723691E-4</v>
      </c>
    </row>
    <row r="554" spans="29:31" x14ac:dyDescent="0.45">
      <c r="AC554" t="s">
        <v>19</v>
      </c>
      <c r="AD554" t="s">
        <v>1600</v>
      </c>
      <c r="AE554">
        <v>1.1264675139529836E-4</v>
      </c>
    </row>
    <row r="555" spans="29:31" x14ac:dyDescent="0.45">
      <c r="AC555" t="s">
        <v>19</v>
      </c>
      <c r="AD555" t="s">
        <v>1601</v>
      </c>
      <c r="AE555">
        <v>1.1222474992353892E-4</v>
      </c>
    </row>
    <row r="556" spans="29:31" x14ac:dyDescent="0.45">
      <c r="AC556" t="s">
        <v>19</v>
      </c>
      <c r="AD556" t="s">
        <v>1602</v>
      </c>
      <c r="AE556">
        <v>1.1211612712318467E-4</v>
      </c>
    </row>
    <row r="557" spans="29:31" x14ac:dyDescent="0.45">
      <c r="AC557" t="s">
        <v>19</v>
      </c>
      <c r="AD557" t="s">
        <v>1603</v>
      </c>
      <c r="AE557">
        <v>1.1211612712318467E-4</v>
      </c>
    </row>
    <row r="558" spans="29:31" x14ac:dyDescent="0.45">
      <c r="AC558" t="s">
        <v>19</v>
      </c>
      <c r="AD558" t="s">
        <v>1604</v>
      </c>
      <c r="AE558">
        <v>1.1218008967809712E-4</v>
      </c>
    </row>
    <row r="559" spans="29:31" x14ac:dyDescent="0.45">
      <c r="AC559" t="s">
        <v>19</v>
      </c>
      <c r="AD559" t="s">
        <v>1605</v>
      </c>
      <c r="AE559">
        <v>1.1266321512984685E-4</v>
      </c>
    </row>
    <row r="560" spans="29:31" x14ac:dyDescent="0.45">
      <c r="AC560" t="s">
        <v>19</v>
      </c>
      <c r="AD560" t="s">
        <v>1606</v>
      </c>
      <c r="AE560">
        <v>1.1378842622898666E-4</v>
      </c>
    </row>
    <row r="561" spans="29:31" x14ac:dyDescent="0.45">
      <c r="AC561" t="s">
        <v>19</v>
      </c>
      <c r="AD561" t="s">
        <v>1607</v>
      </c>
      <c r="AE561">
        <v>1.1464548661714747E-4</v>
      </c>
    </row>
    <row r="562" spans="29:31" x14ac:dyDescent="0.45">
      <c r="AC562" t="s">
        <v>19</v>
      </c>
      <c r="AD562" t="s">
        <v>1608</v>
      </c>
      <c r="AE562">
        <v>1.15300061994195E-4</v>
      </c>
    </row>
    <row r="563" spans="29:31" x14ac:dyDescent="0.45">
      <c r="AC563" t="s">
        <v>19</v>
      </c>
      <c r="AD563" t="s">
        <v>1609</v>
      </c>
      <c r="AE563">
        <v>1.1566756282744921E-4</v>
      </c>
    </row>
    <row r="564" spans="29:31" x14ac:dyDescent="0.45">
      <c r="AC564" t="s">
        <v>19</v>
      </c>
      <c r="AD564" t="s">
        <v>1610</v>
      </c>
      <c r="AE564">
        <v>1.1570654592304671E-4</v>
      </c>
    </row>
    <row r="565" spans="29:31" x14ac:dyDescent="0.45">
      <c r="AC565" t="s">
        <v>19</v>
      </c>
      <c r="AD565" t="s">
        <v>1611</v>
      </c>
      <c r="AE565">
        <v>1.1571392621784429E-4</v>
      </c>
    </row>
    <row r="566" spans="29:31" x14ac:dyDescent="0.45">
      <c r="AC566" t="s">
        <v>19</v>
      </c>
      <c r="AD566" t="s">
        <v>1612</v>
      </c>
      <c r="AE566">
        <v>1.157213065126419E-4</v>
      </c>
    </row>
    <row r="567" spans="29:31" x14ac:dyDescent="0.45">
      <c r="AC567" t="s">
        <v>19</v>
      </c>
      <c r="AD567" t="s">
        <v>1613</v>
      </c>
      <c r="AE567">
        <v>1.1572774061579875E-4</v>
      </c>
    </row>
    <row r="568" spans="29:31" x14ac:dyDescent="0.45">
      <c r="AC568" t="s">
        <v>19</v>
      </c>
      <c r="AD568" t="s">
        <v>1614</v>
      </c>
      <c r="AE568">
        <v>1.1564958518627561E-4</v>
      </c>
    </row>
    <row r="569" spans="29:31" x14ac:dyDescent="0.45">
      <c r="AC569" t="s">
        <v>19</v>
      </c>
      <c r="AD569" t="s">
        <v>1615</v>
      </c>
      <c r="AE569">
        <v>1.1557445757000272E-4</v>
      </c>
    </row>
    <row r="570" spans="29:31" x14ac:dyDescent="0.45">
      <c r="AC570" t="s">
        <v>19</v>
      </c>
      <c r="AD570" t="s">
        <v>1616</v>
      </c>
      <c r="AE570">
        <v>1.1554701801242194E-4</v>
      </c>
    </row>
    <row r="571" spans="29:31" x14ac:dyDescent="0.45">
      <c r="AC571" t="s">
        <v>19</v>
      </c>
      <c r="AD571" t="s">
        <v>1617</v>
      </c>
      <c r="AE571">
        <v>1.1552052464648189E-4</v>
      </c>
    </row>
    <row r="572" spans="29:31" x14ac:dyDescent="0.45">
      <c r="AC572" t="s">
        <v>19</v>
      </c>
      <c r="AD572" t="s">
        <v>1618</v>
      </c>
      <c r="AE572">
        <v>1.1552052464648189E-4</v>
      </c>
    </row>
    <row r="573" spans="29:31" x14ac:dyDescent="0.45">
      <c r="AC573" t="s">
        <v>19</v>
      </c>
      <c r="AD573" t="s">
        <v>1619</v>
      </c>
      <c r="AE573">
        <v>1.1546337467138263E-4</v>
      </c>
    </row>
    <row r="574" spans="29:31" x14ac:dyDescent="0.45">
      <c r="AC574" t="s">
        <v>19</v>
      </c>
      <c r="AD574" t="s">
        <v>1620</v>
      </c>
      <c r="AE574">
        <v>1.1527981349308366E-4</v>
      </c>
    </row>
    <row r="575" spans="29:31" x14ac:dyDescent="0.45">
      <c r="AC575" t="s">
        <v>19</v>
      </c>
      <c r="AD575" t="s">
        <v>1621</v>
      </c>
      <c r="AE575">
        <v>1.1481296253755424E-4</v>
      </c>
    </row>
    <row r="576" spans="29:31" x14ac:dyDescent="0.45">
      <c r="AC576" t="s">
        <v>19</v>
      </c>
      <c r="AD576" t="s">
        <v>1622</v>
      </c>
      <c r="AE576">
        <v>1.1432870165583565E-4</v>
      </c>
    </row>
    <row r="577" spans="29:31" x14ac:dyDescent="0.45">
      <c r="AC577" t="s">
        <v>19</v>
      </c>
      <c r="AD577" t="s">
        <v>1623</v>
      </c>
      <c r="AE577">
        <v>1.1330530077723691E-4</v>
      </c>
    </row>
    <row r="578" spans="29:31" x14ac:dyDescent="0.45">
      <c r="AC578" t="s">
        <v>19</v>
      </c>
      <c r="AD578" t="s">
        <v>1624</v>
      </c>
      <c r="AE578">
        <v>1.126210149826709E-4</v>
      </c>
    </row>
    <row r="579" spans="29:31" x14ac:dyDescent="0.45">
      <c r="AC579" t="s">
        <v>19</v>
      </c>
      <c r="AD579" t="s">
        <v>1625</v>
      </c>
      <c r="AE579">
        <v>1.1219882427258331E-4</v>
      </c>
    </row>
    <row r="580" spans="29:31" x14ac:dyDescent="0.45">
      <c r="AC580" t="s">
        <v>19</v>
      </c>
      <c r="AD580" t="s">
        <v>1626</v>
      </c>
      <c r="AE580">
        <v>1.1211612712318467E-4</v>
      </c>
    </row>
    <row r="581" spans="29:31" x14ac:dyDescent="0.45">
      <c r="AC581" t="s">
        <v>19</v>
      </c>
      <c r="AD581" t="s">
        <v>1627</v>
      </c>
      <c r="AE581">
        <v>1.1211612712318467E-4</v>
      </c>
    </row>
    <row r="582" spans="29:31" x14ac:dyDescent="0.45">
      <c r="AC582" t="s">
        <v>19</v>
      </c>
      <c r="AD582" t="s">
        <v>1628</v>
      </c>
      <c r="AE582">
        <v>1.1218008967809712E-4</v>
      </c>
    </row>
    <row r="583" spans="29:31" x14ac:dyDescent="0.45">
      <c r="AC583" t="s">
        <v>19</v>
      </c>
      <c r="AD583" t="s">
        <v>1629</v>
      </c>
      <c r="AE583">
        <v>1.1266321512984685E-4</v>
      </c>
    </row>
    <row r="584" spans="29:31" x14ac:dyDescent="0.45">
      <c r="AC584" t="s">
        <v>19</v>
      </c>
      <c r="AD584" t="s">
        <v>1630</v>
      </c>
      <c r="AE584">
        <v>1.1378842622898666E-4</v>
      </c>
    </row>
    <row r="585" spans="29:31" x14ac:dyDescent="0.45">
      <c r="AC585" t="s">
        <v>19</v>
      </c>
      <c r="AD585" t="s">
        <v>1631</v>
      </c>
      <c r="AE585">
        <v>1.1463507850909957E-4</v>
      </c>
    </row>
    <row r="586" spans="29:31" x14ac:dyDescent="0.45">
      <c r="AC586" t="s">
        <v>19</v>
      </c>
      <c r="AD586" t="s">
        <v>1632</v>
      </c>
      <c r="AE586">
        <v>1.15300061994195E-4</v>
      </c>
    </row>
    <row r="587" spans="29:31" x14ac:dyDescent="0.45">
      <c r="AC587" t="s">
        <v>19</v>
      </c>
      <c r="AD587" t="s">
        <v>1633</v>
      </c>
      <c r="AE587">
        <v>1.1566756282744921E-4</v>
      </c>
    </row>
    <row r="588" spans="29:31" x14ac:dyDescent="0.45">
      <c r="AC588" t="s">
        <v>19</v>
      </c>
      <c r="AD588" t="s">
        <v>1634</v>
      </c>
      <c r="AE588">
        <v>1.1574004110712808E-4</v>
      </c>
    </row>
    <row r="589" spans="29:31" x14ac:dyDescent="0.45">
      <c r="AC589" t="s">
        <v>19</v>
      </c>
      <c r="AD589" t="s">
        <v>1635</v>
      </c>
      <c r="AE589">
        <v>1.1573549938725264E-4</v>
      </c>
    </row>
    <row r="590" spans="29:31" x14ac:dyDescent="0.45">
      <c r="AC590" t="s">
        <v>19</v>
      </c>
      <c r="AD590" t="s">
        <v>1636</v>
      </c>
      <c r="AE590">
        <v>1.1571979260601674E-4</v>
      </c>
    </row>
    <row r="591" spans="29:31" x14ac:dyDescent="0.45">
      <c r="AC591" t="s">
        <v>19</v>
      </c>
      <c r="AD591" t="s">
        <v>1637</v>
      </c>
      <c r="AE591">
        <v>1.1574193349040951E-4</v>
      </c>
    </row>
    <row r="592" spans="29:31" x14ac:dyDescent="0.45">
      <c r="AC592" t="s">
        <v>19</v>
      </c>
      <c r="AD592" t="s">
        <v>1638</v>
      </c>
      <c r="AE592">
        <v>1.1569064990348267E-4</v>
      </c>
    </row>
    <row r="593" spans="29:31" x14ac:dyDescent="0.45">
      <c r="AC593" t="s">
        <v>19</v>
      </c>
      <c r="AD593" t="s">
        <v>1639</v>
      </c>
      <c r="AE593">
        <v>1.156194962921008E-4</v>
      </c>
    </row>
    <row r="594" spans="29:31" x14ac:dyDescent="0.45">
      <c r="AC594" t="s">
        <v>19</v>
      </c>
      <c r="AD594" t="s">
        <v>1640</v>
      </c>
      <c r="AE594">
        <v>1.1559186749619189E-4</v>
      </c>
    </row>
    <row r="595" spans="29:31" x14ac:dyDescent="0.45">
      <c r="AC595" t="s">
        <v>19</v>
      </c>
      <c r="AD595" t="s">
        <v>1641</v>
      </c>
      <c r="AE595">
        <v>1.1556537413025185E-4</v>
      </c>
    </row>
    <row r="596" spans="29:31" x14ac:dyDescent="0.45">
      <c r="AC596" t="s">
        <v>19</v>
      </c>
      <c r="AD596" t="s">
        <v>1642</v>
      </c>
      <c r="AE596">
        <v>1.1555118125564109E-4</v>
      </c>
    </row>
    <row r="597" spans="29:31" x14ac:dyDescent="0.45">
      <c r="AC597" t="s">
        <v>19</v>
      </c>
      <c r="AD597" t="s">
        <v>1643</v>
      </c>
      <c r="AE597">
        <v>1.1547529668605566E-4</v>
      </c>
    </row>
    <row r="598" spans="29:31" x14ac:dyDescent="0.45">
      <c r="AC598" t="s">
        <v>19</v>
      </c>
      <c r="AD598" t="s">
        <v>1644</v>
      </c>
      <c r="AE598">
        <v>1.1529324941438184E-4</v>
      </c>
    </row>
    <row r="599" spans="29:31" x14ac:dyDescent="0.45">
      <c r="AC599" t="s">
        <v>19</v>
      </c>
      <c r="AD599" t="s">
        <v>1645</v>
      </c>
      <c r="AE599">
        <v>1.1481296253755424E-4</v>
      </c>
    </row>
    <row r="600" spans="29:31" x14ac:dyDescent="0.45">
      <c r="AC600" t="s">
        <v>19</v>
      </c>
      <c r="AD600" t="s">
        <v>1646</v>
      </c>
      <c r="AE600">
        <v>1.1432870165583565E-4</v>
      </c>
    </row>
    <row r="601" spans="29:31" x14ac:dyDescent="0.45">
      <c r="AC601" t="s">
        <v>19</v>
      </c>
      <c r="AD601" t="s">
        <v>1647</v>
      </c>
      <c r="AE601">
        <v>1.1292682412095039E-4</v>
      </c>
    </row>
    <row r="602" spans="29:31" x14ac:dyDescent="0.45">
      <c r="AC602" t="s">
        <v>19</v>
      </c>
      <c r="AD602" t="s">
        <v>1648</v>
      </c>
      <c r="AE602">
        <v>1.122124494322096E-4</v>
      </c>
    </row>
    <row r="603" spans="29:31" x14ac:dyDescent="0.45">
      <c r="AC603" t="s">
        <v>19</v>
      </c>
      <c r="AD603" t="s">
        <v>1649</v>
      </c>
      <c r="AE603">
        <v>1.1171853739575569E-4</v>
      </c>
    </row>
    <row r="604" spans="29:31" x14ac:dyDescent="0.45">
      <c r="AC604" t="s">
        <v>19</v>
      </c>
      <c r="AD604" t="s">
        <v>1650</v>
      </c>
      <c r="AE604">
        <v>1.115050765616101E-4</v>
      </c>
    </row>
    <row r="605" spans="29:31" x14ac:dyDescent="0.45">
      <c r="AC605" t="s">
        <v>19</v>
      </c>
      <c r="AD605" t="s">
        <v>1651</v>
      </c>
      <c r="AE605">
        <v>1.115050765616101E-4</v>
      </c>
    </row>
    <row r="606" spans="29:31" x14ac:dyDescent="0.45">
      <c r="AC606" t="s">
        <v>19</v>
      </c>
      <c r="AD606" t="s">
        <v>1652</v>
      </c>
      <c r="AE606">
        <v>1.1151983715120529E-4</v>
      </c>
    </row>
    <row r="607" spans="29:31" x14ac:dyDescent="0.45">
      <c r="AC607" t="s">
        <v>19</v>
      </c>
      <c r="AD607" t="s">
        <v>1653</v>
      </c>
      <c r="AE607">
        <v>1.1153421926414417E-4</v>
      </c>
    </row>
    <row r="608" spans="29:31" x14ac:dyDescent="0.45">
      <c r="AC608" t="s">
        <v>19</v>
      </c>
      <c r="AD608" t="s">
        <v>1654</v>
      </c>
      <c r="AE608">
        <v>1.1171910511074015E-4</v>
      </c>
    </row>
    <row r="609" spans="29:31" x14ac:dyDescent="0.45">
      <c r="AC609" t="s">
        <v>19</v>
      </c>
      <c r="AD609" t="s">
        <v>1655</v>
      </c>
      <c r="AE609">
        <v>1.1212672446956071E-4</v>
      </c>
    </row>
    <row r="610" spans="29:31" x14ac:dyDescent="0.45">
      <c r="AC610" t="s">
        <v>19</v>
      </c>
      <c r="AD610" t="s">
        <v>1656</v>
      </c>
      <c r="AE610">
        <v>1.1274515532593288E-4</v>
      </c>
    </row>
    <row r="611" spans="29:31" x14ac:dyDescent="0.45">
      <c r="AC611" t="s">
        <v>19</v>
      </c>
      <c r="AD611" t="s">
        <v>1657</v>
      </c>
      <c r="AE611">
        <v>1.1345025733659465E-4</v>
      </c>
    </row>
    <row r="612" spans="29:31" x14ac:dyDescent="0.45">
      <c r="AC612" t="s">
        <v>19</v>
      </c>
      <c r="AD612" t="s">
        <v>1658</v>
      </c>
      <c r="AE612">
        <v>1.1363457546820619E-4</v>
      </c>
    </row>
    <row r="613" spans="29:31" x14ac:dyDescent="0.45">
      <c r="AC613" t="s">
        <v>19</v>
      </c>
      <c r="AD613" t="s">
        <v>1659</v>
      </c>
      <c r="AE613">
        <v>1.1364725443619179E-4</v>
      </c>
    </row>
    <row r="614" spans="29:31" x14ac:dyDescent="0.45">
      <c r="AC614" t="s">
        <v>19</v>
      </c>
      <c r="AD614" t="s">
        <v>1660</v>
      </c>
      <c r="AE614">
        <v>1.1361281306046971E-4</v>
      </c>
    </row>
    <row r="615" spans="29:31" x14ac:dyDescent="0.45">
      <c r="AC615" t="s">
        <v>19</v>
      </c>
      <c r="AD615" t="s">
        <v>1661</v>
      </c>
      <c r="AE615">
        <v>1.1358045330635721E-4</v>
      </c>
    </row>
    <row r="616" spans="29:31" x14ac:dyDescent="0.45">
      <c r="AC616" t="s">
        <v>19</v>
      </c>
      <c r="AD616" t="s">
        <v>1662</v>
      </c>
      <c r="AE616">
        <v>1.1353522534593098E-4</v>
      </c>
    </row>
    <row r="617" spans="29:31" x14ac:dyDescent="0.45">
      <c r="AC617" t="s">
        <v>19</v>
      </c>
      <c r="AD617" t="s">
        <v>1663</v>
      </c>
      <c r="AE617">
        <v>1.134964314886616E-4</v>
      </c>
    </row>
    <row r="618" spans="29:31" x14ac:dyDescent="0.45">
      <c r="AC618" t="s">
        <v>19</v>
      </c>
      <c r="AD618" t="s">
        <v>1664</v>
      </c>
      <c r="AE618">
        <v>1.1348129242241015E-4</v>
      </c>
    </row>
    <row r="619" spans="29:31" x14ac:dyDescent="0.45">
      <c r="AC619" t="s">
        <v>19</v>
      </c>
      <c r="AD619" t="s">
        <v>1665</v>
      </c>
      <c r="AE619">
        <v>1.1346728878612756E-4</v>
      </c>
    </row>
    <row r="620" spans="29:31" x14ac:dyDescent="0.45">
      <c r="AC620" t="s">
        <v>19</v>
      </c>
      <c r="AD620" t="s">
        <v>1666</v>
      </c>
      <c r="AE620">
        <v>1.1347466908092514E-4</v>
      </c>
    </row>
    <row r="621" spans="29:31" x14ac:dyDescent="0.45">
      <c r="AC621" t="s">
        <v>19</v>
      </c>
      <c r="AD621" t="s">
        <v>1667</v>
      </c>
      <c r="AE621">
        <v>1.1347977851578499E-4</v>
      </c>
    </row>
    <row r="622" spans="29:31" x14ac:dyDescent="0.45">
      <c r="AC622" t="s">
        <v>19</v>
      </c>
      <c r="AD622" t="s">
        <v>1668</v>
      </c>
      <c r="AE622">
        <v>1.134627470662521E-4</v>
      </c>
    </row>
    <row r="623" spans="29:31" x14ac:dyDescent="0.45">
      <c r="AC623" t="s">
        <v>19</v>
      </c>
      <c r="AD623" t="s">
        <v>1669</v>
      </c>
      <c r="AE623">
        <v>1.1343190121876477E-4</v>
      </c>
    </row>
    <row r="624" spans="29:31" x14ac:dyDescent="0.45">
      <c r="AC624" t="s">
        <v>19</v>
      </c>
      <c r="AD624" t="s">
        <v>1670</v>
      </c>
      <c r="AE624">
        <v>1.1311663016407808E-4</v>
      </c>
    </row>
    <row r="625" spans="29:31" x14ac:dyDescent="0.45">
      <c r="AC625" t="s">
        <v>19</v>
      </c>
      <c r="AD625" t="s">
        <v>1671</v>
      </c>
      <c r="AE625">
        <v>1.128528319346464E-4</v>
      </c>
    </row>
    <row r="626" spans="29:31" x14ac:dyDescent="0.45">
      <c r="AC626" t="s">
        <v>19</v>
      </c>
      <c r="AD626" t="s">
        <v>1672</v>
      </c>
      <c r="AE626">
        <v>1.1218671301958212E-4</v>
      </c>
    </row>
    <row r="627" spans="29:31" x14ac:dyDescent="0.45">
      <c r="AC627" t="s">
        <v>19</v>
      </c>
      <c r="AD627" t="s">
        <v>1673</v>
      </c>
      <c r="AE627">
        <v>1.1171853739575569E-4</v>
      </c>
    </row>
    <row r="628" spans="29:31" x14ac:dyDescent="0.45">
      <c r="AC628" t="s">
        <v>19</v>
      </c>
      <c r="AD628" t="s">
        <v>1674</v>
      </c>
      <c r="AE628">
        <v>1.115050765616101E-4</v>
      </c>
    </row>
    <row r="629" spans="29:31" x14ac:dyDescent="0.45">
      <c r="AC629" t="s">
        <v>19</v>
      </c>
      <c r="AD629" t="s">
        <v>1675</v>
      </c>
      <c r="AE629">
        <v>1.115050765616101E-4</v>
      </c>
    </row>
    <row r="630" spans="29:31" x14ac:dyDescent="0.45">
      <c r="AC630" t="s">
        <v>19</v>
      </c>
      <c r="AD630" t="s">
        <v>1676</v>
      </c>
      <c r="AE630">
        <v>1.1151983715120529E-4</v>
      </c>
    </row>
    <row r="631" spans="29:31" x14ac:dyDescent="0.45">
      <c r="AC631" t="s">
        <v>19</v>
      </c>
      <c r="AD631" t="s">
        <v>1677</v>
      </c>
      <c r="AE631">
        <v>1.1153421926414417E-4</v>
      </c>
    </row>
    <row r="632" spans="29:31" x14ac:dyDescent="0.45">
      <c r="AC632" t="s">
        <v>19</v>
      </c>
      <c r="AD632" t="s">
        <v>1678</v>
      </c>
      <c r="AE632">
        <v>1.1171910511074015E-4</v>
      </c>
    </row>
    <row r="633" spans="29:31" x14ac:dyDescent="0.45">
      <c r="AC633" t="s">
        <v>19</v>
      </c>
      <c r="AD633" t="s">
        <v>1679</v>
      </c>
      <c r="AE633">
        <v>1.1212672446956071E-4</v>
      </c>
    </row>
    <row r="634" spans="29:31" x14ac:dyDescent="0.45">
      <c r="AC634" t="s">
        <v>19</v>
      </c>
      <c r="AD634" t="s">
        <v>1680</v>
      </c>
      <c r="AE634">
        <v>1.1272301444154011E-4</v>
      </c>
    </row>
    <row r="635" spans="29:31" x14ac:dyDescent="0.45">
      <c r="AC635" t="s">
        <v>19</v>
      </c>
      <c r="AD635" t="s">
        <v>1681</v>
      </c>
      <c r="AE635">
        <v>1.1345025733659465E-4</v>
      </c>
    </row>
    <row r="636" spans="29:31" x14ac:dyDescent="0.45">
      <c r="AC636" t="s">
        <v>19</v>
      </c>
      <c r="AD636" t="s">
        <v>1682</v>
      </c>
      <c r="AE636">
        <v>1.1363457546820619E-4</v>
      </c>
    </row>
    <row r="637" spans="29:31" x14ac:dyDescent="0.45">
      <c r="AC637" t="s">
        <v>19</v>
      </c>
      <c r="AD637" t="s">
        <v>1683</v>
      </c>
      <c r="AE637">
        <v>1.1363154765495589E-4</v>
      </c>
    </row>
    <row r="638" spans="29:31" x14ac:dyDescent="0.45">
      <c r="AC638" t="s">
        <v>19</v>
      </c>
      <c r="AD638" t="s">
        <v>1684</v>
      </c>
      <c r="AE638">
        <v>1.1361281306046971E-4</v>
      </c>
    </row>
    <row r="639" spans="29:31" x14ac:dyDescent="0.45">
      <c r="AC639" t="s">
        <v>19</v>
      </c>
      <c r="AD639" t="s">
        <v>1685</v>
      </c>
      <c r="AE639">
        <v>1.1358045330635721E-4</v>
      </c>
    </row>
    <row r="640" spans="29:31" x14ac:dyDescent="0.45">
      <c r="AC640" t="s">
        <v>19</v>
      </c>
      <c r="AD640" t="s">
        <v>1686</v>
      </c>
      <c r="AE640">
        <v>1.135348468692747E-4</v>
      </c>
    </row>
    <row r="641" spans="29:31" x14ac:dyDescent="0.45">
      <c r="AC641" t="s">
        <v>19</v>
      </c>
      <c r="AD641" t="s">
        <v>1687</v>
      </c>
      <c r="AE641">
        <v>1.1347126279101856E-4</v>
      </c>
    </row>
    <row r="642" spans="29:31" x14ac:dyDescent="0.45">
      <c r="AC642" t="s">
        <v>19</v>
      </c>
      <c r="AD642" t="s">
        <v>1688</v>
      </c>
      <c r="AE642">
        <v>1.1347126279101856E-4</v>
      </c>
    </row>
    <row r="643" spans="29:31" x14ac:dyDescent="0.45">
      <c r="AC643" t="s">
        <v>19</v>
      </c>
      <c r="AD643" t="s">
        <v>1689</v>
      </c>
      <c r="AE643">
        <v>1.1344931114495395E-4</v>
      </c>
    </row>
    <row r="644" spans="29:31" x14ac:dyDescent="0.45">
      <c r="AC644" t="s">
        <v>19</v>
      </c>
      <c r="AD644" t="s">
        <v>1690</v>
      </c>
      <c r="AE644">
        <v>1.1346180087461141E-4</v>
      </c>
    </row>
    <row r="645" spans="29:31" x14ac:dyDescent="0.45">
      <c r="AC645" t="s">
        <v>19</v>
      </c>
      <c r="AD645" t="s">
        <v>1691</v>
      </c>
      <c r="AE645">
        <v>1.1347977851578499E-4</v>
      </c>
    </row>
    <row r="646" spans="29:31" x14ac:dyDescent="0.45">
      <c r="AC646" t="s">
        <v>19</v>
      </c>
      <c r="AD646" t="s">
        <v>1692</v>
      </c>
      <c r="AE646">
        <v>1.1347542603423772E-4</v>
      </c>
    </row>
    <row r="647" spans="29:31" x14ac:dyDescent="0.45">
      <c r="AC647" t="s">
        <v>19</v>
      </c>
      <c r="AD647" t="s">
        <v>1693</v>
      </c>
      <c r="AE647">
        <v>1.1343190121876477E-4</v>
      </c>
    </row>
    <row r="648" spans="29:31" x14ac:dyDescent="0.45">
      <c r="AC648" t="s">
        <v>19</v>
      </c>
      <c r="AD648" t="s">
        <v>1694</v>
      </c>
      <c r="AE648">
        <v>1.131446374366433E-4</v>
      </c>
    </row>
    <row r="649" spans="29:31" x14ac:dyDescent="0.45">
      <c r="AC649" t="s">
        <v>19</v>
      </c>
      <c r="AD649" t="s">
        <v>1695</v>
      </c>
      <c r="AE649">
        <v>1.1330530077723693E-4</v>
      </c>
    </row>
    <row r="650" spans="29:31" x14ac:dyDescent="0.45">
      <c r="AC650" t="s">
        <v>19</v>
      </c>
      <c r="AD650" t="s">
        <v>1696</v>
      </c>
      <c r="AE650">
        <v>1.1264675139529839E-4</v>
      </c>
    </row>
    <row r="651" spans="29:31" x14ac:dyDescent="0.45">
      <c r="AC651" t="s">
        <v>19</v>
      </c>
      <c r="AD651" t="s">
        <v>1697</v>
      </c>
      <c r="AE651">
        <v>1.1219882427258331E-4</v>
      </c>
    </row>
    <row r="652" spans="29:31" x14ac:dyDescent="0.45">
      <c r="AC652" t="s">
        <v>19</v>
      </c>
      <c r="AD652" t="s">
        <v>1698</v>
      </c>
      <c r="AE652">
        <v>1.121161271231847E-4</v>
      </c>
    </row>
    <row r="653" spans="29:31" x14ac:dyDescent="0.45">
      <c r="AC653" t="s">
        <v>19</v>
      </c>
      <c r="AD653" t="s">
        <v>1699</v>
      </c>
      <c r="AE653">
        <v>1.121161271231847E-4</v>
      </c>
    </row>
    <row r="654" spans="29:31" x14ac:dyDescent="0.45">
      <c r="AC654" t="s">
        <v>19</v>
      </c>
      <c r="AD654" t="s">
        <v>1700</v>
      </c>
      <c r="AE654">
        <v>1.1218008967809712E-4</v>
      </c>
    </row>
    <row r="655" spans="29:31" x14ac:dyDescent="0.45">
      <c r="AC655" t="s">
        <v>19</v>
      </c>
      <c r="AD655" t="s">
        <v>1701</v>
      </c>
      <c r="AE655">
        <v>1.1266321512984685E-4</v>
      </c>
    </row>
    <row r="656" spans="29:31" x14ac:dyDescent="0.45">
      <c r="AC656" t="s">
        <v>19</v>
      </c>
      <c r="AD656" t="s">
        <v>1702</v>
      </c>
      <c r="AE656">
        <v>1.1378842622898666E-4</v>
      </c>
    </row>
    <row r="657" spans="29:31" x14ac:dyDescent="0.45">
      <c r="AC657" t="s">
        <v>19</v>
      </c>
      <c r="AD657" t="s">
        <v>1703</v>
      </c>
      <c r="AE657">
        <v>1.146350785090996E-4</v>
      </c>
    </row>
    <row r="658" spans="29:31" x14ac:dyDescent="0.45">
      <c r="AC658" t="s">
        <v>19</v>
      </c>
      <c r="AD658" t="s">
        <v>1704</v>
      </c>
      <c r="AE658">
        <v>1.1533866661313623E-4</v>
      </c>
    </row>
    <row r="659" spans="29:31" x14ac:dyDescent="0.45">
      <c r="AC659" t="s">
        <v>19</v>
      </c>
      <c r="AD659" t="s">
        <v>1705</v>
      </c>
      <c r="AE659">
        <v>1.1567494312224679E-4</v>
      </c>
    </row>
    <row r="660" spans="29:31" x14ac:dyDescent="0.45">
      <c r="AC660" t="s">
        <v>19</v>
      </c>
      <c r="AD660" t="s">
        <v>1706</v>
      </c>
      <c r="AE660">
        <v>1.1574666444861309E-4</v>
      </c>
    </row>
    <row r="661" spans="29:31" x14ac:dyDescent="0.45">
      <c r="AC661" t="s">
        <v>19</v>
      </c>
      <c r="AD661" t="s">
        <v>1707</v>
      </c>
      <c r="AE661">
        <v>1.1573549938725264E-4</v>
      </c>
    </row>
    <row r="662" spans="29:31" x14ac:dyDescent="0.45">
      <c r="AC662" t="s">
        <v>19</v>
      </c>
      <c r="AD662" t="s">
        <v>1708</v>
      </c>
      <c r="AE662">
        <v>1.1573493167226821E-4</v>
      </c>
    </row>
    <row r="663" spans="29:31" x14ac:dyDescent="0.45">
      <c r="AC663" t="s">
        <v>19</v>
      </c>
      <c r="AD663" t="s">
        <v>1709</v>
      </c>
      <c r="AE663">
        <v>1.1573493167226821E-4</v>
      </c>
    </row>
    <row r="664" spans="29:31" x14ac:dyDescent="0.45">
      <c r="AC664" t="s">
        <v>19</v>
      </c>
      <c r="AD664" t="s">
        <v>1710</v>
      </c>
      <c r="AE664">
        <v>1.1569064990348267E-4</v>
      </c>
    </row>
    <row r="665" spans="29:31" x14ac:dyDescent="0.45">
      <c r="AC665" t="s">
        <v>19</v>
      </c>
      <c r="AD665" t="s">
        <v>1711</v>
      </c>
      <c r="AE665">
        <v>1.1563255373674272E-4</v>
      </c>
    </row>
    <row r="666" spans="29:31" x14ac:dyDescent="0.45">
      <c r="AC666" t="s">
        <v>19</v>
      </c>
      <c r="AD666" t="s">
        <v>1712</v>
      </c>
      <c r="AE666">
        <v>1.156115482823188E-4</v>
      </c>
    </row>
    <row r="667" spans="29:31" x14ac:dyDescent="0.45">
      <c r="AC667" t="s">
        <v>19</v>
      </c>
      <c r="AD667" t="s">
        <v>1713</v>
      </c>
      <c r="AE667">
        <v>1.155725651867213E-4</v>
      </c>
    </row>
    <row r="668" spans="29:31" x14ac:dyDescent="0.45">
      <c r="AC668" t="s">
        <v>19</v>
      </c>
      <c r="AD668" t="s">
        <v>1714</v>
      </c>
      <c r="AE668">
        <v>1.1556537413025185E-4</v>
      </c>
    </row>
    <row r="669" spans="29:31" x14ac:dyDescent="0.45">
      <c r="AC669" t="s">
        <v>19</v>
      </c>
      <c r="AD669" t="s">
        <v>1715</v>
      </c>
      <c r="AE669">
        <v>1.1549043575230713E-4</v>
      </c>
    </row>
    <row r="670" spans="29:31" x14ac:dyDescent="0.45">
      <c r="AC670" t="s">
        <v>19</v>
      </c>
      <c r="AD670" t="s">
        <v>1716</v>
      </c>
      <c r="AE670">
        <v>1.1529324941438184E-4</v>
      </c>
    </row>
    <row r="671" spans="29:31" x14ac:dyDescent="0.45">
      <c r="AC671" t="s">
        <v>19</v>
      </c>
      <c r="AD671" t="s">
        <v>1717</v>
      </c>
      <c r="AE671">
        <v>1.1481296253755427E-4</v>
      </c>
    </row>
    <row r="672" spans="29:31" x14ac:dyDescent="0.45">
      <c r="AC672" t="s">
        <v>19</v>
      </c>
      <c r="AD672" t="s">
        <v>1718</v>
      </c>
      <c r="AE672">
        <v>1.1432870165583565E-4</v>
      </c>
    </row>
    <row r="673" spans="29:31" x14ac:dyDescent="0.45">
      <c r="AC673" t="s">
        <v>19</v>
      </c>
      <c r="AD673" t="s">
        <v>1719</v>
      </c>
      <c r="AE673">
        <v>1.1335355655091347E-4</v>
      </c>
    </row>
    <row r="674" spans="29:31" x14ac:dyDescent="0.45">
      <c r="AC674" t="s">
        <v>19</v>
      </c>
      <c r="AD674" t="s">
        <v>1720</v>
      </c>
      <c r="AE674">
        <v>1.1264675139529839E-4</v>
      </c>
    </row>
    <row r="675" spans="29:31" x14ac:dyDescent="0.45">
      <c r="AC675" t="s">
        <v>19</v>
      </c>
      <c r="AD675" t="s">
        <v>366</v>
      </c>
      <c r="AE675">
        <v>1.8123826071262526E-2</v>
      </c>
    </row>
    <row r="676" spans="29:31" x14ac:dyDescent="0.45">
      <c r="AC676" t="s">
        <v>19</v>
      </c>
      <c r="AD676" t="s">
        <v>367</v>
      </c>
      <c r="AE676">
        <v>2.636757326485942E-3</v>
      </c>
    </row>
    <row r="677" spans="29:31" x14ac:dyDescent="0.45">
      <c r="AC677" t="s">
        <v>19</v>
      </c>
      <c r="AD677" t="s">
        <v>368</v>
      </c>
      <c r="AE677">
        <v>5.2965829944108742E-3</v>
      </c>
    </row>
    <row r="678" spans="29:31" x14ac:dyDescent="0.45">
      <c r="AC678" t="s">
        <v>19</v>
      </c>
      <c r="AD678" t="s">
        <v>369</v>
      </c>
      <c r="AE678">
        <v>7.9475725570798145E-3</v>
      </c>
    </row>
    <row r="679" spans="29:31" x14ac:dyDescent="0.45">
      <c r="AC679" t="s">
        <v>19</v>
      </c>
      <c r="AD679" t="s">
        <v>370</v>
      </c>
      <c r="AE679">
        <v>2.6475030357112281E-3</v>
      </c>
    </row>
    <row r="680" spans="29:31" x14ac:dyDescent="0.45">
      <c r="AC680" t="s">
        <v>19</v>
      </c>
      <c r="AD680" t="s">
        <v>371</v>
      </c>
      <c r="AE680">
        <v>5.2918490083940428E-3</v>
      </c>
    </row>
    <row r="681" spans="29:31" x14ac:dyDescent="0.45">
      <c r="AC681" t="s">
        <v>19</v>
      </c>
      <c r="AD681" t="s">
        <v>372</v>
      </c>
      <c r="AE681">
        <v>5.2909130356230466E-3</v>
      </c>
    </row>
    <row r="682" spans="29:31" x14ac:dyDescent="0.45">
      <c r="AC682" t="s">
        <v>19</v>
      </c>
      <c r="AD682" t="s">
        <v>373</v>
      </c>
      <c r="AE682">
        <v>1.5738073138557507E-2</v>
      </c>
    </row>
    <row r="683" spans="29:31" x14ac:dyDescent="0.45">
      <c r="AC683" t="s">
        <v>19</v>
      </c>
      <c r="AD683" t="s">
        <v>1721</v>
      </c>
      <c r="AE683">
        <v>1.1229342207103721E-4</v>
      </c>
    </row>
    <row r="684" spans="29:31" x14ac:dyDescent="0.45">
      <c r="AC684" t="s">
        <v>19</v>
      </c>
      <c r="AD684" t="s">
        <v>1722</v>
      </c>
      <c r="AE684">
        <v>1.122107249216386E-4</v>
      </c>
    </row>
    <row r="685" spans="29:31" x14ac:dyDescent="0.45">
      <c r="AC685" t="s">
        <v>19</v>
      </c>
      <c r="AD685" t="s">
        <v>1723</v>
      </c>
      <c r="AE685">
        <v>1.122107249216386E-4</v>
      </c>
    </row>
    <row r="686" spans="29:31" x14ac:dyDescent="0.45">
      <c r="AC686" t="s">
        <v>19</v>
      </c>
      <c r="AD686" t="s">
        <v>1724</v>
      </c>
      <c r="AE686">
        <v>1.1228717720620848E-4</v>
      </c>
    </row>
    <row r="687" spans="29:31" x14ac:dyDescent="0.45">
      <c r="AC687" t="s">
        <v>19</v>
      </c>
      <c r="AD687" t="s">
        <v>1725</v>
      </c>
      <c r="AE687">
        <v>1.1273699671220501E-4</v>
      </c>
    </row>
    <row r="688" spans="29:31" x14ac:dyDescent="0.45">
      <c r="AC688" t="s">
        <v>19</v>
      </c>
      <c r="AD688" t="s">
        <v>1726</v>
      </c>
      <c r="AE688">
        <v>1.1388567336403459E-4</v>
      </c>
    </row>
    <row r="689" spans="29:31" x14ac:dyDescent="0.45">
      <c r="AC689" t="s">
        <v>19</v>
      </c>
      <c r="AD689" t="s">
        <v>1727</v>
      </c>
      <c r="AE689">
        <v>1.1478852942760607E-4</v>
      </c>
    </row>
    <row r="690" spans="29:31" x14ac:dyDescent="0.45">
      <c r="AC690" t="s">
        <v>19</v>
      </c>
      <c r="AD690" t="s">
        <v>1728</v>
      </c>
      <c r="AE690">
        <v>1.1545843310923319E-4</v>
      </c>
    </row>
    <row r="691" spans="29:31" x14ac:dyDescent="0.45">
      <c r="AC691" t="s">
        <v>19</v>
      </c>
      <c r="AD691" t="s">
        <v>1729</v>
      </c>
      <c r="AE691">
        <v>1.1579887286156291E-4</v>
      </c>
    </row>
    <row r="692" spans="29:31" x14ac:dyDescent="0.45">
      <c r="AC692" t="s">
        <v>19</v>
      </c>
      <c r="AD692" t="s">
        <v>1730</v>
      </c>
      <c r="AE692">
        <v>1.1579792666992221E-4</v>
      </c>
    </row>
    <row r="693" spans="29:31" x14ac:dyDescent="0.45">
      <c r="AC693" t="s">
        <v>19</v>
      </c>
      <c r="AD693" t="s">
        <v>1731</v>
      </c>
      <c r="AE693">
        <v>1.1577975979042044E-4</v>
      </c>
    </row>
    <row r="694" spans="29:31" x14ac:dyDescent="0.45">
      <c r="AC694" t="s">
        <v>19</v>
      </c>
      <c r="AD694" t="s">
        <v>1732</v>
      </c>
      <c r="AE694">
        <v>1.1578411227196775E-4</v>
      </c>
    </row>
    <row r="695" spans="29:31" x14ac:dyDescent="0.45">
      <c r="AC695" t="s">
        <v>19</v>
      </c>
      <c r="AD695" t="s">
        <v>1733</v>
      </c>
      <c r="AE695">
        <v>1.1580227915146949E-4</v>
      </c>
    </row>
    <row r="696" spans="29:31" x14ac:dyDescent="0.45">
      <c r="AC696" t="s">
        <v>19</v>
      </c>
      <c r="AD696" t="s">
        <v>1734</v>
      </c>
      <c r="AE696">
        <v>1.1576878396738814E-4</v>
      </c>
    </row>
    <row r="697" spans="29:31" x14ac:dyDescent="0.45">
      <c r="AC697" t="s">
        <v>19</v>
      </c>
      <c r="AD697" t="s">
        <v>1735</v>
      </c>
      <c r="AE697">
        <v>1.1569763035600627E-4</v>
      </c>
    </row>
    <row r="698" spans="29:31" x14ac:dyDescent="0.45">
      <c r="AC698" t="s">
        <v>19</v>
      </c>
      <c r="AD698" t="s">
        <v>1736</v>
      </c>
      <c r="AE698">
        <v>1.1569914426263143E-4</v>
      </c>
    </row>
    <row r="699" spans="29:31" x14ac:dyDescent="0.45">
      <c r="AC699" t="s">
        <v>19</v>
      </c>
      <c r="AD699" t="s">
        <v>1737</v>
      </c>
      <c r="AE699">
        <v>1.1567113699006623E-4</v>
      </c>
    </row>
    <row r="700" spans="29:31" x14ac:dyDescent="0.45">
      <c r="AC700" t="s">
        <v>19</v>
      </c>
      <c r="AD700" t="s">
        <v>1738</v>
      </c>
      <c r="AE700">
        <v>1.1561531168326397E-4</v>
      </c>
    </row>
    <row r="701" spans="29:31" x14ac:dyDescent="0.45">
      <c r="AC701" t="s">
        <v>19</v>
      </c>
      <c r="AD701" t="s">
        <v>1739</v>
      </c>
      <c r="AE701">
        <v>1.1552845129064622E-4</v>
      </c>
    </row>
    <row r="702" spans="29:31" x14ac:dyDescent="0.45">
      <c r="AC702" t="s">
        <v>19</v>
      </c>
      <c r="AD702" t="s">
        <v>1740</v>
      </c>
      <c r="AE702">
        <v>1.1539447055432078E-4</v>
      </c>
    </row>
    <row r="703" spans="29:31" x14ac:dyDescent="0.45">
      <c r="AC703" t="s">
        <v>19</v>
      </c>
      <c r="AD703" t="s">
        <v>1741</v>
      </c>
      <c r="AE703">
        <v>1.149041540461016E-4</v>
      </c>
    </row>
    <row r="704" spans="29:31" x14ac:dyDescent="0.45">
      <c r="AC704" t="s">
        <v>19</v>
      </c>
      <c r="AD704" t="s">
        <v>1742</v>
      </c>
      <c r="AE704">
        <v>1.1441989316438301E-4</v>
      </c>
    </row>
    <row r="705" spans="29:31" x14ac:dyDescent="0.45">
      <c r="AC705" t="s">
        <v>19</v>
      </c>
      <c r="AD705" t="s">
        <v>1743</v>
      </c>
      <c r="AE705">
        <v>1.1336829577489091E-4</v>
      </c>
    </row>
    <row r="706" spans="29:31" x14ac:dyDescent="0.45">
      <c r="AC706" t="s">
        <v>19</v>
      </c>
      <c r="AD706" t="s">
        <v>1744</v>
      </c>
      <c r="AE706">
        <v>1.1271542354279667E-4</v>
      </c>
    </row>
    <row r="707" spans="29:31" x14ac:dyDescent="0.45">
      <c r="AC707" t="s">
        <v>19</v>
      </c>
      <c r="AD707" t="s">
        <v>1745</v>
      </c>
      <c r="AE707">
        <v>1.1229342207103722E-4</v>
      </c>
    </row>
    <row r="708" spans="29:31" x14ac:dyDescent="0.45">
      <c r="AC708" t="s">
        <v>19</v>
      </c>
      <c r="AD708" t="s">
        <v>1746</v>
      </c>
      <c r="AE708">
        <v>1.1221072492163863E-4</v>
      </c>
    </row>
    <row r="709" spans="29:31" x14ac:dyDescent="0.45">
      <c r="AC709" t="s">
        <v>19</v>
      </c>
      <c r="AD709" t="s">
        <v>1747</v>
      </c>
      <c r="AE709">
        <v>1.1221072492163863E-4</v>
      </c>
    </row>
    <row r="710" spans="29:31" x14ac:dyDescent="0.45">
      <c r="AC710" t="s">
        <v>19</v>
      </c>
      <c r="AD710" t="s">
        <v>1748</v>
      </c>
      <c r="AE710">
        <v>1.1228717720620851E-4</v>
      </c>
    </row>
    <row r="711" spans="29:31" x14ac:dyDescent="0.45">
      <c r="AC711" t="s">
        <v>19</v>
      </c>
      <c r="AD711" t="s">
        <v>1749</v>
      </c>
      <c r="AE711">
        <v>1.1277597980780254E-4</v>
      </c>
    </row>
    <row r="712" spans="29:31" x14ac:dyDescent="0.45">
      <c r="AC712" t="s">
        <v>19</v>
      </c>
      <c r="AD712" t="s">
        <v>1750</v>
      </c>
      <c r="AE712">
        <v>1.1393014437114824E-4</v>
      </c>
    </row>
    <row r="713" spans="29:31" x14ac:dyDescent="0.45">
      <c r="AC713" t="s">
        <v>19</v>
      </c>
      <c r="AD713" t="s">
        <v>1751</v>
      </c>
      <c r="AE713">
        <v>1.148070747837641E-4</v>
      </c>
    </row>
    <row r="714" spans="29:31" x14ac:dyDescent="0.45">
      <c r="AC714" t="s">
        <v>19</v>
      </c>
      <c r="AD714" t="s">
        <v>1752</v>
      </c>
      <c r="AE714">
        <v>1.1544878195449789E-4</v>
      </c>
    </row>
    <row r="715" spans="29:31" x14ac:dyDescent="0.45">
      <c r="AC715" t="s">
        <v>19</v>
      </c>
      <c r="AD715" t="s">
        <v>1753</v>
      </c>
      <c r="AE715">
        <v>1.1579584504831264E-4</v>
      </c>
    </row>
    <row r="716" spans="29:31" x14ac:dyDescent="0.45">
      <c r="AC716" t="s">
        <v>19</v>
      </c>
      <c r="AD716" t="s">
        <v>1754</v>
      </c>
      <c r="AE716">
        <v>1.1578411227196775E-4</v>
      </c>
    </row>
    <row r="717" spans="29:31" x14ac:dyDescent="0.45">
      <c r="AC717" t="s">
        <v>19</v>
      </c>
      <c r="AD717" t="s">
        <v>1755</v>
      </c>
      <c r="AE717">
        <v>1.1579243875840606E-4</v>
      </c>
    </row>
    <row r="718" spans="29:31" x14ac:dyDescent="0.45">
      <c r="AC718" t="s">
        <v>19</v>
      </c>
      <c r="AD718" t="s">
        <v>1756</v>
      </c>
      <c r="AE718">
        <v>1.1578411227196775E-4</v>
      </c>
    </row>
    <row r="719" spans="29:31" x14ac:dyDescent="0.45">
      <c r="AC719" t="s">
        <v>19</v>
      </c>
      <c r="AD719" t="s">
        <v>1757</v>
      </c>
      <c r="AE719">
        <v>1.1583198956898801E-4</v>
      </c>
    </row>
    <row r="720" spans="29:31" x14ac:dyDescent="0.45">
      <c r="AC720" t="s">
        <v>19</v>
      </c>
      <c r="AD720" t="s">
        <v>1758</v>
      </c>
      <c r="AE720">
        <v>1.158136334511581E-4</v>
      </c>
    </row>
    <row r="721" spans="29:31" x14ac:dyDescent="0.45">
      <c r="AC721" t="s">
        <v>19</v>
      </c>
      <c r="AD721" t="s">
        <v>1759</v>
      </c>
      <c r="AE721">
        <v>1.1570576760411645E-4</v>
      </c>
    </row>
    <row r="722" spans="29:31" x14ac:dyDescent="0.45">
      <c r="AC722" t="s">
        <v>19</v>
      </c>
      <c r="AD722" t="s">
        <v>1760</v>
      </c>
      <c r="AE722">
        <v>1.1570576760411645E-4</v>
      </c>
    </row>
    <row r="723" spans="29:31" x14ac:dyDescent="0.45">
      <c r="AC723" t="s">
        <v>19</v>
      </c>
      <c r="AD723" t="s">
        <v>1761</v>
      </c>
      <c r="AE723">
        <v>1.1567113699006623E-4</v>
      </c>
    </row>
    <row r="724" spans="29:31" x14ac:dyDescent="0.45">
      <c r="AC724" t="s">
        <v>19</v>
      </c>
      <c r="AD724" t="s">
        <v>1762</v>
      </c>
      <c r="AE724">
        <v>1.1561531168326397E-4</v>
      </c>
    </row>
    <row r="725" spans="29:31" x14ac:dyDescent="0.45">
      <c r="AC725" t="s">
        <v>19</v>
      </c>
      <c r="AD725" t="s">
        <v>1763</v>
      </c>
      <c r="AE725">
        <v>1.1553677777708452E-4</v>
      </c>
    </row>
    <row r="726" spans="29:31" x14ac:dyDescent="0.45">
      <c r="AC726" t="s">
        <v>19</v>
      </c>
      <c r="AD726" t="s">
        <v>1764</v>
      </c>
      <c r="AE726">
        <v>1.1539447055432078E-4</v>
      </c>
    </row>
    <row r="727" spans="29:31" x14ac:dyDescent="0.45">
      <c r="AC727" t="s">
        <v>19</v>
      </c>
      <c r="AD727" t="s">
        <v>1765</v>
      </c>
      <c r="AE727">
        <v>1.14954869918044E-4</v>
      </c>
    </row>
    <row r="728" spans="29:31" x14ac:dyDescent="0.45">
      <c r="AC728" t="s">
        <v>19</v>
      </c>
      <c r="AD728" t="s">
        <v>1766</v>
      </c>
      <c r="AE728">
        <v>1.1447079827465354E-4</v>
      </c>
    </row>
    <row r="729" spans="29:31" x14ac:dyDescent="0.45">
      <c r="AC729" t="s">
        <v>19</v>
      </c>
      <c r="AD729" t="s">
        <v>1767</v>
      </c>
      <c r="AE729">
        <v>1.1348108181846431E-4</v>
      </c>
    </row>
    <row r="730" spans="29:31" x14ac:dyDescent="0.45">
      <c r="AC730" t="s">
        <v>19</v>
      </c>
      <c r="AD730" t="s">
        <v>1768</v>
      </c>
      <c r="AE730">
        <v>1.1278941572910069E-4</v>
      </c>
    </row>
    <row r="731" spans="29:31" x14ac:dyDescent="0.45">
      <c r="AC731" t="s">
        <v>19</v>
      </c>
      <c r="AD731" t="s">
        <v>1769</v>
      </c>
      <c r="AE731">
        <v>1.1231915848366469E-4</v>
      </c>
    </row>
    <row r="732" spans="29:31" x14ac:dyDescent="0.45">
      <c r="AC732" t="s">
        <v>19</v>
      </c>
      <c r="AD732" t="s">
        <v>1770</v>
      </c>
      <c r="AE732">
        <v>1.1223646133426609E-4</v>
      </c>
    </row>
    <row r="733" spans="29:31" x14ac:dyDescent="0.45">
      <c r="AC733" t="s">
        <v>19</v>
      </c>
      <c r="AD733" t="s">
        <v>1771</v>
      </c>
      <c r="AE733">
        <v>1.122107249216386E-4</v>
      </c>
    </row>
    <row r="734" spans="29:31" x14ac:dyDescent="0.45">
      <c r="AC734" t="s">
        <v>19</v>
      </c>
      <c r="AD734" t="s">
        <v>1772</v>
      </c>
      <c r="AE734">
        <v>1.1228717720620848E-4</v>
      </c>
    </row>
    <row r="735" spans="29:31" x14ac:dyDescent="0.45">
      <c r="AC735" t="s">
        <v>19</v>
      </c>
      <c r="AD735" t="s">
        <v>1773</v>
      </c>
      <c r="AE735">
        <v>1.1278979420575697E-4</v>
      </c>
    </row>
    <row r="736" spans="29:31" x14ac:dyDescent="0.45">
      <c r="AC736" t="s">
        <v>19</v>
      </c>
      <c r="AD736" t="s">
        <v>1774</v>
      </c>
      <c r="AE736">
        <v>1.1394376953077456E-4</v>
      </c>
    </row>
    <row r="737" spans="29:31" x14ac:dyDescent="0.45">
      <c r="AC737" t="s">
        <v>19</v>
      </c>
      <c r="AD737" t="s">
        <v>1775</v>
      </c>
      <c r="AE737">
        <v>1.1479061104921564E-4</v>
      </c>
    </row>
    <row r="738" spans="29:31" x14ac:dyDescent="0.45">
      <c r="AC738" t="s">
        <v>19</v>
      </c>
      <c r="AD738" t="s">
        <v>1776</v>
      </c>
      <c r="AE738">
        <v>1.1538992883444533E-4</v>
      </c>
    </row>
    <row r="739" spans="29:31" x14ac:dyDescent="0.45">
      <c r="AC739" t="s">
        <v>19</v>
      </c>
      <c r="AD739" t="s">
        <v>1777</v>
      </c>
      <c r="AE739">
        <v>1.1575364490113668E-4</v>
      </c>
    </row>
    <row r="740" spans="29:31" x14ac:dyDescent="0.45">
      <c r="AC740" t="s">
        <v>19</v>
      </c>
      <c r="AD740" t="s">
        <v>1778</v>
      </c>
      <c r="AE740">
        <v>1.1578411227196775E-4</v>
      </c>
    </row>
    <row r="741" spans="29:31" x14ac:dyDescent="0.45">
      <c r="AC741" t="s">
        <v>19</v>
      </c>
      <c r="AD741" t="s">
        <v>1779</v>
      </c>
      <c r="AE741">
        <v>1.1579622352496891E-4</v>
      </c>
    </row>
    <row r="742" spans="29:31" x14ac:dyDescent="0.45">
      <c r="AC742" t="s">
        <v>19</v>
      </c>
      <c r="AD742" t="s">
        <v>1780</v>
      </c>
      <c r="AE742">
        <v>1.1578411227196775E-4</v>
      </c>
    </row>
    <row r="743" spans="29:31" x14ac:dyDescent="0.45">
      <c r="AC743" t="s">
        <v>19</v>
      </c>
      <c r="AD743" t="s">
        <v>1781</v>
      </c>
      <c r="AE743">
        <v>1.1578411227196775E-4</v>
      </c>
    </row>
    <row r="744" spans="29:31" x14ac:dyDescent="0.45">
      <c r="AC744" t="s">
        <v>19</v>
      </c>
      <c r="AD744" t="s">
        <v>1782</v>
      </c>
      <c r="AE744">
        <v>1.1573509954497864E-4</v>
      </c>
    </row>
    <row r="745" spans="29:31" x14ac:dyDescent="0.45">
      <c r="AC745" t="s">
        <v>19</v>
      </c>
      <c r="AD745" t="s">
        <v>1783</v>
      </c>
      <c r="AE745">
        <v>1.1565997192870577E-4</v>
      </c>
    </row>
    <row r="746" spans="29:31" x14ac:dyDescent="0.45">
      <c r="AC746" t="s">
        <v>19</v>
      </c>
      <c r="AD746" t="s">
        <v>1784</v>
      </c>
      <c r="AE746">
        <v>1.1565997192870577E-4</v>
      </c>
    </row>
    <row r="747" spans="29:31" x14ac:dyDescent="0.45">
      <c r="AC747" t="s">
        <v>19</v>
      </c>
      <c r="AD747" t="s">
        <v>1785</v>
      </c>
      <c r="AE747">
        <v>1.1561531168326397E-4</v>
      </c>
    </row>
    <row r="748" spans="29:31" x14ac:dyDescent="0.45">
      <c r="AC748" t="s">
        <v>19</v>
      </c>
      <c r="AD748" t="s">
        <v>1786</v>
      </c>
      <c r="AE748">
        <v>1.1559544165880891E-4</v>
      </c>
    </row>
    <row r="749" spans="29:31" x14ac:dyDescent="0.45">
      <c r="AC749" t="s">
        <v>19</v>
      </c>
      <c r="AD749" t="s">
        <v>1787</v>
      </c>
      <c r="AE749">
        <v>1.1552845129064619E-4</v>
      </c>
    </row>
    <row r="750" spans="29:31" x14ac:dyDescent="0.45">
      <c r="AC750" t="s">
        <v>19</v>
      </c>
      <c r="AD750" t="s">
        <v>1788</v>
      </c>
      <c r="AE750">
        <v>1.1539447055432078E-4</v>
      </c>
    </row>
    <row r="751" spans="29:31" x14ac:dyDescent="0.45">
      <c r="AC751" t="s">
        <v>19</v>
      </c>
      <c r="AD751" t="s">
        <v>1789</v>
      </c>
      <c r="AE751">
        <v>1.1492705188380694E-4</v>
      </c>
    </row>
    <row r="752" spans="29:31" x14ac:dyDescent="0.45">
      <c r="AC752" t="s">
        <v>19</v>
      </c>
      <c r="AD752" t="s">
        <v>1790</v>
      </c>
      <c r="AE752">
        <v>1.1444279100208832E-4</v>
      </c>
    </row>
    <row r="753" spans="29:31" x14ac:dyDescent="0.45">
      <c r="AC753" t="s">
        <v>19</v>
      </c>
      <c r="AD753" t="s">
        <v>1791</v>
      </c>
      <c r="AE753">
        <v>1.1336829577489091E-4</v>
      </c>
    </row>
    <row r="754" spans="29:31" x14ac:dyDescent="0.45">
      <c r="AC754" t="s">
        <v>19</v>
      </c>
      <c r="AD754" t="s">
        <v>1792</v>
      </c>
      <c r="AE754">
        <v>1.1271542354279667E-4</v>
      </c>
    </row>
    <row r="755" spans="29:31" x14ac:dyDescent="0.45">
      <c r="AC755" t="s">
        <v>19</v>
      </c>
      <c r="AD755" t="s">
        <v>1793</v>
      </c>
      <c r="AE755">
        <v>1.1229342207103721E-4</v>
      </c>
    </row>
    <row r="756" spans="29:31" x14ac:dyDescent="0.45">
      <c r="AC756" t="s">
        <v>19</v>
      </c>
      <c r="AD756" t="s">
        <v>1794</v>
      </c>
      <c r="AE756">
        <v>1.122107249216386E-4</v>
      </c>
    </row>
    <row r="757" spans="29:31" x14ac:dyDescent="0.45">
      <c r="AC757" t="s">
        <v>19</v>
      </c>
      <c r="AD757" t="s">
        <v>1795</v>
      </c>
      <c r="AE757">
        <v>1.122107249216386E-4</v>
      </c>
    </row>
    <row r="758" spans="29:31" x14ac:dyDescent="0.45">
      <c r="AC758" t="s">
        <v>19</v>
      </c>
      <c r="AD758" t="s">
        <v>1796</v>
      </c>
      <c r="AE758">
        <v>1.1228717720620848E-4</v>
      </c>
    </row>
    <row r="759" spans="29:31" x14ac:dyDescent="0.45">
      <c r="AC759" t="s">
        <v>19</v>
      </c>
      <c r="AD759" t="s">
        <v>1797</v>
      </c>
      <c r="AE759">
        <v>1.1278979420575697E-4</v>
      </c>
    </row>
    <row r="760" spans="29:31" x14ac:dyDescent="0.45">
      <c r="AC760" t="s">
        <v>19</v>
      </c>
      <c r="AD760" t="s">
        <v>1798</v>
      </c>
      <c r="AE760">
        <v>1.1394376953077456E-4</v>
      </c>
    </row>
    <row r="761" spans="29:31" x14ac:dyDescent="0.45">
      <c r="AC761" t="s">
        <v>19</v>
      </c>
      <c r="AD761" t="s">
        <v>1799</v>
      </c>
      <c r="AE761">
        <v>1.1482069994339041E-4</v>
      </c>
    </row>
    <row r="762" spans="29:31" x14ac:dyDescent="0.45">
      <c r="AC762" t="s">
        <v>19</v>
      </c>
      <c r="AD762" t="s">
        <v>1800</v>
      </c>
      <c r="AE762">
        <v>1.1541093428886925E-4</v>
      </c>
    </row>
    <row r="763" spans="29:31" x14ac:dyDescent="0.45">
      <c r="AC763" t="s">
        <v>19</v>
      </c>
      <c r="AD763" t="s">
        <v>1801</v>
      </c>
      <c r="AE763">
        <v>1.157822198886863E-4</v>
      </c>
    </row>
    <row r="764" spans="29:31" x14ac:dyDescent="0.45">
      <c r="AC764" t="s">
        <v>19</v>
      </c>
      <c r="AD764" t="s">
        <v>1802</v>
      </c>
      <c r="AE764">
        <v>1.1580000829153179E-4</v>
      </c>
    </row>
    <row r="765" spans="29:31" x14ac:dyDescent="0.45">
      <c r="AC765" t="s">
        <v>19</v>
      </c>
      <c r="AD765" t="s">
        <v>1803</v>
      </c>
      <c r="AE765">
        <v>1.1578411227196775E-4</v>
      </c>
    </row>
    <row r="766" spans="29:31" x14ac:dyDescent="0.45">
      <c r="AC766" t="s">
        <v>19</v>
      </c>
      <c r="AD766" t="s">
        <v>1804</v>
      </c>
      <c r="AE766">
        <v>1.1577748893048273E-4</v>
      </c>
    </row>
    <row r="767" spans="29:31" x14ac:dyDescent="0.45">
      <c r="AC767" t="s">
        <v>19</v>
      </c>
      <c r="AD767" t="s">
        <v>1805</v>
      </c>
      <c r="AE767">
        <v>1.1578411227196775E-4</v>
      </c>
    </row>
    <row r="768" spans="29:31" x14ac:dyDescent="0.45">
      <c r="AC768" t="s">
        <v>19</v>
      </c>
      <c r="AD768" t="s">
        <v>1806</v>
      </c>
      <c r="AE768">
        <v>1.1573509954497864E-4</v>
      </c>
    </row>
    <row r="769" spans="29:31" x14ac:dyDescent="0.45">
      <c r="AC769" t="s">
        <v>19</v>
      </c>
      <c r="AD769" t="s">
        <v>1807</v>
      </c>
      <c r="AE769">
        <v>1.1564483286245432E-4</v>
      </c>
    </row>
    <row r="770" spans="29:31" x14ac:dyDescent="0.45">
      <c r="AC770" t="s">
        <v>19</v>
      </c>
      <c r="AD770" t="s">
        <v>1808</v>
      </c>
      <c r="AE770">
        <v>1.1564483286245432E-4</v>
      </c>
    </row>
    <row r="771" spans="29:31" x14ac:dyDescent="0.45">
      <c r="AC771" t="s">
        <v>19</v>
      </c>
      <c r="AD771" t="s">
        <v>1809</v>
      </c>
      <c r="AE771">
        <v>1.1561531168326394E-4</v>
      </c>
    </row>
    <row r="772" spans="29:31" x14ac:dyDescent="0.45">
      <c r="AC772" t="s">
        <v>19</v>
      </c>
      <c r="AD772" t="s">
        <v>1810</v>
      </c>
      <c r="AE772">
        <v>1.1559544165880891E-4</v>
      </c>
    </row>
    <row r="773" spans="29:31" x14ac:dyDescent="0.45">
      <c r="AC773" t="s">
        <v>19</v>
      </c>
      <c r="AD773" t="s">
        <v>1811</v>
      </c>
      <c r="AE773">
        <v>1.1552845129064619E-4</v>
      </c>
    </row>
    <row r="774" spans="29:31" x14ac:dyDescent="0.45">
      <c r="AC774" t="s">
        <v>19</v>
      </c>
      <c r="AD774" t="s">
        <v>1812</v>
      </c>
      <c r="AE774">
        <v>1.1539447055432078E-4</v>
      </c>
    </row>
    <row r="775" spans="29:31" x14ac:dyDescent="0.45">
      <c r="AC775" t="s">
        <v>19</v>
      </c>
      <c r="AD775" t="s">
        <v>1813</v>
      </c>
      <c r="AE775">
        <v>1.1495486991804397E-4</v>
      </c>
    </row>
    <row r="776" spans="29:31" x14ac:dyDescent="0.45">
      <c r="AC776" t="s">
        <v>19</v>
      </c>
      <c r="AD776" t="s">
        <v>1814</v>
      </c>
      <c r="AE776">
        <v>1.1444279100208832E-4</v>
      </c>
    </row>
    <row r="777" spans="29:31" x14ac:dyDescent="0.45">
      <c r="AC777" t="s">
        <v>19</v>
      </c>
      <c r="AD777" t="s">
        <v>1815</v>
      </c>
      <c r="AE777">
        <v>1.1291582693230037E-4</v>
      </c>
    </row>
    <row r="778" spans="29:31" x14ac:dyDescent="0.45">
      <c r="AC778" t="s">
        <v>19</v>
      </c>
      <c r="AD778" t="s">
        <v>1816</v>
      </c>
      <c r="AE778">
        <v>1.1225557440540855E-4</v>
      </c>
    </row>
    <row r="779" spans="29:31" x14ac:dyDescent="0.45">
      <c r="AC779" t="s">
        <v>19</v>
      </c>
      <c r="AD779" t="s">
        <v>1817</v>
      </c>
      <c r="AE779">
        <v>1.1178739878158216E-4</v>
      </c>
    </row>
    <row r="780" spans="29:31" x14ac:dyDescent="0.45">
      <c r="AC780" t="s">
        <v>19</v>
      </c>
      <c r="AD780" t="s">
        <v>1818</v>
      </c>
      <c r="AE780">
        <v>1.1157393794743657E-4</v>
      </c>
    </row>
    <row r="781" spans="29:31" x14ac:dyDescent="0.45">
      <c r="AC781" t="s">
        <v>19</v>
      </c>
      <c r="AD781" t="s">
        <v>1819</v>
      </c>
      <c r="AE781">
        <v>1.1157393794743657E-4</v>
      </c>
    </row>
    <row r="782" spans="29:31" x14ac:dyDescent="0.45">
      <c r="AC782" t="s">
        <v>19</v>
      </c>
      <c r="AD782" t="s">
        <v>1820</v>
      </c>
      <c r="AE782">
        <v>1.1158850929870358E-4</v>
      </c>
    </row>
    <row r="783" spans="29:31" x14ac:dyDescent="0.45">
      <c r="AC783" t="s">
        <v>19</v>
      </c>
      <c r="AD783" t="s">
        <v>1821</v>
      </c>
      <c r="AE783">
        <v>1.1160308064997061E-4</v>
      </c>
    </row>
    <row r="784" spans="29:31" x14ac:dyDescent="0.45">
      <c r="AC784" t="s">
        <v>19</v>
      </c>
      <c r="AD784" t="s">
        <v>1822</v>
      </c>
      <c r="AE784">
        <v>1.1177699067353428E-4</v>
      </c>
    </row>
    <row r="785" spans="29:31" x14ac:dyDescent="0.45">
      <c r="AC785" t="s">
        <v>19</v>
      </c>
      <c r="AD785" t="s">
        <v>1823</v>
      </c>
      <c r="AE785">
        <v>1.1218461003235485E-4</v>
      </c>
    </row>
    <row r="786" spans="29:31" x14ac:dyDescent="0.45">
      <c r="AC786" t="s">
        <v>19</v>
      </c>
      <c r="AD786" t="s">
        <v>1824</v>
      </c>
      <c r="AE786">
        <v>1.1281231356680603E-4</v>
      </c>
    </row>
    <row r="787" spans="29:31" x14ac:dyDescent="0.45">
      <c r="AC787" t="s">
        <v>19</v>
      </c>
      <c r="AD787" t="s">
        <v>1825</v>
      </c>
      <c r="AE787">
        <v>1.1349186840316847E-4</v>
      </c>
    </row>
    <row r="788" spans="29:31" x14ac:dyDescent="0.45">
      <c r="AC788" t="s">
        <v>19</v>
      </c>
      <c r="AD788" t="s">
        <v>1826</v>
      </c>
      <c r="AE788">
        <v>1.1369113636270332E-4</v>
      </c>
    </row>
    <row r="789" spans="29:31" x14ac:dyDescent="0.45">
      <c r="AC789" t="s">
        <v>19</v>
      </c>
      <c r="AD789" t="s">
        <v>1827</v>
      </c>
      <c r="AE789">
        <v>1.1369113636270332E-4</v>
      </c>
    </row>
    <row r="790" spans="29:31" x14ac:dyDescent="0.45">
      <c r="AC790" t="s">
        <v>19</v>
      </c>
      <c r="AD790" t="s">
        <v>1828</v>
      </c>
      <c r="AE790">
        <v>1.1368508073620274E-4</v>
      </c>
    </row>
    <row r="791" spans="29:31" x14ac:dyDescent="0.45">
      <c r="AC791" t="s">
        <v>19</v>
      </c>
      <c r="AD791" t="s">
        <v>1829</v>
      </c>
      <c r="AE791">
        <v>1.1365272098209025E-4</v>
      </c>
    </row>
    <row r="792" spans="29:31" x14ac:dyDescent="0.45">
      <c r="AC792" t="s">
        <v>19</v>
      </c>
      <c r="AD792" t="s">
        <v>1830</v>
      </c>
      <c r="AE792">
        <v>1.1360295130178856E-4</v>
      </c>
    </row>
    <row r="793" spans="29:31" x14ac:dyDescent="0.45">
      <c r="AC793" t="s">
        <v>19</v>
      </c>
      <c r="AD793" t="s">
        <v>1831</v>
      </c>
      <c r="AE793">
        <v>1.1356434668284733E-4</v>
      </c>
    </row>
    <row r="794" spans="29:31" x14ac:dyDescent="0.45">
      <c r="AC794" t="s">
        <v>19</v>
      </c>
      <c r="AD794" t="s">
        <v>1832</v>
      </c>
      <c r="AE794">
        <v>1.1356434668284733E-4</v>
      </c>
    </row>
    <row r="795" spans="29:31" x14ac:dyDescent="0.45">
      <c r="AC795" t="s">
        <v>19</v>
      </c>
      <c r="AD795" t="s">
        <v>1833</v>
      </c>
      <c r="AE795">
        <v>1.1352706673220311E-4</v>
      </c>
    </row>
    <row r="796" spans="29:31" x14ac:dyDescent="0.45">
      <c r="AC796" t="s">
        <v>19</v>
      </c>
      <c r="AD796" t="s">
        <v>1834</v>
      </c>
      <c r="AE796">
        <v>1.1352706673220311E-4</v>
      </c>
    </row>
    <row r="797" spans="29:31" x14ac:dyDescent="0.45">
      <c r="AC797" t="s">
        <v>19</v>
      </c>
      <c r="AD797" t="s">
        <v>1835</v>
      </c>
      <c r="AE797">
        <v>1.1351949719907738E-4</v>
      </c>
    </row>
    <row r="798" spans="29:31" x14ac:dyDescent="0.45">
      <c r="AC798" t="s">
        <v>19</v>
      </c>
      <c r="AD798" t="s">
        <v>1836</v>
      </c>
      <c r="AE798">
        <v>1.1351949719907738E-4</v>
      </c>
    </row>
    <row r="799" spans="29:31" x14ac:dyDescent="0.45">
      <c r="AC799" t="s">
        <v>19</v>
      </c>
      <c r="AD799" t="s">
        <v>1837</v>
      </c>
      <c r="AE799">
        <v>1.1349565316973134E-4</v>
      </c>
    </row>
    <row r="800" spans="29:31" x14ac:dyDescent="0.45">
      <c r="AC800" t="s">
        <v>19</v>
      </c>
      <c r="AD800" t="s">
        <v>1838</v>
      </c>
      <c r="AE800">
        <v>1.1320838938760989E-4</v>
      </c>
    </row>
    <row r="801" spans="29:31" x14ac:dyDescent="0.45">
      <c r="AC801" t="s">
        <v>19</v>
      </c>
      <c r="AD801" t="s">
        <v>1839</v>
      </c>
      <c r="AE801">
        <v>1.1299000835693255E-4</v>
      </c>
    </row>
    <row r="802" spans="29:31" x14ac:dyDescent="0.45">
      <c r="AC802" t="s">
        <v>19</v>
      </c>
      <c r="AD802" t="s">
        <v>1840</v>
      </c>
      <c r="AE802">
        <v>1.1228131081803604E-4</v>
      </c>
    </row>
    <row r="803" spans="29:31" x14ac:dyDescent="0.45">
      <c r="AC803" t="s">
        <v>19</v>
      </c>
      <c r="AD803" t="s">
        <v>1841</v>
      </c>
      <c r="AE803">
        <v>1.1178739878158213E-4</v>
      </c>
    </row>
    <row r="804" spans="29:31" x14ac:dyDescent="0.45">
      <c r="AC804" t="s">
        <v>19</v>
      </c>
      <c r="AD804" t="s">
        <v>1842</v>
      </c>
      <c r="AE804">
        <v>1.1157393794743654E-4</v>
      </c>
    </row>
    <row r="805" spans="29:31" x14ac:dyDescent="0.45">
      <c r="AC805" t="s">
        <v>19</v>
      </c>
      <c r="AD805" t="s">
        <v>1843</v>
      </c>
      <c r="AE805">
        <v>1.1157393794743654E-4</v>
      </c>
    </row>
    <row r="806" spans="29:31" x14ac:dyDescent="0.45">
      <c r="AC806" t="s">
        <v>19</v>
      </c>
      <c r="AD806" t="s">
        <v>1844</v>
      </c>
      <c r="AE806">
        <v>1.1158850929870358E-4</v>
      </c>
    </row>
    <row r="807" spans="29:31" x14ac:dyDescent="0.45">
      <c r="AC807" t="s">
        <v>19</v>
      </c>
      <c r="AD807" t="s">
        <v>1845</v>
      </c>
      <c r="AE807">
        <v>1.1160308064997061E-4</v>
      </c>
    </row>
    <row r="808" spans="29:31" x14ac:dyDescent="0.45">
      <c r="AC808" t="s">
        <v>19</v>
      </c>
      <c r="AD808" t="s">
        <v>1846</v>
      </c>
      <c r="AE808">
        <v>1.1177699067353425E-4</v>
      </c>
    </row>
    <row r="809" spans="29:31" x14ac:dyDescent="0.45">
      <c r="AC809" t="s">
        <v>19</v>
      </c>
      <c r="AD809" t="s">
        <v>1847</v>
      </c>
      <c r="AE809">
        <v>1.1218461003235484E-4</v>
      </c>
    </row>
    <row r="810" spans="29:31" x14ac:dyDescent="0.45">
      <c r="AC810" t="s">
        <v>19</v>
      </c>
      <c r="AD810" t="s">
        <v>1848</v>
      </c>
      <c r="AE810">
        <v>1.1282385710482277E-4</v>
      </c>
    </row>
    <row r="811" spans="29:31" x14ac:dyDescent="0.45">
      <c r="AC811" t="s">
        <v>19</v>
      </c>
      <c r="AD811" t="s">
        <v>1849</v>
      </c>
      <c r="AE811">
        <v>1.1352328196564024E-4</v>
      </c>
    </row>
    <row r="812" spans="29:31" x14ac:dyDescent="0.45">
      <c r="AC812" t="s">
        <v>19</v>
      </c>
      <c r="AD812" t="s">
        <v>1850</v>
      </c>
      <c r="AE812">
        <v>1.1370362609236078E-4</v>
      </c>
    </row>
    <row r="813" spans="29:31" x14ac:dyDescent="0.45">
      <c r="AC813" t="s">
        <v>19</v>
      </c>
      <c r="AD813" t="s">
        <v>1851</v>
      </c>
      <c r="AE813">
        <v>1.1367599729645185E-4</v>
      </c>
    </row>
    <row r="814" spans="29:31" x14ac:dyDescent="0.45">
      <c r="AC814" t="s">
        <v>19</v>
      </c>
      <c r="AD814" t="s">
        <v>1852</v>
      </c>
      <c r="AE814">
        <v>1.1367240176821713E-4</v>
      </c>
    </row>
    <row r="815" spans="29:31" x14ac:dyDescent="0.45">
      <c r="AC815" t="s">
        <v>19</v>
      </c>
      <c r="AD815" t="s">
        <v>1853</v>
      </c>
      <c r="AE815">
        <v>1.1364004201410464E-4</v>
      </c>
    </row>
    <row r="816" spans="29:31" x14ac:dyDescent="0.45">
      <c r="AC816" t="s">
        <v>19</v>
      </c>
      <c r="AD816" t="s">
        <v>1854</v>
      </c>
      <c r="AE816">
        <v>1.1357494402922334E-4</v>
      </c>
    </row>
    <row r="817" spans="29:31" x14ac:dyDescent="0.45">
      <c r="AC817" t="s">
        <v>19</v>
      </c>
      <c r="AD817" t="s">
        <v>1855</v>
      </c>
      <c r="AE817">
        <v>1.1354882913993957E-4</v>
      </c>
    </row>
    <row r="818" spans="29:31" x14ac:dyDescent="0.45">
      <c r="AC818" t="s">
        <v>19</v>
      </c>
      <c r="AD818" t="s">
        <v>1856</v>
      </c>
      <c r="AE818">
        <v>1.1354882913993957E-4</v>
      </c>
    </row>
    <row r="819" spans="29:31" x14ac:dyDescent="0.45">
      <c r="AC819" t="s">
        <v>19</v>
      </c>
      <c r="AD819" t="s">
        <v>1857</v>
      </c>
      <c r="AE819">
        <v>1.135143877642175E-4</v>
      </c>
    </row>
    <row r="820" spans="29:31" x14ac:dyDescent="0.45">
      <c r="AC820" t="s">
        <v>19</v>
      </c>
      <c r="AD820" t="s">
        <v>1858</v>
      </c>
      <c r="AE820">
        <v>1.135143877642175E-4</v>
      </c>
    </row>
    <row r="821" spans="29:31" x14ac:dyDescent="0.45">
      <c r="AC821" t="s">
        <v>19</v>
      </c>
      <c r="AD821" t="s">
        <v>1859</v>
      </c>
      <c r="AE821">
        <v>1.1351949719907738E-4</v>
      </c>
    </row>
    <row r="822" spans="29:31" x14ac:dyDescent="0.45">
      <c r="AC822" t="s">
        <v>19</v>
      </c>
      <c r="AD822" t="s">
        <v>1860</v>
      </c>
      <c r="AE822">
        <v>1.1351949719907738E-4</v>
      </c>
    </row>
    <row r="823" spans="29:31" x14ac:dyDescent="0.45">
      <c r="AC823" t="s">
        <v>19</v>
      </c>
      <c r="AD823" t="s">
        <v>1861</v>
      </c>
      <c r="AE823">
        <v>1.1346783513549428E-4</v>
      </c>
    </row>
    <row r="824" spans="29:31" x14ac:dyDescent="0.45">
      <c r="AC824" t="s">
        <v>19</v>
      </c>
      <c r="AD824" t="s">
        <v>1862</v>
      </c>
      <c r="AE824">
        <v>1.1321084948587571E-4</v>
      </c>
    </row>
    <row r="825" spans="29:31" x14ac:dyDescent="0.45">
      <c r="AC825" t="s">
        <v>19</v>
      </c>
      <c r="AD825" t="s">
        <v>1863</v>
      </c>
      <c r="AE825">
        <v>1.1336829577489091E-4</v>
      </c>
    </row>
    <row r="826" spans="29:31" x14ac:dyDescent="0.45">
      <c r="AC826" t="s">
        <v>19</v>
      </c>
      <c r="AD826" t="s">
        <v>1864</v>
      </c>
      <c r="AE826">
        <v>1.1271542354279667E-4</v>
      </c>
    </row>
    <row r="827" spans="29:31" x14ac:dyDescent="0.45">
      <c r="AC827" t="s">
        <v>19</v>
      </c>
      <c r="AD827" t="s">
        <v>1865</v>
      </c>
      <c r="AE827">
        <v>1.1229342207103722E-4</v>
      </c>
    </row>
    <row r="828" spans="29:31" x14ac:dyDescent="0.45">
      <c r="AC828" t="s">
        <v>19</v>
      </c>
      <c r="AD828" t="s">
        <v>1866</v>
      </c>
      <c r="AE828">
        <v>1.1221072492163863E-4</v>
      </c>
    </row>
    <row r="829" spans="29:31" x14ac:dyDescent="0.45">
      <c r="AC829" t="s">
        <v>19</v>
      </c>
      <c r="AD829" t="s">
        <v>1867</v>
      </c>
      <c r="AE829">
        <v>1.1221072492163863E-4</v>
      </c>
    </row>
    <row r="830" spans="29:31" x14ac:dyDescent="0.45">
      <c r="AC830" t="s">
        <v>19</v>
      </c>
      <c r="AD830" t="s">
        <v>1868</v>
      </c>
      <c r="AE830">
        <v>1.1228717720620851E-4</v>
      </c>
    </row>
    <row r="831" spans="29:31" x14ac:dyDescent="0.45">
      <c r="AC831" t="s">
        <v>19</v>
      </c>
      <c r="AD831" t="s">
        <v>1869</v>
      </c>
      <c r="AE831">
        <v>1.1278979420575699E-4</v>
      </c>
    </row>
    <row r="832" spans="29:31" x14ac:dyDescent="0.45">
      <c r="AC832" t="s">
        <v>19</v>
      </c>
      <c r="AD832" t="s">
        <v>1870</v>
      </c>
      <c r="AE832">
        <v>1.1394376953077458E-4</v>
      </c>
    </row>
    <row r="833" spans="29:31" x14ac:dyDescent="0.45">
      <c r="AC833" t="s">
        <v>19</v>
      </c>
      <c r="AD833" t="s">
        <v>1871</v>
      </c>
      <c r="AE833">
        <v>1.1482069994339041E-4</v>
      </c>
    </row>
    <row r="834" spans="29:31" x14ac:dyDescent="0.45">
      <c r="AC834" t="s">
        <v>19</v>
      </c>
      <c r="AD834" t="s">
        <v>1872</v>
      </c>
      <c r="AE834">
        <v>1.1541093428886925E-4</v>
      </c>
    </row>
    <row r="835" spans="29:31" x14ac:dyDescent="0.45">
      <c r="AC835" t="s">
        <v>19</v>
      </c>
      <c r="AD835" t="s">
        <v>1873</v>
      </c>
      <c r="AE835">
        <v>1.1579887286156294E-4</v>
      </c>
    </row>
    <row r="836" spans="29:31" x14ac:dyDescent="0.45">
      <c r="AC836" t="s">
        <v>19</v>
      </c>
      <c r="AD836" t="s">
        <v>1874</v>
      </c>
      <c r="AE836">
        <v>1.1580379305809463E-4</v>
      </c>
    </row>
    <row r="837" spans="29:31" x14ac:dyDescent="0.45">
      <c r="AC837" t="s">
        <v>19</v>
      </c>
      <c r="AD837" t="s">
        <v>1875</v>
      </c>
      <c r="AE837">
        <v>1.1579792666992221E-4</v>
      </c>
    </row>
    <row r="838" spans="29:31" x14ac:dyDescent="0.45">
      <c r="AC838" t="s">
        <v>19</v>
      </c>
      <c r="AD838" t="s">
        <v>1876</v>
      </c>
      <c r="AE838">
        <v>1.1576518843915341E-4</v>
      </c>
    </row>
    <row r="839" spans="29:31" x14ac:dyDescent="0.45">
      <c r="AC839" t="s">
        <v>19</v>
      </c>
      <c r="AD839" t="s">
        <v>1877</v>
      </c>
      <c r="AE839">
        <v>1.1576518843915341E-4</v>
      </c>
    </row>
    <row r="840" spans="29:31" x14ac:dyDescent="0.45">
      <c r="AC840" t="s">
        <v>19</v>
      </c>
      <c r="AD840" t="s">
        <v>1878</v>
      </c>
      <c r="AE840">
        <v>1.1567378632666023E-4</v>
      </c>
    </row>
    <row r="841" spans="29:31" x14ac:dyDescent="0.45">
      <c r="AC841" t="s">
        <v>19</v>
      </c>
      <c r="AD841" t="s">
        <v>1879</v>
      </c>
      <c r="AE841">
        <v>1.1559865871038736E-4</v>
      </c>
    </row>
    <row r="842" spans="29:31" x14ac:dyDescent="0.45">
      <c r="AC842" t="s">
        <v>19</v>
      </c>
      <c r="AD842" t="s">
        <v>1880</v>
      </c>
      <c r="AE842">
        <v>1.1559865871038736E-4</v>
      </c>
    </row>
    <row r="843" spans="29:31" x14ac:dyDescent="0.45">
      <c r="AC843" t="s">
        <v>19</v>
      </c>
      <c r="AD843" t="s">
        <v>1881</v>
      </c>
      <c r="AE843">
        <v>1.1557670706432275E-4</v>
      </c>
    </row>
    <row r="844" spans="29:31" x14ac:dyDescent="0.45">
      <c r="AC844" t="s">
        <v>19</v>
      </c>
      <c r="AD844" t="s">
        <v>1882</v>
      </c>
      <c r="AE844">
        <v>1.1557670706432275E-4</v>
      </c>
    </row>
    <row r="845" spans="29:31" x14ac:dyDescent="0.45">
      <c r="AC845" t="s">
        <v>19</v>
      </c>
      <c r="AD845" t="s">
        <v>1883</v>
      </c>
      <c r="AE845">
        <v>1.1554226568860068E-4</v>
      </c>
    </row>
    <row r="846" spans="29:31" x14ac:dyDescent="0.45">
      <c r="AC846" t="s">
        <v>19</v>
      </c>
      <c r="AD846" t="s">
        <v>1884</v>
      </c>
      <c r="AE846">
        <v>1.1538027767971005E-4</v>
      </c>
    </row>
    <row r="847" spans="29:31" x14ac:dyDescent="0.45">
      <c r="AC847" t="s">
        <v>19</v>
      </c>
      <c r="AD847" t="s">
        <v>1885</v>
      </c>
      <c r="AE847">
        <v>1.1491077738758662E-4</v>
      </c>
    </row>
    <row r="848" spans="29:31" x14ac:dyDescent="0.45">
      <c r="AC848" t="s">
        <v>19</v>
      </c>
      <c r="AD848" t="s">
        <v>1886</v>
      </c>
      <c r="AE848">
        <v>1.1441989316438301E-4</v>
      </c>
    </row>
    <row r="849" spans="29:31" x14ac:dyDescent="0.45">
      <c r="AC849" t="s">
        <v>19</v>
      </c>
      <c r="AD849" t="s">
        <v>1887</v>
      </c>
      <c r="AE849">
        <v>1.1339478914083097E-4</v>
      </c>
    </row>
    <row r="850" spans="29:31" x14ac:dyDescent="0.45">
      <c r="AC850" t="s">
        <v>19</v>
      </c>
      <c r="AD850" t="s">
        <v>1888</v>
      </c>
      <c r="AE850">
        <v>1.1274248462372117E-4</v>
      </c>
    </row>
    <row r="851" spans="29:31" x14ac:dyDescent="0.45">
      <c r="AC851" t="s">
        <v>19</v>
      </c>
      <c r="AD851" t="s">
        <v>398</v>
      </c>
      <c r="AE851">
        <v>2.4426264456493714E-2</v>
      </c>
    </row>
    <row r="852" spans="29:31" x14ac:dyDescent="0.45">
      <c r="AC852" t="s">
        <v>19</v>
      </c>
      <c r="AD852" t="s">
        <v>399</v>
      </c>
      <c r="AE852">
        <v>3.5548504641611067E-3</v>
      </c>
    </row>
    <row r="853" spans="29:31" x14ac:dyDescent="0.45">
      <c r="AC853" t="s">
        <v>19</v>
      </c>
      <c r="AD853" t="s">
        <v>400</v>
      </c>
      <c r="AE853">
        <v>7.1422141547188333E-3</v>
      </c>
    </row>
    <row r="854" spans="29:31" x14ac:dyDescent="0.45">
      <c r="AC854" t="s">
        <v>19</v>
      </c>
      <c r="AD854" t="s">
        <v>401</v>
      </c>
      <c r="AE854">
        <v>1.0712371350290137E-2</v>
      </c>
    </row>
    <row r="855" spans="29:31" x14ac:dyDescent="0.45">
      <c r="AC855" t="s">
        <v>19</v>
      </c>
      <c r="AD855" t="s">
        <v>402</v>
      </c>
      <c r="AE855">
        <v>3.5680979040844467E-3</v>
      </c>
    </row>
    <row r="856" spans="29:31" x14ac:dyDescent="0.45">
      <c r="AC856" t="s">
        <v>19</v>
      </c>
      <c r="AD856" t="s">
        <v>403</v>
      </c>
      <c r="AE856">
        <v>7.1323529454392891E-3</v>
      </c>
    </row>
    <row r="857" spans="29:31" x14ac:dyDescent="0.45">
      <c r="AC857" t="s">
        <v>19</v>
      </c>
      <c r="AD857" t="s">
        <v>404</v>
      </c>
      <c r="AE857">
        <v>7.1328409910875702E-3</v>
      </c>
    </row>
    <row r="858" spans="29:31" x14ac:dyDescent="0.45">
      <c r="AC858" t="s">
        <v>19</v>
      </c>
      <c r="AD858" t="s">
        <v>405</v>
      </c>
      <c r="AE858">
        <v>2.1217563065022409E-2</v>
      </c>
    </row>
    <row r="859" spans="29:31" x14ac:dyDescent="0.45">
      <c r="AC859" t="s">
        <v>19</v>
      </c>
      <c r="AD859" t="s">
        <v>406</v>
      </c>
      <c r="AE859">
        <v>2.3601944688261496E-2</v>
      </c>
    </row>
    <row r="860" spans="29:31" x14ac:dyDescent="0.45">
      <c r="AC860" t="s">
        <v>19</v>
      </c>
      <c r="AD860" t="s">
        <v>407</v>
      </c>
      <c r="AE860">
        <v>3.4495549500944142E-3</v>
      </c>
    </row>
    <row r="861" spans="29:31" x14ac:dyDescent="0.45">
      <c r="AC861" t="s">
        <v>19</v>
      </c>
      <c r="AD861" t="s">
        <v>408</v>
      </c>
      <c r="AE861">
        <v>6.9240443207816407E-3</v>
      </c>
    </row>
    <row r="862" spans="29:31" x14ac:dyDescent="0.45">
      <c r="AC862" t="s">
        <v>19</v>
      </c>
      <c r="AD862" t="s">
        <v>409</v>
      </c>
      <c r="AE862">
        <v>1.0388103253298267E-2</v>
      </c>
    </row>
    <row r="863" spans="29:31" x14ac:dyDescent="0.45">
      <c r="AC863" t="s">
        <v>19</v>
      </c>
      <c r="AD863" t="s">
        <v>410</v>
      </c>
      <c r="AE863">
        <v>3.4605527247727878E-3</v>
      </c>
    </row>
    <row r="864" spans="29:31" x14ac:dyDescent="0.45">
      <c r="AC864" t="s">
        <v>19</v>
      </c>
      <c r="AD864" t="s">
        <v>411</v>
      </c>
      <c r="AE864">
        <v>6.9202010795753792E-3</v>
      </c>
    </row>
    <row r="865" spans="29:31" x14ac:dyDescent="0.45">
      <c r="AC865" t="s">
        <v>19</v>
      </c>
      <c r="AD865" t="s">
        <v>412</v>
      </c>
      <c r="AE865">
        <v>6.9308196206441536E-3</v>
      </c>
    </row>
    <row r="866" spans="29:31" x14ac:dyDescent="0.45">
      <c r="AC866" t="s">
        <v>19</v>
      </c>
      <c r="AD866" t="s">
        <v>413</v>
      </c>
      <c r="AE866">
        <v>2.054638336964636E-2</v>
      </c>
    </row>
    <row r="867" spans="29:31" x14ac:dyDescent="0.45">
      <c r="AC867" t="s">
        <v>19</v>
      </c>
      <c r="AD867" t="s">
        <v>414</v>
      </c>
      <c r="AE867">
        <v>2.4416657413212691E-2</v>
      </c>
    </row>
    <row r="868" spans="29:31" x14ac:dyDescent="0.45">
      <c r="AC868" t="s">
        <v>19</v>
      </c>
      <c r="AD868" t="s">
        <v>415</v>
      </c>
      <c r="AE868">
        <v>3.5659298573304079E-3</v>
      </c>
    </row>
    <row r="869" spans="29:31" x14ac:dyDescent="0.45">
      <c r="AC869" t="s">
        <v>19</v>
      </c>
      <c r="AD869" t="s">
        <v>416</v>
      </c>
      <c r="AE869">
        <v>7.1572589045875478E-3</v>
      </c>
    </row>
    <row r="870" spans="29:31" x14ac:dyDescent="0.45">
      <c r="AC870" t="s">
        <v>19</v>
      </c>
      <c r="AD870" t="s">
        <v>417</v>
      </c>
      <c r="AE870">
        <v>1.07309036300797E-2</v>
      </c>
    </row>
    <row r="871" spans="29:31" x14ac:dyDescent="0.45">
      <c r="AC871" t="s">
        <v>19</v>
      </c>
      <c r="AD871" t="s">
        <v>418</v>
      </c>
      <c r="AE871">
        <v>3.5727272980773136E-3</v>
      </c>
    </row>
    <row r="872" spans="29:31" x14ac:dyDescent="0.45">
      <c r="AC872" t="s">
        <v>19</v>
      </c>
      <c r="AD872" t="s">
        <v>419</v>
      </c>
      <c r="AE872">
        <v>7.1450759302600121E-3</v>
      </c>
    </row>
    <row r="873" spans="29:31" x14ac:dyDescent="0.45">
      <c r="AC873" t="s">
        <v>19</v>
      </c>
      <c r="AD873" t="s">
        <v>420</v>
      </c>
      <c r="AE873">
        <v>7.1618483125216771E-3</v>
      </c>
    </row>
    <row r="874" spans="29:31" x14ac:dyDescent="0.45">
      <c r="AC874" t="s">
        <v>19</v>
      </c>
      <c r="AD874" t="s">
        <v>421</v>
      </c>
      <c r="AE874">
        <v>2.1220864479047526E-2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65C5-5213-418F-8C15-C72A915F4220}">
  <dimension ref="A9:AN97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105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156</v>
      </c>
      <c r="F11" t="s">
        <v>157</v>
      </c>
      <c r="G11" t="s">
        <v>158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2.3966669781668313E-2</v>
      </c>
      <c r="Q11" t="s">
        <v>254</v>
      </c>
      <c r="S11" t="s">
        <v>423</v>
      </c>
      <c r="T11" t="s">
        <v>253</v>
      </c>
      <c r="U11">
        <v>2.4977797320717272E-2</v>
      </c>
      <c r="V11" t="s">
        <v>254</v>
      </c>
      <c r="X11">
        <v>2.3972602739726026E-2</v>
      </c>
      <c r="Y11">
        <v>9.4672202471222967E-3</v>
      </c>
      <c r="Z11" t="s">
        <v>253</v>
      </c>
      <c r="AA11" t="s">
        <v>25</v>
      </c>
      <c r="AC11" t="s">
        <v>22</v>
      </c>
      <c r="AD11" t="s">
        <v>253</v>
      </c>
      <c r="AE11">
        <v>2.1875303156514588E-2</v>
      </c>
      <c r="AG11" t="s">
        <v>97</v>
      </c>
      <c r="AH11" t="s">
        <v>253</v>
      </c>
      <c r="AI11">
        <v>0.29336413138452011</v>
      </c>
    </row>
    <row r="12" spans="1:40" x14ac:dyDescent="0.45">
      <c r="C12" t="s">
        <v>159</v>
      </c>
      <c r="D12" t="s">
        <v>158</v>
      </c>
      <c r="E12" t="s">
        <v>160</v>
      </c>
      <c r="F12" t="s">
        <v>154</v>
      </c>
      <c r="G12" t="s">
        <v>158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3.3453998169354609E-3</v>
      </c>
      <c r="Q12" t="s">
        <v>254</v>
      </c>
      <c r="S12" t="s">
        <v>423</v>
      </c>
      <c r="T12" t="s">
        <v>255</v>
      </c>
      <c r="U12">
        <v>3.5664530597017564E-3</v>
      </c>
      <c r="V12" t="s">
        <v>254</v>
      </c>
      <c r="X12">
        <v>3.4246575342465752E-3</v>
      </c>
      <c r="Y12">
        <v>5.7181214727892006E-3</v>
      </c>
      <c r="Z12" t="s">
        <v>255</v>
      </c>
      <c r="AA12" t="s">
        <v>25</v>
      </c>
      <c r="AC12" t="s">
        <v>22</v>
      </c>
      <c r="AD12" t="s">
        <v>255</v>
      </c>
      <c r="AE12">
        <v>4.273836805468059E-3</v>
      </c>
      <c r="AG12" t="s">
        <v>97</v>
      </c>
      <c r="AH12" t="s">
        <v>255</v>
      </c>
      <c r="AI12">
        <v>6.0292023258555982E-2</v>
      </c>
    </row>
    <row r="13" spans="1:40" x14ac:dyDescent="0.45">
      <c r="C13" t="s">
        <v>161</v>
      </c>
      <c r="D13" t="s">
        <v>162</v>
      </c>
      <c r="E13" t="s">
        <v>163</v>
      </c>
      <c r="F13" t="s">
        <v>159</v>
      </c>
      <c r="G13" t="s">
        <v>158</v>
      </c>
      <c r="I13" t="s">
        <v>252</v>
      </c>
      <c r="J13" t="s">
        <v>256</v>
      </c>
      <c r="K13">
        <v>4.2846226147329296E-3</v>
      </c>
      <c r="L13" t="s">
        <v>254</v>
      </c>
      <c r="N13" t="s">
        <v>422</v>
      </c>
      <c r="O13" t="s">
        <v>256</v>
      </c>
      <c r="P13">
        <v>6.5983763497430639E-3</v>
      </c>
      <c r="Q13" t="s">
        <v>254</v>
      </c>
      <c r="S13" t="s">
        <v>423</v>
      </c>
      <c r="T13" t="s">
        <v>256</v>
      </c>
      <c r="U13">
        <v>7.045838243617774E-3</v>
      </c>
      <c r="V13" t="s">
        <v>254</v>
      </c>
      <c r="X13">
        <v>6.8493150684931503E-3</v>
      </c>
      <c r="Y13">
        <v>8.7114337568058101E-3</v>
      </c>
      <c r="Z13" t="s">
        <v>256</v>
      </c>
      <c r="AA13" t="s">
        <v>25</v>
      </c>
      <c r="AC13" t="s">
        <v>22</v>
      </c>
      <c r="AD13" t="s">
        <v>256</v>
      </c>
      <c r="AE13">
        <v>8.7792965893603789E-3</v>
      </c>
      <c r="AG13" t="s">
        <v>97</v>
      </c>
      <c r="AH13" t="s">
        <v>256</v>
      </c>
      <c r="AI13">
        <v>6.0158870805908871E-2</v>
      </c>
    </row>
    <row r="14" spans="1:40" x14ac:dyDescent="0.45">
      <c r="C14" t="s">
        <v>165</v>
      </c>
      <c r="D14" t="s">
        <v>166</v>
      </c>
      <c r="E14" t="s">
        <v>167</v>
      </c>
      <c r="F14" t="s">
        <v>164</v>
      </c>
      <c r="G14" t="s">
        <v>158</v>
      </c>
      <c r="I14" t="s">
        <v>252</v>
      </c>
      <c r="J14" t="s">
        <v>257</v>
      </c>
      <c r="K14">
        <v>1.5102138080169622E-2</v>
      </c>
      <c r="L14" t="s">
        <v>254</v>
      </c>
      <c r="N14" t="s">
        <v>422</v>
      </c>
      <c r="O14" t="s">
        <v>257</v>
      </c>
      <c r="P14">
        <v>9.7316807376803711E-3</v>
      </c>
      <c r="Q14" t="s">
        <v>254</v>
      </c>
      <c r="S14" t="s">
        <v>423</v>
      </c>
      <c r="T14" t="s">
        <v>257</v>
      </c>
      <c r="U14">
        <v>1.0469057974615873E-2</v>
      </c>
      <c r="V14" t="s">
        <v>254</v>
      </c>
      <c r="X14">
        <v>1.0273972602739725E-2</v>
      </c>
      <c r="Y14">
        <v>1.2719091067299805E-2</v>
      </c>
      <c r="Z14" t="s">
        <v>257</v>
      </c>
      <c r="AA14" t="s">
        <v>25</v>
      </c>
      <c r="AC14" t="s">
        <v>22</v>
      </c>
      <c r="AD14" t="s">
        <v>257</v>
      </c>
      <c r="AE14">
        <v>1.3240114355618225E-2</v>
      </c>
      <c r="AG14" t="s">
        <v>97</v>
      </c>
      <c r="AH14" t="s">
        <v>257</v>
      </c>
      <c r="AI14">
        <v>5.6137099185284756E-2</v>
      </c>
    </row>
    <row r="15" spans="1:40" x14ac:dyDescent="0.45">
      <c r="C15" t="s">
        <v>169</v>
      </c>
      <c r="D15" t="s">
        <v>437</v>
      </c>
      <c r="E15" t="s">
        <v>170</v>
      </c>
      <c r="F15" t="s">
        <v>168</v>
      </c>
      <c r="G15" t="s">
        <v>158</v>
      </c>
      <c r="I15" t="s">
        <v>252</v>
      </c>
      <c r="J15" t="s">
        <v>258</v>
      </c>
      <c r="K15">
        <v>5.206862608957627E-3</v>
      </c>
      <c r="L15" t="s">
        <v>254</v>
      </c>
      <c r="N15" t="s">
        <v>422</v>
      </c>
      <c r="O15" t="s">
        <v>258</v>
      </c>
      <c r="P15">
        <v>3.2972657680787353E-3</v>
      </c>
      <c r="Q15" t="s">
        <v>254</v>
      </c>
      <c r="S15" t="s">
        <v>423</v>
      </c>
      <c r="T15" t="s">
        <v>258</v>
      </c>
      <c r="U15">
        <v>3.538351105023194E-3</v>
      </c>
      <c r="V15" t="s">
        <v>254</v>
      </c>
      <c r="X15">
        <v>3.4246575342465752E-3</v>
      </c>
      <c r="Y15">
        <v>4.4651070283171336E-3</v>
      </c>
      <c r="Z15" t="s">
        <v>258</v>
      </c>
      <c r="AA15" t="s">
        <v>25</v>
      </c>
      <c r="AC15" t="s">
        <v>22</v>
      </c>
      <c r="AD15" t="s">
        <v>258</v>
      </c>
      <c r="AE15">
        <v>4.393926338872106E-3</v>
      </c>
      <c r="AG15" t="s">
        <v>97</v>
      </c>
      <c r="AH15" t="s">
        <v>258</v>
      </c>
      <c r="AI15">
        <v>5.9813846553194772E-2</v>
      </c>
    </row>
    <row r="16" spans="1:40" x14ac:dyDescent="0.45">
      <c r="C16" t="s">
        <v>171</v>
      </c>
      <c r="E16" t="s">
        <v>172</v>
      </c>
      <c r="G16" t="s">
        <v>158</v>
      </c>
      <c r="I16" t="s">
        <v>252</v>
      </c>
      <c r="J16" t="s">
        <v>259</v>
      </c>
      <c r="K16">
        <v>1.0862478905800971E-2</v>
      </c>
      <c r="L16" t="s">
        <v>254</v>
      </c>
      <c r="N16" t="s">
        <v>422</v>
      </c>
      <c r="O16" t="s">
        <v>259</v>
      </c>
      <c r="P16">
        <v>6.5233852983797172E-3</v>
      </c>
      <c r="Q16" t="s">
        <v>254</v>
      </c>
      <c r="S16" t="s">
        <v>423</v>
      </c>
      <c r="T16" t="s">
        <v>259</v>
      </c>
      <c r="U16">
        <v>6.9905835273826851E-3</v>
      </c>
      <c r="V16" t="s">
        <v>254</v>
      </c>
      <c r="X16">
        <v>6.8493150684931503E-3</v>
      </c>
      <c r="Y16">
        <v>9.6860005469507522E-3</v>
      </c>
      <c r="Z16" t="s">
        <v>259</v>
      </c>
      <c r="AA16" t="s">
        <v>25</v>
      </c>
      <c r="AC16" t="s">
        <v>22</v>
      </c>
      <c r="AD16" t="s">
        <v>259</v>
      </c>
      <c r="AE16">
        <v>8.795043269655552E-3</v>
      </c>
      <c r="AG16" t="s">
        <v>97</v>
      </c>
      <c r="AH16" t="s">
        <v>259</v>
      </c>
      <c r="AI16">
        <v>6.2659528862857528E-2</v>
      </c>
    </row>
    <row r="17" spans="3:35" x14ac:dyDescent="0.45">
      <c r="C17" t="s">
        <v>173</v>
      </c>
      <c r="E17" t="s">
        <v>174</v>
      </c>
      <c r="G17" t="s">
        <v>158</v>
      </c>
      <c r="I17" t="s">
        <v>252</v>
      </c>
      <c r="J17" t="s">
        <v>260</v>
      </c>
      <c r="K17">
        <v>4.3881147113308521E-3</v>
      </c>
      <c r="L17" t="s">
        <v>254</v>
      </c>
      <c r="N17" t="s">
        <v>422</v>
      </c>
      <c r="O17" t="s">
        <v>260</v>
      </c>
      <c r="P17">
        <v>6.6316659872853109E-3</v>
      </c>
      <c r="Q17" t="s">
        <v>254</v>
      </c>
      <c r="S17" t="s">
        <v>423</v>
      </c>
      <c r="T17" t="s">
        <v>260</v>
      </c>
      <c r="U17">
        <v>6.8546772620912124E-3</v>
      </c>
      <c r="V17" t="s">
        <v>254</v>
      </c>
      <c r="X17">
        <v>6.8493150684931503E-3</v>
      </c>
      <c r="Y17">
        <v>1.3325709171369611E-2</v>
      </c>
      <c r="Z17" t="s">
        <v>260</v>
      </c>
      <c r="AA17" t="s">
        <v>25</v>
      </c>
      <c r="AC17" t="s">
        <v>22</v>
      </c>
      <c r="AD17" t="s">
        <v>260</v>
      </c>
      <c r="AE17">
        <v>8.8967778710753922E-3</v>
      </c>
      <c r="AG17" t="s">
        <v>97</v>
      </c>
      <c r="AH17" t="s">
        <v>260</v>
      </c>
      <c r="AI17">
        <v>5.3497069198737313E-2</v>
      </c>
    </row>
    <row r="18" spans="3:35" x14ac:dyDescent="0.45">
      <c r="C18" t="s">
        <v>164</v>
      </c>
      <c r="E18" t="s">
        <v>175</v>
      </c>
      <c r="G18" t="s">
        <v>158</v>
      </c>
      <c r="I18" t="s">
        <v>252</v>
      </c>
      <c r="J18" t="s">
        <v>261</v>
      </c>
      <c r="K18">
        <v>0</v>
      </c>
      <c r="L18" t="s">
        <v>254</v>
      </c>
      <c r="N18" t="s">
        <v>422</v>
      </c>
      <c r="O18" t="s">
        <v>261</v>
      </c>
      <c r="P18">
        <v>2.1149264403738061E-2</v>
      </c>
      <c r="Q18" t="s">
        <v>254</v>
      </c>
      <c r="S18" t="s">
        <v>423</v>
      </c>
      <c r="T18" t="s">
        <v>261</v>
      </c>
      <c r="U18">
        <v>2.0816756991223439E-2</v>
      </c>
      <c r="V18" t="s">
        <v>254</v>
      </c>
      <c r="X18">
        <v>2.0547945205479451E-2</v>
      </c>
      <c r="Y18">
        <v>1.8099097531263209E-2</v>
      </c>
      <c r="Z18" t="s">
        <v>261</v>
      </c>
      <c r="AA18" t="s">
        <v>25</v>
      </c>
      <c r="AC18" t="s">
        <v>22</v>
      </c>
      <c r="AD18" t="s">
        <v>261</v>
      </c>
      <c r="AE18">
        <v>2.266260487017209E-2</v>
      </c>
      <c r="AG18" t="s">
        <v>97</v>
      </c>
      <c r="AH18" t="s">
        <v>261</v>
      </c>
      <c r="AI18">
        <v>0.18955868191521086</v>
      </c>
    </row>
    <row r="19" spans="3:35" x14ac:dyDescent="0.45">
      <c r="C19" t="s">
        <v>168</v>
      </c>
      <c r="E19" t="s">
        <v>176</v>
      </c>
      <c r="G19" t="s">
        <v>158</v>
      </c>
      <c r="I19" t="s">
        <v>252</v>
      </c>
      <c r="J19" t="s">
        <v>262</v>
      </c>
      <c r="K19">
        <v>0</v>
      </c>
      <c r="L19" t="s">
        <v>254</v>
      </c>
      <c r="N19" t="s">
        <v>422</v>
      </c>
      <c r="O19" t="s">
        <v>262</v>
      </c>
      <c r="P19">
        <v>2.260554079784E-4</v>
      </c>
      <c r="Q19" t="s">
        <v>254</v>
      </c>
      <c r="S19" t="s">
        <v>423</v>
      </c>
      <c r="T19" t="s">
        <v>262</v>
      </c>
      <c r="U19">
        <v>1.934748564057E-4</v>
      </c>
      <c r="V19" t="s">
        <v>254</v>
      </c>
      <c r="X19">
        <v>1.1415525114155251E-4</v>
      </c>
      <c r="Y19">
        <v>2.1546544680075254E-5</v>
      </c>
      <c r="Z19" t="s">
        <v>262</v>
      </c>
      <c r="AA19" t="s">
        <v>25</v>
      </c>
      <c r="AC19" t="s">
        <v>22</v>
      </c>
      <c r="AD19" t="s">
        <v>262</v>
      </c>
      <c r="AE19">
        <v>9.6145666284312887E-5</v>
      </c>
      <c r="AG19" t="s">
        <v>97</v>
      </c>
      <c r="AH19" t="s">
        <v>262</v>
      </c>
      <c r="AI19">
        <v>0</v>
      </c>
    </row>
    <row r="20" spans="3:35" x14ac:dyDescent="0.45">
      <c r="C20" t="s">
        <v>177</v>
      </c>
      <c r="E20" t="s">
        <v>178</v>
      </c>
      <c r="G20" t="s">
        <v>158</v>
      </c>
      <c r="I20" t="s">
        <v>252</v>
      </c>
      <c r="J20" t="s">
        <v>263</v>
      </c>
      <c r="K20">
        <v>0</v>
      </c>
      <c r="L20" t="s">
        <v>254</v>
      </c>
      <c r="N20" t="s">
        <v>422</v>
      </c>
      <c r="O20" t="s">
        <v>263</v>
      </c>
      <c r="P20">
        <v>2.2694204312590001E-4</v>
      </c>
      <c r="Q20" t="s">
        <v>254</v>
      </c>
      <c r="S20" t="s">
        <v>423</v>
      </c>
      <c r="T20" t="s">
        <v>263</v>
      </c>
      <c r="U20">
        <v>1.9209057527560001E-4</v>
      </c>
      <c r="V20" t="s">
        <v>254</v>
      </c>
      <c r="X20">
        <v>1.1415525114155251E-4</v>
      </c>
      <c r="Y20">
        <v>1.4916838624667481E-5</v>
      </c>
      <c r="Z20" t="s">
        <v>263</v>
      </c>
      <c r="AA20" t="s">
        <v>25</v>
      </c>
      <c r="AC20" t="s">
        <v>22</v>
      </c>
      <c r="AD20" t="s">
        <v>263</v>
      </c>
      <c r="AE20">
        <v>9.3118048637433584E-5</v>
      </c>
      <c r="AG20" t="s">
        <v>97</v>
      </c>
      <c r="AH20" t="s">
        <v>263</v>
      </c>
      <c r="AI20">
        <v>0</v>
      </c>
    </row>
    <row r="21" spans="3:35" x14ac:dyDescent="0.45">
      <c r="C21" t="s">
        <v>179</v>
      </c>
      <c r="E21" t="s">
        <v>180</v>
      </c>
      <c r="G21" t="s">
        <v>158</v>
      </c>
      <c r="I21" t="s">
        <v>252</v>
      </c>
      <c r="J21" t="s">
        <v>264</v>
      </c>
      <c r="K21">
        <v>0</v>
      </c>
      <c r="L21" t="s">
        <v>254</v>
      </c>
      <c r="N21" t="s">
        <v>422</v>
      </c>
      <c r="O21" t="s">
        <v>264</v>
      </c>
      <c r="P21">
        <v>2.230815852557E-4</v>
      </c>
      <c r="Q21" t="s">
        <v>254</v>
      </c>
      <c r="S21" t="s">
        <v>423</v>
      </c>
      <c r="T21" t="s">
        <v>264</v>
      </c>
      <c r="U21">
        <v>1.9122353830379999E-4</v>
      </c>
      <c r="V21" t="s">
        <v>254</v>
      </c>
      <c r="X21">
        <v>1.1415525114155251E-4</v>
      </c>
      <c r="Y21">
        <v>1.6574265138519424E-5</v>
      </c>
      <c r="Z21" t="s">
        <v>264</v>
      </c>
      <c r="AA21" t="s">
        <v>25</v>
      </c>
      <c r="AC21" t="s">
        <v>22</v>
      </c>
      <c r="AD21" t="s">
        <v>264</v>
      </c>
      <c r="AE21">
        <v>9.264754048960775E-5</v>
      </c>
      <c r="AG21" t="s">
        <v>97</v>
      </c>
      <c r="AH21" t="s">
        <v>264</v>
      </c>
      <c r="AI21">
        <v>0</v>
      </c>
    </row>
    <row r="22" spans="3:35" x14ac:dyDescent="0.45">
      <c r="C22" t="s">
        <v>181</v>
      </c>
      <c r="E22" t="s">
        <v>182</v>
      </c>
      <c r="G22" t="s">
        <v>158</v>
      </c>
      <c r="I22" t="s">
        <v>252</v>
      </c>
      <c r="J22" t="s">
        <v>265</v>
      </c>
      <c r="K22">
        <v>0</v>
      </c>
      <c r="L22" t="s">
        <v>254</v>
      </c>
      <c r="N22" t="s">
        <v>422</v>
      </c>
      <c r="O22" t="s">
        <v>265</v>
      </c>
      <c r="P22">
        <v>2.2734393995380001E-4</v>
      </c>
      <c r="Q22" t="s">
        <v>254</v>
      </c>
      <c r="S22" t="s">
        <v>423</v>
      </c>
      <c r="T22" t="s">
        <v>265</v>
      </c>
      <c r="U22">
        <v>1.9063650883100001E-4</v>
      </c>
      <c r="V22" t="s">
        <v>254</v>
      </c>
      <c r="X22">
        <v>1.1415525114155251E-4</v>
      </c>
      <c r="Y22">
        <v>1.4585353321897093E-5</v>
      </c>
      <c r="Z22" t="s">
        <v>265</v>
      </c>
      <c r="AA22" t="s">
        <v>25</v>
      </c>
      <c r="AC22" t="s">
        <v>22</v>
      </c>
      <c r="AD22" t="s">
        <v>265</v>
      </c>
      <c r="AE22">
        <v>9.3376316696837993E-5</v>
      </c>
      <c r="AG22" t="s">
        <v>97</v>
      </c>
      <c r="AH22" t="s">
        <v>265</v>
      </c>
      <c r="AI22">
        <v>0</v>
      </c>
    </row>
    <row r="23" spans="3:35" x14ac:dyDescent="0.45">
      <c r="E23" t="s">
        <v>183</v>
      </c>
      <c r="G23" t="s">
        <v>158</v>
      </c>
      <c r="I23" t="s">
        <v>252</v>
      </c>
      <c r="J23" t="s">
        <v>266</v>
      </c>
      <c r="K23">
        <v>0</v>
      </c>
      <c r="L23" t="s">
        <v>254</v>
      </c>
      <c r="N23" t="s">
        <v>422</v>
      </c>
      <c r="O23" t="s">
        <v>266</v>
      </c>
      <c r="P23">
        <v>2.264380237252E-4</v>
      </c>
      <c r="Q23" t="s">
        <v>254</v>
      </c>
      <c r="S23" t="s">
        <v>423</v>
      </c>
      <c r="T23" t="s">
        <v>266</v>
      </c>
      <c r="U23">
        <v>1.9015628217890001E-4</v>
      </c>
      <c r="V23" t="s">
        <v>254</v>
      </c>
      <c r="X23">
        <v>1.1415525114155251E-4</v>
      </c>
      <c r="Y23">
        <v>2.1215059377304864E-5</v>
      </c>
      <c r="Z23" t="s">
        <v>266</v>
      </c>
      <c r="AA23" t="s">
        <v>25</v>
      </c>
      <c r="AC23" t="s">
        <v>22</v>
      </c>
      <c r="AD23" t="s">
        <v>266</v>
      </c>
      <c r="AE23">
        <v>9.9549179027553041E-5</v>
      </c>
      <c r="AG23" t="s">
        <v>97</v>
      </c>
      <c r="AH23" t="s">
        <v>266</v>
      </c>
      <c r="AI23">
        <v>0</v>
      </c>
    </row>
    <row r="24" spans="3:35" x14ac:dyDescent="0.45">
      <c r="E24" t="s">
        <v>184</v>
      </c>
      <c r="G24" t="s">
        <v>158</v>
      </c>
      <c r="I24" t="s">
        <v>252</v>
      </c>
      <c r="J24" t="s">
        <v>267</v>
      </c>
      <c r="K24">
        <v>0</v>
      </c>
      <c r="L24" t="s">
        <v>254</v>
      </c>
      <c r="N24" t="s">
        <v>422</v>
      </c>
      <c r="O24" t="s">
        <v>267</v>
      </c>
      <c r="P24">
        <v>2.265273145248E-4</v>
      </c>
      <c r="Q24" t="s">
        <v>254</v>
      </c>
      <c r="S24" t="s">
        <v>423</v>
      </c>
      <c r="T24" t="s">
        <v>267</v>
      </c>
      <c r="U24">
        <v>1.896132531879E-4</v>
      </c>
      <c r="V24" t="s">
        <v>254</v>
      </c>
      <c r="X24">
        <v>1.1415525114155251E-4</v>
      </c>
      <c r="Y24">
        <v>5.7678442682047593E-5</v>
      </c>
      <c r="Z24" t="s">
        <v>267</v>
      </c>
      <c r="AA24" t="s">
        <v>25</v>
      </c>
      <c r="AC24" t="s">
        <v>22</v>
      </c>
      <c r="AD24" t="s">
        <v>267</v>
      </c>
      <c r="AE24">
        <v>1.2009555385244754E-4</v>
      </c>
      <c r="AG24" t="s">
        <v>97</v>
      </c>
      <c r="AH24" t="s">
        <v>267</v>
      </c>
      <c r="AI24">
        <v>0</v>
      </c>
    </row>
    <row r="25" spans="3:35" x14ac:dyDescent="0.45">
      <c r="E25" t="s">
        <v>185</v>
      </c>
      <c r="G25" t="s">
        <v>158</v>
      </c>
      <c r="I25" t="s">
        <v>252</v>
      </c>
      <c r="J25" t="s">
        <v>268</v>
      </c>
      <c r="K25">
        <v>0</v>
      </c>
      <c r="L25" t="s">
        <v>254</v>
      </c>
      <c r="N25" t="s">
        <v>422</v>
      </c>
      <c r="O25" t="s">
        <v>268</v>
      </c>
      <c r="P25">
        <v>2.26959298143E-4</v>
      </c>
      <c r="Q25" t="s">
        <v>254</v>
      </c>
      <c r="S25" t="s">
        <v>423</v>
      </c>
      <c r="T25" t="s">
        <v>268</v>
      </c>
      <c r="U25">
        <v>1.8970586285779999E-4</v>
      </c>
      <c r="V25" t="s">
        <v>254</v>
      </c>
      <c r="X25">
        <v>1.1415525114155251E-4</v>
      </c>
      <c r="Y25">
        <v>1.6905750441289813E-4</v>
      </c>
      <c r="Z25" t="s">
        <v>268</v>
      </c>
      <c r="AA25" t="s">
        <v>25</v>
      </c>
      <c r="AC25" t="s">
        <v>22</v>
      </c>
      <c r="AD25" t="s">
        <v>268</v>
      </c>
      <c r="AE25">
        <v>1.3676279356727799E-4</v>
      </c>
      <c r="AG25" t="s">
        <v>97</v>
      </c>
      <c r="AH25" t="s">
        <v>268</v>
      </c>
      <c r="AI25">
        <v>0</v>
      </c>
    </row>
    <row r="26" spans="3:35" x14ac:dyDescent="0.45">
      <c r="E26" t="s">
        <v>186</v>
      </c>
      <c r="G26" t="s">
        <v>158</v>
      </c>
      <c r="I26" t="s">
        <v>252</v>
      </c>
      <c r="J26" t="s">
        <v>269</v>
      </c>
      <c r="K26">
        <v>0</v>
      </c>
      <c r="L26" t="s">
        <v>254</v>
      </c>
      <c r="N26" t="s">
        <v>422</v>
      </c>
      <c r="O26" t="s">
        <v>269</v>
      </c>
      <c r="P26">
        <v>2.2609253682889999E-4</v>
      </c>
      <c r="Q26" t="s">
        <v>254</v>
      </c>
      <c r="S26" t="s">
        <v>423</v>
      </c>
      <c r="T26" t="s">
        <v>269</v>
      </c>
      <c r="U26">
        <v>1.895260540895E-4</v>
      </c>
      <c r="V26" t="s">
        <v>254</v>
      </c>
      <c r="X26">
        <v>1.1415525114155251E-4</v>
      </c>
      <c r="Y26">
        <v>1.9060404909297337E-4</v>
      </c>
      <c r="Z26" t="s">
        <v>269</v>
      </c>
      <c r="AA26" t="s">
        <v>25</v>
      </c>
      <c r="AC26" t="s">
        <v>22</v>
      </c>
      <c r="AD26" t="s">
        <v>269</v>
      </c>
      <c r="AE26">
        <v>1.4420398220952351E-4</v>
      </c>
      <c r="AG26" t="s">
        <v>97</v>
      </c>
      <c r="AH26" t="s">
        <v>269</v>
      </c>
      <c r="AI26">
        <v>0</v>
      </c>
    </row>
    <row r="27" spans="3:35" x14ac:dyDescent="0.45">
      <c r="E27" t="s">
        <v>187</v>
      </c>
      <c r="G27" t="s">
        <v>158</v>
      </c>
      <c r="I27" t="s">
        <v>252</v>
      </c>
      <c r="J27" t="s">
        <v>270</v>
      </c>
      <c r="K27">
        <v>1.149179314192E-4</v>
      </c>
      <c r="L27" t="s">
        <v>254</v>
      </c>
      <c r="N27" t="s">
        <v>422</v>
      </c>
      <c r="O27" t="s">
        <v>270</v>
      </c>
      <c r="P27">
        <v>2.244790544585E-4</v>
      </c>
      <c r="Q27" t="s">
        <v>254</v>
      </c>
      <c r="S27" t="s">
        <v>423</v>
      </c>
      <c r="T27" t="s">
        <v>270</v>
      </c>
      <c r="U27">
        <v>1.892400787025E-4</v>
      </c>
      <c r="V27" t="s">
        <v>254</v>
      </c>
      <c r="X27">
        <v>1.1415525114155251E-4</v>
      </c>
      <c r="Y27">
        <v>1.4585353321897094E-4</v>
      </c>
      <c r="Z27" t="s">
        <v>270</v>
      </c>
      <c r="AA27" t="s">
        <v>25</v>
      </c>
      <c r="AC27" t="s">
        <v>22</v>
      </c>
      <c r="AD27" t="s">
        <v>270</v>
      </c>
      <c r="AE27">
        <v>1.4728274204638388E-4</v>
      </c>
      <c r="AG27" t="s">
        <v>97</v>
      </c>
      <c r="AH27" t="s">
        <v>270</v>
      </c>
      <c r="AI27">
        <v>0</v>
      </c>
    </row>
    <row r="28" spans="3:35" x14ac:dyDescent="0.45">
      <c r="E28" t="s">
        <v>188</v>
      </c>
      <c r="G28" t="s">
        <v>158</v>
      </c>
      <c r="I28" t="s">
        <v>252</v>
      </c>
      <c r="J28" t="s">
        <v>271</v>
      </c>
      <c r="K28">
        <v>2.2829857705129999E-4</v>
      </c>
      <c r="L28" t="s">
        <v>254</v>
      </c>
      <c r="N28" t="s">
        <v>422</v>
      </c>
      <c r="O28" t="s">
        <v>271</v>
      </c>
      <c r="P28">
        <v>2.22667396879E-4</v>
      </c>
      <c r="Q28" t="s">
        <v>254</v>
      </c>
      <c r="S28" t="s">
        <v>423</v>
      </c>
      <c r="T28" t="s">
        <v>271</v>
      </c>
      <c r="U28">
        <v>1.887854339867E-4</v>
      </c>
      <c r="V28" t="s">
        <v>254</v>
      </c>
      <c r="X28">
        <v>1.1415525114155251E-4</v>
      </c>
      <c r="Y28">
        <v>1.4452759200788939E-4</v>
      </c>
      <c r="Z28" t="s">
        <v>271</v>
      </c>
      <c r="AA28" t="s">
        <v>25</v>
      </c>
      <c r="AC28" t="s">
        <v>22</v>
      </c>
      <c r="AD28" t="s">
        <v>271</v>
      </c>
      <c r="AE28">
        <v>1.4827234342251758E-4</v>
      </c>
      <c r="AG28" t="s">
        <v>97</v>
      </c>
      <c r="AH28" t="s">
        <v>271</v>
      </c>
      <c r="AI28">
        <v>0</v>
      </c>
    </row>
    <row r="29" spans="3:35" x14ac:dyDescent="0.45">
      <c r="E29" t="s">
        <v>189</v>
      </c>
      <c r="G29" t="s">
        <v>158</v>
      </c>
      <c r="I29" t="s">
        <v>252</v>
      </c>
      <c r="J29" t="s">
        <v>272</v>
      </c>
      <c r="K29">
        <v>2.9698846431209998E-4</v>
      </c>
      <c r="L29" t="s">
        <v>254</v>
      </c>
      <c r="N29" t="s">
        <v>422</v>
      </c>
      <c r="O29" t="s">
        <v>272</v>
      </c>
      <c r="P29">
        <v>2.180532657406E-4</v>
      </c>
      <c r="Q29" t="s">
        <v>254</v>
      </c>
      <c r="S29" t="s">
        <v>423</v>
      </c>
      <c r="T29" t="s">
        <v>272</v>
      </c>
      <c r="U29">
        <v>1.8799732622120001E-4</v>
      </c>
      <c r="V29" t="s">
        <v>254</v>
      </c>
      <c r="X29">
        <v>1.1415525114155251E-4</v>
      </c>
      <c r="Y29">
        <v>1.408812536774151E-4</v>
      </c>
      <c r="Z29" t="s">
        <v>272</v>
      </c>
      <c r="AA29" t="s">
        <v>25</v>
      </c>
      <c r="AC29" t="s">
        <v>22</v>
      </c>
      <c r="AD29" t="s">
        <v>272</v>
      </c>
      <c r="AE29">
        <v>1.4763050893825514E-4</v>
      </c>
      <c r="AG29" t="s">
        <v>97</v>
      </c>
      <c r="AH29" t="s">
        <v>272</v>
      </c>
      <c r="AI29">
        <v>0</v>
      </c>
    </row>
    <row r="30" spans="3:35" x14ac:dyDescent="0.45">
      <c r="E30" t="s">
        <v>190</v>
      </c>
      <c r="G30" t="s">
        <v>158</v>
      </c>
      <c r="I30" t="s">
        <v>252</v>
      </c>
      <c r="J30" t="s">
        <v>273</v>
      </c>
      <c r="K30">
        <v>3.1263430619470002E-4</v>
      </c>
      <c r="L30" t="s">
        <v>254</v>
      </c>
      <c r="N30" t="s">
        <v>422</v>
      </c>
      <c r="O30" t="s">
        <v>273</v>
      </c>
      <c r="P30">
        <v>2.1044812718710001E-4</v>
      </c>
      <c r="Q30" t="s">
        <v>254</v>
      </c>
      <c r="S30" t="s">
        <v>423</v>
      </c>
      <c r="T30" t="s">
        <v>273</v>
      </c>
      <c r="U30">
        <v>1.885182335083E-4</v>
      </c>
      <c r="V30" t="s">
        <v>254</v>
      </c>
      <c r="X30">
        <v>1.1415525114155251E-4</v>
      </c>
      <c r="Y30">
        <v>1.4054976837464471E-4</v>
      </c>
      <c r="Z30" t="s">
        <v>273</v>
      </c>
      <c r="AA30" t="s">
        <v>25</v>
      </c>
      <c r="AC30" t="s">
        <v>22</v>
      </c>
      <c r="AD30" t="s">
        <v>273</v>
      </c>
      <c r="AE30">
        <v>1.4651305208716878E-4</v>
      </c>
      <c r="AG30" t="s">
        <v>97</v>
      </c>
      <c r="AH30" t="s">
        <v>273</v>
      </c>
      <c r="AI30">
        <v>0</v>
      </c>
    </row>
    <row r="31" spans="3:35" x14ac:dyDescent="0.45">
      <c r="E31" t="s">
        <v>191</v>
      </c>
      <c r="G31" t="s">
        <v>158</v>
      </c>
      <c r="I31" t="s">
        <v>252</v>
      </c>
      <c r="J31" t="s">
        <v>274</v>
      </c>
      <c r="K31">
        <v>2.5920715185910002E-4</v>
      </c>
      <c r="L31" t="s">
        <v>254</v>
      </c>
      <c r="N31" t="s">
        <v>422</v>
      </c>
      <c r="O31" t="s">
        <v>274</v>
      </c>
      <c r="P31">
        <v>2.0433881171729999E-4</v>
      </c>
      <c r="Q31" t="s">
        <v>254</v>
      </c>
      <c r="S31" t="s">
        <v>423</v>
      </c>
      <c r="T31" t="s">
        <v>274</v>
      </c>
      <c r="U31">
        <v>1.8887784701249999E-4</v>
      </c>
      <c r="V31" t="s">
        <v>254</v>
      </c>
      <c r="X31">
        <v>1.1415525114155251E-4</v>
      </c>
      <c r="Y31">
        <v>1.4253868019126702E-4</v>
      </c>
      <c r="Z31" t="s">
        <v>274</v>
      </c>
      <c r="AA31" t="s">
        <v>25</v>
      </c>
      <c r="AC31" t="s">
        <v>22</v>
      </c>
      <c r="AD31" t="s">
        <v>274</v>
      </c>
      <c r="AE31">
        <v>1.4538280968858717E-4</v>
      </c>
      <c r="AG31" t="s">
        <v>97</v>
      </c>
      <c r="AH31" t="s">
        <v>274</v>
      </c>
      <c r="AI31">
        <v>0</v>
      </c>
    </row>
    <row r="32" spans="3:35" x14ac:dyDescent="0.45">
      <c r="E32" t="s">
        <v>192</v>
      </c>
      <c r="G32" t="s">
        <v>158</v>
      </c>
      <c r="I32" t="s">
        <v>252</v>
      </c>
      <c r="J32" t="s">
        <v>275</v>
      </c>
      <c r="K32">
        <v>2.477749213051E-4</v>
      </c>
      <c r="L32" t="s">
        <v>254</v>
      </c>
      <c r="N32" t="s">
        <v>422</v>
      </c>
      <c r="O32" t="s">
        <v>275</v>
      </c>
      <c r="P32">
        <v>2.101097480552E-4</v>
      </c>
      <c r="Q32" t="s">
        <v>254</v>
      </c>
      <c r="S32" t="s">
        <v>423</v>
      </c>
      <c r="T32" t="s">
        <v>275</v>
      </c>
      <c r="U32">
        <v>1.8906998055689999E-4</v>
      </c>
      <c r="V32" t="s">
        <v>254</v>
      </c>
      <c r="X32">
        <v>1.1415525114155251E-4</v>
      </c>
      <c r="Y32">
        <v>1.4883690094390442E-4</v>
      </c>
      <c r="Z32" t="s">
        <v>275</v>
      </c>
      <c r="AA32" t="s">
        <v>25</v>
      </c>
      <c r="AC32" t="s">
        <v>22</v>
      </c>
      <c r="AD32" t="s">
        <v>275</v>
      </c>
      <c r="AE32">
        <v>1.452549542136345E-4</v>
      </c>
      <c r="AG32" t="s">
        <v>97</v>
      </c>
      <c r="AH32" t="s">
        <v>275</v>
      </c>
      <c r="AI32">
        <v>0</v>
      </c>
    </row>
    <row r="33" spans="5:35" x14ac:dyDescent="0.45">
      <c r="E33" t="s">
        <v>193</v>
      </c>
      <c r="G33" t="s">
        <v>158</v>
      </c>
      <c r="I33" t="s">
        <v>252</v>
      </c>
      <c r="J33" t="s">
        <v>276</v>
      </c>
      <c r="K33">
        <v>2.6381396511990002E-4</v>
      </c>
      <c r="L33" t="s">
        <v>254</v>
      </c>
      <c r="N33" t="s">
        <v>422</v>
      </c>
      <c r="O33" t="s">
        <v>276</v>
      </c>
      <c r="P33">
        <v>2.1242661700150001E-4</v>
      </c>
      <c r="Q33" t="s">
        <v>254</v>
      </c>
      <c r="S33" t="s">
        <v>423</v>
      </c>
      <c r="T33" t="s">
        <v>276</v>
      </c>
      <c r="U33">
        <v>1.889612122152E-4</v>
      </c>
      <c r="V33" t="s">
        <v>254</v>
      </c>
      <c r="X33">
        <v>1.1415525114155251E-4</v>
      </c>
      <c r="Y33">
        <v>1.5049432745775637E-4</v>
      </c>
      <c r="Z33" t="s">
        <v>276</v>
      </c>
      <c r="AA33" t="s">
        <v>25</v>
      </c>
      <c r="AC33" t="s">
        <v>22</v>
      </c>
      <c r="AD33" t="s">
        <v>276</v>
      </c>
      <c r="AE33">
        <v>1.4446480737842696E-4</v>
      </c>
      <c r="AG33" t="s">
        <v>97</v>
      </c>
      <c r="AH33" t="s">
        <v>276</v>
      </c>
      <c r="AI33">
        <v>0</v>
      </c>
    </row>
    <row r="34" spans="5:35" x14ac:dyDescent="0.45">
      <c r="E34" t="s">
        <v>194</v>
      </c>
      <c r="G34" t="s">
        <v>158</v>
      </c>
      <c r="I34" t="s">
        <v>252</v>
      </c>
      <c r="J34" t="s">
        <v>277</v>
      </c>
      <c r="K34">
        <v>2.1611228605080001E-4</v>
      </c>
      <c r="L34" t="s">
        <v>254</v>
      </c>
      <c r="N34" t="s">
        <v>422</v>
      </c>
      <c r="O34" t="s">
        <v>277</v>
      </c>
      <c r="P34">
        <v>2.1349683592130001E-4</v>
      </c>
      <c r="Q34" t="s">
        <v>254</v>
      </c>
      <c r="S34" t="s">
        <v>423</v>
      </c>
      <c r="T34" t="s">
        <v>277</v>
      </c>
      <c r="U34">
        <v>1.878585645929E-4</v>
      </c>
      <c r="V34" t="s">
        <v>254</v>
      </c>
      <c r="X34">
        <v>1.1415525114155251E-4</v>
      </c>
      <c r="Y34">
        <v>1.7237235744060203E-4</v>
      </c>
      <c r="Z34" t="s">
        <v>277</v>
      </c>
      <c r="AA34" t="s">
        <v>25</v>
      </c>
      <c r="AC34" t="s">
        <v>22</v>
      </c>
      <c r="AD34" t="s">
        <v>277</v>
      </c>
      <c r="AE34">
        <v>1.4408635517256706E-4</v>
      </c>
      <c r="AG34" t="s">
        <v>97</v>
      </c>
      <c r="AH34" t="s">
        <v>277</v>
      </c>
      <c r="AI34">
        <v>0</v>
      </c>
    </row>
    <row r="35" spans="5:35" x14ac:dyDescent="0.45">
      <c r="E35" t="s">
        <v>463</v>
      </c>
      <c r="G35" t="s">
        <v>162</v>
      </c>
      <c r="I35" t="s">
        <v>252</v>
      </c>
      <c r="J35" t="s">
        <v>278</v>
      </c>
      <c r="K35">
        <v>1.462981095404E-4</v>
      </c>
      <c r="L35" t="s">
        <v>254</v>
      </c>
      <c r="N35" t="s">
        <v>422</v>
      </c>
      <c r="O35" t="s">
        <v>278</v>
      </c>
      <c r="P35">
        <v>2.0987258242050001E-4</v>
      </c>
      <c r="Q35" t="s">
        <v>254</v>
      </c>
      <c r="S35" t="s">
        <v>423</v>
      </c>
      <c r="T35" t="s">
        <v>278</v>
      </c>
      <c r="U35">
        <v>1.8577027422230001E-4</v>
      </c>
      <c r="V35" t="s">
        <v>254</v>
      </c>
      <c r="X35">
        <v>1.1415525114155251E-4</v>
      </c>
      <c r="Y35">
        <v>2.2209515285616027E-4</v>
      </c>
      <c r="Z35" t="s">
        <v>278</v>
      </c>
      <c r="AA35" t="s">
        <v>25</v>
      </c>
      <c r="AC35" t="s">
        <v>22</v>
      </c>
      <c r="AD35" t="s">
        <v>278</v>
      </c>
      <c r="AE35">
        <v>1.4534956726509947E-4</v>
      </c>
      <c r="AG35" t="s">
        <v>97</v>
      </c>
      <c r="AH35" t="s">
        <v>278</v>
      </c>
      <c r="AI35">
        <v>0</v>
      </c>
    </row>
    <row r="36" spans="5:35" x14ac:dyDescent="0.45">
      <c r="E36" t="s">
        <v>464</v>
      </c>
      <c r="G36" t="s">
        <v>162</v>
      </c>
      <c r="I36" t="s">
        <v>252</v>
      </c>
      <c r="J36" t="s">
        <v>279</v>
      </c>
      <c r="K36">
        <v>6.4282137530427726E-5</v>
      </c>
      <c r="L36" t="s">
        <v>254</v>
      </c>
      <c r="N36" t="s">
        <v>422</v>
      </c>
      <c r="O36" t="s">
        <v>279</v>
      </c>
      <c r="P36">
        <v>2.033165610361E-4</v>
      </c>
      <c r="Q36" t="s">
        <v>254</v>
      </c>
      <c r="S36" t="s">
        <v>423</v>
      </c>
      <c r="T36" t="s">
        <v>279</v>
      </c>
      <c r="U36">
        <v>1.8404209355740001E-4</v>
      </c>
      <c r="V36" t="s">
        <v>254</v>
      </c>
      <c r="X36">
        <v>1.1415525114155251E-4</v>
      </c>
      <c r="Y36">
        <v>2.2209515285616027E-4</v>
      </c>
      <c r="Z36" t="s">
        <v>279</v>
      </c>
      <c r="AA36" t="s">
        <v>25</v>
      </c>
      <c r="AC36" t="s">
        <v>22</v>
      </c>
      <c r="AD36" t="s">
        <v>279</v>
      </c>
      <c r="AE36">
        <v>1.4664090756212148E-4</v>
      </c>
      <c r="AG36" t="s">
        <v>97</v>
      </c>
      <c r="AH36" t="s">
        <v>279</v>
      </c>
      <c r="AI36">
        <v>0</v>
      </c>
    </row>
    <row r="37" spans="5:35" x14ac:dyDescent="0.45">
      <c r="E37" t="s">
        <v>465</v>
      </c>
      <c r="G37" t="s">
        <v>162</v>
      </c>
      <c r="I37" t="s">
        <v>252</v>
      </c>
      <c r="J37" t="s">
        <v>280</v>
      </c>
      <c r="K37">
        <v>0</v>
      </c>
      <c r="L37" t="s">
        <v>254</v>
      </c>
      <c r="N37" t="s">
        <v>422</v>
      </c>
      <c r="O37" t="s">
        <v>280</v>
      </c>
      <c r="P37">
        <v>1.9893982493810001E-4</v>
      </c>
      <c r="Q37" t="s">
        <v>254</v>
      </c>
      <c r="S37" t="s">
        <v>423</v>
      </c>
      <c r="T37" t="s">
        <v>280</v>
      </c>
      <c r="U37">
        <v>1.8543353413789999E-4</v>
      </c>
      <c r="V37" t="s">
        <v>254</v>
      </c>
      <c r="X37">
        <v>1.1415525114155251E-4</v>
      </c>
      <c r="Y37">
        <v>1.7237235744060203E-4</v>
      </c>
      <c r="Z37" t="s">
        <v>280</v>
      </c>
      <c r="AA37" t="s">
        <v>25</v>
      </c>
      <c r="AC37" t="s">
        <v>22</v>
      </c>
      <c r="AD37" t="s">
        <v>280</v>
      </c>
      <c r="AE37">
        <v>1.4751543901079774E-4</v>
      </c>
      <c r="AG37" t="s">
        <v>97</v>
      </c>
      <c r="AH37" t="s">
        <v>280</v>
      </c>
      <c r="AI37">
        <v>0</v>
      </c>
    </row>
    <row r="38" spans="5:35" x14ac:dyDescent="0.45">
      <c r="E38" t="s">
        <v>466</v>
      </c>
      <c r="G38" t="s">
        <v>162</v>
      </c>
      <c r="I38" t="s">
        <v>252</v>
      </c>
      <c r="J38" t="s">
        <v>281</v>
      </c>
      <c r="K38">
        <v>0</v>
      </c>
      <c r="L38" t="s">
        <v>254</v>
      </c>
      <c r="N38" t="s">
        <v>422</v>
      </c>
      <c r="O38" t="s">
        <v>281</v>
      </c>
      <c r="P38">
        <v>1.961312592462E-4</v>
      </c>
      <c r="Q38" t="s">
        <v>254</v>
      </c>
      <c r="S38" t="s">
        <v>423</v>
      </c>
      <c r="T38" t="s">
        <v>281</v>
      </c>
      <c r="U38">
        <v>1.8814641283399999E-4</v>
      </c>
      <c r="V38" t="s">
        <v>254</v>
      </c>
      <c r="X38">
        <v>1.1415525114155251E-4</v>
      </c>
      <c r="Y38">
        <v>1.5579809230208258E-4</v>
      </c>
      <c r="Z38" t="s">
        <v>281</v>
      </c>
      <c r="AA38" t="s">
        <v>25</v>
      </c>
      <c r="AC38" t="s">
        <v>22</v>
      </c>
      <c r="AD38" t="s">
        <v>281</v>
      </c>
      <c r="AE38">
        <v>1.4593003112138461E-4</v>
      </c>
      <c r="AG38" t="s">
        <v>97</v>
      </c>
      <c r="AH38" t="s">
        <v>281</v>
      </c>
      <c r="AI38">
        <v>0</v>
      </c>
    </row>
    <row r="39" spans="5:35" x14ac:dyDescent="0.45">
      <c r="E39" t="s">
        <v>467</v>
      </c>
      <c r="G39" t="s">
        <v>162</v>
      </c>
      <c r="I39" t="s">
        <v>252</v>
      </c>
      <c r="J39" t="s">
        <v>282</v>
      </c>
      <c r="K39">
        <v>0</v>
      </c>
      <c r="L39" t="s">
        <v>254</v>
      </c>
      <c r="N39" t="s">
        <v>422</v>
      </c>
      <c r="O39" t="s">
        <v>282</v>
      </c>
      <c r="P39">
        <v>2.024250828655E-4</v>
      </c>
      <c r="Q39" t="s">
        <v>254</v>
      </c>
      <c r="S39" t="s">
        <v>423</v>
      </c>
      <c r="T39" t="s">
        <v>282</v>
      </c>
      <c r="U39">
        <v>1.9656456055879999E-4</v>
      </c>
      <c r="V39" t="s">
        <v>254</v>
      </c>
      <c r="X39">
        <v>1.1415525114155251E-4</v>
      </c>
      <c r="Y39">
        <v>1.093901499142282E-4</v>
      </c>
      <c r="Z39" t="s">
        <v>282</v>
      </c>
      <c r="AA39" t="s">
        <v>25</v>
      </c>
      <c r="AC39" t="s">
        <v>22</v>
      </c>
      <c r="AD39" t="s">
        <v>282</v>
      </c>
      <c r="AE39">
        <v>1.3300128549417035E-4</v>
      </c>
      <c r="AG39" t="s">
        <v>97</v>
      </c>
      <c r="AH39" t="s">
        <v>282</v>
      </c>
      <c r="AI39">
        <v>0</v>
      </c>
    </row>
    <row r="40" spans="5:35" x14ac:dyDescent="0.45">
      <c r="E40" t="s">
        <v>468</v>
      </c>
      <c r="G40" t="s">
        <v>162</v>
      </c>
      <c r="I40" t="s">
        <v>252</v>
      </c>
      <c r="J40" t="s">
        <v>283</v>
      </c>
      <c r="K40">
        <v>0</v>
      </c>
      <c r="L40" t="s">
        <v>254</v>
      </c>
      <c r="N40" t="s">
        <v>422</v>
      </c>
      <c r="O40" t="s">
        <v>283</v>
      </c>
      <c r="P40">
        <v>2.1212779973870001E-4</v>
      </c>
      <c r="Q40" t="s">
        <v>254</v>
      </c>
      <c r="S40" t="s">
        <v>423</v>
      </c>
      <c r="T40" t="s">
        <v>283</v>
      </c>
      <c r="U40">
        <v>2.057837074855E-4</v>
      </c>
      <c r="V40" t="s">
        <v>254</v>
      </c>
      <c r="X40">
        <v>1.1415525114155251E-4</v>
      </c>
      <c r="Y40">
        <v>7.9556472664893237E-5</v>
      </c>
      <c r="Z40" t="s">
        <v>283</v>
      </c>
      <c r="AA40" t="s">
        <v>25</v>
      </c>
      <c r="AC40" t="s">
        <v>22</v>
      </c>
      <c r="AD40" t="s">
        <v>283</v>
      </c>
      <c r="AE40">
        <v>1.2241485216808902E-4</v>
      </c>
      <c r="AG40" t="s">
        <v>97</v>
      </c>
      <c r="AH40" t="s">
        <v>283</v>
      </c>
      <c r="AI40">
        <v>0</v>
      </c>
    </row>
    <row r="41" spans="5:35" x14ac:dyDescent="0.45">
      <c r="E41" t="s">
        <v>469</v>
      </c>
      <c r="G41" t="s">
        <v>162</v>
      </c>
      <c r="I41" t="s">
        <v>252</v>
      </c>
      <c r="J41" t="s">
        <v>284</v>
      </c>
      <c r="K41">
        <v>0</v>
      </c>
      <c r="L41" t="s">
        <v>254</v>
      </c>
      <c r="N41" t="s">
        <v>422</v>
      </c>
      <c r="O41" t="s">
        <v>284</v>
      </c>
      <c r="P41">
        <v>2.1358129561370001E-4</v>
      </c>
      <c r="Q41" t="s">
        <v>254</v>
      </c>
      <c r="S41" t="s">
        <v>423</v>
      </c>
      <c r="T41" t="s">
        <v>284</v>
      </c>
      <c r="U41">
        <v>2.0500506056369999E-4</v>
      </c>
      <c r="V41" t="s">
        <v>254</v>
      </c>
      <c r="X41">
        <v>1.1415525114155251E-4</v>
      </c>
      <c r="Y41">
        <v>5.6352501470966035E-5</v>
      </c>
      <c r="Z41" t="s">
        <v>284</v>
      </c>
      <c r="AA41" t="s">
        <v>25</v>
      </c>
      <c r="AC41" t="s">
        <v>22</v>
      </c>
      <c r="AD41" t="s">
        <v>284</v>
      </c>
      <c r="AE41">
        <v>1.1229892698983357E-4</v>
      </c>
      <c r="AG41" t="s">
        <v>97</v>
      </c>
      <c r="AH41" t="s">
        <v>284</v>
      </c>
      <c r="AI41">
        <v>0</v>
      </c>
    </row>
    <row r="42" spans="5:35" x14ac:dyDescent="0.45">
      <c r="E42" t="s">
        <v>470</v>
      </c>
      <c r="G42" t="s">
        <v>162</v>
      </c>
      <c r="I42" t="s">
        <v>252</v>
      </c>
      <c r="J42" t="s">
        <v>285</v>
      </c>
      <c r="K42">
        <v>0</v>
      </c>
      <c r="L42" t="s">
        <v>254</v>
      </c>
      <c r="N42" t="s">
        <v>422</v>
      </c>
      <c r="O42" t="s">
        <v>285</v>
      </c>
      <c r="P42">
        <v>2.252220608744E-4</v>
      </c>
      <c r="Q42" t="s">
        <v>254</v>
      </c>
      <c r="S42" t="s">
        <v>423</v>
      </c>
      <c r="T42" t="s">
        <v>285</v>
      </c>
      <c r="U42">
        <v>2.0752072677489999E-4</v>
      </c>
      <c r="V42" t="s">
        <v>254</v>
      </c>
      <c r="X42">
        <v>1.1415525114155251E-4</v>
      </c>
      <c r="Y42">
        <v>2.9833677249334962E-5</v>
      </c>
      <c r="Z42" t="s">
        <v>285</v>
      </c>
      <c r="AA42" t="s">
        <v>25</v>
      </c>
      <c r="AC42" t="s">
        <v>22</v>
      </c>
      <c r="AD42" t="s">
        <v>285</v>
      </c>
      <c r="AE42">
        <v>9.8978943609264131E-5</v>
      </c>
      <c r="AG42" t="s">
        <v>97</v>
      </c>
      <c r="AH42" t="s">
        <v>285</v>
      </c>
      <c r="AI42">
        <v>0</v>
      </c>
    </row>
    <row r="43" spans="5:35" x14ac:dyDescent="0.45">
      <c r="E43" t="s">
        <v>471</v>
      </c>
      <c r="G43" t="s">
        <v>162</v>
      </c>
      <c r="I43" t="s">
        <v>252</v>
      </c>
      <c r="J43" t="s">
        <v>286</v>
      </c>
      <c r="K43">
        <v>0</v>
      </c>
      <c r="L43" t="s">
        <v>254</v>
      </c>
      <c r="N43" t="s">
        <v>422</v>
      </c>
      <c r="O43" t="s">
        <v>286</v>
      </c>
      <c r="P43">
        <v>2.5154486188649412E-2</v>
      </c>
      <c r="Q43" t="s">
        <v>254</v>
      </c>
      <c r="S43" t="s">
        <v>423</v>
      </c>
      <c r="T43" t="s">
        <v>286</v>
      </c>
      <c r="U43">
        <v>2.5781973169998154E-2</v>
      </c>
      <c r="V43" t="s">
        <v>254</v>
      </c>
      <c r="X43">
        <v>2.1575342465753426E-2</v>
      </c>
      <c r="Y43">
        <v>8.5204982224100657E-3</v>
      </c>
      <c r="Z43" t="s">
        <v>286</v>
      </c>
      <c r="AA43" t="s">
        <v>25</v>
      </c>
      <c r="AC43" t="s">
        <v>22</v>
      </c>
      <c r="AD43" t="s">
        <v>286</v>
      </c>
      <c r="AE43">
        <v>2.0336560622181345E-2</v>
      </c>
      <c r="AG43" t="s">
        <v>97</v>
      </c>
      <c r="AH43" t="s">
        <v>286</v>
      </c>
      <c r="AI43">
        <v>0.29202718464154853</v>
      </c>
    </row>
    <row r="44" spans="5:35" x14ac:dyDescent="0.45">
      <c r="E44" t="s">
        <v>472</v>
      </c>
      <c r="G44" t="s">
        <v>162</v>
      </c>
      <c r="I44" t="s">
        <v>252</v>
      </c>
      <c r="J44" t="s">
        <v>287</v>
      </c>
      <c r="K44">
        <v>8.3849719630973629E-5</v>
      </c>
      <c r="L44" t="s">
        <v>254</v>
      </c>
      <c r="N44" t="s">
        <v>422</v>
      </c>
      <c r="O44" t="s">
        <v>287</v>
      </c>
      <c r="P44">
        <v>3.6488316677504616E-3</v>
      </c>
      <c r="Q44" t="s">
        <v>254</v>
      </c>
      <c r="S44" t="s">
        <v>423</v>
      </c>
      <c r="T44" t="s">
        <v>287</v>
      </c>
      <c r="U44">
        <v>3.7445916125508159E-3</v>
      </c>
      <c r="V44" t="s">
        <v>254</v>
      </c>
      <c r="X44">
        <v>3.0821917808219177E-3</v>
      </c>
      <c r="Y44">
        <v>5.146309325510281E-3</v>
      </c>
      <c r="Z44" t="s">
        <v>287</v>
      </c>
      <c r="AA44" t="s">
        <v>25</v>
      </c>
      <c r="AC44" t="s">
        <v>22</v>
      </c>
      <c r="AD44" t="s">
        <v>287</v>
      </c>
      <c r="AE44">
        <v>3.9169184788341305E-3</v>
      </c>
      <c r="AG44" t="s">
        <v>97</v>
      </c>
      <c r="AH44" t="s">
        <v>287</v>
      </c>
      <c r="AI44">
        <v>7.0226352068357922E-2</v>
      </c>
    </row>
    <row r="45" spans="5:35" x14ac:dyDescent="0.45">
      <c r="E45" t="s">
        <v>473</v>
      </c>
      <c r="G45" t="s">
        <v>162</v>
      </c>
      <c r="I45" t="s">
        <v>252</v>
      </c>
      <c r="J45" t="s">
        <v>288</v>
      </c>
      <c r="K45">
        <v>9.4952139783316975E-3</v>
      </c>
      <c r="L45" t="s">
        <v>254</v>
      </c>
      <c r="N45" t="s">
        <v>422</v>
      </c>
      <c r="O45" t="s">
        <v>288</v>
      </c>
      <c r="P45">
        <v>7.2337514143961234E-3</v>
      </c>
      <c r="Q45" t="s">
        <v>254</v>
      </c>
      <c r="S45" t="s">
        <v>423</v>
      </c>
      <c r="T45" t="s">
        <v>288</v>
      </c>
      <c r="U45">
        <v>7.5127675622818045E-3</v>
      </c>
      <c r="V45" t="s">
        <v>254</v>
      </c>
      <c r="X45">
        <v>6.1643835616438354E-3</v>
      </c>
      <c r="Y45">
        <v>7.8402903811252284E-3</v>
      </c>
      <c r="Z45" t="s">
        <v>288</v>
      </c>
      <c r="AA45" t="s">
        <v>25</v>
      </c>
      <c r="AC45" t="s">
        <v>22</v>
      </c>
      <c r="AD45" t="s">
        <v>288</v>
      </c>
      <c r="AE45">
        <v>8.0057284153041315E-3</v>
      </c>
      <c r="AG45" t="s">
        <v>97</v>
      </c>
      <c r="AH45" t="s">
        <v>288</v>
      </c>
      <c r="AI45">
        <v>6.2507795615405648E-2</v>
      </c>
    </row>
    <row r="46" spans="5:35" x14ac:dyDescent="0.45">
      <c r="E46" t="s">
        <v>474</v>
      </c>
      <c r="G46" t="s">
        <v>162</v>
      </c>
      <c r="I46" t="s">
        <v>252</v>
      </c>
      <c r="J46" t="s">
        <v>289</v>
      </c>
      <c r="K46">
        <v>2.166247839924651E-2</v>
      </c>
      <c r="L46" t="s">
        <v>254</v>
      </c>
      <c r="N46" t="s">
        <v>422</v>
      </c>
      <c r="O46" t="s">
        <v>289</v>
      </c>
      <c r="P46">
        <v>1.0536402004102767E-2</v>
      </c>
      <c r="Q46" t="s">
        <v>254</v>
      </c>
      <c r="S46" t="s">
        <v>423</v>
      </c>
      <c r="T46" t="s">
        <v>289</v>
      </c>
      <c r="U46">
        <v>1.0904703042157729E-2</v>
      </c>
      <c r="V46" t="s">
        <v>254</v>
      </c>
      <c r="X46">
        <v>9.2465753424657536E-3</v>
      </c>
      <c r="Y46">
        <v>1.1447181960569828E-2</v>
      </c>
      <c r="Z46" t="s">
        <v>289</v>
      </c>
      <c r="AA46" t="s">
        <v>25</v>
      </c>
      <c r="AC46" t="s">
        <v>22</v>
      </c>
      <c r="AD46" t="s">
        <v>289</v>
      </c>
      <c r="AE46">
        <v>1.1965394093633938E-2</v>
      </c>
      <c r="AG46" t="s">
        <v>97</v>
      </c>
      <c r="AH46" t="s">
        <v>289</v>
      </c>
      <c r="AI46">
        <v>6.1628996902276523E-2</v>
      </c>
    </row>
    <row r="47" spans="5:35" x14ac:dyDescent="0.45">
      <c r="E47" t="s">
        <v>475</v>
      </c>
      <c r="G47" t="s">
        <v>162</v>
      </c>
      <c r="I47" t="s">
        <v>252</v>
      </c>
      <c r="J47" t="s">
        <v>290</v>
      </c>
      <c r="K47">
        <v>6.7726290935451001E-3</v>
      </c>
      <c r="L47" t="s">
        <v>254</v>
      </c>
      <c r="N47" t="s">
        <v>422</v>
      </c>
      <c r="O47" t="s">
        <v>290</v>
      </c>
      <c r="P47">
        <v>3.5915448470664525E-3</v>
      </c>
      <c r="Q47" t="s">
        <v>254</v>
      </c>
      <c r="S47" t="s">
        <v>423</v>
      </c>
      <c r="T47" t="s">
        <v>290</v>
      </c>
      <c r="U47">
        <v>3.5696873572759491E-3</v>
      </c>
      <c r="V47" t="s">
        <v>254</v>
      </c>
      <c r="X47">
        <v>3.0821917808219177E-3</v>
      </c>
      <c r="Y47">
        <v>4.01859632548542E-3</v>
      </c>
      <c r="Z47" t="s">
        <v>290</v>
      </c>
      <c r="AA47" t="s">
        <v>25</v>
      </c>
      <c r="AC47" t="s">
        <v>22</v>
      </c>
      <c r="AD47" t="s">
        <v>290</v>
      </c>
      <c r="AE47">
        <v>3.9612127295767336E-3</v>
      </c>
      <c r="AG47" t="s">
        <v>97</v>
      </c>
      <c r="AH47" t="s">
        <v>290</v>
      </c>
      <c r="AI47">
        <v>6.5128048780487724E-2</v>
      </c>
    </row>
    <row r="48" spans="5:35" x14ac:dyDescent="0.45">
      <c r="E48" t="s">
        <v>476</v>
      </c>
      <c r="G48" t="s">
        <v>162</v>
      </c>
      <c r="I48" t="s">
        <v>252</v>
      </c>
      <c r="J48" t="s">
        <v>291</v>
      </c>
      <c r="K48">
        <v>1.4143097224105025E-2</v>
      </c>
      <c r="L48" t="s">
        <v>254</v>
      </c>
      <c r="N48" t="s">
        <v>422</v>
      </c>
      <c r="O48" t="s">
        <v>291</v>
      </c>
      <c r="P48">
        <v>7.3278015164377555E-3</v>
      </c>
      <c r="Q48" t="s">
        <v>254</v>
      </c>
      <c r="S48" t="s">
        <v>423</v>
      </c>
      <c r="T48" t="s">
        <v>291</v>
      </c>
      <c r="U48">
        <v>7.2935783112108967E-3</v>
      </c>
      <c r="V48" t="s">
        <v>254</v>
      </c>
      <c r="X48">
        <v>6.1643835616438354E-3</v>
      </c>
      <c r="Y48">
        <v>8.7174004922556773E-3</v>
      </c>
      <c r="Z48" t="s">
        <v>291</v>
      </c>
      <c r="AA48" t="s">
        <v>25</v>
      </c>
      <c r="AC48" t="s">
        <v>22</v>
      </c>
      <c r="AD48" t="s">
        <v>291</v>
      </c>
      <c r="AE48">
        <v>7.9279999578614046E-3</v>
      </c>
      <c r="AG48" t="s">
        <v>97</v>
      </c>
      <c r="AH48" t="s">
        <v>291</v>
      </c>
      <c r="AI48">
        <v>6.909079828753395E-2</v>
      </c>
    </row>
    <row r="49" spans="5:35" x14ac:dyDescent="0.45">
      <c r="E49" t="s">
        <v>477</v>
      </c>
      <c r="G49" t="s">
        <v>162</v>
      </c>
      <c r="I49" t="s">
        <v>252</v>
      </c>
      <c r="J49" t="s">
        <v>292</v>
      </c>
      <c r="K49">
        <v>9.8239893269155814E-3</v>
      </c>
      <c r="L49" t="s">
        <v>254</v>
      </c>
      <c r="N49" t="s">
        <v>422</v>
      </c>
      <c r="O49" t="s">
        <v>292</v>
      </c>
      <c r="P49">
        <v>7.2219006505630529E-3</v>
      </c>
      <c r="Q49" t="s">
        <v>254</v>
      </c>
      <c r="S49" t="s">
        <v>423</v>
      </c>
      <c r="T49" t="s">
        <v>292</v>
      </c>
      <c r="U49">
        <v>7.3931351639857541E-3</v>
      </c>
      <c r="V49" t="s">
        <v>254</v>
      </c>
      <c r="X49">
        <v>6.1643835616438354E-3</v>
      </c>
      <c r="Y49">
        <v>1.1993138254232649E-2</v>
      </c>
      <c r="Z49" t="s">
        <v>292</v>
      </c>
      <c r="AA49" t="s">
        <v>25</v>
      </c>
      <c r="AC49" t="s">
        <v>22</v>
      </c>
      <c r="AD49" t="s">
        <v>292</v>
      </c>
      <c r="AE49">
        <v>8.0440825006804339E-3</v>
      </c>
      <c r="AG49" t="s">
        <v>97</v>
      </c>
      <c r="AH49" t="s">
        <v>292</v>
      </c>
      <c r="AI49">
        <v>5.7883670350459049E-2</v>
      </c>
    </row>
    <row r="50" spans="5:35" x14ac:dyDescent="0.45">
      <c r="E50" t="s">
        <v>478</v>
      </c>
      <c r="G50" t="s">
        <v>162</v>
      </c>
      <c r="I50" t="s">
        <v>252</v>
      </c>
      <c r="J50" t="s">
        <v>293</v>
      </c>
      <c r="K50">
        <v>3.0928607330769746E-4</v>
      </c>
      <c r="L50" t="s">
        <v>254</v>
      </c>
      <c r="N50" t="s">
        <v>422</v>
      </c>
      <c r="O50" t="s">
        <v>293</v>
      </c>
      <c r="P50">
        <v>2.1557395007070167E-2</v>
      </c>
      <c r="Q50" t="s">
        <v>254</v>
      </c>
      <c r="S50" t="s">
        <v>423</v>
      </c>
      <c r="T50" t="s">
        <v>293</v>
      </c>
      <c r="U50">
        <v>2.2314938708179983E-2</v>
      </c>
      <c r="V50" t="s">
        <v>254</v>
      </c>
      <c r="X50">
        <v>1.8493150684931507E-2</v>
      </c>
      <c r="Y50">
        <v>1.6289187778136888E-2</v>
      </c>
      <c r="Z50" t="s">
        <v>293</v>
      </c>
      <c r="AA50" t="s">
        <v>25</v>
      </c>
      <c r="AC50" t="s">
        <v>22</v>
      </c>
      <c r="AD50" t="s">
        <v>293</v>
      </c>
      <c r="AE50">
        <v>2.0578458547760782E-2</v>
      </c>
      <c r="AG50" t="s">
        <v>97</v>
      </c>
      <c r="AH50" t="s">
        <v>293</v>
      </c>
      <c r="AI50">
        <v>0.19086787564766849</v>
      </c>
    </row>
    <row r="51" spans="5:35" x14ac:dyDescent="0.45">
      <c r="E51" t="s">
        <v>479</v>
      </c>
      <c r="G51" t="s">
        <v>162</v>
      </c>
      <c r="I51" t="s">
        <v>252</v>
      </c>
      <c r="J51" t="s">
        <v>1891</v>
      </c>
      <c r="K51">
        <v>0</v>
      </c>
      <c r="L51" t="s">
        <v>254</v>
      </c>
      <c r="N51" t="s">
        <v>422</v>
      </c>
      <c r="O51" t="s">
        <v>1891</v>
      </c>
      <c r="P51">
        <v>2.491201969272E-4</v>
      </c>
      <c r="Q51" t="s">
        <v>254</v>
      </c>
      <c r="S51" t="s">
        <v>423</v>
      </c>
      <c r="T51" t="s">
        <v>1891</v>
      </c>
      <c r="U51">
        <v>2.1114052096200001E-4</v>
      </c>
      <c r="V51" t="s">
        <v>254</v>
      </c>
      <c r="X51">
        <v>1.1415525114155251E-4</v>
      </c>
      <c r="Y51">
        <v>2.1546544680075254E-5</v>
      </c>
      <c r="Z51" t="s">
        <v>1891</v>
      </c>
      <c r="AA51" t="s">
        <v>25</v>
      </c>
      <c r="AC51" t="s">
        <v>22</v>
      </c>
      <c r="AD51" t="s">
        <v>1891</v>
      </c>
      <c r="AE51">
        <v>9.9034560090342053E-5</v>
      </c>
      <c r="AG51" t="s">
        <v>97</v>
      </c>
      <c r="AH51" t="s">
        <v>1891</v>
      </c>
      <c r="AI51">
        <v>0</v>
      </c>
    </row>
    <row r="52" spans="5:35" x14ac:dyDescent="0.45">
      <c r="E52" t="s">
        <v>480</v>
      </c>
      <c r="G52" t="s">
        <v>162</v>
      </c>
      <c r="I52" t="s">
        <v>252</v>
      </c>
      <c r="J52" t="s">
        <v>1892</v>
      </c>
      <c r="K52">
        <v>0</v>
      </c>
      <c r="L52" t="s">
        <v>254</v>
      </c>
      <c r="N52" t="s">
        <v>422</v>
      </c>
      <c r="O52" t="s">
        <v>1892</v>
      </c>
      <c r="P52">
        <v>2.4785790174940001E-4</v>
      </c>
      <c r="Q52" t="s">
        <v>254</v>
      </c>
      <c r="S52" t="s">
        <v>423</v>
      </c>
      <c r="T52" t="s">
        <v>1892</v>
      </c>
      <c r="U52">
        <v>2.105963268138E-4</v>
      </c>
      <c r="V52" t="s">
        <v>254</v>
      </c>
      <c r="X52">
        <v>1.1415525114155251E-4</v>
      </c>
      <c r="Y52">
        <v>1.4916838624667481E-5</v>
      </c>
      <c r="Z52" t="s">
        <v>1892</v>
      </c>
      <c r="AA52" t="s">
        <v>25</v>
      </c>
      <c r="AC52" t="s">
        <v>22</v>
      </c>
      <c r="AD52" t="s">
        <v>1892</v>
      </c>
      <c r="AE52">
        <v>9.6830331702157989E-5</v>
      </c>
      <c r="AG52" t="s">
        <v>97</v>
      </c>
      <c r="AH52" t="s">
        <v>1892</v>
      </c>
      <c r="AI52">
        <v>0</v>
      </c>
    </row>
    <row r="53" spans="5:35" x14ac:dyDescent="0.45">
      <c r="E53" t="s">
        <v>481</v>
      </c>
      <c r="G53" t="s">
        <v>162</v>
      </c>
      <c r="I53" t="s">
        <v>252</v>
      </c>
      <c r="J53" t="s">
        <v>1893</v>
      </c>
      <c r="K53">
        <v>0</v>
      </c>
      <c r="L53" t="s">
        <v>254</v>
      </c>
      <c r="N53" t="s">
        <v>422</v>
      </c>
      <c r="O53" t="s">
        <v>1893</v>
      </c>
      <c r="P53">
        <v>2.4785371740590001E-4</v>
      </c>
      <c r="Q53" t="s">
        <v>254</v>
      </c>
      <c r="S53" t="s">
        <v>423</v>
      </c>
      <c r="T53" t="s">
        <v>1893</v>
      </c>
      <c r="U53">
        <v>2.101437983454E-4</v>
      </c>
      <c r="V53" t="s">
        <v>254</v>
      </c>
      <c r="X53">
        <v>1.1415525114155251E-4</v>
      </c>
      <c r="Y53">
        <v>1.6574265138519424E-5</v>
      </c>
      <c r="Z53" t="s">
        <v>1893</v>
      </c>
      <c r="AA53" t="s">
        <v>25</v>
      </c>
      <c r="AC53" t="s">
        <v>22</v>
      </c>
      <c r="AD53" t="s">
        <v>1893</v>
      </c>
      <c r="AE53">
        <v>9.6768961074180694E-5</v>
      </c>
      <c r="AG53" t="s">
        <v>97</v>
      </c>
      <c r="AH53" t="s">
        <v>1893</v>
      </c>
      <c r="AI53">
        <v>0</v>
      </c>
    </row>
    <row r="54" spans="5:35" x14ac:dyDescent="0.45">
      <c r="E54" t="s">
        <v>482</v>
      </c>
      <c r="G54" t="s">
        <v>162</v>
      </c>
      <c r="I54" t="s">
        <v>252</v>
      </c>
      <c r="J54" t="s">
        <v>1894</v>
      </c>
      <c r="K54">
        <v>0</v>
      </c>
      <c r="L54" t="s">
        <v>254</v>
      </c>
      <c r="N54" t="s">
        <v>422</v>
      </c>
      <c r="O54" t="s">
        <v>1894</v>
      </c>
      <c r="P54">
        <v>2.4645100617689999E-4</v>
      </c>
      <c r="Q54" t="s">
        <v>254</v>
      </c>
      <c r="S54" t="s">
        <v>423</v>
      </c>
      <c r="T54" t="s">
        <v>1894</v>
      </c>
      <c r="U54">
        <v>2.100625065495E-4</v>
      </c>
      <c r="V54" t="s">
        <v>254</v>
      </c>
      <c r="X54">
        <v>1.1415525114155251E-4</v>
      </c>
      <c r="Y54">
        <v>1.4585353321897093E-5</v>
      </c>
      <c r="Z54" t="s">
        <v>1894</v>
      </c>
      <c r="AA54" t="s">
        <v>25</v>
      </c>
      <c r="AC54" t="s">
        <v>22</v>
      </c>
      <c r="AD54" t="s">
        <v>1894</v>
      </c>
      <c r="AE54">
        <v>9.639306597781983E-5</v>
      </c>
      <c r="AG54" t="s">
        <v>97</v>
      </c>
      <c r="AH54" t="s">
        <v>1894</v>
      </c>
      <c r="AI54">
        <v>0</v>
      </c>
    </row>
    <row r="55" spans="5:35" x14ac:dyDescent="0.45">
      <c r="E55" t="s">
        <v>483</v>
      </c>
      <c r="G55" t="s">
        <v>162</v>
      </c>
      <c r="I55" t="s">
        <v>252</v>
      </c>
      <c r="J55" t="s">
        <v>1895</v>
      </c>
      <c r="K55">
        <v>0</v>
      </c>
      <c r="L55" t="s">
        <v>254</v>
      </c>
      <c r="N55" t="s">
        <v>422</v>
      </c>
      <c r="O55" t="s">
        <v>1895</v>
      </c>
      <c r="P55">
        <v>2.4364820245E-4</v>
      </c>
      <c r="Q55" t="s">
        <v>254</v>
      </c>
      <c r="S55" t="s">
        <v>423</v>
      </c>
      <c r="T55" t="s">
        <v>1895</v>
      </c>
      <c r="U55">
        <v>2.1000104943149999E-4</v>
      </c>
      <c r="V55" t="s">
        <v>254</v>
      </c>
      <c r="X55">
        <v>1.1415525114155251E-4</v>
      </c>
      <c r="Y55">
        <v>2.1215059377304864E-5</v>
      </c>
      <c r="Z55" t="s">
        <v>1895</v>
      </c>
      <c r="AA55" t="s">
        <v>25</v>
      </c>
      <c r="AC55" t="s">
        <v>22</v>
      </c>
      <c r="AD55" t="s">
        <v>1895</v>
      </c>
      <c r="AE55">
        <v>1.0421014971642623E-4</v>
      </c>
      <c r="AG55" t="s">
        <v>97</v>
      </c>
      <c r="AH55" t="s">
        <v>1895</v>
      </c>
      <c r="AI55">
        <v>0</v>
      </c>
    </row>
    <row r="56" spans="5:35" x14ac:dyDescent="0.45">
      <c r="E56" t="s">
        <v>484</v>
      </c>
      <c r="G56" t="s">
        <v>162</v>
      </c>
      <c r="I56" t="s">
        <v>252</v>
      </c>
      <c r="J56" t="s">
        <v>1896</v>
      </c>
      <c r="K56">
        <v>0</v>
      </c>
      <c r="L56" t="s">
        <v>254</v>
      </c>
      <c r="N56" t="s">
        <v>422</v>
      </c>
      <c r="O56" t="s">
        <v>1896</v>
      </c>
      <c r="P56">
        <v>2.4407240856600001E-4</v>
      </c>
      <c r="Q56" t="s">
        <v>254</v>
      </c>
      <c r="S56" t="s">
        <v>423</v>
      </c>
      <c r="T56" t="s">
        <v>1896</v>
      </c>
      <c r="U56">
        <v>2.0977903359390001E-4</v>
      </c>
      <c r="V56" t="s">
        <v>254</v>
      </c>
      <c r="X56">
        <v>1.1415525114155251E-4</v>
      </c>
      <c r="Y56">
        <v>5.7678442682047593E-5</v>
      </c>
      <c r="Z56" t="s">
        <v>1896</v>
      </c>
      <c r="AA56" t="s">
        <v>25</v>
      </c>
      <c r="AC56" t="s">
        <v>22</v>
      </c>
      <c r="AD56" t="s">
        <v>1896</v>
      </c>
      <c r="AE56">
        <v>1.3268356398838649E-4</v>
      </c>
      <c r="AG56" t="s">
        <v>97</v>
      </c>
      <c r="AH56" t="s">
        <v>1896</v>
      </c>
      <c r="AI56">
        <v>0</v>
      </c>
    </row>
    <row r="57" spans="5:35" x14ac:dyDescent="0.45">
      <c r="E57" t="s">
        <v>485</v>
      </c>
      <c r="G57" t="s">
        <v>162</v>
      </c>
      <c r="I57" t="s">
        <v>252</v>
      </c>
      <c r="J57" t="s">
        <v>1897</v>
      </c>
      <c r="K57">
        <v>0</v>
      </c>
      <c r="L57" t="s">
        <v>254</v>
      </c>
      <c r="N57" t="s">
        <v>422</v>
      </c>
      <c r="O57" t="s">
        <v>1897</v>
      </c>
      <c r="P57">
        <v>2.4185754302929999E-4</v>
      </c>
      <c r="Q57" t="s">
        <v>254</v>
      </c>
      <c r="S57" t="s">
        <v>423</v>
      </c>
      <c r="T57" t="s">
        <v>1897</v>
      </c>
      <c r="U57">
        <v>2.083888648935E-4</v>
      </c>
      <c r="V57" t="s">
        <v>254</v>
      </c>
      <c r="X57">
        <v>1.1415525114155251E-4</v>
      </c>
      <c r="Y57">
        <v>1.6905750441289813E-4</v>
      </c>
      <c r="Z57" t="s">
        <v>1897</v>
      </c>
      <c r="AA57" t="s">
        <v>25</v>
      </c>
      <c r="AC57" t="s">
        <v>22</v>
      </c>
      <c r="AD57" t="s">
        <v>1897</v>
      </c>
      <c r="AE57">
        <v>1.4723607414749969E-4</v>
      </c>
      <c r="AG57" t="s">
        <v>97</v>
      </c>
      <c r="AH57" t="s">
        <v>1897</v>
      </c>
      <c r="AI57">
        <v>0</v>
      </c>
    </row>
    <row r="58" spans="5:35" x14ac:dyDescent="0.45">
      <c r="E58" t="s">
        <v>486</v>
      </c>
      <c r="G58" t="s">
        <v>162</v>
      </c>
      <c r="I58" t="s">
        <v>252</v>
      </c>
      <c r="J58" t="s">
        <v>1898</v>
      </c>
      <c r="K58">
        <v>0</v>
      </c>
      <c r="L58" t="s">
        <v>254</v>
      </c>
      <c r="N58" t="s">
        <v>422</v>
      </c>
      <c r="O58" t="s">
        <v>1898</v>
      </c>
      <c r="P58">
        <v>2.3932879282609999E-4</v>
      </c>
      <c r="Q58" t="s">
        <v>254</v>
      </c>
      <c r="S58" t="s">
        <v>423</v>
      </c>
      <c r="T58" t="s">
        <v>1898</v>
      </c>
      <c r="U58">
        <v>2.0533720455050001E-4</v>
      </c>
      <c r="V58" t="s">
        <v>254</v>
      </c>
      <c r="X58">
        <v>1.1415525114155251E-4</v>
      </c>
      <c r="Y58">
        <v>1.9060404909297337E-4</v>
      </c>
      <c r="Z58" t="s">
        <v>1898</v>
      </c>
      <c r="AA58" t="s">
        <v>25</v>
      </c>
      <c r="AC58" t="s">
        <v>22</v>
      </c>
      <c r="AD58" t="s">
        <v>1898</v>
      </c>
      <c r="AE58">
        <v>1.5411214159045443E-4</v>
      </c>
      <c r="AG58" t="s">
        <v>97</v>
      </c>
      <c r="AH58" t="s">
        <v>1898</v>
      </c>
      <c r="AI58">
        <v>0</v>
      </c>
    </row>
    <row r="59" spans="5:35" x14ac:dyDescent="0.45">
      <c r="E59" t="s">
        <v>1289</v>
      </c>
      <c r="G59" t="s">
        <v>166</v>
      </c>
      <c r="I59" t="s">
        <v>252</v>
      </c>
      <c r="J59" t="s">
        <v>1899</v>
      </c>
      <c r="K59">
        <v>6.7641199515952762E-5</v>
      </c>
      <c r="L59" t="s">
        <v>254</v>
      </c>
      <c r="N59" t="s">
        <v>422</v>
      </c>
      <c r="O59" t="s">
        <v>1899</v>
      </c>
      <c r="P59">
        <v>2.4237704190150001E-4</v>
      </c>
      <c r="Q59" t="s">
        <v>254</v>
      </c>
      <c r="S59" t="s">
        <v>423</v>
      </c>
      <c r="T59" t="s">
        <v>1899</v>
      </c>
      <c r="U59">
        <v>2.038566718229E-4</v>
      </c>
      <c r="V59" t="s">
        <v>254</v>
      </c>
      <c r="X59">
        <v>1.1415525114155251E-4</v>
      </c>
      <c r="Y59">
        <v>1.4585353321897094E-4</v>
      </c>
      <c r="Z59" t="s">
        <v>1899</v>
      </c>
      <c r="AA59" t="s">
        <v>25</v>
      </c>
      <c r="AC59" t="s">
        <v>22</v>
      </c>
      <c r="AD59" t="s">
        <v>1899</v>
      </c>
      <c r="AE59">
        <v>1.5486393178317615E-4</v>
      </c>
      <c r="AG59" t="s">
        <v>97</v>
      </c>
      <c r="AH59" t="s">
        <v>1899</v>
      </c>
      <c r="AI59">
        <v>0</v>
      </c>
    </row>
    <row r="60" spans="5:35" x14ac:dyDescent="0.45">
      <c r="E60" t="s">
        <v>1290</v>
      </c>
      <c r="G60" t="s">
        <v>166</v>
      </c>
      <c r="I60" t="s">
        <v>252</v>
      </c>
      <c r="J60" t="s">
        <v>1900</v>
      </c>
      <c r="K60">
        <v>1.2596739187599999E-4</v>
      </c>
      <c r="L60" t="s">
        <v>254</v>
      </c>
      <c r="N60" t="s">
        <v>422</v>
      </c>
      <c r="O60" t="s">
        <v>1900</v>
      </c>
      <c r="P60">
        <v>2.412672843926E-4</v>
      </c>
      <c r="Q60" t="s">
        <v>254</v>
      </c>
      <c r="S60" t="s">
        <v>423</v>
      </c>
      <c r="T60" t="s">
        <v>1900</v>
      </c>
      <c r="U60">
        <v>2.033211249576E-4</v>
      </c>
      <c r="V60" t="s">
        <v>254</v>
      </c>
      <c r="X60">
        <v>1.1415525114155251E-4</v>
      </c>
      <c r="Y60">
        <v>1.4452759200788939E-4</v>
      </c>
      <c r="Z60" t="s">
        <v>1900</v>
      </c>
      <c r="AA60" t="s">
        <v>25</v>
      </c>
      <c r="AC60" t="s">
        <v>22</v>
      </c>
      <c r="AD60" t="s">
        <v>1900</v>
      </c>
      <c r="AE60">
        <v>1.558714329258032E-4</v>
      </c>
      <c r="AG60" t="s">
        <v>97</v>
      </c>
      <c r="AH60" t="s">
        <v>1900</v>
      </c>
      <c r="AI60">
        <v>0</v>
      </c>
    </row>
    <row r="61" spans="5:35" x14ac:dyDescent="0.45">
      <c r="E61" t="s">
        <v>1291</v>
      </c>
      <c r="G61" t="s">
        <v>166</v>
      </c>
      <c r="I61" t="s">
        <v>252</v>
      </c>
      <c r="J61" t="s">
        <v>1901</v>
      </c>
      <c r="K61">
        <v>1.9734494170699999E-4</v>
      </c>
      <c r="L61" t="s">
        <v>254</v>
      </c>
      <c r="N61" t="s">
        <v>422</v>
      </c>
      <c r="O61" t="s">
        <v>1901</v>
      </c>
      <c r="P61">
        <v>2.4025685254900001E-4</v>
      </c>
      <c r="Q61" t="s">
        <v>254</v>
      </c>
      <c r="S61" t="s">
        <v>423</v>
      </c>
      <c r="T61" t="s">
        <v>1901</v>
      </c>
      <c r="U61">
        <v>2.0245655690130001E-4</v>
      </c>
      <c r="V61" t="s">
        <v>254</v>
      </c>
      <c r="X61">
        <v>1.1415525114155251E-4</v>
      </c>
      <c r="Y61">
        <v>1.408812536774151E-4</v>
      </c>
      <c r="Z61" t="s">
        <v>1901</v>
      </c>
      <c r="AA61" t="s">
        <v>25</v>
      </c>
      <c r="AC61" t="s">
        <v>22</v>
      </c>
      <c r="AD61" t="s">
        <v>1901</v>
      </c>
      <c r="AE61">
        <v>1.5547508095344994E-4</v>
      </c>
      <c r="AG61" t="s">
        <v>97</v>
      </c>
      <c r="AH61" t="s">
        <v>1901</v>
      </c>
      <c r="AI61">
        <v>0</v>
      </c>
    </row>
    <row r="62" spans="5:35" x14ac:dyDescent="0.45">
      <c r="E62" t="s">
        <v>1292</v>
      </c>
      <c r="G62" t="s">
        <v>166</v>
      </c>
      <c r="I62" t="s">
        <v>252</v>
      </c>
      <c r="J62" t="s">
        <v>1902</v>
      </c>
      <c r="K62">
        <v>2.2362619685859999E-4</v>
      </c>
      <c r="L62" t="s">
        <v>254</v>
      </c>
      <c r="N62" t="s">
        <v>422</v>
      </c>
      <c r="O62" t="s">
        <v>1902</v>
      </c>
      <c r="P62">
        <v>2.4425755422099999E-4</v>
      </c>
      <c r="Q62" t="s">
        <v>254</v>
      </c>
      <c r="S62" t="s">
        <v>423</v>
      </c>
      <c r="T62" t="s">
        <v>1902</v>
      </c>
      <c r="U62">
        <v>2.0317636780070001E-4</v>
      </c>
      <c r="V62" t="s">
        <v>254</v>
      </c>
      <c r="X62">
        <v>1.1415525114155251E-4</v>
      </c>
      <c r="Y62">
        <v>1.4054976837464471E-4</v>
      </c>
      <c r="Z62" t="s">
        <v>1902</v>
      </c>
      <c r="AA62" t="s">
        <v>25</v>
      </c>
      <c r="AC62" t="s">
        <v>22</v>
      </c>
      <c r="AD62" t="s">
        <v>1902</v>
      </c>
      <c r="AE62">
        <v>1.5444712293483044E-4</v>
      </c>
      <c r="AG62" t="s">
        <v>97</v>
      </c>
      <c r="AH62" t="s">
        <v>1902</v>
      </c>
      <c r="AI62">
        <v>0</v>
      </c>
    </row>
    <row r="63" spans="5:35" x14ac:dyDescent="0.45">
      <c r="E63" t="s">
        <v>1293</v>
      </c>
      <c r="G63" t="s">
        <v>166</v>
      </c>
      <c r="I63" t="s">
        <v>252</v>
      </c>
      <c r="J63" t="s">
        <v>1903</v>
      </c>
      <c r="K63">
        <v>2.212244508902E-4</v>
      </c>
      <c r="L63" t="s">
        <v>254</v>
      </c>
      <c r="N63" t="s">
        <v>422</v>
      </c>
      <c r="O63" t="s">
        <v>1903</v>
      </c>
      <c r="P63">
        <v>2.4504109693209997E-4</v>
      </c>
      <c r="Q63" t="s">
        <v>254</v>
      </c>
      <c r="S63" t="s">
        <v>423</v>
      </c>
      <c r="T63" t="s">
        <v>1903</v>
      </c>
      <c r="U63">
        <v>2.0709219998290001E-4</v>
      </c>
      <c r="V63" t="s">
        <v>254</v>
      </c>
      <c r="X63">
        <v>1.1415525114155251E-4</v>
      </c>
      <c r="Y63">
        <v>1.4253868019126702E-4</v>
      </c>
      <c r="Z63" t="s">
        <v>1903</v>
      </c>
      <c r="AA63" t="s">
        <v>25</v>
      </c>
      <c r="AC63" t="s">
        <v>22</v>
      </c>
      <c r="AD63" t="s">
        <v>1903</v>
      </c>
      <c r="AE63">
        <v>1.5428346792689104E-4</v>
      </c>
      <c r="AG63" t="s">
        <v>97</v>
      </c>
      <c r="AH63" t="s">
        <v>1903</v>
      </c>
      <c r="AI63">
        <v>0</v>
      </c>
    </row>
    <row r="64" spans="5:35" x14ac:dyDescent="0.45">
      <c r="E64" t="s">
        <v>1294</v>
      </c>
      <c r="G64" t="s">
        <v>166</v>
      </c>
      <c r="I64" t="s">
        <v>252</v>
      </c>
      <c r="J64" t="s">
        <v>1904</v>
      </c>
      <c r="K64">
        <v>2.160955125248E-4</v>
      </c>
      <c r="L64" t="s">
        <v>254</v>
      </c>
      <c r="N64" t="s">
        <v>422</v>
      </c>
      <c r="O64" t="s">
        <v>1904</v>
      </c>
      <c r="P64">
        <v>2.4006564226539999E-4</v>
      </c>
      <c r="Q64" t="s">
        <v>254</v>
      </c>
      <c r="S64" t="s">
        <v>423</v>
      </c>
      <c r="T64" t="s">
        <v>1904</v>
      </c>
      <c r="U64">
        <v>2.086809871812E-4</v>
      </c>
      <c r="V64" t="s">
        <v>254</v>
      </c>
      <c r="X64">
        <v>1.1415525114155251E-4</v>
      </c>
      <c r="Y64">
        <v>1.4883690094390442E-4</v>
      </c>
      <c r="Z64" t="s">
        <v>1904</v>
      </c>
      <c r="AA64" t="s">
        <v>25</v>
      </c>
      <c r="AC64" t="s">
        <v>22</v>
      </c>
      <c r="AD64" t="s">
        <v>1904</v>
      </c>
      <c r="AE64">
        <v>1.5350099242018067E-4</v>
      </c>
      <c r="AG64" t="s">
        <v>97</v>
      </c>
      <c r="AH64" t="s">
        <v>1904</v>
      </c>
      <c r="AI64">
        <v>0</v>
      </c>
    </row>
    <row r="65" spans="5:35" x14ac:dyDescent="0.45">
      <c r="E65" t="s">
        <v>1295</v>
      </c>
      <c r="G65" t="s">
        <v>166</v>
      </c>
      <c r="I65" t="s">
        <v>252</v>
      </c>
      <c r="J65" t="s">
        <v>1905</v>
      </c>
      <c r="K65">
        <v>2.432832629526E-4</v>
      </c>
      <c r="L65" t="s">
        <v>254</v>
      </c>
      <c r="N65" t="s">
        <v>422</v>
      </c>
      <c r="O65" t="s">
        <v>1905</v>
      </c>
      <c r="P65">
        <v>2.403193112628E-4</v>
      </c>
      <c r="Q65" t="s">
        <v>254</v>
      </c>
      <c r="S65" t="s">
        <v>423</v>
      </c>
      <c r="T65" t="s">
        <v>1905</v>
      </c>
      <c r="U65">
        <v>2.083774171574E-4</v>
      </c>
      <c r="V65" t="s">
        <v>254</v>
      </c>
      <c r="X65">
        <v>1.1415525114155251E-4</v>
      </c>
      <c r="Y65">
        <v>1.5049432745775637E-4</v>
      </c>
      <c r="Z65" t="s">
        <v>1905</v>
      </c>
      <c r="AA65" t="s">
        <v>25</v>
      </c>
      <c r="AC65" t="s">
        <v>22</v>
      </c>
      <c r="AD65" t="s">
        <v>1905</v>
      </c>
      <c r="AE65">
        <v>1.5332966608374408E-4</v>
      </c>
      <c r="AG65" t="s">
        <v>97</v>
      </c>
      <c r="AH65" t="s">
        <v>1905</v>
      </c>
      <c r="AI65">
        <v>0</v>
      </c>
    </row>
    <row r="66" spans="5:35" x14ac:dyDescent="0.45">
      <c r="E66" t="s">
        <v>1296</v>
      </c>
      <c r="G66" t="s">
        <v>166</v>
      </c>
      <c r="I66" t="s">
        <v>252</v>
      </c>
      <c r="J66" t="s">
        <v>1906</v>
      </c>
      <c r="K66">
        <v>2.1018495199360001E-4</v>
      </c>
      <c r="L66" t="s">
        <v>254</v>
      </c>
      <c r="N66" t="s">
        <v>422</v>
      </c>
      <c r="O66" t="s">
        <v>1906</v>
      </c>
      <c r="P66">
        <v>2.4186474592759999E-4</v>
      </c>
      <c r="Q66" t="s">
        <v>254</v>
      </c>
      <c r="S66" t="s">
        <v>423</v>
      </c>
      <c r="T66" t="s">
        <v>1906</v>
      </c>
      <c r="U66">
        <v>2.0974442374669999E-4</v>
      </c>
      <c r="V66" t="s">
        <v>254</v>
      </c>
      <c r="X66">
        <v>1.1415525114155251E-4</v>
      </c>
      <c r="Y66">
        <v>1.7237235744060203E-4</v>
      </c>
      <c r="Z66" t="s">
        <v>1906</v>
      </c>
      <c r="AA66" t="s">
        <v>25</v>
      </c>
      <c r="AC66" t="s">
        <v>22</v>
      </c>
      <c r="AD66" t="s">
        <v>1906</v>
      </c>
      <c r="AE66">
        <v>1.5390245861153206E-4</v>
      </c>
      <c r="AG66" t="s">
        <v>97</v>
      </c>
      <c r="AH66" t="s">
        <v>1906</v>
      </c>
      <c r="AI66">
        <v>0</v>
      </c>
    </row>
    <row r="67" spans="5:35" x14ac:dyDescent="0.45">
      <c r="E67" t="s">
        <v>1297</v>
      </c>
      <c r="G67" t="s">
        <v>166</v>
      </c>
      <c r="I67" t="s">
        <v>252</v>
      </c>
      <c r="J67" t="s">
        <v>1907</v>
      </c>
      <c r="K67">
        <v>1.5947017858879999E-4</v>
      </c>
      <c r="L67" t="s">
        <v>254</v>
      </c>
      <c r="N67" t="s">
        <v>422</v>
      </c>
      <c r="O67" t="s">
        <v>1907</v>
      </c>
      <c r="P67">
        <v>2.407213351645E-4</v>
      </c>
      <c r="Q67" t="s">
        <v>254</v>
      </c>
      <c r="S67" t="s">
        <v>423</v>
      </c>
      <c r="T67" t="s">
        <v>1907</v>
      </c>
      <c r="U67">
        <v>2.097517661946E-4</v>
      </c>
      <c r="V67" t="s">
        <v>254</v>
      </c>
      <c r="X67">
        <v>1.1415525114155251E-4</v>
      </c>
      <c r="Y67">
        <v>2.2209515285616027E-4</v>
      </c>
      <c r="Z67" t="s">
        <v>1907</v>
      </c>
      <c r="AA67" t="s">
        <v>25</v>
      </c>
      <c r="AC67" t="s">
        <v>22</v>
      </c>
      <c r="AD67" t="s">
        <v>1907</v>
      </c>
      <c r="AE67">
        <v>1.5492018819215534E-4</v>
      </c>
      <c r="AG67" t="s">
        <v>97</v>
      </c>
      <c r="AH67" t="s">
        <v>1907</v>
      </c>
      <c r="AI67">
        <v>0</v>
      </c>
    </row>
    <row r="68" spans="5:35" x14ac:dyDescent="0.45">
      <c r="E68" t="s">
        <v>1298</v>
      </c>
      <c r="G68" t="s">
        <v>166</v>
      </c>
      <c r="I68" t="s">
        <v>252</v>
      </c>
      <c r="J68" t="s">
        <v>1908</v>
      </c>
      <c r="K68">
        <v>1.1388676746880001E-4</v>
      </c>
      <c r="L68" t="s">
        <v>254</v>
      </c>
      <c r="N68" t="s">
        <v>422</v>
      </c>
      <c r="O68" t="s">
        <v>1908</v>
      </c>
      <c r="P68">
        <v>2.4790117366519997E-4</v>
      </c>
      <c r="Q68" t="s">
        <v>254</v>
      </c>
      <c r="S68" t="s">
        <v>423</v>
      </c>
      <c r="T68" t="s">
        <v>1908</v>
      </c>
      <c r="U68">
        <v>2.1052235776590001E-4</v>
      </c>
      <c r="V68" t="s">
        <v>254</v>
      </c>
      <c r="X68">
        <v>1.1415525114155251E-4</v>
      </c>
      <c r="Y68">
        <v>2.2209515285616027E-4</v>
      </c>
      <c r="Z68" t="s">
        <v>1908</v>
      </c>
      <c r="AA68" t="s">
        <v>25</v>
      </c>
      <c r="AC68" t="s">
        <v>22</v>
      </c>
      <c r="AD68" t="s">
        <v>1908</v>
      </c>
      <c r="AE68">
        <v>1.5615015786120005E-4</v>
      </c>
      <c r="AG68" t="s">
        <v>97</v>
      </c>
      <c r="AH68" t="s">
        <v>1908</v>
      </c>
      <c r="AI68">
        <v>0</v>
      </c>
    </row>
    <row r="69" spans="5:35" x14ac:dyDescent="0.45">
      <c r="E69" t="s">
        <v>1299</v>
      </c>
      <c r="G69" t="s">
        <v>166</v>
      </c>
      <c r="I69" t="s">
        <v>252</v>
      </c>
      <c r="J69" t="s">
        <v>1909</v>
      </c>
      <c r="K69">
        <v>0</v>
      </c>
      <c r="L69" t="s">
        <v>254</v>
      </c>
      <c r="N69" t="s">
        <v>422</v>
      </c>
      <c r="O69" t="s">
        <v>1909</v>
      </c>
      <c r="P69">
        <v>2.4965364980190002E-4</v>
      </c>
      <c r="Q69" t="s">
        <v>254</v>
      </c>
      <c r="S69" t="s">
        <v>423</v>
      </c>
      <c r="T69" t="s">
        <v>1909</v>
      </c>
      <c r="U69">
        <v>2.1073668381670001E-4</v>
      </c>
      <c r="V69" t="s">
        <v>254</v>
      </c>
      <c r="X69">
        <v>1.1415525114155251E-4</v>
      </c>
      <c r="Y69">
        <v>1.7237235744060203E-4</v>
      </c>
      <c r="Z69" t="s">
        <v>1909</v>
      </c>
      <c r="AA69" t="s">
        <v>25</v>
      </c>
      <c r="AC69" t="s">
        <v>22</v>
      </c>
      <c r="AD69" t="s">
        <v>1909</v>
      </c>
      <c r="AE69">
        <v>1.56052987700236E-4</v>
      </c>
      <c r="AG69" t="s">
        <v>97</v>
      </c>
      <c r="AH69" t="s">
        <v>1909</v>
      </c>
      <c r="AI69">
        <v>0</v>
      </c>
    </row>
    <row r="70" spans="5:35" x14ac:dyDescent="0.45">
      <c r="E70" t="s">
        <v>1300</v>
      </c>
      <c r="G70" t="s">
        <v>166</v>
      </c>
      <c r="I70" t="s">
        <v>252</v>
      </c>
      <c r="J70" t="s">
        <v>1910</v>
      </c>
      <c r="K70">
        <v>0</v>
      </c>
      <c r="L70" t="s">
        <v>254</v>
      </c>
      <c r="N70" t="s">
        <v>422</v>
      </c>
      <c r="O70" t="s">
        <v>1910</v>
      </c>
      <c r="P70">
        <v>2.4920867381750001E-4</v>
      </c>
      <c r="Q70" t="s">
        <v>254</v>
      </c>
      <c r="S70" t="s">
        <v>423</v>
      </c>
      <c r="T70" t="s">
        <v>1910</v>
      </c>
      <c r="U70">
        <v>2.110049155758E-4</v>
      </c>
      <c r="V70" t="s">
        <v>254</v>
      </c>
      <c r="X70">
        <v>1.1415525114155251E-4</v>
      </c>
      <c r="Y70">
        <v>1.5579809230208258E-4</v>
      </c>
      <c r="Z70" t="s">
        <v>1910</v>
      </c>
      <c r="AA70" t="s">
        <v>25</v>
      </c>
      <c r="AC70" t="s">
        <v>22</v>
      </c>
      <c r="AD70" t="s">
        <v>1910</v>
      </c>
      <c r="AE70">
        <v>1.5030204843686479E-4</v>
      </c>
      <c r="AG70" t="s">
        <v>97</v>
      </c>
      <c r="AH70" t="s">
        <v>1910</v>
      </c>
      <c r="AI70">
        <v>0</v>
      </c>
    </row>
    <row r="71" spans="5:35" x14ac:dyDescent="0.45">
      <c r="E71" t="s">
        <v>1301</v>
      </c>
      <c r="G71" t="s">
        <v>166</v>
      </c>
      <c r="I71" t="s">
        <v>252</v>
      </c>
      <c r="J71" t="s">
        <v>1911</v>
      </c>
      <c r="K71">
        <v>0</v>
      </c>
      <c r="L71" t="s">
        <v>254</v>
      </c>
      <c r="N71" t="s">
        <v>422</v>
      </c>
      <c r="O71" t="s">
        <v>1911</v>
      </c>
      <c r="P71">
        <v>2.5142737776599999E-4</v>
      </c>
      <c r="Q71" t="s">
        <v>254</v>
      </c>
      <c r="S71" t="s">
        <v>423</v>
      </c>
      <c r="T71" t="s">
        <v>1911</v>
      </c>
      <c r="U71">
        <v>2.1110346346529999E-4</v>
      </c>
      <c r="V71" t="s">
        <v>254</v>
      </c>
      <c r="X71">
        <v>1.1415525114155251E-4</v>
      </c>
      <c r="Y71">
        <v>1.093901499142282E-4</v>
      </c>
      <c r="Z71" t="s">
        <v>1911</v>
      </c>
      <c r="AA71" t="s">
        <v>25</v>
      </c>
      <c r="AC71" t="s">
        <v>22</v>
      </c>
      <c r="AD71" t="s">
        <v>1911</v>
      </c>
      <c r="AE71">
        <v>1.3299297423777193E-4</v>
      </c>
      <c r="AG71" t="s">
        <v>97</v>
      </c>
      <c r="AH71" t="s">
        <v>1911</v>
      </c>
      <c r="AI71">
        <v>0</v>
      </c>
    </row>
    <row r="72" spans="5:35" x14ac:dyDescent="0.45">
      <c r="E72" t="s">
        <v>1302</v>
      </c>
      <c r="G72" t="s">
        <v>166</v>
      </c>
      <c r="I72" t="s">
        <v>252</v>
      </c>
      <c r="J72" t="s">
        <v>1912</v>
      </c>
      <c r="K72">
        <v>0</v>
      </c>
      <c r="L72" t="s">
        <v>254</v>
      </c>
      <c r="N72" t="s">
        <v>422</v>
      </c>
      <c r="O72" t="s">
        <v>1912</v>
      </c>
      <c r="P72">
        <v>2.5064620888540001E-4</v>
      </c>
      <c r="Q72" t="s">
        <v>254</v>
      </c>
      <c r="S72" t="s">
        <v>423</v>
      </c>
      <c r="T72" t="s">
        <v>1912</v>
      </c>
      <c r="U72">
        <v>2.1107867973570001E-4</v>
      </c>
      <c r="V72" t="s">
        <v>254</v>
      </c>
      <c r="X72">
        <v>1.1415525114155251E-4</v>
      </c>
      <c r="Y72">
        <v>7.9556472664893237E-5</v>
      </c>
      <c r="Z72" t="s">
        <v>1912</v>
      </c>
      <c r="AA72" t="s">
        <v>25</v>
      </c>
      <c r="AC72" t="s">
        <v>22</v>
      </c>
      <c r="AD72" t="s">
        <v>1912</v>
      </c>
      <c r="AE72">
        <v>1.2444711429193529E-4</v>
      </c>
      <c r="AG72" t="s">
        <v>97</v>
      </c>
      <c r="AH72" t="s">
        <v>1912</v>
      </c>
      <c r="AI72">
        <v>0</v>
      </c>
    </row>
    <row r="73" spans="5:35" x14ac:dyDescent="0.45">
      <c r="E73" t="s">
        <v>1303</v>
      </c>
      <c r="G73" t="s">
        <v>166</v>
      </c>
      <c r="I73" t="s">
        <v>252</v>
      </c>
      <c r="J73" t="s">
        <v>1913</v>
      </c>
      <c r="K73">
        <v>0</v>
      </c>
      <c r="L73" t="s">
        <v>254</v>
      </c>
      <c r="N73" t="s">
        <v>422</v>
      </c>
      <c r="O73" t="s">
        <v>1913</v>
      </c>
      <c r="P73">
        <v>2.4780908224909999E-4</v>
      </c>
      <c r="Q73" t="s">
        <v>254</v>
      </c>
      <c r="S73" t="s">
        <v>423</v>
      </c>
      <c r="T73" t="s">
        <v>1913</v>
      </c>
      <c r="U73">
        <v>2.0924722221659999E-4</v>
      </c>
      <c r="V73" t="s">
        <v>254</v>
      </c>
      <c r="X73">
        <v>1.1415525114155251E-4</v>
      </c>
      <c r="Y73">
        <v>5.6352501470966035E-5</v>
      </c>
      <c r="Z73" t="s">
        <v>1913</v>
      </c>
      <c r="AA73" t="s">
        <v>25</v>
      </c>
      <c r="AC73" t="s">
        <v>22</v>
      </c>
      <c r="AD73" t="s">
        <v>1913</v>
      </c>
      <c r="AE73">
        <v>1.1744063426452884E-4</v>
      </c>
      <c r="AG73" t="s">
        <v>97</v>
      </c>
      <c r="AH73" t="s">
        <v>1913</v>
      </c>
      <c r="AI73">
        <v>0</v>
      </c>
    </row>
    <row r="74" spans="5:35" x14ac:dyDescent="0.45">
      <c r="E74" t="s">
        <v>1304</v>
      </c>
      <c r="G74" t="s">
        <v>166</v>
      </c>
      <c r="I74" t="s">
        <v>252</v>
      </c>
      <c r="J74" t="s">
        <v>1914</v>
      </c>
      <c r="K74">
        <v>0</v>
      </c>
      <c r="L74" t="s">
        <v>254</v>
      </c>
      <c r="N74" t="s">
        <v>422</v>
      </c>
      <c r="O74" t="s">
        <v>1914</v>
      </c>
      <c r="P74">
        <v>2.4442462880590001E-4</v>
      </c>
      <c r="Q74" t="s">
        <v>254</v>
      </c>
      <c r="S74" t="s">
        <v>423</v>
      </c>
      <c r="T74" t="s">
        <v>1914</v>
      </c>
      <c r="U74">
        <v>2.064752203105E-4</v>
      </c>
      <c r="V74" t="s">
        <v>254</v>
      </c>
      <c r="X74">
        <v>1.1415525114155251E-4</v>
      </c>
      <c r="Y74">
        <v>2.9833677249334962E-5</v>
      </c>
      <c r="Z74" t="s">
        <v>1914</v>
      </c>
      <c r="AA74" t="s">
        <v>25</v>
      </c>
      <c r="AC74" t="s">
        <v>22</v>
      </c>
      <c r="AD74" t="s">
        <v>1914</v>
      </c>
      <c r="AE74">
        <v>1.0220026165017024E-4</v>
      </c>
      <c r="AG74" t="s">
        <v>97</v>
      </c>
      <c r="AH74" t="s">
        <v>1914</v>
      </c>
      <c r="AI74">
        <v>0</v>
      </c>
    </row>
    <row r="75" spans="5:35" x14ac:dyDescent="0.45">
      <c r="E75" t="s">
        <v>1305</v>
      </c>
      <c r="G75" t="s">
        <v>166</v>
      </c>
      <c r="I75" t="s">
        <v>252</v>
      </c>
      <c r="J75" t="s">
        <v>294</v>
      </c>
      <c r="K75">
        <v>1.6104140391799037E-5</v>
      </c>
      <c r="L75" t="s">
        <v>254</v>
      </c>
      <c r="N75" t="s">
        <v>422</v>
      </c>
      <c r="O75" t="s">
        <v>294</v>
      </c>
      <c r="P75">
        <v>2.422069263148147E-2</v>
      </c>
      <c r="Q75" t="s">
        <v>254</v>
      </c>
      <c r="S75" t="s">
        <v>423</v>
      </c>
      <c r="T75" t="s">
        <v>294</v>
      </c>
      <c r="U75">
        <v>2.5901969336789985E-2</v>
      </c>
      <c r="V75" t="s">
        <v>254</v>
      </c>
      <c r="X75">
        <v>2.4771689497716895E-2</v>
      </c>
      <c r="Y75">
        <v>9.7827942553597048E-3</v>
      </c>
      <c r="Z75" t="s">
        <v>294</v>
      </c>
      <c r="AA75" t="s">
        <v>25</v>
      </c>
      <c r="AC75" t="s">
        <v>22</v>
      </c>
      <c r="AD75" t="s">
        <v>294</v>
      </c>
      <c r="AE75">
        <v>2.1673230553283358E-2</v>
      </c>
      <c r="AG75" t="s">
        <v>97</v>
      </c>
      <c r="AH75" t="s">
        <v>294</v>
      </c>
      <c r="AI75">
        <v>0.29189958109755287</v>
      </c>
    </row>
    <row r="76" spans="5:35" x14ac:dyDescent="0.45">
      <c r="E76" t="s">
        <v>1306</v>
      </c>
      <c r="G76" t="s">
        <v>166</v>
      </c>
      <c r="I76" t="s">
        <v>252</v>
      </c>
      <c r="J76" t="s">
        <v>295</v>
      </c>
      <c r="K76">
        <v>2.4930351960390073E-3</v>
      </c>
      <c r="L76" t="s">
        <v>254</v>
      </c>
      <c r="N76" t="s">
        <v>422</v>
      </c>
      <c r="O76" t="s">
        <v>295</v>
      </c>
      <c r="P76">
        <v>3.5730988300244175E-3</v>
      </c>
      <c r="Q76" t="s">
        <v>254</v>
      </c>
      <c r="S76" t="s">
        <v>423</v>
      </c>
      <c r="T76" t="s">
        <v>295</v>
      </c>
      <c r="U76">
        <v>3.8899664386824219E-3</v>
      </c>
      <c r="V76" t="s">
        <v>254</v>
      </c>
      <c r="X76">
        <v>3.5388127853881279E-3</v>
      </c>
      <c r="Y76">
        <v>5.9087255218821738E-3</v>
      </c>
      <c r="Z76" t="s">
        <v>295</v>
      </c>
      <c r="AA76" t="s">
        <v>25</v>
      </c>
      <c r="AC76" t="s">
        <v>22</v>
      </c>
      <c r="AD76" t="s">
        <v>295</v>
      </c>
      <c r="AE76">
        <v>4.1395725431968974E-3</v>
      </c>
      <c r="AG76" t="s">
        <v>97</v>
      </c>
      <c r="AH76" t="s">
        <v>295</v>
      </c>
      <c r="AI76">
        <v>7.1225832716647064E-2</v>
      </c>
    </row>
    <row r="77" spans="5:35" x14ac:dyDescent="0.45">
      <c r="E77" t="s">
        <v>1307</v>
      </c>
      <c r="G77" t="s">
        <v>166</v>
      </c>
      <c r="I77" t="s">
        <v>252</v>
      </c>
      <c r="J77" t="s">
        <v>296</v>
      </c>
      <c r="K77">
        <v>1.2217569584091117E-2</v>
      </c>
      <c r="L77" t="s">
        <v>254</v>
      </c>
      <c r="N77" t="s">
        <v>422</v>
      </c>
      <c r="O77" t="s">
        <v>296</v>
      </c>
      <c r="P77">
        <v>6.9748728034219332E-3</v>
      </c>
      <c r="Q77" t="s">
        <v>254</v>
      </c>
      <c r="S77" t="s">
        <v>423</v>
      </c>
      <c r="T77" t="s">
        <v>296</v>
      </c>
      <c r="U77">
        <v>7.7357545072605522E-3</v>
      </c>
      <c r="V77" t="s">
        <v>254</v>
      </c>
      <c r="X77">
        <v>7.0776255707762558E-3</v>
      </c>
      <c r="Y77">
        <v>9.0018148820326695E-3</v>
      </c>
      <c r="Z77" t="s">
        <v>296</v>
      </c>
      <c r="AA77" t="s">
        <v>25</v>
      </c>
      <c r="AC77" t="s">
        <v>22</v>
      </c>
      <c r="AD77" t="s">
        <v>296</v>
      </c>
      <c r="AE77">
        <v>8.58529246405847E-3</v>
      </c>
      <c r="AG77" t="s">
        <v>97</v>
      </c>
      <c r="AH77" t="s">
        <v>296</v>
      </c>
      <c r="AI77">
        <v>7.2679836004472698E-2</v>
      </c>
    </row>
    <row r="78" spans="5:35" x14ac:dyDescent="0.45">
      <c r="E78" t="s">
        <v>1308</v>
      </c>
      <c r="G78" t="s">
        <v>166</v>
      </c>
      <c r="I78" t="s">
        <v>252</v>
      </c>
      <c r="J78" t="s">
        <v>297</v>
      </c>
      <c r="K78">
        <v>2.6485135909388655E-2</v>
      </c>
      <c r="L78" t="s">
        <v>254</v>
      </c>
      <c r="N78" t="s">
        <v>422</v>
      </c>
      <c r="O78" t="s">
        <v>297</v>
      </c>
      <c r="P78">
        <v>9.9778372938310565E-3</v>
      </c>
      <c r="Q78" t="s">
        <v>254</v>
      </c>
      <c r="S78" t="s">
        <v>423</v>
      </c>
      <c r="T78" t="s">
        <v>297</v>
      </c>
      <c r="U78">
        <v>1.1131790036312329E-2</v>
      </c>
      <c r="V78" t="s">
        <v>254</v>
      </c>
      <c r="X78">
        <v>1.0616438356164383E-2</v>
      </c>
      <c r="Y78">
        <v>1.3143060769543132E-2</v>
      </c>
      <c r="Z78" t="s">
        <v>297</v>
      </c>
      <c r="AA78" t="s">
        <v>25</v>
      </c>
      <c r="AC78" t="s">
        <v>22</v>
      </c>
      <c r="AD78" t="s">
        <v>297</v>
      </c>
      <c r="AE78">
        <v>1.2798481632623615E-2</v>
      </c>
      <c r="AG78" t="s">
        <v>97</v>
      </c>
      <c r="AH78" t="s">
        <v>297</v>
      </c>
      <c r="AI78">
        <v>7.8130437900502558E-2</v>
      </c>
    </row>
    <row r="79" spans="5:35" x14ac:dyDescent="0.45">
      <c r="E79" t="s">
        <v>1309</v>
      </c>
      <c r="G79" t="s">
        <v>166</v>
      </c>
      <c r="I79" t="s">
        <v>252</v>
      </c>
      <c r="J79" t="s">
        <v>298</v>
      </c>
      <c r="K79">
        <v>8.7555444167293581E-3</v>
      </c>
      <c r="L79" t="s">
        <v>254</v>
      </c>
      <c r="N79" t="s">
        <v>422</v>
      </c>
      <c r="O79" t="s">
        <v>298</v>
      </c>
      <c r="P79">
        <v>3.3727831130503645E-3</v>
      </c>
      <c r="Q79" t="s">
        <v>254</v>
      </c>
      <c r="S79" t="s">
        <v>423</v>
      </c>
      <c r="T79" t="s">
        <v>298</v>
      </c>
      <c r="U79">
        <v>3.7073872357237798E-3</v>
      </c>
      <c r="V79" t="s">
        <v>254</v>
      </c>
      <c r="X79">
        <v>3.5388127853881279E-3</v>
      </c>
      <c r="Y79">
        <v>4.6139439292610376E-3</v>
      </c>
      <c r="Z79" t="s">
        <v>298</v>
      </c>
      <c r="AA79" t="s">
        <v>25</v>
      </c>
      <c r="AC79" t="s">
        <v>22</v>
      </c>
      <c r="AD79" t="s">
        <v>298</v>
      </c>
      <c r="AE79">
        <v>4.2169915903902391E-3</v>
      </c>
      <c r="AG79" t="s">
        <v>97</v>
      </c>
      <c r="AH79" t="s">
        <v>298</v>
      </c>
      <c r="AI79">
        <v>8.3300670632449947E-2</v>
      </c>
    </row>
    <row r="80" spans="5:35" x14ac:dyDescent="0.45">
      <c r="E80" t="s">
        <v>1310</v>
      </c>
      <c r="G80" t="s">
        <v>166</v>
      </c>
      <c r="I80" t="s">
        <v>252</v>
      </c>
      <c r="J80" t="s">
        <v>299</v>
      </c>
      <c r="K80">
        <v>1.7586171126462422E-2</v>
      </c>
      <c r="L80" t="s">
        <v>254</v>
      </c>
      <c r="N80" t="s">
        <v>422</v>
      </c>
      <c r="O80" t="s">
        <v>299</v>
      </c>
      <c r="P80">
        <v>6.8659250177975891E-3</v>
      </c>
      <c r="Q80" t="s">
        <v>254</v>
      </c>
      <c r="S80" t="s">
        <v>423</v>
      </c>
      <c r="T80" t="s">
        <v>299</v>
      </c>
      <c r="U80">
        <v>7.5891430150184756E-3</v>
      </c>
      <c r="V80" t="s">
        <v>254</v>
      </c>
      <c r="X80">
        <v>7.0776255707762558E-3</v>
      </c>
      <c r="Y80">
        <v>1.0008867231849112E-2</v>
      </c>
      <c r="Z80" t="s">
        <v>299</v>
      </c>
      <c r="AA80" t="s">
        <v>25</v>
      </c>
      <c r="AC80" t="s">
        <v>22</v>
      </c>
      <c r="AD80" t="s">
        <v>299</v>
      </c>
      <c r="AE80">
        <v>8.4096292699114943E-3</v>
      </c>
      <c r="AG80" t="s">
        <v>97</v>
      </c>
      <c r="AH80" t="s">
        <v>299</v>
      </c>
      <c r="AI80">
        <v>8.7356154406409425E-2</v>
      </c>
    </row>
    <row r="81" spans="5:35" x14ac:dyDescent="0.45">
      <c r="E81" t="s">
        <v>1311</v>
      </c>
      <c r="G81" t="s">
        <v>166</v>
      </c>
      <c r="I81" t="s">
        <v>252</v>
      </c>
      <c r="J81" t="s">
        <v>300</v>
      </c>
      <c r="K81">
        <v>1.277606612294124E-2</v>
      </c>
      <c r="L81" t="s">
        <v>254</v>
      </c>
      <c r="N81" t="s">
        <v>422</v>
      </c>
      <c r="O81" t="s">
        <v>300</v>
      </c>
      <c r="P81">
        <v>7.0954673722035053E-3</v>
      </c>
      <c r="Q81" t="s">
        <v>254</v>
      </c>
      <c r="S81" t="s">
        <v>423</v>
      </c>
      <c r="T81" t="s">
        <v>300</v>
      </c>
      <c r="U81">
        <v>7.9151255246372714E-3</v>
      </c>
      <c r="V81" t="s">
        <v>254</v>
      </c>
      <c r="X81">
        <v>7.0776255707762558E-3</v>
      </c>
      <c r="Y81">
        <v>1.376989947708193E-2</v>
      </c>
      <c r="Z81" t="s">
        <v>300</v>
      </c>
      <c r="AA81" t="s">
        <v>25</v>
      </c>
      <c r="AC81" t="s">
        <v>22</v>
      </c>
      <c r="AD81" t="s">
        <v>300</v>
      </c>
      <c r="AE81">
        <v>8.5437061922753639E-3</v>
      </c>
      <c r="AG81" t="s">
        <v>97</v>
      </c>
      <c r="AH81" t="s">
        <v>300</v>
      </c>
      <c r="AI81">
        <v>7.7419278474670117E-2</v>
      </c>
    </row>
    <row r="82" spans="5:35" x14ac:dyDescent="0.45">
      <c r="E82" t="s">
        <v>1312</v>
      </c>
      <c r="G82" t="s">
        <v>166</v>
      </c>
      <c r="I82" t="s">
        <v>252</v>
      </c>
      <c r="J82" t="s">
        <v>301</v>
      </c>
      <c r="K82">
        <v>3.0355034137326403E-3</v>
      </c>
      <c r="L82" t="s">
        <v>254</v>
      </c>
      <c r="N82" t="s">
        <v>422</v>
      </c>
      <c r="O82" t="s">
        <v>301</v>
      </c>
      <c r="P82">
        <v>2.2133431122873554E-2</v>
      </c>
      <c r="Q82" t="s">
        <v>254</v>
      </c>
      <c r="S82" t="s">
        <v>423</v>
      </c>
      <c r="T82" t="s">
        <v>301</v>
      </c>
      <c r="U82">
        <v>2.3731888608555678E-2</v>
      </c>
      <c r="V82" t="s">
        <v>254</v>
      </c>
      <c r="X82">
        <v>2.1232876712328767E-2</v>
      </c>
      <c r="Y82">
        <v>1.8702400782305319E-2</v>
      </c>
      <c r="Z82" t="s">
        <v>301</v>
      </c>
      <c r="AA82" t="s">
        <v>25</v>
      </c>
      <c r="AC82" t="s">
        <v>22</v>
      </c>
      <c r="AD82" t="s">
        <v>301</v>
      </c>
      <c r="AE82">
        <v>2.220997456358997E-2</v>
      </c>
      <c r="AG82" t="s">
        <v>97</v>
      </c>
      <c r="AH82" t="s">
        <v>301</v>
      </c>
      <c r="AI82">
        <v>0.19728339884766566</v>
      </c>
    </row>
    <row r="83" spans="5:35" x14ac:dyDescent="0.45">
      <c r="E83" t="s">
        <v>1313</v>
      </c>
      <c r="G83" t="s">
        <v>166</v>
      </c>
      <c r="I83" t="s">
        <v>252</v>
      </c>
      <c r="J83" t="s">
        <v>302</v>
      </c>
      <c r="K83">
        <v>2.4944652964232262E-3</v>
      </c>
      <c r="L83" t="s">
        <v>254</v>
      </c>
      <c r="N83" t="s">
        <v>422</v>
      </c>
      <c r="O83" t="s">
        <v>302</v>
      </c>
      <c r="P83">
        <v>2.7681132667217855E-2</v>
      </c>
      <c r="Q83" t="s">
        <v>254</v>
      </c>
      <c r="S83" t="s">
        <v>423</v>
      </c>
      <c r="T83" t="s">
        <v>302</v>
      </c>
      <c r="U83">
        <v>2.7873206943640528E-2</v>
      </c>
      <c r="V83" t="s">
        <v>254</v>
      </c>
      <c r="X83">
        <v>2.3972602739726026E-2</v>
      </c>
      <c r="Y83">
        <v>9.4672202471222967E-3</v>
      </c>
      <c r="Z83" t="s">
        <v>302</v>
      </c>
      <c r="AA83" t="s">
        <v>25</v>
      </c>
      <c r="AC83" t="s">
        <v>22</v>
      </c>
      <c r="AD83" t="s">
        <v>302</v>
      </c>
      <c r="AE83">
        <v>1.9928596464069401E-2</v>
      </c>
      <c r="AG83" t="s">
        <v>97</v>
      </c>
      <c r="AH83" t="s">
        <v>302</v>
      </c>
      <c r="AI83">
        <v>0.27785577591947086</v>
      </c>
    </row>
    <row r="84" spans="5:35" x14ac:dyDescent="0.45">
      <c r="E84" t="s">
        <v>1314</v>
      </c>
      <c r="G84" t="s">
        <v>166</v>
      </c>
      <c r="I84" t="s">
        <v>252</v>
      </c>
      <c r="J84" t="s">
        <v>303</v>
      </c>
      <c r="K84">
        <v>5.1159918965719819E-3</v>
      </c>
      <c r="L84" t="s">
        <v>254</v>
      </c>
      <c r="N84" t="s">
        <v>422</v>
      </c>
      <c r="O84" t="s">
        <v>303</v>
      </c>
      <c r="P84">
        <v>3.71907315514738E-3</v>
      </c>
      <c r="Q84" t="s">
        <v>254</v>
      </c>
      <c r="S84" t="s">
        <v>423</v>
      </c>
      <c r="T84" t="s">
        <v>303</v>
      </c>
      <c r="U84">
        <v>3.7231555410848502E-3</v>
      </c>
      <c r="V84" t="s">
        <v>254</v>
      </c>
      <c r="X84">
        <v>3.4246575342465752E-3</v>
      </c>
      <c r="Y84">
        <v>5.7181214727892006E-3</v>
      </c>
      <c r="Z84" t="s">
        <v>303</v>
      </c>
      <c r="AA84" t="s">
        <v>25</v>
      </c>
      <c r="AC84" t="s">
        <v>22</v>
      </c>
      <c r="AD84" t="s">
        <v>303</v>
      </c>
      <c r="AE84">
        <v>3.7946926128766649E-3</v>
      </c>
      <c r="AG84" t="s">
        <v>97</v>
      </c>
      <c r="AH84" t="s">
        <v>303</v>
      </c>
      <c r="AI84">
        <v>7.4794780557807972E-2</v>
      </c>
    </row>
    <row r="85" spans="5:35" x14ac:dyDescent="0.45">
      <c r="E85" t="s">
        <v>1315</v>
      </c>
      <c r="G85" t="s">
        <v>166</v>
      </c>
      <c r="I85" t="s">
        <v>252</v>
      </c>
      <c r="J85" t="s">
        <v>304</v>
      </c>
      <c r="K85">
        <v>1.5772344864832602E-2</v>
      </c>
      <c r="L85" t="s">
        <v>254</v>
      </c>
      <c r="N85" t="s">
        <v>422</v>
      </c>
      <c r="O85" t="s">
        <v>304</v>
      </c>
      <c r="P85">
        <v>7.3237708627581222E-3</v>
      </c>
      <c r="Q85" t="s">
        <v>254</v>
      </c>
      <c r="S85" t="s">
        <v>423</v>
      </c>
      <c r="T85" t="s">
        <v>304</v>
      </c>
      <c r="U85">
        <v>7.2380689982444726E-3</v>
      </c>
      <c r="V85" t="s">
        <v>254</v>
      </c>
      <c r="X85">
        <v>6.8493150684931503E-3</v>
      </c>
      <c r="Y85">
        <v>8.7114337568058101E-3</v>
      </c>
      <c r="Z85" t="s">
        <v>304</v>
      </c>
      <c r="AA85" t="s">
        <v>25</v>
      </c>
      <c r="AC85" t="s">
        <v>22</v>
      </c>
      <c r="AD85" t="s">
        <v>304</v>
      </c>
      <c r="AE85">
        <v>7.7785013729748257E-3</v>
      </c>
      <c r="AG85" t="s">
        <v>97</v>
      </c>
      <c r="AH85" t="s">
        <v>304</v>
      </c>
      <c r="AI85">
        <v>7.330637502080628E-2</v>
      </c>
    </row>
    <row r="86" spans="5:35" x14ac:dyDescent="0.45">
      <c r="E86" t="s">
        <v>1316</v>
      </c>
      <c r="G86" t="s">
        <v>166</v>
      </c>
      <c r="I86" t="s">
        <v>252</v>
      </c>
      <c r="J86" t="s">
        <v>305</v>
      </c>
      <c r="K86">
        <v>2.82518210893829E-2</v>
      </c>
      <c r="L86" t="s">
        <v>254</v>
      </c>
      <c r="N86" t="s">
        <v>422</v>
      </c>
      <c r="O86" t="s">
        <v>305</v>
      </c>
      <c r="P86">
        <v>1.0732055062834039E-2</v>
      </c>
      <c r="Q86" t="s">
        <v>254</v>
      </c>
      <c r="S86" t="s">
        <v>423</v>
      </c>
      <c r="T86" t="s">
        <v>305</v>
      </c>
      <c r="U86">
        <v>1.0485600995887521E-2</v>
      </c>
      <c r="V86" t="s">
        <v>254</v>
      </c>
      <c r="X86">
        <v>1.0273972602739725E-2</v>
      </c>
      <c r="Y86">
        <v>1.2719091067299805E-2</v>
      </c>
      <c r="Z86" t="s">
        <v>305</v>
      </c>
      <c r="AA86" t="s">
        <v>25</v>
      </c>
      <c r="AC86" t="s">
        <v>22</v>
      </c>
      <c r="AD86" t="s">
        <v>305</v>
      </c>
      <c r="AE86">
        <v>1.1520369217820046E-2</v>
      </c>
      <c r="AG86" t="s">
        <v>97</v>
      </c>
      <c r="AH86" t="s">
        <v>305</v>
      </c>
      <c r="AI86">
        <v>6.9585259375130937E-2</v>
      </c>
    </row>
    <row r="87" spans="5:35" x14ac:dyDescent="0.45">
      <c r="E87" t="s">
        <v>1317</v>
      </c>
      <c r="G87" t="s">
        <v>166</v>
      </c>
      <c r="I87" t="s">
        <v>252</v>
      </c>
      <c r="J87" t="s">
        <v>306</v>
      </c>
      <c r="K87">
        <v>9.1413712135646995E-3</v>
      </c>
      <c r="L87" t="s">
        <v>254</v>
      </c>
      <c r="N87" t="s">
        <v>422</v>
      </c>
      <c r="O87" t="s">
        <v>306</v>
      </c>
      <c r="P87">
        <v>3.7518861291754814E-3</v>
      </c>
      <c r="Q87" t="s">
        <v>254</v>
      </c>
      <c r="S87" t="s">
        <v>423</v>
      </c>
      <c r="T87" t="s">
        <v>306</v>
      </c>
      <c r="U87">
        <v>3.5812458448567083E-3</v>
      </c>
      <c r="V87" t="s">
        <v>254</v>
      </c>
      <c r="X87">
        <v>3.4246575342465752E-3</v>
      </c>
      <c r="Y87">
        <v>4.4651070283171336E-3</v>
      </c>
      <c r="Z87" t="s">
        <v>306</v>
      </c>
      <c r="AA87" t="s">
        <v>25</v>
      </c>
      <c r="AC87" t="s">
        <v>22</v>
      </c>
      <c r="AD87" t="s">
        <v>306</v>
      </c>
      <c r="AE87">
        <v>3.799901444926237E-3</v>
      </c>
      <c r="AG87" t="s">
        <v>97</v>
      </c>
      <c r="AH87" t="s">
        <v>306</v>
      </c>
      <c r="AI87">
        <v>7.5531060198747779E-2</v>
      </c>
    </row>
    <row r="88" spans="5:35" x14ac:dyDescent="0.45">
      <c r="E88" t="s">
        <v>1318</v>
      </c>
      <c r="G88" t="s">
        <v>166</v>
      </c>
      <c r="I88" t="s">
        <v>252</v>
      </c>
      <c r="J88" t="s">
        <v>307</v>
      </c>
      <c r="K88">
        <v>1.7140077917634298E-2</v>
      </c>
      <c r="L88" t="s">
        <v>254</v>
      </c>
      <c r="N88" t="s">
        <v>422</v>
      </c>
      <c r="O88" t="s">
        <v>307</v>
      </c>
      <c r="P88">
        <v>7.8351823959872668E-3</v>
      </c>
      <c r="Q88" t="s">
        <v>254</v>
      </c>
      <c r="S88" t="s">
        <v>423</v>
      </c>
      <c r="T88" t="s">
        <v>307</v>
      </c>
      <c r="U88">
        <v>7.4052957927088084E-3</v>
      </c>
      <c r="V88" t="s">
        <v>254</v>
      </c>
      <c r="X88">
        <v>6.8493150684931503E-3</v>
      </c>
      <c r="Y88">
        <v>9.6860005469507522E-3</v>
      </c>
      <c r="Z88" t="s">
        <v>307</v>
      </c>
      <c r="AA88" t="s">
        <v>25</v>
      </c>
      <c r="AC88" t="s">
        <v>22</v>
      </c>
      <c r="AD88" t="s">
        <v>307</v>
      </c>
      <c r="AE88">
        <v>7.5712502051860425E-3</v>
      </c>
      <c r="AG88" t="s">
        <v>97</v>
      </c>
      <c r="AH88" t="s">
        <v>307</v>
      </c>
      <c r="AI88">
        <v>7.7040330198470786E-2</v>
      </c>
    </row>
    <row r="89" spans="5:35" x14ac:dyDescent="0.45">
      <c r="E89" t="s">
        <v>1319</v>
      </c>
      <c r="G89" t="s">
        <v>166</v>
      </c>
      <c r="I89" t="s">
        <v>252</v>
      </c>
      <c r="J89" t="s">
        <v>308</v>
      </c>
      <c r="K89">
        <v>1.2811795978889037E-2</v>
      </c>
      <c r="L89" t="s">
        <v>254</v>
      </c>
      <c r="N89" t="s">
        <v>422</v>
      </c>
      <c r="O89" t="s">
        <v>308</v>
      </c>
      <c r="P89">
        <v>7.8732075451391336E-3</v>
      </c>
      <c r="Q89" t="s">
        <v>254</v>
      </c>
      <c r="S89" t="s">
        <v>423</v>
      </c>
      <c r="T89" t="s">
        <v>308</v>
      </c>
      <c r="U89">
        <v>7.6548170311039939E-3</v>
      </c>
      <c r="V89" t="s">
        <v>254</v>
      </c>
      <c r="X89">
        <v>6.8493150684931503E-3</v>
      </c>
      <c r="Y89">
        <v>1.3325709171369611E-2</v>
      </c>
      <c r="Z89" t="s">
        <v>308</v>
      </c>
      <c r="AA89" t="s">
        <v>25</v>
      </c>
      <c r="AC89" t="s">
        <v>22</v>
      </c>
      <c r="AD89" t="s">
        <v>308</v>
      </c>
      <c r="AE89">
        <v>7.5876233773084813E-3</v>
      </c>
      <c r="AG89" t="s">
        <v>97</v>
      </c>
      <c r="AH89" t="s">
        <v>308</v>
      </c>
      <c r="AI89">
        <v>7.4017133247418876E-2</v>
      </c>
    </row>
    <row r="90" spans="5:35" x14ac:dyDescent="0.45">
      <c r="E90" t="s">
        <v>1320</v>
      </c>
      <c r="G90" t="s">
        <v>166</v>
      </c>
      <c r="I90" t="s">
        <v>252</v>
      </c>
      <c r="J90" t="s">
        <v>309</v>
      </c>
      <c r="K90">
        <v>4.9040794776632072E-3</v>
      </c>
      <c r="L90" t="s">
        <v>254</v>
      </c>
      <c r="N90" t="s">
        <v>422</v>
      </c>
      <c r="O90" t="s">
        <v>309</v>
      </c>
      <c r="P90">
        <v>2.3314738567736269E-2</v>
      </c>
      <c r="Q90" t="s">
        <v>254</v>
      </c>
      <c r="S90" t="s">
        <v>423</v>
      </c>
      <c r="T90" t="s">
        <v>309</v>
      </c>
      <c r="U90">
        <v>2.3608513409972137E-2</v>
      </c>
      <c r="V90" t="s">
        <v>254</v>
      </c>
      <c r="X90">
        <v>2.0547945205479451E-2</v>
      </c>
      <c r="Y90">
        <v>1.8099097531263209E-2</v>
      </c>
      <c r="Z90" t="s">
        <v>309</v>
      </c>
      <c r="AA90" t="s">
        <v>25</v>
      </c>
      <c r="AC90" t="s">
        <v>22</v>
      </c>
      <c r="AD90" t="s">
        <v>309</v>
      </c>
      <c r="AE90">
        <v>1.9725011261502445E-2</v>
      </c>
      <c r="AG90" t="s">
        <v>97</v>
      </c>
      <c r="AH90" t="s">
        <v>309</v>
      </c>
      <c r="AI90">
        <v>0.17311711242521777</v>
      </c>
    </row>
    <row r="91" spans="5:35" x14ac:dyDescent="0.45">
      <c r="E91" t="s">
        <v>1321</v>
      </c>
      <c r="G91" t="s">
        <v>166</v>
      </c>
      <c r="I91" t="s">
        <v>252</v>
      </c>
      <c r="J91" t="s">
        <v>310</v>
      </c>
      <c r="K91">
        <v>3.9222058631166326E-3</v>
      </c>
      <c r="L91" t="s">
        <v>254</v>
      </c>
      <c r="N91" t="s">
        <v>422</v>
      </c>
      <c r="O91" t="s">
        <v>310</v>
      </c>
      <c r="P91">
        <v>2.3932727955689952E-2</v>
      </c>
      <c r="Q91" t="s">
        <v>254</v>
      </c>
      <c r="S91" t="s">
        <v>423</v>
      </c>
      <c r="T91" t="s">
        <v>310</v>
      </c>
      <c r="U91">
        <v>2.4857613349631484E-2</v>
      </c>
      <c r="V91" t="s">
        <v>254</v>
      </c>
      <c r="X91">
        <v>2.4771689497716895E-2</v>
      </c>
      <c r="Y91">
        <v>9.7827942553597048E-3</v>
      </c>
      <c r="Z91" t="s">
        <v>310</v>
      </c>
      <c r="AA91" t="s">
        <v>25</v>
      </c>
      <c r="AC91" t="s">
        <v>22</v>
      </c>
      <c r="AD91" t="s">
        <v>310</v>
      </c>
      <c r="AE91">
        <v>1.9409024398886501E-2</v>
      </c>
      <c r="AG91" t="s">
        <v>97</v>
      </c>
      <c r="AH91" t="s">
        <v>310</v>
      </c>
      <c r="AI91">
        <v>0.27974912617159808</v>
      </c>
    </row>
    <row r="92" spans="5:35" x14ac:dyDescent="0.45">
      <c r="E92" t="s">
        <v>1322</v>
      </c>
      <c r="G92" t="s">
        <v>166</v>
      </c>
      <c r="I92" t="s">
        <v>252</v>
      </c>
      <c r="J92" t="s">
        <v>311</v>
      </c>
      <c r="K92">
        <v>5.5713094884870364E-3</v>
      </c>
      <c r="L92" t="s">
        <v>254</v>
      </c>
      <c r="N92" t="s">
        <v>422</v>
      </c>
      <c r="O92" t="s">
        <v>311</v>
      </c>
      <c r="P92">
        <v>3.3590701295483209E-3</v>
      </c>
      <c r="Q92" t="s">
        <v>254</v>
      </c>
      <c r="S92" t="s">
        <v>423</v>
      </c>
      <c r="T92" t="s">
        <v>311</v>
      </c>
      <c r="U92">
        <v>3.4001965120895573E-3</v>
      </c>
      <c r="V92" t="s">
        <v>254</v>
      </c>
      <c r="X92">
        <v>3.5388127853881279E-3</v>
      </c>
      <c r="Y92">
        <v>5.9087255218821738E-3</v>
      </c>
      <c r="Z92" t="s">
        <v>311</v>
      </c>
      <c r="AA92" t="s">
        <v>25</v>
      </c>
      <c r="AC92" t="s">
        <v>22</v>
      </c>
      <c r="AD92" t="s">
        <v>311</v>
      </c>
      <c r="AE92">
        <v>3.7242489011812797E-3</v>
      </c>
      <c r="AG92" t="s">
        <v>97</v>
      </c>
      <c r="AH92" t="s">
        <v>311</v>
      </c>
      <c r="AI92">
        <v>7.6316584002711574E-2</v>
      </c>
    </row>
    <row r="93" spans="5:35" x14ac:dyDescent="0.45">
      <c r="E93" t="s">
        <v>1323</v>
      </c>
      <c r="G93" t="s">
        <v>166</v>
      </c>
      <c r="I93" t="s">
        <v>252</v>
      </c>
      <c r="J93" t="s">
        <v>312</v>
      </c>
      <c r="K93">
        <v>1.6295233137300507E-2</v>
      </c>
      <c r="L93" t="s">
        <v>254</v>
      </c>
      <c r="N93" t="s">
        <v>422</v>
      </c>
      <c r="O93" t="s">
        <v>312</v>
      </c>
      <c r="P93">
        <v>6.8263302317683834E-3</v>
      </c>
      <c r="Q93" t="s">
        <v>254</v>
      </c>
      <c r="S93" t="s">
        <v>423</v>
      </c>
      <c r="T93" t="s">
        <v>312</v>
      </c>
      <c r="U93">
        <v>6.6316965944845218E-3</v>
      </c>
      <c r="V93" t="s">
        <v>254</v>
      </c>
      <c r="X93">
        <v>7.0776255707762558E-3</v>
      </c>
      <c r="Y93">
        <v>9.0018148820326695E-3</v>
      </c>
      <c r="Z93" t="s">
        <v>312</v>
      </c>
      <c r="AA93" t="s">
        <v>25</v>
      </c>
      <c r="AC93" t="s">
        <v>22</v>
      </c>
      <c r="AD93" t="s">
        <v>312</v>
      </c>
      <c r="AE93">
        <v>7.6823812655839848E-3</v>
      </c>
      <c r="AG93" t="s">
        <v>97</v>
      </c>
      <c r="AH93" t="s">
        <v>312</v>
      </c>
      <c r="AI93">
        <v>7.0212854701301453E-2</v>
      </c>
    </row>
    <row r="94" spans="5:35" x14ac:dyDescent="0.45">
      <c r="E94" t="s">
        <v>1324</v>
      </c>
      <c r="G94" t="s">
        <v>166</v>
      </c>
      <c r="I94" t="s">
        <v>252</v>
      </c>
      <c r="J94" t="s">
        <v>313</v>
      </c>
      <c r="K94">
        <v>2.9846300782884701E-2</v>
      </c>
      <c r="L94" t="s">
        <v>254</v>
      </c>
      <c r="N94" t="s">
        <v>422</v>
      </c>
      <c r="O94" t="s">
        <v>313</v>
      </c>
      <c r="P94">
        <v>9.9462914751015236E-3</v>
      </c>
      <c r="Q94" t="s">
        <v>254</v>
      </c>
      <c r="S94" t="s">
        <v>423</v>
      </c>
      <c r="T94" t="s">
        <v>313</v>
      </c>
      <c r="U94">
        <v>9.6362021595632567E-3</v>
      </c>
      <c r="V94" t="s">
        <v>254</v>
      </c>
      <c r="X94">
        <v>1.0616438356164383E-2</v>
      </c>
      <c r="Y94">
        <v>1.3143060769543132E-2</v>
      </c>
      <c r="Z94" t="s">
        <v>313</v>
      </c>
      <c r="AA94" t="s">
        <v>25</v>
      </c>
      <c r="AC94" t="s">
        <v>22</v>
      </c>
      <c r="AD94" t="s">
        <v>313</v>
      </c>
      <c r="AE94">
        <v>1.1450052443168693E-2</v>
      </c>
      <c r="AG94" t="s">
        <v>97</v>
      </c>
      <c r="AH94" t="s">
        <v>313</v>
      </c>
      <c r="AI94">
        <v>7.1588137946264396E-2</v>
      </c>
    </row>
    <row r="95" spans="5:35" x14ac:dyDescent="0.45">
      <c r="E95" t="s">
        <v>1325</v>
      </c>
      <c r="G95" t="s">
        <v>166</v>
      </c>
      <c r="I95" t="s">
        <v>252</v>
      </c>
      <c r="J95" t="s">
        <v>314</v>
      </c>
      <c r="K95">
        <v>9.8879453029211001E-3</v>
      </c>
      <c r="L95" t="s">
        <v>254</v>
      </c>
      <c r="N95" t="s">
        <v>422</v>
      </c>
      <c r="O95" t="s">
        <v>314</v>
      </c>
      <c r="P95">
        <v>3.5621078218608434E-3</v>
      </c>
      <c r="Q95" t="s">
        <v>254</v>
      </c>
      <c r="S95" t="s">
        <v>423</v>
      </c>
      <c r="T95" t="s">
        <v>314</v>
      </c>
      <c r="U95">
        <v>3.3560104589874231E-3</v>
      </c>
      <c r="V95" t="s">
        <v>254</v>
      </c>
      <c r="X95">
        <v>3.5388127853881279E-3</v>
      </c>
      <c r="Y95">
        <v>4.6139439292610376E-3</v>
      </c>
      <c r="Z95" t="s">
        <v>314</v>
      </c>
      <c r="AA95" t="s">
        <v>25</v>
      </c>
      <c r="AC95" t="s">
        <v>22</v>
      </c>
      <c r="AD95" t="s">
        <v>314</v>
      </c>
      <c r="AE95">
        <v>3.7770122985847491E-3</v>
      </c>
      <c r="AG95" t="s">
        <v>97</v>
      </c>
      <c r="AH95" t="s">
        <v>314</v>
      </c>
      <c r="AI95">
        <v>7.4180179565778825E-2</v>
      </c>
    </row>
    <row r="96" spans="5:35" x14ac:dyDescent="0.45">
      <c r="E96" t="s">
        <v>1326</v>
      </c>
      <c r="G96" t="s">
        <v>166</v>
      </c>
      <c r="I96" t="s">
        <v>252</v>
      </c>
      <c r="J96" t="s">
        <v>315</v>
      </c>
      <c r="K96">
        <v>1.8256244609755699E-2</v>
      </c>
      <c r="L96" t="s">
        <v>254</v>
      </c>
      <c r="N96" t="s">
        <v>422</v>
      </c>
      <c r="O96" t="s">
        <v>315</v>
      </c>
      <c r="P96">
        <v>7.3835405724859832E-3</v>
      </c>
      <c r="Q96" t="s">
        <v>254</v>
      </c>
      <c r="S96" t="s">
        <v>423</v>
      </c>
      <c r="T96" t="s">
        <v>315</v>
      </c>
      <c r="U96">
        <v>7.0099852833006944E-3</v>
      </c>
      <c r="V96" t="s">
        <v>254</v>
      </c>
      <c r="X96">
        <v>7.0776255707762558E-3</v>
      </c>
      <c r="Y96">
        <v>1.0008867231849112E-2</v>
      </c>
      <c r="Z96" t="s">
        <v>315</v>
      </c>
      <c r="AA96" t="s">
        <v>25</v>
      </c>
      <c r="AC96" t="s">
        <v>22</v>
      </c>
      <c r="AD96" t="s">
        <v>315</v>
      </c>
      <c r="AE96">
        <v>7.5090731692856365E-3</v>
      </c>
      <c r="AG96" t="s">
        <v>97</v>
      </c>
      <c r="AH96" t="s">
        <v>315</v>
      </c>
      <c r="AI96">
        <v>7.7659879303386026E-2</v>
      </c>
    </row>
    <row r="97" spans="5:35" x14ac:dyDescent="0.45">
      <c r="E97" t="s">
        <v>1327</v>
      </c>
      <c r="G97" t="s">
        <v>166</v>
      </c>
      <c r="I97" t="s">
        <v>252</v>
      </c>
      <c r="J97" t="s">
        <v>316</v>
      </c>
      <c r="K97">
        <v>1.3627614256399663E-2</v>
      </c>
      <c r="L97" t="s">
        <v>254</v>
      </c>
      <c r="N97" t="s">
        <v>422</v>
      </c>
      <c r="O97" t="s">
        <v>316</v>
      </c>
      <c r="P97">
        <v>7.313454209609078E-3</v>
      </c>
      <c r="Q97" t="s">
        <v>254</v>
      </c>
      <c r="S97" t="s">
        <v>423</v>
      </c>
      <c r="T97" t="s">
        <v>316</v>
      </c>
      <c r="U97">
        <v>7.2960305846112052E-3</v>
      </c>
      <c r="V97" t="s">
        <v>254</v>
      </c>
      <c r="X97">
        <v>7.0776255707762558E-3</v>
      </c>
      <c r="Y97">
        <v>1.376989947708193E-2</v>
      </c>
      <c r="Z97" t="s">
        <v>316</v>
      </c>
      <c r="AA97" t="s">
        <v>25</v>
      </c>
      <c r="AC97" t="s">
        <v>22</v>
      </c>
      <c r="AD97" t="s">
        <v>316</v>
      </c>
      <c r="AE97">
        <v>7.5188029709295353E-3</v>
      </c>
      <c r="AG97" t="s">
        <v>97</v>
      </c>
      <c r="AH97" t="s">
        <v>316</v>
      </c>
      <c r="AI97">
        <v>7.6470251751308949E-2</v>
      </c>
    </row>
    <row r="98" spans="5:35" x14ac:dyDescent="0.45">
      <c r="E98" t="s">
        <v>1328</v>
      </c>
      <c r="G98" t="s">
        <v>166</v>
      </c>
      <c r="I98" t="s">
        <v>252</v>
      </c>
      <c r="J98" t="s">
        <v>317</v>
      </c>
      <c r="K98">
        <v>6.5986614156880851E-3</v>
      </c>
      <c r="L98" t="s">
        <v>254</v>
      </c>
      <c r="N98" t="s">
        <v>422</v>
      </c>
      <c r="O98" t="s">
        <v>317</v>
      </c>
      <c r="P98">
        <v>2.1244541293275056E-2</v>
      </c>
      <c r="Q98" t="s">
        <v>254</v>
      </c>
      <c r="S98" t="s">
        <v>423</v>
      </c>
      <c r="T98" t="s">
        <v>317</v>
      </c>
      <c r="U98">
        <v>2.2025293669465699E-2</v>
      </c>
      <c r="V98" t="s">
        <v>254</v>
      </c>
      <c r="X98">
        <v>2.1232876712328767E-2</v>
      </c>
      <c r="Y98">
        <v>1.8702400782305319E-2</v>
      </c>
      <c r="Z98" t="s">
        <v>317</v>
      </c>
      <c r="AA98" t="s">
        <v>25</v>
      </c>
      <c r="AC98" t="s">
        <v>22</v>
      </c>
      <c r="AD98" t="s">
        <v>317</v>
      </c>
      <c r="AE98">
        <v>1.981698006356214E-2</v>
      </c>
      <c r="AG98" t="s">
        <v>97</v>
      </c>
      <c r="AH98" t="s">
        <v>317</v>
      </c>
      <c r="AI98">
        <v>0.16938093389350528</v>
      </c>
    </row>
    <row r="99" spans="5:35" x14ac:dyDescent="0.45">
      <c r="E99" t="s">
        <v>1329</v>
      </c>
      <c r="G99" t="s">
        <v>166</v>
      </c>
      <c r="I99" t="s">
        <v>252</v>
      </c>
      <c r="J99" t="s">
        <v>318</v>
      </c>
      <c r="K99">
        <v>5.6150211014440498E-3</v>
      </c>
      <c r="L99" t="s">
        <v>254</v>
      </c>
      <c r="N99" t="s">
        <v>422</v>
      </c>
      <c r="O99" t="s">
        <v>318</v>
      </c>
      <c r="P99">
        <v>2.3758413380580559E-2</v>
      </c>
      <c r="Q99" t="s">
        <v>254</v>
      </c>
      <c r="S99" t="s">
        <v>423</v>
      </c>
      <c r="T99" t="s">
        <v>318</v>
      </c>
      <c r="U99">
        <v>2.5129735917864913E-2</v>
      </c>
      <c r="V99" t="s">
        <v>254</v>
      </c>
      <c r="X99">
        <v>2.3972602739726026E-2</v>
      </c>
      <c r="Y99">
        <v>9.4672202471222967E-3</v>
      </c>
      <c r="Z99" t="s">
        <v>318</v>
      </c>
      <c r="AA99" t="s">
        <v>25</v>
      </c>
      <c r="AC99" t="s">
        <v>22</v>
      </c>
      <c r="AD99" t="s">
        <v>318</v>
      </c>
      <c r="AE99">
        <v>1.7488610268034464E-2</v>
      </c>
      <c r="AG99" t="s">
        <v>97</v>
      </c>
      <c r="AH99" t="s">
        <v>318</v>
      </c>
      <c r="AI99">
        <v>0.24991961882631952</v>
      </c>
    </row>
    <row r="100" spans="5:35" x14ac:dyDescent="0.45">
      <c r="E100" t="s">
        <v>1330</v>
      </c>
      <c r="G100" t="s">
        <v>166</v>
      </c>
      <c r="I100" t="s">
        <v>252</v>
      </c>
      <c r="J100" t="s">
        <v>319</v>
      </c>
      <c r="K100">
        <v>6.1841470682526736E-3</v>
      </c>
      <c r="L100" t="s">
        <v>254</v>
      </c>
      <c r="N100" t="s">
        <v>422</v>
      </c>
      <c r="O100" t="s">
        <v>319</v>
      </c>
      <c r="P100">
        <v>3.1241827884695363E-3</v>
      </c>
      <c r="Q100" t="s">
        <v>254</v>
      </c>
      <c r="S100" t="s">
        <v>423</v>
      </c>
      <c r="T100" t="s">
        <v>319</v>
      </c>
      <c r="U100">
        <v>3.3597758328187555E-3</v>
      </c>
      <c r="V100" t="s">
        <v>254</v>
      </c>
      <c r="X100">
        <v>3.4246575342465752E-3</v>
      </c>
      <c r="Y100">
        <v>5.7181214727892006E-3</v>
      </c>
      <c r="Z100" t="s">
        <v>319</v>
      </c>
      <c r="AA100" t="s">
        <v>25</v>
      </c>
      <c r="AC100" t="s">
        <v>22</v>
      </c>
      <c r="AD100" t="s">
        <v>319</v>
      </c>
      <c r="AE100">
        <v>3.3156576031517526E-3</v>
      </c>
      <c r="AG100" t="s">
        <v>97</v>
      </c>
      <c r="AH100" t="s">
        <v>319</v>
      </c>
      <c r="AI100">
        <v>8.5906828824655834E-2</v>
      </c>
    </row>
    <row r="101" spans="5:35" x14ac:dyDescent="0.45">
      <c r="E101" t="s">
        <v>1331</v>
      </c>
      <c r="G101" t="s">
        <v>166</v>
      </c>
      <c r="I101" t="s">
        <v>252</v>
      </c>
      <c r="J101" t="s">
        <v>320</v>
      </c>
      <c r="K101">
        <v>1.7257027347523102E-2</v>
      </c>
      <c r="L101" t="s">
        <v>254</v>
      </c>
      <c r="N101" t="s">
        <v>422</v>
      </c>
      <c r="O101" t="s">
        <v>320</v>
      </c>
      <c r="P101">
        <v>6.1932716537798594E-3</v>
      </c>
      <c r="Q101" t="s">
        <v>254</v>
      </c>
      <c r="S101" t="s">
        <v>423</v>
      </c>
      <c r="T101" t="s">
        <v>320</v>
      </c>
      <c r="U101">
        <v>6.4362456864020257E-3</v>
      </c>
      <c r="V101" t="s">
        <v>254</v>
      </c>
      <c r="X101">
        <v>6.8493150684931503E-3</v>
      </c>
      <c r="Y101">
        <v>8.7114337568058101E-3</v>
      </c>
      <c r="Z101" t="s">
        <v>320</v>
      </c>
      <c r="AA101" t="s">
        <v>25</v>
      </c>
      <c r="AC101" t="s">
        <v>22</v>
      </c>
      <c r="AD101" t="s">
        <v>320</v>
      </c>
      <c r="AE101">
        <v>7.054458014878375E-3</v>
      </c>
      <c r="AG101" t="s">
        <v>97</v>
      </c>
      <c r="AH101" t="s">
        <v>320</v>
      </c>
      <c r="AI101">
        <v>7.949769795769468E-2</v>
      </c>
    </row>
    <row r="102" spans="5:35" x14ac:dyDescent="0.45">
      <c r="E102" t="s">
        <v>1332</v>
      </c>
      <c r="G102" t="s">
        <v>166</v>
      </c>
      <c r="I102" t="s">
        <v>252</v>
      </c>
      <c r="J102" t="s">
        <v>321</v>
      </c>
      <c r="K102">
        <v>3.1032577269899102E-2</v>
      </c>
      <c r="L102" t="s">
        <v>254</v>
      </c>
      <c r="N102" t="s">
        <v>422</v>
      </c>
      <c r="O102" t="s">
        <v>321</v>
      </c>
      <c r="P102">
        <v>9.1473478212649451E-3</v>
      </c>
      <c r="Q102" t="s">
        <v>254</v>
      </c>
      <c r="S102" t="s">
        <v>423</v>
      </c>
      <c r="T102" t="s">
        <v>321</v>
      </c>
      <c r="U102">
        <v>9.2189883341408773E-3</v>
      </c>
      <c r="V102" t="s">
        <v>254</v>
      </c>
      <c r="X102">
        <v>1.0273972602739725E-2</v>
      </c>
      <c r="Y102">
        <v>1.2719091067299805E-2</v>
      </c>
      <c r="Z102" t="s">
        <v>321</v>
      </c>
      <c r="AA102" t="s">
        <v>25</v>
      </c>
      <c r="AC102" t="s">
        <v>22</v>
      </c>
      <c r="AD102" t="s">
        <v>321</v>
      </c>
      <c r="AE102">
        <v>1.061967671959025E-2</v>
      </c>
      <c r="AG102" t="s">
        <v>97</v>
      </c>
      <c r="AH102" t="s">
        <v>321</v>
      </c>
      <c r="AI102">
        <v>9.0232011743215157E-2</v>
      </c>
    </row>
    <row r="103" spans="5:35" x14ac:dyDescent="0.45">
      <c r="E103" t="s">
        <v>1333</v>
      </c>
      <c r="G103" t="s">
        <v>166</v>
      </c>
      <c r="I103" t="s">
        <v>252</v>
      </c>
      <c r="J103" t="s">
        <v>322</v>
      </c>
      <c r="K103">
        <v>1.0379484394511199E-2</v>
      </c>
      <c r="L103" t="s">
        <v>254</v>
      </c>
      <c r="N103" t="s">
        <v>422</v>
      </c>
      <c r="O103" t="s">
        <v>322</v>
      </c>
      <c r="P103">
        <v>3.3384784267306532E-3</v>
      </c>
      <c r="Q103" t="s">
        <v>254</v>
      </c>
      <c r="S103" t="s">
        <v>423</v>
      </c>
      <c r="T103" t="s">
        <v>322</v>
      </c>
      <c r="U103">
        <v>3.3337340186684571E-3</v>
      </c>
      <c r="V103" t="s">
        <v>254</v>
      </c>
      <c r="X103">
        <v>3.4246575342465752E-3</v>
      </c>
      <c r="Y103">
        <v>4.4651070283171336E-3</v>
      </c>
      <c r="Z103" t="s">
        <v>322</v>
      </c>
      <c r="AA103" t="s">
        <v>25</v>
      </c>
      <c r="AC103" t="s">
        <v>22</v>
      </c>
      <c r="AD103" t="s">
        <v>322</v>
      </c>
      <c r="AE103">
        <v>3.5121893679205046E-3</v>
      </c>
      <c r="AG103" t="s">
        <v>97</v>
      </c>
      <c r="AH103" t="s">
        <v>322</v>
      </c>
      <c r="AI103">
        <v>9.4368775197642751E-2</v>
      </c>
    </row>
    <row r="104" spans="5:35" x14ac:dyDescent="0.45">
      <c r="E104" t="s">
        <v>1334</v>
      </c>
      <c r="G104" t="s">
        <v>166</v>
      </c>
      <c r="I104" t="s">
        <v>252</v>
      </c>
      <c r="J104" t="s">
        <v>323</v>
      </c>
      <c r="K104">
        <v>1.93108739122206E-2</v>
      </c>
      <c r="L104" t="s">
        <v>254</v>
      </c>
      <c r="N104" t="s">
        <v>422</v>
      </c>
      <c r="O104" t="s">
        <v>323</v>
      </c>
      <c r="P104">
        <v>7.031500255929561E-3</v>
      </c>
      <c r="Q104" t="s">
        <v>254</v>
      </c>
      <c r="S104" t="s">
        <v>423</v>
      </c>
      <c r="T104" t="s">
        <v>323</v>
      </c>
      <c r="U104">
        <v>7.0747397713290926E-3</v>
      </c>
      <c r="V104" t="s">
        <v>254</v>
      </c>
      <c r="X104">
        <v>6.8493150684931503E-3</v>
      </c>
      <c r="Y104">
        <v>9.6860005469507522E-3</v>
      </c>
      <c r="Z104" t="s">
        <v>323</v>
      </c>
      <c r="AA104" t="s">
        <v>25</v>
      </c>
      <c r="AC104" t="s">
        <v>22</v>
      </c>
      <c r="AD104" t="s">
        <v>323</v>
      </c>
      <c r="AE104">
        <v>6.960911278074502E-3</v>
      </c>
      <c r="AG104" t="s">
        <v>97</v>
      </c>
      <c r="AH104" t="s">
        <v>323</v>
      </c>
      <c r="AI104">
        <v>9.1878563521638146E-2</v>
      </c>
    </row>
    <row r="105" spans="5:35" x14ac:dyDescent="0.45">
      <c r="E105" t="s">
        <v>1335</v>
      </c>
      <c r="G105" t="s">
        <v>166</v>
      </c>
      <c r="I105" t="s">
        <v>252</v>
      </c>
      <c r="J105" t="s">
        <v>324</v>
      </c>
      <c r="K105">
        <v>1.5121568962202086E-2</v>
      </c>
      <c r="L105" t="s">
        <v>254</v>
      </c>
      <c r="N105" t="s">
        <v>422</v>
      </c>
      <c r="O105" t="s">
        <v>324</v>
      </c>
      <c r="P105">
        <v>7.1879336505591826E-3</v>
      </c>
      <c r="Q105" t="s">
        <v>254</v>
      </c>
      <c r="S105" t="s">
        <v>423</v>
      </c>
      <c r="T105" t="s">
        <v>324</v>
      </c>
      <c r="U105">
        <v>7.2392246503869464E-3</v>
      </c>
      <c r="V105" t="s">
        <v>254</v>
      </c>
      <c r="X105">
        <v>6.8493150684931503E-3</v>
      </c>
      <c r="Y105">
        <v>1.3325709171369611E-2</v>
      </c>
      <c r="Z105" t="s">
        <v>324</v>
      </c>
      <c r="AA105" t="s">
        <v>25</v>
      </c>
      <c r="AC105" t="s">
        <v>22</v>
      </c>
      <c r="AD105" t="s">
        <v>324</v>
      </c>
      <c r="AE105">
        <v>6.9293565468561812E-3</v>
      </c>
      <c r="AG105" t="s">
        <v>97</v>
      </c>
      <c r="AH105" t="s">
        <v>324</v>
      </c>
      <c r="AI105">
        <v>9.0870610702260324E-2</v>
      </c>
    </row>
    <row r="106" spans="5:35" x14ac:dyDescent="0.45">
      <c r="E106" t="s">
        <v>1336</v>
      </c>
      <c r="G106" t="s">
        <v>166</v>
      </c>
      <c r="I106" t="s">
        <v>252</v>
      </c>
      <c r="J106" t="s">
        <v>325</v>
      </c>
      <c r="K106">
        <v>8.5278993784270677E-3</v>
      </c>
      <c r="L106" t="s">
        <v>254</v>
      </c>
      <c r="N106" t="s">
        <v>422</v>
      </c>
      <c r="O106" t="s">
        <v>325</v>
      </c>
      <c r="P106">
        <v>2.1214173006225495E-2</v>
      </c>
      <c r="Q106" t="s">
        <v>254</v>
      </c>
      <c r="S106" t="s">
        <v>423</v>
      </c>
      <c r="T106" t="s">
        <v>325</v>
      </c>
      <c r="U106">
        <v>2.2072502763051959E-2</v>
      </c>
      <c r="V106" t="s">
        <v>254</v>
      </c>
      <c r="X106">
        <v>2.0547945205479451E-2</v>
      </c>
      <c r="Y106">
        <v>1.8099097531263209E-2</v>
      </c>
      <c r="Z106" t="s">
        <v>325</v>
      </c>
      <c r="AA106" t="s">
        <v>25</v>
      </c>
      <c r="AC106" t="s">
        <v>22</v>
      </c>
      <c r="AD106" t="s">
        <v>325</v>
      </c>
      <c r="AE106">
        <v>1.853526384323095E-2</v>
      </c>
      <c r="AG106" t="s">
        <v>97</v>
      </c>
      <c r="AH106" t="s">
        <v>325</v>
      </c>
      <c r="AI106">
        <v>0.17560791662970909</v>
      </c>
    </row>
    <row r="107" spans="5:35" x14ac:dyDescent="0.45">
      <c r="E107" t="s">
        <v>1337</v>
      </c>
      <c r="G107" t="s">
        <v>166</v>
      </c>
      <c r="I107" t="s">
        <v>252</v>
      </c>
      <c r="J107" t="s">
        <v>326</v>
      </c>
      <c r="K107">
        <v>5.6907262752047107E-3</v>
      </c>
      <c r="L107" t="s">
        <v>254</v>
      </c>
      <c r="N107" t="s">
        <v>422</v>
      </c>
      <c r="O107" t="s">
        <v>326</v>
      </c>
      <c r="P107">
        <v>1.8201165978808966E-2</v>
      </c>
      <c r="Q107" t="s">
        <v>254</v>
      </c>
      <c r="S107" t="s">
        <v>423</v>
      </c>
      <c r="T107" t="s">
        <v>326</v>
      </c>
      <c r="U107">
        <v>1.887990473979247E-2</v>
      </c>
      <c r="V107" t="s">
        <v>254</v>
      </c>
      <c r="X107">
        <v>2.4771689497716895E-2</v>
      </c>
      <c r="Y107">
        <v>9.7827942553597048E-3</v>
      </c>
      <c r="Z107" t="s">
        <v>326</v>
      </c>
      <c r="AA107" t="s">
        <v>25</v>
      </c>
      <c r="AC107" t="s">
        <v>22</v>
      </c>
      <c r="AD107" t="s">
        <v>326</v>
      </c>
      <c r="AE107">
        <v>1.8858161963641967E-2</v>
      </c>
      <c r="AG107" t="s">
        <v>97</v>
      </c>
      <c r="AH107" t="s">
        <v>326</v>
      </c>
      <c r="AI107">
        <v>0.24207174233774098</v>
      </c>
    </row>
    <row r="108" spans="5:35" x14ac:dyDescent="0.45">
      <c r="E108" t="s">
        <v>1338</v>
      </c>
      <c r="G108" t="s">
        <v>166</v>
      </c>
      <c r="I108" t="s">
        <v>252</v>
      </c>
      <c r="J108" t="s">
        <v>327</v>
      </c>
      <c r="K108">
        <v>7.55060257483479E-3</v>
      </c>
      <c r="L108" t="s">
        <v>254</v>
      </c>
      <c r="N108" t="s">
        <v>422</v>
      </c>
      <c r="O108" t="s">
        <v>327</v>
      </c>
      <c r="P108">
        <v>2.1271741024613093E-3</v>
      </c>
      <c r="Q108" t="s">
        <v>254</v>
      </c>
      <c r="S108" t="s">
        <v>423</v>
      </c>
      <c r="T108" t="s">
        <v>327</v>
      </c>
      <c r="U108">
        <v>2.7065679260956034E-3</v>
      </c>
      <c r="V108" t="s">
        <v>254</v>
      </c>
      <c r="X108">
        <v>3.5388127853881279E-3</v>
      </c>
      <c r="Y108">
        <v>5.9087255218821738E-3</v>
      </c>
      <c r="Z108" t="s">
        <v>327</v>
      </c>
      <c r="AA108" t="s">
        <v>25</v>
      </c>
      <c r="AC108" t="s">
        <v>22</v>
      </c>
      <c r="AD108" t="s">
        <v>327</v>
      </c>
      <c r="AE108">
        <v>3.5128636638608918E-3</v>
      </c>
      <c r="AG108" t="s">
        <v>97</v>
      </c>
      <c r="AH108" t="s">
        <v>327</v>
      </c>
      <c r="AI108">
        <v>8.4097695100208369E-2</v>
      </c>
    </row>
    <row r="109" spans="5:35" x14ac:dyDescent="0.45">
      <c r="E109" t="s">
        <v>1339</v>
      </c>
      <c r="G109" t="s">
        <v>166</v>
      </c>
      <c r="I109" t="s">
        <v>252</v>
      </c>
      <c r="J109" t="s">
        <v>328</v>
      </c>
      <c r="K109">
        <v>2.0721789575153613E-2</v>
      </c>
      <c r="L109" t="s">
        <v>254</v>
      </c>
      <c r="N109" t="s">
        <v>422</v>
      </c>
      <c r="O109" t="s">
        <v>328</v>
      </c>
      <c r="P109">
        <v>4.1715642512792578E-3</v>
      </c>
      <c r="Q109" t="s">
        <v>254</v>
      </c>
      <c r="S109" t="s">
        <v>423</v>
      </c>
      <c r="T109" t="s">
        <v>328</v>
      </c>
      <c r="U109">
        <v>5.4643547861619023E-3</v>
      </c>
      <c r="V109" t="s">
        <v>254</v>
      </c>
      <c r="X109">
        <v>7.0776255707762558E-3</v>
      </c>
      <c r="Y109">
        <v>9.0018148820326695E-3</v>
      </c>
      <c r="Z109" t="s">
        <v>328</v>
      </c>
      <c r="AA109" t="s">
        <v>25</v>
      </c>
      <c r="AC109" t="s">
        <v>22</v>
      </c>
      <c r="AD109" t="s">
        <v>328</v>
      </c>
      <c r="AE109">
        <v>7.4054069461412407E-3</v>
      </c>
      <c r="AG109" t="s">
        <v>97</v>
      </c>
      <c r="AH109" t="s">
        <v>328</v>
      </c>
      <c r="AI109">
        <v>8.0283624945774568E-2</v>
      </c>
    </row>
    <row r="110" spans="5:35" x14ac:dyDescent="0.45">
      <c r="E110" t="s">
        <v>1340</v>
      </c>
      <c r="G110" t="s">
        <v>166</v>
      </c>
      <c r="I110" t="s">
        <v>252</v>
      </c>
      <c r="J110" t="s">
        <v>329</v>
      </c>
      <c r="K110">
        <v>3.6099682601023697E-2</v>
      </c>
      <c r="L110" t="s">
        <v>254</v>
      </c>
      <c r="N110" t="s">
        <v>422</v>
      </c>
      <c r="O110" t="s">
        <v>329</v>
      </c>
      <c r="P110">
        <v>6.5230661504722112E-3</v>
      </c>
      <c r="Q110" t="s">
        <v>254</v>
      </c>
      <c r="S110" t="s">
        <v>423</v>
      </c>
      <c r="T110" t="s">
        <v>329</v>
      </c>
      <c r="U110">
        <v>7.8405552467663148E-3</v>
      </c>
      <c r="V110" t="s">
        <v>254</v>
      </c>
      <c r="X110">
        <v>1.0616438356164383E-2</v>
      </c>
      <c r="Y110">
        <v>1.3143060769543132E-2</v>
      </c>
      <c r="Z110" t="s">
        <v>329</v>
      </c>
      <c r="AA110" t="s">
        <v>25</v>
      </c>
      <c r="AC110" t="s">
        <v>22</v>
      </c>
      <c r="AD110" t="s">
        <v>329</v>
      </c>
      <c r="AE110">
        <v>1.1291179002468097E-2</v>
      </c>
      <c r="AG110" t="s">
        <v>97</v>
      </c>
      <c r="AH110" t="s">
        <v>329</v>
      </c>
      <c r="AI110">
        <v>7.6367802863346324E-2</v>
      </c>
    </row>
    <row r="111" spans="5:35" x14ac:dyDescent="0.45">
      <c r="E111" t="s">
        <v>1341</v>
      </c>
      <c r="G111" t="s">
        <v>166</v>
      </c>
      <c r="I111" t="s">
        <v>252</v>
      </c>
      <c r="J111" t="s">
        <v>330</v>
      </c>
      <c r="K111">
        <v>1.1819498630638E-2</v>
      </c>
      <c r="L111" t="s">
        <v>254</v>
      </c>
      <c r="N111" t="s">
        <v>422</v>
      </c>
      <c r="O111" t="s">
        <v>330</v>
      </c>
      <c r="P111">
        <v>2.4607224403917377E-3</v>
      </c>
      <c r="Q111" t="s">
        <v>254</v>
      </c>
      <c r="S111" t="s">
        <v>423</v>
      </c>
      <c r="T111" t="s">
        <v>330</v>
      </c>
      <c r="U111">
        <v>2.6489329002128701E-3</v>
      </c>
      <c r="V111" t="s">
        <v>254</v>
      </c>
      <c r="X111">
        <v>3.5388127853881279E-3</v>
      </c>
      <c r="Y111">
        <v>4.6139439292610376E-3</v>
      </c>
      <c r="Z111" t="s">
        <v>330</v>
      </c>
      <c r="AA111" t="s">
        <v>25</v>
      </c>
      <c r="AC111" t="s">
        <v>22</v>
      </c>
      <c r="AD111" t="s">
        <v>330</v>
      </c>
      <c r="AE111">
        <v>3.7514087376990914E-3</v>
      </c>
      <c r="AG111" t="s">
        <v>97</v>
      </c>
      <c r="AH111" t="s">
        <v>330</v>
      </c>
      <c r="AI111">
        <v>6.6606082518882115E-2</v>
      </c>
    </row>
    <row r="112" spans="5:35" x14ac:dyDescent="0.45">
      <c r="E112" t="s">
        <v>1342</v>
      </c>
      <c r="G112" t="s">
        <v>166</v>
      </c>
      <c r="I112" t="s">
        <v>252</v>
      </c>
      <c r="J112" t="s">
        <v>331</v>
      </c>
      <c r="K112">
        <v>2.2654420268322401E-2</v>
      </c>
      <c r="L112" t="s">
        <v>254</v>
      </c>
      <c r="N112" t="s">
        <v>422</v>
      </c>
      <c r="O112" t="s">
        <v>331</v>
      </c>
      <c r="P112">
        <v>5.2701698669585344E-3</v>
      </c>
      <c r="Q112" t="s">
        <v>254</v>
      </c>
      <c r="S112" t="s">
        <v>423</v>
      </c>
      <c r="T112" t="s">
        <v>331</v>
      </c>
      <c r="U112">
        <v>5.4321792671511064E-3</v>
      </c>
      <c r="V112" t="s">
        <v>254</v>
      </c>
      <c r="X112">
        <v>7.0776255707762558E-3</v>
      </c>
      <c r="Y112">
        <v>1.0008867231849112E-2</v>
      </c>
      <c r="Z112" t="s">
        <v>331</v>
      </c>
      <c r="AA112" t="s">
        <v>25</v>
      </c>
      <c r="AC112" t="s">
        <v>22</v>
      </c>
      <c r="AD112" t="s">
        <v>331</v>
      </c>
      <c r="AE112">
        <v>7.4168321113830121E-3</v>
      </c>
      <c r="AG112" t="s">
        <v>97</v>
      </c>
      <c r="AH112" t="s">
        <v>331</v>
      </c>
      <c r="AI112">
        <v>6.1976360186815738E-2</v>
      </c>
    </row>
    <row r="113" spans="5:35" x14ac:dyDescent="0.45">
      <c r="E113" t="s">
        <v>1343</v>
      </c>
      <c r="G113" t="s">
        <v>166</v>
      </c>
      <c r="I113" t="s">
        <v>252</v>
      </c>
      <c r="J113" t="s">
        <v>332</v>
      </c>
      <c r="K113">
        <v>1.7943417315136038E-2</v>
      </c>
      <c r="L113" t="s">
        <v>254</v>
      </c>
      <c r="N113" t="s">
        <v>422</v>
      </c>
      <c r="O113" t="s">
        <v>332</v>
      </c>
      <c r="P113">
        <v>5.7330128839986833E-3</v>
      </c>
      <c r="Q113" t="s">
        <v>254</v>
      </c>
      <c r="S113" t="s">
        <v>423</v>
      </c>
      <c r="T113" t="s">
        <v>332</v>
      </c>
      <c r="U113">
        <v>5.604131701026362E-3</v>
      </c>
      <c r="V113" t="s">
        <v>254</v>
      </c>
      <c r="X113">
        <v>7.0776255707762558E-3</v>
      </c>
      <c r="Y113">
        <v>1.376989947708193E-2</v>
      </c>
      <c r="Z113" t="s">
        <v>332</v>
      </c>
      <c r="AA113" t="s">
        <v>25</v>
      </c>
      <c r="AC113" t="s">
        <v>22</v>
      </c>
      <c r="AD113" t="s">
        <v>332</v>
      </c>
      <c r="AE113">
        <v>7.3722437930480167E-3</v>
      </c>
      <c r="AG113" t="s">
        <v>97</v>
      </c>
      <c r="AH113" t="s">
        <v>332</v>
      </c>
      <c r="AI113">
        <v>6.0412964463251617E-2</v>
      </c>
    </row>
    <row r="114" spans="5:35" x14ac:dyDescent="0.45">
      <c r="E114" t="s">
        <v>1344</v>
      </c>
      <c r="G114" t="s">
        <v>166</v>
      </c>
      <c r="I114" t="s">
        <v>252</v>
      </c>
      <c r="J114" t="s">
        <v>333</v>
      </c>
      <c r="K114">
        <v>1.0110616542517919E-2</v>
      </c>
      <c r="L114" t="s">
        <v>254</v>
      </c>
      <c r="N114" t="s">
        <v>422</v>
      </c>
      <c r="O114" t="s">
        <v>333</v>
      </c>
      <c r="P114">
        <v>1.7772919654848611E-2</v>
      </c>
      <c r="Q114" t="s">
        <v>254</v>
      </c>
      <c r="S114" t="s">
        <v>423</v>
      </c>
      <c r="T114" t="s">
        <v>333</v>
      </c>
      <c r="U114">
        <v>1.6571575300024611E-2</v>
      </c>
      <c r="V114" t="s">
        <v>254</v>
      </c>
      <c r="X114">
        <v>2.1232876712328767E-2</v>
      </c>
      <c r="Y114">
        <v>1.8702400782305319E-2</v>
      </c>
      <c r="Z114" t="s">
        <v>333</v>
      </c>
      <c r="AA114" t="s">
        <v>25</v>
      </c>
      <c r="AC114" t="s">
        <v>22</v>
      </c>
      <c r="AD114" t="s">
        <v>333</v>
      </c>
      <c r="AE114">
        <v>1.9901975371152368E-2</v>
      </c>
      <c r="AG114" t="s">
        <v>97</v>
      </c>
      <c r="AH114" t="s">
        <v>333</v>
      </c>
      <c r="AI114">
        <v>0.13890349193737483</v>
      </c>
    </row>
    <row r="115" spans="5:35" x14ac:dyDescent="0.45">
      <c r="E115" t="s">
        <v>1345</v>
      </c>
      <c r="G115" t="s">
        <v>166</v>
      </c>
      <c r="I115" t="s">
        <v>252</v>
      </c>
      <c r="J115" t="s">
        <v>334</v>
      </c>
      <c r="K115">
        <v>3.1485666584710821E-3</v>
      </c>
      <c r="L115" t="s">
        <v>254</v>
      </c>
      <c r="N115" t="s">
        <v>422</v>
      </c>
      <c r="O115" t="s">
        <v>334</v>
      </c>
      <c r="P115">
        <v>1.0978024326515687E-2</v>
      </c>
      <c r="Q115" t="s">
        <v>254</v>
      </c>
      <c r="S115" t="s">
        <v>423</v>
      </c>
      <c r="T115" t="s">
        <v>334</v>
      </c>
      <c r="U115">
        <v>1.1583468125495296E-2</v>
      </c>
      <c r="V115" t="s">
        <v>254</v>
      </c>
      <c r="X115">
        <v>1.9178082191780823E-2</v>
      </c>
      <c r="Y115">
        <v>7.5737761976978363E-3</v>
      </c>
      <c r="Z115" t="s">
        <v>334</v>
      </c>
      <c r="AA115" t="s">
        <v>25</v>
      </c>
      <c r="AC115" t="s">
        <v>22</v>
      </c>
      <c r="AD115" t="s">
        <v>334</v>
      </c>
      <c r="AE115">
        <v>1.4296668091983874E-2</v>
      </c>
      <c r="AG115" t="s">
        <v>97</v>
      </c>
      <c r="AH115" t="s">
        <v>334</v>
      </c>
      <c r="AI115">
        <v>0.25505274676492284</v>
      </c>
    </row>
    <row r="116" spans="5:35" x14ac:dyDescent="0.45">
      <c r="E116" t="s">
        <v>1346</v>
      </c>
      <c r="G116" t="s">
        <v>166</v>
      </c>
      <c r="I116" t="s">
        <v>252</v>
      </c>
      <c r="J116" t="s">
        <v>335</v>
      </c>
      <c r="K116">
        <v>5.5515428738416002E-3</v>
      </c>
      <c r="L116" t="s">
        <v>254</v>
      </c>
      <c r="N116" t="s">
        <v>422</v>
      </c>
      <c r="O116" t="s">
        <v>335</v>
      </c>
      <c r="P116">
        <v>1.3796285173653233E-3</v>
      </c>
      <c r="Q116" t="s">
        <v>254</v>
      </c>
      <c r="S116" t="s">
        <v>423</v>
      </c>
      <c r="T116" t="s">
        <v>335</v>
      </c>
      <c r="U116">
        <v>1.6087281138393726E-3</v>
      </c>
      <c r="V116" t="s">
        <v>254</v>
      </c>
      <c r="X116">
        <v>2.7397260273972603E-3</v>
      </c>
      <c r="Y116">
        <v>4.5744971782313605E-3</v>
      </c>
      <c r="Z116" t="s">
        <v>335</v>
      </c>
      <c r="AA116" t="s">
        <v>25</v>
      </c>
      <c r="AC116" t="s">
        <v>22</v>
      </c>
      <c r="AD116" t="s">
        <v>335</v>
      </c>
      <c r="AE116">
        <v>2.6886357866799061E-3</v>
      </c>
      <c r="AG116" t="s">
        <v>97</v>
      </c>
      <c r="AH116" t="s">
        <v>335</v>
      </c>
      <c r="AI116">
        <v>9.6975109500434753E-2</v>
      </c>
    </row>
    <row r="117" spans="5:35" x14ac:dyDescent="0.45">
      <c r="E117" t="s">
        <v>1347</v>
      </c>
      <c r="G117" t="s">
        <v>166</v>
      </c>
      <c r="I117" t="s">
        <v>252</v>
      </c>
      <c r="J117" t="s">
        <v>336</v>
      </c>
      <c r="K117">
        <v>1.6055817640576099E-2</v>
      </c>
      <c r="L117" t="s">
        <v>254</v>
      </c>
      <c r="N117" t="s">
        <v>422</v>
      </c>
      <c r="O117" t="s">
        <v>336</v>
      </c>
      <c r="P117">
        <v>2.676620014916014E-3</v>
      </c>
      <c r="Q117" t="s">
        <v>254</v>
      </c>
      <c r="S117" t="s">
        <v>423</v>
      </c>
      <c r="T117" t="s">
        <v>336</v>
      </c>
      <c r="U117">
        <v>3.2220294506682618E-3</v>
      </c>
      <c r="V117" t="s">
        <v>254</v>
      </c>
      <c r="X117">
        <v>5.4794520547945206E-3</v>
      </c>
      <c r="Y117">
        <v>6.9691470054446493E-3</v>
      </c>
      <c r="Z117" t="s">
        <v>336</v>
      </c>
      <c r="AA117" t="s">
        <v>25</v>
      </c>
      <c r="AC117" t="s">
        <v>22</v>
      </c>
      <c r="AD117" t="s">
        <v>336</v>
      </c>
      <c r="AE117">
        <v>5.7118079806829786E-3</v>
      </c>
      <c r="AG117" t="s">
        <v>97</v>
      </c>
      <c r="AH117" t="s">
        <v>336</v>
      </c>
      <c r="AI117">
        <v>9.2162459306260214E-2</v>
      </c>
    </row>
    <row r="118" spans="5:35" x14ac:dyDescent="0.45">
      <c r="E118" t="s">
        <v>1348</v>
      </c>
      <c r="G118" t="s">
        <v>166</v>
      </c>
      <c r="I118" t="s">
        <v>252</v>
      </c>
      <c r="J118" t="s">
        <v>337</v>
      </c>
      <c r="K118">
        <v>2.757382609316E-2</v>
      </c>
      <c r="L118" t="s">
        <v>254</v>
      </c>
      <c r="N118" t="s">
        <v>422</v>
      </c>
      <c r="O118" t="s">
        <v>337</v>
      </c>
      <c r="P118">
        <v>4.3380956060560137E-3</v>
      </c>
      <c r="Q118" t="s">
        <v>254</v>
      </c>
      <c r="S118" t="s">
        <v>423</v>
      </c>
      <c r="T118" t="s">
        <v>337</v>
      </c>
      <c r="U118">
        <v>4.6929631534879512E-3</v>
      </c>
      <c r="V118" t="s">
        <v>254</v>
      </c>
      <c r="X118">
        <v>8.21917808219178E-3</v>
      </c>
      <c r="Y118">
        <v>1.0175272853839845E-2</v>
      </c>
      <c r="Z118" t="s">
        <v>337</v>
      </c>
      <c r="AA118" t="s">
        <v>25</v>
      </c>
      <c r="AC118" t="s">
        <v>22</v>
      </c>
      <c r="AD118" t="s">
        <v>337</v>
      </c>
      <c r="AE118">
        <v>8.6722542786742719E-3</v>
      </c>
      <c r="AG118" t="s">
        <v>97</v>
      </c>
      <c r="AH118" t="s">
        <v>337</v>
      </c>
      <c r="AI118">
        <v>8.9837902055543983E-2</v>
      </c>
    </row>
    <row r="119" spans="5:35" x14ac:dyDescent="0.45">
      <c r="E119" t="s">
        <v>1349</v>
      </c>
      <c r="G119" t="s">
        <v>166</v>
      </c>
      <c r="I119" t="s">
        <v>252</v>
      </c>
      <c r="J119" t="s">
        <v>338</v>
      </c>
      <c r="K119">
        <v>8.9554376973734993E-3</v>
      </c>
      <c r="L119" t="s">
        <v>254</v>
      </c>
      <c r="N119" t="s">
        <v>422</v>
      </c>
      <c r="O119" t="s">
        <v>338</v>
      </c>
      <c r="P119">
        <v>1.6575736058919398E-3</v>
      </c>
      <c r="Q119" t="s">
        <v>254</v>
      </c>
      <c r="S119" t="s">
        <v>423</v>
      </c>
      <c r="T119" t="s">
        <v>338</v>
      </c>
      <c r="U119">
        <v>1.6579164373267073E-3</v>
      </c>
      <c r="V119" t="s">
        <v>254</v>
      </c>
      <c r="X119">
        <v>2.7397260273972603E-3</v>
      </c>
      <c r="Y119">
        <v>3.572085622653706E-3</v>
      </c>
      <c r="Z119" t="s">
        <v>338</v>
      </c>
      <c r="AA119" t="s">
        <v>25</v>
      </c>
      <c r="AC119" t="s">
        <v>22</v>
      </c>
      <c r="AD119" t="s">
        <v>338</v>
      </c>
      <c r="AE119">
        <v>2.878969118022952E-3</v>
      </c>
      <c r="AG119" t="s">
        <v>97</v>
      </c>
      <c r="AH119" t="s">
        <v>338</v>
      </c>
      <c r="AI119">
        <v>8.7687856968124089E-2</v>
      </c>
    </row>
    <row r="120" spans="5:35" x14ac:dyDescent="0.45">
      <c r="E120" t="s">
        <v>1350</v>
      </c>
      <c r="G120" t="s">
        <v>166</v>
      </c>
      <c r="I120" t="s">
        <v>252</v>
      </c>
      <c r="J120" t="s">
        <v>339</v>
      </c>
      <c r="K120">
        <v>1.7892083548270599E-2</v>
      </c>
      <c r="L120" t="s">
        <v>254</v>
      </c>
      <c r="N120" t="s">
        <v>422</v>
      </c>
      <c r="O120" t="s">
        <v>339</v>
      </c>
      <c r="P120">
        <v>3.5866482383866255E-3</v>
      </c>
      <c r="Q120" t="s">
        <v>254</v>
      </c>
      <c r="S120" t="s">
        <v>423</v>
      </c>
      <c r="T120" t="s">
        <v>339</v>
      </c>
      <c r="U120">
        <v>3.538270192609425E-3</v>
      </c>
      <c r="V120" t="s">
        <v>254</v>
      </c>
      <c r="X120">
        <v>5.4794520547945206E-3</v>
      </c>
      <c r="Y120">
        <v>7.7488004375606007E-3</v>
      </c>
      <c r="Z120" t="s">
        <v>339</v>
      </c>
      <c r="AA120" t="s">
        <v>25</v>
      </c>
      <c r="AC120" t="s">
        <v>22</v>
      </c>
      <c r="AD120" t="s">
        <v>339</v>
      </c>
      <c r="AE120">
        <v>5.7034155473070867E-3</v>
      </c>
      <c r="AG120" t="s">
        <v>97</v>
      </c>
      <c r="AH120" t="s">
        <v>339</v>
      </c>
      <c r="AI120">
        <v>7.9801161564597267E-2</v>
      </c>
    </row>
    <row r="121" spans="5:35" x14ac:dyDescent="0.45">
      <c r="E121" t="s">
        <v>1351</v>
      </c>
      <c r="G121" t="s">
        <v>166</v>
      </c>
      <c r="I121" t="s">
        <v>252</v>
      </c>
      <c r="J121" t="s">
        <v>340</v>
      </c>
      <c r="K121">
        <v>1.49270816794853E-2</v>
      </c>
      <c r="L121" t="s">
        <v>254</v>
      </c>
      <c r="N121" t="s">
        <v>422</v>
      </c>
      <c r="O121" t="s">
        <v>340</v>
      </c>
      <c r="P121">
        <v>3.6977352279668296E-3</v>
      </c>
      <c r="Q121" t="s">
        <v>254</v>
      </c>
      <c r="S121" t="s">
        <v>423</v>
      </c>
      <c r="T121" t="s">
        <v>340</v>
      </c>
      <c r="U121">
        <v>3.7685741730434487E-3</v>
      </c>
      <c r="V121" t="s">
        <v>254</v>
      </c>
      <c r="X121">
        <v>5.4794520547945206E-3</v>
      </c>
      <c r="Y121">
        <v>1.0660567337095693E-2</v>
      </c>
      <c r="Z121" t="s">
        <v>340</v>
      </c>
      <c r="AA121" t="s">
        <v>25</v>
      </c>
      <c r="AC121" t="s">
        <v>22</v>
      </c>
      <c r="AD121" t="s">
        <v>340</v>
      </c>
      <c r="AE121">
        <v>5.6675827718968494E-3</v>
      </c>
      <c r="AG121" t="s">
        <v>97</v>
      </c>
      <c r="AH121" t="s">
        <v>340</v>
      </c>
      <c r="AI121">
        <v>7.2911681386939931E-2</v>
      </c>
    </row>
    <row r="122" spans="5:35" x14ac:dyDescent="0.45">
      <c r="E122" t="s">
        <v>1352</v>
      </c>
      <c r="G122" t="s">
        <v>166</v>
      </c>
      <c r="I122" t="s">
        <v>252</v>
      </c>
      <c r="J122" t="s">
        <v>341</v>
      </c>
      <c r="K122">
        <v>7.0033411333022899E-3</v>
      </c>
      <c r="L122" t="s">
        <v>254</v>
      </c>
      <c r="N122" t="s">
        <v>422</v>
      </c>
      <c r="O122" t="s">
        <v>341</v>
      </c>
      <c r="P122">
        <v>1.0794826416903538E-2</v>
      </c>
      <c r="Q122" t="s">
        <v>254</v>
      </c>
      <c r="S122" t="s">
        <v>423</v>
      </c>
      <c r="T122" t="s">
        <v>341</v>
      </c>
      <c r="U122">
        <v>1.1624040681188847E-2</v>
      </c>
      <c r="V122" t="s">
        <v>254</v>
      </c>
      <c r="X122">
        <v>1.643835616438356E-2</v>
      </c>
      <c r="Y122">
        <v>1.4479278025010568E-2</v>
      </c>
      <c r="Z122" t="s">
        <v>341</v>
      </c>
      <c r="AA122" t="s">
        <v>25</v>
      </c>
      <c r="AC122" t="s">
        <v>22</v>
      </c>
      <c r="AD122" t="s">
        <v>341</v>
      </c>
      <c r="AE122">
        <v>1.5126978085550387E-2</v>
      </c>
      <c r="AG122" t="s">
        <v>97</v>
      </c>
      <c r="AH122" t="s">
        <v>341</v>
      </c>
      <c r="AI122">
        <v>0.16672847604459085</v>
      </c>
    </row>
    <row r="123" spans="5:35" x14ac:dyDescent="0.45">
      <c r="E123" t="s">
        <v>1353</v>
      </c>
      <c r="G123" t="s">
        <v>166</v>
      </c>
      <c r="I123" t="s">
        <v>252</v>
      </c>
      <c r="J123" t="s">
        <v>1915</v>
      </c>
      <c r="K123">
        <v>0</v>
      </c>
      <c r="L123" t="s">
        <v>254</v>
      </c>
      <c r="N123" t="s">
        <v>422</v>
      </c>
      <c r="O123" t="s">
        <v>1915</v>
      </c>
      <c r="P123">
        <v>7.7202843327054671E-5</v>
      </c>
      <c r="Q123" t="s">
        <v>254</v>
      </c>
      <c r="S123" t="s">
        <v>423</v>
      </c>
      <c r="T123" t="s">
        <v>1915</v>
      </c>
      <c r="U123">
        <v>4.2674150112778461E-5</v>
      </c>
      <c r="V123" t="s">
        <v>254</v>
      </c>
      <c r="X123">
        <v>1.1415525114155251E-4</v>
      </c>
      <c r="Y123">
        <v>2.1546544680075254E-5</v>
      </c>
      <c r="Z123" t="s">
        <v>1915</v>
      </c>
      <c r="AA123" t="s">
        <v>25</v>
      </c>
      <c r="AC123" t="s">
        <v>22</v>
      </c>
      <c r="AD123" t="s">
        <v>1915</v>
      </c>
      <c r="AE123">
        <v>8.9584552324365729E-5</v>
      </c>
      <c r="AG123" t="s">
        <v>97</v>
      </c>
      <c r="AH123" t="s">
        <v>1915</v>
      </c>
      <c r="AI123">
        <v>0</v>
      </c>
    </row>
    <row r="124" spans="5:35" x14ac:dyDescent="0.45">
      <c r="E124" t="s">
        <v>1354</v>
      </c>
      <c r="G124" t="s">
        <v>166</v>
      </c>
      <c r="I124" t="s">
        <v>252</v>
      </c>
      <c r="J124" t="s">
        <v>1916</v>
      </c>
      <c r="K124">
        <v>0</v>
      </c>
      <c r="L124" t="s">
        <v>254</v>
      </c>
      <c r="N124" t="s">
        <v>422</v>
      </c>
      <c r="O124" t="s">
        <v>1916</v>
      </c>
      <c r="P124">
        <v>6.0480840993066199E-5</v>
      </c>
      <c r="Q124" t="s">
        <v>254</v>
      </c>
      <c r="S124" t="s">
        <v>423</v>
      </c>
      <c r="T124" t="s">
        <v>1916</v>
      </c>
      <c r="U124">
        <v>3.9275697533704983E-5</v>
      </c>
      <c r="V124" t="s">
        <v>254</v>
      </c>
      <c r="X124">
        <v>1.1415525114155251E-4</v>
      </c>
      <c r="Y124">
        <v>1.4916838624667481E-5</v>
      </c>
      <c r="Z124" t="s">
        <v>1916</v>
      </c>
      <c r="AA124" t="s">
        <v>25</v>
      </c>
      <c r="AC124" t="s">
        <v>22</v>
      </c>
      <c r="AD124" t="s">
        <v>1916</v>
      </c>
      <c r="AE124">
        <v>8.4639102553196337E-5</v>
      </c>
      <c r="AG124" t="s">
        <v>97</v>
      </c>
      <c r="AH124" t="s">
        <v>1916</v>
      </c>
      <c r="AI124">
        <v>0</v>
      </c>
    </row>
    <row r="125" spans="5:35" x14ac:dyDescent="0.45">
      <c r="E125" t="s">
        <v>1355</v>
      </c>
      <c r="G125" t="s">
        <v>166</v>
      </c>
      <c r="I125" t="s">
        <v>252</v>
      </c>
      <c r="J125" t="s">
        <v>1917</v>
      </c>
      <c r="K125">
        <v>0</v>
      </c>
      <c r="L125" t="s">
        <v>254</v>
      </c>
      <c r="N125" t="s">
        <v>422</v>
      </c>
      <c r="O125" t="s">
        <v>1917</v>
      </c>
      <c r="P125">
        <v>4.7824721139245536E-5</v>
      </c>
      <c r="Q125" t="s">
        <v>254</v>
      </c>
      <c r="S125" t="s">
        <v>423</v>
      </c>
      <c r="T125" t="s">
        <v>1917</v>
      </c>
      <c r="U125">
        <v>3.5020508958299002E-5</v>
      </c>
      <c r="V125" t="s">
        <v>254</v>
      </c>
      <c r="X125">
        <v>1.1415525114155251E-4</v>
      </c>
      <c r="Y125">
        <v>1.6574265138519424E-5</v>
      </c>
      <c r="Z125" t="s">
        <v>1917</v>
      </c>
      <c r="AA125" t="s">
        <v>25</v>
      </c>
      <c r="AC125" t="s">
        <v>22</v>
      </c>
      <c r="AD125" t="s">
        <v>1917</v>
      </c>
      <c r="AE125">
        <v>8.2667571129426128E-5</v>
      </c>
      <c r="AG125" t="s">
        <v>97</v>
      </c>
      <c r="AH125" t="s">
        <v>1917</v>
      </c>
      <c r="AI125">
        <v>0</v>
      </c>
    </row>
    <row r="126" spans="5:35" x14ac:dyDescent="0.45">
      <c r="E126" t="s">
        <v>1356</v>
      </c>
      <c r="G126" t="s">
        <v>166</v>
      </c>
      <c r="I126" t="s">
        <v>252</v>
      </c>
      <c r="J126" t="s">
        <v>1918</v>
      </c>
      <c r="K126">
        <v>0</v>
      </c>
      <c r="L126" t="s">
        <v>254</v>
      </c>
      <c r="N126" t="s">
        <v>422</v>
      </c>
      <c r="O126" t="s">
        <v>1918</v>
      </c>
      <c r="P126">
        <v>3.401166308053036E-5</v>
      </c>
      <c r="Q126" t="s">
        <v>254</v>
      </c>
      <c r="S126" t="s">
        <v>423</v>
      </c>
      <c r="T126" t="s">
        <v>1918</v>
      </c>
      <c r="U126">
        <v>2.7159266470415359E-5</v>
      </c>
      <c r="V126" t="s">
        <v>254</v>
      </c>
      <c r="X126">
        <v>1.1415525114155251E-4</v>
      </c>
      <c r="Y126">
        <v>1.4585353321897093E-5</v>
      </c>
      <c r="Z126" t="s">
        <v>1918</v>
      </c>
      <c r="AA126" t="s">
        <v>25</v>
      </c>
      <c r="AC126" t="s">
        <v>22</v>
      </c>
      <c r="AD126" t="s">
        <v>1918</v>
      </c>
      <c r="AE126">
        <v>8.139157348939846E-5</v>
      </c>
      <c r="AG126" t="s">
        <v>97</v>
      </c>
      <c r="AH126" t="s">
        <v>1918</v>
      </c>
      <c r="AI126">
        <v>0</v>
      </c>
    </row>
    <row r="127" spans="5:35" x14ac:dyDescent="0.45">
      <c r="E127" t="s">
        <v>1357</v>
      </c>
      <c r="G127" t="s">
        <v>166</v>
      </c>
      <c r="I127" t="s">
        <v>252</v>
      </c>
      <c r="J127" t="s">
        <v>1919</v>
      </c>
      <c r="K127">
        <v>0</v>
      </c>
      <c r="L127" t="s">
        <v>254</v>
      </c>
      <c r="N127" t="s">
        <v>422</v>
      </c>
      <c r="O127" t="s">
        <v>1919</v>
      </c>
      <c r="P127">
        <v>2.192127759112073E-5</v>
      </c>
      <c r="Q127" t="s">
        <v>254</v>
      </c>
      <c r="S127" t="s">
        <v>423</v>
      </c>
      <c r="T127" t="s">
        <v>1919</v>
      </c>
      <c r="U127">
        <v>1.8556134993848084E-5</v>
      </c>
      <c r="V127" t="s">
        <v>254</v>
      </c>
      <c r="X127">
        <v>1.1415525114155251E-4</v>
      </c>
      <c r="Y127">
        <v>2.1215059377304864E-5</v>
      </c>
      <c r="Z127" t="s">
        <v>1919</v>
      </c>
      <c r="AA127" t="s">
        <v>25</v>
      </c>
      <c r="AC127" t="s">
        <v>22</v>
      </c>
      <c r="AD127" t="s">
        <v>1919</v>
      </c>
      <c r="AE127">
        <v>8.7053013920302812E-5</v>
      </c>
      <c r="AG127" t="s">
        <v>97</v>
      </c>
      <c r="AH127" t="s">
        <v>1919</v>
      </c>
      <c r="AI127">
        <v>0</v>
      </c>
    </row>
    <row r="128" spans="5:35" x14ac:dyDescent="0.45">
      <c r="E128" t="s">
        <v>1358</v>
      </c>
      <c r="G128" t="s">
        <v>166</v>
      </c>
      <c r="I128" t="s">
        <v>252</v>
      </c>
      <c r="J128" t="s">
        <v>1920</v>
      </c>
      <c r="K128">
        <v>2.1482045428683219E-7</v>
      </c>
      <c r="L128" t="s">
        <v>254</v>
      </c>
      <c r="N128" t="s">
        <v>422</v>
      </c>
      <c r="O128" t="s">
        <v>1920</v>
      </c>
      <c r="P128">
        <v>1.3095701165461552E-5</v>
      </c>
      <c r="Q128" t="s">
        <v>254</v>
      </c>
      <c r="S128" t="s">
        <v>423</v>
      </c>
      <c r="T128" t="s">
        <v>1920</v>
      </c>
      <c r="U128">
        <v>1.1222642358857039E-5</v>
      </c>
      <c r="V128" t="s">
        <v>254</v>
      </c>
      <c r="X128">
        <v>1.1415525114155251E-4</v>
      </c>
      <c r="Y128">
        <v>5.7678442682047593E-5</v>
      </c>
      <c r="Z128" t="s">
        <v>1920</v>
      </c>
      <c r="AA128" t="s">
        <v>25</v>
      </c>
      <c r="AC128" t="s">
        <v>22</v>
      </c>
      <c r="AD128" t="s">
        <v>1920</v>
      </c>
      <c r="AE128">
        <v>1.017333795543687E-4</v>
      </c>
      <c r="AG128" t="s">
        <v>97</v>
      </c>
      <c r="AH128" t="s">
        <v>1920</v>
      </c>
      <c r="AI128">
        <v>0</v>
      </c>
    </row>
    <row r="129" spans="5:35" x14ac:dyDescent="0.45">
      <c r="E129" t="s">
        <v>1359</v>
      </c>
      <c r="G129" t="s">
        <v>166</v>
      </c>
      <c r="I129" t="s">
        <v>252</v>
      </c>
      <c r="J129" t="s">
        <v>1921</v>
      </c>
      <c r="K129">
        <v>8.8882619634613876E-5</v>
      </c>
      <c r="L129" t="s">
        <v>254</v>
      </c>
      <c r="N129" t="s">
        <v>422</v>
      </c>
      <c r="O129" t="s">
        <v>1921</v>
      </c>
      <c r="P129">
        <v>7.863047377529743E-6</v>
      </c>
      <c r="Q129" t="s">
        <v>254</v>
      </c>
      <c r="S129" t="s">
        <v>423</v>
      </c>
      <c r="T129" t="s">
        <v>1921</v>
      </c>
      <c r="U129">
        <v>5.1366239567740714E-6</v>
      </c>
      <c r="V129" t="s">
        <v>254</v>
      </c>
      <c r="X129">
        <v>1.1415525114155251E-4</v>
      </c>
      <c r="Y129">
        <v>1.6905750441289813E-4</v>
      </c>
      <c r="Z129" t="s">
        <v>1921</v>
      </c>
      <c r="AA129" t="s">
        <v>25</v>
      </c>
      <c r="AC129" t="s">
        <v>22</v>
      </c>
      <c r="AD129" t="s">
        <v>1921</v>
      </c>
      <c r="AE129">
        <v>1.1450614150214072E-4</v>
      </c>
      <c r="AG129" t="s">
        <v>97</v>
      </c>
      <c r="AH129" t="s">
        <v>1921</v>
      </c>
      <c r="AI129">
        <v>0</v>
      </c>
    </row>
    <row r="130" spans="5:35" x14ac:dyDescent="0.45">
      <c r="E130" t="s">
        <v>1360</v>
      </c>
      <c r="G130" t="s">
        <v>166</v>
      </c>
      <c r="I130" t="s">
        <v>252</v>
      </c>
      <c r="J130" t="s">
        <v>1922</v>
      </c>
      <c r="K130">
        <v>1.8967929420020001E-4</v>
      </c>
      <c r="L130" t="s">
        <v>254</v>
      </c>
      <c r="N130" t="s">
        <v>422</v>
      </c>
      <c r="O130" t="s">
        <v>1922</v>
      </c>
      <c r="P130">
        <v>4.4990723743956429E-6</v>
      </c>
      <c r="Q130" t="s">
        <v>254</v>
      </c>
      <c r="S130" t="s">
        <v>423</v>
      </c>
      <c r="T130" t="s">
        <v>1922</v>
      </c>
      <c r="U130">
        <v>1.6636561995101367E-6</v>
      </c>
      <c r="V130" t="s">
        <v>254</v>
      </c>
      <c r="X130">
        <v>1.1415525114155251E-4</v>
      </c>
      <c r="Y130">
        <v>1.9060404909297337E-4</v>
      </c>
      <c r="Z130" t="s">
        <v>1922</v>
      </c>
      <c r="AA130" t="s">
        <v>25</v>
      </c>
      <c r="AC130" t="s">
        <v>22</v>
      </c>
      <c r="AD130" t="s">
        <v>1922</v>
      </c>
      <c r="AE130">
        <v>1.2308780098096411E-4</v>
      </c>
      <c r="AG130" t="s">
        <v>97</v>
      </c>
      <c r="AH130" t="s">
        <v>1922</v>
      </c>
      <c r="AI130">
        <v>0</v>
      </c>
    </row>
    <row r="131" spans="5:35" x14ac:dyDescent="0.45">
      <c r="E131" t="s">
        <v>1361</v>
      </c>
      <c r="G131" t="s">
        <v>166</v>
      </c>
      <c r="I131" t="s">
        <v>252</v>
      </c>
      <c r="J131" t="s">
        <v>1923</v>
      </c>
      <c r="K131">
        <v>2.6032548271060001E-4</v>
      </c>
      <c r="L131" t="s">
        <v>254</v>
      </c>
      <c r="N131" t="s">
        <v>422</v>
      </c>
      <c r="O131" t="s">
        <v>1923</v>
      </c>
      <c r="P131">
        <v>1.9341065082449028E-6</v>
      </c>
      <c r="Q131" t="s">
        <v>254</v>
      </c>
      <c r="S131" t="s">
        <v>423</v>
      </c>
      <c r="T131" t="s">
        <v>1923</v>
      </c>
      <c r="U131">
        <v>5.6623507162717785E-7</v>
      </c>
      <c r="V131" t="s">
        <v>254</v>
      </c>
      <c r="X131">
        <v>1.1415525114155251E-4</v>
      </c>
      <c r="Y131">
        <v>1.4585353321897094E-4</v>
      </c>
      <c r="Z131" t="s">
        <v>1923</v>
      </c>
      <c r="AA131" t="s">
        <v>25</v>
      </c>
      <c r="AC131" t="s">
        <v>22</v>
      </c>
      <c r="AD131" t="s">
        <v>1923</v>
      </c>
      <c r="AE131">
        <v>1.2709479156598088E-4</v>
      </c>
      <c r="AG131" t="s">
        <v>97</v>
      </c>
      <c r="AH131" t="s">
        <v>1923</v>
      </c>
      <c r="AI131">
        <v>0</v>
      </c>
    </row>
    <row r="132" spans="5:35" x14ac:dyDescent="0.45">
      <c r="E132" t="s">
        <v>1362</v>
      </c>
      <c r="G132" t="s">
        <v>166</v>
      </c>
      <c r="I132" t="s">
        <v>252</v>
      </c>
      <c r="J132" t="s">
        <v>1924</v>
      </c>
      <c r="K132">
        <v>3.0540458736230002E-4</v>
      </c>
      <c r="L132" t="s">
        <v>254</v>
      </c>
      <c r="N132" t="s">
        <v>422</v>
      </c>
      <c r="O132" t="s">
        <v>1924</v>
      </c>
      <c r="P132">
        <v>1.7615603710087599E-6</v>
      </c>
      <c r="Q132" t="s">
        <v>254</v>
      </c>
      <c r="S132" t="s">
        <v>423</v>
      </c>
      <c r="T132" t="s">
        <v>1924</v>
      </c>
      <c r="U132">
        <v>7.6118090535149389E-7</v>
      </c>
      <c r="V132" t="s">
        <v>254</v>
      </c>
      <c r="X132">
        <v>1.1415525114155251E-4</v>
      </c>
      <c r="Y132">
        <v>1.4452759200788939E-4</v>
      </c>
      <c r="Z132" t="s">
        <v>1924</v>
      </c>
      <c r="AA132" t="s">
        <v>25</v>
      </c>
      <c r="AC132" t="s">
        <v>22</v>
      </c>
      <c r="AD132" t="s">
        <v>1924</v>
      </c>
      <c r="AE132">
        <v>1.2747068666234173E-4</v>
      </c>
      <c r="AG132" t="s">
        <v>97</v>
      </c>
      <c r="AH132" t="s">
        <v>1924</v>
      </c>
      <c r="AI132">
        <v>0</v>
      </c>
    </row>
    <row r="133" spans="5:35" x14ac:dyDescent="0.45">
      <c r="E133" t="s">
        <v>1363</v>
      </c>
      <c r="G133" t="s">
        <v>166</v>
      </c>
      <c r="I133" t="s">
        <v>252</v>
      </c>
      <c r="J133" t="s">
        <v>1925</v>
      </c>
      <c r="K133">
        <v>3.4640050456559998E-4</v>
      </c>
      <c r="L133" t="s">
        <v>254</v>
      </c>
      <c r="N133" t="s">
        <v>422</v>
      </c>
      <c r="O133" t="s">
        <v>1925</v>
      </c>
      <c r="P133">
        <v>1.790279474932652E-6</v>
      </c>
      <c r="Q133" t="s">
        <v>254</v>
      </c>
      <c r="S133" t="s">
        <v>423</v>
      </c>
      <c r="T133" t="s">
        <v>1925</v>
      </c>
      <c r="U133">
        <v>2.2282912897258297E-6</v>
      </c>
      <c r="V133" t="s">
        <v>254</v>
      </c>
      <c r="X133">
        <v>1.1415525114155251E-4</v>
      </c>
      <c r="Y133">
        <v>1.408812536774151E-4</v>
      </c>
      <c r="Z133" t="s">
        <v>1925</v>
      </c>
      <c r="AA133" t="s">
        <v>25</v>
      </c>
      <c r="AC133" t="s">
        <v>22</v>
      </c>
      <c r="AD133" t="s">
        <v>1925</v>
      </c>
      <c r="AE133">
        <v>1.2774429737874048E-4</v>
      </c>
      <c r="AG133" t="s">
        <v>97</v>
      </c>
      <c r="AH133" t="s">
        <v>1925</v>
      </c>
      <c r="AI133">
        <v>0</v>
      </c>
    </row>
    <row r="134" spans="5:35" x14ac:dyDescent="0.45">
      <c r="E134" t="s">
        <v>1364</v>
      </c>
      <c r="G134" t="s">
        <v>166</v>
      </c>
      <c r="I134" t="s">
        <v>252</v>
      </c>
      <c r="J134" t="s">
        <v>1926</v>
      </c>
      <c r="K134">
        <v>3.5544721031579999E-4</v>
      </c>
      <c r="L134" t="s">
        <v>254</v>
      </c>
      <c r="N134" t="s">
        <v>422</v>
      </c>
      <c r="O134" t="s">
        <v>1926</v>
      </c>
      <c r="P134">
        <v>3.0924075047444737E-6</v>
      </c>
      <c r="Q134" t="s">
        <v>254</v>
      </c>
      <c r="S134" t="s">
        <v>423</v>
      </c>
      <c r="T134" t="s">
        <v>1926</v>
      </c>
      <c r="U134">
        <v>2.376878097729589E-6</v>
      </c>
      <c r="V134" t="s">
        <v>254</v>
      </c>
      <c r="X134">
        <v>1.1415525114155251E-4</v>
      </c>
      <c r="Y134">
        <v>1.4054976837464471E-4</v>
      </c>
      <c r="Z134" t="s">
        <v>1926</v>
      </c>
      <c r="AA134" t="s">
        <v>25</v>
      </c>
      <c r="AC134" t="s">
        <v>22</v>
      </c>
      <c r="AD134" t="s">
        <v>1926</v>
      </c>
      <c r="AE134">
        <v>1.2784913886820163E-4</v>
      </c>
      <c r="AG134" t="s">
        <v>97</v>
      </c>
      <c r="AH134" t="s">
        <v>1926</v>
      </c>
      <c r="AI134">
        <v>0</v>
      </c>
    </row>
    <row r="135" spans="5:35" x14ac:dyDescent="0.45">
      <c r="E135" t="s">
        <v>1365</v>
      </c>
      <c r="G135" t="s">
        <v>166</v>
      </c>
      <c r="I135" t="s">
        <v>252</v>
      </c>
      <c r="J135" t="s">
        <v>1927</v>
      </c>
      <c r="K135">
        <v>3.3412595098299998E-4</v>
      </c>
      <c r="L135" t="s">
        <v>254</v>
      </c>
      <c r="N135" t="s">
        <v>422</v>
      </c>
      <c r="O135" t="s">
        <v>1927</v>
      </c>
      <c r="P135">
        <v>5.715899167645322E-6</v>
      </c>
      <c r="Q135" t="s">
        <v>254</v>
      </c>
      <c r="S135" t="s">
        <v>423</v>
      </c>
      <c r="T135" t="s">
        <v>1927</v>
      </c>
      <c r="U135">
        <v>2.3814710728945893E-6</v>
      </c>
      <c r="V135" t="s">
        <v>254</v>
      </c>
      <c r="X135">
        <v>1.1415525114155251E-4</v>
      </c>
      <c r="Y135">
        <v>1.4253868019126702E-4</v>
      </c>
      <c r="Z135" t="s">
        <v>1927</v>
      </c>
      <c r="AA135" t="s">
        <v>25</v>
      </c>
      <c r="AC135" t="s">
        <v>22</v>
      </c>
      <c r="AD135" t="s">
        <v>1927</v>
      </c>
      <c r="AE135">
        <v>1.2892312485780408E-4</v>
      </c>
      <c r="AG135" t="s">
        <v>97</v>
      </c>
      <c r="AH135" t="s">
        <v>1927</v>
      </c>
      <c r="AI135">
        <v>0</v>
      </c>
    </row>
    <row r="136" spans="5:35" x14ac:dyDescent="0.45">
      <c r="E136" t="s">
        <v>1366</v>
      </c>
      <c r="G136" t="s">
        <v>166</v>
      </c>
      <c r="I136" t="s">
        <v>252</v>
      </c>
      <c r="J136" t="s">
        <v>1928</v>
      </c>
      <c r="K136">
        <v>3.289827738823E-4</v>
      </c>
      <c r="L136" t="s">
        <v>254</v>
      </c>
      <c r="N136" t="s">
        <v>422</v>
      </c>
      <c r="O136" t="s">
        <v>1928</v>
      </c>
      <c r="P136">
        <v>8.8945698734103068E-6</v>
      </c>
      <c r="Q136" t="s">
        <v>254</v>
      </c>
      <c r="S136" t="s">
        <v>423</v>
      </c>
      <c r="T136" t="s">
        <v>1928</v>
      </c>
      <c r="U136">
        <v>4.6137953673257388E-6</v>
      </c>
      <c r="V136" t="s">
        <v>254</v>
      </c>
      <c r="X136">
        <v>1.1415525114155251E-4</v>
      </c>
      <c r="Y136">
        <v>1.4883690094390442E-4</v>
      </c>
      <c r="Z136" t="s">
        <v>1928</v>
      </c>
      <c r="AA136" t="s">
        <v>25</v>
      </c>
      <c r="AC136" t="s">
        <v>22</v>
      </c>
      <c r="AD136" t="s">
        <v>1928</v>
      </c>
      <c r="AE136">
        <v>1.2851910155695366E-4</v>
      </c>
      <c r="AG136" t="s">
        <v>97</v>
      </c>
      <c r="AH136" t="s">
        <v>1928</v>
      </c>
      <c r="AI136">
        <v>0</v>
      </c>
    </row>
    <row r="137" spans="5:35" x14ac:dyDescent="0.45">
      <c r="E137" t="s">
        <v>1367</v>
      </c>
      <c r="G137" t="s">
        <v>166</v>
      </c>
      <c r="I137" t="s">
        <v>252</v>
      </c>
      <c r="J137" t="s">
        <v>1929</v>
      </c>
      <c r="K137">
        <v>3.0248621117670002E-4</v>
      </c>
      <c r="L137" t="s">
        <v>254</v>
      </c>
      <c r="N137" t="s">
        <v>422</v>
      </c>
      <c r="O137" t="s">
        <v>1929</v>
      </c>
      <c r="P137">
        <v>1.1943163050543637E-5</v>
      </c>
      <c r="Q137" t="s">
        <v>254</v>
      </c>
      <c r="S137" t="s">
        <v>423</v>
      </c>
      <c r="T137" t="s">
        <v>1929</v>
      </c>
      <c r="U137">
        <v>6.9714950816156917E-6</v>
      </c>
      <c r="V137" t="s">
        <v>254</v>
      </c>
      <c r="X137">
        <v>1.1415525114155251E-4</v>
      </c>
      <c r="Y137">
        <v>1.5049432745775637E-4</v>
      </c>
      <c r="Z137" t="s">
        <v>1929</v>
      </c>
      <c r="AA137" t="s">
        <v>25</v>
      </c>
      <c r="AC137" t="s">
        <v>22</v>
      </c>
      <c r="AD137" t="s">
        <v>1929</v>
      </c>
      <c r="AE137">
        <v>1.2740420181536635E-4</v>
      </c>
      <c r="AG137" t="s">
        <v>97</v>
      </c>
      <c r="AH137" t="s">
        <v>1929</v>
      </c>
      <c r="AI137">
        <v>0</v>
      </c>
    </row>
    <row r="138" spans="5:35" x14ac:dyDescent="0.45">
      <c r="E138" t="s">
        <v>1368</v>
      </c>
      <c r="G138" t="s">
        <v>166</v>
      </c>
      <c r="I138" t="s">
        <v>252</v>
      </c>
      <c r="J138" t="s">
        <v>1930</v>
      </c>
      <c r="K138">
        <v>2.5145354020510001E-4</v>
      </c>
      <c r="L138" t="s">
        <v>254</v>
      </c>
      <c r="N138" t="s">
        <v>422</v>
      </c>
      <c r="O138" t="s">
        <v>1930</v>
      </c>
      <c r="P138">
        <v>1.3242036729857386E-5</v>
      </c>
      <c r="Q138" t="s">
        <v>254</v>
      </c>
      <c r="S138" t="s">
        <v>423</v>
      </c>
      <c r="T138" t="s">
        <v>1930</v>
      </c>
      <c r="U138">
        <v>6.3114449172557824E-6</v>
      </c>
      <c r="V138" t="s">
        <v>254</v>
      </c>
      <c r="X138">
        <v>1.1415525114155251E-4</v>
      </c>
      <c r="Y138">
        <v>1.7237235744060203E-4</v>
      </c>
      <c r="Z138" t="s">
        <v>1930</v>
      </c>
      <c r="AA138" t="s">
        <v>25</v>
      </c>
      <c r="AC138" t="s">
        <v>22</v>
      </c>
      <c r="AD138" t="s">
        <v>1930</v>
      </c>
      <c r="AE138">
        <v>1.2703086382850453E-4</v>
      </c>
      <c r="AG138" t="s">
        <v>97</v>
      </c>
      <c r="AH138" t="s">
        <v>1930</v>
      </c>
      <c r="AI138">
        <v>0</v>
      </c>
    </row>
    <row r="139" spans="5:35" x14ac:dyDescent="0.45">
      <c r="E139" t="s">
        <v>1369</v>
      </c>
      <c r="G139" t="s">
        <v>166</v>
      </c>
      <c r="I139" t="s">
        <v>252</v>
      </c>
      <c r="J139" t="s">
        <v>1931</v>
      </c>
      <c r="K139">
        <v>1.916550329768E-4</v>
      </c>
      <c r="L139" t="s">
        <v>254</v>
      </c>
      <c r="N139" t="s">
        <v>422</v>
      </c>
      <c r="O139" t="s">
        <v>1931</v>
      </c>
      <c r="P139">
        <v>1.9733809122272959E-5</v>
      </c>
      <c r="Q139" t="s">
        <v>254</v>
      </c>
      <c r="S139" t="s">
        <v>423</v>
      </c>
      <c r="T139" t="s">
        <v>1931</v>
      </c>
      <c r="U139">
        <v>5.3413732681281927E-6</v>
      </c>
      <c r="V139" t="s">
        <v>254</v>
      </c>
      <c r="X139">
        <v>1.1415525114155251E-4</v>
      </c>
      <c r="Y139">
        <v>2.2209515285616027E-4</v>
      </c>
      <c r="Z139" t="s">
        <v>1931</v>
      </c>
      <c r="AA139" t="s">
        <v>25</v>
      </c>
      <c r="AC139" t="s">
        <v>22</v>
      </c>
      <c r="AD139" t="s">
        <v>1931</v>
      </c>
      <c r="AE139">
        <v>1.2667286849863703E-4</v>
      </c>
      <c r="AG139" t="s">
        <v>97</v>
      </c>
      <c r="AH139" t="s">
        <v>1931</v>
      </c>
      <c r="AI139">
        <v>0</v>
      </c>
    </row>
    <row r="140" spans="5:35" x14ac:dyDescent="0.45">
      <c r="E140" t="s">
        <v>1370</v>
      </c>
      <c r="G140" t="s">
        <v>166</v>
      </c>
      <c r="I140" t="s">
        <v>252</v>
      </c>
      <c r="J140" t="s">
        <v>1932</v>
      </c>
      <c r="K140">
        <v>1.4679809963520001E-4</v>
      </c>
      <c r="L140" t="s">
        <v>254</v>
      </c>
      <c r="N140" t="s">
        <v>422</v>
      </c>
      <c r="O140" t="s">
        <v>1932</v>
      </c>
      <c r="P140">
        <v>2.0198535267064229E-5</v>
      </c>
      <c r="Q140" t="s">
        <v>254</v>
      </c>
      <c r="S140" t="s">
        <v>423</v>
      </c>
      <c r="T140" t="s">
        <v>1932</v>
      </c>
      <c r="U140">
        <v>6.2233401587142525E-6</v>
      </c>
      <c r="V140" t="s">
        <v>254</v>
      </c>
      <c r="X140">
        <v>1.1415525114155251E-4</v>
      </c>
      <c r="Y140">
        <v>2.2209515285616027E-4</v>
      </c>
      <c r="Z140" t="s">
        <v>1932</v>
      </c>
      <c r="AA140" t="s">
        <v>25</v>
      </c>
      <c r="AC140" t="s">
        <v>22</v>
      </c>
      <c r="AD140" t="s">
        <v>1932</v>
      </c>
      <c r="AE140">
        <v>1.2535084288762643E-4</v>
      </c>
      <c r="AG140" t="s">
        <v>97</v>
      </c>
      <c r="AH140" t="s">
        <v>1932</v>
      </c>
      <c r="AI140">
        <v>0</v>
      </c>
    </row>
    <row r="141" spans="5:35" x14ac:dyDescent="0.45">
      <c r="E141" t="s">
        <v>1371</v>
      </c>
      <c r="G141" t="s">
        <v>166</v>
      </c>
      <c r="I141" t="s">
        <v>252</v>
      </c>
      <c r="J141" t="s">
        <v>1933</v>
      </c>
      <c r="K141">
        <v>1.003602631514E-4</v>
      </c>
      <c r="L141" t="s">
        <v>254</v>
      </c>
      <c r="N141" t="s">
        <v>422</v>
      </c>
      <c r="O141" t="s">
        <v>1933</v>
      </c>
      <c r="P141">
        <v>2.3007953970991813E-5</v>
      </c>
      <c r="Q141" t="s">
        <v>254</v>
      </c>
      <c r="S141" t="s">
        <v>423</v>
      </c>
      <c r="T141" t="s">
        <v>1933</v>
      </c>
      <c r="U141">
        <v>8.3552519337187975E-6</v>
      </c>
      <c r="V141" t="s">
        <v>254</v>
      </c>
      <c r="X141">
        <v>1.1415525114155251E-4</v>
      </c>
      <c r="Y141">
        <v>1.7237235744060203E-4</v>
      </c>
      <c r="Z141" t="s">
        <v>1933</v>
      </c>
      <c r="AA141" t="s">
        <v>25</v>
      </c>
      <c r="AC141" t="s">
        <v>22</v>
      </c>
      <c r="AD141" t="s">
        <v>1933</v>
      </c>
      <c r="AE141">
        <v>1.2415922986106751E-4</v>
      </c>
      <c r="AG141" t="s">
        <v>97</v>
      </c>
      <c r="AH141" t="s">
        <v>1933</v>
      </c>
      <c r="AI141">
        <v>0</v>
      </c>
    </row>
    <row r="142" spans="5:35" x14ac:dyDescent="0.45">
      <c r="E142" t="s">
        <v>1372</v>
      </c>
      <c r="G142" t="s">
        <v>166</v>
      </c>
      <c r="I142" t="s">
        <v>252</v>
      </c>
      <c r="J142" t="s">
        <v>1934</v>
      </c>
      <c r="K142">
        <v>4.2406946228324088E-5</v>
      </c>
      <c r="L142" t="s">
        <v>254</v>
      </c>
      <c r="N142" t="s">
        <v>422</v>
      </c>
      <c r="O142" t="s">
        <v>1934</v>
      </c>
      <c r="P142">
        <v>2.9010386449972675E-5</v>
      </c>
      <c r="Q142" t="s">
        <v>254</v>
      </c>
      <c r="S142" t="s">
        <v>423</v>
      </c>
      <c r="T142" t="s">
        <v>1934</v>
      </c>
      <c r="U142">
        <v>9.9243614921079915E-6</v>
      </c>
      <c r="V142" t="s">
        <v>254</v>
      </c>
      <c r="X142">
        <v>1.1415525114155251E-4</v>
      </c>
      <c r="Y142">
        <v>1.5579809230208258E-4</v>
      </c>
      <c r="Z142" t="s">
        <v>1934</v>
      </c>
      <c r="AA142" t="s">
        <v>25</v>
      </c>
      <c r="AC142" t="s">
        <v>22</v>
      </c>
      <c r="AD142" t="s">
        <v>1934</v>
      </c>
      <c r="AE142">
        <v>1.2170440474197619E-4</v>
      </c>
      <c r="AG142" t="s">
        <v>97</v>
      </c>
      <c r="AH142" t="s">
        <v>1934</v>
      </c>
      <c r="AI142">
        <v>0</v>
      </c>
    </row>
    <row r="143" spans="5:35" x14ac:dyDescent="0.45">
      <c r="E143" t="s">
        <v>1373</v>
      </c>
      <c r="G143" t="s">
        <v>166</v>
      </c>
      <c r="I143" t="s">
        <v>252</v>
      </c>
      <c r="J143" t="s">
        <v>1935</v>
      </c>
      <c r="K143">
        <v>0</v>
      </c>
      <c r="L143" t="s">
        <v>254</v>
      </c>
      <c r="N143" t="s">
        <v>422</v>
      </c>
      <c r="O143" t="s">
        <v>1935</v>
      </c>
      <c r="P143">
        <v>3.8856197555067081E-5</v>
      </c>
      <c r="Q143" t="s">
        <v>254</v>
      </c>
      <c r="S143" t="s">
        <v>423</v>
      </c>
      <c r="T143" t="s">
        <v>1935</v>
      </c>
      <c r="U143">
        <v>9.4161508065793394E-6</v>
      </c>
      <c r="V143" t="s">
        <v>254</v>
      </c>
      <c r="X143">
        <v>1.1415525114155251E-4</v>
      </c>
      <c r="Y143">
        <v>1.093901499142282E-4</v>
      </c>
      <c r="Z143" t="s">
        <v>1935</v>
      </c>
      <c r="AA143" t="s">
        <v>25</v>
      </c>
      <c r="AC143" t="s">
        <v>22</v>
      </c>
      <c r="AD143" t="s">
        <v>1935</v>
      </c>
      <c r="AE143">
        <v>1.1545994334528765E-4</v>
      </c>
      <c r="AG143" t="s">
        <v>97</v>
      </c>
      <c r="AH143" t="s">
        <v>1935</v>
      </c>
      <c r="AI143">
        <v>0</v>
      </c>
    </row>
    <row r="144" spans="5:35" x14ac:dyDescent="0.45">
      <c r="E144" t="s">
        <v>1374</v>
      </c>
      <c r="G144" t="s">
        <v>166</v>
      </c>
      <c r="I144" t="s">
        <v>252</v>
      </c>
      <c r="J144" t="s">
        <v>1936</v>
      </c>
      <c r="K144">
        <v>0</v>
      </c>
      <c r="L144" t="s">
        <v>254</v>
      </c>
      <c r="N144" t="s">
        <v>422</v>
      </c>
      <c r="O144" t="s">
        <v>1936</v>
      </c>
      <c r="P144">
        <v>4.6788902490008283E-5</v>
      </c>
      <c r="Q144" t="s">
        <v>254</v>
      </c>
      <c r="S144" t="s">
        <v>423</v>
      </c>
      <c r="T144" t="s">
        <v>1936</v>
      </c>
      <c r="U144">
        <v>1.0815912420637584E-5</v>
      </c>
      <c r="V144" t="s">
        <v>254</v>
      </c>
      <c r="X144">
        <v>1.1415525114155251E-4</v>
      </c>
      <c r="Y144">
        <v>7.9556472664893237E-5</v>
      </c>
      <c r="Z144" t="s">
        <v>1936</v>
      </c>
      <c r="AA144" t="s">
        <v>25</v>
      </c>
      <c r="AC144" t="s">
        <v>22</v>
      </c>
      <c r="AD144" t="s">
        <v>1936</v>
      </c>
      <c r="AE144">
        <v>1.0890862880871271E-4</v>
      </c>
      <c r="AG144" t="s">
        <v>97</v>
      </c>
      <c r="AH144" t="s">
        <v>1936</v>
      </c>
      <c r="AI144">
        <v>0</v>
      </c>
    </row>
    <row r="145" spans="5:35" x14ac:dyDescent="0.45">
      <c r="E145" t="s">
        <v>1375</v>
      </c>
      <c r="G145" t="s">
        <v>166</v>
      </c>
      <c r="I145" t="s">
        <v>252</v>
      </c>
      <c r="J145" t="s">
        <v>1937</v>
      </c>
      <c r="K145">
        <v>0</v>
      </c>
      <c r="L145" t="s">
        <v>254</v>
      </c>
      <c r="N145" t="s">
        <v>422</v>
      </c>
      <c r="O145" t="s">
        <v>1937</v>
      </c>
      <c r="P145">
        <v>5.3251611982961312E-5</v>
      </c>
      <c r="Q145" t="s">
        <v>254</v>
      </c>
      <c r="S145" t="s">
        <v>423</v>
      </c>
      <c r="T145" t="s">
        <v>1937</v>
      </c>
      <c r="U145">
        <v>1.3847296375010571E-5</v>
      </c>
      <c r="V145" t="s">
        <v>254</v>
      </c>
      <c r="X145">
        <v>1.1415525114155251E-4</v>
      </c>
      <c r="Y145">
        <v>5.6352501470966035E-5</v>
      </c>
      <c r="Z145" t="s">
        <v>1937</v>
      </c>
      <c r="AA145" t="s">
        <v>25</v>
      </c>
      <c r="AC145" t="s">
        <v>22</v>
      </c>
      <c r="AD145" t="s">
        <v>1937</v>
      </c>
      <c r="AE145">
        <v>1.0200187605176931E-4</v>
      </c>
      <c r="AG145" t="s">
        <v>97</v>
      </c>
      <c r="AH145" t="s">
        <v>1937</v>
      </c>
      <c r="AI145">
        <v>0</v>
      </c>
    </row>
    <row r="146" spans="5:35" x14ac:dyDescent="0.45">
      <c r="E146" t="s">
        <v>1376</v>
      </c>
      <c r="G146" t="s">
        <v>166</v>
      </c>
      <c r="I146" t="s">
        <v>252</v>
      </c>
      <c r="J146" t="s">
        <v>1938</v>
      </c>
      <c r="K146">
        <v>0</v>
      </c>
      <c r="L146" t="s">
        <v>254</v>
      </c>
      <c r="N146" t="s">
        <v>422</v>
      </c>
      <c r="O146" t="s">
        <v>1938</v>
      </c>
      <c r="P146">
        <v>5.1930327989647472E-5</v>
      </c>
      <c r="Q146" t="s">
        <v>254</v>
      </c>
      <c r="S146" t="s">
        <v>423</v>
      </c>
      <c r="T146" t="s">
        <v>1938</v>
      </c>
      <c r="U146">
        <v>1.7678888109079146E-5</v>
      </c>
      <c r="V146" t="s">
        <v>254</v>
      </c>
      <c r="X146">
        <v>1.1415525114155251E-4</v>
      </c>
      <c r="Y146">
        <v>2.9833677249334962E-5</v>
      </c>
      <c r="Z146" t="s">
        <v>1938</v>
      </c>
      <c r="AA146" t="s">
        <v>25</v>
      </c>
      <c r="AC146" t="s">
        <v>22</v>
      </c>
      <c r="AD146" t="s">
        <v>1938</v>
      </c>
      <c r="AE146">
        <v>9.0817079102909493E-5</v>
      </c>
      <c r="AG146" t="s">
        <v>97</v>
      </c>
      <c r="AH146" t="s">
        <v>1938</v>
      </c>
      <c r="AI146">
        <v>0</v>
      </c>
    </row>
    <row r="147" spans="5:35" x14ac:dyDescent="0.45">
      <c r="E147" t="s">
        <v>1377</v>
      </c>
      <c r="G147" t="s">
        <v>166</v>
      </c>
      <c r="I147" t="s">
        <v>252</v>
      </c>
      <c r="J147" t="s">
        <v>1939</v>
      </c>
      <c r="K147">
        <v>0</v>
      </c>
      <c r="L147" t="s">
        <v>254</v>
      </c>
      <c r="N147" t="s">
        <v>422</v>
      </c>
      <c r="O147" t="s">
        <v>1939</v>
      </c>
      <c r="P147">
        <v>4.3566518725653573E-5</v>
      </c>
      <c r="Q147" t="s">
        <v>254</v>
      </c>
      <c r="S147" t="s">
        <v>423</v>
      </c>
      <c r="T147" t="s">
        <v>1939</v>
      </c>
      <c r="U147">
        <v>1.8812162365624E-5</v>
      </c>
      <c r="V147" t="s">
        <v>254</v>
      </c>
      <c r="X147">
        <v>1.1415525114155251E-4</v>
      </c>
      <c r="Y147">
        <v>2.1546544680075254E-5</v>
      </c>
      <c r="Z147" t="s">
        <v>1939</v>
      </c>
      <c r="AA147" t="s">
        <v>25</v>
      </c>
      <c r="AC147" t="s">
        <v>22</v>
      </c>
      <c r="AD147" t="s">
        <v>1939</v>
      </c>
      <c r="AE147">
        <v>8.5142853124509885E-5</v>
      </c>
      <c r="AG147" t="s">
        <v>97</v>
      </c>
      <c r="AH147" t="s">
        <v>1939</v>
      </c>
      <c r="AI147">
        <v>0</v>
      </c>
    </row>
    <row r="148" spans="5:35" x14ac:dyDescent="0.45">
      <c r="E148" t="s">
        <v>1378</v>
      </c>
      <c r="G148" t="s">
        <v>166</v>
      </c>
      <c r="I148" t="s">
        <v>252</v>
      </c>
      <c r="J148" t="s">
        <v>1940</v>
      </c>
      <c r="K148">
        <v>0</v>
      </c>
      <c r="L148" t="s">
        <v>254</v>
      </c>
      <c r="N148" t="s">
        <v>422</v>
      </c>
      <c r="O148" t="s">
        <v>1940</v>
      </c>
      <c r="P148">
        <v>3.9597950954985588E-5</v>
      </c>
      <c r="Q148" t="s">
        <v>254</v>
      </c>
      <c r="S148" t="s">
        <v>423</v>
      </c>
      <c r="T148" t="s">
        <v>1940</v>
      </c>
      <c r="U148">
        <v>2.0318772790369089E-5</v>
      </c>
      <c r="V148" t="s">
        <v>254</v>
      </c>
      <c r="X148">
        <v>1.1415525114155251E-4</v>
      </c>
      <c r="Y148">
        <v>1.4916838624667481E-5</v>
      </c>
      <c r="Z148" t="s">
        <v>1940</v>
      </c>
      <c r="AA148" t="s">
        <v>25</v>
      </c>
      <c r="AC148" t="s">
        <v>22</v>
      </c>
      <c r="AD148" t="s">
        <v>1940</v>
      </c>
      <c r="AE148">
        <v>8.2667571129426128E-5</v>
      </c>
      <c r="AG148" t="s">
        <v>97</v>
      </c>
      <c r="AH148" t="s">
        <v>1940</v>
      </c>
      <c r="AI148">
        <v>0</v>
      </c>
    </row>
    <row r="149" spans="5:35" x14ac:dyDescent="0.45">
      <c r="E149" t="s">
        <v>1379</v>
      </c>
      <c r="G149" t="s">
        <v>166</v>
      </c>
      <c r="I149" t="s">
        <v>252</v>
      </c>
      <c r="J149" t="s">
        <v>1941</v>
      </c>
      <c r="K149">
        <v>0</v>
      </c>
      <c r="L149" t="s">
        <v>254</v>
      </c>
      <c r="N149" t="s">
        <v>422</v>
      </c>
      <c r="O149" t="s">
        <v>1941</v>
      </c>
      <c r="P149">
        <v>4.2184161021988442E-5</v>
      </c>
      <c r="Q149" t="s">
        <v>254</v>
      </c>
      <c r="S149" t="s">
        <v>423</v>
      </c>
      <c r="T149" t="s">
        <v>1941</v>
      </c>
      <c r="U149">
        <v>2.0463124458403155E-5</v>
      </c>
      <c r="V149" t="s">
        <v>254</v>
      </c>
      <c r="X149">
        <v>1.1415525114155251E-4</v>
      </c>
      <c r="Y149">
        <v>1.6574265138519424E-5</v>
      </c>
      <c r="Z149" t="s">
        <v>1941</v>
      </c>
      <c r="AA149" t="s">
        <v>25</v>
      </c>
      <c r="AC149" t="s">
        <v>22</v>
      </c>
      <c r="AD149" t="s">
        <v>1941</v>
      </c>
      <c r="AE149">
        <v>8.0529827588217453E-5</v>
      </c>
      <c r="AG149" t="s">
        <v>97</v>
      </c>
      <c r="AH149" t="s">
        <v>1941</v>
      </c>
      <c r="AI149">
        <v>0</v>
      </c>
    </row>
    <row r="150" spans="5:35" x14ac:dyDescent="0.45">
      <c r="E150" t="s">
        <v>1380</v>
      </c>
      <c r="G150" t="s">
        <v>166</v>
      </c>
      <c r="I150" t="s">
        <v>252</v>
      </c>
      <c r="J150" t="s">
        <v>1942</v>
      </c>
      <c r="K150">
        <v>0</v>
      </c>
      <c r="L150" t="s">
        <v>254</v>
      </c>
      <c r="N150" t="s">
        <v>422</v>
      </c>
      <c r="O150" t="s">
        <v>1942</v>
      </c>
      <c r="P150">
        <v>4.5581159399382388E-5</v>
      </c>
      <c r="Q150" t="s">
        <v>254</v>
      </c>
      <c r="S150" t="s">
        <v>423</v>
      </c>
      <c r="T150" t="s">
        <v>1942</v>
      </c>
      <c r="U150">
        <v>2.202181695061268E-5</v>
      </c>
      <c r="V150" t="s">
        <v>254</v>
      </c>
      <c r="X150">
        <v>1.1415525114155251E-4</v>
      </c>
      <c r="Y150">
        <v>1.4585353321897093E-5</v>
      </c>
      <c r="Z150" t="s">
        <v>1942</v>
      </c>
      <c r="AA150" t="s">
        <v>25</v>
      </c>
      <c r="AC150" t="s">
        <v>22</v>
      </c>
      <c r="AD150" t="s">
        <v>1942</v>
      </c>
      <c r="AE150">
        <v>8.1391573489398474E-5</v>
      </c>
      <c r="AG150" t="s">
        <v>97</v>
      </c>
      <c r="AH150" t="s">
        <v>1942</v>
      </c>
      <c r="AI150">
        <v>0</v>
      </c>
    </row>
    <row r="151" spans="5:35" x14ac:dyDescent="0.45">
      <c r="E151" t="s">
        <v>1381</v>
      </c>
      <c r="G151" t="s">
        <v>166</v>
      </c>
      <c r="I151" t="s">
        <v>252</v>
      </c>
      <c r="J151" t="s">
        <v>1943</v>
      </c>
      <c r="K151">
        <v>0</v>
      </c>
      <c r="L151" t="s">
        <v>254</v>
      </c>
      <c r="N151" t="s">
        <v>422</v>
      </c>
      <c r="O151" t="s">
        <v>1943</v>
      </c>
      <c r="P151">
        <v>5.1228514265242991E-5</v>
      </c>
      <c r="Q151" t="s">
        <v>254</v>
      </c>
      <c r="S151" t="s">
        <v>423</v>
      </c>
      <c r="T151" t="s">
        <v>1943</v>
      </c>
      <c r="U151">
        <v>2.5839231084282783E-5</v>
      </c>
      <c r="V151" t="s">
        <v>254</v>
      </c>
      <c r="X151">
        <v>1.1415525114155251E-4</v>
      </c>
      <c r="Y151">
        <v>2.1215059377304864E-5</v>
      </c>
      <c r="Z151" t="s">
        <v>1943</v>
      </c>
      <c r="AA151" t="s">
        <v>25</v>
      </c>
      <c r="AC151" t="s">
        <v>22</v>
      </c>
      <c r="AD151" t="s">
        <v>1943</v>
      </c>
      <c r="AE151">
        <v>8.7053013920302826E-5</v>
      </c>
      <c r="AG151" t="s">
        <v>97</v>
      </c>
      <c r="AH151" t="s">
        <v>1943</v>
      </c>
      <c r="AI151">
        <v>0</v>
      </c>
    </row>
    <row r="152" spans="5:35" x14ac:dyDescent="0.45">
      <c r="E152" t="s">
        <v>1382</v>
      </c>
      <c r="G152" t="s">
        <v>166</v>
      </c>
      <c r="I152" t="s">
        <v>252</v>
      </c>
      <c r="J152" t="s">
        <v>1944</v>
      </c>
      <c r="K152">
        <v>7.6444171887280874E-10</v>
      </c>
      <c r="L152" t="s">
        <v>254</v>
      </c>
      <c r="N152" t="s">
        <v>422</v>
      </c>
      <c r="O152" t="s">
        <v>1944</v>
      </c>
      <c r="P152">
        <v>5.4084645192897785E-5</v>
      </c>
      <c r="Q152" t="s">
        <v>254</v>
      </c>
      <c r="S152" t="s">
        <v>423</v>
      </c>
      <c r="T152" t="s">
        <v>1944</v>
      </c>
      <c r="U152">
        <v>2.8702994098369256E-5</v>
      </c>
      <c r="V152" t="s">
        <v>254</v>
      </c>
      <c r="X152">
        <v>1.1415525114155251E-4</v>
      </c>
      <c r="Y152">
        <v>5.7678442682047593E-5</v>
      </c>
      <c r="Z152" t="s">
        <v>1944</v>
      </c>
      <c r="AA152" t="s">
        <v>25</v>
      </c>
      <c r="AC152" t="s">
        <v>22</v>
      </c>
      <c r="AD152" t="s">
        <v>1944</v>
      </c>
      <c r="AE152">
        <v>1.0225502989217561E-4</v>
      </c>
      <c r="AG152" t="s">
        <v>97</v>
      </c>
      <c r="AH152" t="s">
        <v>1944</v>
      </c>
      <c r="AI152">
        <v>0</v>
      </c>
    </row>
    <row r="153" spans="5:35" x14ac:dyDescent="0.45">
      <c r="E153" t="s">
        <v>1383</v>
      </c>
      <c r="G153" t="s">
        <v>166</v>
      </c>
      <c r="I153" t="s">
        <v>252</v>
      </c>
      <c r="J153" t="s">
        <v>1945</v>
      </c>
      <c r="K153">
        <v>5.6476291852149611E-5</v>
      </c>
      <c r="L153" t="s">
        <v>254</v>
      </c>
      <c r="N153" t="s">
        <v>422</v>
      </c>
      <c r="O153" t="s">
        <v>1945</v>
      </c>
      <c r="P153">
        <v>5.1189984679846627E-5</v>
      </c>
      <c r="Q153" t="s">
        <v>254</v>
      </c>
      <c r="S153" t="s">
        <v>423</v>
      </c>
      <c r="T153" t="s">
        <v>1945</v>
      </c>
      <c r="U153">
        <v>3.3407151499970108E-5</v>
      </c>
      <c r="V153" t="s">
        <v>254</v>
      </c>
      <c r="X153">
        <v>1.1415525114155251E-4</v>
      </c>
      <c r="Y153">
        <v>1.6905750441289813E-4</v>
      </c>
      <c r="Z153" t="s">
        <v>1945</v>
      </c>
      <c r="AA153" t="s">
        <v>25</v>
      </c>
      <c r="AC153" t="s">
        <v>22</v>
      </c>
      <c r="AD153" t="s">
        <v>1945</v>
      </c>
      <c r="AE153">
        <v>1.1369809490043981E-4</v>
      </c>
      <c r="AG153" t="s">
        <v>97</v>
      </c>
      <c r="AH153" t="s">
        <v>1945</v>
      </c>
      <c r="AI153">
        <v>0</v>
      </c>
    </row>
    <row r="154" spans="5:35" x14ac:dyDescent="0.45">
      <c r="E154" t="s">
        <v>1384</v>
      </c>
      <c r="G154" t="s">
        <v>166</v>
      </c>
      <c r="I154" t="s">
        <v>252</v>
      </c>
      <c r="J154" t="s">
        <v>1946</v>
      </c>
      <c r="K154">
        <v>8.5147354847752693E-5</v>
      </c>
      <c r="L154" t="s">
        <v>254</v>
      </c>
      <c r="N154" t="s">
        <v>422</v>
      </c>
      <c r="O154" t="s">
        <v>1946</v>
      </c>
      <c r="P154">
        <v>5.1568470397458722E-5</v>
      </c>
      <c r="Q154" t="s">
        <v>254</v>
      </c>
      <c r="S154" t="s">
        <v>423</v>
      </c>
      <c r="T154" t="s">
        <v>1946</v>
      </c>
      <c r="U154">
        <v>3.8488650116524127E-5</v>
      </c>
      <c r="V154" t="s">
        <v>254</v>
      </c>
      <c r="X154">
        <v>1.1415525114155251E-4</v>
      </c>
      <c r="Y154">
        <v>1.9060404909297337E-4</v>
      </c>
      <c r="Z154" t="s">
        <v>1946</v>
      </c>
      <c r="AA154" t="s">
        <v>25</v>
      </c>
      <c r="AC154" t="s">
        <v>22</v>
      </c>
      <c r="AD154" t="s">
        <v>1946</v>
      </c>
      <c r="AE154">
        <v>1.2200870077236355E-4</v>
      </c>
      <c r="AG154" t="s">
        <v>97</v>
      </c>
      <c r="AH154" t="s">
        <v>1946</v>
      </c>
      <c r="AI154">
        <v>0</v>
      </c>
    </row>
    <row r="155" spans="5:35" x14ac:dyDescent="0.45">
      <c r="E155" t="s">
        <v>1385</v>
      </c>
      <c r="G155" t="s">
        <v>166</v>
      </c>
      <c r="I155" t="s">
        <v>252</v>
      </c>
      <c r="J155" t="s">
        <v>1947</v>
      </c>
      <c r="K155">
        <v>1.2469261972460001E-4</v>
      </c>
      <c r="L155" t="s">
        <v>254</v>
      </c>
      <c r="N155" t="s">
        <v>422</v>
      </c>
      <c r="O155" t="s">
        <v>1947</v>
      </c>
      <c r="P155">
        <v>4.9546926690296957E-5</v>
      </c>
      <c r="Q155" t="s">
        <v>254</v>
      </c>
      <c r="S155" t="s">
        <v>423</v>
      </c>
      <c r="T155" t="s">
        <v>1947</v>
      </c>
      <c r="U155">
        <v>4.2569379304782812E-5</v>
      </c>
      <c r="V155" t="s">
        <v>254</v>
      </c>
      <c r="X155">
        <v>1.1415525114155251E-4</v>
      </c>
      <c r="Y155">
        <v>1.4585353321897094E-4</v>
      </c>
      <c r="Z155" t="s">
        <v>1947</v>
      </c>
      <c r="AA155" t="s">
        <v>25</v>
      </c>
      <c r="AC155" t="s">
        <v>22</v>
      </c>
      <c r="AD155" t="s">
        <v>1947</v>
      </c>
      <c r="AE155">
        <v>1.2655268435218155E-4</v>
      </c>
      <c r="AG155" t="s">
        <v>97</v>
      </c>
      <c r="AH155" t="s">
        <v>1947</v>
      </c>
      <c r="AI155">
        <v>0</v>
      </c>
    </row>
    <row r="156" spans="5:35" x14ac:dyDescent="0.45">
      <c r="E156" t="s">
        <v>1386</v>
      </c>
      <c r="G156" t="s">
        <v>166</v>
      </c>
      <c r="I156" t="s">
        <v>252</v>
      </c>
      <c r="J156" t="s">
        <v>1948</v>
      </c>
      <c r="K156">
        <v>1.75422288671E-4</v>
      </c>
      <c r="L156" t="s">
        <v>254</v>
      </c>
      <c r="N156" t="s">
        <v>422</v>
      </c>
      <c r="O156" t="s">
        <v>1948</v>
      </c>
      <c r="P156">
        <v>4.7779789150002721E-5</v>
      </c>
      <c r="Q156" t="s">
        <v>254</v>
      </c>
      <c r="S156" t="s">
        <v>423</v>
      </c>
      <c r="T156" t="s">
        <v>1948</v>
      </c>
      <c r="U156">
        <v>4.3105453883515822E-5</v>
      </c>
      <c r="V156" t="s">
        <v>254</v>
      </c>
      <c r="X156">
        <v>1.1415525114155251E-4</v>
      </c>
      <c r="Y156">
        <v>1.4452759200788939E-4</v>
      </c>
      <c r="Z156" t="s">
        <v>1948</v>
      </c>
      <c r="AA156" t="s">
        <v>25</v>
      </c>
      <c r="AC156" t="s">
        <v>22</v>
      </c>
      <c r="AD156" t="s">
        <v>1948</v>
      </c>
      <c r="AE156">
        <v>1.2707944890898656E-4</v>
      </c>
      <c r="AG156" t="s">
        <v>97</v>
      </c>
      <c r="AH156" t="s">
        <v>1948</v>
      </c>
      <c r="AI156">
        <v>0</v>
      </c>
    </row>
    <row r="157" spans="5:35" x14ac:dyDescent="0.45">
      <c r="E157" t="s">
        <v>1387</v>
      </c>
      <c r="G157" t="s">
        <v>166</v>
      </c>
      <c r="I157" t="s">
        <v>252</v>
      </c>
      <c r="J157" t="s">
        <v>1949</v>
      </c>
      <c r="K157">
        <v>2.142161517853E-4</v>
      </c>
      <c r="L157" t="s">
        <v>254</v>
      </c>
      <c r="N157" t="s">
        <v>422</v>
      </c>
      <c r="O157" t="s">
        <v>1949</v>
      </c>
      <c r="P157">
        <v>3.1786684624231428E-5</v>
      </c>
      <c r="Q157" t="s">
        <v>254</v>
      </c>
      <c r="S157" t="s">
        <v>423</v>
      </c>
      <c r="T157" t="s">
        <v>1949</v>
      </c>
      <c r="U157">
        <v>3.2601447231443219E-5</v>
      </c>
      <c r="V157" t="s">
        <v>254</v>
      </c>
      <c r="X157">
        <v>1.1415525114155251E-4</v>
      </c>
      <c r="Y157">
        <v>1.408812536774151E-4</v>
      </c>
      <c r="Z157" t="s">
        <v>1949</v>
      </c>
      <c r="AA157" t="s">
        <v>25</v>
      </c>
      <c r="AC157" t="s">
        <v>22</v>
      </c>
      <c r="AD157" t="s">
        <v>1949</v>
      </c>
      <c r="AE157">
        <v>1.2707944890898656E-4</v>
      </c>
      <c r="AG157" t="s">
        <v>97</v>
      </c>
      <c r="AH157" t="s">
        <v>1949</v>
      </c>
      <c r="AI157">
        <v>0</v>
      </c>
    </row>
    <row r="158" spans="5:35" x14ac:dyDescent="0.45">
      <c r="E158" t="s">
        <v>1388</v>
      </c>
      <c r="G158" t="s">
        <v>166</v>
      </c>
      <c r="I158" t="s">
        <v>252</v>
      </c>
      <c r="J158" t="s">
        <v>1950</v>
      </c>
      <c r="K158">
        <v>2.1595253074290001E-4</v>
      </c>
      <c r="L158" t="s">
        <v>254</v>
      </c>
      <c r="N158" t="s">
        <v>422</v>
      </c>
      <c r="O158" t="s">
        <v>1950</v>
      </c>
      <c r="P158">
        <v>3.837312263341218E-5</v>
      </c>
      <c r="Q158" t="s">
        <v>254</v>
      </c>
      <c r="S158" t="s">
        <v>423</v>
      </c>
      <c r="T158" t="s">
        <v>1950</v>
      </c>
      <c r="U158">
        <v>3.0967210454772292E-5</v>
      </c>
      <c r="V158" t="s">
        <v>254</v>
      </c>
      <c r="X158">
        <v>1.1415525114155251E-4</v>
      </c>
      <c r="Y158">
        <v>1.4054976837464471E-4</v>
      </c>
      <c r="Z158" t="s">
        <v>1950</v>
      </c>
      <c r="AA158" t="s">
        <v>25</v>
      </c>
      <c r="AC158" t="s">
        <v>22</v>
      </c>
      <c r="AD158" t="s">
        <v>1950</v>
      </c>
      <c r="AE158">
        <v>1.2682373795908119E-4</v>
      </c>
      <c r="AG158" t="s">
        <v>97</v>
      </c>
      <c r="AH158" t="s">
        <v>1950</v>
      </c>
      <c r="AI158">
        <v>0</v>
      </c>
    </row>
    <row r="159" spans="5:35" x14ac:dyDescent="0.45">
      <c r="E159" t="s">
        <v>1389</v>
      </c>
      <c r="G159" t="s">
        <v>166</v>
      </c>
      <c r="I159" t="s">
        <v>252</v>
      </c>
      <c r="J159" t="s">
        <v>1951</v>
      </c>
      <c r="K159">
        <v>2.1947019975979999E-4</v>
      </c>
      <c r="L159" t="s">
        <v>254</v>
      </c>
      <c r="N159" t="s">
        <v>422</v>
      </c>
      <c r="O159" t="s">
        <v>1951</v>
      </c>
      <c r="P159">
        <v>4.4183271465710507E-5</v>
      </c>
      <c r="Q159" t="s">
        <v>254</v>
      </c>
      <c r="S159" t="s">
        <v>423</v>
      </c>
      <c r="T159" t="s">
        <v>1951</v>
      </c>
      <c r="U159">
        <v>2.8413183354228217E-5</v>
      </c>
      <c r="V159" t="s">
        <v>254</v>
      </c>
      <c r="X159">
        <v>1.1415525114155251E-4</v>
      </c>
      <c r="Y159">
        <v>1.4253868019126702E-4</v>
      </c>
      <c r="Z159" t="s">
        <v>1951</v>
      </c>
      <c r="AA159" t="s">
        <v>25</v>
      </c>
      <c r="AC159" t="s">
        <v>22</v>
      </c>
      <c r="AD159" t="s">
        <v>1951</v>
      </c>
      <c r="AE159">
        <v>1.2682373795908124E-4</v>
      </c>
      <c r="AG159" t="s">
        <v>97</v>
      </c>
      <c r="AH159" t="s">
        <v>1951</v>
      </c>
      <c r="AI159">
        <v>0</v>
      </c>
    </row>
    <row r="160" spans="5:35" x14ac:dyDescent="0.45">
      <c r="E160" t="s">
        <v>1390</v>
      </c>
      <c r="G160" t="s">
        <v>166</v>
      </c>
      <c r="I160" t="s">
        <v>252</v>
      </c>
      <c r="J160" t="s">
        <v>1952</v>
      </c>
      <c r="K160">
        <v>2.3481054188379999E-4</v>
      </c>
      <c r="L160" t="s">
        <v>254</v>
      </c>
      <c r="N160" t="s">
        <v>422</v>
      </c>
      <c r="O160" t="s">
        <v>1952</v>
      </c>
      <c r="P160">
        <v>4.3523678420837611E-5</v>
      </c>
      <c r="Q160" t="s">
        <v>254</v>
      </c>
      <c r="S160" t="s">
        <v>423</v>
      </c>
      <c r="T160" t="s">
        <v>1952</v>
      </c>
      <c r="U160">
        <v>2.957188493050223E-5</v>
      </c>
      <c r="V160" t="s">
        <v>254</v>
      </c>
      <c r="X160">
        <v>1.1415525114155251E-4</v>
      </c>
      <c r="Y160">
        <v>1.4883690094390442E-4</v>
      </c>
      <c r="Z160" t="s">
        <v>1952</v>
      </c>
      <c r="AA160" t="s">
        <v>25</v>
      </c>
      <c r="AC160" t="s">
        <v>22</v>
      </c>
      <c r="AD160" t="s">
        <v>1952</v>
      </c>
      <c r="AE160">
        <v>1.2564746758951661E-4</v>
      </c>
      <c r="AG160" t="s">
        <v>97</v>
      </c>
      <c r="AH160" t="s">
        <v>1952</v>
      </c>
      <c r="AI160">
        <v>0</v>
      </c>
    </row>
    <row r="161" spans="5:35" x14ac:dyDescent="0.45">
      <c r="E161" t="s">
        <v>1391</v>
      </c>
      <c r="G161" t="s">
        <v>166</v>
      </c>
      <c r="I161" t="s">
        <v>252</v>
      </c>
      <c r="J161" t="s">
        <v>1953</v>
      </c>
      <c r="K161">
        <v>2.1627453463240001E-4</v>
      </c>
      <c r="L161" t="s">
        <v>254</v>
      </c>
      <c r="N161" t="s">
        <v>422</v>
      </c>
      <c r="O161" t="s">
        <v>1953</v>
      </c>
      <c r="P161">
        <v>5.0814056328656602E-5</v>
      </c>
      <c r="Q161" t="s">
        <v>254</v>
      </c>
      <c r="S161" t="s">
        <v>423</v>
      </c>
      <c r="T161" t="s">
        <v>1953</v>
      </c>
      <c r="U161">
        <v>3.3254758700626654E-5</v>
      </c>
      <c r="V161" t="s">
        <v>254</v>
      </c>
      <c r="X161">
        <v>1.1415525114155251E-4</v>
      </c>
      <c r="Y161">
        <v>1.5049432745775637E-4</v>
      </c>
      <c r="Z161" t="s">
        <v>1953</v>
      </c>
      <c r="AA161" t="s">
        <v>25</v>
      </c>
      <c r="AC161" t="s">
        <v>22</v>
      </c>
      <c r="AD161" t="s">
        <v>1953</v>
      </c>
      <c r="AE161">
        <v>1.2463229511839241E-4</v>
      </c>
      <c r="AG161" t="s">
        <v>97</v>
      </c>
      <c r="AH161" t="s">
        <v>1953</v>
      </c>
      <c r="AI161">
        <v>0</v>
      </c>
    </row>
    <row r="162" spans="5:35" x14ac:dyDescent="0.45">
      <c r="E162" t="s">
        <v>1392</v>
      </c>
      <c r="G162" t="s">
        <v>166</v>
      </c>
      <c r="I162" t="s">
        <v>252</v>
      </c>
      <c r="J162" t="s">
        <v>1954</v>
      </c>
      <c r="K162">
        <v>2.060443851704E-4</v>
      </c>
      <c r="L162" t="s">
        <v>254</v>
      </c>
      <c r="N162" t="s">
        <v>422</v>
      </c>
      <c r="O162" t="s">
        <v>1954</v>
      </c>
      <c r="P162">
        <v>5.6878830836188266E-5</v>
      </c>
      <c r="Q162" t="s">
        <v>254</v>
      </c>
      <c r="S162" t="s">
        <v>423</v>
      </c>
      <c r="T162" t="s">
        <v>1954</v>
      </c>
      <c r="U162">
        <v>3.2995332051621671E-5</v>
      </c>
      <c r="V162" t="s">
        <v>254</v>
      </c>
      <c r="X162">
        <v>1.1415525114155251E-4</v>
      </c>
      <c r="Y162">
        <v>1.7237235744060203E-4</v>
      </c>
      <c r="Z162" t="s">
        <v>1954</v>
      </c>
      <c r="AA162" t="s">
        <v>25</v>
      </c>
      <c r="AC162" t="s">
        <v>22</v>
      </c>
      <c r="AD162" t="s">
        <v>1954</v>
      </c>
      <c r="AE162">
        <v>1.2426151424102966E-4</v>
      </c>
      <c r="AG162" t="s">
        <v>97</v>
      </c>
      <c r="AH162" t="s">
        <v>1954</v>
      </c>
      <c r="AI162">
        <v>0</v>
      </c>
    </row>
    <row r="163" spans="5:35" x14ac:dyDescent="0.45">
      <c r="E163" t="s">
        <v>1393</v>
      </c>
      <c r="G163" t="s">
        <v>166</v>
      </c>
      <c r="I163" t="s">
        <v>252</v>
      </c>
      <c r="J163" t="s">
        <v>1955</v>
      </c>
      <c r="K163">
        <v>1.7871288938010001E-4</v>
      </c>
      <c r="L163" t="s">
        <v>254</v>
      </c>
      <c r="N163" t="s">
        <v>422</v>
      </c>
      <c r="O163" t="s">
        <v>1955</v>
      </c>
      <c r="P163">
        <v>6.5723783398614487E-5</v>
      </c>
      <c r="Q163" t="s">
        <v>254</v>
      </c>
      <c r="S163" t="s">
        <v>423</v>
      </c>
      <c r="T163" t="s">
        <v>1955</v>
      </c>
      <c r="U163">
        <v>3.2161345359874209E-5</v>
      </c>
      <c r="V163" t="s">
        <v>254</v>
      </c>
      <c r="X163">
        <v>1.1415525114155251E-4</v>
      </c>
      <c r="Y163">
        <v>2.2209515285616027E-4</v>
      </c>
      <c r="Z163" t="s">
        <v>1955</v>
      </c>
      <c r="AA163" t="s">
        <v>25</v>
      </c>
      <c r="AC163" t="s">
        <v>22</v>
      </c>
      <c r="AD163" t="s">
        <v>1955</v>
      </c>
      <c r="AE163">
        <v>1.2390351891116216E-4</v>
      </c>
      <c r="AG163" t="s">
        <v>97</v>
      </c>
      <c r="AH163" t="s">
        <v>1955</v>
      </c>
      <c r="AI163">
        <v>0</v>
      </c>
    </row>
    <row r="164" spans="5:35" x14ac:dyDescent="0.45">
      <c r="E164" t="s">
        <v>1394</v>
      </c>
      <c r="G164" t="s">
        <v>166</v>
      </c>
      <c r="I164" t="s">
        <v>252</v>
      </c>
      <c r="J164" t="s">
        <v>1956</v>
      </c>
      <c r="K164">
        <v>1.331618283331E-4</v>
      </c>
      <c r="L164" t="s">
        <v>254</v>
      </c>
      <c r="N164" t="s">
        <v>422</v>
      </c>
      <c r="O164" t="s">
        <v>1956</v>
      </c>
      <c r="P164">
        <v>6.4837673666885354E-5</v>
      </c>
      <c r="Q164" t="s">
        <v>254</v>
      </c>
      <c r="S164" t="s">
        <v>423</v>
      </c>
      <c r="T164" t="s">
        <v>1956</v>
      </c>
      <c r="U164">
        <v>3.4420857062215075E-5</v>
      </c>
      <c r="V164" t="s">
        <v>254</v>
      </c>
      <c r="X164">
        <v>1.1415525114155251E-4</v>
      </c>
      <c r="Y164">
        <v>2.2209515285616027E-4</v>
      </c>
      <c r="Z164" t="s">
        <v>1956</v>
      </c>
      <c r="AA164" t="s">
        <v>25</v>
      </c>
      <c r="AC164" t="s">
        <v>22</v>
      </c>
      <c r="AD164" t="s">
        <v>1956</v>
      </c>
      <c r="AE164">
        <v>1.2390351891116216E-4</v>
      </c>
      <c r="AG164" t="s">
        <v>97</v>
      </c>
      <c r="AH164" t="s">
        <v>1956</v>
      </c>
      <c r="AI164">
        <v>0</v>
      </c>
    </row>
    <row r="165" spans="5:35" x14ac:dyDescent="0.45">
      <c r="E165" t="s">
        <v>1395</v>
      </c>
      <c r="G165" t="s">
        <v>166</v>
      </c>
      <c r="I165" t="s">
        <v>252</v>
      </c>
      <c r="J165" t="s">
        <v>1957</v>
      </c>
      <c r="K165">
        <v>1.017397195796E-4</v>
      </c>
      <c r="L165" t="s">
        <v>254</v>
      </c>
      <c r="N165" t="s">
        <v>422</v>
      </c>
      <c r="O165" t="s">
        <v>1957</v>
      </c>
      <c r="P165">
        <v>5.4155842471863538E-5</v>
      </c>
      <c r="Q165" t="s">
        <v>254</v>
      </c>
      <c r="S165" t="s">
        <v>423</v>
      </c>
      <c r="T165" t="s">
        <v>1957</v>
      </c>
      <c r="U165">
        <v>3.4493792594144054E-5</v>
      </c>
      <c r="V165" t="s">
        <v>254</v>
      </c>
      <c r="X165">
        <v>1.1415525114155251E-4</v>
      </c>
      <c r="Y165">
        <v>1.7237235744060203E-4</v>
      </c>
      <c r="Z165" t="s">
        <v>1957</v>
      </c>
      <c r="AA165" t="s">
        <v>25</v>
      </c>
      <c r="AC165" t="s">
        <v>22</v>
      </c>
      <c r="AD165" t="s">
        <v>1957</v>
      </c>
      <c r="AE165">
        <v>1.2325145598890354E-4</v>
      </c>
      <c r="AG165" t="s">
        <v>97</v>
      </c>
      <c r="AH165" t="s">
        <v>1957</v>
      </c>
      <c r="AI165">
        <v>0</v>
      </c>
    </row>
    <row r="166" spans="5:35" x14ac:dyDescent="0.45">
      <c r="E166" t="s">
        <v>1396</v>
      </c>
      <c r="G166" t="s">
        <v>166</v>
      </c>
      <c r="I166" t="s">
        <v>252</v>
      </c>
      <c r="J166" t="s">
        <v>1958</v>
      </c>
      <c r="K166">
        <v>4.5595625579634095E-5</v>
      </c>
      <c r="L166" t="s">
        <v>254</v>
      </c>
      <c r="N166" t="s">
        <v>422</v>
      </c>
      <c r="O166" t="s">
        <v>1958</v>
      </c>
      <c r="P166">
        <v>4.5702550904325051E-5</v>
      </c>
      <c r="Q166" t="s">
        <v>254</v>
      </c>
      <c r="S166" t="s">
        <v>423</v>
      </c>
      <c r="T166" t="s">
        <v>1958</v>
      </c>
      <c r="U166">
        <v>3.152886429015507E-5</v>
      </c>
      <c r="V166" t="s">
        <v>254</v>
      </c>
      <c r="X166">
        <v>1.1415525114155251E-4</v>
      </c>
      <c r="Y166">
        <v>1.5579809230208258E-4</v>
      </c>
      <c r="Z166" t="s">
        <v>1958</v>
      </c>
      <c r="AA166" t="s">
        <v>25</v>
      </c>
      <c r="AC166" t="s">
        <v>22</v>
      </c>
      <c r="AD166" t="s">
        <v>1958</v>
      </c>
      <c r="AE166">
        <v>1.2104211338172137E-4</v>
      </c>
      <c r="AG166" t="s">
        <v>97</v>
      </c>
      <c r="AH166" t="s">
        <v>1958</v>
      </c>
      <c r="AI166">
        <v>0</v>
      </c>
    </row>
    <row r="167" spans="5:35" x14ac:dyDescent="0.45">
      <c r="E167" t="s">
        <v>1397</v>
      </c>
      <c r="G167" t="s">
        <v>166</v>
      </c>
      <c r="I167" t="s">
        <v>252</v>
      </c>
      <c r="J167" t="s">
        <v>1959</v>
      </c>
      <c r="K167">
        <v>0</v>
      </c>
      <c r="L167" t="s">
        <v>254</v>
      </c>
      <c r="N167" t="s">
        <v>422</v>
      </c>
      <c r="O167" t="s">
        <v>1959</v>
      </c>
      <c r="P167">
        <v>5.0992354704357983E-5</v>
      </c>
      <c r="Q167" t="s">
        <v>254</v>
      </c>
      <c r="S167" t="s">
        <v>423</v>
      </c>
      <c r="T167" t="s">
        <v>1959</v>
      </c>
      <c r="U167">
        <v>2.8349693719126888E-5</v>
      </c>
      <c r="V167" t="s">
        <v>254</v>
      </c>
      <c r="X167">
        <v>1.1415525114155251E-4</v>
      </c>
      <c r="Y167">
        <v>1.093901499142282E-4</v>
      </c>
      <c r="Z167" t="s">
        <v>1959</v>
      </c>
      <c r="AA167" t="s">
        <v>25</v>
      </c>
      <c r="AC167" t="s">
        <v>22</v>
      </c>
      <c r="AD167" t="s">
        <v>1959</v>
      </c>
      <c r="AE167">
        <v>1.1500477785445612E-4</v>
      </c>
      <c r="AG167" t="s">
        <v>97</v>
      </c>
      <c r="AH167" t="s">
        <v>1959</v>
      </c>
      <c r="AI167">
        <v>0</v>
      </c>
    </row>
    <row r="168" spans="5:35" x14ac:dyDescent="0.45">
      <c r="E168" t="s">
        <v>1398</v>
      </c>
      <c r="G168" t="s">
        <v>166</v>
      </c>
      <c r="I168" t="s">
        <v>252</v>
      </c>
      <c r="J168" t="s">
        <v>1960</v>
      </c>
      <c r="K168">
        <v>0</v>
      </c>
      <c r="L168" t="s">
        <v>254</v>
      </c>
      <c r="N168" t="s">
        <v>422</v>
      </c>
      <c r="O168" t="s">
        <v>1960</v>
      </c>
      <c r="P168">
        <v>5.243273155285926E-5</v>
      </c>
      <c r="Q168" t="s">
        <v>254</v>
      </c>
      <c r="S168" t="s">
        <v>423</v>
      </c>
      <c r="T168" t="s">
        <v>1960</v>
      </c>
      <c r="U168">
        <v>2.4079227333823703E-5</v>
      </c>
      <c r="V168" t="s">
        <v>254</v>
      </c>
      <c r="X168">
        <v>1.1415525114155251E-4</v>
      </c>
      <c r="Y168">
        <v>7.9556472664893237E-5</v>
      </c>
      <c r="Z168" t="s">
        <v>1960</v>
      </c>
      <c r="AA168" t="s">
        <v>25</v>
      </c>
      <c r="AC168" t="s">
        <v>22</v>
      </c>
      <c r="AD168" t="s">
        <v>1960</v>
      </c>
      <c r="AE168">
        <v>1.0846113464637836E-4</v>
      </c>
      <c r="AG168" t="s">
        <v>97</v>
      </c>
      <c r="AH168" t="s">
        <v>1960</v>
      </c>
      <c r="AI168">
        <v>0</v>
      </c>
    </row>
    <row r="169" spans="5:35" x14ac:dyDescent="0.45">
      <c r="E169" t="s">
        <v>1399</v>
      </c>
      <c r="G169" t="s">
        <v>166</v>
      </c>
      <c r="I169" t="s">
        <v>252</v>
      </c>
      <c r="J169" t="s">
        <v>1961</v>
      </c>
      <c r="K169">
        <v>0</v>
      </c>
      <c r="L169" t="s">
        <v>254</v>
      </c>
      <c r="N169" t="s">
        <v>422</v>
      </c>
      <c r="O169" t="s">
        <v>1961</v>
      </c>
      <c r="P169">
        <v>5.4795220933096328E-5</v>
      </c>
      <c r="Q169" t="s">
        <v>254</v>
      </c>
      <c r="S169" t="s">
        <v>423</v>
      </c>
      <c r="T169" t="s">
        <v>1961</v>
      </c>
      <c r="U169">
        <v>3.1534084526685957E-5</v>
      </c>
      <c r="V169" t="s">
        <v>254</v>
      </c>
      <c r="X169">
        <v>1.1415525114155251E-4</v>
      </c>
      <c r="Y169">
        <v>5.6352501470966035E-5</v>
      </c>
      <c r="Z169" t="s">
        <v>1961</v>
      </c>
      <c r="AA169" t="s">
        <v>25</v>
      </c>
      <c r="AC169" t="s">
        <v>22</v>
      </c>
      <c r="AD169" t="s">
        <v>1961</v>
      </c>
      <c r="AE169">
        <v>9.4632286475497253E-5</v>
      </c>
      <c r="AG169" t="s">
        <v>97</v>
      </c>
      <c r="AH169" t="s">
        <v>1961</v>
      </c>
      <c r="AI169">
        <v>0</v>
      </c>
    </row>
    <row r="170" spans="5:35" x14ac:dyDescent="0.45">
      <c r="E170" t="s">
        <v>1400</v>
      </c>
      <c r="G170" t="s">
        <v>166</v>
      </c>
      <c r="I170" t="s">
        <v>252</v>
      </c>
      <c r="J170" t="s">
        <v>1962</v>
      </c>
      <c r="K170">
        <v>0</v>
      </c>
      <c r="L170" t="s">
        <v>254</v>
      </c>
      <c r="N170" t="s">
        <v>422</v>
      </c>
      <c r="O170" t="s">
        <v>1962</v>
      </c>
      <c r="P170">
        <v>5.4999231429228232E-5</v>
      </c>
      <c r="Q170" t="s">
        <v>254</v>
      </c>
      <c r="S170" t="s">
        <v>423</v>
      </c>
      <c r="T170" t="s">
        <v>1962</v>
      </c>
      <c r="U170">
        <v>3.3420932354590846E-5</v>
      </c>
      <c r="V170" t="s">
        <v>254</v>
      </c>
      <c r="X170">
        <v>1.1415525114155251E-4</v>
      </c>
      <c r="Y170">
        <v>2.9833677249334962E-5</v>
      </c>
      <c r="Z170" t="s">
        <v>1962</v>
      </c>
      <c r="AA170" t="s">
        <v>25</v>
      </c>
      <c r="AC170" t="s">
        <v>22</v>
      </c>
      <c r="AD170" t="s">
        <v>1962</v>
      </c>
      <c r="AE170">
        <v>8.5733545418791241E-5</v>
      </c>
      <c r="AG170" t="s">
        <v>97</v>
      </c>
      <c r="AH170" t="s">
        <v>1962</v>
      </c>
      <c r="AI170">
        <v>0</v>
      </c>
    </row>
    <row r="171" spans="5:35" x14ac:dyDescent="0.45">
      <c r="E171" t="s">
        <v>1401</v>
      </c>
      <c r="G171" t="s">
        <v>166</v>
      </c>
      <c r="I171" t="s">
        <v>252</v>
      </c>
      <c r="J171" t="s">
        <v>1963</v>
      </c>
      <c r="K171">
        <v>0</v>
      </c>
      <c r="L171" t="s">
        <v>254</v>
      </c>
      <c r="N171" t="s">
        <v>422</v>
      </c>
      <c r="O171" t="s">
        <v>1963</v>
      </c>
      <c r="P171">
        <v>5.2576182098558711E-5</v>
      </c>
      <c r="Q171" t="s">
        <v>254</v>
      </c>
      <c r="S171" t="s">
        <v>423</v>
      </c>
      <c r="T171" t="s">
        <v>1963</v>
      </c>
      <c r="U171">
        <v>3.1302900954804312E-5</v>
      </c>
      <c r="V171" t="s">
        <v>254</v>
      </c>
      <c r="X171">
        <v>1.1415525114155251E-4</v>
      </c>
      <c r="Y171">
        <v>2.1546544680075254E-5</v>
      </c>
      <c r="Z171" t="s">
        <v>1963</v>
      </c>
      <c r="AA171" t="s">
        <v>25</v>
      </c>
      <c r="AC171" t="s">
        <v>22</v>
      </c>
      <c r="AD171" t="s">
        <v>1963</v>
      </c>
      <c r="AE171">
        <v>8.0031191235902026E-5</v>
      </c>
      <c r="AG171" t="s">
        <v>97</v>
      </c>
      <c r="AH171" t="s">
        <v>1963</v>
      </c>
      <c r="AI171">
        <v>0</v>
      </c>
    </row>
    <row r="172" spans="5:35" x14ac:dyDescent="0.45">
      <c r="E172" t="s">
        <v>1402</v>
      </c>
      <c r="G172" t="s">
        <v>166</v>
      </c>
      <c r="I172" t="s">
        <v>252</v>
      </c>
      <c r="J172" t="s">
        <v>1964</v>
      </c>
      <c r="K172">
        <v>0</v>
      </c>
      <c r="L172" t="s">
        <v>254</v>
      </c>
      <c r="N172" t="s">
        <v>422</v>
      </c>
      <c r="O172" t="s">
        <v>1964</v>
      </c>
      <c r="P172">
        <v>4.9409942861762434E-5</v>
      </c>
      <c r="Q172" t="s">
        <v>254</v>
      </c>
      <c r="S172" t="s">
        <v>423</v>
      </c>
      <c r="T172" t="s">
        <v>1964</v>
      </c>
      <c r="U172">
        <v>2.7914302321053717E-5</v>
      </c>
      <c r="V172" t="s">
        <v>254</v>
      </c>
      <c r="X172">
        <v>1.1415525114155251E-4</v>
      </c>
      <c r="Y172">
        <v>1.4916838624667481E-5</v>
      </c>
      <c r="Z172" t="s">
        <v>1964</v>
      </c>
      <c r="AA172" t="s">
        <v>25</v>
      </c>
      <c r="AC172" t="s">
        <v>22</v>
      </c>
      <c r="AD172" t="s">
        <v>1964</v>
      </c>
      <c r="AE172">
        <v>7.8563410383445338E-5</v>
      </c>
      <c r="AG172" t="s">
        <v>97</v>
      </c>
      <c r="AH172" t="s">
        <v>1964</v>
      </c>
      <c r="AI172">
        <v>0</v>
      </c>
    </row>
    <row r="173" spans="5:35" x14ac:dyDescent="0.45">
      <c r="E173" t="s">
        <v>1403</v>
      </c>
      <c r="G173" t="s">
        <v>166</v>
      </c>
      <c r="I173" t="s">
        <v>252</v>
      </c>
      <c r="J173" t="s">
        <v>1965</v>
      </c>
      <c r="K173">
        <v>0</v>
      </c>
      <c r="L173" t="s">
        <v>254</v>
      </c>
      <c r="N173" t="s">
        <v>422</v>
      </c>
      <c r="O173" t="s">
        <v>1965</v>
      </c>
      <c r="P173">
        <v>4.2534879998317017E-5</v>
      </c>
      <c r="Q173" t="s">
        <v>254</v>
      </c>
      <c r="S173" t="s">
        <v>423</v>
      </c>
      <c r="T173" t="s">
        <v>1965</v>
      </c>
      <c r="U173">
        <v>2.4459632006051952E-5</v>
      </c>
      <c r="V173" t="s">
        <v>254</v>
      </c>
      <c r="X173">
        <v>1.1415525114155251E-4</v>
      </c>
      <c r="Y173">
        <v>1.6574265138519424E-5</v>
      </c>
      <c r="Z173" t="s">
        <v>1965</v>
      </c>
      <c r="AA173" t="s">
        <v>25</v>
      </c>
      <c r="AC173" t="s">
        <v>22</v>
      </c>
      <c r="AD173" t="s">
        <v>1965</v>
      </c>
      <c r="AE173">
        <v>7.8563410383445338E-5</v>
      </c>
      <c r="AG173" t="s">
        <v>97</v>
      </c>
      <c r="AH173" t="s">
        <v>1965</v>
      </c>
      <c r="AI173">
        <v>0</v>
      </c>
    </row>
    <row r="174" spans="5:35" x14ac:dyDescent="0.45">
      <c r="E174" t="s">
        <v>1404</v>
      </c>
      <c r="G174" t="s">
        <v>166</v>
      </c>
      <c r="I174" t="s">
        <v>252</v>
      </c>
      <c r="J174" t="s">
        <v>1966</v>
      </c>
      <c r="K174">
        <v>0</v>
      </c>
      <c r="L174" t="s">
        <v>254</v>
      </c>
      <c r="N174" t="s">
        <v>422</v>
      </c>
      <c r="O174" t="s">
        <v>1966</v>
      </c>
      <c r="P174">
        <v>4.0610722388524391E-5</v>
      </c>
      <c r="Q174" t="s">
        <v>254</v>
      </c>
      <c r="S174" t="s">
        <v>423</v>
      </c>
      <c r="T174" t="s">
        <v>1966</v>
      </c>
      <c r="U174">
        <v>2.2666080990786007E-5</v>
      </c>
      <c r="V174" t="s">
        <v>254</v>
      </c>
      <c r="X174">
        <v>1.1415525114155251E-4</v>
      </c>
      <c r="Y174">
        <v>1.4585353321897093E-5</v>
      </c>
      <c r="Z174" t="s">
        <v>1966</v>
      </c>
      <c r="AA174" t="s">
        <v>25</v>
      </c>
      <c r="AC174" t="s">
        <v>22</v>
      </c>
      <c r="AD174" t="s">
        <v>1966</v>
      </c>
      <c r="AE174">
        <v>7.9427713394125414E-5</v>
      </c>
      <c r="AG174" t="s">
        <v>97</v>
      </c>
      <c r="AH174" t="s">
        <v>1966</v>
      </c>
      <c r="AI174">
        <v>0</v>
      </c>
    </row>
    <row r="175" spans="5:35" x14ac:dyDescent="0.45">
      <c r="E175" t="s">
        <v>1405</v>
      </c>
      <c r="G175" t="s">
        <v>166</v>
      </c>
      <c r="I175" t="s">
        <v>252</v>
      </c>
      <c r="J175" t="s">
        <v>1967</v>
      </c>
      <c r="K175">
        <v>0</v>
      </c>
      <c r="L175" t="s">
        <v>254</v>
      </c>
      <c r="N175" t="s">
        <v>422</v>
      </c>
      <c r="O175" t="s">
        <v>1967</v>
      </c>
      <c r="P175">
        <v>3.745057502489245E-5</v>
      </c>
      <c r="Q175" t="s">
        <v>254</v>
      </c>
      <c r="S175" t="s">
        <v>423</v>
      </c>
      <c r="T175" t="s">
        <v>1967</v>
      </c>
      <c r="U175">
        <v>2.1905318449678971E-5</v>
      </c>
      <c r="V175" t="s">
        <v>254</v>
      </c>
      <c r="X175">
        <v>1.1415525114155251E-4</v>
      </c>
      <c r="Y175">
        <v>2.1215059377304864E-5</v>
      </c>
      <c r="Z175" t="s">
        <v>1967</v>
      </c>
      <c r="AA175" t="s">
        <v>25</v>
      </c>
      <c r="AC175" t="s">
        <v>22</v>
      </c>
      <c r="AD175" t="s">
        <v>1967</v>
      </c>
      <c r="AE175">
        <v>8.5956013945208881E-5</v>
      </c>
      <c r="AG175" t="s">
        <v>97</v>
      </c>
      <c r="AH175" t="s">
        <v>1967</v>
      </c>
      <c r="AI175">
        <v>0</v>
      </c>
    </row>
    <row r="176" spans="5:35" x14ac:dyDescent="0.45">
      <c r="E176" t="s">
        <v>1406</v>
      </c>
      <c r="G176" t="s">
        <v>166</v>
      </c>
      <c r="I176" t="s">
        <v>252</v>
      </c>
      <c r="J176" t="s">
        <v>1968</v>
      </c>
      <c r="K176">
        <v>0</v>
      </c>
      <c r="L176" t="s">
        <v>254</v>
      </c>
      <c r="N176" t="s">
        <v>422</v>
      </c>
      <c r="O176" t="s">
        <v>1968</v>
      </c>
      <c r="P176">
        <v>3.2385372088986415E-5</v>
      </c>
      <c r="Q176" t="s">
        <v>254</v>
      </c>
      <c r="S176" t="s">
        <v>423</v>
      </c>
      <c r="T176" t="s">
        <v>1968</v>
      </c>
      <c r="U176">
        <v>2.1716637755565701E-5</v>
      </c>
      <c r="V176" t="s">
        <v>254</v>
      </c>
      <c r="X176">
        <v>1.1415525114155251E-4</v>
      </c>
      <c r="Y176">
        <v>5.7678442682047593E-5</v>
      </c>
      <c r="Z176" t="s">
        <v>1968</v>
      </c>
      <c r="AA176" t="s">
        <v>25</v>
      </c>
      <c r="AC176" t="s">
        <v>22</v>
      </c>
      <c r="AD176" t="s">
        <v>1968</v>
      </c>
      <c r="AE176">
        <v>1.0116058702658072E-4</v>
      </c>
      <c r="AG176" t="s">
        <v>97</v>
      </c>
      <c r="AH176" t="s">
        <v>1968</v>
      </c>
      <c r="AI176">
        <v>0</v>
      </c>
    </row>
    <row r="177" spans="5:35" x14ac:dyDescent="0.45">
      <c r="E177" t="s">
        <v>1407</v>
      </c>
      <c r="G177" t="s">
        <v>166</v>
      </c>
      <c r="I177" t="s">
        <v>252</v>
      </c>
      <c r="J177" t="s">
        <v>1969</v>
      </c>
      <c r="K177">
        <v>6.0806073441376678E-5</v>
      </c>
      <c r="L177" t="s">
        <v>254</v>
      </c>
      <c r="N177" t="s">
        <v>422</v>
      </c>
      <c r="O177" t="s">
        <v>1969</v>
      </c>
      <c r="P177">
        <v>2.7211177274688331E-5</v>
      </c>
      <c r="Q177" t="s">
        <v>254</v>
      </c>
      <c r="S177" t="s">
        <v>423</v>
      </c>
      <c r="T177" t="s">
        <v>1969</v>
      </c>
      <c r="U177">
        <v>2.1440446956429039E-5</v>
      </c>
      <c r="V177" t="s">
        <v>254</v>
      </c>
      <c r="X177">
        <v>1.1415525114155251E-4</v>
      </c>
      <c r="Y177">
        <v>1.6905750441289813E-4</v>
      </c>
      <c r="Z177" t="s">
        <v>1969</v>
      </c>
      <c r="AA177" t="s">
        <v>25</v>
      </c>
      <c r="AC177" t="s">
        <v>22</v>
      </c>
      <c r="AD177" t="s">
        <v>1969</v>
      </c>
      <c r="AE177">
        <v>1.1274173594779383E-4</v>
      </c>
      <c r="AG177" t="s">
        <v>97</v>
      </c>
      <c r="AH177" t="s">
        <v>1969</v>
      </c>
      <c r="AI177">
        <v>0</v>
      </c>
    </row>
    <row r="178" spans="5:35" x14ac:dyDescent="0.45">
      <c r="E178" t="s">
        <v>1408</v>
      </c>
      <c r="G178" t="s">
        <v>166</v>
      </c>
      <c r="I178" t="s">
        <v>252</v>
      </c>
      <c r="J178" t="s">
        <v>1970</v>
      </c>
      <c r="K178">
        <v>1.219571617026E-4</v>
      </c>
      <c r="L178" t="s">
        <v>254</v>
      </c>
      <c r="N178" t="s">
        <v>422</v>
      </c>
      <c r="O178" t="s">
        <v>1970</v>
      </c>
      <c r="P178">
        <v>2.181408613492133E-5</v>
      </c>
      <c r="Q178" t="s">
        <v>254</v>
      </c>
      <c r="S178" t="s">
        <v>423</v>
      </c>
      <c r="T178" t="s">
        <v>1970</v>
      </c>
      <c r="U178">
        <v>2.1916354465489799E-5</v>
      </c>
      <c r="V178" t="s">
        <v>254</v>
      </c>
      <c r="X178">
        <v>1.1415525114155251E-4</v>
      </c>
      <c r="Y178">
        <v>1.9060404909297337E-4</v>
      </c>
      <c r="Z178" t="s">
        <v>1970</v>
      </c>
      <c r="AA178" t="s">
        <v>25</v>
      </c>
      <c r="AC178" t="s">
        <v>22</v>
      </c>
      <c r="AD178" t="s">
        <v>1970</v>
      </c>
      <c r="AE178">
        <v>1.2158677770501974E-4</v>
      </c>
      <c r="AG178" t="s">
        <v>97</v>
      </c>
      <c r="AH178" t="s">
        <v>1970</v>
      </c>
      <c r="AI178">
        <v>0</v>
      </c>
    </row>
    <row r="179" spans="5:35" x14ac:dyDescent="0.45">
      <c r="E179" t="s">
        <v>1409</v>
      </c>
      <c r="G179" t="s">
        <v>166</v>
      </c>
      <c r="I179" t="s">
        <v>252</v>
      </c>
      <c r="J179" t="s">
        <v>1971</v>
      </c>
      <c r="K179">
        <v>1.88622437429E-4</v>
      </c>
      <c r="L179" t="s">
        <v>254</v>
      </c>
      <c r="N179" t="s">
        <v>422</v>
      </c>
      <c r="O179" t="s">
        <v>1971</v>
      </c>
      <c r="P179">
        <v>2.4853431620773699E-5</v>
      </c>
      <c r="Q179" t="s">
        <v>254</v>
      </c>
      <c r="S179" t="s">
        <v>423</v>
      </c>
      <c r="T179" t="s">
        <v>1971</v>
      </c>
      <c r="U179">
        <v>2.3781318442884761E-5</v>
      </c>
      <c r="V179" t="s">
        <v>254</v>
      </c>
      <c r="X179">
        <v>1.1415525114155251E-4</v>
      </c>
      <c r="Y179">
        <v>1.4585353321897094E-4</v>
      </c>
      <c r="Z179" t="s">
        <v>1971</v>
      </c>
      <c r="AA179" t="s">
        <v>25</v>
      </c>
      <c r="AC179" t="s">
        <v>22</v>
      </c>
      <c r="AD179" t="s">
        <v>1971</v>
      </c>
      <c r="AE179">
        <v>1.2655268435218152E-4</v>
      </c>
      <c r="AG179" t="s">
        <v>97</v>
      </c>
      <c r="AH179" t="s">
        <v>1971</v>
      </c>
      <c r="AI179">
        <v>0</v>
      </c>
    </row>
    <row r="180" spans="5:35" x14ac:dyDescent="0.45">
      <c r="E180" t="s">
        <v>1410</v>
      </c>
      <c r="G180" t="s">
        <v>166</v>
      </c>
      <c r="I180" t="s">
        <v>252</v>
      </c>
      <c r="J180" t="s">
        <v>1972</v>
      </c>
      <c r="K180">
        <v>2.4631117077800001E-4</v>
      </c>
      <c r="L180" t="s">
        <v>254</v>
      </c>
      <c r="N180" t="s">
        <v>422</v>
      </c>
      <c r="O180" t="s">
        <v>1972</v>
      </c>
      <c r="P180">
        <v>2.5246496241434214E-5</v>
      </c>
      <c r="Q180" t="s">
        <v>254</v>
      </c>
      <c r="S180" t="s">
        <v>423</v>
      </c>
      <c r="T180" t="s">
        <v>1972</v>
      </c>
      <c r="U180">
        <v>2.3654842116093544E-5</v>
      </c>
      <c r="V180" t="s">
        <v>254</v>
      </c>
      <c r="X180">
        <v>1.1415525114155251E-4</v>
      </c>
      <c r="Y180">
        <v>1.4452759200788939E-4</v>
      </c>
      <c r="Z180" t="s">
        <v>1972</v>
      </c>
      <c r="AA180" t="s">
        <v>25</v>
      </c>
      <c r="AC180" t="s">
        <v>22</v>
      </c>
      <c r="AD180" t="s">
        <v>1972</v>
      </c>
      <c r="AE180">
        <v>1.2707944890898653E-4</v>
      </c>
      <c r="AG180" t="s">
        <v>97</v>
      </c>
      <c r="AH180" t="s">
        <v>1972</v>
      </c>
      <c r="AI180">
        <v>0</v>
      </c>
    </row>
    <row r="181" spans="5:35" x14ac:dyDescent="0.45">
      <c r="E181" t="s">
        <v>1411</v>
      </c>
      <c r="G181" t="s">
        <v>166</v>
      </c>
      <c r="I181" t="s">
        <v>252</v>
      </c>
      <c r="J181" t="s">
        <v>1973</v>
      </c>
      <c r="K181">
        <v>2.8232618237520002E-4</v>
      </c>
      <c r="L181" t="s">
        <v>254</v>
      </c>
      <c r="N181" t="s">
        <v>422</v>
      </c>
      <c r="O181" t="s">
        <v>1973</v>
      </c>
      <c r="P181">
        <v>2.4167362561615629E-5</v>
      </c>
      <c r="Q181" t="s">
        <v>254</v>
      </c>
      <c r="S181" t="s">
        <v>423</v>
      </c>
      <c r="T181" t="s">
        <v>1973</v>
      </c>
      <c r="U181">
        <v>2.7648689781416031E-5</v>
      </c>
      <c r="V181" t="s">
        <v>254</v>
      </c>
      <c r="X181">
        <v>1.1415525114155251E-4</v>
      </c>
      <c r="Y181">
        <v>1.408812536774151E-4</v>
      </c>
      <c r="Z181" t="s">
        <v>1973</v>
      </c>
      <c r="AA181" t="s">
        <v>25</v>
      </c>
      <c r="AC181" t="s">
        <v>22</v>
      </c>
      <c r="AD181" t="s">
        <v>1973</v>
      </c>
      <c r="AE181">
        <v>1.2717917617944963E-4</v>
      </c>
      <c r="AG181" t="s">
        <v>97</v>
      </c>
      <c r="AH181" t="s">
        <v>1973</v>
      </c>
      <c r="AI181">
        <v>0</v>
      </c>
    </row>
    <row r="182" spans="5:35" x14ac:dyDescent="0.45">
      <c r="E182" t="s">
        <v>1412</v>
      </c>
      <c r="G182" t="s">
        <v>166</v>
      </c>
      <c r="I182" t="s">
        <v>252</v>
      </c>
      <c r="J182" t="s">
        <v>1974</v>
      </c>
      <c r="K182">
        <v>3.0695463095269999E-4</v>
      </c>
      <c r="L182" t="s">
        <v>254</v>
      </c>
      <c r="N182" t="s">
        <v>422</v>
      </c>
      <c r="O182" t="s">
        <v>1974</v>
      </c>
      <c r="P182">
        <v>2.5861223468253771E-5</v>
      </c>
      <c r="Q182" t="s">
        <v>254</v>
      </c>
      <c r="S182" t="s">
        <v>423</v>
      </c>
      <c r="T182" t="s">
        <v>1974</v>
      </c>
      <c r="U182">
        <v>3.4115841282625379E-5</v>
      </c>
      <c r="V182" t="s">
        <v>254</v>
      </c>
      <c r="X182">
        <v>1.1415525114155251E-4</v>
      </c>
      <c r="Y182">
        <v>1.4054976837464471E-4</v>
      </c>
      <c r="Z182" t="s">
        <v>1974</v>
      </c>
      <c r="AA182" t="s">
        <v>25</v>
      </c>
      <c r="AC182" t="s">
        <v>22</v>
      </c>
      <c r="AD182" t="s">
        <v>1974</v>
      </c>
      <c r="AE182">
        <v>1.2727890344991271E-4</v>
      </c>
      <c r="AG182" t="s">
        <v>97</v>
      </c>
      <c r="AH182" t="s">
        <v>1974</v>
      </c>
      <c r="AI182">
        <v>0</v>
      </c>
    </row>
    <row r="183" spans="5:35" x14ac:dyDescent="0.45">
      <c r="E183" t="s">
        <v>1413</v>
      </c>
      <c r="G183" t="s">
        <v>166</v>
      </c>
      <c r="I183" t="s">
        <v>252</v>
      </c>
      <c r="J183" t="s">
        <v>1975</v>
      </c>
      <c r="K183">
        <v>3.0320226442499999E-4</v>
      </c>
      <c r="L183" t="s">
        <v>254</v>
      </c>
      <c r="N183" t="s">
        <v>422</v>
      </c>
      <c r="O183" t="s">
        <v>1975</v>
      </c>
      <c r="P183">
        <v>2.8075922670839317E-5</v>
      </c>
      <c r="Q183" t="s">
        <v>254</v>
      </c>
      <c r="S183" t="s">
        <v>423</v>
      </c>
      <c r="T183" t="s">
        <v>1975</v>
      </c>
      <c r="U183">
        <v>3.9474756991771576E-5</v>
      </c>
      <c r="V183" t="s">
        <v>254</v>
      </c>
      <c r="X183">
        <v>1.1415525114155251E-4</v>
      </c>
      <c r="Y183">
        <v>1.4253868019126702E-4</v>
      </c>
      <c r="Z183" t="s">
        <v>1975</v>
      </c>
      <c r="AA183" t="s">
        <v>25</v>
      </c>
      <c r="AC183" t="s">
        <v>22</v>
      </c>
      <c r="AD183" t="s">
        <v>1975</v>
      </c>
      <c r="AE183">
        <v>1.2736584517288055E-4</v>
      </c>
      <c r="AG183" t="s">
        <v>97</v>
      </c>
      <c r="AH183" t="s">
        <v>1975</v>
      </c>
      <c r="AI183">
        <v>0</v>
      </c>
    </row>
    <row r="184" spans="5:35" x14ac:dyDescent="0.45">
      <c r="E184" t="s">
        <v>1414</v>
      </c>
      <c r="G184" t="s">
        <v>166</v>
      </c>
      <c r="I184" t="s">
        <v>252</v>
      </c>
      <c r="J184" t="s">
        <v>1976</v>
      </c>
      <c r="K184">
        <v>3.046185948099E-4</v>
      </c>
      <c r="L184" t="s">
        <v>254</v>
      </c>
      <c r="N184" t="s">
        <v>422</v>
      </c>
      <c r="O184" t="s">
        <v>1976</v>
      </c>
      <c r="P184">
        <v>3.1085247105171507E-5</v>
      </c>
      <c r="Q184" t="s">
        <v>254</v>
      </c>
      <c r="S184" t="s">
        <v>423</v>
      </c>
      <c r="T184" t="s">
        <v>1976</v>
      </c>
      <c r="U184">
        <v>4.5872459224707019E-5</v>
      </c>
      <c r="V184" t="s">
        <v>254</v>
      </c>
      <c r="X184">
        <v>1.1415525114155251E-4</v>
      </c>
      <c r="Y184">
        <v>1.4883690094390442E-4</v>
      </c>
      <c r="Z184" t="s">
        <v>1976</v>
      </c>
      <c r="AA184" t="s">
        <v>25</v>
      </c>
      <c r="AC184" t="s">
        <v>22</v>
      </c>
      <c r="AD184" t="s">
        <v>1976</v>
      </c>
      <c r="AE184">
        <v>1.2630975894977145E-4</v>
      </c>
      <c r="AG184" t="s">
        <v>97</v>
      </c>
      <c r="AH184" t="s">
        <v>1976</v>
      </c>
      <c r="AI184">
        <v>0</v>
      </c>
    </row>
    <row r="185" spans="5:35" x14ac:dyDescent="0.45">
      <c r="E185" t="s">
        <v>1415</v>
      </c>
      <c r="G185" t="s">
        <v>166</v>
      </c>
      <c r="I185" t="s">
        <v>252</v>
      </c>
      <c r="J185" t="s">
        <v>1977</v>
      </c>
      <c r="K185">
        <v>2.8173201002049998E-4</v>
      </c>
      <c r="L185" t="s">
        <v>254</v>
      </c>
      <c r="N185" t="s">
        <v>422</v>
      </c>
      <c r="O185" t="s">
        <v>1977</v>
      </c>
      <c r="P185">
        <v>3.3127284056667087E-5</v>
      </c>
      <c r="Q185" t="s">
        <v>254</v>
      </c>
      <c r="S185" t="s">
        <v>423</v>
      </c>
      <c r="T185" t="s">
        <v>1977</v>
      </c>
      <c r="U185">
        <v>5.6105571336600649E-5</v>
      </c>
      <c r="V185" t="s">
        <v>254</v>
      </c>
      <c r="X185">
        <v>1.1415525114155251E-4</v>
      </c>
      <c r="Y185">
        <v>1.5049432745775637E-4</v>
      </c>
      <c r="Z185" t="s">
        <v>1977</v>
      </c>
      <c r="AA185" t="s">
        <v>25</v>
      </c>
      <c r="AC185" t="s">
        <v>22</v>
      </c>
      <c r="AD185" t="s">
        <v>1977</v>
      </c>
      <c r="AE185">
        <v>1.2529458647864722E-4</v>
      </c>
      <c r="AG185" t="s">
        <v>97</v>
      </c>
      <c r="AH185" t="s">
        <v>1977</v>
      </c>
      <c r="AI185">
        <v>0</v>
      </c>
    </row>
    <row r="186" spans="5:35" x14ac:dyDescent="0.45">
      <c r="E186" t="s">
        <v>1416</v>
      </c>
      <c r="G186" t="s">
        <v>166</v>
      </c>
      <c r="I186" t="s">
        <v>252</v>
      </c>
      <c r="J186" t="s">
        <v>1978</v>
      </c>
      <c r="K186">
        <v>2.293073349313E-4</v>
      </c>
      <c r="L186" t="s">
        <v>254</v>
      </c>
      <c r="N186" t="s">
        <v>422</v>
      </c>
      <c r="O186" t="s">
        <v>1978</v>
      </c>
      <c r="P186">
        <v>3.8672711731084677E-5</v>
      </c>
      <c r="Q186" t="s">
        <v>254</v>
      </c>
      <c r="S186" t="s">
        <v>423</v>
      </c>
      <c r="T186" t="s">
        <v>1978</v>
      </c>
      <c r="U186">
        <v>6.8427249604775881E-5</v>
      </c>
      <c r="V186" t="s">
        <v>254</v>
      </c>
      <c r="X186">
        <v>1.1415525114155251E-4</v>
      </c>
      <c r="Y186">
        <v>1.7237235744060203E-4</v>
      </c>
      <c r="Z186" t="s">
        <v>1978</v>
      </c>
      <c r="AA186" t="s">
        <v>25</v>
      </c>
      <c r="AC186" t="s">
        <v>22</v>
      </c>
      <c r="AD186" t="s">
        <v>1978</v>
      </c>
      <c r="AE186">
        <v>1.2492380560128448E-4</v>
      </c>
      <c r="AG186" t="s">
        <v>97</v>
      </c>
      <c r="AH186" t="s">
        <v>1978</v>
      </c>
      <c r="AI186">
        <v>0</v>
      </c>
    </row>
    <row r="187" spans="5:35" x14ac:dyDescent="0.45">
      <c r="E187" t="s">
        <v>1417</v>
      </c>
      <c r="G187" t="s">
        <v>166</v>
      </c>
      <c r="I187" t="s">
        <v>252</v>
      </c>
      <c r="J187" t="s">
        <v>1979</v>
      </c>
      <c r="K187">
        <v>1.9329758813709999E-4</v>
      </c>
      <c r="L187" t="s">
        <v>254</v>
      </c>
      <c r="N187" t="s">
        <v>422</v>
      </c>
      <c r="O187" t="s">
        <v>1979</v>
      </c>
      <c r="P187">
        <v>4.0210154167966089E-5</v>
      </c>
      <c r="Q187" t="s">
        <v>254</v>
      </c>
      <c r="S187" t="s">
        <v>423</v>
      </c>
      <c r="T187" t="s">
        <v>1979</v>
      </c>
      <c r="U187">
        <v>7.9559019278035577E-5</v>
      </c>
      <c r="V187" t="s">
        <v>254</v>
      </c>
      <c r="X187">
        <v>1.1415525114155251E-4</v>
      </c>
      <c r="Y187">
        <v>2.2209515285616027E-4</v>
      </c>
      <c r="Z187" t="s">
        <v>1979</v>
      </c>
      <c r="AA187" t="s">
        <v>25</v>
      </c>
      <c r="AC187" t="s">
        <v>22</v>
      </c>
      <c r="AD187" t="s">
        <v>1979</v>
      </c>
      <c r="AE187">
        <v>1.24565810271417E-4</v>
      </c>
      <c r="AG187" t="s">
        <v>97</v>
      </c>
      <c r="AH187" t="s">
        <v>1979</v>
      </c>
      <c r="AI187">
        <v>0</v>
      </c>
    </row>
    <row r="188" spans="5:35" x14ac:dyDescent="0.45">
      <c r="E188" t="s">
        <v>1418</v>
      </c>
      <c r="G188" t="s">
        <v>166</v>
      </c>
      <c r="I188" t="s">
        <v>252</v>
      </c>
      <c r="J188" t="s">
        <v>1980</v>
      </c>
      <c r="K188">
        <v>1.6086372764329999E-4</v>
      </c>
      <c r="L188" t="s">
        <v>254</v>
      </c>
      <c r="N188" t="s">
        <v>422</v>
      </c>
      <c r="O188" t="s">
        <v>1980</v>
      </c>
      <c r="P188">
        <v>4.3845352115939689E-5</v>
      </c>
      <c r="Q188" t="s">
        <v>254</v>
      </c>
      <c r="S188" t="s">
        <v>423</v>
      </c>
      <c r="T188" t="s">
        <v>1980</v>
      </c>
      <c r="U188">
        <v>9.2026471760082296E-5</v>
      </c>
      <c r="V188" t="s">
        <v>254</v>
      </c>
      <c r="X188">
        <v>1.1415525114155251E-4</v>
      </c>
      <c r="Y188">
        <v>2.2209515285616027E-4</v>
      </c>
      <c r="Z188" t="s">
        <v>1980</v>
      </c>
      <c r="AA188" t="s">
        <v>25</v>
      </c>
      <c r="AC188" t="s">
        <v>22</v>
      </c>
      <c r="AD188" t="s">
        <v>1980</v>
      </c>
      <c r="AE188">
        <v>1.24565810271417E-4</v>
      </c>
      <c r="AG188" t="s">
        <v>97</v>
      </c>
      <c r="AH188" t="s">
        <v>1980</v>
      </c>
      <c r="AI188">
        <v>0</v>
      </c>
    </row>
    <row r="189" spans="5:35" x14ac:dyDescent="0.45">
      <c r="E189" t="s">
        <v>1419</v>
      </c>
      <c r="G189" t="s">
        <v>166</v>
      </c>
      <c r="I189" t="s">
        <v>252</v>
      </c>
      <c r="J189" t="s">
        <v>1981</v>
      </c>
      <c r="K189">
        <v>1.123763359041E-4</v>
      </c>
      <c r="L189" t="s">
        <v>254</v>
      </c>
      <c r="N189" t="s">
        <v>422</v>
      </c>
      <c r="O189" t="s">
        <v>1981</v>
      </c>
      <c r="P189">
        <v>4.5842034943486106E-5</v>
      </c>
      <c r="Q189" t="s">
        <v>254</v>
      </c>
      <c r="S189" t="s">
        <v>423</v>
      </c>
      <c r="T189" t="s">
        <v>1981</v>
      </c>
      <c r="U189">
        <v>1.035612562249E-4</v>
      </c>
      <c r="V189" t="s">
        <v>254</v>
      </c>
      <c r="X189">
        <v>1.1415525114155251E-4</v>
      </c>
      <c r="Y189">
        <v>1.7237235744060203E-4</v>
      </c>
      <c r="Z189" t="s">
        <v>1981</v>
      </c>
      <c r="AA189" t="s">
        <v>25</v>
      </c>
      <c r="AC189" t="s">
        <v>22</v>
      </c>
      <c r="AD189" t="s">
        <v>1981</v>
      </c>
      <c r="AE189">
        <v>1.2379356320270287E-4</v>
      </c>
      <c r="AG189" t="s">
        <v>97</v>
      </c>
      <c r="AH189" t="s">
        <v>1981</v>
      </c>
      <c r="AI189">
        <v>0</v>
      </c>
    </row>
    <row r="190" spans="5:35" x14ac:dyDescent="0.45">
      <c r="E190" t="s">
        <v>1420</v>
      </c>
      <c r="G190" t="s">
        <v>166</v>
      </c>
      <c r="I190" t="s">
        <v>252</v>
      </c>
      <c r="J190" t="s">
        <v>1982</v>
      </c>
      <c r="K190">
        <v>9.5364348313986395E-5</v>
      </c>
      <c r="L190" t="s">
        <v>254</v>
      </c>
      <c r="N190" t="s">
        <v>422</v>
      </c>
      <c r="O190" t="s">
        <v>1982</v>
      </c>
      <c r="P190">
        <v>5.2517188187807499E-5</v>
      </c>
      <c r="Q190" t="s">
        <v>254</v>
      </c>
      <c r="S190" t="s">
        <v>423</v>
      </c>
      <c r="T190" t="s">
        <v>1982</v>
      </c>
      <c r="U190">
        <v>1.161739804864E-4</v>
      </c>
      <c r="V190" t="s">
        <v>254</v>
      </c>
      <c r="X190">
        <v>1.1415525114155251E-4</v>
      </c>
      <c r="Y190">
        <v>1.5579809230208258E-4</v>
      </c>
      <c r="Z190" t="s">
        <v>1982</v>
      </c>
      <c r="AA190" t="s">
        <v>25</v>
      </c>
      <c r="AC190" t="s">
        <v>22</v>
      </c>
      <c r="AD190" t="s">
        <v>1982</v>
      </c>
      <c r="AE190">
        <v>1.2131316698862101E-4</v>
      </c>
      <c r="AG190" t="s">
        <v>97</v>
      </c>
      <c r="AH190" t="s">
        <v>1982</v>
      </c>
      <c r="AI190">
        <v>0</v>
      </c>
    </row>
    <row r="191" spans="5:35" x14ac:dyDescent="0.45">
      <c r="E191" t="s">
        <v>1421</v>
      </c>
      <c r="G191" t="s">
        <v>166</v>
      </c>
      <c r="I191" t="s">
        <v>252</v>
      </c>
      <c r="J191" t="s">
        <v>1983</v>
      </c>
      <c r="K191">
        <v>0</v>
      </c>
      <c r="L191" t="s">
        <v>254</v>
      </c>
      <c r="N191" t="s">
        <v>422</v>
      </c>
      <c r="O191" t="s">
        <v>1983</v>
      </c>
      <c r="P191">
        <v>6.0451291337154123E-5</v>
      </c>
      <c r="Q191" t="s">
        <v>254</v>
      </c>
      <c r="S191" t="s">
        <v>423</v>
      </c>
      <c r="T191" t="s">
        <v>1983</v>
      </c>
      <c r="U191">
        <v>1.2373591957339999E-4</v>
      </c>
      <c r="V191" t="s">
        <v>254</v>
      </c>
      <c r="X191">
        <v>1.1415525114155251E-4</v>
      </c>
      <c r="Y191">
        <v>1.093901499142282E-4</v>
      </c>
      <c r="Z191" t="s">
        <v>1983</v>
      </c>
      <c r="AA191" t="s">
        <v>25</v>
      </c>
      <c r="AC191" t="s">
        <v>22</v>
      </c>
      <c r="AD191" t="s">
        <v>1983</v>
      </c>
      <c r="AE191">
        <v>1.1500477785445612E-4</v>
      </c>
      <c r="AG191" t="s">
        <v>97</v>
      </c>
      <c r="AH191" t="s">
        <v>1983</v>
      </c>
      <c r="AI191">
        <v>0</v>
      </c>
    </row>
    <row r="192" spans="5:35" x14ac:dyDescent="0.45">
      <c r="E192" t="s">
        <v>1422</v>
      </c>
      <c r="G192" t="s">
        <v>166</v>
      </c>
      <c r="I192" t="s">
        <v>252</v>
      </c>
      <c r="J192" t="s">
        <v>1984</v>
      </c>
      <c r="K192">
        <v>0</v>
      </c>
      <c r="L192" t="s">
        <v>254</v>
      </c>
      <c r="N192" t="s">
        <v>422</v>
      </c>
      <c r="O192" t="s">
        <v>1984</v>
      </c>
      <c r="P192">
        <v>6.6781063486463004E-5</v>
      </c>
      <c r="Q192" t="s">
        <v>254</v>
      </c>
      <c r="S192" t="s">
        <v>423</v>
      </c>
      <c r="T192" t="s">
        <v>1984</v>
      </c>
      <c r="U192">
        <v>1.2883800508259999E-4</v>
      </c>
      <c r="V192" t="s">
        <v>254</v>
      </c>
      <c r="X192">
        <v>1.1415525114155251E-4</v>
      </c>
      <c r="Y192">
        <v>7.9556472664893237E-5</v>
      </c>
      <c r="Z192" t="s">
        <v>1984</v>
      </c>
      <c r="AA192" t="s">
        <v>25</v>
      </c>
      <c r="AC192" t="s">
        <v>22</v>
      </c>
      <c r="AD192" t="s">
        <v>1984</v>
      </c>
      <c r="AE192">
        <v>1.0846113464637833E-4</v>
      </c>
      <c r="AG192" t="s">
        <v>97</v>
      </c>
      <c r="AH192" t="s">
        <v>1984</v>
      </c>
      <c r="AI192">
        <v>0</v>
      </c>
    </row>
    <row r="193" spans="5:35" x14ac:dyDescent="0.45">
      <c r="E193" t="s">
        <v>1423</v>
      </c>
      <c r="G193" t="s">
        <v>166</v>
      </c>
      <c r="I193" t="s">
        <v>252</v>
      </c>
      <c r="J193" t="s">
        <v>1985</v>
      </c>
      <c r="K193">
        <v>0</v>
      </c>
      <c r="L193" t="s">
        <v>254</v>
      </c>
      <c r="N193" t="s">
        <v>422</v>
      </c>
      <c r="O193" t="s">
        <v>1985</v>
      </c>
      <c r="P193">
        <v>7.5445420191800727E-5</v>
      </c>
      <c r="Q193" t="s">
        <v>254</v>
      </c>
      <c r="S193" t="s">
        <v>423</v>
      </c>
      <c r="T193" t="s">
        <v>1985</v>
      </c>
      <c r="U193">
        <v>1.3318219863570001E-4</v>
      </c>
      <c r="V193" t="s">
        <v>254</v>
      </c>
      <c r="X193">
        <v>1.1415525114155251E-4</v>
      </c>
      <c r="Y193">
        <v>5.6352501470966035E-5</v>
      </c>
      <c r="Z193" t="s">
        <v>1985</v>
      </c>
      <c r="AA193" t="s">
        <v>25</v>
      </c>
      <c r="AC193" t="s">
        <v>22</v>
      </c>
      <c r="AD193" t="s">
        <v>1985</v>
      </c>
      <c r="AE193">
        <v>9.4632286475497253E-5</v>
      </c>
      <c r="AG193" t="s">
        <v>97</v>
      </c>
      <c r="AH193" t="s">
        <v>1985</v>
      </c>
      <c r="AI193">
        <v>0</v>
      </c>
    </row>
    <row r="194" spans="5:35" x14ac:dyDescent="0.45">
      <c r="E194" t="s">
        <v>1424</v>
      </c>
      <c r="G194" t="s">
        <v>166</v>
      </c>
      <c r="I194" t="s">
        <v>252</v>
      </c>
      <c r="J194" t="s">
        <v>1986</v>
      </c>
      <c r="K194">
        <v>0</v>
      </c>
      <c r="L194" t="s">
        <v>254</v>
      </c>
      <c r="N194" t="s">
        <v>422</v>
      </c>
      <c r="O194" t="s">
        <v>1986</v>
      </c>
      <c r="P194">
        <v>8.2953497165422576E-5</v>
      </c>
      <c r="Q194" t="s">
        <v>254</v>
      </c>
      <c r="S194" t="s">
        <v>423</v>
      </c>
      <c r="T194" t="s">
        <v>1986</v>
      </c>
      <c r="U194">
        <v>1.337347279809E-4</v>
      </c>
      <c r="V194" t="s">
        <v>254</v>
      </c>
      <c r="X194">
        <v>1.1415525114155251E-4</v>
      </c>
      <c r="Y194">
        <v>2.9833677249334962E-5</v>
      </c>
      <c r="Z194" t="s">
        <v>1986</v>
      </c>
      <c r="AA194" t="s">
        <v>25</v>
      </c>
      <c r="AC194" t="s">
        <v>22</v>
      </c>
      <c r="AD194" t="s">
        <v>1986</v>
      </c>
      <c r="AE194">
        <v>8.5385778526919957E-5</v>
      </c>
      <c r="AG194" t="s">
        <v>97</v>
      </c>
      <c r="AH194" t="s">
        <v>1986</v>
      </c>
      <c r="AI194">
        <v>0</v>
      </c>
    </row>
    <row r="195" spans="5:35" x14ac:dyDescent="0.45">
      <c r="E195" t="s">
        <v>1425</v>
      </c>
      <c r="G195" t="s">
        <v>166</v>
      </c>
      <c r="I195" t="s">
        <v>252</v>
      </c>
      <c r="J195" t="s">
        <v>1987</v>
      </c>
      <c r="K195">
        <v>0</v>
      </c>
      <c r="L195" t="s">
        <v>254</v>
      </c>
      <c r="N195" t="s">
        <v>422</v>
      </c>
      <c r="O195" t="s">
        <v>1987</v>
      </c>
      <c r="P195">
        <v>8.7664898498623857E-5</v>
      </c>
      <c r="Q195" t="s">
        <v>254</v>
      </c>
      <c r="S195" t="s">
        <v>423</v>
      </c>
      <c r="T195" t="s">
        <v>1987</v>
      </c>
      <c r="U195">
        <v>1.2544885527920001E-4</v>
      </c>
      <c r="V195" t="s">
        <v>254</v>
      </c>
      <c r="X195">
        <v>1.1415525114155251E-4</v>
      </c>
      <c r="Y195">
        <v>2.1546544680075254E-5</v>
      </c>
      <c r="Z195" t="s">
        <v>1987</v>
      </c>
      <c r="AA195" t="s">
        <v>25</v>
      </c>
      <c r="AC195" t="s">
        <v>22</v>
      </c>
      <c r="AD195" t="s">
        <v>1987</v>
      </c>
      <c r="AE195">
        <v>7.9680867234531701E-5</v>
      </c>
      <c r="AG195" t="s">
        <v>97</v>
      </c>
      <c r="AH195" t="s">
        <v>1987</v>
      </c>
      <c r="AI195">
        <v>0</v>
      </c>
    </row>
    <row r="196" spans="5:35" x14ac:dyDescent="0.45">
      <c r="E196" t="s">
        <v>1426</v>
      </c>
      <c r="G196" t="s">
        <v>166</v>
      </c>
      <c r="I196" t="s">
        <v>252</v>
      </c>
      <c r="J196" t="s">
        <v>1988</v>
      </c>
      <c r="K196">
        <v>0</v>
      </c>
      <c r="L196" t="s">
        <v>254</v>
      </c>
      <c r="N196" t="s">
        <v>422</v>
      </c>
      <c r="O196" t="s">
        <v>1988</v>
      </c>
      <c r="P196">
        <v>9.0808021501416738E-5</v>
      </c>
      <c r="Q196" t="s">
        <v>254</v>
      </c>
      <c r="S196" t="s">
        <v>423</v>
      </c>
      <c r="T196" t="s">
        <v>1988</v>
      </c>
      <c r="U196">
        <v>1.2383293909559999E-4</v>
      </c>
      <c r="V196" t="s">
        <v>254</v>
      </c>
      <c r="X196">
        <v>1.1415525114155251E-4</v>
      </c>
      <c r="Y196">
        <v>1.4916838624667481E-5</v>
      </c>
      <c r="Z196" t="s">
        <v>1988</v>
      </c>
      <c r="AA196" t="s">
        <v>25</v>
      </c>
      <c r="AC196" t="s">
        <v>22</v>
      </c>
      <c r="AD196" t="s">
        <v>1988</v>
      </c>
      <c r="AE196">
        <v>7.8563410383445338E-5</v>
      </c>
      <c r="AG196" t="s">
        <v>97</v>
      </c>
      <c r="AH196" t="s">
        <v>1988</v>
      </c>
      <c r="AI196">
        <v>0</v>
      </c>
    </row>
    <row r="197" spans="5:35" x14ac:dyDescent="0.45">
      <c r="E197" t="s">
        <v>1427</v>
      </c>
      <c r="G197" t="s">
        <v>166</v>
      </c>
      <c r="I197" t="s">
        <v>252</v>
      </c>
      <c r="J197" t="s">
        <v>1989</v>
      </c>
      <c r="K197">
        <v>0</v>
      </c>
      <c r="L197" t="s">
        <v>254</v>
      </c>
      <c r="N197" t="s">
        <v>422</v>
      </c>
      <c r="O197" t="s">
        <v>1989</v>
      </c>
      <c r="P197">
        <v>9.3554259094894823E-5</v>
      </c>
      <c r="Q197" t="s">
        <v>254</v>
      </c>
      <c r="S197" t="s">
        <v>423</v>
      </c>
      <c r="T197" t="s">
        <v>1989</v>
      </c>
      <c r="U197">
        <v>1.3542456613599999E-4</v>
      </c>
      <c r="V197" t="s">
        <v>254</v>
      </c>
      <c r="X197">
        <v>1.1415525114155251E-4</v>
      </c>
      <c r="Y197">
        <v>1.6574265138519424E-5</v>
      </c>
      <c r="Z197" t="s">
        <v>1989</v>
      </c>
      <c r="AA197" t="s">
        <v>25</v>
      </c>
      <c r="AC197" t="s">
        <v>22</v>
      </c>
      <c r="AD197" t="s">
        <v>1989</v>
      </c>
      <c r="AE197">
        <v>7.8563410383445338E-5</v>
      </c>
      <c r="AG197" t="s">
        <v>97</v>
      </c>
      <c r="AH197" t="s">
        <v>1989</v>
      </c>
      <c r="AI197">
        <v>0</v>
      </c>
    </row>
    <row r="198" spans="5:35" x14ac:dyDescent="0.45">
      <c r="E198" t="s">
        <v>1428</v>
      </c>
      <c r="G198" t="s">
        <v>166</v>
      </c>
      <c r="I198" t="s">
        <v>252</v>
      </c>
      <c r="J198" t="s">
        <v>1990</v>
      </c>
      <c r="K198">
        <v>0</v>
      </c>
      <c r="L198" t="s">
        <v>254</v>
      </c>
      <c r="N198" t="s">
        <v>422</v>
      </c>
      <c r="O198" t="s">
        <v>1990</v>
      </c>
      <c r="P198">
        <v>9.5447205848939764E-5</v>
      </c>
      <c r="Q198" t="s">
        <v>254</v>
      </c>
      <c r="S198" t="s">
        <v>423</v>
      </c>
      <c r="T198" t="s">
        <v>1990</v>
      </c>
      <c r="U198">
        <v>1.3988582204190001E-4</v>
      </c>
      <c r="V198" t="s">
        <v>254</v>
      </c>
      <c r="X198">
        <v>1.1415525114155251E-4</v>
      </c>
      <c r="Y198">
        <v>1.4585353321897093E-5</v>
      </c>
      <c r="Z198" t="s">
        <v>1990</v>
      </c>
      <c r="AA198" t="s">
        <v>25</v>
      </c>
      <c r="AC198" t="s">
        <v>22</v>
      </c>
      <c r="AD198" t="s">
        <v>1990</v>
      </c>
      <c r="AE198">
        <v>7.9427713394125414E-5</v>
      </c>
      <c r="AG198" t="s">
        <v>97</v>
      </c>
      <c r="AH198" t="s">
        <v>1990</v>
      </c>
      <c r="AI198">
        <v>0</v>
      </c>
    </row>
    <row r="199" spans="5:35" x14ac:dyDescent="0.45">
      <c r="E199" t="s">
        <v>1429</v>
      </c>
      <c r="G199" t="s">
        <v>166</v>
      </c>
      <c r="I199" t="s">
        <v>252</v>
      </c>
      <c r="J199" t="s">
        <v>1991</v>
      </c>
      <c r="K199">
        <v>0</v>
      </c>
      <c r="L199" t="s">
        <v>254</v>
      </c>
      <c r="N199" t="s">
        <v>422</v>
      </c>
      <c r="O199" t="s">
        <v>1991</v>
      </c>
      <c r="P199">
        <v>1.026988867769E-4</v>
      </c>
      <c r="Q199" t="s">
        <v>254</v>
      </c>
      <c r="S199" t="s">
        <v>423</v>
      </c>
      <c r="T199" t="s">
        <v>1991</v>
      </c>
      <c r="U199">
        <v>1.396699853555E-4</v>
      </c>
      <c r="V199" t="s">
        <v>254</v>
      </c>
      <c r="X199">
        <v>1.1415525114155251E-4</v>
      </c>
      <c r="Y199">
        <v>2.1215059377304864E-5</v>
      </c>
      <c r="Z199" t="s">
        <v>1991</v>
      </c>
      <c r="AA199" t="s">
        <v>25</v>
      </c>
      <c r="AC199" t="s">
        <v>22</v>
      </c>
      <c r="AD199" t="s">
        <v>1991</v>
      </c>
      <c r="AE199">
        <v>8.5956013945208881E-5</v>
      </c>
      <c r="AG199" t="s">
        <v>97</v>
      </c>
      <c r="AH199" t="s">
        <v>1991</v>
      </c>
      <c r="AI199">
        <v>0</v>
      </c>
    </row>
    <row r="200" spans="5:35" x14ac:dyDescent="0.45">
      <c r="E200" t="s">
        <v>1430</v>
      </c>
      <c r="G200" t="s">
        <v>166</v>
      </c>
      <c r="I200" t="s">
        <v>252</v>
      </c>
      <c r="J200" t="s">
        <v>1992</v>
      </c>
      <c r="K200">
        <v>0</v>
      </c>
      <c r="L200" t="s">
        <v>254</v>
      </c>
      <c r="N200" t="s">
        <v>422</v>
      </c>
      <c r="O200" t="s">
        <v>1992</v>
      </c>
      <c r="P200">
        <v>1.0791722901710001E-4</v>
      </c>
      <c r="Q200" t="s">
        <v>254</v>
      </c>
      <c r="S200" t="s">
        <v>423</v>
      </c>
      <c r="T200" t="s">
        <v>1992</v>
      </c>
      <c r="U200">
        <v>1.3040636216390001E-4</v>
      </c>
      <c r="V200" t="s">
        <v>254</v>
      </c>
      <c r="X200">
        <v>1.1415525114155251E-4</v>
      </c>
      <c r="Y200">
        <v>5.7678442682047593E-5</v>
      </c>
      <c r="Z200" t="s">
        <v>1992</v>
      </c>
      <c r="AA200" t="s">
        <v>25</v>
      </c>
      <c r="AC200" t="s">
        <v>22</v>
      </c>
      <c r="AD200" t="s">
        <v>1992</v>
      </c>
      <c r="AE200">
        <v>1.0116058702658071E-4</v>
      </c>
      <c r="AG200" t="s">
        <v>97</v>
      </c>
      <c r="AH200" t="s">
        <v>1992</v>
      </c>
      <c r="AI200">
        <v>0</v>
      </c>
    </row>
    <row r="201" spans="5:35" x14ac:dyDescent="0.45">
      <c r="E201" t="s">
        <v>1431</v>
      </c>
      <c r="G201" t="s">
        <v>166</v>
      </c>
      <c r="I201" t="s">
        <v>252</v>
      </c>
      <c r="J201" t="s">
        <v>1993</v>
      </c>
      <c r="K201">
        <v>1.3833572139829999E-4</v>
      </c>
      <c r="L201" t="s">
        <v>254</v>
      </c>
      <c r="N201" t="s">
        <v>422</v>
      </c>
      <c r="O201" t="s">
        <v>1993</v>
      </c>
      <c r="P201">
        <v>1.0621417795410001E-4</v>
      </c>
      <c r="Q201" t="s">
        <v>254</v>
      </c>
      <c r="S201" t="s">
        <v>423</v>
      </c>
      <c r="T201" t="s">
        <v>1993</v>
      </c>
      <c r="U201">
        <v>1.124847100798E-4</v>
      </c>
      <c r="V201" t="s">
        <v>254</v>
      </c>
      <c r="X201">
        <v>1.1415525114155251E-4</v>
      </c>
      <c r="Y201">
        <v>1.6905750441289813E-4</v>
      </c>
      <c r="Z201" t="s">
        <v>1993</v>
      </c>
      <c r="AA201" t="s">
        <v>25</v>
      </c>
      <c r="AC201" t="s">
        <v>22</v>
      </c>
      <c r="AD201" t="s">
        <v>1993</v>
      </c>
      <c r="AE201">
        <v>1.1260109492534589E-4</v>
      </c>
      <c r="AG201" t="s">
        <v>97</v>
      </c>
      <c r="AH201" t="s">
        <v>1993</v>
      </c>
      <c r="AI201">
        <v>0</v>
      </c>
    </row>
    <row r="202" spans="5:35" x14ac:dyDescent="0.45">
      <c r="E202" t="s">
        <v>1432</v>
      </c>
      <c r="G202" t="s">
        <v>166</v>
      </c>
      <c r="I202" t="s">
        <v>252</v>
      </c>
      <c r="J202" t="s">
        <v>1994</v>
      </c>
      <c r="K202">
        <v>1.720199117164E-4</v>
      </c>
      <c r="L202" t="s">
        <v>254</v>
      </c>
      <c r="N202" t="s">
        <v>422</v>
      </c>
      <c r="O202" t="s">
        <v>1994</v>
      </c>
      <c r="P202">
        <v>1.009381963325E-4</v>
      </c>
      <c r="Q202" t="s">
        <v>254</v>
      </c>
      <c r="S202" t="s">
        <v>423</v>
      </c>
      <c r="T202" t="s">
        <v>1994</v>
      </c>
      <c r="U202">
        <v>9.6880982655579283E-5</v>
      </c>
      <c r="V202" t="s">
        <v>254</v>
      </c>
      <c r="X202">
        <v>1.1415525114155251E-4</v>
      </c>
      <c r="Y202">
        <v>1.9060404909297337E-4</v>
      </c>
      <c r="Z202" t="s">
        <v>1994</v>
      </c>
      <c r="AA202" t="s">
        <v>25</v>
      </c>
      <c r="AC202" t="s">
        <v>22</v>
      </c>
      <c r="AD202" t="s">
        <v>1994</v>
      </c>
      <c r="AE202">
        <v>1.2158677770501974E-4</v>
      </c>
      <c r="AG202" t="s">
        <v>97</v>
      </c>
      <c r="AH202" t="s">
        <v>1994</v>
      </c>
      <c r="AI202">
        <v>0</v>
      </c>
    </row>
    <row r="203" spans="5:35" x14ac:dyDescent="0.45">
      <c r="E203" t="s">
        <v>1433</v>
      </c>
      <c r="G203" t="s">
        <v>166</v>
      </c>
      <c r="I203" t="s">
        <v>252</v>
      </c>
      <c r="J203" t="s">
        <v>1995</v>
      </c>
      <c r="K203">
        <v>2.545160639877E-4</v>
      </c>
      <c r="L203" t="s">
        <v>254</v>
      </c>
      <c r="N203" t="s">
        <v>422</v>
      </c>
      <c r="O203" t="s">
        <v>1995</v>
      </c>
      <c r="P203">
        <v>9.9469451766068015E-5</v>
      </c>
      <c r="Q203" t="s">
        <v>254</v>
      </c>
      <c r="S203" t="s">
        <v>423</v>
      </c>
      <c r="T203" t="s">
        <v>1995</v>
      </c>
      <c r="U203">
        <v>8.9457055196742272E-5</v>
      </c>
      <c r="V203" t="s">
        <v>254</v>
      </c>
      <c r="X203">
        <v>1.1415525114155251E-4</v>
      </c>
      <c r="Y203">
        <v>1.4585353321897094E-4</v>
      </c>
      <c r="Z203" t="s">
        <v>1995</v>
      </c>
      <c r="AA203" t="s">
        <v>25</v>
      </c>
      <c r="AC203" t="s">
        <v>22</v>
      </c>
      <c r="AD203" t="s">
        <v>1995</v>
      </c>
      <c r="AE203">
        <v>1.2655268435218152E-4</v>
      </c>
      <c r="AG203" t="s">
        <v>97</v>
      </c>
      <c r="AH203" t="s">
        <v>1995</v>
      </c>
      <c r="AI203">
        <v>0</v>
      </c>
    </row>
    <row r="204" spans="5:35" x14ac:dyDescent="0.45">
      <c r="E204" t="s">
        <v>1434</v>
      </c>
      <c r="G204" t="s">
        <v>166</v>
      </c>
      <c r="I204" t="s">
        <v>252</v>
      </c>
      <c r="J204" t="s">
        <v>1996</v>
      </c>
      <c r="K204">
        <v>2.9525823436130002E-4</v>
      </c>
      <c r="L204" t="s">
        <v>254</v>
      </c>
      <c r="N204" t="s">
        <v>422</v>
      </c>
      <c r="O204" t="s">
        <v>1996</v>
      </c>
      <c r="P204">
        <v>1.022034818628E-4</v>
      </c>
      <c r="Q204" t="s">
        <v>254</v>
      </c>
      <c r="S204" t="s">
        <v>423</v>
      </c>
      <c r="T204" t="s">
        <v>1996</v>
      </c>
      <c r="U204">
        <v>8.0259310134124631E-5</v>
      </c>
      <c r="V204" t="s">
        <v>254</v>
      </c>
      <c r="X204">
        <v>1.1415525114155251E-4</v>
      </c>
      <c r="Y204">
        <v>1.4452759200788939E-4</v>
      </c>
      <c r="Z204" t="s">
        <v>1996</v>
      </c>
      <c r="AA204" t="s">
        <v>25</v>
      </c>
      <c r="AC204" t="s">
        <v>22</v>
      </c>
      <c r="AD204" t="s">
        <v>1996</v>
      </c>
      <c r="AE204">
        <v>1.27532057290319E-4</v>
      </c>
      <c r="AG204" t="s">
        <v>97</v>
      </c>
      <c r="AH204" t="s">
        <v>1996</v>
      </c>
      <c r="AI204">
        <v>0</v>
      </c>
    </row>
    <row r="205" spans="5:35" x14ac:dyDescent="0.45">
      <c r="E205" t="s">
        <v>1435</v>
      </c>
      <c r="G205" t="s">
        <v>166</v>
      </c>
      <c r="I205" t="s">
        <v>252</v>
      </c>
      <c r="J205" t="s">
        <v>1997</v>
      </c>
      <c r="K205">
        <v>3.1915130692850003E-4</v>
      </c>
      <c r="L205" t="s">
        <v>254</v>
      </c>
      <c r="N205" t="s">
        <v>422</v>
      </c>
      <c r="O205" t="s">
        <v>1997</v>
      </c>
      <c r="P205">
        <v>9.8968548769777021E-5</v>
      </c>
      <c r="Q205" t="s">
        <v>254</v>
      </c>
      <c r="S205" t="s">
        <v>423</v>
      </c>
      <c r="T205" t="s">
        <v>1997</v>
      </c>
      <c r="U205">
        <v>8.3269875438208964E-5</v>
      </c>
      <c r="V205" t="s">
        <v>254</v>
      </c>
      <c r="X205">
        <v>1.1415525114155251E-4</v>
      </c>
      <c r="Y205">
        <v>1.408812536774151E-4</v>
      </c>
      <c r="Z205" t="s">
        <v>1997</v>
      </c>
      <c r="AA205" t="s">
        <v>25</v>
      </c>
      <c r="AC205" t="s">
        <v>22</v>
      </c>
      <c r="AD205" t="s">
        <v>1997</v>
      </c>
      <c r="AE205">
        <v>1.2747068666234173E-4</v>
      </c>
      <c r="AG205" t="s">
        <v>97</v>
      </c>
      <c r="AH205" t="s">
        <v>1997</v>
      </c>
      <c r="AI205">
        <v>0</v>
      </c>
    </row>
    <row r="206" spans="5:35" x14ac:dyDescent="0.45">
      <c r="E206" t="s">
        <v>1436</v>
      </c>
      <c r="G206" t="s">
        <v>166</v>
      </c>
      <c r="I206" t="s">
        <v>252</v>
      </c>
      <c r="J206" t="s">
        <v>1998</v>
      </c>
      <c r="K206">
        <v>3.3121366904749998E-4</v>
      </c>
      <c r="L206" t="s">
        <v>254</v>
      </c>
      <c r="N206" t="s">
        <v>422</v>
      </c>
      <c r="O206" t="s">
        <v>1998</v>
      </c>
      <c r="P206">
        <v>1.0978417041019999E-4</v>
      </c>
      <c r="Q206" t="s">
        <v>254</v>
      </c>
      <c r="S206" t="s">
        <v>423</v>
      </c>
      <c r="T206" t="s">
        <v>1998</v>
      </c>
      <c r="U206">
        <v>8.858070750400545E-5</v>
      </c>
      <c r="V206" t="s">
        <v>254</v>
      </c>
      <c r="X206">
        <v>1.1415525114155251E-4</v>
      </c>
      <c r="Y206">
        <v>1.4054976837464471E-4</v>
      </c>
      <c r="Z206" t="s">
        <v>1998</v>
      </c>
      <c r="AA206" t="s">
        <v>25</v>
      </c>
      <c r="AC206" t="s">
        <v>22</v>
      </c>
      <c r="AD206" t="s">
        <v>1998</v>
      </c>
      <c r="AE206">
        <v>1.2725844657392028E-4</v>
      </c>
      <c r="AG206" t="s">
        <v>97</v>
      </c>
      <c r="AH206" t="s">
        <v>1998</v>
      </c>
      <c r="AI206">
        <v>0</v>
      </c>
    </row>
    <row r="207" spans="5:35" x14ac:dyDescent="0.45">
      <c r="E207" t="s">
        <v>1437</v>
      </c>
      <c r="G207" t="s">
        <v>166</v>
      </c>
      <c r="I207" t="s">
        <v>252</v>
      </c>
      <c r="J207" t="s">
        <v>1999</v>
      </c>
      <c r="K207">
        <v>3.2204290910190002E-4</v>
      </c>
      <c r="L207" t="s">
        <v>254</v>
      </c>
      <c r="N207" t="s">
        <v>422</v>
      </c>
      <c r="O207" t="s">
        <v>1999</v>
      </c>
      <c r="P207">
        <v>1.246150972248E-4</v>
      </c>
      <c r="Q207" t="s">
        <v>254</v>
      </c>
      <c r="S207" t="s">
        <v>423</v>
      </c>
      <c r="T207" t="s">
        <v>1999</v>
      </c>
      <c r="U207">
        <v>9.4505569158095739E-5</v>
      </c>
      <c r="V207" t="s">
        <v>254</v>
      </c>
      <c r="X207">
        <v>1.1415525114155251E-4</v>
      </c>
      <c r="Y207">
        <v>1.4253868019126702E-4</v>
      </c>
      <c r="Z207" t="s">
        <v>1999</v>
      </c>
      <c r="AA207" t="s">
        <v>25</v>
      </c>
      <c r="AC207" t="s">
        <v>22</v>
      </c>
      <c r="AD207" t="s">
        <v>1999</v>
      </c>
      <c r="AE207">
        <v>1.2755762838530954E-4</v>
      </c>
      <c r="AG207" t="s">
        <v>97</v>
      </c>
      <c r="AH207" t="s">
        <v>1999</v>
      </c>
      <c r="AI207">
        <v>0</v>
      </c>
    </row>
    <row r="208" spans="5:35" x14ac:dyDescent="0.45">
      <c r="E208" t="s">
        <v>1438</v>
      </c>
      <c r="G208" t="s">
        <v>166</v>
      </c>
      <c r="I208" t="s">
        <v>252</v>
      </c>
      <c r="J208" t="s">
        <v>2000</v>
      </c>
      <c r="K208">
        <v>3.297666530292E-4</v>
      </c>
      <c r="L208" t="s">
        <v>254</v>
      </c>
      <c r="N208" t="s">
        <v>422</v>
      </c>
      <c r="O208" t="s">
        <v>2000</v>
      </c>
      <c r="P208">
        <v>1.3306341456810001E-4</v>
      </c>
      <c r="Q208" t="s">
        <v>254</v>
      </c>
      <c r="S208" t="s">
        <v>423</v>
      </c>
      <c r="T208" t="s">
        <v>2000</v>
      </c>
      <c r="U208">
        <v>1.018082461926E-4</v>
      </c>
      <c r="V208" t="s">
        <v>254</v>
      </c>
      <c r="X208">
        <v>1.1415525114155251E-4</v>
      </c>
      <c r="Y208">
        <v>1.4883690094390442E-4</v>
      </c>
      <c r="Z208" t="s">
        <v>2000</v>
      </c>
      <c r="AA208" t="s">
        <v>25</v>
      </c>
      <c r="AC208" t="s">
        <v>22</v>
      </c>
      <c r="AD208" t="s">
        <v>2000</v>
      </c>
      <c r="AE208">
        <v>1.2686465171106605E-4</v>
      </c>
      <c r="AG208" t="s">
        <v>97</v>
      </c>
      <c r="AH208" t="s">
        <v>2000</v>
      </c>
      <c r="AI208">
        <v>0</v>
      </c>
    </row>
    <row r="209" spans="5:35" x14ac:dyDescent="0.45">
      <c r="E209" t="s">
        <v>1439</v>
      </c>
      <c r="G209" t="s">
        <v>166</v>
      </c>
      <c r="I209" t="s">
        <v>252</v>
      </c>
      <c r="J209" t="s">
        <v>2001</v>
      </c>
      <c r="K209">
        <v>3.2387276625739998E-4</v>
      </c>
      <c r="L209" t="s">
        <v>254</v>
      </c>
      <c r="N209" t="s">
        <v>422</v>
      </c>
      <c r="O209" t="s">
        <v>2001</v>
      </c>
      <c r="P209">
        <v>1.330687049839E-4</v>
      </c>
      <c r="Q209" t="s">
        <v>254</v>
      </c>
      <c r="S209" t="s">
        <v>423</v>
      </c>
      <c r="T209" t="s">
        <v>2001</v>
      </c>
      <c r="U209">
        <v>1.103432789793E-4</v>
      </c>
      <c r="V209" t="s">
        <v>254</v>
      </c>
      <c r="X209">
        <v>1.1415525114155251E-4</v>
      </c>
      <c r="Y209">
        <v>1.5049432745775637E-4</v>
      </c>
      <c r="Z209" t="s">
        <v>2001</v>
      </c>
      <c r="AA209" t="s">
        <v>25</v>
      </c>
      <c r="AC209" t="s">
        <v>22</v>
      </c>
      <c r="AD209" t="s">
        <v>2001</v>
      </c>
      <c r="AE209">
        <v>1.2590317853942195E-4</v>
      </c>
      <c r="AG209" t="s">
        <v>97</v>
      </c>
      <c r="AH209" t="s">
        <v>2001</v>
      </c>
      <c r="AI209">
        <v>0</v>
      </c>
    </row>
    <row r="210" spans="5:35" x14ac:dyDescent="0.45">
      <c r="E210" t="s">
        <v>1440</v>
      </c>
      <c r="G210" t="s">
        <v>166</v>
      </c>
      <c r="I210" t="s">
        <v>252</v>
      </c>
      <c r="J210" t="s">
        <v>2002</v>
      </c>
      <c r="K210">
        <v>3.0585692845789999E-4</v>
      </c>
      <c r="L210" t="s">
        <v>254</v>
      </c>
      <c r="N210" t="s">
        <v>422</v>
      </c>
      <c r="O210" t="s">
        <v>2002</v>
      </c>
      <c r="P210">
        <v>1.4149971242249999E-4</v>
      </c>
      <c r="Q210" t="s">
        <v>254</v>
      </c>
      <c r="S210" t="s">
        <v>423</v>
      </c>
      <c r="T210" t="s">
        <v>2002</v>
      </c>
      <c r="U210">
        <v>1.143394699204E-4</v>
      </c>
      <c r="V210" t="s">
        <v>254</v>
      </c>
      <c r="X210">
        <v>1.1415525114155251E-4</v>
      </c>
      <c r="Y210">
        <v>1.7237235744060203E-4</v>
      </c>
      <c r="Z210" t="s">
        <v>2002</v>
      </c>
      <c r="AA210" t="s">
        <v>25</v>
      </c>
      <c r="AC210" t="s">
        <v>22</v>
      </c>
      <c r="AD210" t="s">
        <v>2002</v>
      </c>
      <c r="AE210">
        <v>1.2552984055256018E-4</v>
      </c>
      <c r="AG210" t="s">
        <v>97</v>
      </c>
      <c r="AH210" t="s">
        <v>2002</v>
      </c>
      <c r="AI210">
        <v>0</v>
      </c>
    </row>
    <row r="211" spans="5:35" x14ac:dyDescent="0.45">
      <c r="E211" t="s">
        <v>1441</v>
      </c>
      <c r="G211" t="s">
        <v>166</v>
      </c>
      <c r="I211" t="s">
        <v>252</v>
      </c>
      <c r="J211" t="s">
        <v>2003</v>
      </c>
      <c r="K211">
        <v>2.7295203582020002E-4</v>
      </c>
      <c r="L211" t="s">
        <v>254</v>
      </c>
      <c r="N211" t="s">
        <v>422</v>
      </c>
      <c r="O211" t="s">
        <v>2003</v>
      </c>
      <c r="P211">
        <v>1.4503987175669999E-4</v>
      </c>
      <c r="Q211" t="s">
        <v>254</v>
      </c>
      <c r="S211" t="s">
        <v>423</v>
      </c>
      <c r="T211" t="s">
        <v>2003</v>
      </c>
      <c r="U211">
        <v>1.1047109596800001E-4</v>
      </c>
      <c r="V211" t="s">
        <v>254</v>
      </c>
      <c r="X211">
        <v>1.1415525114155251E-4</v>
      </c>
      <c r="Y211">
        <v>2.2209515285616027E-4</v>
      </c>
      <c r="Z211" t="s">
        <v>2003</v>
      </c>
      <c r="AA211" t="s">
        <v>25</v>
      </c>
      <c r="AC211" t="s">
        <v>22</v>
      </c>
      <c r="AD211" t="s">
        <v>2003</v>
      </c>
      <c r="AE211">
        <v>1.2517184522269268E-4</v>
      </c>
      <c r="AG211" t="s">
        <v>97</v>
      </c>
      <c r="AH211" t="s">
        <v>2003</v>
      </c>
      <c r="AI211">
        <v>0</v>
      </c>
    </row>
    <row r="212" spans="5:35" x14ac:dyDescent="0.45">
      <c r="E212" t="s">
        <v>1442</v>
      </c>
      <c r="G212" t="s">
        <v>166</v>
      </c>
      <c r="I212" t="s">
        <v>252</v>
      </c>
      <c r="J212" t="s">
        <v>2004</v>
      </c>
      <c r="K212">
        <v>2.394106973107E-4</v>
      </c>
      <c r="L212" t="s">
        <v>254</v>
      </c>
      <c r="N212" t="s">
        <v>422</v>
      </c>
      <c r="O212" t="s">
        <v>2004</v>
      </c>
      <c r="P212">
        <v>1.4101419957910001E-4</v>
      </c>
      <c r="Q212" t="s">
        <v>254</v>
      </c>
      <c r="S212" t="s">
        <v>423</v>
      </c>
      <c r="T212" t="s">
        <v>2004</v>
      </c>
      <c r="U212">
        <v>1.07106837994E-4</v>
      </c>
      <c r="V212" t="s">
        <v>254</v>
      </c>
      <c r="X212">
        <v>1.1415525114155251E-4</v>
      </c>
      <c r="Y212">
        <v>2.2209515285616027E-4</v>
      </c>
      <c r="Z212" t="s">
        <v>2004</v>
      </c>
      <c r="AA212" t="s">
        <v>25</v>
      </c>
      <c r="AC212" t="s">
        <v>22</v>
      </c>
      <c r="AD212" t="s">
        <v>2004</v>
      </c>
      <c r="AE212">
        <v>1.2498006201026366E-4</v>
      </c>
      <c r="AG212" t="s">
        <v>97</v>
      </c>
      <c r="AH212" t="s">
        <v>2004</v>
      </c>
      <c r="AI212">
        <v>0</v>
      </c>
    </row>
    <row r="213" spans="5:35" x14ac:dyDescent="0.45">
      <c r="E213" t="s">
        <v>1443</v>
      </c>
      <c r="G213" t="s">
        <v>166</v>
      </c>
      <c r="I213" t="s">
        <v>252</v>
      </c>
      <c r="J213" t="s">
        <v>2005</v>
      </c>
      <c r="K213">
        <v>1.6633142011739999E-4</v>
      </c>
      <c r="L213" t="s">
        <v>254</v>
      </c>
      <c r="N213" t="s">
        <v>422</v>
      </c>
      <c r="O213" t="s">
        <v>2005</v>
      </c>
      <c r="P213">
        <v>1.289763408602E-4</v>
      </c>
      <c r="Q213" t="s">
        <v>254</v>
      </c>
      <c r="S213" t="s">
        <v>423</v>
      </c>
      <c r="T213" t="s">
        <v>2005</v>
      </c>
      <c r="U213">
        <v>1.075890873944E-4</v>
      </c>
      <c r="V213" t="s">
        <v>254</v>
      </c>
      <c r="X213">
        <v>1.1415525114155251E-4</v>
      </c>
      <c r="Y213">
        <v>1.7237235744060203E-4</v>
      </c>
      <c r="Z213" t="s">
        <v>2005</v>
      </c>
      <c r="AA213" t="s">
        <v>25</v>
      </c>
      <c r="AC213" t="s">
        <v>22</v>
      </c>
      <c r="AD213" t="s">
        <v>2005</v>
      </c>
      <c r="AE213">
        <v>1.2395466110114322E-4</v>
      </c>
      <c r="AG213" t="s">
        <v>97</v>
      </c>
      <c r="AH213" t="s">
        <v>2005</v>
      </c>
      <c r="AI213">
        <v>0</v>
      </c>
    </row>
    <row r="214" spans="5:35" x14ac:dyDescent="0.45">
      <c r="E214" t="s">
        <v>1444</v>
      </c>
      <c r="G214" t="s">
        <v>166</v>
      </c>
      <c r="I214" t="s">
        <v>252</v>
      </c>
      <c r="J214" t="s">
        <v>2006</v>
      </c>
      <c r="K214">
        <v>9.2116516791823647E-5</v>
      </c>
      <c r="L214" t="s">
        <v>254</v>
      </c>
      <c r="N214" t="s">
        <v>422</v>
      </c>
      <c r="O214" t="s">
        <v>2006</v>
      </c>
      <c r="P214">
        <v>1.213451480369E-4</v>
      </c>
      <c r="Q214" t="s">
        <v>254</v>
      </c>
      <c r="S214" t="s">
        <v>423</v>
      </c>
      <c r="T214" t="s">
        <v>2006</v>
      </c>
      <c r="U214">
        <v>9.7703528944141155E-5</v>
      </c>
      <c r="V214" t="s">
        <v>254</v>
      </c>
      <c r="X214">
        <v>1.1415525114155251E-4</v>
      </c>
      <c r="Y214">
        <v>1.5579809230208258E-4</v>
      </c>
      <c r="Z214" t="s">
        <v>2006</v>
      </c>
      <c r="AA214" t="s">
        <v>25</v>
      </c>
      <c r="AC214" t="s">
        <v>22</v>
      </c>
      <c r="AD214" t="s">
        <v>2006</v>
      </c>
      <c r="AE214">
        <v>1.214947217630538E-4</v>
      </c>
      <c r="AG214" t="s">
        <v>97</v>
      </c>
      <c r="AH214" t="s">
        <v>2006</v>
      </c>
      <c r="AI214">
        <v>0</v>
      </c>
    </row>
    <row r="215" spans="5:35" x14ac:dyDescent="0.45">
      <c r="E215" t="s">
        <v>1445</v>
      </c>
      <c r="G215" t="s">
        <v>166</v>
      </c>
      <c r="I215" t="s">
        <v>252</v>
      </c>
      <c r="J215" t="s">
        <v>2007</v>
      </c>
      <c r="K215">
        <v>0</v>
      </c>
      <c r="L215" t="s">
        <v>254</v>
      </c>
      <c r="N215" t="s">
        <v>422</v>
      </c>
      <c r="O215" t="s">
        <v>2007</v>
      </c>
      <c r="P215">
        <v>1.097632815244E-4</v>
      </c>
      <c r="Q215" t="s">
        <v>254</v>
      </c>
      <c r="S215" t="s">
        <v>423</v>
      </c>
      <c r="T215" t="s">
        <v>2007</v>
      </c>
      <c r="U215">
        <v>8.6399760593908084E-5</v>
      </c>
      <c r="V215" t="s">
        <v>254</v>
      </c>
      <c r="X215">
        <v>1.1415525114155251E-4</v>
      </c>
      <c r="Y215">
        <v>1.093901499142282E-4</v>
      </c>
      <c r="Z215" t="s">
        <v>2007</v>
      </c>
      <c r="AA215" t="s">
        <v>25</v>
      </c>
      <c r="AC215" t="s">
        <v>22</v>
      </c>
      <c r="AD215" t="s">
        <v>2007</v>
      </c>
      <c r="AE215">
        <v>1.1500477785445612E-4</v>
      </c>
      <c r="AG215" t="s">
        <v>97</v>
      </c>
      <c r="AH215" t="s">
        <v>2007</v>
      </c>
      <c r="AI215">
        <v>0</v>
      </c>
    </row>
    <row r="216" spans="5:35" x14ac:dyDescent="0.45">
      <c r="E216" t="s">
        <v>1446</v>
      </c>
      <c r="G216" t="s">
        <v>166</v>
      </c>
      <c r="I216" t="s">
        <v>252</v>
      </c>
      <c r="J216" t="s">
        <v>2008</v>
      </c>
      <c r="K216">
        <v>0</v>
      </c>
      <c r="L216" t="s">
        <v>254</v>
      </c>
      <c r="N216" t="s">
        <v>422</v>
      </c>
      <c r="O216" t="s">
        <v>2008</v>
      </c>
      <c r="P216">
        <v>1.0107417571369999E-4</v>
      </c>
      <c r="Q216" t="s">
        <v>254</v>
      </c>
      <c r="S216" t="s">
        <v>423</v>
      </c>
      <c r="T216" t="s">
        <v>2008</v>
      </c>
      <c r="U216">
        <v>7.8494503900073615E-5</v>
      </c>
      <c r="V216" t="s">
        <v>254</v>
      </c>
      <c r="X216">
        <v>1.1415525114155251E-4</v>
      </c>
      <c r="Y216">
        <v>7.9556472664893237E-5</v>
      </c>
      <c r="Z216" t="s">
        <v>2008</v>
      </c>
      <c r="AA216" t="s">
        <v>25</v>
      </c>
      <c r="AC216" t="s">
        <v>22</v>
      </c>
      <c r="AD216" t="s">
        <v>2008</v>
      </c>
      <c r="AE216">
        <v>1.0846113464637833E-4</v>
      </c>
      <c r="AG216" t="s">
        <v>97</v>
      </c>
      <c r="AH216" t="s">
        <v>2008</v>
      </c>
      <c r="AI216">
        <v>0</v>
      </c>
    </row>
    <row r="217" spans="5:35" x14ac:dyDescent="0.45">
      <c r="E217" t="s">
        <v>1447</v>
      </c>
      <c r="G217" t="s">
        <v>166</v>
      </c>
      <c r="I217" t="s">
        <v>252</v>
      </c>
      <c r="J217" t="s">
        <v>2009</v>
      </c>
      <c r="K217">
        <v>0</v>
      </c>
      <c r="L217" t="s">
        <v>254</v>
      </c>
      <c r="N217" t="s">
        <v>422</v>
      </c>
      <c r="O217" t="s">
        <v>2009</v>
      </c>
      <c r="P217">
        <v>9.8769827436728742E-5</v>
      </c>
      <c r="Q217" t="s">
        <v>254</v>
      </c>
      <c r="S217" t="s">
        <v>423</v>
      </c>
      <c r="T217" t="s">
        <v>2009</v>
      </c>
      <c r="U217">
        <v>7.9689470654575374E-5</v>
      </c>
      <c r="V217" t="s">
        <v>254</v>
      </c>
      <c r="X217">
        <v>1.1415525114155251E-4</v>
      </c>
      <c r="Y217">
        <v>5.6352501470966035E-5</v>
      </c>
      <c r="Z217" t="s">
        <v>2009</v>
      </c>
      <c r="AA217" t="s">
        <v>25</v>
      </c>
      <c r="AC217" t="s">
        <v>22</v>
      </c>
      <c r="AD217" t="s">
        <v>2009</v>
      </c>
      <c r="AE217">
        <v>8.951806747739034E-5</v>
      </c>
      <c r="AG217" t="s">
        <v>97</v>
      </c>
      <c r="AH217" t="s">
        <v>2009</v>
      </c>
      <c r="AI217">
        <v>0</v>
      </c>
    </row>
    <row r="218" spans="5:35" x14ac:dyDescent="0.45">
      <c r="E218" t="s">
        <v>1448</v>
      </c>
      <c r="G218" t="s">
        <v>166</v>
      </c>
      <c r="I218" t="s">
        <v>252</v>
      </c>
      <c r="J218" t="s">
        <v>2010</v>
      </c>
      <c r="K218">
        <v>0</v>
      </c>
      <c r="L218" t="s">
        <v>254</v>
      </c>
      <c r="N218" t="s">
        <v>422</v>
      </c>
      <c r="O218" t="s">
        <v>2010</v>
      </c>
      <c r="P218">
        <v>9.3155314120055662E-5</v>
      </c>
      <c r="Q218" t="s">
        <v>254</v>
      </c>
      <c r="S218" t="s">
        <v>423</v>
      </c>
      <c r="T218" t="s">
        <v>2010</v>
      </c>
      <c r="U218">
        <v>7.1741010419153539E-5</v>
      </c>
      <c r="V218" t="s">
        <v>254</v>
      </c>
      <c r="X218">
        <v>1.1415525114155251E-4</v>
      </c>
      <c r="Y218">
        <v>2.9833677249334962E-5</v>
      </c>
      <c r="Z218" t="s">
        <v>2010</v>
      </c>
      <c r="AA218" t="s">
        <v>25</v>
      </c>
      <c r="AC218" t="s">
        <v>22</v>
      </c>
      <c r="AD218" t="s">
        <v>2010</v>
      </c>
      <c r="AE218">
        <v>7.9864979118463532E-5</v>
      </c>
      <c r="AG218" t="s">
        <v>97</v>
      </c>
      <c r="AH218" t="s">
        <v>2010</v>
      </c>
      <c r="AI218">
        <v>0</v>
      </c>
    </row>
    <row r="219" spans="5:35" x14ac:dyDescent="0.45">
      <c r="E219" t="s">
        <v>1449</v>
      </c>
      <c r="G219" t="s">
        <v>166</v>
      </c>
      <c r="I219" t="s">
        <v>252</v>
      </c>
      <c r="J219" t="s">
        <v>2011</v>
      </c>
      <c r="K219">
        <v>0</v>
      </c>
      <c r="L219" t="s">
        <v>254</v>
      </c>
      <c r="N219" t="s">
        <v>422</v>
      </c>
      <c r="O219" t="s">
        <v>2011</v>
      </c>
      <c r="P219">
        <v>8.3155269759579596E-5</v>
      </c>
      <c r="Q219" t="s">
        <v>254</v>
      </c>
      <c r="S219" t="s">
        <v>423</v>
      </c>
      <c r="T219" t="s">
        <v>2011</v>
      </c>
      <c r="U219">
        <v>6.2788570278604405E-5</v>
      </c>
      <c r="V219" t="s">
        <v>254</v>
      </c>
      <c r="X219">
        <v>1.1415525114155251E-4</v>
      </c>
      <c r="Y219">
        <v>2.1546544680075254E-5</v>
      </c>
      <c r="Z219" t="s">
        <v>2011</v>
      </c>
      <c r="AA219" t="s">
        <v>25</v>
      </c>
      <c r="AC219" t="s">
        <v>22</v>
      </c>
      <c r="AD219" t="s">
        <v>2011</v>
      </c>
      <c r="AE219">
        <v>7.319092332593403E-5</v>
      </c>
      <c r="AG219" t="s">
        <v>97</v>
      </c>
      <c r="AH219" t="s">
        <v>2011</v>
      </c>
      <c r="AI219">
        <v>0</v>
      </c>
    </row>
    <row r="220" spans="5:35" x14ac:dyDescent="0.45">
      <c r="E220" t="s">
        <v>1450</v>
      </c>
      <c r="G220" t="s">
        <v>166</v>
      </c>
      <c r="I220" t="s">
        <v>252</v>
      </c>
      <c r="J220" t="s">
        <v>2012</v>
      </c>
      <c r="K220">
        <v>0</v>
      </c>
      <c r="L220" t="s">
        <v>254</v>
      </c>
      <c r="N220" t="s">
        <v>422</v>
      </c>
      <c r="O220" t="s">
        <v>2012</v>
      </c>
      <c r="P220">
        <v>7.5748974472062769E-5</v>
      </c>
      <c r="Q220" t="s">
        <v>254</v>
      </c>
      <c r="S220" t="s">
        <v>423</v>
      </c>
      <c r="T220" t="s">
        <v>2012</v>
      </c>
      <c r="U220">
        <v>5.8578651815171493E-5</v>
      </c>
      <c r="V220" t="s">
        <v>254</v>
      </c>
      <c r="X220">
        <v>1.1415525114155251E-4</v>
      </c>
      <c r="Y220">
        <v>1.4916838624667481E-5</v>
      </c>
      <c r="Z220" t="s">
        <v>2012</v>
      </c>
      <c r="AA220" t="s">
        <v>25</v>
      </c>
      <c r="AC220" t="s">
        <v>22</v>
      </c>
      <c r="AD220" t="s">
        <v>2012</v>
      </c>
      <c r="AE220">
        <v>7.0306503811001734E-5</v>
      </c>
      <c r="AG220" t="s">
        <v>97</v>
      </c>
      <c r="AH220" t="s">
        <v>2012</v>
      </c>
      <c r="AI220">
        <v>0</v>
      </c>
    </row>
    <row r="221" spans="5:35" x14ac:dyDescent="0.45">
      <c r="E221" t="s">
        <v>1451</v>
      </c>
      <c r="G221" t="s">
        <v>166</v>
      </c>
      <c r="I221" t="s">
        <v>252</v>
      </c>
      <c r="J221" t="s">
        <v>2013</v>
      </c>
      <c r="K221">
        <v>0</v>
      </c>
      <c r="L221" t="s">
        <v>254</v>
      </c>
      <c r="N221" t="s">
        <v>422</v>
      </c>
      <c r="O221" t="s">
        <v>2013</v>
      </c>
      <c r="P221">
        <v>7.0035399527289849E-5</v>
      </c>
      <c r="Q221" t="s">
        <v>254</v>
      </c>
      <c r="S221" t="s">
        <v>423</v>
      </c>
      <c r="T221" t="s">
        <v>2013</v>
      </c>
      <c r="U221">
        <v>5.6238072086422368E-5</v>
      </c>
      <c r="V221" t="s">
        <v>254</v>
      </c>
      <c r="X221">
        <v>1.1415525114155251E-4</v>
      </c>
      <c r="Y221">
        <v>1.6574265138519424E-5</v>
      </c>
      <c r="Z221" t="s">
        <v>2013</v>
      </c>
      <c r="AA221" t="s">
        <v>25</v>
      </c>
      <c r="AC221" t="s">
        <v>22</v>
      </c>
      <c r="AD221" t="s">
        <v>2013</v>
      </c>
      <c r="AE221">
        <v>7.0306503811001734E-5</v>
      </c>
      <c r="AG221" t="s">
        <v>97</v>
      </c>
      <c r="AH221" t="s">
        <v>2013</v>
      </c>
      <c r="AI221">
        <v>0</v>
      </c>
    </row>
    <row r="222" spans="5:35" x14ac:dyDescent="0.45">
      <c r="E222" t="s">
        <v>1452</v>
      </c>
      <c r="G222" t="s">
        <v>166</v>
      </c>
      <c r="I222" t="s">
        <v>252</v>
      </c>
      <c r="J222" t="s">
        <v>2014</v>
      </c>
      <c r="K222">
        <v>0</v>
      </c>
      <c r="L222" t="s">
        <v>254</v>
      </c>
      <c r="N222" t="s">
        <v>422</v>
      </c>
      <c r="O222" t="s">
        <v>2014</v>
      </c>
      <c r="P222">
        <v>6.7286640649460937E-5</v>
      </c>
      <c r="Q222" t="s">
        <v>254</v>
      </c>
      <c r="S222" t="s">
        <v>423</v>
      </c>
      <c r="T222" t="s">
        <v>2014</v>
      </c>
      <c r="U222">
        <v>5.1714541921810777E-5</v>
      </c>
      <c r="V222" t="s">
        <v>254</v>
      </c>
      <c r="X222">
        <v>1.1415525114155251E-4</v>
      </c>
      <c r="Y222">
        <v>1.4585353321897093E-5</v>
      </c>
      <c r="Z222" t="s">
        <v>2014</v>
      </c>
      <c r="AA222" t="s">
        <v>25</v>
      </c>
      <c r="AC222" t="s">
        <v>22</v>
      </c>
      <c r="AD222" t="s">
        <v>2014</v>
      </c>
      <c r="AE222">
        <v>7.0505958351927889E-5</v>
      </c>
      <c r="AG222" t="s">
        <v>97</v>
      </c>
      <c r="AH222" t="s">
        <v>2014</v>
      </c>
      <c r="AI222">
        <v>0</v>
      </c>
    </row>
    <row r="223" spans="5:35" x14ac:dyDescent="0.45">
      <c r="E223" t="s">
        <v>1453</v>
      </c>
      <c r="G223" t="s">
        <v>166</v>
      </c>
      <c r="I223" t="s">
        <v>252</v>
      </c>
      <c r="J223" t="s">
        <v>2015</v>
      </c>
      <c r="K223">
        <v>0</v>
      </c>
      <c r="L223" t="s">
        <v>254</v>
      </c>
      <c r="N223" t="s">
        <v>422</v>
      </c>
      <c r="O223" t="s">
        <v>2015</v>
      </c>
      <c r="P223">
        <v>6.4971498780628641E-5</v>
      </c>
      <c r="Q223" t="s">
        <v>254</v>
      </c>
      <c r="S223" t="s">
        <v>423</v>
      </c>
      <c r="T223" t="s">
        <v>2015</v>
      </c>
      <c r="U223">
        <v>4.3768448604433967E-5</v>
      </c>
      <c r="V223" t="s">
        <v>254</v>
      </c>
      <c r="X223">
        <v>1.1415525114155251E-4</v>
      </c>
      <c r="Y223">
        <v>2.1215059377304864E-5</v>
      </c>
      <c r="Z223" t="s">
        <v>2015</v>
      </c>
      <c r="AA223" t="s">
        <v>25</v>
      </c>
      <c r="AC223" t="s">
        <v>22</v>
      </c>
      <c r="AD223" t="s">
        <v>2015</v>
      </c>
      <c r="AE223">
        <v>7.0700298673855963E-5</v>
      </c>
      <c r="AG223" t="s">
        <v>97</v>
      </c>
      <c r="AH223" t="s">
        <v>2015</v>
      </c>
      <c r="AI223">
        <v>0</v>
      </c>
    </row>
    <row r="224" spans="5:35" x14ac:dyDescent="0.45">
      <c r="E224" t="s">
        <v>1454</v>
      </c>
      <c r="G224" t="s">
        <v>166</v>
      </c>
      <c r="I224" t="s">
        <v>252</v>
      </c>
      <c r="J224" t="s">
        <v>2016</v>
      </c>
      <c r="K224">
        <v>0</v>
      </c>
      <c r="L224" t="s">
        <v>254</v>
      </c>
      <c r="N224" t="s">
        <v>422</v>
      </c>
      <c r="O224" t="s">
        <v>2016</v>
      </c>
      <c r="P224">
        <v>5.6089245780918043E-5</v>
      </c>
      <c r="Q224" t="s">
        <v>254</v>
      </c>
      <c r="S224" t="s">
        <v>423</v>
      </c>
      <c r="T224" t="s">
        <v>2016</v>
      </c>
      <c r="U224">
        <v>3.6767348312216203E-5</v>
      </c>
      <c r="V224" t="s">
        <v>254</v>
      </c>
      <c r="X224">
        <v>1.1415525114155251E-4</v>
      </c>
      <c r="Y224">
        <v>5.7678442682047593E-5</v>
      </c>
      <c r="Z224" t="s">
        <v>2016</v>
      </c>
      <c r="AA224" t="s">
        <v>25</v>
      </c>
      <c r="AC224" t="s">
        <v>22</v>
      </c>
      <c r="AD224" t="s">
        <v>2016</v>
      </c>
      <c r="AE224">
        <v>7.3198594654431178E-5</v>
      </c>
      <c r="AG224" t="s">
        <v>97</v>
      </c>
      <c r="AH224" t="s">
        <v>2016</v>
      </c>
      <c r="AI224">
        <v>0</v>
      </c>
    </row>
    <row r="225" spans="5:35" x14ac:dyDescent="0.45">
      <c r="E225" t="s">
        <v>1455</v>
      </c>
      <c r="G225" t="s">
        <v>166</v>
      </c>
      <c r="I225" t="s">
        <v>252</v>
      </c>
      <c r="J225" t="s">
        <v>2017</v>
      </c>
      <c r="K225">
        <v>1.232649903884E-4</v>
      </c>
      <c r="L225" t="s">
        <v>254</v>
      </c>
      <c r="N225" t="s">
        <v>422</v>
      </c>
      <c r="O225" t="s">
        <v>2017</v>
      </c>
      <c r="P225">
        <v>4.6800718034066279E-5</v>
      </c>
      <c r="Q225" t="s">
        <v>254</v>
      </c>
      <c r="S225" t="s">
        <v>423</v>
      </c>
      <c r="T225" t="s">
        <v>2017</v>
      </c>
      <c r="U225">
        <v>3.2363823958377786E-5</v>
      </c>
      <c r="V225" t="s">
        <v>254</v>
      </c>
      <c r="X225">
        <v>1.1415525114155251E-4</v>
      </c>
      <c r="Y225">
        <v>1.6905750441289813E-4</v>
      </c>
      <c r="Z225" t="s">
        <v>2017</v>
      </c>
      <c r="AA225" t="s">
        <v>25</v>
      </c>
      <c r="AC225" t="s">
        <v>22</v>
      </c>
      <c r="AD225" t="s">
        <v>2017</v>
      </c>
      <c r="AE225">
        <v>7.8706608515392333E-5</v>
      </c>
      <c r="AG225" t="s">
        <v>97</v>
      </c>
      <c r="AH225" t="s">
        <v>2017</v>
      </c>
      <c r="AI225">
        <v>0</v>
      </c>
    </row>
    <row r="226" spans="5:35" x14ac:dyDescent="0.45">
      <c r="E226" t="s">
        <v>1456</v>
      </c>
      <c r="G226" t="s">
        <v>166</v>
      </c>
      <c r="I226" t="s">
        <v>252</v>
      </c>
      <c r="J226" t="s">
        <v>2018</v>
      </c>
      <c r="K226">
        <v>1.8163164572030001E-4</v>
      </c>
      <c r="L226" t="s">
        <v>254</v>
      </c>
      <c r="N226" t="s">
        <v>422</v>
      </c>
      <c r="O226" t="s">
        <v>2018</v>
      </c>
      <c r="P226">
        <v>4.2938758144945181E-5</v>
      </c>
      <c r="Q226" t="s">
        <v>254</v>
      </c>
      <c r="S226" t="s">
        <v>423</v>
      </c>
      <c r="T226" t="s">
        <v>2018</v>
      </c>
      <c r="U226">
        <v>2.9114603687691439E-5</v>
      </c>
      <c r="V226" t="s">
        <v>254</v>
      </c>
      <c r="X226">
        <v>1.1415525114155251E-4</v>
      </c>
      <c r="Y226">
        <v>1.9060404909297337E-4</v>
      </c>
      <c r="Z226" t="s">
        <v>2018</v>
      </c>
      <c r="AA226" t="s">
        <v>25</v>
      </c>
      <c r="AC226" t="s">
        <v>22</v>
      </c>
      <c r="AD226" t="s">
        <v>2018</v>
      </c>
      <c r="AE226">
        <v>8.7063242358299014E-5</v>
      </c>
      <c r="AG226" t="s">
        <v>97</v>
      </c>
      <c r="AH226" t="s">
        <v>2018</v>
      </c>
      <c r="AI226">
        <v>0</v>
      </c>
    </row>
    <row r="227" spans="5:35" x14ac:dyDescent="0.45">
      <c r="E227" t="s">
        <v>1457</v>
      </c>
      <c r="G227" t="s">
        <v>437</v>
      </c>
      <c r="I227" t="s">
        <v>252</v>
      </c>
      <c r="J227" t="s">
        <v>2019</v>
      </c>
      <c r="K227">
        <v>2.5367301838910003E-4</v>
      </c>
      <c r="L227" t="s">
        <v>254</v>
      </c>
      <c r="N227" t="s">
        <v>422</v>
      </c>
      <c r="O227" t="s">
        <v>2019</v>
      </c>
      <c r="P227">
        <v>4.2148338762029296E-5</v>
      </c>
      <c r="Q227" t="s">
        <v>254</v>
      </c>
      <c r="S227" t="s">
        <v>423</v>
      </c>
      <c r="T227" t="s">
        <v>2019</v>
      </c>
      <c r="U227">
        <v>2.7347553179538771E-5</v>
      </c>
      <c r="V227" t="s">
        <v>254</v>
      </c>
      <c r="X227">
        <v>1.1415525114155251E-4</v>
      </c>
      <c r="Y227">
        <v>1.4585353321897094E-4</v>
      </c>
      <c r="Z227" t="s">
        <v>2019</v>
      </c>
      <c r="AA227" t="s">
        <v>25</v>
      </c>
      <c r="AC227" t="s">
        <v>22</v>
      </c>
      <c r="AD227" t="s">
        <v>2019</v>
      </c>
      <c r="AE227">
        <v>9.6591032351772205E-5</v>
      </c>
      <c r="AG227" t="s">
        <v>97</v>
      </c>
      <c r="AH227" t="s">
        <v>2019</v>
      </c>
      <c r="AI227">
        <v>0</v>
      </c>
    </row>
    <row r="228" spans="5:35" x14ac:dyDescent="0.45">
      <c r="E228" t="s">
        <v>1458</v>
      </c>
      <c r="G228" t="s">
        <v>437</v>
      </c>
      <c r="I228" t="s">
        <v>252</v>
      </c>
      <c r="J228" t="s">
        <v>2020</v>
      </c>
      <c r="K228">
        <v>2.8255668052849998E-4</v>
      </c>
      <c r="L228" t="s">
        <v>254</v>
      </c>
      <c r="N228" t="s">
        <v>422</v>
      </c>
      <c r="O228" t="s">
        <v>2020</v>
      </c>
      <c r="P228">
        <v>4.003689790061878E-5</v>
      </c>
      <c r="Q228" t="s">
        <v>254</v>
      </c>
      <c r="S228" t="s">
        <v>423</v>
      </c>
      <c r="T228" t="s">
        <v>2020</v>
      </c>
      <c r="U228">
        <v>2.6944246617991025E-5</v>
      </c>
      <c r="V228" t="s">
        <v>254</v>
      </c>
      <c r="X228">
        <v>1.1415525114155251E-4</v>
      </c>
      <c r="Y228">
        <v>1.4452759200788939E-4</v>
      </c>
      <c r="Z228" t="s">
        <v>2020</v>
      </c>
      <c r="AA228" t="s">
        <v>25</v>
      </c>
      <c r="AC228" t="s">
        <v>22</v>
      </c>
      <c r="AD228" t="s">
        <v>2020</v>
      </c>
      <c r="AE228">
        <v>9.9081657003850259E-5</v>
      </c>
      <c r="AG228" t="s">
        <v>97</v>
      </c>
      <c r="AH228" t="s">
        <v>2020</v>
      </c>
      <c r="AI228">
        <v>0</v>
      </c>
    </row>
    <row r="229" spans="5:35" x14ac:dyDescent="0.45">
      <c r="E229" t="s">
        <v>1459</v>
      </c>
      <c r="G229" t="s">
        <v>437</v>
      </c>
      <c r="I229" t="s">
        <v>252</v>
      </c>
      <c r="J229" t="s">
        <v>2021</v>
      </c>
      <c r="K229">
        <v>3.2545371854300002E-4</v>
      </c>
      <c r="L229" t="s">
        <v>254</v>
      </c>
      <c r="N229" t="s">
        <v>422</v>
      </c>
      <c r="O229" t="s">
        <v>2021</v>
      </c>
      <c r="P229">
        <v>4.2071901787658969E-5</v>
      </c>
      <c r="Q229" t="s">
        <v>254</v>
      </c>
      <c r="S229" t="s">
        <v>423</v>
      </c>
      <c r="T229" t="s">
        <v>2021</v>
      </c>
      <c r="U229">
        <v>3.0746296575510441E-5</v>
      </c>
      <c r="V229" t="s">
        <v>254</v>
      </c>
      <c r="X229">
        <v>1.1415525114155251E-4</v>
      </c>
      <c r="Y229">
        <v>1.408812536774151E-4</v>
      </c>
      <c r="Z229" t="s">
        <v>2021</v>
      </c>
      <c r="AA229" t="s">
        <v>25</v>
      </c>
      <c r="AC229" t="s">
        <v>22</v>
      </c>
      <c r="AD229" t="s">
        <v>2021</v>
      </c>
      <c r="AE229">
        <v>9.9252983340286833E-5</v>
      </c>
      <c r="AG229" t="s">
        <v>97</v>
      </c>
      <c r="AH229" t="s">
        <v>2021</v>
      </c>
      <c r="AI229">
        <v>0</v>
      </c>
    </row>
    <row r="230" spans="5:35" x14ac:dyDescent="0.45">
      <c r="E230" t="s">
        <v>1460</v>
      </c>
      <c r="G230" t="s">
        <v>437</v>
      </c>
      <c r="I230" t="s">
        <v>252</v>
      </c>
      <c r="J230" t="s">
        <v>2022</v>
      </c>
      <c r="K230">
        <v>3.6390887405440001E-4</v>
      </c>
      <c r="L230" t="s">
        <v>254</v>
      </c>
      <c r="N230" t="s">
        <v>422</v>
      </c>
      <c r="O230" t="s">
        <v>2022</v>
      </c>
      <c r="P230">
        <v>4.3382611669403711E-5</v>
      </c>
      <c r="Q230" t="s">
        <v>254</v>
      </c>
      <c r="S230" t="s">
        <v>423</v>
      </c>
      <c r="T230" t="s">
        <v>2022</v>
      </c>
      <c r="U230">
        <v>3.5939671962460842E-5</v>
      </c>
      <c r="V230" t="s">
        <v>254</v>
      </c>
      <c r="X230">
        <v>1.1415525114155251E-4</v>
      </c>
      <c r="Y230">
        <v>1.4054976837464471E-4</v>
      </c>
      <c r="Z230" t="s">
        <v>2022</v>
      </c>
      <c r="AA230" t="s">
        <v>25</v>
      </c>
      <c r="AC230" t="s">
        <v>22</v>
      </c>
      <c r="AD230" t="s">
        <v>2022</v>
      </c>
      <c r="AE230">
        <v>9.8787589411459121E-5</v>
      </c>
      <c r="AG230" t="s">
        <v>97</v>
      </c>
      <c r="AH230" t="s">
        <v>2022</v>
      </c>
      <c r="AI230">
        <v>0</v>
      </c>
    </row>
    <row r="231" spans="5:35" x14ac:dyDescent="0.45">
      <c r="E231" t="s">
        <v>1461</v>
      </c>
      <c r="G231" t="s">
        <v>437</v>
      </c>
      <c r="I231" t="s">
        <v>252</v>
      </c>
      <c r="J231" t="s">
        <v>2023</v>
      </c>
      <c r="K231">
        <v>3.7514474124609998E-4</v>
      </c>
      <c r="L231" t="s">
        <v>254</v>
      </c>
      <c r="N231" t="s">
        <v>422</v>
      </c>
      <c r="O231" t="s">
        <v>2023</v>
      </c>
      <c r="P231">
        <v>4.726764327163614E-5</v>
      </c>
      <c r="Q231" t="s">
        <v>254</v>
      </c>
      <c r="S231" t="s">
        <v>423</v>
      </c>
      <c r="T231" t="s">
        <v>2023</v>
      </c>
      <c r="U231">
        <v>4.0575624508938429E-5</v>
      </c>
      <c r="V231" t="s">
        <v>254</v>
      </c>
      <c r="X231">
        <v>1.1415525114155251E-4</v>
      </c>
      <c r="Y231">
        <v>1.4253868019126702E-4</v>
      </c>
      <c r="Z231" t="s">
        <v>2023</v>
      </c>
      <c r="AA231" t="s">
        <v>25</v>
      </c>
      <c r="AC231" t="s">
        <v>22</v>
      </c>
      <c r="AD231" t="s">
        <v>2023</v>
      </c>
      <c r="AE231">
        <v>9.8350323687120976E-5</v>
      </c>
      <c r="AG231" t="s">
        <v>97</v>
      </c>
      <c r="AH231" t="s">
        <v>2023</v>
      </c>
      <c r="AI231">
        <v>0</v>
      </c>
    </row>
    <row r="232" spans="5:35" x14ac:dyDescent="0.45">
      <c r="E232" t="s">
        <v>1462</v>
      </c>
      <c r="G232" t="s">
        <v>437</v>
      </c>
      <c r="I232" t="s">
        <v>252</v>
      </c>
      <c r="J232" t="s">
        <v>2024</v>
      </c>
      <c r="K232">
        <v>3.9646528152010002E-4</v>
      </c>
      <c r="L232" t="s">
        <v>254</v>
      </c>
      <c r="N232" t="s">
        <v>422</v>
      </c>
      <c r="O232" t="s">
        <v>2024</v>
      </c>
      <c r="P232">
        <v>5.1542347200118464E-5</v>
      </c>
      <c r="Q232" t="s">
        <v>254</v>
      </c>
      <c r="S232" t="s">
        <v>423</v>
      </c>
      <c r="T232" t="s">
        <v>2024</v>
      </c>
      <c r="U232">
        <v>4.5642061358450142E-5</v>
      </c>
      <c r="V232" t="s">
        <v>254</v>
      </c>
      <c r="X232">
        <v>1.1415525114155251E-4</v>
      </c>
      <c r="Y232">
        <v>1.4883690094390442E-4</v>
      </c>
      <c r="Z232" t="s">
        <v>2024</v>
      </c>
      <c r="AA232" t="s">
        <v>25</v>
      </c>
      <c r="AC232" t="s">
        <v>22</v>
      </c>
      <c r="AD232" t="s">
        <v>2024</v>
      </c>
      <c r="AE232">
        <v>9.7739174516847215E-5</v>
      </c>
      <c r="AG232" t="s">
        <v>97</v>
      </c>
      <c r="AH232" t="s">
        <v>2024</v>
      </c>
      <c r="AI232">
        <v>0</v>
      </c>
    </row>
    <row r="233" spans="5:35" x14ac:dyDescent="0.45">
      <c r="E233" t="s">
        <v>1463</v>
      </c>
      <c r="G233" t="s">
        <v>437</v>
      </c>
      <c r="I233" t="s">
        <v>252</v>
      </c>
      <c r="J233" t="s">
        <v>2025</v>
      </c>
      <c r="K233">
        <v>4.186662771654E-4</v>
      </c>
      <c r="L233" t="s">
        <v>254</v>
      </c>
      <c r="N233" t="s">
        <v>422</v>
      </c>
      <c r="O233" t="s">
        <v>2025</v>
      </c>
      <c r="P233">
        <v>5.5995816351460391E-5</v>
      </c>
      <c r="Q233" t="s">
        <v>254</v>
      </c>
      <c r="S233" t="s">
        <v>423</v>
      </c>
      <c r="T233" t="s">
        <v>2025</v>
      </c>
      <c r="U233">
        <v>5.286507780828569E-5</v>
      </c>
      <c r="V233" t="s">
        <v>254</v>
      </c>
      <c r="X233">
        <v>1.1415525114155251E-4</v>
      </c>
      <c r="Y233">
        <v>1.5049432745775637E-4</v>
      </c>
      <c r="Z233" t="s">
        <v>2025</v>
      </c>
      <c r="AA233" t="s">
        <v>25</v>
      </c>
      <c r="AC233" t="s">
        <v>22</v>
      </c>
      <c r="AD233" t="s">
        <v>2025</v>
      </c>
      <c r="AE233">
        <v>9.7214967069541249E-5</v>
      </c>
      <c r="AG233" t="s">
        <v>97</v>
      </c>
      <c r="AH233" t="s">
        <v>2025</v>
      </c>
      <c r="AI233">
        <v>0</v>
      </c>
    </row>
    <row r="234" spans="5:35" x14ac:dyDescent="0.45">
      <c r="E234" t="s">
        <v>1464</v>
      </c>
      <c r="G234" t="s">
        <v>437</v>
      </c>
      <c r="I234" t="s">
        <v>252</v>
      </c>
      <c r="J234" t="s">
        <v>2026</v>
      </c>
      <c r="K234">
        <v>4.2054526416280001E-4</v>
      </c>
      <c r="L234" t="s">
        <v>254</v>
      </c>
      <c r="N234" t="s">
        <v>422</v>
      </c>
      <c r="O234" t="s">
        <v>2026</v>
      </c>
      <c r="P234">
        <v>6.0666812078225552E-5</v>
      </c>
      <c r="Q234" t="s">
        <v>254</v>
      </c>
      <c r="S234" t="s">
        <v>423</v>
      </c>
      <c r="T234" t="s">
        <v>2026</v>
      </c>
      <c r="U234">
        <v>5.9700328413564987E-5</v>
      </c>
      <c r="V234" t="s">
        <v>254</v>
      </c>
      <c r="X234">
        <v>1.1415525114155251E-4</v>
      </c>
      <c r="Y234">
        <v>1.7237235744060203E-4</v>
      </c>
      <c r="Z234" t="s">
        <v>2026</v>
      </c>
      <c r="AA234" t="s">
        <v>25</v>
      </c>
      <c r="AC234" t="s">
        <v>22</v>
      </c>
      <c r="AD234" t="s">
        <v>2026</v>
      </c>
      <c r="AE234">
        <v>9.7010398309616959E-5</v>
      </c>
      <c r="AG234" t="s">
        <v>97</v>
      </c>
      <c r="AH234" t="s">
        <v>2026</v>
      </c>
      <c r="AI234">
        <v>0</v>
      </c>
    </row>
    <row r="235" spans="5:35" x14ac:dyDescent="0.45">
      <c r="E235" t="s">
        <v>1465</v>
      </c>
      <c r="G235" t="s">
        <v>437</v>
      </c>
      <c r="I235" t="s">
        <v>252</v>
      </c>
      <c r="J235" t="s">
        <v>2027</v>
      </c>
      <c r="K235">
        <v>3.9879763390180003E-4</v>
      </c>
      <c r="L235" t="s">
        <v>254</v>
      </c>
      <c r="N235" t="s">
        <v>422</v>
      </c>
      <c r="O235" t="s">
        <v>2027</v>
      </c>
      <c r="P235">
        <v>6.3899391043549056E-5</v>
      </c>
      <c r="Q235" t="s">
        <v>254</v>
      </c>
      <c r="S235" t="s">
        <v>423</v>
      </c>
      <c r="T235" t="s">
        <v>2027</v>
      </c>
      <c r="U235">
        <v>6.4343904759130995E-5</v>
      </c>
      <c r="V235" t="s">
        <v>254</v>
      </c>
      <c r="X235">
        <v>1.1415525114155251E-4</v>
      </c>
      <c r="Y235">
        <v>2.2209515285616027E-4</v>
      </c>
      <c r="Z235" t="s">
        <v>2027</v>
      </c>
      <c r="AA235" t="s">
        <v>25</v>
      </c>
      <c r="AC235" t="s">
        <v>22</v>
      </c>
      <c r="AD235" t="s">
        <v>2027</v>
      </c>
      <c r="AE235">
        <v>9.6821172206687007E-5</v>
      </c>
      <c r="AG235" t="s">
        <v>97</v>
      </c>
      <c r="AH235" t="s">
        <v>2027</v>
      </c>
      <c r="AI235">
        <v>0</v>
      </c>
    </row>
    <row r="236" spans="5:35" x14ac:dyDescent="0.45">
      <c r="E236" t="s">
        <v>1466</v>
      </c>
      <c r="G236" t="s">
        <v>437</v>
      </c>
      <c r="I236" t="s">
        <v>252</v>
      </c>
      <c r="J236" t="s">
        <v>2028</v>
      </c>
      <c r="K236">
        <v>3.4822004996759999E-4</v>
      </c>
      <c r="L236" t="s">
        <v>254</v>
      </c>
      <c r="N236" t="s">
        <v>422</v>
      </c>
      <c r="O236" t="s">
        <v>2028</v>
      </c>
      <c r="P236">
        <v>6.2357173297917289E-5</v>
      </c>
      <c r="Q236" t="s">
        <v>254</v>
      </c>
      <c r="S236" t="s">
        <v>423</v>
      </c>
      <c r="T236" t="s">
        <v>2028</v>
      </c>
      <c r="U236">
        <v>6.7578589436836941E-5</v>
      </c>
      <c r="V236" t="s">
        <v>254</v>
      </c>
      <c r="X236">
        <v>1.1415525114155251E-4</v>
      </c>
      <c r="Y236">
        <v>2.2209515285616027E-4</v>
      </c>
      <c r="Z236" t="s">
        <v>2028</v>
      </c>
      <c r="AA236" t="s">
        <v>25</v>
      </c>
      <c r="AC236" t="s">
        <v>22</v>
      </c>
      <c r="AD236" t="s">
        <v>2028</v>
      </c>
      <c r="AE236">
        <v>9.6920899477150098E-5</v>
      </c>
      <c r="AG236" t="s">
        <v>97</v>
      </c>
      <c r="AH236" t="s">
        <v>2028</v>
      </c>
      <c r="AI236">
        <v>0</v>
      </c>
    </row>
    <row r="237" spans="5:35" x14ac:dyDescent="0.45">
      <c r="E237" t="s">
        <v>1467</v>
      </c>
      <c r="G237" t="s">
        <v>437</v>
      </c>
      <c r="I237" t="s">
        <v>252</v>
      </c>
      <c r="J237" t="s">
        <v>2029</v>
      </c>
      <c r="K237">
        <v>2.694482343239E-4</v>
      </c>
      <c r="L237" t="s">
        <v>254</v>
      </c>
      <c r="N237" t="s">
        <v>422</v>
      </c>
      <c r="O237" t="s">
        <v>2029</v>
      </c>
      <c r="P237">
        <v>5.7516744858783786E-5</v>
      </c>
      <c r="Q237" t="s">
        <v>254</v>
      </c>
      <c r="S237" t="s">
        <v>423</v>
      </c>
      <c r="T237" t="s">
        <v>2029</v>
      </c>
      <c r="U237">
        <v>6.6244836682486272E-5</v>
      </c>
      <c r="V237" t="s">
        <v>254</v>
      </c>
      <c r="X237">
        <v>1.1415525114155251E-4</v>
      </c>
      <c r="Y237">
        <v>1.7237235744060203E-4</v>
      </c>
      <c r="Z237" t="s">
        <v>2029</v>
      </c>
      <c r="AA237" t="s">
        <v>25</v>
      </c>
      <c r="AC237" t="s">
        <v>22</v>
      </c>
      <c r="AD237" t="s">
        <v>2029</v>
      </c>
      <c r="AE237">
        <v>9.6989941433624555E-5</v>
      </c>
      <c r="AG237" t="s">
        <v>97</v>
      </c>
      <c r="AH237" t="s">
        <v>2029</v>
      </c>
      <c r="AI237">
        <v>0</v>
      </c>
    </row>
    <row r="238" spans="5:35" x14ac:dyDescent="0.45">
      <c r="E238" t="s">
        <v>1468</v>
      </c>
      <c r="G238" t="s">
        <v>437</v>
      </c>
      <c r="I238" t="s">
        <v>252</v>
      </c>
      <c r="J238" t="s">
        <v>2030</v>
      </c>
      <c r="K238">
        <v>1.524385916467E-4</v>
      </c>
      <c r="L238" t="s">
        <v>254</v>
      </c>
      <c r="N238" t="s">
        <v>422</v>
      </c>
      <c r="O238" t="s">
        <v>2030</v>
      </c>
      <c r="P238">
        <v>5.2454065633412885E-5</v>
      </c>
      <c r="Q238" t="s">
        <v>254</v>
      </c>
      <c r="S238" t="s">
        <v>423</v>
      </c>
      <c r="T238" t="s">
        <v>2030</v>
      </c>
      <c r="U238">
        <v>5.9572585167958738E-5</v>
      </c>
      <c r="V238" t="s">
        <v>254</v>
      </c>
      <c r="X238">
        <v>1.1415525114155251E-4</v>
      </c>
      <c r="Y238">
        <v>1.5579809230208258E-4</v>
      </c>
      <c r="Z238" t="s">
        <v>2030</v>
      </c>
      <c r="AA238" t="s">
        <v>25</v>
      </c>
      <c r="AC238" t="s">
        <v>22</v>
      </c>
      <c r="AD238" t="s">
        <v>2030</v>
      </c>
      <c r="AE238">
        <v>9.6759801578709726E-5</v>
      </c>
      <c r="AG238" t="s">
        <v>97</v>
      </c>
      <c r="AH238" t="s">
        <v>2030</v>
      </c>
      <c r="AI238">
        <v>0</v>
      </c>
    </row>
    <row r="239" spans="5:35" x14ac:dyDescent="0.45">
      <c r="E239" t="s">
        <v>1469</v>
      </c>
      <c r="G239" t="s">
        <v>437</v>
      </c>
      <c r="I239" t="s">
        <v>252</v>
      </c>
      <c r="J239" t="s">
        <v>2031</v>
      </c>
      <c r="K239">
        <v>0</v>
      </c>
      <c r="L239" t="s">
        <v>254</v>
      </c>
      <c r="N239" t="s">
        <v>422</v>
      </c>
      <c r="O239" t="s">
        <v>2031</v>
      </c>
      <c r="P239">
        <v>4.9595541696877264E-5</v>
      </c>
      <c r="Q239" t="s">
        <v>254</v>
      </c>
      <c r="S239" t="s">
        <v>423</v>
      </c>
      <c r="T239" t="s">
        <v>2031</v>
      </c>
      <c r="U239">
        <v>5.2457830260296558E-5</v>
      </c>
      <c r="V239" t="s">
        <v>254</v>
      </c>
      <c r="X239">
        <v>1.1415525114155251E-4</v>
      </c>
      <c r="Y239">
        <v>1.093901499142282E-4</v>
      </c>
      <c r="Z239" t="s">
        <v>2031</v>
      </c>
      <c r="AA239" t="s">
        <v>25</v>
      </c>
      <c r="AC239" t="s">
        <v>22</v>
      </c>
      <c r="AD239" t="s">
        <v>2031</v>
      </c>
      <c r="AE239">
        <v>9.6342992730363998E-5</v>
      </c>
      <c r="AG239" t="s">
        <v>97</v>
      </c>
      <c r="AH239" t="s">
        <v>2031</v>
      </c>
      <c r="AI239">
        <v>0</v>
      </c>
    </row>
    <row r="240" spans="5:35" x14ac:dyDescent="0.45">
      <c r="E240" t="s">
        <v>1470</v>
      </c>
      <c r="G240" t="s">
        <v>437</v>
      </c>
      <c r="I240" t="s">
        <v>252</v>
      </c>
      <c r="J240" t="s">
        <v>2032</v>
      </c>
      <c r="K240">
        <v>0</v>
      </c>
      <c r="L240" t="s">
        <v>254</v>
      </c>
      <c r="N240" t="s">
        <v>422</v>
      </c>
      <c r="O240" t="s">
        <v>2032</v>
      </c>
      <c r="P240">
        <v>4.7697609250033359E-5</v>
      </c>
      <c r="Q240" t="s">
        <v>254</v>
      </c>
      <c r="S240" t="s">
        <v>423</v>
      </c>
      <c r="T240" t="s">
        <v>2032</v>
      </c>
      <c r="U240">
        <v>4.9318219887695079E-5</v>
      </c>
      <c r="V240" t="s">
        <v>254</v>
      </c>
      <c r="X240">
        <v>1.1415525114155251E-4</v>
      </c>
      <c r="Y240">
        <v>7.9556472664893237E-5</v>
      </c>
      <c r="Z240" t="s">
        <v>2032</v>
      </c>
      <c r="AA240" t="s">
        <v>25</v>
      </c>
      <c r="AC240" t="s">
        <v>22</v>
      </c>
      <c r="AD240" t="s">
        <v>2032</v>
      </c>
      <c r="AE240">
        <v>9.2082848304940958E-5</v>
      </c>
      <c r="AG240" t="s">
        <v>97</v>
      </c>
      <c r="AH240" t="s">
        <v>2032</v>
      </c>
      <c r="AI240">
        <v>0</v>
      </c>
    </row>
    <row r="241" spans="5:35" x14ac:dyDescent="0.45">
      <c r="E241" t="s">
        <v>1471</v>
      </c>
      <c r="G241" t="s">
        <v>437</v>
      </c>
      <c r="I241" t="s">
        <v>252</v>
      </c>
      <c r="J241" t="s">
        <v>2033</v>
      </c>
      <c r="K241">
        <v>0</v>
      </c>
      <c r="L241" t="s">
        <v>254</v>
      </c>
      <c r="N241" t="s">
        <v>422</v>
      </c>
      <c r="O241" t="s">
        <v>2033</v>
      </c>
      <c r="P241">
        <v>4.9591384613861959E-5</v>
      </c>
      <c r="Q241" t="s">
        <v>254</v>
      </c>
      <c r="S241" t="s">
        <v>423</v>
      </c>
      <c r="T241" t="s">
        <v>2033</v>
      </c>
      <c r="U241">
        <v>5.1408577200548682E-5</v>
      </c>
      <c r="V241" t="s">
        <v>254</v>
      </c>
      <c r="X241">
        <v>1.1415525114155251E-4</v>
      </c>
      <c r="Y241">
        <v>5.6352501470966035E-5</v>
      </c>
      <c r="Z241" t="s">
        <v>2033</v>
      </c>
      <c r="AA241" t="s">
        <v>25</v>
      </c>
      <c r="AC241" t="s">
        <v>22</v>
      </c>
      <c r="AD241" t="s">
        <v>2033</v>
      </c>
      <c r="AE241">
        <v>8.8518237663260432E-5</v>
      </c>
      <c r="AG241" t="s">
        <v>97</v>
      </c>
      <c r="AH241" t="s">
        <v>2033</v>
      </c>
      <c r="AI241">
        <v>0</v>
      </c>
    </row>
    <row r="242" spans="5:35" x14ac:dyDescent="0.45">
      <c r="E242" t="s">
        <v>1472</v>
      </c>
      <c r="G242" t="s">
        <v>437</v>
      </c>
      <c r="I242" t="s">
        <v>252</v>
      </c>
      <c r="J242" t="s">
        <v>2034</v>
      </c>
      <c r="K242">
        <v>0</v>
      </c>
      <c r="L242" t="s">
        <v>254</v>
      </c>
      <c r="N242" t="s">
        <v>422</v>
      </c>
      <c r="O242" t="s">
        <v>2034</v>
      </c>
      <c r="P242">
        <v>4.7825249151282691E-5</v>
      </c>
      <c r="Q242" t="s">
        <v>254</v>
      </c>
      <c r="S242" t="s">
        <v>423</v>
      </c>
      <c r="T242" t="s">
        <v>2034</v>
      </c>
      <c r="U242">
        <v>5.1897479185711965E-5</v>
      </c>
      <c r="V242" t="s">
        <v>254</v>
      </c>
      <c r="X242">
        <v>1.1415525114155251E-4</v>
      </c>
      <c r="Y242">
        <v>2.9833677249334962E-5</v>
      </c>
      <c r="Z242" t="s">
        <v>2034</v>
      </c>
      <c r="AA242" t="s">
        <v>25</v>
      </c>
      <c r="AC242" t="s">
        <v>22</v>
      </c>
      <c r="AD242" t="s">
        <v>2034</v>
      </c>
      <c r="AE242">
        <v>7.9517212226592289E-5</v>
      </c>
      <c r="AG242" t="s">
        <v>97</v>
      </c>
      <c r="AH242" t="s">
        <v>2034</v>
      </c>
      <c r="AI242">
        <v>0</v>
      </c>
    </row>
    <row r="243" spans="5:35" x14ac:dyDescent="0.45">
      <c r="E243" t="s">
        <v>1473</v>
      </c>
      <c r="G243" t="s">
        <v>437</v>
      </c>
      <c r="I243" t="s">
        <v>252</v>
      </c>
      <c r="J243" t="s">
        <v>2035</v>
      </c>
      <c r="K243">
        <v>0</v>
      </c>
      <c r="L243" t="s">
        <v>254</v>
      </c>
      <c r="N243" t="s">
        <v>422</v>
      </c>
      <c r="O243" t="s">
        <v>2035</v>
      </c>
      <c r="P243">
        <v>4.5396947745506488E-5</v>
      </c>
      <c r="Q243" t="s">
        <v>254</v>
      </c>
      <c r="S243" t="s">
        <v>423</v>
      </c>
      <c r="T243" t="s">
        <v>2035</v>
      </c>
      <c r="U243">
        <v>5.1146275261765517E-5</v>
      </c>
      <c r="V243" t="s">
        <v>254</v>
      </c>
      <c r="X243">
        <v>1.1415525114155251E-4</v>
      </c>
      <c r="Y243">
        <v>2.1546544680075254E-5</v>
      </c>
      <c r="Z243" t="s">
        <v>2035</v>
      </c>
      <c r="AA243" t="s">
        <v>25</v>
      </c>
      <c r="AC243" t="s">
        <v>22</v>
      </c>
      <c r="AD243" t="s">
        <v>2035</v>
      </c>
      <c r="AE243">
        <v>7.319092332593403E-5</v>
      </c>
      <c r="AG243" t="s">
        <v>97</v>
      </c>
      <c r="AH243" t="s">
        <v>2035</v>
      </c>
      <c r="AI243">
        <v>0</v>
      </c>
    </row>
    <row r="244" spans="5:35" x14ac:dyDescent="0.45">
      <c r="E244" t="s">
        <v>1474</v>
      </c>
      <c r="G244" t="s">
        <v>437</v>
      </c>
      <c r="I244" t="s">
        <v>252</v>
      </c>
      <c r="J244" t="s">
        <v>2036</v>
      </c>
      <c r="K244">
        <v>0</v>
      </c>
      <c r="L244" t="s">
        <v>254</v>
      </c>
      <c r="N244" t="s">
        <v>422</v>
      </c>
      <c r="O244" t="s">
        <v>2036</v>
      </c>
      <c r="P244">
        <v>4.5196360861313337E-5</v>
      </c>
      <c r="Q244" t="s">
        <v>254</v>
      </c>
      <c r="S244" t="s">
        <v>423</v>
      </c>
      <c r="T244" t="s">
        <v>2036</v>
      </c>
      <c r="U244">
        <v>5.2066699063009851E-5</v>
      </c>
      <c r="V244" t="s">
        <v>254</v>
      </c>
      <c r="X244">
        <v>1.1415525114155251E-4</v>
      </c>
      <c r="Y244">
        <v>1.4916838624667481E-5</v>
      </c>
      <c r="Z244" t="s">
        <v>2036</v>
      </c>
      <c r="AA244" t="s">
        <v>25</v>
      </c>
      <c r="AC244" t="s">
        <v>22</v>
      </c>
      <c r="AD244" t="s">
        <v>2036</v>
      </c>
      <c r="AE244">
        <v>7.0306503811001734E-5</v>
      </c>
      <c r="AG244" t="s">
        <v>97</v>
      </c>
      <c r="AH244" t="s">
        <v>2036</v>
      </c>
      <c r="AI244">
        <v>0</v>
      </c>
    </row>
    <row r="245" spans="5:35" x14ac:dyDescent="0.45">
      <c r="E245" t="s">
        <v>1475</v>
      </c>
      <c r="G245" t="s">
        <v>437</v>
      </c>
      <c r="I245" t="s">
        <v>252</v>
      </c>
      <c r="J245" t="s">
        <v>2037</v>
      </c>
      <c r="K245">
        <v>0</v>
      </c>
      <c r="L245" t="s">
        <v>254</v>
      </c>
      <c r="N245" t="s">
        <v>422</v>
      </c>
      <c r="O245" t="s">
        <v>2037</v>
      </c>
      <c r="P245">
        <v>4.5341734780779405E-5</v>
      </c>
      <c r="Q245" t="s">
        <v>254</v>
      </c>
      <c r="S245" t="s">
        <v>423</v>
      </c>
      <c r="T245" t="s">
        <v>2037</v>
      </c>
      <c r="U245">
        <v>5.2082030729538929E-5</v>
      </c>
      <c r="V245" t="s">
        <v>254</v>
      </c>
      <c r="X245">
        <v>1.1415525114155251E-4</v>
      </c>
      <c r="Y245">
        <v>1.6574265138519424E-5</v>
      </c>
      <c r="Z245" t="s">
        <v>2037</v>
      </c>
      <c r="AA245" t="s">
        <v>25</v>
      </c>
      <c r="AC245" t="s">
        <v>22</v>
      </c>
      <c r="AD245" t="s">
        <v>2037</v>
      </c>
      <c r="AE245">
        <v>7.0306503811001734E-5</v>
      </c>
      <c r="AG245" t="s">
        <v>97</v>
      </c>
      <c r="AH245" t="s">
        <v>2037</v>
      </c>
      <c r="AI245">
        <v>0</v>
      </c>
    </row>
    <row r="246" spans="5:35" x14ac:dyDescent="0.45">
      <c r="E246" t="s">
        <v>1476</v>
      </c>
      <c r="G246" t="s">
        <v>437</v>
      </c>
      <c r="I246" t="s">
        <v>252</v>
      </c>
      <c r="J246" t="s">
        <v>2038</v>
      </c>
      <c r="K246">
        <v>0</v>
      </c>
      <c r="L246" t="s">
        <v>254</v>
      </c>
      <c r="N246" t="s">
        <v>422</v>
      </c>
      <c r="O246" t="s">
        <v>2038</v>
      </c>
      <c r="P246">
        <v>4.5641869278247392E-5</v>
      </c>
      <c r="Q246" t="s">
        <v>254</v>
      </c>
      <c r="S246" t="s">
        <v>423</v>
      </c>
      <c r="T246" t="s">
        <v>2038</v>
      </c>
      <c r="U246">
        <v>5.3755797948495232E-5</v>
      </c>
      <c r="V246" t="s">
        <v>254</v>
      </c>
      <c r="X246">
        <v>1.1415525114155251E-4</v>
      </c>
      <c r="Y246">
        <v>1.4585353321897093E-5</v>
      </c>
      <c r="Z246" t="s">
        <v>2038</v>
      </c>
      <c r="AA246" t="s">
        <v>25</v>
      </c>
      <c r="AC246" t="s">
        <v>22</v>
      </c>
      <c r="AD246" t="s">
        <v>2038</v>
      </c>
      <c r="AE246">
        <v>7.0505958351927889E-5</v>
      </c>
      <c r="AG246" t="s">
        <v>97</v>
      </c>
      <c r="AH246" t="s">
        <v>2038</v>
      </c>
      <c r="AI246">
        <v>0</v>
      </c>
    </row>
    <row r="247" spans="5:35" x14ac:dyDescent="0.45">
      <c r="E247" t="s">
        <v>1477</v>
      </c>
      <c r="G247" t="s">
        <v>437</v>
      </c>
      <c r="I247" t="s">
        <v>252</v>
      </c>
      <c r="J247" t="s">
        <v>2039</v>
      </c>
      <c r="K247">
        <v>0</v>
      </c>
      <c r="L247" t="s">
        <v>254</v>
      </c>
      <c r="N247" t="s">
        <v>422</v>
      </c>
      <c r="O247" t="s">
        <v>2039</v>
      </c>
      <c r="P247">
        <v>4.7167365307268123E-5</v>
      </c>
      <c r="Q247" t="s">
        <v>254</v>
      </c>
      <c r="S247" t="s">
        <v>423</v>
      </c>
      <c r="T247" t="s">
        <v>2039</v>
      </c>
      <c r="U247">
        <v>5.4430904824681921E-5</v>
      </c>
      <c r="V247" t="s">
        <v>254</v>
      </c>
      <c r="X247">
        <v>1.1415525114155251E-4</v>
      </c>
      <c r="Y247">
        <v>2.1215059377304864E-5</v>
      </c>
      <c r="Z247" t="s">
        <v>2039</v>
      </c>
      <c r="AA247" t="s">
        <v>25</v>
      </c>
      <c r="AC247" t="s">
        <v>22</v>
      </c>
      <c r="AD247" t="s">
        <v>2039</v>
      </c>
      <c r="AE247">
        <v>7.0700298673855963E-5</v>
      </c>
      <c r="AG247" t="s">
        <v>97</v>
      </c>
      <c r="AH247" t="s">
        <v>2039</v>
      </c>
      <c r="AI247">
        <v>0</v>
      </c>
    </row>
    <row r="248" spans="5:35" x14ac:dyDescent="0.45">
      <c r="E248" t="s">
        <v>1478</v>
      </c>
      <c r="G248" t="s">
        <v>437</v>
      </c>
      <c r="I248" t="s">
        <v>252</v>
      </c>
      <c r="J248" t="s">
        <v>2040</v>
      </c>
      <c r="K248">
        <v>0</v>
      </c>
      <c r="L248" t="s">
        <v>254</v>
      </c>
      <c r="N248" t="s">
        <v>422</v>
      </c>
      <c r="O248" t="s">
        <v>2040</v>
      </c>
      <c r="P248">
        <v>4.932613754021016E-5</v>
      </c>
      <c r="Q248" t="s">
        <v>254</v>
      </c>
      <c r="S248" t="s">
        <v>423</v>
      </c>
      <c r="T248" t="s">
        <v>2040</v>
      </c>
      <c r="U248">
        <v>5.576522658156092E-5</v>
      </c>
      <c r="V248" t="s">
        <v>254</v>
      </c>
      <c r="X248">
        <v>1.1415525114155251E-4</v>
      </c>
      <c r="Y248">
        <v>5.7678442682047593E-5</v>
      </c>
      <c r="Z248" t="s">
        <v>2040</v>
      </c>
      <c r="AA248" t="s">
        <v>25</v>
      </c>
      <c r="AC248" t="s">
        <v>22</v>
      </c>
      <c r="AD248" t="s">
        <v>2040</v>
      </c>
      <c r="AE248">
        <v>7.3198594654431178E-5</v>
      </c>
      <c r="AG248" t="s">
        <v>97</v>
      </c>
      <c r="AH248" t="s">
        <v>2040</v>
      </c>
      <c r="AI248">
        <v>0</v>
      </c>
    </row>
    <row r="249" spans="5:35" x14ac:dyDescent="0.45">
      <c r="E249" t="s">
        <v>1479</v>
      </c>
      <c r="G249" t="s">
        <v>437</v>
      </c>
      <c r="I249" t="s">
        <v>252</v>
      </c>
      <c r="J249" t="s">
        <v>2041</v>
      </c>
      <c r="K249">
        <v>1.742994356862E-4</v>
      </c>
      <c r="L249" t="s">
        <v>254</v>
      </c>
      <c r="N249" t="s">
        <v>422</v>
      </c>
      <c r="O249" t="s">
        <v>2041</v>
      </c>
      <c r="P249">
        <v>4.9419436918524827E-5</v>
      </c>
      <c r="Q249" t="s">
        <v>254</v>
      </c>
      <c r="S249" t="s">
        <v>423</v>
      </c>
      <c r="T249" t="s">
        <v>2041</v>
      </c>
      <c r="U249">
        <v>5.7477443729766457E-5</v>
      </c>
      <c r="V249" t="s">
        <v>254</v>
      </c>
      <c r="X249">
        <v>1.1415525114155251E-4</v>
      </c>
      <c r="Y249">
        <v>1.6905750441289813E-4</v>
      </c>
      <c r="Z249" t="s">
        <v>2041</v>
      </c>
      <c r="AA249" t="s">
        <v>25</v>
      </c>
      <c r="AC249" t="s">
        <v>22</v>
      </c>
      <c r="AD249" t="s">
        <v>2041</v>
      </c>
      <c r="AE249">
        <v>7.8706608515392333E-5</v>
      </c>
      <c r="AG249" t="s">
        <v>97</v>
      </c>
      <c r="AH249" t="s">
        <v>2041</v>
      </c>
      <c r="AI249">
        <v>0</v>
      </c>
    </row>
    <row r="250" spans="5:35" x14ac:dyDescent="0.45">
      <c r="E250" t="s">
        <v>1480</v>
      </c>
      <c r="G250" t="s">
        <v>437</v>
      </c>
      <c r="I250" t="s">
        <v>252</v>
      </c>
      <c r="J250" t="s">
        <v>2042</v>
      </c>
      <c r="K250">
        <v>2.8827543352999999E-4</v>
      </c>
      <c r="L250" t="s">
        <v>254</v>
      </c>
      <c r="N250" t="s">
        <v>422</v>
      </c>
      <c r="O250" t="s">
        <v>2042</v>
      </c>
      <c r="P250">
        <v>4.871569519613625E-5</v>
      </c>
      <c r="Q250" t="s">
        <v>254</v>
      </c>
      <c r="S250" t="s">
        <v>423</v>
      </c>
      <c r="T250" t="s">
        <v>2042</v>
      </c>
      <c r="U250">
        <v>5.7989176658051513E-5</v>
      </c>
      <c r="V250" t="s">
        <v>254</v>
      </c>
      <c r="X250">
        <v>1.1415525114155251E-4</v>
      </c>
      <c r="Y250">
        <v>1.9060404909297337E-4</v>
      </c>
      <c r="Z250" t="s">
        <v>2042</v>
      </c>
      <c r="AA250" t="s">
        <v>25</v>
      </c>
      <c r="AC250" t="s">
        <v>22</v>
      </c>
      <c r="AD250" t="s">
        <v>2042</v>
      </c>
      <c r="AE250">
        <v>8.6764060546909755E-5</v>
      </c>
      <c r="AG250" t="s">
        <v>97</v>
      </c>
      <c r="AH250" t="s">
        <v>2042</v>
      </c>
      <c r="AI250">
        <v>0</v>
      </c>
    </row>
    <row r="251" spans="5:35" x14ac:dyDescent="0.45">
      <c r="E251" t="s">
        <v>535</v>
      </c>
      <c r="G251" t="s">
        <v>437</v>
      </c>
      <c r="I251" t="s">
        <v>252</v>
      </c>
      <c r="J251" t="s">
        <v>2043</v>
      </c>
      <c r="K251">
        <v>3.66841238102E-4</v>
      </c>
      <c r="L251" t="s">
        <v>254</v>
      </c>
      <c r="N251" t="s">
        <v>422</v>
      </c>
      <c r="O251" t="s">
        <v>2043</v>
      </c>
      <c r="P251">
        <v>5.2855176024892898E-5</v>
      </c>
      <c r="Q251" t="s">
        <v>254</v>
      </c>
      <c r="S251" t="s">
        <v>423</v>
      </c>
      <c r="T251" t="s">
        <v>2043</v>
      </c>
      <c r="U251">
        <v>5.7199819964697878E-5</v>
      </c>
      <c r="V251" t="s">
        <v>254</v>
      </c>
      <c r="X251">
        <v>1.1415525114155251E-4</v>
      </c>
      <c r="Y251">
        <v>1.4585353321897094E-4</v>
      </c>
      <c r="Z251" t="s">
        <v>2043</v>
      </c>
      <c r="AA251" t="s">
        <v>25</v>
      </c>
      <c r="AC251" t="s">
        <v>22</v>
      </c>
      <c r="AD251" t="s">
        <v>2043</v>
      </c>
      <c r="AE251">
        <v>9.6591032351772205E-5</v>
      </c>
      <c r="AG251" t="s">
        <v>97</v>
      </c>
      <c r="AH251" t="s">
        <v>2043</v>
      </c>
      <c r="AI251">
        <v>0</v>
      </c>
    </row>
    <row r="252" spans="5:35" x14ac:dyDescent="0.45">
      <c r="E252" t="s">
        <v>536</v>
      </c>
      <c r="G252" t="s">
        <v>437</v>
      </c>
      <c r="I252" t="s">
        <v>252</v>
      </c>
      <c r="J252" t="s">
        <v>2044</v>
      </c>
      <c r="K252">
        <v>4.1246507667309999E-4</v>
      </c>
      <c r="L252" t="s">
        <v>254</v>
      </c>
      <c r="N252" t="s">
        <v>422</v>
      </c>
      <c r="O252" t="s">
        <v>2044</v>
      </c>
      <c r="P252">
        <v>5.2331454552740179E-5</v>
      </c>
      <c r="Q252" t="s">
        <v>254</v>
      </c>
      <c r="S252" t="s">
        <v>423</v>
      </c>
      <c r="T252" t="s">
        <v>2044</v>
      </c>
      <c r="U252">
        <v>5.6928015765678789E-5</v>
      </c>
      <c r="V252" t="s">
        <v>254</v>
      </c>
      <c r="X252">
        <v>1.1415525114155251E-4</v>
      </c>
      <c r="Y252">
        <v>1.4452759200788939E-4</v>
      </c>
      <c r="Z252" t="s">
        <v>2044</v>
      </c>
      <c r="AA252" t="s">
        <v>25</v>
      </c>
      <c r="AC252" t="s">
        <v>22</v>
      </c>
      <c r="AD252" t="s">
        <v>2044</v>
      </c>
      <c r="AE252">
        <v>9.9081657003850259E-5</v>
      </c>
      <c r="AG252" t="s">
        <v>97</v>
      </c>
      <c r="AH252" t="s">
        <v>2044</v>
      </c>
      <c r="AI252">
        <v>0</v>
      </c>
    </row>
    <row r="253" spans="5:35" x14ac:dyDescent="0.45">
      <c r="E253" t="s">
        <v>537</v>
      </c>
      <c r="G253" t="s">
        <v>437</v>
      </c>
      <c r="I253" t="s">
        <v>252</v>
      </c>
      <c r="J253" t="s">
        <v>2045</v>
      </c>
      <c r="K253">
        <v>4.3619290305510001E-4</v>
      </c>
      <c r="L253" t="s">
        <v>254</v>
      </c>
      <c r="N253" t="s">
        <v>422</v>
      </c>
      <c r="O253" t="s">
        <v>2045</v>
      </c>
      <c r="P253">
        <v>4.2519148327636229E-5</v>
      </c>
      <c r="Q253" t="s">
        <v>254</v>
      </c>
      <c r="S253" t="s">
        <v>423</v>
      </c>
      <c r="T253" t="s">
        <v>2045</v>
      </c>
      <c r="U253">
        <v>4.5993664843911388E-5</v>
      </c>
      <c r="V253" t="s">
        <v>254</v>
      </c>
      <c r="X253">
        <v>1.1415525114155251E-4</v>
      </c>
      <c r="Y253">
        <v>1.408812536774151E-4</v>
      </c>
      <c r="Z253" t="s">
        <v>2045</v>
      </c>
      <c r="AA253" t="s">
        <v>25</v>
      </c>
      <c r="AC253" t="s">
        <v>22</v>
      </c>
      <c r="AD253" t="s">
        <v>2045</v>
      </c>
      <c r="AE253">
        <v>9.9040743251865423E-5</v>
      </c>
      <c r="AG253" t="s">
        <v>97</v>
      </c>
      <c r="AH253" t="s">
        <v>2045</v>
      </c>
      <c r="AI253">
        <v>0</v>
      </c>
    </row>
    <row r="254" spans="5:35" x14ac:dyDescent="0.45">
      <c r="E254" t="s">
        <v>538</v>
      </c>
      <c r="G254" t="s">
        <v>437</v>
      </c>
      <c r="I254" t="s">
        <v>252</v>
      </c>
      <c r="J254" t="s">
        <v>2046</v>
      </c>
      <c r="K254">
        <v>4.3485839603939999E-4</v>
      </c>
      <c r="L254" t="s">
        <v>254</v>
      </c>
      <c r="N254" t="s">
        <v>422</v>
      </c>
      <c r="O254" t="s">
        <v>2046</v>
      </c>
      <c r="P254">
        <v>4.4320665573742803E-5</v>
      </c>
      <c r="Q254" t="s">
        <v>254</v>
      </c>
      <c r="S254" t="s">
        <v>423</v>
      </c>
      <c r="T254" t="s">
        <v>2046</v>
      </c>
      <c r="U254">
        <v>4.0935475086004906E-5</v>
      </c>
      <c r="V254" t="s">
        <v>254</v>
      </c>
      <c r="X254">
        <v>1.1415525114155251E-4</v>
      </c>
      <c r="Y254">
        <v>1.4054976837464471E-4</v>
      </c>
      <c r="Z254" t="s">
        <v>2046</v>
      </c>
      <c r="AA254" t="s">
        <v>25</v>
      </c>
      <c r="AC254" t="s">
        <v>22</v>
      </c>
      <c r="AD254" t="s">
        <v>2046</v>
      </c>
      <c r="AE254">
        <v>9.8787589411459121E-5</v>
      </c>
      <c r="AG254" t="s">
        <v>97</v>
      </c>
      <c r="AH254" t="s">
        <v>2046</v>
      </c>
      <c r="AI254">
        <v>0</v>
      </c>
    </row>
    <row r="255" spans="5:35" x14ac:dyDescent="0.45">
      <c r="E255" t="s">
        <v>539</v>
      </c>
      <c r="G255" t="s">
        <v>437</v>
      </c>
      <c r="I255" t="s">
        <v>252</v>
      </c>
      <c r="J255" t="s">
        <v>2047</v>
      </c>
      <c r="K255">
        <v>4.1940961213639998E-4</v>
      </c>
      <c r="L255" t="s">
        <v>254</v>
      </c>
      <c r="N255" t="s">
        <v>422</v>
      </c>
      <c r="O255" t="s">
        <v>2047</v>
      </c>
      <c r="P255">
        <v>4.4480919517319323E-5</v>
      </c>
      <c r="Q255" t="s">
        <v>254</v>
      </c>
      <c r="S255" t="s">
        <v>423</v>
      </c>
      <c r="T255" t="s">
        <v>2047</v>
      </c>
      <c r="U255">
        <v>3.525259855431975E-5</v>
      </c>
      <c r="V255" t="s">
        <v>254</v>
      </c>
      <c r="X255">
        <v>1.1415525114155251E-4</v>
      </c>
      <c r="Y255">
        <v>1.4253868019126702E-4</v>
      </c>
      <c r="Z255" t="s">
        <v>2047</v>
      </c>
      <c r="AA255" t="s">
        <v>25</v>
      </c>
      <c r="AC255" t="s">
        <v>22</v>
      </c>
      <c r="AD255" t="s">
        <v>2047</v>
      </c>
      <c r="AE255">
        <v>9.8350323687120976E-5</v>
      </c>
      <c r="AG255" t="s">
        <v>97</v>
      </c>
      <c r="AH255" t="s">
        <v>2047</v>
      </c>
      <c r="AI255">
        <v>0</v>
      </c>
    </row>
    <row r="256" spans="5:35" x14ac:dyDescent="0.45">
      <c r="E256" t="s">
        <v>540</v>
      </c>
      <c r="G256" t="s">
        <v>437</v>
      </c>
      <c r="I256" t="s">
        <v>252</v>
      </c>
      <c r="J256" t="s">
        <v>2048</v>
      </c>
      <c r="K256">
        <v>4.22331550524E-4</v>
      </c>
      <c r="L256" t="s">
        <v>254</v>
      </c>
      <c r="N256" t="s">
        <v>422</v>
      </c>
      <c r="O256" t="s">
        <v>2048</v>
      </c>
      <c r="P256">
        <v>4.4788281945668478E-5</v>
      </c>
      <c r="Q256" t="s">
        <v>254</v>
      </c>
      <c r="S256" t="s">
        <v>423</v>
      </c>
      <c r="T256" t="s">
        <v>2048</v>
      </c>
      <c r="U256">
        <v>3.4337933522674025E-5</v>
      </c>
      <c r="V256" t="s">
        <v>254</v>
      </c>
      <c r="X256">
        <v>1.1415525114155251E-4</v>
      </c>
      <c r="Y256">
        <v>1.4883690094390442E-4</v>
      </c>
      <c r="Z256" t="s">
        <v>2048</v>
      </c>
      <c r="AA256" t="s">
        <v>25</v>
      </c>
      <c r="AC256" t="s">
        <v>22</v>
      </c>
      <c r="AD256" t="s">
        <v>2048</v>
      </c>
      <c r="AE256">
        <v>9.7734060297849094E-5</v>
      </c>
      <c r="AG256" t="s">
        <v>97</v>
      </c>
      <c r="AH256" t="s">
        <v>2048</v>
      </c>
      <c r="AI256">
        <v>0</v>
      </c>
    </row>
    <row r="257" spans="5:35" x14ac:dyDescent="0.45">
      <c r="E257" t="s">
        <v>541</v>
      </c>
      <c r="G257" t="s">
        <v>437</v>
      </c>
      <c r="I257" t="s">
        <v>252</v>
      </c>
      <c r="J257" t="s">
        <v>2049</v>
      </c>
      <c r="K257">
        <v>4.3290507933460001E-4</v>
      </c>
      <c r="L257" t="s">
        <v>254</v>
      </c>
      <c r="N257" t="s">
        <v>422</v>
      </c>
      <c r="O257" t="s">
        <v>2049</v>
      </c>
      <c r="P257">
        <v>4.8530500665107833E-5</v>
      </c>
      <c r="Q257" t="s">
        <v>254</v>
      </c>
      <c r="S257" t="s">
        <v>423</v>
      </c>
      <c r="T257" t="s">
        <v>2049</v>
      </c>
      <c r="U257">
        <v>3.5537659901302055E-5</v>
      </c>
      <c r="V257" t="s">
        <v>254</v>
      </c>
      <c r="X257">
        <v>1.1415525114155251E-4</v>
      </c>
      <c r="Y257">
        <v>1.5049432745775637E-4</v>
      </c>
      <c r="Z257" t="s">
        <v>2049</v>
      </c>
      <c r="AA257" t="s">
        <v>25</v>
      </c>
      <c r="AC257" t="s">
        <v>22</v>
      </c>
      <c r="AD257" t="s">
        <v>2049</v>
      </c>
      <c r="AE257">
        <v>9.6874871506167127E-5</v>
      </c>
      <c r="AG257" t="s">
        <v>97</v>
      </c>
      <c r="AH257" t="s">
        <v>2049</v>
      </c>
      <c r="AI257">
        <v>0</v>
      </c>
    </row>
    <row r="258" spans="5:35" x14ac:dyDescent="0.45">
      <c r="E258" t="s">
        <v>542</v>
      </c>
      <c r="G258" t="s">
        <v>437</v>
      </c>
      <c r="I258" t="s">
        <v>252</v>
      </c>
      <c r="J258" t="s">
        <v>2050</v>
      </c>
      <c r="K258">
        <v>4.2696117257640001E-4</v>
      </c>
      <c r="L258" t="s">
        <v>254</v>
      </c>
      <c r="N258" t="s">
        <v>422</v>
      </c>
      <c r="O258" t="s">
        <v>2050</v>
      </c>
      <c r="P258">
        <v>5.2047192590058882E-5</v>
      </c>
      <c r="Q258" t="s">
        <v>254</v>
      </c>
      <c r="S258" t="s">
        <v>423</v>
      </c>
      <c r="T258" t="s">
        <v>2050</v>
      </c>
      <c r="U258">
        <v>3.4045662061508566E-5</v>
      </c>
      <c r="V258" t="s">
        <v>254</v>
      </c>
      <c r="X258">
        <v>1.1415525114155251E-4</v>
      </c>
      <c r="Y258">
        <v>1.7237235744060203E-4</v>
      </c>
      <c r="Z258" t="s">
        <v>2050</v>
      </c>
      <c r="AA258" t="s">
        <v>25</v>
      </c>
      <c r="AC258" t="s">
        <v>22</v>
      </c>
      <c r="AD258" t="s">
        <v>2050</v>
      </c>
      <c r="AE258">
        <v>9.6874871506167127E-5</v>
      </c>
      <c r="AG258" t="s">
        <v>97</v>
      </c>
      <c r="AH258" t="s">
        <v>2050</v>
      </c>
      <c r="AI258">
        <v>0</v>
      </c>
    </row>
    <row r="259" spans="5:35" x14ac:dyDescent="0.45">
      <c r="E259" t="s">
        <v>543</v>
      </c>
      <c r="G259" t="s">
        <v>437</v>
      </c>
      <c r="I259" t="s">
        <v>252</v>
      </c>
      <c r="J259" t="s">
        <v>2051</v>
      </c>
      <c r="K259">
        <v>4.002306693422E-4</v>
      </c>
      <c r="L259" t="s">
        <v>254</v>
      </c>
      <c r="N259" t="s">
        <v>422</v>
      </c>
      <c r="O259" t="s">
        <v>2051</v>
      </c>
      <c r="P259">
        <v>5.1385107597124451E-5</v>
      </c>
      <c r="Q259" t="s">
        <v>254</v>
      </c>
      <c r="S259" t="s">
        <v>423</v>
      </c>
      <c r="T259" t="s">
        <v>2051</v>
      </c>
      <c r="U259">
        <v>3.5933795388986021E-5</v>
      </c>
      <c r="V259" t="s">
        <v>254</v>
      </c>
      <c r="X259">
        <v>1.1415525114155251E-4</v>
      </c>
      <c r="Y259">
        <v>2.2209515285616027E-4</v>
      </c>
      <c r="Z259" t="s">
        <v>2051</v>
      </c>
      <c r="AA259" t="s">
        <v>25</v>
      </c>
      <c r="AC259" t="s">
        <v>22</v>
      </c>
      <c r="AD259" t="s">
        <v>2051</v>
      </c>
      <c r="AE259">
        <v>9.6578246804276922E-5</v>
      </c>
      <c r="AG259" t="s">
        <v>97</v>
      </c>
      <c r="AH259" t="s">
        <v>2051</v>
      </c>
      <c r="AI259">
        <v>0</v>
      </c>
    </row>
    <row r="260" spans="5:35" x14ac:dyDescent="0.45">
      <c r="E260" t="s">
        <v>544</v>
      </c>
      <c r="G260" t="s">
        <v>437</v>
      </c>
      <c r="I260" t="s">
        <v>252</v>
      </c>
      <c r="J260" t="s">
        <v>2052</v>
      </c>
      <c r="K260">
        <v>3.5023541580189997E-4</v>
      </c>
      <c r="L260" t="s">
        <v>254</v>
      </c>
      <c r="N260" t="s">
        <v>422</v>
      </c>
      <c r="O260" t="s">
        <v>2052</v>
      </c>
      <c r="P260">
        <v>4.8666116773284691E-5</v>
      </c>
      <c r="Q260" t="s">
        <v>254</v>
      </c>
      <c r="S260" t="s">
        <v>423</v>
      </c>
      <c r="T260" t="s">
        <v>2052</v>
      </c>
      <c r="U260">
        <v>4.0445832840708599E-5</v>
      </c>
      <c r="V260" t="s">
        <v>254</v>
      </c>
      <c r="X260">
        <v>1.1415525114155251E-4</v>
      </c>
      <c r="Y260">
        <v>2.2209515285616027E-4</v>
      </c>
      <c r="Z260" t="s">
        <v>2052</v>
      </c>
      <c r="AA260" t="s">
        <v>25</v>
      </c>
      <c r="AC260" t="s">
        <v>22</v>
      </c>
      <c r="AD260" t="s">
        <v>2052</v>
      </c>
      <c r="AE260">
        <v>9.6747016031214456E-5</v>
      </c>
      <c r="AG260" t="s">
        <v>97</v>
      </c>
      <c r="AH260" t="s">
        <v>2052</v>
      </c>
      <c r="AI260">
        <v>0</v>
      </c>
    </row>
    <row r="261" spans="5:35" x14ac:dyDescent="0.45">
      <c r="E261" t="s">
        <v>545</v>
      </c>
      <c r="G261" t="s">
        <v>437</v>
      </c>
      <c r="I261" t="s">
        <v>252</v>
      </c>
      <c r="J261" t="s">
        <v>2053</v>
      </c>
      <c r="K261">
        <v>2.6892989289999998E-4</v>
      </c>
      <c r="L261" t="s">
        <v>254</v>
      </c>
      <c r="N261" t="s">
        <v>422</v>
      </c>
      <c r="O261" t="s">
        <v>2053</v>
      </c>
      <c r="P261">
        <v>4.5931462592259879E-5</v>
      </c>
      <c r="Q261" t="s">
        <v>254</v>
      </c>
      <c r="S261" t="s">
        <v>423</v>
      </c>
      <c r="T261" t="s">
        <v>2053</v>
      </c>
      <c r="U261">
        <v>4.6648676537336791E-5</v>
      </c>
      <c r="V261" t="s">
        <v>254</v>
      </c>
      <c r="X261">
        <v>1.1415525114155251E-4</v>
      </c>
      <c r="Y261">
        <v>1.7237235744060203E-4</v>
      </c>
      <c r="Z261" t="s">
        <v>2053</v>
      </c>
      <c r="AA261" t="s">
        <v>25</v>
      </c>
      <c r="AC261" t="s">
        <v>22</v>
      </c>
      <c r="AD261" t="s">
        <v>2053</v>
      </c>
      <c r="AE261">
        <v>9.6989941433624555E-5</v>
      </c>
      <c r="AG261" t="s">
        <v>97</v>
      </c>
      <c r="AH261" t="s">
        <v>2053</v>
      </c>
      <c r="AI261">
        <v>0</v>
      </c>
    </row>
    <row r="262" spans="5:35" x14ac:dyDescent="0.45">
      <c r="E262" t="s">
        <v>546</v>
      </c>
      <c r="G262" t="s">
        <v>437</v>
      </c>
      <c r="I262" t="s">
        <v>252</v>
      </c>
      <c r="J262" t="s">
        <v>2054</v>
      </c>
      <c r="K262">
        <v>1.5353142617390001E-4</v>
      </c>
      <c r="L262" t="s">
        <v>254</v>
      </c>
      <c r="N262" t="s">
        <v>422</v>
      </c>
      <c r="O262" t="s">
        <v>2054</v>
      </c>
      <c r="P262">
        <v>4.8710641871796402E-5</v>
      </c>
      <c r="Q262" t="s">
        <v>254</v>
      </c>
      <c r="S262" t="s">
        <v>423</v>
      </c>
      <c r="T262" t="s">
        <v>2054</v>
      </c>
      <c r="U262">
        <v>5.1373528866285446E-5</v>
      </c>
      <c r="V262" t="s">
        <v>254</v>
      </c>
      <c r="X262">
        <v>1.1415525114155251E-4</v>
      </c>
      <c r="Y262">
        <v>1.5579809230208258E-4</v>
      </c>
      <c r="Z262" t="s">
        <v>2054</v>
      </c>
      <c r="AA262" t="s">
        <v>25</v>
      </c>
      <c r="AC262" t="s">
        <v>22</v>
      </c>
      <c r="AD262" t="s">
        <v>2054</v>
      </c>
      <c r="AE262">
        <v>9.69311279151463E-5</v>
      </c>
      <c r="AG262" t="s">
        <v>97</v>
      </c>
      <c r="AH262" t="s">
        <v>2054</v>
      </c>
      <c r="AI262">
        <v>0</v>
      </c>
    </row>
    <row r="263" spans="5:35" x14ac:dyDescent="0.45">
      <c r="E263" t="s">
        <v>547</v>
      </c>
      <c r="G263" t="s">
        <v>437</v>
      </c>
      <c r="I263" t="s">
        <v>252</v>
      </c>
      <c r="J263" t="s">
        <v>2055</v>
      </c>
      <c r="K263">
        <v>0</v>
      </c>
      <c r="L263" t="s">
        <v>254</v>
      </c>
      <c r="N263" t="s">
        <v>422</v>
      </c>
      <c r="O263" t="s">
        <v>2055</v>
      </c>
      <c r="P263">
        <v>5.2029501859049922E-5</v>
      </c>
      <c r="Q263" t="s">
        <v>254</v>
      </c>
      <c r="S263" t="s">
        <v>423</v>
      </c>
      <c r="T263" t="s">
        <v>2055</v>
      </c>
      <c r="U263">
        <v>5.4323398498230861E-5</v>
      </c>
      <c r="V263" t="s">
        <v>254</v>
      </c>
      <c r="X263">
        <v>1.1415525114155251E-4</v>
      </c>
      <c r="Y263">
        <v>1.093901499142282E-4</v>
      </c>
      <c r="Z263" t="s">
        <v>2055</v>
      </c>
      <c r="AA263" t="s">
        <v>25</v>
      </c>
      <c r="AC263" t="s">
        <v>22</v>
      </c>
      <c r="AD263" t="s">
        <v>2055</v>
      </c>
      <c r="AE263">
        <v>9.6342992730363998E-5</v>
      </c>
      <c r="AG263" t="s">
        <v>97</v>
      </c>
      <c r="AH263" t="s">
        <v>2055</v>
      </c>
      <c r="AI263">
        <v>0</v>
      </c>
    </row>
    <row r="264" spans="5:35" x14ac:dyDescent="0.45">
      <c r="E264" t="s">
        <v>548</v>
      </c>
      <c r="G264" t="s">
        <v>437</v>
      </c>
      <c r="I264" t="s">
        <v>252</v>
      </c>
      <c r="J264" t="s">
        <v>2056</v>
      </c>
      <c r="K264">
        <v>0</v>
      </c>
      <c r="L264" t="s">
        <v>254</v>
      </c>
      <c r="N264" t="s">
        <v>422</v>
      </c>
      <c r="O264" t="s">
        <v>2056</v>
      </c>
      <c r="P264">
        <v>5.3943243231268943E-5</v>
      </c>
      <c r="Q264" t="s">
        <v>254</v>
      </c>
      <c r="S264" t="s">
        <v>423</v>
      </c>
      <c r="T264" t="s">
        <v>2056</v>
      </c>
      <c r="U264">
        <v>5.608132657798693E-5</v>
      </c>
      <c r="V264" t="s">
        <v>254</v>
      </c>
      <c r="X264">
        <v>1.1415525114155251E-4</v>
      </c>
      <c r="Y264">
        <v>7.9556472664893237E-5</v>
      </c>
      <c r="Z264" t="s">
        <v>2056</v>
      </c>
      <c r="AA264" t="s">
        <v>25</v>
      </c>
      <c r="AC264" t="s">
        <v>22</v>
      </c>
      <c r="AD264" t="s">
        <v>2056</v>
      </c>
      <c r="AE264">
        <v>9.2461300510800863E-5</v>
      </c>
      <c r="AG264" t="s">
        <v>97</v>
      </c>
      <c r="AH264" t="s">
        <v>2056</v>
      </c>
      <c r="AI264">
        <v>0</v>
      </c>
    </row>
    <row r="265" spans="5:35" x14ac:dyDescent="0.45">
      <c r="E265" t="s">
        <v>549</v>
      </c>
      <c r="G265" t="s">
        <v>437</v>
      </c>
      <c r="I265" t="s">
        <v>252</v>
      </c>
      <c r="J265" t="s">
        <v>2057</v>
      </c>
      <c r="K265">
        <v>0</v>
      </c>
      <c r="L265" t="s">
        <v>254</v>
      </c>
      <c r="N265" t="s">
        <v>422</v>
      </c>
      <c r="O265" t="s">
        <v>2057</v>
      </c>
      <c r="P265">
        <v>6.3273095920029761E-5</v>
      </c>
      <c r="Q265" t="s">
        <v>254</v>
      </c>
      <c r="S265" t="s">
        <v>423</v>
      </c>
      <c r="T265" t="s">
        <v>2057</v>
      </c>
      <c r="U265">
        <v>5.5646835291895251E-5</v>
      </c>
      <c r="V265" t="s">
        <v>254</v>
      </c>
      <c r="X265">
        <v>1.1415525114155251E-4</v>
      </c>
      <c r="Y265">
        <v>5.6352501470966035E-5</v>
      </c>
      <c r="Z265" t="s">
        <v>2057</v>
      </c>
      <c r="AA265" t="s">
        <v>25</v>
      </c>
      <c r="AC265" t="s">
        <v>22</v>
      </c>
      <c r="AD265" t="s">
        <v>2057</v>
      </c>
      <c r="AE265">
        <v>9.4632286475497239E-5</v>
      </c>
      <c r="AG265" t="s">
        <v>97</v>
      </c>
      <c r="AH265" t="s">
        <v>2057</v>
      </c>
      <c r="AI265">
        <v>0</v>
      </c>
    </row>
    <row r="266" spans="5:35" x14ac:dyDescent="0.45">
      <c r="E266" t="s">
        <v>550</v>
      </c>
      <c r="G266" t="s">
        <v>437</v>
      </c>
      <c r="I266" t="s">
        <v>252</v>
      </c>
      <c r="J266" t="s">
        <v>2058</v>
      </c>
      <c r="K266">
        <v>0</v>
      </c>
      <c r="L266" t="s">
        <v>254</v>
      </c>
      <c r="N266" t="s">
        <v>422</v>
      </c>
      <c r="O266" t="s">
        <v>2058</v>
      </c>
      <c r="P266">
        <v>5.9857669722641453E-5</v>
      </c>
      <c r="Q266" t="s">
        <v>254</v>
      </c>
      <c r="S266" t="s">
        <v>423</v>
      </c>
      <c r="T266" t="s">
        <v>2058</v>
      </c>
      <c r="U266">
        <v>4.4558762313122467E-5</v>
      </c>
      <c r="V266" t="s">
        <v>254</v>
      </c>
      <c r="X266">
        <v>1.1415525114155251E-4</v>
      </c>
      <c r="Y266">
        <v>2.9833677249334962E-5</v>
      </c>
      <c r="Z266" t="s">
        <v>2058</v>
      </c>
      <c r="AA266" t="s">
        <v>25</v>
      </c>
      <c r="AC266" t="s">
        <v>22</v>
      </c>
      <c r="AD266" t="s">
        <v>2058</v>
      </c>
      <c r="AE266">
        <v>8.5733545418791227E-5</v>
      </c>
      <c r="AG266" t="s">
        <v>97</v>
      </c>
      <c r="AH266" t="s">
        <v>2058</v>
      </c>
      <c r="AI266">
        <v>0</v>
      </c>
    </row>
    <row r="267" spans="5:35" x14ac:dyDescent="0.45">
      <c r="E267" t="s">
        <v>551</v>
      </c>
      <c r="G267" t="s">
        <v>437</v>
      </c>
      <c r="I267" t="s">
        <v>252</v>
      </c>
      <c r="J267" t="s">
        <v>2059</v>
      </c>
      <c r="K267">
        <v>0</v>
      </c>
      <c r="L267" t="s">
        <v>254</v>
      </c>
      <c r="N267" t="s">
        <v>422</v>
      </c>
      <c r="O267" t="s">
        <v>2059</v>
      </c>
      <c r="P267">
        <v>4.7513953185401042E-5</v>
      </c>
      <c r="Q267" t="s">
        <v>254</v>
      </c>
      <c r="S267" t="s">
        <v>423</v>
      </c>
      <c r="T267" t="s">
        <v>2059</v>
      </c>
      <c r="U267">
        <v>3.8622379431516843E-5</v>
      </c>
      <c r="V267" t="s">
        <v>254</v>
      </c>
      <c r="X267">
        <v>1.1415525114155251E-4</v>
      </c>
      <c r="Y267">
        <v>2.1546544680075254E-5</v>
      </c>
      <c r="Z267" t="s">
        <v>2059</v>
      </c>
      <c r="AA267" t="s">
        <v>25</v>
      </c>
      <c r="AC267" t="s">
        <v>22</v>
      </c>
      <c r="AD267" t="s">
        <v>2059</v>
      </c>
      <c r="AE267">
        <v>7.9680867234531701E-5</v>
      </c>
      <c r="AG267" t="s">
        <v>97</v>
      </c>
      <c r="AH267" t="s">
        <v>2059</v>
      </c>
      <c r="AI267">
        <v>0</v>
      </c>
    </row>
    <row r="268" spans="5:35" x14ac:dyDescent="0.45">
      <c r="E268" t="s">
        <v>552</v>
      </c>
      <c r="G268" t="s">
        <v>437</v>
      </c>
      <c r="I268" t="s">
        <v>252</v>
      </c>
      <c r="J268" t="s">
        <v>2060</v>
      </c>
      <c r="K268">
        <v>0</v>
      </c>
      <c r="L268" t="s">
        <v>254</v>
      </c>
      <c r="N268" t="s">
        <v>422</v>
      </c>
      <c r="O268" t="s">
        <v>2060</v>
      </c>
      <c r="P268">
        <v>3.9557971476433865E-5</v>
      </c>
      <c r="Q268" t="s">
        <v>254</v>
      </c>
      <c r="S268" t="s">
        <v>423</v>
      </c>
      <c r="T268" t="s">
        <v>2060</v>
      </c>
      <c r="U268">
        <v>3.6607418711837667E-5</v>
      </c>
      <c r="V268" t="s">
        <v>254</v>
      </c>
      <c r="X268">
        <v>1.1415525114155251E-4</v>
      </c>
      <c r="Y268">
        <v>1.4916838624667481E-5</v>
      </c>
      <c r="Z268" t="s">
        <v>2060</v>
      </c>
      <c r="AA268" t="s">
        <v>25</v>
      </c>
      <c r="AC268" t="s">
        <v>22</v>
      </c>
      <c r="AD268" t="s">
        <v>2060</v>
      </c>
      <c r="AE268">
        <v>7.8563410383445338E-5</v>
      </c>
      <c r="AG268" t="s">
        <v>97</v>
      </c>
      <c r="AH268" t="s">
        <v>2060</v>
      </c>
      <c r="AI268">
        <v>0</v>
      </c>
    </row>
    <row r="269" spans="5:35" x14ac:dyDescent="0.45">
      <c r="E269" t="s">
        <v>553</v>
      </c>
      <c r="G269" t="s">
        <v>437</v>
      </c>
      <c r="I269" t="s">
        <v>252</v>
      </c>
      <c r="J269" t="s">
        <v>2061</v>
      </c>
      <c r="K269">
        <v>0</v>
      </c>
      <c r="L269" t="s">
        <v>254</v>
      </c>
      <c r="N269" t="s">
        <v>422</v>
      </c>
      <c r="O269" t="s">
        <v>2061</v>
      </c>
      <c r="P269">
        <v>3.6354994254447143E-5</v>
      </c>
      <c r="Q269" t="s">
        <v>254</v>
      </c>
      <c r="S269" t="s">
        <v>423</v>
      </c>
      <c r="T269" t="s">
        <v>2061</v>
      </c>
      <c r="U269">
        <v>3.2811118382190953E-5</v>
      </c>
      <c r="V269" t="s">
        <v>254</v>
      </c>
      <c r="X269">
        <v>1.1415525114155251E-4</v>
      </c>
      <c r="Y269">
        <v>1.6574265138519424E-5</v>
      </c>
      <c r="Z269" t="s">
        <v>2061</v>
      </c>
      <c r="AA269" t="s">
        <v>25</v>
      </c>
      <c r="AC269" t="s">
        <v>22</v>
      </c>
      <c r="AD269" t="s">
        <v>2061</v>
      </c>
      <c r="AE269">
        <v>7.8563410383445338E-5</v>
      </c>
      <c r="AG269" t="s">
        <v>97</v>
      </c>
      <c r="AH269" t="s">
        <v>2061</v>
      </c>
      <c r="AI269">
        <v>0</v>
      </c>
    </row>
    <row r="270" spans="5:35" x14ac:dyDescent="0.45">
      <c r="E270" t="s">
        <v>554</v>
      </c>
      <c r="G270" t="s">
        <v>437</v>
      </c>
      <c r="I270" t="s">
        <v>252</v>
      </c>
      <c r="J270" t="s">
        <v>2062</v>
      </c>
      <c r="K270">
        <v>0</v>
      </c>
      <c r="L270" t="s">
        <v>254</v>
      </c>
      <c r="N270" t="s">
        <v>422</v>
      </c>
      <c r="O270" t="s">
        <v>2062</v>
      </c>
      <c r="P270">
        <v>3.2163401752987002E-5</v>
      </c>
      <c r="Q270" t="s">
        <v>254</v>
      </c>
      <c r="S270" t="s">
        <v>423</v>
      </c>
      <c r="T270" t="s">
        <v>2062</v>
      </c>
      <c r="U270">
        <v>3.2220889272226982E-5</v>
      </c>
      <c r="V270" t="s">
        <v>254</v>
      </c>
      <c r="X270">
        <v>1.1415525114155251E-4</v>
      </c>
      <c r="Y270">
        <v>1.4585353321897093E-5</v>
      </c>
      <c r="Z270" t="s">
        <v>2062</v>
      </c>
      <c r="AA270" t="s">
        <v>25</v>
      </c>
      <c r="AC270" t="s">
        <v>22</v>
      </c>
      <c r="AD270" t="s">
        <v>2062</v>
      </c>
      <c r="AE270">
        <v>7.9427713394125414E-5</v>
      </c>
      <c r="AG270" t="s">
        <v>97</v>
      </c>
      <c r="AH270" t="s">
        <v>2062</v>
      </c>
      <c r="AI270">
        <v>0</v>
      </c>
    </row>
    <row r="271" spans="5:35" x14ac:dyDescent="0.45">
      <c r="E271" t="s">
        <v>555</v>
      </c>
      <c r="G271" t="s">
        <v>437</v>
      </c>
      <c r="I271" t="s">
        <v>252</v>
      </c>
      <c r="J271" t="s">
        <v>2063</v>
      </c>
      <c r="K271">
        <v>0</v>
      </c>
      <c r="L271" t="s">
        <v>254</v>
      </c>
      <c r="N271" t="s">
        <v>422</v>
      </c>
      <c r="O271" t="s">
        <v>2063</v>
      </c>
      <c r="P271">
        <v>2.9727676111654105E-5</v>
      </c>
      <c r="Q271" t="s">
        <v>254</v>
      </c>
      <c r="S271" t="s">
        <v>423</v>
      </c>
      <c r="T271" t="s">
        <v>2063</v>
      </c>
      <c r="U271">
        <v>3.7862582993458242E-5</v>
      </c>
      <c r="V271" t="s">
        <v>254</v>
      </c>
      <c r="X271">
        <v>1.1415525114155251E-4</v>
      </c>
      <c r="Y271">
        <v>2.1215059377304864E-5</v>
      </c>
      <c r="Z271" t="s">
        <v>2063</v>
      </c>
      <c r="AA271" t="s">
        <v>25</v>
      </c>
      <c r="AC271" t="s">
        <v>22</v>
      </c>
      <c r="AD271" t="s">
        <v>2063</v>
      </c>
      <c r="AE271">
        <v>8.5956013945208881E-5</v>
      </c>
      <c r="AG271" t="s">
        <v>97</v>
      </c>
      <c r="AH271" t="s">
        <v>2063</v>
      </c>
      <c r="AI271">
        <v>0</v>
      </c>
    </row>
    <row r="272" spans="5:35" x14ac:dyDescent="0.45">
      <c r="E272" t="s">
        <v>556</v>
      </c>
      <c r="G272" t="s">
        <v>437</v>
      </c>
      <c r="I272" t="s">
        <v>252</v>
      </c>
      <c r="J272" t="s">
        <v>2064</v>
      </c>
      <c r="K272">
        <v>0</v>
      </c>
      <c r="L272" t="s">
        <v>254</v>
      </c>
      <c r="N272" t="s">
        <v>422</v>
      </c>
      <c r="O272" t="s">
        <v>2064</v>
      </c>
      <c r="P272">
        <v>3.1785431175851318E-5</v>
      </c>
      <c r="Q272" t="s">
        <v>254</v>
      </c>
      <c r="S272" t="s">
        <v>423</v>
      </c>
      <c r="T272" t="s">
        <v>2064</v>
      </c>
      <c r="U272">
        <v>4.1664170868726157E-5</v>
      </c>
      <c r="V272" t="s">
        <v>254</v>
      </c>
      <c r="X272">
        <v>1.1415525114155251E-4</v>
      </c>
      <c r="Y272">
        <v>5.7678442682047593E-5</v>
      </c>
      <c r="Z272" t="s">
        <v>2064</v>
      </c>
      <c r="AA272" t="s">
        <v>25</v>
      </c>
      <c r="AC272" t="s">
        <v>22</v>
      </c>
      <c r="AD272" t="s">
        <v>2064</v>
      </c>
      <c r="AE272">
        <v>1.0116058702658071E-4</v>
      </c>
      <c r="AG272" t="s">
        <v>97</v>
      </c>
      <c r="AH272" t="s">
        <v>2064</v>
      </c>
      <c r="AI272">
        <v>0</v>
      </c>
    </row>
    <row r="273" spans="5:35" x14ac:dyDescent="0.45">
      <c r="E273" t="s">
        <v>557</v>
      </c>
      <c r="G273" t="s">
        <v>437</v>
      </c>
      <c r="I273" t="s">
        <v>252</v>
      </c>
      <c r="J273" t="s">
        <v>2065</v>
      </c>
      <c r="K273">
        <v>1.6961554983489999E-4</v>
      </c>
      <c r="L273" t="s">
        <v>254</v>
      </c>
      <c r="N273" t="s">
        <v>422</v>
      </c>
      <c r="O273" t="s">
        <v>2065</v>
      </c>
      <c r="P273">
        <v>3.1539579665057806E-5</v>
      </c>
      <c r="Q273" t="s">
        <v>254</v>
      </c>
      <c r="S273" t="s">
        <v>423</v>
      </c>
      <c r="T273" t="s">
        <v>2065</v>
      </c>
      <c r="U273">
        <v>4.5985531898008861E-5</v>
      </c>
      <c r="V273" t="s">
        <v>254</v>
      </c>
      <c r="X273">
        <v>1.1415525114155251E-4</v>
      </c>
      <c r="Y273">
        <v>1.6905750441289813E-4</v>
      </c>
      <c r="Z273" t="s">
        <v>2065</v>
      </c>
      <c r="AA273" t="s">
        <v>25</v>
      </c>
      <c r="AC273" t="s">
        <v>22</v>
      </c>
      <c r="AD273" t="s">
        <v>2065</v>
      </c>
      <c r="AE273">
        <v>1.1260109492534589E-4</v>
      </c>
      <c r="AG273" t="s">
        <v>97</v>
      </c>
      <c r="AH273" t="s">
        <v>2065</v>
      </c>
      <c r="AI273">
        <v>0</v>
      </c>
    </row>
    <row r="274" spans="5:35" x14ac:dyDescent="0.45">
      <c r="E274" t="s">
        <v>558</v>
      </c>
      <c r="G274" t="s">
        <v>437</v>
      </c>
      <c r="I274" t="s">
        <v>252</v>
      </c>
      <c r="J274" t="s">
        <v>2066</v>
      </c>
      <c r="K274">
        <v>2.8737810949930001E-4</v>
      </c>
      <c r="L274" t="s">
        <v>254</v>
      </c>
      <c r="N274" t="s">
        <v>422</v>
      </c>
      <c r="O274" t="s">
        <v>2066</v>
      </c>
      <c r="P274">
        <v>3.3750531513173332E-5</v>
      </c>
      <c r="Q274" t="s">
        <v>254</v>
      </c>
      <c r="S274" t="s">
        <v>423</v>
      </c>
      <c r="T274" t="s">
        <v>2066</v>
      </c>
      <c r="U274">
        <v>4.6786813535813845E-5</v>
      </c>
      <c r="V274" t="s">
        <v>254</v>
      </c>
      <c r="X274">
        <v>1.1415525114155251E-4</v>
      </c>
      <c r="Y274">
        <v>1.9060404909297337E-4</v>
      </c>
      <c r="Z274" t="s">
        <v>2066</v>
      </c>
      <c r="AA274" t="s">
        <v>25</v>
      </c>
      <c r="AC274" t="s">
        <v>22</v>
      </c>
      <c r="AD274" t="s">
        <v>2066</v>
      </c>
      <c r="AE274">
        <v>1.2210842804282664E-4</v>
      </c>
      <c r="AG274" t="s">
        <v>97</v>
      </c>
      <c r="AH274" t="s">
        <v>2066</v>
      </c>
      <c r="AI274">
        <v>0</v>
      </c>
    </row>
    <row r="275" spans="5:35" x14ac:dyDescent="0.45">
      <c r="E275" t="s">
        <v>1481</v>
      </c>
      <c r="G275" t="s">
        <v>437</v>
      </c>
      <c r="I275" t="s">
        <v>252</v>
      </c>
      <c r="J275" t="s">
        <v>2067</v>
      </c>
      <c r="K275">
        <v>3.6339420285829999E-4</v>
      </c>
      <c r="L275" t="s">
        <v>254</v>
      </c>
      <c r="N275" t="s">
        <v>422</v>
      </c>
      <c r="O275" t="s">
        <v>2067</v>
      </c>
      <c r="P275">
        <v>4.1386393849084347E-5</v>
      </c>
      <c r="Q275" t="s">
        <v>254</v>
      </c>
      <c r="S275" t="s">
        <v>423</v>
      </c>
      <c r="T275" t="s">
        <v>2067</v>
      </c>
      <c r="U275">
        <v>4.2633847853301262E-5</v>
      </c>
      <c r="V275" t="s">
        <v>254</v>
      </c>
      <c r="X275">
        <v>1.1415525114155251E-4</v>
      </c>
      <c r="Y275">
        <v>1.4585353321897094E-4</v>
      </c>
      <c r="Z275" t="s">
        <v>2067</v>
      </c>
      <c r="AA275" t="s">
        <v>25</v>
      </c>
      <c r="AC275" t="s">
        <v>22</v>
      </c>
      <c r="AD275" t="s">
        <v>2067</v>
      </c>
      <c r="AE275">
        <v>1.2665241162264463E-4</v>
      </c>
      <c r="AG275" t="s">
        <v>97</v>
      </c>
      <c r="AH275" t="s">
        <v>2067</v>
      </c>
      <c r="AI275">
        <v>0</v>
      </c>
    </row>
    <row r="276" spans="5:35" x14ac:dyDescent="0.45">
      <c r="E276" t="s">
        <v>1482</v>
      </c>
      <c r="G276" t="s">
        <v>437</v>
      </c>
      <c r="I276" t="s">
        <v>252</v>
      </c>
      <c r="J276" t="s">
        <v>2068</v>
      </c>
      <c r="K276">
        <v>4.0905586136109998E-4</v>
      </c>
      <c r="L276" t="s">
        <v>254</v>
      </c>
      <c r="N276" t="s">
        <v>422</v>
      </c>
      <c r="O276" t="s">
        <v>2068</v>
      </c>
      <c r="P276">
        <v>4.0349782563891763E-5</v>
      </c>
      <c r="Q276" t="s">
        <v>254</v>
      </c>
      <c r="S276" t="s">
        <v>423</v>
      </c>
      <c r="T276" t="s">
        <v>2068</v>
      </c>
      <c r="U276">
        <v>3.6123724494873043E-5</v>
      </c>
      <c r="V276" t="s">
        <v>254</v>
      </c>
      <c r="X276">
        <v>1.1415525114155251E-4</v>
      </c>
      <c r="Y276">
        <v>1.4452759200788939E-4</v>
      </c>
      <c r="Z276" t="s">
        <v>2068</v>
      </c>
      <c r="AA276" t="s">
        <v>25</v>
      </c>
      <c r="AC276" t="s">
        <v>22</v>
      </c>
      <c r="AD276" t="s">
        <v>2068</v>
      </c>
      <c r="AE276">
        <v>1.2762155612278589E-4</v>
      </c>
      <c r="AG276" t="s">
        <v>97</v>
      </c>
      <c r="AH276" t="s">
        <v>2068</v>
      </c>
      <c r="AI276">
        <v>0</v>
      </c>
    </row>
    <row r="277" spans="5:35" x14ac:dyDescent="0.45">
      <c r="E277" t="s">
        <v>1483</v>
      </c>
      <c r="G277" t="s">
        <v>437</v>
      </c>
      <c r="I277" t="s">
        <v>252</v>
      </c>
      <c r="J277" t="s">
        <v>2069</v>
      </c>
      <c r="K277">
        <v>4.2922467041290002E-4</v>
      </c>
      <c r="L277" t="s">
        <v>254</v>
      </c>
      <c r="N277" t="s">
        <v>422</v>
      </c>
      <c r="O277" t="s">
        <v>2069</v>
      </c>
      <c r="P277">
        <v>3.9853422488158207E-5</v>
      </c>
      <c r="Q277" t="s">
        <v>254</v>
      </c>
      <c r="S277" t="s">
        <v>423</v>
      </c>
      <c r="T277" t="s">
        <v>2069</v>
      </c>
      <c r="U277">
        <v>3.4407075153582384E-5</v>
      </c>
      <c r="V277" t="s">
        <v>254</v>
      </c>
      <c r="X277">
        <v>1.1415525114155251E-4</v>
      </c>
      <c r="Y277">
        <v>1.408812536774151E-4</v>
      </c>
      <c r="Z277" t="s">
        <v>2069</v>
      </c>
      <c r="AA277" t="s">
        <v>25</v>
      </c>
      <c r="AC277" t="s">
        <v>22</v>
      </c>
      <c r="AD277" t="s">
        <v>2069</v>
      </c>
      <c r="AE277">
        <v>1.2747068666234173E-4</v>
      </c>
      <c r="AG277" t="s">
        <v>97</v>
      </c>
      <c r="AH277" t="s">
        <v>2069</v>
      </c>
      <c r="AI277">
        <v>0</v>
      </c>
    </row>
    <row r="278" spans="5:35" x14ac:dyDescent="0.45">
      <c r="E278" t="s">
        <v>1484</v>
      </c>
      <c r="G278" t="s">
        <v>437</v>
      </c>
      <c r="I278" t="s">
        <v>252</v>
      </c>
      <c r="J278" t="s">
        <v>2070</v>
      </c>
      <c r="K278">
        <v>4.2774950046239998E-4</v>
      </c>
      <c r="L278" t="s">
        <v>254</v>
      </c>
      <c r="N278" t="s">
        <v>422</v>
      </c>
      <c r="O278" t="s">
        <v>2070</v>
      </c>
      <c r="P278">
        <v>4.9220091474819845E-5</v>
      </c>
      <c r="Q278" t="s">
        <v>254</v>
      </c>
      <c r="S278" t="s">
        <v>423</v>
      </c>
      <c r="T278" t="s">
        <v>2070</v>
      </c>
      <c r="U278">
        <v>3.6048160606732359E-5</v>
      </c>
      <c r="V278" t="s">
        <v>254</v>
      </c>
      <c r="X278">
        <v>1.1415525114155251E-4</v>
      </c>
      <c r="Y278">
        <v>1.4054976837464471E-4</v>
      </c>
      <c r="Z278" t="s">
        <v>2070</v>
      </c>
      <c r="AA278" t="s">
        <v>25</v>
      </c>
      <c r="AC278" t="s">
        <v>22</v>
      </c>
      <c r="AD278" t="s">
        <v>2070</v>
      </c>
      <c r="AE278">
        <v>1.2746301533384457E-4</v>
      </c>
      <c r="AG278" t="s">
        <v>97</v>
      </c>
      <c r="AH278" t="s">
        <v>2070</v>
      </c>
      <c r="AI278">
        <v>0</v>
      </c>
    </row>
    <row r="279" spans="5:35" x14ac:dyDescent="0.45">
      <c r="E279" t="s">
        <v>1485</v>
      </c>
      <c r="G279" t="s">
        <v>437</v>
      </c>
      <c r="I279" t="s">
        <v>252</v>
      </c>
      <c r="J279" t="s">
        <v>2071</v>
      </c>
      <c r="K279">
        <v>4.1175291358510002E-4</v>
      </c>
      <c r="L279" t="s">
        <v>254</v>
      </c>
      <c r="N279" t="s">
        <v>422</v>
      </c>
      <c r="O279" t="s">
        <v>2071</v>
      </c>
      <c r="P279">
        <v>5.620100089362686E-5</v>
      </c>
      <c r="Q279" t="s">
        <v>254</v>
      </c>
      <c r="S279" t="s">
        <v>423</v>
      </c>
      <c r="T279" t="s">
        <v>2071</v>
      </c>
      <c r="U279">
        <v>3.9974486564873082E-5</v>
      </c>
      <c r="V279" t="s">
        <v>254</v>
      </c>
      <c r="X279">
        <v>1.1415525114155251E-4</v>
      </c>
      <c r="Y279">
        <v>1.4253868019126702E-4</v>
      </c>
      <c r="Z279" t="s">
        <v>2071</v>
      </c>
      <c r="AA279" t="s">
        <v>25</v>
      </c>
      <c r="AC279" t="s">
        <v>22</v>
      </c>
      <c r="AD279" t="s">
        <v>2071</v>
      </c>
      <c r="AE279">
        <v>1.2746301533384457E-4</v>
      </c>
      <c r="AG279" t="s">
        <v>97</v>
      </c>
      <c r="AH279" t="s">
        <v>2071</v>
      </c>
      <c r="AI279">
        <v>0</v>
      </c>
    </row>
    <row r="280" spans="5:35" x14ac:dyDescent="0.45">
      <c r="E280" t="s">
        <v>1486</v>
      </c>
      <c r="G280" t="s">
        <v>437</v>
      </c>
      <c r="I280" t="s">
        <v>252</v>
      </c>
      <c r="J280" t="s">
        <v>2072</v>
      </c>
      <c r="K280">
        <v>4.1138141285169998E-4</v>
      </c>
      <c r="L280" t="s">
        <v>254</v>
      </c>
      <c r="N280" t="s">
        <v>422</v>
      </c>
      <c r="O280" t="s">
        <v>2072</v>
      </c>
      <c r="P280">
        <v>6.1471816564100606E-5</v>
      </c>
      <c r="Q280" t="s">
        <v>254</v>
      </c>
      <c r="S280" t="s">
        <v>423</v>
      </c>
      <c r="T280" t="s">
        <v>2072</v>
      </c>
      <c r="U280">
        <v>4.7845007456973881E-5</v>
      </c>
      <c r="V280" t="s">
        <v>254</v>
      </c>
      <c r="X280">
        <v>1.1415525114155251E-4</v>
      </c>
      <c r="Y280">
        <v>1.4883690094390442E-4</v>
      </c>
      <c r="Z280" t="s">
        <v>2072</v>
      </c>
      <c r="AA280" t="s">
        <v>25</v>
      </c>
      <c r="AC280" t="s">
        <v>22</v>
      </c>
      <c r="AD280" t="s">
        <v>2072</v>
      </c>
      <c r="AE280">
        <v>1.2686465171106605E-4</v>
      </c>
      <c r="AG280" t="s">
        <v>97</v>
      </c>
      <c r="AH280" t="s">
        <v>2072</v>
      </c>
      <c r="AI280">
        <v>0</v>
      </c>
    </row>
    <row r="281" spans="5:35" x14ac:dyDescent="0.45">
      <c r="E281" t="s">
        <v>1487</v>
      </c>
      <c r="G281" t="s">
        <v>437</v>
      </c>
      <c r="I281" t="s">
        <v>252</v>
      </c>
      <c r="J281" t="s">
        <v>2073</v>
      </c>
      <c r="K281">
        <v>4.163506032992E-4</v>
      </c>
      <c r="L281" t="s">
        <v>254</v>
      </c>
      <c r="N281" t="s">
        <v>422</v>
      </c>
      <c r="O281" t="s">
        <v>2073</v>
      </c>
      <c r="P281">
        <v>7.3124460361858308E-5</v>
      </c>
      <c r="Q281" t="s">
        <v>254</v>
      </c>
      <c r="S281" t="s">
        <v>423</v>
      </c>
      <c r="T281" t="s">
        <v>2073</v>
      </c>
      <c r="U281">
        <v>5.7941466038377072E-5</v>
      </c>
      <c r="V281" t="s">
        <v>254</v>
      </c>
      <c r="X281">
        <v>1.1415525114155251E-4</v>
      </c>
      <c r="Y281">
        <v>1.5049432745775637E-4</v>
      </c>
      <c r="Z281" t="s">
        <v>2073</v>
      </c>
      <c r="AA281" t="s">
        <v>25</v>
      </c>
      <c r="AC281" t="s">
        <v>22</v>
      </c>
      <c r="AD281" t="s">
        <v>2073</v>
      </c>
      <c r="AE281">
        <v>1.2607961909485665E-4</v>
      </c>
      <c r="AG281" t="s">
        <v>97</v>
      </c>
      <c r="AH281" t="s">
        <v>2073</v>
      </c>
      <c r="AI281">
        <v>0</v>
      </c>
    </row>
    <row r="282" spans="5:35" x14ac:dyDescent="0.45">
      <c r="E282" t="s">
        <v>1488</v>
      </c>
      <c r="G282" t="s">
        <v>437</v>
      </c>
      <c r="I282" t="s">
        <v>252</v>
      </c>
      <c r="J282" t="s">
        <v>2074</v>
      </c>
      <c r="K282">
        <v>3.9918765499180001E-4</v>
      </c>
      <c r="L282" t="s">
        <v>254</v>
      </c>
      <c r="N282" t="s">
        <v>422</v>
      </c>
      <c r="O282" t="s">
        <v>2074</v>
      </c>
      <c r="P282">
        <v>8.7394761899293801E-5</v>
      </c>
      <c r="Q282" t="s">
        <v>254</v>
      </c>
      <c r="S282" t="s">
        <v>423</v>
      </c>
      <c r="T282" t="s">
        <v>2074</v>
      </c>
      <c r="U282">
        <v>6.9069101243909956E-5</v>
      </c>
      <c r="V282" t="s">
        <v>254</v>
      </c>
      <c r="X282">
        <v>1.1415525114155251E-4</v>
      </c>
      <c r="Y282">
        <v>1.7237235744060203E-4</v>
      </c>
      <c r="Z282" t="s">
        <v>2074</v>
      </c>
      <c r="AA282" t="s">
        <v>25</v>
      </c>
      <c r="AC282" t="s">
        <v>22</v>
      </c>
      <c r="AD282" t="s">
        <v>2074</v>
      </c>
      <c r="AE282">
        <v>1.2579577994046171E-4</v>
      </c>
      <c r="AG282" t="s">
        <v>97</v>
      </c>
      <c r="AH282" t="s">
        <v>2074</v>
      </c>
      <c r="AI282">
        <v>0</v>
      </c>
    </row>
    <row r="283" spans="5:35" x14ac:dyDescent="0.45">
      <c r="E283" t="s">
        <v>1489</v>
      </c>
      <c r="G283" t="s">
        <v>437</v>
      </c>
      <c r="I283" t="s">
        <v>252</v>
      </c>
      <c r="J283" t="s">
        <v>2075</v>
      </c>
      <c r="K283">
        <v>3.6010713069899999E-4</v>
      </c>
      <c r="L283" t="s">
        <v>254</v>
      </c>
      <c r="N283" t="s">
        <v>422</v>
      </c>
      <c r="O283" t="s">
        <v>2075</v>
      </c>
      <c r="P283">
        <v>9.8143144156808315E-5</v>
      </c>
      <c r="Q283" t="s">
        <v>254</v>
      </c>
      <c r="S283" t="s">
        <v>423</v>
      </c>
      <c r="T283" t="s">
        <v>2075</v>
      </c>
      <c r="U283">
        <v>7.9309329474262213E-5</v>
      </c>
      <c r="V283" t="s">
        <v>254</v>
      </c>
      <c r="X283">
        <v>1.1415525114155251E-4</v>
      </c>
      <c r="Y283">
        <v>2.2209515285616027E-4</v>
      </c>
      <c r="Z283" t="s">
        <v>2075</v>
      </c>
      <c r="AA283" t="s">
        <v>25</v>
      </c>
      <c r="AC283" t="s">
        <v>22</v>
      </c>
      <c r="AD283" t="s">
        <v>2075</v>
      </c>
      <c r="AE283">
        <v>1.2526901538365668E-4</v>
      </c>
      <c r="AG283" t="s">
        <v>97</v>
      </c>
      <c r="AH283" t="s">
        <v>2075</v>
      </c>
      <c r="AI283">
        <v>0</v>
      </c>
    </row>
    <row r="284" spans="5:35" x14ac:dyDescent="0.45">
      <c r="E284" t="s">
        <v>1490</v>
      </c>
      <c r="G284" t="s">
        <v>437</v>
      </c>
      <c r="I284" t="s">
        <v>252</v>
      </c>
      <c r="J284" t="s">
        <v>2076</v>
      </c>
      <c r="K284">
        <v>2.9554089493079999E-4</v>
      </c>
      <c r="L284" t="s">
        <v>254</v>
      </c>
      <c r="N284" t="s">
        <v>422</v>
      </c>
      <c r="O284" t="s">
        <v>2076</v>
      </c>
      <c r="P284">
        <v>1.043773176182E-4</v>
      </c>
      <c r="Q284" t="s">
        <v>254</v>
      </c>
      <c r="S284" t="s">
        <v>423</v>
      </c>
      <c r="T284" t="s">
        <v>2076</v>
      </c>
      <c r="U284">
        <v>8.0213836218376606E-5</v>
      </c>
      <c r="V284" t="s">
        <v>254</v>
      </c>
      <c r="X284">
        <v>1.1415525114155251E-4</v>
      </c>
      <c r="Y284">
        <v>2.2209515285616027E-4</v>
      </c>
      <c r="Z284" t="s">
        <v>2076</v>
      </c>
      <c r="AA284" t="s">
        <v>25</v>
      </c>
      <c r="AC284" t="s">
        <v>22</v>
      </c>
      <c r="AD284" t="s">
        <v>2076</v>
      </c>
      <c r="AE284">
        <v>1.2517184522269268E-4</v>
      </c>
      <c r="AG284" t="s">
        <v>97</v>
      </c>
      <c r="AH284" t="s">
        <v>2076</v>
      </c>
      <c r="AI284">
        <v>0</v>
      </c>
    </row>
    <row r="285" spans="5:35" x14ac:dyDescent="0.45">
      <c r="E285" t="s">
        <v>1491</v>
      </c>
      <c r="G285" t="s">
        <v>437</v>
      </c>
      <c r="I285" t="s">
        <v>252</v>
      </c>
      <c r="J285" t="s">
        <v>2077</v>
      </c>
      <c r="K285">
        <v>1.9909324089829999E-4</v>
      </c>
      <c r="L285" t="s">
        <v>254</v>
      </c>
      <c r="N285" t="s">
        <v>422</v>
      </c>
      <c r="O285" t="s">
        <v>2077</v>
      </c>
      <c r="P285">
        <v>9.8363929448358901E-5</v>
      </c>
      <c r="Q285" t="s">
        <v>254</v>
      </c>
      <c r="S285" t="s">
        <v>423</v>
      </c>
      <c r="T285" t="s">
        <v>2077</v>
      </c>
      <c r="U285">
        <v>8.0480747345849704E-5</v>
      </c>
      <c r="V285" t="s">
        <v>254</v>
      </c>
      <c r="X285">
        <v>1.1415525114155251E-4</v>
      </c>
      <c r="Y285">
        <v>1.7237235744060203E-4</v>
      </c>
      <c r="Z285" t="s">
        <v>2077</v>
      </c>
      <c r="AA285" t="s">
        <v>25</v>
      </c>
      <c r="AC285" t="s">
        <v>22</v>
      </c>
      <c r="AD285" t="s">
        <v>2077</v>
      </c>
      <c r="AE285">
        <v>1.2415922986106751E-4</v>
      </c>
      <c r="AG285" t="s">
        <v>97</v>
      </c>
      <c r="AH285" t="s">
        <v>2077</v>
      </c>
      <c r="AI285">
        <v>0</v>
      </c>
    </row>
    <row r="286" spans="5:35" x14ac:dyDescent="0.45">
      <c r="E286" t="s">
        <v>1492</v>
      </c>
      <c r="G286" t="s">
        <v>437</v>
      </c>
      <c r="I286" t="s">
        <v>252</v>
      </c>
      <c r="J286" t="s">
        <v>2078</v>
      </c>
      <c r="K286">
        <v>1.047481429464E-4</v>
      </c>
      <c r="L286" t="s">
        <v>254</v>
      </c>
      <c r="N286" t="s">
        <v>422</v>
      </c>
      <c r="O286" t="s">
        <v>2078</v>
      </c>
      <c r="P286">
        <v>9.4293165340874835E-5</v>
      </c>
      <c r="Q286" t="s">
        <v>254</v>
      </c>
      <c r="S286" t="s">
        <v>423</v>
      </c>
      <c r="T286" t="s">
        <v>2078</v>
      </c>
      <c r="U286">
        <v>7.6142970277997301E-5</v>
      </c>
      <c r="V286" t="s">
        <v>254</v>
      </c>
      <c r="X286">
        <v>1.1415525114155251E-4</v>
      </c>
      <c r="Y286">
        <v>1.5579809230208258E-4</v>
      </c>
      <c r="Z286" t="s">
        <v>2078</v>
      </c>
      <c r="AA286" t="s">
        <v>25</v>
      </c>
      <c r="AC286" t="s">
        <v>22</v>
      </c>
      <c r="AD286" t="s">
        <v>2078</v>
      </c>
      <c r="AE286">
        <v>1.214947217630538E-4</v>
      </c>
      <c r="AG286" t="s">
        <v>97</v>
      </c>
      <c r="AH286" t="s">
        <v>2078</v>
      </c>
      <c r="AI286">
        <v>0</v>
      </c>
    </row>
    <row r="287" spans="5:35" x14ac:dyDescent="0.45">
      <c r="E287" t="s">
        <v>1493</v>
      </c>
      <c r="G287" t="s">
        <v>437</v>
      </c>
      <c r="I287" t="s">
        <v>252</v>
      </c>
      <c r="J287" t="s">
        <v>2079</v>
      </c>
      <c r="K287">
        <v>0</v>
      </c>
      <c r="L287" t="s">
        <v>254</v>
      </c>
      <c r="N287" t="s">
        <v>422</v>
      </c>
      <c r="O287" t="s">
        <v>2079</v>
      </c>
      <c r="P287">
        <v>9.0994749739612736E-5</v>
      </c>
      <c r="Q287" t="s">
        <v>254</v>
      </c>
      <c r="S287" t="s">
        <v>423</v>
      </c>
      <c r="T287" t="s">
        <v>2079</v>
      </c>
      <c r="U287">
        <v>7.0411693045294751E-5</v>
      </c>
      <c r="V287" t="s">
        <v>254</v>
      </c>
      <c r="X287">
        <v>1.1415525114155251E-4</v>
      </c>
      <c r="Y287">
        <v>1.093901499142282E-4</v>
      </c>
      <c r="Z287" t="s">
        <v>2079</v>
      </c>
      <c r="AA287" t="s">
        <v>25</v>
      </c>
      <c r="AC287" t="s">
        <v>22</v>
      </c>
      <c r="AD287" t="s">
        <v>2079</v>
      </c>
      <c r="AE287">
        <v>1.1500477785445612E-4</v>
      </c>
      <c r="AG287" t="s">
        <v>97</v>
      </c>
      <c r="AH287" t="s">
        <v>2079</v>
      </c>
      <c r="AI287">
        <v>0</v>
      </c>
    </row>
    <row r="288" spans="5:35" x14ac:dyDescent="0.45">
      <c r="E288" t="s">
        <v>1494</v>
      </c>
      <c r="G288" t="s">
        <v>437</v>
      </c>
      <c r="I288" t="s">
        <v>252</v>
      </c>
      <c r="J288" t="s">
        <v>2080</v>
      </c>
      <c r="K288">
        <v>0</v>
      </c>
      <c r="L288" t="s">
        <v>254</v>
      </c>
      <c r="N288" t="s">
        <v>422</v>
      </c>
      <c r="O288" t="s">
        <v>2080</v>
      </c>
      <c r="P288">
        <v>8.5303893716185346E-5</v>
      </c>
      <c r="Q288" t="s">
        <v>254</v>
      </c>
      <c r="S288" t="s">
        <v>423</v>
      </c>
      <c r="T288" t="s">
        <v>2080</v>
      </c>
      <c r="U288">
        <v>6.6564460692238029E-5</v>
      </c>
      <c r="V288" t="s">
        <v>254</v>
      </c>
      <c r="X288">
        <v>1.1415525114155251E-4</v>
      </c>
      <c r="Y288">
        <v>7.9556472664893237E-5</v>
      </c>
      <c r="Z288" t="s">
        <v>2080</v>
      </c>
      <c r="AA288" t="s">
        <v>25</v>
      </c>
      <c r="AC288" t="s">
        <v>22</v>
      </c>
      <c r="AD288" t="s">
        <v>2080</v>
      </c>
      <c r="AE288">
        <v>1.0846113464637833E-4</v>
      </c>
      <c r="AG288" t="s">
        <v>97</v>
      </c>
      <c r="AH288" t="s">
        <v>2080</v>
      </c>
      <c r="AI288">
        <v>0</v>
      </c>
    </row>
    <row r="289" spans="5:35" x14ac:dyDescent="0.45">
      <c r="E289" t="s">
        <v>1495</v>
      </c>
      <c r="G289" t="s">
        <v>437</v>
      </c>
      <c r="I289" t="s">
        <v>252</v>
      </c>
      <c r="J289" t="s">
        <v>2081</v>
      </c>
      <c r="K289">
        <v>0</v>
      </c>
      <c r="L289" t="s">
        <v>254</v>
      </c>
      <c r="N289" t="s">
        <v>422</v>
      </c>
      <c r="O289" t="s">
        <v>2081</v>
      </c>
      <c r="P289">
        <v>7.4413393523023962E-5</v>
      </c>
      <c r="Q289" t="s">
        <v>254</v>
      </c>
      <c r="S289" t="s">
        <v>423</v>
      </c>
      <c r="T289" t="s">
        <v>2081</v>
      </c>
      <c r="U289">
        <v>5.8779777729317559E-5</v>
      </c>
      <c r="V289" t="s">
        <v>254</v>
      </c>
      <c r="X289">
        <v>1.1415525114155251E-4</v>
      </c>
      <c r="Y289">
        <v>5.6352501470966035E-5</v>
      </c>
      <c r="Z289" t="s">
        <v>2081</v>
      </c>
      <c r="AA289" t="s">
        <v>25</v>
      </c>
      <c r="AC289" t="s">
        <v>22</v>
      </c>
      <c r="AD289" t="s">
        <v>2081</v>
      </c>
      <c r="AE289">
        <v>9.528434939775589E-5</v>
      </c>
      <c r="AG289" t="s">
        <v>97</v>
      </c>
      <c r="AH289" t="s">
        <v>2081</v>
      </c>
      <c r="AI289">
        <v>0</v>
      </c>
    </row>
    <row r="290" spans="5:35" x14ac:dyDescent="0.45">
      <c r="E290" t="s">
        <v>1496</v>
      </c>
      <c r="G290" t="s">
        <v>437</v>
      </c>
      <c r="I290" t="s">
        <v>252</v>
      </c>
      <c r="J290" t="s">
        <v>2082</v>
      </c>
      <c r="K290">
        <v>0</v>
      </c>
      <c r="L290" t="s">
        <v>254</v>
      </c>
      <c r="N290" t="s">
        <v>422</v>
      </c>
      <c r="O290" t="s">
        <v>2082</v>
      </c>
      <c r="P290">
        <v>7.1900570832232055E-5</v>
      </c>
      <c r="Q290" t="s">
        <v>254</v>
      </c>
      <c r="S290" t="s">
        <v>423</v>
      </c>
      <c r="T290" t="s">
        <v>2082</v>
      </c>
      <c r="U290">
        <v>4.7721826273802152E-5</v>
      </c>
      <c r="V290" t="s">
        <v>254</v>
      </c>
      <c r="X290">
        <v>1.1415525114155251E-4</v>
      </c>
      <c r="Y290">
        <v>2.9833677249334962E-5</v>
      </c>
      <c r="Z290" t="s">
        <v>2082</v>
      </c>
      <c r="AA290" t="s">
        <v>25</v>
      </c>
      <c r="AC290" t="s">
        <v>22</v>
      </c>
      <c r="AD290" t="s">
        <v>2082</v>
      </c>
      <c r="AE290">
        <v>8.5733545418791227E-5</v>
      </c>
      <c r="AG290" t="s">
        <v>97</v>
      </c>
      <c r="AH290" t="s">
        <v>2082</v>
      </c>
      <c r="AI290">
        <v>0</v>
      </c>
    </row>
    <row r="291" spans="5:35" x14ac:dyDescent="0.45">
      <c r="E291" t="s">
        <v>1497</v>
      </c>
      <c r="G291" t="s">
        <v>437</v>
      </c>
      <c r="I291" t="s">
        <v>252</v>
      </c>
      <c r="J291" t="s">
        <v>366</v>
      </c>
      <c r="K291">
        <v>7.9795930754921157E-4</v>
      </c>
      <c r="L291" t="s">
        <v>254</v>
      </c>
      <c r="N291" t="s">
        <v>422</v>
      </c>
      <c r="O291" t="s">
        <v>366</v>
      </c>
      <c r="P291">
        <v>1.444145976161792E-2</v>
      </c>
      <c r="Q291" t="s">
        <v>254</v>
      </c>
      <c r="S291" t="s">
        <v>423</v>
      </c>
      <c r="T291" t="s">
        <v>366</v>
      </c>
      <c r="U291">
        <v>1.3670567082447713E-2</v>
      </c>
      <c r="V291" t="s">
        <v>254</v>
      </c>
      <c r="X291">
        <v>1.8378995433789954E-2</v>
      </c>
      <c r="Y291">
        <v>7.2582021894604257E-3</v>
      </c>
      <c r="Z291" t="s">
        <v>366</v>
      </c>
      <c r="AA291" t="s">
        <v>25</v>
      </c>
      <c r="AC291" t="s">
        <v>22</v>
      </c>
      <c r="AD291" t="s">
        <v>366</v>
      </c>
      <c r="AE291">
        <v>1.3503924996657262E-2</v>
      </c>
      <c r="AG291" t="s">
        <v>97</v>
      </c>
      <c r="AH291" t="s">
        <v>366</v>
      </c>
      <c r="AI291">
        <v>0.24478758525300015</v>
      </c>
    </row>
    <row r="292" spans="5:35" x14ac:dyDescent="0.45">
      <c r="E292" t="s">
        <v>1498</v>
      </c>
      <c r="G292" t="s">
        <v>437</v>
      </c>
      <c r="I292" t="s">
        <v>252</v>
      </c>
      <c r="J292" t="s">
        <v>367</v>
      </c>
      <c r="K292">
        <v>3.2619264477406142E-3</v>
      </c>
      <c r="L292" t="s">
        <v>254</v>
      </c>
      <c r="N292" t="s">
        <v>422</v>
      </c>
      <c r="O292" t="s">
        <v>367</v>
      </c>
      <c r="P292">
        <v>1.7745597749009075E-3</v>
      </c>
      <c r="Q292" t="s">
        <v>254</v>
      </c>
      <c r="S292" t="s">
        <v>423</v>
      </c>
      <c r="T292" t="s">
        <v>367</v>
      </c>
      <c r="U292">
        <v>1.8967289821780998E-3</v>
      </c>
      <c r="V292" t="s">
        <v>254</v>
      </c>
      <c r="X292">
        <v>2.625570776255708E-3</v>
      </c>
      <c r="Y292">
        <v>4.3838931291383864E-3</v>
      </c>
      <c r="Z292" t="s">
        <v>367</v>
      </c>
      <c r="AA292" t="s">
        <v>25</v>
      </c>
      <c r="AC292" t="s">
        <v>22</v>
      </c>
      <c r="AD292" t="s">
        <v>367</v>
      </c>
      <c r="AE292">
        <v>2.5728650977943947E-3</v>
      </c>
      <c r="AG292" t="s">
        <v>97</v>
      </c>
      <c r="AH292" t="s">
        <v>367</v>
      </c>
      <c r="AI292">
        <v>7.9787125256013613E-2</v>
      </c>
    </row>
    <row r="293" spans="5:35" x14ac:dyDescent="0.45">
      <c r="E293" t="s">
        <v>1499</v>
      </c>
      <c r="G293" t="s">
        <v>437</v>
      </c>
      <c r="I293" t="s">
        <v>252</v>
      </c>
      <c r="J293" t="s">
        <v>368</v>
      </c>
      <c r="K293">
        <v>1.13734344277482E-2</v>
      </c>
      <c r="L293" t="s">
        <v>254</v>
      </c>
      <c r="N293" t="s">
        <v>422</v>
      </c>
      <c r="O293" t="s">
        <v>368</v>
      </c>
      <c r="P293">
        <v>3.716827935997214E-3</v>
      </c>
      <c r="Q293" t="s">
        <v>254</v>
      </c>
      <c r="S293" t="s">
        <v>423</v>
      </c>
      <c r="T293" t="s">
        <v>368</v>
      </c>
      <c r="U293">
        <v>3.858922480669053E-3</v>
      </c>
      <c r="V293" t="s">
        <v>254</v>
      </c>
      <c r="X293">
        <v>5.2511415525114159E-3</v>
      </c>
      <c r="Y293">
        <v>6.6787658802177864E-3</v>
      </c>
      <c r="Z293" t="s">
        <v>368</v>
      </c>
      <c r="AA293" t="s">
        <v>25</v>
      </c>
      <c r="AC293" t="s">
        <v>22</v>
      </c>
      <c r="AD293" t="s">
        <v>368</v>
      </c>
      <c r="AE293">
        <v>5.457444400632905E-3</v>
      </c>
      <c r="AG293" t="s">
        <v>97</v>
      </c>
      <c r="AH293" t="s">
        <v>368</v>
      </c>
      <c r="AI293">
        <v>6.918057353803464E-2</v>
      </c>
    </row>
    <row r="294" spans="5:35" x14ac:dyDescent="0.45">
      <c r="E294" t="s">
        <v>1500</v>
      </c>
      <c r="G294" t="s">
        <v>437</v>
      </c>
      <c r="I294" t="s">
        <v>252</v>
      </c>
      <c r="J294" t="s">
        <v>369</v>
      </c>
      <c r="K294">
        <v>2.0585004476945799E-2</v>
      </c>
      <c r="L294" t="s">
        <v>254</v>
      </c>
      <c r="N294" t="s">
        <v>422</v>
      </c>
      <c r="O294" t="s">
        <v>369</v>
      </c>
      <c r="P294">
        <v>5.7513437184950542E-3</v>
      </c>
      <c r="Q294" t="s">
        <v>254</v>
      </c>
      <c r="S294" t="s">
        <v>423</v>
      </c>
      <c r="T294" t="s">
        <v>369</v>
      </c>
      <c r="U294">
        <v>5.5259232356245783E-3</v>
      </c>
      <c r="V294" t="s">
        <v>254</v>
      </c>
      <c r="X294">
        <v>7.8767123287671239E-3</v>
      </c>
      <c r="Y294">
        <v>9.7513031515965177E-3</v>
      </c>
      <c r="Z294" t="s">
        <v>369</v>
      </c>
      <c r="AA294" t="s">
        <v>25</v>
      </c>
      <c r="AC294" t="s">
        <v>22</v>
      </c>
      <c r="AD294" t="s">
        <v>369</v>
      </c>
      <c r="AE294">
        <v>8.2226245896321118E-3</v>
      </c>
      <c r="AG294" t="s">
        <v>97</v>
      </c>
      <c r="AH294" t="s">
        <v>369</v>
      </c>
      <c r="AI294">
        <v>8.9299964942140431E-2</v>
      </c>
    </row>
    <row r="295" spans="5:35" x14ac:dyDescent="0.45">
      <c r="E295" t="s">
        <v>1501</v>
      </c>
      <c r="G295" t="s">
        <v>437</v>
      </c>
      <c r="I295" t="s">
        <v>252</v>
      </c>
      <c r="J295" t="s">
        <v>370</v>
      </c>
      <c r="K295">
        <v>6.6904918723942001E-3</v>
      </c>
      <c r="L295" t="s">
        <v>254</v>
      </c>
      <c r="N295" t="s">
        <v>422</v>
      </c>
      <c r="O295" t="s">
        <v>370</v>
      </c>
      <c r="P295">
        <v>2.0663988996589429E-3</v>
      </c>
      <c r="Q295" t="s">
        <v>254</v>
      </c>
      <c r="S295" t="s">
        <v>423</v>
      </c>
      <c r="T295" t="s">
        <v>370</v>
      </c>
      <c r="U295">
        <v>1.907136188197135E-3</v>
      </c>
      <c r="V295" t="s">
        <v>254</v>
      </c>
      <c r="X295">
        <v>2.625570776255708E-3</v>
      </c>
      <c r="Y295">
        <v>3.423248721709802E-3</v>
      </c>
      <c r="Z295" t="s">
        <v>370</v>
      </c>
      <c r="AA295" t="s">
        <v>25</v>
      </c>
      <c r="AC295" t="s">
        <v>22</v>
      </c>
      <c r="AD295" t="s">
        <v>370</v>
      </c>
      <c r="AE295">
        <v>2.7180680035886464E-3</v>
      </c>
      <c r="AG295" t="s">
        <v>97</v>
      </c>
      <c r="AH295" t="s">
        <v>370</v>
      </c>
      <c r="AI295">
        <v>9.1919778490334281E-2</v>
      </c>
    </row>
    <row r="296" spans="5:35" x14ac:dyDescent="0.45">
      <c r="E296" t="s">
        <v>1502</v>
      </c>
      <c r="G296" t="s">
        <v>437</v>
      </c>
      <c r="I296" t="s">
        <v>252</v>
      </c>
      <c r="J296" t="s">
        <v>371</v>
      </c>
      <c r="K296">
        <v>1.30558292820787E-2</v>
      </c>
      <c r="L296" t="s">
        <v>254</v>
      </c>
      <c r="N296" t="s">
        <v>422</v>
      </c>
      <c r="O296" t="s">
        <v>371</v>
      </c>
      <c r="P296">
        <v>4.4225494849103935E-3</v>
      </c>
      <c r="Q296" t="s">
        <v>254</v>
      </c>
      <c r="S296" t="s">
        <v>423</v>
      </c>
      <c r="T296" t="s">
        <v>371</v>
      </c>
      <c r="U296">
        <v>4.1209154474971983E-3</v>
      </c>
      <c r="V296" t="s">
        <v>254</v>
      </c>
      <c r="X296">
        <v>5.2511415525114159E-3</v>
      </c>
      <c r="Y296">
        <v>7.4259337526622442E-3</v>
      </c>
      <c r="Z296" t="s">
        <v>371</v>
      </c>
      <c r="AA296" t="s">
        <v>25</v>
      </c>
      <c r="AC296" t="s">
        <v>22</v>
      </c>
      <c r="AD296" t="s">
        <v>371</v>
      </c>
      <c r="AE296">
        <v>5.3934757494045844E-3</v>
      </c>
      <c r="AG296" t="s">
        <v>97</v>
      </c>
      <c r="AH296" t="s">
        <v>371</v>
      </c>
      <c r="AI296">
        <v>8.6581721969608116E-2</v>
      </c>
    </row>
    <row r="297" spans="5:35" x14ac:dyDescent="0.45">
      <c r="E297" t="s">
        <v>1503</v>
      </c>
      <c r="G297" t="s">
        <v>437</v>
      </c>
      <c r="I297" t="s">
        <v>252</v>
      </c>
      <c r="J297" t="s">
        <v>372</v>
      </c>
      <c r="K297">
        <v>9.8984169389985856E-3</v>
      </c>
      <c r="L297" t="s">
        <v>254</v>
      </c>
      <c r="N297" t="s">
        <v>422</v>
      </c>
      <c r="O297" t="s">
        <v>372</v>
      </c>
      <c r="P297">
        <v>4.5209177926412748E-3</v>
      </c>
      <c r="Q297" t="s">
        <v>254</v>
      </c>
      <c r="S297" t="s">
        <v>423</v>
      </c>
      <c r="T297" t="s">
        <v>372</v>
      </c>
      <c r="U297">
        <v>4.5593937326782775E-3</v>
      </c>
      <c r="V297" t="s">
        <v>254</v>
      </c>
      <c r="X297">
        <v>5.2511415525114159E-3</v>
      </c>
      <c r="Y297">
        <v>1.0216377031383372E-2</v>
      </c>
      <c r="Z297" t="s">
        <v>372</v>
      </c>
      <c r="AA297" t="s">
        <v>25</v>
      </c>
      <c r="AC297" t="s">
        <v>22</v>
      </c>
      <c r="AD297" t="s">
        <v>372</v>
      </c>
      <c r="AE297">
        <v>5.3808282858222659E-3</v>
      </c>
      <c r="AG297" t="s">
        <v>97</v>
      </c>
      <c r="AH297" t="s">
        <v>372</v>
      </c>
      <c r="AI297">
        <v>8.1605257811188769E-2</v>
      </c>
    </row>
    <row r="298" spans="5:35" x14ac:dyDescent="0.45">
      <c r="E298" t="s">
        <v>1504</v>
      </c>
      <c r="G298" t="s">
        <v>437</v>
      </c>
      <c r="I298" t="s">
        <v>252</v>
      </c>
      <c r="J298" t="s">
        <v>373</v>
      </c>
      <c r="K298">
        <v>2.6118443894821591E-3</v>
      </c>
      <c r="L298" t="s">
        <v>254</v>
      </c>
      <c r="N298" t="s">
        <v>422</v>
      </c>
      <c r="O298" t="s">
        <v>373</v>
      </c>
      <c r="P298">
        <v>1.3525353852638115E-2</v>
      </c>
      <c r="Q298" t="s">
        <v>254</v>
      </c>
      <c r="S298" t="s">
        <v>423</v>
      </c>
      <c r="T298" t="s">
        <v>373</v>
      </c>
      <c r="U298">
        <v>1.3534571620046433E-2</v>
      </c>
      <c r="V298" t="s">
        <v>254</v>
      </c>
      <c r="X298">
        <v>1.5753424657534248E-2</v>
      </c>
      <c r="Y298">
        <v>1.387597477396846E-2</v>
      </c>
      <c r="Z298" t="s">
        <v>373</v>
      </c>
      <c r="AA298" t="s">
        <v>25</v>
      </c>
      <c r="AC298" t="s">
        <v>22</v>
      </c>
      <c r="AD298" t="s">
        <v>373</v>
      </c>
      <c r="AE298">
        <v>1.4322792038640878E-2</v>
      </c>
      <c r="AG298" t="s">
        <v>97</v>
      </c>
      <c r="AH298" t="s">
        <v>373</v>
      </c>
      <c r="AI298">
        <v>0.17010584418489483</v>
      </c>
    </row>
    <row r="299" spans="5:35" x14ac:dyDescent="0.45">
      <c r="E299" t="s">
        <v>1505</v>
      </c>
      <c r="G299" t="s">
        <v>437</v>
      </c>
      <c r="I299" t="s">
        <v>252</v>
      </c>
      <c r="J299" t="s">
        <v>2083</v>
      </c>
      <c r="K299">
        <v>0</v>
      </c>
      <c r="L299" t="s">
        <v>254</v>
      </c>
      <c r="N299" t="s">
        <v>422</v>
      </c>
      <c r="O299" t="s">
        <v>2083</v>
      </c>
      <c r="P299">
        <v>8.7496155038659581E-5</v>
      </c>
      <c r="Q299" t="s">
        <v>254</v>
      </c>
      <c r="S299" t="s">
        <v>423</v>
      </c>
      <c r="T299" t="s">
        <v>2083</v>
      </c>
      <c r="U299">
        <v>7.4067639668505225E-5</v>
      </c>
      <c r="V299" t="s">
        <v>254</v>
      </c>
      <c r="X299">
        <v>1.1415525114155251E-4</v>
      </c>
      <c r="Y299">
        <v>2.1546544680075254E-5</v>
      </c>
      <c r="Z299" t="s">
        <v>2083</v>
      </c>
      <c r="AA299" t="s">
        <v>25</v>
      </c>
      <c r="AC299" t="s">
        <v>22</v>
      </c>
      <c r="AD299" t="s">
        <v>2083</v>
      </c>
      <c r="AE299">
        <v>8.013330638106692E-5</v>
      </c>
      <c r="AG299" t="s">
        <v>97</v>
      </c>
      <c r="AH299" t="s">
        <v>2083</v>
      </c>
      <c r="AI299">
        <v>0</v>
      </c>
    </row>
    <row r="300" spans="5:35" x14ac:dyDescent="0.45">
      <c r="E300" t="s">
        <v>1506</v>
      </c>
      <c r="G300" t="s">
        <v>437</v>
      </c>
      <c r="I300" t="s">
        <v>252</v>
      </c>
      <c r="J300" t="s">
        <v>2084</v>
      </c>
      <c r="K300">
        <v>0</v>
      </c>
      <c r="L300" t="s">
        <v>254</v>
      </c>
      <c r="N300" t="s">
        <v>422</v>
      </c>
      <c r="O300" t="s">
        <v>2084</v>
      </c>
      <c r="P300">
        <v>6.6407487839849859E-5</v>
      </c>
      <c r="Q300" t="s">
        <v>254</v>
      </c>
      <c r="S300" t="s">
        <v>423</v>
      </c>
      <c r="T300" t="s">
        <v>2084</v>
      </c>
      <c r="U300">
        <v>5.816660599727896E-5</v>
      </c>
      <c r="V300" t="s">
        <v>254</v>
      </c>
      <c r="X300">
        <v>1.1415525114155251E-4</v>
      </c>
      <c r="Y300">
        <v>1.4916838624667481E-5</v>
      </c>
      <c r="Z300" t="s">
        <v>2084</v>
      </c>
      <c r="AA300" t="s">
        <v>25</v>
      </c>
      <c r="AC300" t="s">
        <v>22</v>
      </c>
      <c r="AD300" t="s">
        <v>2084</v>
      </c>
      <c r="AE300">
        <v>7.9015849529980543E-5</v>
      </c>
      <c r="AG300" t="s">
        <v>97</v>
      </c>
      <c r="AH300" t="s">
        <v>2084</v>
      </c>
      <c r="AI300">
        <v>0</v>
      </c>
    </row>
    <row r="301" spans="5:35" x14ac:dyDescent="0.45">
      <c r="E301" t="s">
        <v>1507</v>
      </c>
      <c r="G301" t="s">
        <v>437</v>
      </c>
      <c r="I301" t="s">
        <v>252</v>
      </c>
      <c r="J301" t="s">
        <v>2085</v>
      </c>
      <c r="K301">
        <v>0</v>
      </c>
      <c r="L301" t="s">
        <v>254</v>
      </c>
      <c r="N301" t="s">
        <v>422</v>
      </c>
      <c r="O301" t="s">
        <v>2085</v>
      </c>
      <c r="P301">
        <v>4.8398874626160816E-5</v>
      </c>
      <c r="Q301" t="s">
        <v>254</v>
      </c>
      <c r="S301" t="s">
        <v>423</v>
      </c>
      <c r="T301" t="s">
        <v>2085</v>
      </c>
      <c r="U301">
        <v>4.6764142112176012E-5</v>
      </c>
      <c r="V301" t="s">
        <v>254</v>
      </c>
      <c r="X301">
        <v>1.1415525114155251E-4</v>
      </c>
      <c r="Y301">
        <v>1.6574265138519424E-5</v>
      </c>
      <c r="Z301" t="s">
        <v>2085</v>
      </c>
      <c r="AA301" t="s">
        <v>25</v>
      </c>
      <c r="AC301" t="s">
        <v>22</v>
      </c>
      <c r="AD301" t="s">
        <v>2085</v>
      </c>
      <c r="AE301">
        <v>7.9015849529980543E-5</v>
      </c>
      <c r="AG301" t="s">
        <v>97</v>
      </c>
      <c r="AH301" t="s">
        <v>2085</v>
      </c>
      <c r="AI301">
        <v>0</v>
      </c>
    </row>
    <row r="302" spans="5:35" x14ac:dyDescent="0.45">
      <c r="E302" t="s">
        <v>1508</v>
      </c>
      <c r="G302" t="s">
        <v>437</v>
      </c>
      <c r="I302" t="s">
        <v>252</v>
      </c>
      <c r="J302" t="s">
        <v>2086</v>
      </c>
      <c r="K302">
        <v>0</v>
      </c>
      <c r="L302" t="s">
        <v>254</v>
      </c>
      <c r="N302" t="s">
        <v>422</v>
      </c>
      <c r="O302" t="s">
        <v>2086</v>
      </c>
      <c r="P302">
        <v>3.8372911066293457E-5</v>
      </c>
      <c r="Q302" t="s">
        <v>254</v>
      </c>
      <c r="S302" t="s">
        <v>423</v>
      </c>
      <c r="T302" t="s">
        <v>2086</v>
      </c>
      <c r="U302">
        <v>4.0766609540587521E-5</v>
      </c>
      <c r="V302" t="s">
        <v>254</v>
      </c>
      <c r="X302">
        <v>1.1415525114155251E-4</v>
      </c>
      <c r="Y302">
        <v>1.4585353321897093E-5</v>
      </c>
      <c r="Z302" t="s">
        <v>2086</v>
      </c>
      <c r="AA302" t="s">
        <v>25</v>
      </c>
      <c r="AC302" t="s">
        <v>22</v>
      </c>
      <c r="AD302" t="s">
        <v>2086</v>
      </c>
      <c r="AE302">
        <v>8.0048921767598139E-5</v>
      </c>
      <c r="AG302" t="s">
        <v>97</v>
      </c>
      <c r="AH302" t="s">
        <v>2086</v>
      </c>
      <c r="AI302">
        <v>0</v>
      </c>
    </row>
    <row r="303" spans="5:35" x14ac:dyDescent="0.45">
      <c r="E303" t="s">
        <v>1509</v>
      </c>
      <c r="G303" t="s">
        <v>437</v>
      </c>
      <c r="I303" t="s">
        <v>252</v>
      </c>
      <c r="J303" t="s">
        <v>2087</v>
      </c>
      <c r="K303">
        <v>0</v>
      </c>
      <c r="L303" t="s">
        <v>254</v>
      </c>
      <c r="N303" t="s">
        <v>422</v>
      </c>
      <c r="O303" t="s">
        <v>2087</v>
      </c>
      <c r="P303">
        <v>3.1349240066753512E-5</v>
      </c>
      <c r="Q303" t="s">
        <v>254</v>
      </c>
      <c r="S303" t="s">
        <v>423</v>
      </c>
      <c r="T303" t="s">
        <v>2087</v>
      </c>
      <c r="U303">
        <v>3.6161267840369981E-5</v>
      </c>
      <c r="V303" t="s">
        <v>254</v>
      </c>
      <c r="X303">
        <v>1.1415525114155251E-4</v>
      </c>
      <c r="Y303">
        <v>2.1215059377304864E-5</v>
      </c>
      <c r="Z303" t="s">
        <v>2087</v>
      </c>
      <c r="AA303" t="s">
        <v>25</v>
      </c>
      <c r="AC303" t="s">
        <v>22</v>
      </c>
      <c r="AD303" t="s">
        <v>2087</v>
      </c>
      <c r="AE303">
        <v>8.6127171046848205E-5</v>
      </c>
      <c r="AG303" t="s">
        <v>97</v>
      </c>
      <c r="AH303" t="s">
        <v>2087</v>
      </c>
      <c r="AI303">
        <v>0</v>
      </c>
    </row>
    <row r="304" spans="5:35" x14ac:dyDescent="0.45">
      <c r="E304" t="s">
        <v>1510</v>
      </c>
      <c r="G304" t="s">
        <v>437</v>
      </c>
      <c r="I304" t="s">
        <v>252</v>
      </c>
      <c r="J304" t="s">
        <v>2088</v>
      </c>
      <c r="K304">
        <v>0</v>
      </c>
      <c r="L304" t="s">
        <v>254</v>
      </c>
      <c r="N304" t="s">
        <v>422</v>
      </c>
      <c r="O304" t="s">
        <v>2088</v>
      </c>
      <c r="P304">
        <v>2.6661884047857561E-5</v>
      </c>
      <c r="Q304" t="s">
        <v>254</v>
      </c>
      <c r="S304" t="s">
        <v>423</v>
      </c>
      <c r="T304" t="s">
        <v>2088</v>
      </c>
      <c r="U304">
        <v>3.0725986089639158E-5</v>
      </c>
      <c r="V304" t="s">
        <v>254</v>
      </c>
      <c r="X304">
        <v>1.1415525114155251E-4</v>
      </c>
      <c r="Y304">
        <v>5.7678442682047593E-5</v>
      </c>
      <c r="Z304" t="s">
        <v>2088</v>
      </c>
      <c r="AA304" t="s">
        <v>25</v>
      </c>
      <c r="AC304" t="s">
        <v>22</v>
      </c>
      <c r="AD304" t="s">
        <v>2088</v>
      </c>
      <c r="AE304">
        <v>1.0164882570610267E-4</v>
      </c>
      <c r="AG304" t="s">
        <v>97</v>
      </c>
      <c r="AH304" t="s">
        <v>2088</v>
      </c>
      <c r="AI304">
        <v>0</v>
      </c>
    </row>
    <row r="305" spans="5:35" x14ac:dyDescent="0.45">
      <c r="E305" t="s">
        <v>1511</v>
      </c>
      <c r="G305" t="s">
        <v>437</v>
      </c>
      <c r="I305" t="s">
        <v>252</v>
      </c>
      <c r="J305" t="s">
        <v>2089</v>
      </c>
      <c r="K305">
        <v>3.3525929486338573E-6</v>
      </c>
      <c r="L305" t="s">
        <v>254</v>
      </c>
      <c r="N305" t="s">
        <v>422</v>
      </c>
      <c r="O305" t="s">
        <v>2089</v>
      </c>
      <c r="P305">
        <v>2.5223133352768693E-5</v>
      </c>
      <c r="Q305" t="s">
        <v>254</v>
      </c>
      <c r="S305" t="s">
        <v>423</v>
      </c>
      <c r="T305" t="s">
        <v>2089</v>
      </c>
      <c r="U305">
        <v>2.6087155661327757E-5</v>
      </c>
      <c r="V305" t="s">
        <v>254</v>
      </c>
      <c r="X305">
        <v>1.1415525114155251E-4</v>
      </c>
      <c r="Y305">
        <v>1.6905750441289813E-4</v>
      </c>
      <c r="Z305" t="s">
        <v>2089</v>
      </c>
      <c r="AA305" t="s">
        <v>25</v>
      </c>
      <c r="AC305" t="s">
        <v>22</v>
      </c>
      <c r="AD305" t="s">
        <v>2089</v>
      </c>
      <c r="AE305">
        <v>1.1384879512608672E-4</v>
      </c>
      <c r="AG305" t="s">
        <v>97</v>
      </c>
      <c r="AH305" t="s">
        <v>2089</v>
      </c>
      <c r="AI305">
        <v>0</v>
      </c>
    </row>
    <row r="306" spans="5:35" x14ac:dyDescent="0.45">
      <c r="E306" t="s">
        <v>1512</v>
      </c>
      <c r="G306" t="s">
        <v>437</v>
      </c>
      <c r="I306" t="s">
        <v>252</v>
      </c>
      <c r="J306" t="s">
        <v>2090</v>
      </c>
      <c r="K306">
        <v>1.9183561416580001E-4</v>
      </c>
      <c r="L306" t="s">
        <v>254</v>
      </c>
      <c r="N306" t="s">
        <v>422</v>
      </c>
      <c r="O306" t="s">
        <v>2090</v>
      </c>
      <c r="P306">
        <v>2.3935707980108719E-5</v>
      </c>
      <c r="Q306" t="s">
        <v>254</v>
      </c>
      <c r="S306" t="s">
        <v>423</v>
      </c>
      <c r="T306" t="s">
        <v>2090</v>
      </c>
      <c r="U306">
        <v>2.370001472579775E-5</v>
      </c>
      <c r="V306" t="s">
        <v>254</v>
      </c>
      <c r="X306">
        <v>1.1415525114155251E-4</v>
      </c>
      <c r="Y306">
        <v>1.9060404909297337E-4</v>
      </c>
      <c r="Z306" t="s">
        <v>2090</v>
      </c>
      <c r="AA306" t="s">
        <v>25</v>
      </c>
      <c r="AC306" t="s">
        <v>22</v>
      </c>
      <c r="AD306" t="s">
        <v>2090</v>
      </c>
      <c r="AE306">
        <v>1.2290096275273596E-4</v>
      </c>
      <c r="AG306" t="s">
        <v>97</v>
      </c>
      <c r="AH306" t="s">
        <v>2090</v>
      </c>
      <c r="AI306">
        <v>0</v>
      </c>
    </row>
    <row r="307" spans="5:35" x14ac:dyDescent="0.45">
      <c r="E307" t="s">
        <v>1513</v>
      </c>
      <c r="G307" t="s">
        <v>437</v>
      </c>
      <c r="I307" t="s">
        <v>252</v>
      </c>
      <c r="J307" t="s">
        <v>2091</v>
      </c>
      <c r="K307">
        <v>2.9253241066879999E-4</v>
      </c>
      <c r="L307" t="s">
        <v>254</v>
      </c>
      <c r="N307" t="s">
        <v>422</v>
      </c>
      <c r="O307" t="s">
        <v>2091</v>
      </c>
      <c r="P307">
        <v>1.4994680991723118E-5</v>
      </c>
      <c r="Q307" t="s">
        <v>254</v>
      </c>
      <c r="S307" t="s">
        <v>423</v>
      </c>
      <c r="T307" t="s">
        <v>2091</v>
      </c>
      <c r="U307">
        <v>1.9581192310574547E-5</v>
      </c>
      <c r="V307" t="s">
        <v>254</v>
      </c>
      <c r="X307">
        <v>1.1415525114155251E-4</v>
      </c>
      <c r="Y307">
        <v>1.4585353321897094E-4</v>
      </c>
      <c r="Z307" t="s">
        <v>2091</v>
      </c>
      <c r="AA307" t="s">
        <v>25</v>
      </c>
      <c r="AC307" t="s">
        <v>22</v>
      </c>
      <c r="AD307" t="s">
        <v>2091</v>
      </c>
      <c r="AE307">
        <v>1.2750120274153311E-4</v>
      </c>
      <c r="AG307" t="s">
        <v>97</v>
      </c>
      <c r="AH307" t="s">
        <v>2091</v>
      </c>
      <c r="AI307">
        <v>0</v>
      </c>
    </row>
    <row r="308" spans="5:35" x14ac:dyDescent="0.45">
      <c r="E308" t="s">
        <v>1514</v>
      </c>
      <c r="G308" t="s">
        <v>437</v>
      </c>
      <c r="I308" t="s">
        <v>252</v>
      </c>
      <c r="J308" t="s">
        <v>2092</v>
      </c>
      <c r="K308">
        <v>3.5758041448089999E-4</v>
      </c>
      <c r="L308" t="s">
        <v>254</v>
      </c>
      <c r="N308" t="s">
        <v>422</v>
      </c>
      <c r="O308" t="s">
        <v>2092</v>
      </c>
      <c r="P308">
        <v>7.9217742113258568E-6</v>
      </c>
      <c r="Q308" t="s">
        <v>254</v>
      </c>
      <c r="S308" t="s">
        <v>423</v>
      </c>
      <c r="T308" t="s">
        <v>2092</v>
      </c>
      <c r="U308">
        <v>1.4642659451539763E-5</v>
      </c>
      <c r="V308" t="s">
        <v>254</v>
      </c>
      <c r="X308">
        <v>1.1415525114155251E-4</v>
      </c>
      <c r="Y308">
        <v>1.4452759200788939E-4</v>
      </c>
      <c r="Z308" t="s">
        <v>2092</v>
      </c>
      <c r="AA308" t="s">
        <v>25</v>
      </c>
      <c r="AC308" t="s">
        <v>22</v>
      </c>
      <c r="AD308" t="s">
        <v>2092</v>
      </c>
      <c r="AE308">
        <v>1.2748841719403784E-4</v>
      </c>
      <c r="AG308" t="s">
        <v>97</v>
      </c>
      <c r="AH308" t="s">
        <v>2092</v>
      </c>
      <c r="AI308">
        <v>0</v>
      </c>
    </row>
    <row r="309" spans="5:35" x14ac:dyDescent="0.45">
      <c r="E309" t="s">
        <v>1515</v>
      </c>
      <c r="G309" t="s">
        <v>437</v>
      </c>
      <c r="I309" t="s">
        <v>252</v>
      </c>
      <c r="J309" t="s">
        <v>2093</v>
      </c>
      <c r="K309">
        <v>3.9107525200820001E-4</v>
      </c>
      <c r="L309" t="s">
        <v>254</v>
      </c>
      <c r="N309" t="s">
        <v>422</v>
      </c>
      <c r="O309" t="s">
        <v>2093</v>
      </c>
      <c r="P309">
        <v>5.9370242566268941E-6</v>
      </c>
      <c r="Q309" t="s">
        <v>254</v>
      </c>
      <c r="S309" t="s">
        <v>423</v>
      </c>
      <c r="T309" t="s">
        <v>2093</v>
      </c>
      <c r="U309">
        <v>1.0121888879183485E-5</v>
      </c>
      <c r="V309" t="s">
        <v>254</v>
      </c>
      <c r="X309">
        <v>1.1415525114155251E-4</v>
      </c>
      <c r="Y309">
        <v>1.408812536774151E-4</v>
      </c>
      <c r="Z309" t="s">
        <v>2093</v>
      </c>
      <c r="AA309" t="s">
        <v>25</v>
      </c>
      <c r="AC309" t="s">
        <v>22</v>
      </c>
      <c r="AD309" t="s">
        <v>2093</v>
      </c>
      <c r="AE309">
        <v>1.2724293468212869E-4</v>
      </c>
      <c r="AG309" t="s">
        <v>97</v>
      </c>
      <c r="AH309" t="s">
        <v>2093</v>
      </c>
      <c r="AI309">
        <v>0</v>
      </c>
    </row>
    <row r="310" spans="5:35" x14ac:dyDescent="0.45">
      <c r="E310" t="s">
        <v>1516</v>
      </c>
      <c r="G310" t="s">
        <v>437</v>
      </c>
      <c r="I310" t="s">
        <v>252</v>
      </c>
      <c r="J310" t="s">
        <v>2094</v>
      </c>
      <c r="K310">
        <v>3.8703788204469999E-4</v>
      </c>
      <c r="L310" t="s">
        <v>254</v>
      </c>
      <c r="N310" t="s">
        <v>422</v>
      </c>
      <c r="O310" t="s">
        <v>2094</v>
      </c>
      <c r="P310">
        <v>6.2838351396928462E-6</v>
      </c>
      <c r="Q310" t="s">
        <v>254</v>
      </c>
      <c r="S310" t="s">
        <v>423</v>
      </c>
      <c r="T310" t="s">
        <v>2094</v>
      </c>
      <c r="U310">
        <v>9.97587788905522E-6</v>
      </c>
      <c r="V310" t="s">
        <v>254</v>
      </c>
      <c r="X310">
        <v>1.1415525114155251E-4</v>
      </c>
      <c r="Y310">
        <v>1.4054976837464471E-4</v>
      </c>
      <c r="Z310" t="s">
        <v>2094</v>
      </c>
      <c r="AA310" t="s">
        <v>25</v>
      </c>
      <c r="AC310" t="s">
        <v>22</v>
      </c>
      <c r="AD310" t="s">
        <v>2094</v>
      </c>
      <c r="AE310">
        <v>1.2730174820060696E-4</v>
      </c>
      <c r="AG310" t="s">
        <v>97</v>
      </c>
      <c r="AH310" t="s">
        <v>2094</v>
      </c>
      <c r="AI310">
        <v>0</v>
      </c>
    </row>
    <row r="311" spans="5:35" x14ac:dyDescent="0.45">
      <c r="E311" t="s">
        <v>1517</v>
      </c>
      <c r="G311" t="s">
        <v>437</v>
      </c>
      <c r="I311" t="s">
        <v>252</v>
      </c>
      <c r="J311" t="s">
        <v>2095</v>
      </c>
      <c r="K311">
        <v>3.4883435276769999E-4</v>
      </c>
      <c r="L311" t="s">
        <v>254</v>
      </c>
      <c r="N311" t="s">
        <v>422</v>
      </c>
      <c r="O311" t="s">
        <v>2095</v>
      </c>
      <c r="P311">
        <v>6.7996595071408506E-6</v>
      </c>
      <c r="Q311" t="s">
        <v>254</v>
      </c>
      <c r="S311" t="s">
        <v>423</v>
      </c>
      <c r="T311" t="s">
        <v>2095</v>
      </c>
      <c r="U311">
        <v>1.5627461635298193E-5</v>
      </c>
      <c r="V311" t="s">
        <v>254</v>
      </c>
      <c r="X311">
        <v>1.1415525114155251E-4</v>
      </c>
      <c r="Y311">
        <v>1.4253868019126702E-4</v>
      </c>
      <c r="Z311" t="s">
        <v>2095</v>
      </c>
      <c r="AA311" t="s">
        <v>25</v>
      </c>
      <c r="AC311" t="s">
        <v>22</v>
      </c>
      <c r="AD311" t="s">
        <v>2095</v>
      </c>
      <c r="AE311">
        <v>1.2754723071251608E-4</v>
      </c>
      <c r="AG311" t="s">
        <v>97</v>
      </c>
      <c r="AH311" t="s">
        <v>2095</v>
      </c>
      <c r="AI311">
        <v>0</v>
      </c>
    </row>
    <row r="312" spans="5:35" x14ac:dyDescent="0.45">
      <c r="E312" t="s">
        <v>1518</v>
      </c>
      <c r="G312" t="s">
        <v>437</v>
      </c>
      <c r="I312" t="s">
        <v>252</v>
      </c>
      <c r="J312" t="s">
        <v>2096</v>
      </c>
      <c r="K312">
        <v>3.7264952317749998E-4</v>
      </c>
      <c r="L312" t="s">
        <v>254</v>
      </c>
      <c r="N312" t="s">
        <v>422</v>
      </c>
      <c r="O312" t="s">
        <v>2096</v>
      </c>
      <c r="P312">
        <v>5.9320511635057739E-6</v>
      </c>
      <c r="Q312" t="s">
        <v>254</v>
      </c>
      <c r="S312" t="s">
        <v>423</v>
      </c>
      <c r="T312" t="s">
        <v>2096</v>
      </c>
      <c r="U312">
        <v>1.8514371652625263E-5</v>
      </c>
      <c r="V312" t="s">
        <v>254</v>
      </c>
      <c r="X312">
        <v>1.1415525114155251E-4</v>
      </c>
      <c r="Y312">
        <v>1.4883690094390442E-4</v>
      </c>
      <c r="Z312" t="s">
        <v>2096</v>
      </c>
      <c r="AA312" t="s">
        <v>25</v>
      </c>
      <c r="AC312" t="s">
        <v>22</v>
      </c>
      <c r="AD312" t="s">
        <v>2096</v>
      </c>
      <c r="AE312">
        <v>1.2709462233118359E-4</v>
      </c>
      <c r="AG312" t="s">
        <v>97</v>
      </c>
      <c r="AH312" t="s">
        <v>2096</v>
      </c>
      <c r="AI312">
        <v>0</v>
      </c>
    </row>
    <row r="313" spans="5:35" x14ac:dyDescent="0.45">
      <c r="E313" t="s">
        <v>1519</v>
      </c>
      <c r="G313" t="s">
        <v>437</v>
      </c>
      <c r="I313" t="s">
        <v>252</v>
      </c>
      <c r="J313" t="s">
        <v>2097</v>
      </c>
      <c r="K313">
        <v>3.9222885638629998E-4</v>
      </c>
      <c r="L313" t="s">
        <v>254</v>
      </c>
      <c r="N313" t="s">
        <v>422</v>
      </c>
      <c r="O313" t="s">
        <v>2097</v>
      </c>
      <c r="P313">
        <v>6.1169274915050905E-6</v>
      </c>
      <c r="Q313" t="s">
        <v>254</v>
      </c>
      <c r="S313" t="s">
        <v>423</v>
      </c>
      <c r="T313" t="s">
        <v>2097</v>
      </c>
      <c r="U313">
        <v>1.6090523278280322E-5</v>
      </c>
      <c r="V313" t="s">
        <v>254</v>
      </c>
      <c r="X313">
        <v>1.1415525114155251E-4</v>
      </c>
      <c r="Y313">
        <v>1.5049432745775637E-4</v>
      </c>
      <c r="Z313" t="s">
        <v>2097</v>
      </c>
      <c r="AA313" t="s">
        <v>25</v>
      </c>
      <c r="AC313" t="s">
        <v>22</v>
      </c>
      <c r="AD313" t="s">
        <v>2097</v>
      </c>
      <c r="AE313">
        <v>1.2613314915953952E-4</v>
      </c>
      <c r="AG313" t="s">
        <v>97</v>
      </c>
      <c r="AH313" t="s">
        <v>2097</v>
      </c>
      <c r="AI313">
        <v>0</v>
      </c>
    </row>
    <row r="314" spans="5:35" x14ac:dyDescent="0.45">
      <c r="E314" t="s">
        <v>1520</v>
      </c>
      <c r="G314" t="s">
        <v>437</v>
      </c>
      <c r="I314" t="s">
        <v>252</v>
      </c>
      <c r="J314" t="s">
        <v>2098</v>
      </c>
      <c r="K314">
        <v>3.8380962875920002E-4</v>
      </c>
      <c r="L314" t="s">
        <v>254</v>
      </c>
      <c r="N314" t="s">
        <v>422</v>
      </c>
      <c r="O314" t="s">
        <v>2098</v>
      </c>
      <c r="P314">
        <v>7.3665895217830891E-6</v>
      </c>
      <c r="Q314" t="s">
        <v>254</v>
      </c>
      <c r="S314" t="s">
        <v>423</v>
      </c>
      <c r="T314" t="s">
        <v>2098</v>
      </c>
      <c r="U314">
        <v>1.536096750203176E-5</v>
      </c>
      <c r="V314" t="s">
        <v>254</v>
      </c>
      <c r="X314">
        <v>1.1415525114155251E-4</v>
      </c>
      <c r="Y314">
        <v>1.7237235744060203E-4</v>
      </c>
      <c r="Z314" t="s">
        <v>2098</v>
      </c>
      <c r="AA314" t="s">
        <v>25</v>
      </c>
      <c r="AC314" t="s">
        <v>22</v>
      </c>
      <c r="AD314" t="s">
        <v>2098</v>
      </c>
      <c r="AE314">
        <v>1.2615360603553195E-4</v>
      </c>
      <c r="AG314" t="s">
        <v>97</v>
      </c>
      <c r="AH314" t="s">
        <v>2098</v>
      </c>
      <c r="AI314">
        <v>0</v>
      </c>
    </row>
    <row r="315" spans="5:35" x14ac:dyDescent="0.45">
      <c r="E315" t="s">
        <v>1521</v>
      </c>
      <c r="G315" t="s">
        <v>437</v>
      </c>
      <c r="I315" t="s">
        <v>252</v>
      </c>
      <c r="J315" t="s">
        <v>2099</v>
      </c>
      <c r="K315">
        <v>3.46007846356E-4</v>
      </c>
      <c r="L315" t="s">
        <v>254</v>
      </c>
      <c r="N315" t="s">
        <v>422</v>
      </c>
      <c r="O315" t="s">
        <v>2099</v>
      </c>
      <c r="P315">
        <v>8.0796716570250433E-6</v>
      </c>
      <c r="Q315" t="s">
        <v>254</v>
      </c>
      <c r="S315" t="s">
        <v>423</v>
      </c>
      <c r="T315" t="s">
        <v>2099</v>
      </c>
      <c r="U315">
        <v>1.6240741443697963E-5</v>
      </c>
      <c r="V315" t="s">
        <v>254</v>
      </c>
      <c r="X315">
        <v>1.1415525114155251E-4</v>
      </c>
      <c r="Y315">
        <v>2.2209515285616027E-4</v>
      </c>
      <c r="Z315" t="s">
        <v>2099</v>
      </c>
      <c r="AA315" t="s">
        <v>25</v>
      </c>
      <c r="AC315" t="s">
        <v>22</v>
      </c>
      <c r="AD315" t="s">
        <v>2099</v>
      </c>
      <c r="AE315">
        <v>1.2577515382967204E-4</v>
      </c>
      <c r="AG315" t="s">
        <v>97</v>
      </c>
      <c r="AH315" t="s">
        <v>2099</v>
      </c>
      <c r="AI315">
        <v>0</v>
      </c>
    </row>
    <row r="316" spans="5:35" x14ac:dyDescent="0.45">
      <c r="E316" t="s">
        <v>1522</v>
      </c>
      <c r="G316" t="s">
        <v>437</v>
      </c>
      <c r="I316" t="s">
        <v>252</v>
      </c>
      <c r="J316" t="s">
        <v>2100</v>
      </c>
      <c r="K316">
        <v>2.5750830139790001E-4</v>
      </c>
      <c r="L316" t="s">
        <v>254</v>
      </c>
      <c r="N316" t="s">
        <v>422</v>
      </c>
      <c r="O316" t="s">
        <v>2100</v>
      </c>
      <c r="P316">
        <v>1.0714821390390743E-5</v>
      </c>
      <c r="Q316" t="s">
        <v>254</v>
      </c>
      <c r="S316" t="s">
        <v>423</v>
      </c>
      <c r="T316" t="s">
        <v>2100</v>
      </c>
      <c r="U316">
        <v>1.6264638986859114E-5</v>
      </c>
      <c r="V316" t="s">
        <v>254</v>
      </c>
      <c r="X316">
        <v>1.1415525114155251E-4</v>
      </c>
      <c r="Y316">
        <v>2.2209515285616027E-4</v>
      </c>
      <c r="Z316" t="s">
        <v>2100</v>
      </c>
      <c r="AA316" t="s">
        <v>25</v>
      </c>
      <c r="AC316" t="s">
        <v>22</v>
      </c>
      <c r="AD316" t="s">
        <v>2100</v>
      </c>
      <c r="AE316">
        <v>1.2502080652745126E-4</v>
      </c>
      <c r="AG316" t="s">
        <v>97</v>
      </c>
      <c r="AH316" t="s">
        <v>2100</v>
      </c>
      <c r="AI316">
        <v>0</v>
      </c>
    </row>
    <row r="317" spans="5:35" x14ac:dyDescent="0.45">
      <c r="E317" t="s">
        <v>1523</v>
      </c>
      <c r="G317" t="s">
        <v>437</v>
      </c>
      <c r="I317" t="s">
        <v>252</v>
      </c>
      <c r="J317" t="s">
        <v>2101</v>
      </c>
      <c r="K317">
        <v>1.0908958053100001E-4</v>
      </c>
      <c r="L317" t="s">
        <v>254</v>
      </c>
      <c r="N317" t="s">
        <v>422</v>
      </c>
      <c r="O317" t="s">
        <v>2101</v>
      </c>
      <c r="P317">
        <v>1.4977191411984276E-5</v>
      </c>
      <c r="Q317" t="s">
        <v>254</v>
      </c>
      <c r="S317" t="s">
        <v>423</v>
      </c>
      <c r="T317" t="s">
        <v>2101</v>
      </c>
      <c r="U317">
        <v>1.5503828986204952E-5</v>
      </c>
      <c r="V317" t="s">
        <v>254</v>
      </c>
      <c r="X317">
        <v>1.1415525114155251E-4</v>
      </c>
      <c r="Y317">
        <v>1.7237235744060203E-4</v>
      </c>
      <c r="Z317" t="s">
        <v>2101</v>
      </c>
      <c r="AA317" t="s">
        <v>25</v>
      </c>
      <c r="AC317" t="s">
        <v>22</v>
      </c>
      <c r="AD317" t="s">
        <v>2101</v>
      </c>
      <c r="AE317">
        <v>1.2384709326738571E-4</v>
      </c>
      <c r="AG317" t="s">
        <v>97</v>
      </c>
      <c r="AH317" t="s">
        <v>2101</v>
      </c>
      <c r="AI317">
        <v>0</v>
      </c>
    </row>
    <row r="318" spans="5:35" x14ac:dyDescent="0.45">
      <c r="E318" t="s">
        <v>1524</v>
      </c>
      <c r="G318" t="s">
        <v>437</v>
      </c>
      <c r="I318" t="s">
        <v>252</v>
      </c>
      <c r="J318" t="s">
        <v>2102</v>
      </c>
      <c r="K318">
        <v>0</v>
      </c>
      <c r="L318" t="s">
        <v>254</v>
      </c>
      <c r="N318" t="s">
        <v>422</v>
      </c>
      <c r="O318" t="s">
        <v>2102</v>
      </c>
      <c r="P318">
        <v>1.6707731302613627E-5</v>
      </c>
      <c r="Q318" t="s">
        <v>254</v>
      </c>
      <c r="S318" t="s">
        <v>423</v>
      </c>
      <c r="T318" t="s">
        <v>2102</v>
      </c>
      <c r="U318">
        <v>1.4981763775536788E-5</v>
      </c>
      <c r="V318" t="s">
        <v>254</v>
      </c>
      <c r="X318">
        <v>1.1415525114155251E-4</v>
      </c>
      <c r="Y318">
        <v>1.5579809230208258E-4</v>
      </c>
      <c r="Z318" t="s">
        <v>2102</v>
      </c>
      <c r="AA318" t="s">
        <v>25</v>
      </c>
      <c r="AC318" t="s">
        <v>22</v>
      </c>
      <c r="AD318" t="s">
        <v>2102</v>
      </c>
      <c r="AE318">
        <v>1.2203665974205588E-4</v>
      </c>
      <c r="AG318" t="s">
        <v>97</v>
      </c>
      <c r="AH318" t="s">
        <v>2102</v>
      </c>
      <c r="AI318">
        <v>0</v>
      </c>
    </row>
    <row r="319" spans="5:35" x14ac:dyDescent="0.45">
      <c r="E319" t="s">
        <v>1525</v>
      </c>
      <c r="G319" t="s">
        <v>437</v>
      </c>
      <c r="I319" t="s">
        <v>252</v>
      </c>
      <c r="J319" t="s">
        <v>2103</v>
      </c>
      <c r="K319">
        <v>0</v>
      </c>
      <c r="L319" t="s">
        <v>254</v>
      </c>
      <c r="N319" t="s">
        <v>422</v>
      </c>
      <c r="O319" t="s">
        <v>2103</v>
      </c>
      <c r="P319">
        <v>1.590076694452013E-5</v>
      </c>
      <c r="Q319" t="s">
        <v>254</v>
      </c>
      <c r="S319" t="s">
        <v>423</v>
      </c>
      <c r="T319" t="s">
        <v>2103</v>
      </c>
      <c r="U319">
        <v>1.3998169507715656E-5</v>
      </c>
      <c r="V319" t="s">
        <v>254</v>
      </c>
      <c r="X319">
        <v>1.1415525114155251E-4</v>
      </c>
      <c r="Y319">
        <v>1.093901499142282E-4</v>
      </c>
      <c r="Z319" t="s">
        <v>2103</v>
      </c>
      <c r="AA319" t="s">
        <v>25</v>
      </c>
      <c r="AC319" t="s">
        <v>22</v>
      </c>
      <c r="AD319" t="s">
        <v>2103</v>
      </c>
      <c r="AE319">
        <v>1.1541118903000837E-4</v>
      </c>
      <c r="AG319" t="s">
        <v>97</v>
      </c>
      <c r="AH319" t="s">
        <v>2103</v>
      </c>
      <c r="AI319">
        <v>0</v>
      </c>
    </row>
    <row r="320" spans="5:35" x14ac:dyDescent="0.45">
      <c r="E320" t="s">
        <v>1526</v>
      </c>
      <c r="G320" t="s">
        <v>437</v>
      </c>
      <c r="I320" t="s">
        <v>252</v>
      </c>
      <c r="J320" t="s">
        <v>2104</v>
      </c>
      <c r="K320">
        <v>0</v>
      </c>
      <c r="L320" t="s">
        <v>254</v>
      </c>
      <c r="N320" t="s">
        <v>422</v>
      </c>
      <c r="O320" t="s">
        <v>2104</v>
      </c>
      <c r="P320">
        <v>1.466748013273698E-5</v>
      </c>
      <c r="Q320" t="s">
        <v>254</v>
      </c>
      <c r="S320" t="s">
        <v>423</v>
      </c>
      <c r="T320" t="s">
        <v>2104</v>
      </c>
      <c r="U320">
        <v>1.590824870018713E-5</v>
      </c>
      <c r="V320" t="s">
        <v>254</v>
      </c>
      <c r="X320">
        <v>1.1415525114155251E-4</v>
      </c>
      <c r="Y320">
        <v>7.9556472664893237E-5</v>
      </c>
      <c r="Z320" t="s">
        <v>2104</v>
      </c>
      <c r="AA320" t="s">
        <v>25</v>
      </c>
      <c r="AC320" t="s">
        <v>22</v>
      </c>
      <c r="AD320" t="s">
        <v>2104</v>
      </c>
      <c r="AE320">
        <v>1.0886754582193058E-4</v>
      </c>
      <c r="AG320" t="s">
        <v>97</v>
      </c>
      <c r="AH320" t="s">
        <v>2104</v>
      </c>
      <c r="AI320">
        <v>0</v>
      </c>
    </row>
    <row r="321" spans="5:35" x14ac:dyDescent="0.45">
      <c r="E321" t="s">
        <v>1527</v>
      </c>
      <c r="G321" t="s">
        <v>437</v>
      </c>
      <c r="I321" t="s">
        <v>252</v>
      </c>
      <c r="J321" t="s">
        <v>2105</v>
      </c>
      <c r="K321">
        <v>0</v>
      </c>
      <c r="L321" t="s">
        <v>254</v>
      </c>
      <c r="N321" t="s">
        <v>422</v>
      </c>
      <c r="O321" t="s">
        <v>2105</v>
      </c>
      <c r="P321">
        <v>1.1436609203270768E-5</v>
      </c>
      <c r="Q321" t="s">
        <v>254</v>
      </c>
      <c r="S321" t="s">
        <v>423</v>
      </c>
      <c r="T321" t="s">
        <v>2105</v>
      </c>
      <c r="U321">
        <v>1.4540360038946708E-5</v>
      </c>
      <c r="V321" t="s">
        <v>254</v>
      </c>
      <c r="X321">
        <v>1.1415525114155251E-4</v>
      </c>
      <c r="Y321">
        <v>5.6352501470966035E-5</v>
      </c>
      <c r="Z321" t="s">
        <v>2105</v>
      </c>
      <c r="AA321" t="s">
        <v>25</v>
      </c>
      <c r="AC321" t="s">
        <v>22</v>
      </c>
      <c r="AD321" t="s">
        <v>2105</v>
      </c>
      <c r="AE321">
        <v>9.4657688335690542E-5</v>
      </c>
      <c r="AG321" t="s">
        <v>97</v>
      </c>
      <c r="AH321" t="s">
        <v>2105</v>
      </c>
      <c r="AI321">
        <v>0</v>
      </c>
    </row>
    <row r="322" spans="5:35" x14ac:dyDescent="0.45">
      <c r="E322" t="s">
        <v>1528</v>
      </c>
      <c r="G322" t="s">
        <v>437</v>
      </c>
      <c r="I322" t="s">
        <v>252</v>
      </c>
      <c r="J322" t="s">
        <v>2106</v>
      </c>
      <c r="K322">
        <v>0</v>
      </c>
      <c r="L322" t="s">
        <v>254</v>
      </c>
      <c r="N322" t="s">
        <v>422</v>
      </c>
      <c r="O322" t="s">
        <v>2106</v>
      </c>
      <c r="P322">
        <v>9.0820620782172162E-6</v>
      </c>
      <c r="Q322" t="s">
        <v>254</v>
      </c>
      <c r="S322" t="s">
        <v>423</v>
      </c>
      <c r="T322" t="s">
        <v>2106</v>
      </c>
      <c r="U322">
        <v>1.1556586052066491E-5</v>
      </c>
      <c r="V322" t="s">
        <v>254</v>
      </c>
      <c r="X322">
        <v>1.1415525114155251E-4</v>
      </c>
      <c r="Y322">
        <v>2.9833677249334962E-5</v>
      </c>
      <c r="Z322" t="s">
        <v>2106</v>
      </c>
      <c r="AA322" t="s">
        <v>25</v>
      </c>
      <c r="AC322" t="s">
        <v>22</v>
      </c>
      <c r="AD322" t="s">
        <v>2106</v>
      </c>
      <c r="AE322">
        <v>8.5835660563956108E-5</v>
      </c>
      <c r="AG322" t="s">
        <v>97</v>
      </c>
      <c r="AH322" t="s">
        <v>2106</v>
      </c>
      <c r="AI322">
        <v>0</v>
      </c>
    </row>
    <row r="323" spans="5:35" x14ac:dyDescent="0.45">
      <c r="E323" t="s">
        <v>1529</v>
      </c>
      <c r="G323" t="s">
        <v>437</v>
      </c>
      <c r="I323" t="s">
        <v>252</v>
      </c>
      <c r="J323" t="s">
        <v>2107</v>
      </c>
      <c r="K323">
        <v>0</v>
      </c>
      <c r="L323" t="s">
        <v>254</v>
      </c>
      <c r="N323" t="s">
        <v>422</v>
      </c>
      <c r="O323" t="s">
        <v>2107</v>
      </c>
      <c r="P323">
        <v>7.7988729531866018E-6</v>
      </c>
      <c r="Q323" t="s">
        <v>254</v>
      </c>
      <c r="S323" t="s">
        <v>423</v>
      </c>
      <c r="T323" t="s">
        <v>2107</v>
      </c>
      <c r="U323">
        <v>9.4552101282672203E-6</v>
      </c>
      <c r="V323" t="s">
        <v>254</v>
      </c>
      <c r="X323">
        <v>1.1415525114155251E-4</v>
      </c>
      <c r="Y323">
        <v>2.1546544680075254E-5</v>
      </c>
      <c r="Z323" t="s">
        <v>2107</v>
      </c>
      <c r="AA323" t="s">
        <v>25</v>
      </c>
      <c r="AC323" t="s">
        <v>22</v>
      </c>
      <c r="AD323" t="s">
        <v>2107</v>
      </c>
      <c r="AE323">
        <v>8.0133306381066893E-5</v>
      </c>
      <c r="AG323" t="s">
        <v>97</v>
      </c>
      <c r="AH323" t="s">
        <v>2107</v>
      </c>
      <c r="AI323">
        <v>0</v>
      </c>
    </row>
    <row r="324" spans="5:35" x14ac:dyDescent="0.45">
      <c r="E324" t="s">
        <v>1530</v>
      </c>
      <c r="G324" t="s">
        <v>437</v>
      </c>
      <c r="I324" t="s">
        <v>252</v>
      </c>
      <c r="J324" t="s">
        <v>2108</v>
      </c>
      <c r="K324">
        <v>0</v>
      </c>
      <c r="L324" t="s">
        <v>254</v>
      </c>
      <c r="N324" t="s">
        <v>422</v>
      </c>
      <c r="O324" t="s">
        <v>2108</v>
      </c>
      <c r="P324">
        <v>6.133735935406136E-6</v>
      </c>
      <c r="Q324" t="s">
        <v>254</v>
      </c>
      <c r="S324" t="s">
        <v>423</v>
      </c>
      <c r="T324" t="s">
        <v>2108</v>
      </c>
      <c r="U324">
        <v>7.6882258734501587E-6</v>
      </c>
      <c r="V324" t="s">
        <v>254</v>
      </c>
      <c r="X324">
        <v>1.1415525114155251E-4</v>
      </c>
      <c r="Y324">
        <v>1.4916838624667481E-5</v>
      </c>
      <c r="Z324" t="s">
        <v>2108</v>
      </c>
      <c r="AA324" t="s">
        <v>25</v>
      </c>
      <c r="AC324" t="s">
        <v>22</v>
      </c>
      <c r="AD324" t="s">
        <v>2108</v>
      </c>
      <c r="AE324">
        <v>7.901584952998053E-5</v>
      </c>
      <c r="AG324" t="s">
        <v>97</v>
      </c>
      <c r="AH324" t="s">
        <v>2108</v>
      </c>
      <c r="AI324">
        <v>0</v>
      </c>
    </row>
    <row r="325" spans="5:35" x14ac:dyDescent="0.45">
      <c r="E325" t="s">
        <v>1531</v>
      </c>
      <c r="G325" t="s">
        <v>437</v>
      </c>
      <c r="I325" t="s">
        <v>252</v>
      </c>
      <c r="J325" t="s">
        <v>2109</v>
      </c>
      <c r="K325">
        <v>0</v>
      </c>
      <c r="L325" t="s">
        <v>254</v>
      </c>
      <c r="N325" t="s">
        <v>422</v>
      </c>
      <c r="O325" t="s">
        <v>2109</v>
      </c>
      <c r="P325">
        <v>5.5009763945577636E-6</v>
      </c>
      <c r="Q325" t="s">
        <v>254</v>
      </c>
      <c r="S325" t="s">
        <v>423</v>
      </c>
      <c r="T325" t="s">
        <v>2109</v>
      </c>
      <c r="U325">
        <v>6.6998186040782446E-6</v>
      </c>
      <c r="V325" t="s">
        <v>254</v>
      </c>
      <c r="X325">
        <v>1.1415525114155251E-4</v>
      </c>
      <c r="Y325">
        <v>1.6574265138519424E-5</v>
      </c>
      <c r="Z325" t="s">
        <v>2109</v>
      </c>
      <c r="AA325" t="s">
        <v>25</v>
      </c>
      <c r="AC325" t="s">
        <v>22</v>
      </c>
      <c r="AD325" t="s">
        <v>2109</v>
      </c>
      <c r="AE325">
        <v>7.901584952998053E-5</v>
      </c>
      <c r="AG325" t="s">
        <v>97</v>
      </c>
      <c r="AH325" t="s">
        <v>2109</v>
      </c>
      <c r="AI325">
        <v>0</v>
      </c>
    </row>
    <row r="326" spans="5:35" x14ac:dyDescent="0.45">
      <c r="E326" t="s">
        <v>1532</v>
      </c>
      <c r="G326" t="s">
        <v>437</v>
      </c>
      <c r="I326" t="s">
        <v>252</v>
      </c>
      <c r="J326" t="s">
        <v>2110</v>
      </c>
      <c r="K326">
        <v>0</v>
      </c>
      <c r="L326" t="s">
        <v>254</v>
      </c>
      <c r="N326" t="s">
        <v>422</v>
      </c>
      <c r="O326" t="s">
        <v>2110</v>
      </c>
      <c r="P326">
        <v>5.204529712570276E-6</v>
      </c>
      <c r="Q326" t="s">
        <v>254</v>
      </c>
      <c r="S326" t="s">
        <v>423</v>
      </c>
      <c r="T326" t="s">
        <v>2110</v>
      </c>
      <c r="U326">
        <v>6.4395850310266432E-6</v>
      </c>
      <c r="V326" t="s">
        <v>254</v>
      </c>
      <c r="X326">
        <v>1.1415525114155251E-4</v>
      </c>
      <c r="Y326">
        <v>1.4585353321897093E-5</v>
      </c>
      <c r="Z326" t="s">
        <v>2110</v>
      </c>
      <c r="AA326" t="s">
        <v>25</v>
      </c>
      <c r="AC326" t="s">
        <v>22</v>
      </c>
      <c r="AD326" t="s">
        <v>2110</v>
      </c>
      <c r="AE326">
        <v>8.0048921767598126E-5</v>
      </c>
      <c r="AG326" t="s">
        <v>97</v>
      </c>
      <c r="AH326" t="s">
        <v>2110</v>
      </c>
      <c r="AI326">
        <v>0</v>
      </c>
    </row>
    <row r="327" spans="5:35" x14ac:dyDescent="0.45">
      <c r="E327" t="s">
        <v>1533</v>
      </c>
      <c r="G327" t="s">
        <v>437</v>
      </c>
      <c r="I327" t="s">
        <v>252</v>
      </c>
      <c r="J327" t="s">
        <v>2111</v>
      </c>
      <c r="K327">
        <v>0</v>
      </c>
      <c r="L327" t="s">
        <v>254</v>
      </c>
      <c r="N327" t="s">
        <v>422</v>
      </c>
      <c r="O327" t="s">
        <v>2111</v>
      </c>
      <c r="P327">
        <v>5.6979969579611403E-6</v>
      </c>
      <c r="Q327" t="s">
        <v>254</v>
      </c>
      <c r="S327" t="s">
        <v>423</v>
      </c>
      <c r="T327" t="s">
        <v>2111</v>
      </c>
      <c r="U327">
        <v>6.2274982923490295E-6</v>
      </c>
      <c r="V327" t="s">
        <v>254</v>
      </c>
      <c r="X327">
        <v>1.1415525114155251E-4</v>
      </c>
      <c r="Y327">
        <v>2.1215059377304864E-5</v>
      </c>
      <c r="Z327" t="s">
        <v>2111</v>
      </c>
      <c r="AA327" t="s">
        <v>25</v>
      </c>
      <c r="AC327" t="s">
        <v>22</v>
      </c>
      <c r="AD327" t="s">
        <v>2111</v>
      </c>
      <c r="AE327">
        <v>8.6653935603653198E-5</v>
      </c>
      <c r="AG327" t="s">
        <v>97</v>
      </c>
      <c r="AH327" t="s">
        <v>2111</v>
      </c>
      <c r="AI327">
        <v>0</v>
      </c>
    </row>
    <row r="328" spans="5:35" x14ac:dyDescent="0.45">
      <c r="E328" t="s">
        <v>1534</v>
      </c>
      <c r="G328" t="s">
        <v>437</v>
      </c>
      <c r="I328" t="s">
        <v>252</v>
      </c>
      <c r="J328" t="s">
        <v>2112</v>
      </c>
      <c r="K328">
        <v>0</v>
      </c>
      <c r="L328" t="s">
        <v>254</v>
      </c>
      <c r="N328" t="s">
        <v>422</v>
      </c>
      <c r="O328" t="s">
        <v>2112</v>
      </c>
      <c r="P328">
        <v>6.143305292490462E-6</v>
      </c>
      <c r="Q328" t="s">
        <v>254</v>
      </c>
      <c r="S328" t="s">
        <v>423</v>
      </c>
      <c r="T328" t="s">
        <v>2112</v>
      </c>
      <c r="U328">
        <v>5.7463803203439855E-6</v>
      </c>
      <c r="V328" t="s">
        <v>254</v>
      </c>
      <c r="X328">
        <v>1.1415525114155251E-4</v>
      </c>
      <c r="Y328">
        <v>5.7678442682047593E-5</v>
      </c>
      <c r="Z328" t="s">
        <v>2112</v>
      </c>
      <c r="AA328" t="s">
        <v>25</v>
      </c>
      <c r="AC328" t="s">
        <v>22</v>
      </c>
      <c r="AD328" t="s">
        <v>2112</v>
      </c>
      <c r="AE328">
        <v>1.0224974643838024E-4</v>
      </c>
      <c r="AG328" t="s">
        <v>97</v>
      </c>
      <c r="AH328" t="s">
        <v>2112</v>
      </c>
      <c r="AI328">
        <v>0</v>
      </c>
    </row>
    <row r="329" spans="5:35" x14ac:dyDescent="0.45">
      <c r="E329" t="s">
        <v>1535</v>
      </c>
      <c r="G329" t="s">
        <v>437</v>
      </c>
      <c r="I329" t="s">
        <v>252</v>
      </c>
      <c r="J329" t="s">
        <v>2113</v>
      </c>
      <c r="K329">
        <v>9.6980899820552984E-7</v>
      </c>
      <c r="L329" t="s">
        <v>254</v>
      </c>
      <c r="N329" t="s">
        <v>422</v>
      </c>
      <c r="O329" t="s">
        <v>2113</v>
      </c>
      <c r="P329">
        <v>6.9676725997364693E-6</v>
      </c>
      <c r="Q329" t="s">
        <v>254</v>
      </c>
      <c r="S329" t="s">
        <v>423</v>
      </c>
      <c r="T329" t="s">
        <v>2113</v>
      </c>
      <c r="U329">
        <v>5.0986106688587846E-6</v>
      </c>
      <c r="V329" t="s">
        <v>254</v>
      </c>
      <c r="X329">
        <v>1.1415525114155251E-4</v>
      </c>
      <c r="Y329">
        <v>1.6905750441289813E-4</v>
      </c>
      <c r="Z329" t="s">
        <v>2113</v>
      </c>
      <c r="AA329" t="s">
        <v>25</v>
      </c>
      <c r="AC329" t="s">
        <v>22</v>
      </c>
      <c r="AD329" t="s">
        <v>2113</v>
      </c>
      <c r="AE329">
        <v>1.1409939185699398E-4</v>
      </c>
      <c r="AG329" t="s">
        <v>97</v>
      </c>
      <c r="AH329" t="s">
        <v>2113</v>
      </c>
      <c r="AI329">
        <v>0</v>
      </c>
    </row>
    <row r="330" spans="5:35" x14ac:dyDescent="0.45">
      <c r="E330" t="s">
        <v>1536</v>
      </c>
      <c r="G330" t="s">
        <v>437</v>
      </c>
      <c r="I330" t="s">
        <v>252</v>
      </c>
      <c r="J330" t="s">
        <v>2114</v>
      </c>
      <c r="K330">
        <v>1.128515048199E-4</v>
      </c>
      <c r="L330" t="s">
        <v>254</v>
      </c>
      <c r="N330" t="s">
        <v>422</v>
      </c>
      <c r="O330" t="s">
        <v>2114</v>
      </c>
      <c r="P330">
        <v>7.9659939191059851E-6</v>
      </c>
      <c r="Q330" t="s">
        <v>254</v>
      </c>
      <c r="S330" t="s">
        <v>423</v>
      </c>
      <c r="T330" t="s">
        <v>2114</v>
      </c>
      <c r="U330">
        <v>4.7024113982935758E-6</v>
      </c>
      <c r="V330" t="s">
        <v>254</v>
      </c>
      <c r="X330">
        <v>1.1415525114155251E-4</v>
      </c>
      <c r="Y330">
        <v>1.9060404909297337E-4</v>
      </c>
      <c r="Z330" t="s">
        <v>2114</v>
      </c>
      <c r="AA330" t="s">
        <v>25</v>
      </c>
      <c r="AC330" t="s">
        <v>22</v>
      </c>
      <c r="AD330" t="s">
        <v>2114</v>
      </c>
      <c r="AE330">
        <v>1.2277055016828421E-4</v>
      </c>
      <c r="AG330" t="s">
        <v>97</v>
      </c>
      <c r="AH330" t="s">
        <v>2114</v>
      </c>
      <c r="AI330">
        <v>0</v>
      </c>
    </row>
    <row r="331" spans="5:35" x14ac:dyDescent="0.45">
      <c r="E331" t="s">
        <v>1537</v>
      </c>
      <c r="G331" t="s">
        <v>437</v>
      </c>
      <c r="I331" t="s">
        <v>252</v>
      </c>
      <c r="J331" t="s">
        <v>2115</v>
      </c>
      <c r="K331">
        <v>1.9654832156739999E-4</v>
      </c>
      <c r="L331" t="s">
        <v>254</v>
      </c>
      <c r="N331" t="s">
        <v>422</v>
      </c>
      <c r="O331" t="s">
        <v>2115</v>
      </c>
      <c r="P331">
        <v>7.9730558642827294E-6</v>
      </c>
      <c r="Q331" t="s">
        <v>254</v>
      </c>
      <c r="S331" t="s">
        <v>423</v>
      </c>
      <c r="T331" t="s">
        <v>2115</v>
      </c>
      <c r="U331">
        <v>4.9597455903637021E-6</v>
      </c>
      <c r="V331" t="s">
        <v>254</v>
      </c>
      <c r="X331">
        <v>1.1415525114155251E-4</v>
      </c>
      <c r="Y331">
        <v>1.4585353321897094E-4</v>
      </c>
      <c r="Z331" t="s">
        <v>2115</v>
      </c>
      <c r="AA331" t="s">
        <v>25</v>
      </c>
      <c r="AC331" t="s">
        <v>22</v>
      </c>
      <c r="AD331" t="s">
        <v>2115</v>
      </c>
      <c r="AE331">
        <v>1.2746028898954825E-4</v>
      </c>
      <c r="AG331" t="s">
        <v>97</v>
      </c>
      <c r="AH331" t="s">
        <v>2115</v>
      </c>
      <c r="AI331">
        <v>0</v>
      </c>
    </row>
    <row r="332" spans="5:35" x14ac:dyDescent="0.45">
      <c r="E332" t="s">
        <v>1538</v>
      </c>
      <c r="G332" t="s">
        <v>437</v>
      </c>
      <c r="I332" t="s">
        <v>252</v>
      </c>
      <c r="J332" t="s">
        <v>2116</v>
      </c>
      <c r="K332">
        <v>2.7249706554510002E-4</v>
      </c>
      <c r="L332" t="s">
        <v>254</v>
      </c>
      <c r="N332" t="s">
        <v>422</v>
      </c>
      <c r="O332" t="s">
        <v>2116</v>
      </c>
      <c r="P332">
        <v>4.9295853229951588E-6</v>
      </c>
      <c r="Q332" t="s">
        <v>254</v>
      </c>
      <c r="S332" t="s">
        <v>423</v>
      </c>
      <c r="T332" t="s">
        <v>2116</v>
      </c>
      <c r="U332">
        <v>8.0252328807766679E-6</v>
      </c>
      <c r="V332" t="s">
        <v>254</v>
      </c>
      <c r="X332">
        <v>1.1415525114155251E-4</v>
      </c>
      <c r="Y332">
        <v>1.4452759200788939E-4</v>
      </c>
      <c r="Z332" t="s">
        <v>2116</v>
      </c>
      <c r="AA332" t="s">
        <v>25</v>
      </c>
      <c r="AC332" t="s">
        <v>22</v>
      </c>
      <c r="AD332" t="s">
        <v>2116</v>
      </c>
      <c r="AE332">
        <v>1.2730174820060693E-4</v>
      </c>
      <c r="AG332" t="s">
        <v>97</v>
      </c>
      <c r="AH332" t="s">
        <v>2116</v>
      </c>
      <c r="AI332">
        <v>0</v>
      </c>
    </row>
    <row r="333" spans="5:35" x14ac:dyDescent="0.45">
      <c r="E333" t="s">
        <v>1539</v>
      </c>
      <c r="G333" t="s">
        <v>437</v>
      </c>
      <c r="I333" t="s">
        <v>252</v>
      </c>
      <c r="J333" t="s">
        <v>2117</v>
      </c>
      <c r="K333">
        <v>3.1690920896569998E-4</v>
      </c>
      <c r="L333" t="s">
        <v>254</v>
      </c>
      <c r="N333" t="s">
        <v>422</v>
      </c>
      <c r="O333" t="s">
        <v>2117</v>
      </c>
      <c r="P333">
        <v>1.28176198922374E-6</v>
      </c>
      <c r="Q333" t="s">
        <v>254</v>
      </c>
      <c r="S333" t="s">
        <v>423</v>
      </c>
      <c r="T333" t="s">
        <v>2117</v>
      </c>
      <c r="U333">
        <v>7.1794046118942272E-6</v>
      </c>
      <c r="V333" t="s">
        <v>254</v>
      </c>
      <c r="X333">
        <v>1.1415525114155251E-4</v>
      </c>
      <c r="Y333">
        <v>1.408812536774151E-4</v>
      </c>
      <c r="Z333" t="s">
        <v>2117</v>
      </c>
      <c r="AA333" t="s">
        <v>25</v>
      </c>
      <c r="AC333" t="s">
        <v>22</v>
      </c>
      <c r="AD333" t="s">
        <v>2117</v>
      </c>
      <c r="AE333">
        <v>1.2741426101856531E-4</v>
      </c>
      <c r="AG333" t="s">
        <v>97</v>
      </c>
      <c r="AH333" t="s">
        <v>2117</v>
      </c>
      <c r="AI333">
        <v>0</v>
      </c>
    </row>
    <row r="334" spans="5:35" x14ac:dyDescent="0.45">
      <c r="E334" t="s">
        <v>1540</v>
      </c>
      <c r="G334" t="s">
        <v>437</v>
      </c>
      <c r="I334" t="s">
        <v>252</v>
      </c>
      <c r="J334" t="s">
        <v>2118</v>
      </c>
      <c r="K334">
        <v>3.3291893012600001E-4</v>
      </c>
      <c r="L334" t="s">
        <v>254</v>
      </c>
      <c r="N334" t="s">
        <v>422</v>
      </c>
      <c r="O334" t="s">
        <v>2118</v>
      </c>
      <c r="P334">
        <v>2.0434868413139346E-6</v>
      </c>
      <c r="Q334" t="s">
        <v>254</v>
      </c>
      <c r="S334" t="s">
        <v>423</v>
      </c>
      <c r="T334" t="s">
        <v>2118</v>
      </c>
      <c r="U334">
        <v>6.004328433880243E-6</v>
      </c>
      <c r="V334" t="s">
        <v>254</v>
      </c>
      <c r="X334">
        <v>1.1415525114155251E-4</v>
      </c>
      <c r="Y334">
        <v>1.4054976837464471E-4</v>
      </c>
      <c r="Z334" t="s">
        <v>2118</v>
      </c>
      <c r="AA334" t="s">
        <v>25</v>
      </c>
      <c r="AC334" t="s">
        <v>22</v>
      </c>
      <c r="AD334" t="s">
        <v>2118</v>
      </c>
      <c r="AE334">
        <v>1.2730174820060696E-4</v>
      </c>
      <c r="AG334" t="s">
        <v>97</v>
      </c>
      <c r="AH334" t="s">
        <v>2118</v>
      </c>
      <c r="AI334">
        <v>0</v>
      </c>
    </row>
    <row r="335" spans="5:35" x14ac:dyDescent="0.45">
      <c r="E335" t="s">
        <v>1541</v>
      </c>
      <c r="G335" t="s">
        <v>437</v>
      </c>
      <c r="I335" t="s">
        <v>252</v>
      </c>
      <c r="J335" t="s">
        <v>2119</v>
      </c>
      <c r="K335">
        <v>3.1316942691530001E-4</v>
      </c>
      <c r="L335" t="s">
        <v>254</v>
      </c>
      <c r="N335" t="s">
        <v>422</v>
      </c>
      <c r="O335" t="s">
        <v>2119</v>
      </c>
      <c r="P335">
        <v>2.5623332144238328E-6</v>
      </c>
      <c r="Q335" t="s">
        <v>254</v>
      </c>
      <c r="S335" t="s">
        <v>423</v>
      </c>
      <c r="T335" t="s">
        <v>2119</v>
      </c>
      <c r="U335">
        <v>5.7764917773054467E-6</v>
      </c>
      <c r="V335" t="s">
        <v>254</v>
      </c>
      <c r="X335">
        <v>1.1415525114155251E-4</v>
      </c>
      <c r="Y335">
        <v>1.4253868019126702E-4</v>
      </c>
      <c r="Z335" t="s">
        <v>2119</v>
      </c>
      <c r="AA335" t="s">
        <v>25</v>
      </c>
      <c r="AC335" t="s">
        <v>22</v>
      </c>
      <c r="AD335" t="s">
        <v>2119</v>
      </c>
      <c r="AE335">
        <v>1.2794869690386745E-4</v>
      </c>
      <c r="AG335" t="s">
        <v>97</v>
      </c>
      <c r="AH335" t="s">
        <v>2119</v>
      </c>
      <c r="AI335">
        <v>0</v>
      </c>
    </row>
    <row r="336" spans="5:35" x14ac:dyDescent="0.45">
      <c r="E336" t="s">
        <v>1542</v>
      </c>
      <c r="G336" t="s">
        <v>437</v>
      </c>
      <c r="I336" t="s">
        <v>252</v>
      </c>
      <c r="J336" t="s">
        <v>2120</v>
      </c>
      <c r="K336">
        <v>3.2376914224840003E-4</v>
      </c>
      <c r="L336" t="s">
        <v>254</v>
      </c>
      <c r="N336" t="s">
        <v>422</v>
      </c>
      <c r="O336" t="s">
        <v>2120</v>
      </c>
      <c r="P336">
        <v>3.4515491240956103E-6</v>
      </c>
      <c r="Q336" t="s">
        <v>254</v>
      </c>
      <c r="S336" t="s">
        <v>423</v>
      </c>
      <c r="T336" t="s">
        <v>2120</v>
      </c>
      <c r="U336">
        <v>6.0740885701340953E-6</v>
      </c>
      <c r="V336" t="s">
        <v>254</v>
      </c>
      <c r="X336">
        <v>1.1415525114155251E-4</v>
      </c>
      <c r="Y336">
        <v>1.4883690094390442E-4</v>
      </c>
      <c r="Z336" t="s">
        <v>2120</v>
      </c>
      <c r="AA336" t="s">
        <v>25</v>
      </c>
      <c r="AC336" t="s">
        <v>22</v>
      </c>
      <c r="AD336" t="s">
        <v>2120</v>
      </c>
      <c r="AE336">
        <v>1.2770065728245927E-4</v>
      </c>
      <c r="AG336" t="s">
        <v>97</v>
      </c>
      <c r="AH336" t="s">
        <v>2120</v>
      </c>
      <c r="AI336">
        <v>0</v>
      </c>
    </row>
    <row r="337" spans="5:35" x14ac:dyDescent="0.45">
      <c r="E337" t="s">
        <v>1543</v>
      </c>
      <c r="G337" t="s">
        <v>437</v>
      </c>
      <c r="I337" t="s">
        <v>252</v>
      </c>
      <c r="J337" t="s">
        <v>2121</v>
      </c>
      <c r="K337">
        <v>3.42575580119E-4</v>
      </c>
      <c r="L337" t="s">
        <v>254</v>
      </c>
      <c r="N337" t="s">
        <v>422</v>
      </c>
      <c r="O337" t="s">
        <v>2121</v>
      </c>
      <c r="P337">
        <v>4.7241772696501588E-6</v>
      </c>
      <c r="Q337" t="s">
        <v>254</v>
      </c>
      <c r="S337" t="s">
        <v>423</v>
      </c>
      <c r="T337" t="s">
        <v>2121</v>
      </c>
      <c r="U337">
        <v>8.1484646363902713E-6</v>
      </c>
      <c r="V337" t="s">
        <v>254</v>
      </c>
      <c r="X337">
        <v>1.1415525114155251E-4</v>
      </c>
      <c r="Y337">
        <v>1.5049432745775637E-4</v>
      </c>
      <c r="Z337" t="s">
        <v>2121</v>
      </c>
      <c r="AA337" t="s">
        <v>25</v>
      </c>
      <c r="AC337" t="s">
        <v>22</v>
      </c>
      <c r="AD337" t="s">
        <v>2121</v>
      </c>
      <c r="AE337">
        <v>1.2624310486799881E-4</v>
      </c>
      <c r="AG337" t="s">
        <v>97</v>
      </c>
      <c r="AH337" t="s">
        <v>2121</v>
      </c>
      <c r="AI337">
        <v>0</v>
      </c>
    </row>
    <row r="338" spans="5:35" x14ac:dyDescent="0.45">
      <c r="E338" t="s">
        <v>1544</v>
      </c>
      <c r="G338" t="s">
        <v>437</v>
      </c>
      <c r="I338" t="s">
        <v>252</v>
      </c>
      <c r="J338" t="s">
        <v>2122</v>
      </c>
      <c r="K338">
        <v>3.3559014288069998E-4</v>
      </c>
      <c r="L338" t="s">
        <v>254</v>
      </c>
      <c r="N338" t="s">
        <v>422</v>
      </c>
      <c r="O338" t="s">
        <v>2122</v>
      </c>
      <c r="P338">
        <v>5.6755518682629815E-6</v>
      </c>
      <c r="Q338" t="s">
        <v>254</v>
      </c>
      <c r="S338" t="s">
        <v>423</v>
      </c>
      <c r="T338" t="s">
        <v>2122</v>
      </c>
      <c r="U338">
        <v>1.0501969906108424E-5</v>
      </c>
      <c r="V338" t="s">
        <v>254</v>
      </c>
      <c r="X338">
        <v>1.1415525114155251E-4</v>
      </c>
      <c r="Y338">
        <v>1.7237235744060203E-4</v>
      </c>
      <c r="Z338" t="s">
        <v>2122</v>
      </c>
      <c r="AA338" t="s">
        <v>25</v>
      </c>
      <c r="AC338" t="s">
        <v>22</v>
      </c>
      <c r="AD338" t="s">
        <v>2122</v>
      </c>
      <c r="AE338">
        <v>1.2624310486799881E-4</v>
      </c>
      <c r="AG338" t="s">
        <v>97</v>
      </c>
      <c r="AH338" t="s">
        <v>2122</v>
      </c>
      <c r="AI338">
        <v>0</v>
      </c>
    </row>
    <row r="339" spans="5:35" x14ac:dyDescent="0.45">
      <c r="E339" t="s">
        <v>1545</v>
      </c>
      <c r="G339" t="s">
        <v>437</v>
      </c>
      <c r="I339" t="s">
        <v>252</v>
      </c>
      <c r="J339" t="s">
        <v>2123</v>
      </c>
      <c r="K339">
        <v>2.9461233865229997E-4</v>
      </c>
      <c r="L339" t="s">
        <v>254</v>
      </c>
      <c r="N339" t="s">
        <v>422</v>
      </c>
      <c r="O339" t="s">
        <v>2123</v>
      </c>
      <c r="P339">
        <v>4.9377184503836712E-6</v>
      </c>
      <c r="Q339" t="s">
        <v>254</v>
      </c>
      <c r="S339" t="s">
        <v>423</v>
      </c>
      <c r="T339" t="s">
        <v>2123</v>
      </c>
      <c r="U339">
        <v>9.6860627060283717E-6</v>
      </c>
      <c r="V339" t="s">
        <v>254</v>
      </c>
      <c r="X339">
        <v>1.1415525114155251E-4</v>
      </c>
      <c r="Y339">
        <v>2.2209515285616027E-4</v>
      </c>
      <c r="Z339" t="s">
        <v>2123</v>
      </c>
      <c r="AA339" t="s">
        <v>25</v>
      </c>
      <c r="AC339" t="s">
        <v>22</v>
      </c>
      <c r="AD339" t="s">
        <v>2123</v>
      </c>
      <c r="AE339">
        <v>1.2577515382967204E-4</v>
      </c>
      <c r="AG339" t="s">
        <v>97</v>
      </c>
      <c r="AH339" t="s">
        <v>2123</v>
      </c>
      <c r="AI339">
        <v>0</v>
      </c>
    </row>
    <row r="340" spans="5:35" x14ac:dyDescent="0.45">
      <c r="E340" t="s">
        <v>1546</v>
      </c>
      <c r="G340" t="s">
        <v>437</v>
      </c>
      <c r="I340" t="s">
        <v>252</v>
      </c>
      <c r="J340" t="s">
        <v>2124</v>
      </c>
      <c r="K340">
        <v>2.0385980567559999E-4</v>
      </c>
      <c r="L340" t="s">
        <v>254</v>
      </c>
      <c r="N340" t="s">
        <v>422</v>
      </c>
      <c r="O340" t="s">
        <v>2124</v>
      </c>
      <c r="P340">
        <v>6.3207927507327554E-6</v>
      </c>
      <c r="Q340" t="s">
        <v>254</v>
      </c>
      <c r="S340" t="s">
        <v>423</v>
      </c>
      <c r="T340" t="s">
        <v>2124</v>
      </c>
      <c r="U340">
        <v>9.2319114265843445E-6</v>
      </c>
      <c r="V340" t="s">
        <v>254</v>
      </c>
      <c r="X340">
        <v>1.1415525114155251E-4</v>
      </c>
      <c r="Y340">
        <v>2.2209515285616027E-4</v>
      </c>
      <c r="Z340" t="s">
        <v>2124</v>
      </c>
      <c r="AA340" t="s">
        <v>25</v>
      </c>
      <c r="AC340" t="s">
        <v>22</v>
      </c>
      <c r="AD340" t="s">
        <v>2124</v>
      </c>
      <c r="AE340">
        <v>1.2502080652745126E-4</v>
      </c>
      <c r="AG340" t="s">
        <v>97</v>
      </c>
      <c r="AH340" t="s">
        <v>2124</v>
      </c>
      <c r="AI340">
        <v>0</v>
      </c>
    </row>
    <row r="341" spans="5:35" x14ac:dyDescent="0.45">
      <c r="E341" t="s">
        <v>1547</v>
      </c>
      <c r="G341" t="s">
        <v>437</v>
      </c>
      <c r="I341" t="s">
        <v>252</v>
      </c>
      <c r="J341" t="s">
        <v>2125</v>
      </c>
      <c r="K341">
        <v>5.5080628930487843E-5</v>
      </c>
      <c r="L341" t="s">
        <v>254</v>
      </c>
      <c r="N341" t="s">
        <v>422</v>
      </c>
      <c r="O341" t="s">
        <v>2125</v>
      </c>
      <c r="P341">
        <v>9.5480648024768687E-6</v>
      </c>
      <c r="Q341" t="s">
        <v>254</v>
      </c>
      <c r="S341" t="s">
        <v>423</v>
      </c>
      <c r="T341" t="s">
        <v>2125</v>
      </c>
      <c r="U341">
        <v>9.7357882601549259E-6</v>
      </c>
      <c r="V341" t="s">
        <v>254</v>
      </c>
      <c r="X341">
        <v>1.1415525114155251E-4</v>
      </c>
      <c r="Y341">
        <v>1.7237235744060203E-4</v>
      </c>
      <c r="Z341" t="s">
        <v>2125</v>
      </c>
      <c r="AA341" t="s">
        <v>25</v>
      </c>
      <c r="AC341" t="s">
        <v>22</v>
      </c>
      <c r="AD341" t="s">
        <v>2125</v>
      </c>
      <c r="AE341">
        <v>1.2395960608534406E-4</v>
      </c>
      <c r="AG341" t="s">
        <v>97</v>
      </c>
      <c r="AH341" t="s">
        <v>2125</v>
      </c>
      <c r="AI341">
        <v>0</v>
      </c>
    </row>
    <row r="342" spans="5:35" x14ac:dyDescent="0.45">
      <c r="E342" t="s">
        <v>1548</v>
      </c>
      <c r="G342" t="s">
        <v>437</v>
      </c>
      <c r="I342" t="s">
        <v>252</v>
      </c>
      <c r="J342" t="s">
        <v>2126</v>
      </c>
      <c r="K342">
        <v>0</v>
      </c>
      <c r="L342" t="s">
        <v>254</v>
      </c>
      <c r="N342" t="s">
        <v>422</v>
      </c>
      <c r="O342" t="s">
        <v>2126</v>
      </c>
      <c r="P342">
        <v>1.0092610492353384E-5</v>
      </c>
      <c r="Q342" t="s">
        <v>254</v>
      </c>
      <c r="S342" t="s">
        <v>423</v>
      </c>
      <c r="T342" t="s">
        <v>2126</v>
      </c>
      <c r="U342">
        <v>1.0730217062800386E-5</v>
      </c>
      <c r="V342" t="s">
        <v>254</v>
      </c>
      <c r="X342">
        <v>1.1415525114155251E-4</v>
      </c>
      <c r="Y342">
        <v>1.5579809230208258E-4</v>
      </c>
      <c r="Z342" t="s">
        <v>2126</v>
      </c>
      <c r="AA342" t="s">
        <v>25</v>
      </c>
      <c r="AC342" t="s">
        <v>22</v>
      </c>
      <c r="AD342" t="s">
        <v>2126</v>
      </c>
      <c r="AE342">
        <v>1.2203665974205589E-4</v>
      </c>
      <c r="AG342" t="s">
        <v>97</v>
      </c>
      <c r="AH342" t="s">
        <v>2126</v>
      </c>
      <c r="AI342">
        <v>0</v>
      </c>
    </row>
    <row r="343" spans="5:35" x14ac:dyDescent="0.45">
      <c r="E343" t="s">
        <v>1549</v>
      </c>
      <c r="G343" t="s">
        <v>437</v>
      </c>
      <c r="I343" t="s">
        <v>252</v>
      </c>
      <c r="J343" t="s">
        <v>2127</v>
      </c>
      <c r="K343">
        <v>0</v>
      </c>
      <c r="L343" t="s">
        <v>254</v>
      </c>
      <c r="N343" t="s">
        <v>422</v>
      </c>
      <c r="O343" t="s">
        <v>2127</v>
      </c>
      <c r="P343">
        <v>8.0735082390544852E-6</v>
      </c>
      <c r="Q343" t="s">
        <v>254</v>
      </c>
      <c r="S343" t="s">
        <v>423</v>
      </c>
      <c r="T343" t="s">
        <v>2127</v>
      </c>
      <c r="U343">
        <v>1.065554759704089E-5</v>
      </c>
      <c r="V343" t="s">
        <v>254</v>
      </c>
      <c r="X343">
        <v>1.1415525114155251E-4</v>
      </c>
      <c r="Y343">
        <v>1.093901499142282E-4</v>
      </c>
      <c r="Z343" t="s">
        <v>2127</v>
      </c>
      <c r="AA343" t="s">
        <v>25</v>
      </c>
      <c r="AC343" t="s">
        <v>22</v>
      </c>
      <c r="AD343" t="s">
        <v>2127</v>
      </c>
      <c r="AE343">
        <v>1.160964943757547E-4</v>
      </c>
      <c r="AG343" t="s">
        <v>97</v>
      </c>
      <c r="AH343" t="s">
        <v>2127</v>
      </c>
      <c r="AI343">
        <v>0</v>
      </c>
    </row>
    <row r="344" spans="5:35" x14ac:dyDescent="0.45">
      <c r="E344" t="s">
        <v>1550</v>
      </c>
      <c r="G344" t="s">
        <v>437</v>
      </c>
      <c r="I344" t="s">
        <v>252</v>
      </c>
      <c r="J344" t="s">
        <v>2128</v>
      </c>
      <c r="K344">
        <v>0</v>
      </c>
      <c r="L344" t="s">
        <v>254</v>
      </c>
      <c r="N344" t="s">
        <v>422</v>
      </c>
      <c r="O344" t="s">
        <v>2128</v>
      </c>
      <c r="P344">
        <v>5.8722873825447073E-6</v>
      </c>
      <c r="Q344" t="s">
        <v>254</v>
      </c>
      <c r="S344" t="s">
        <v>423</v>
      </c>
      <c r="T344" t="s">
        <v>2128</v>
      </c>
      <c r="U344">
        <v>8.7105351640318873E-6</v>
      </c>
      <c r="V344" t="s">
        <v>254</v>
      </c>
      <c r="X344">
        <v>1.1415525114155251E-4</v>
      </c>
      <c r="Y344">
        <v>7.9556472664893237E-5</v>
      </c>
      <c r="Z344" t="s">
        <v>2128</v>
      </c>
      <c r="AA344" t="s">
        <v>25</v>
      </c>
      <c r="AC344" t="s">
        <v>22</v>
      </c>
      <c r="AD344" t="s">
        <v>2128</v>
      </c>
      <c r="AE344">
        <v>1.0955540827717597E-4</v>
      </c>
      <c r="AG344" t="s">
        <v>97</v>
      </c>
      <c r="AH344" t="s">
        <v>2128</v>
      </c>
      <c r="AI344">
        <v>0</v>
      </c>
    </row>
    <row r="345" spans="5:35" x14ac:dyDescent="0.45">
      <c r="E345" t="s">
        <v>1551</v>
      </c>
      <c r="G345" t="s">
        <v>437</v>
      </c>
      <c r="I345" t="s">
        <v>252</v>
      </c>
      <c r="J345" t="s">
        <v>2129</v>
      </c>
      <c r="K345">
        <v>0</v>
      </c>
      <c r="L345" t="s">
        <v>254</v>
      </c>
      <c r="N345" t="s">
        <v>422</v>
      </c>
      <c r="O345" t="s">
        <v>2129</v>
      </c>
      <c r="P345">
        <v>1.0940157459685727E-5</v>
      </c>
      <c r="Q345" t="s">
        <v>254</v>
      </c>
      <c r="S345" t="s">
        <v>423</v>
      </c>
      <c r="T345" t="s">
        <v>2129</v>
      </c>
      <c r="U345">
        <v>8.4033871436179016E-6</v>
      </c>
      <c r="V345" t="s">
        <v>254</v>
      </c>
      <c r="X345">
        <v>1.1415525114155251E-4</v>
      </c>
      <c r="Y345">
        <v>5.6352501470966035E-5</v>
      </c>
      <c r="Z345" t="s">
        <v>2129</v>
      </c>
      <c r="AA345" t="s">
        <v>25</v>
      </c>
      <c r="AC345" t="s">
        <v>22</v>
      </c>
      <c r="AD345" t="s">
        <v>2129</v>
      </c>
      <c r="AE345">
        <v>9.6181725597126389E-5</v>
      </c>
      <c r="AG345" t="s">
        <v>97</v>
      </c>
      <c r="AH345" t="s">
        <v>2129</v>
      </c>
      <c r="AI345">
        <v>0</v>
      </c>
    </row>
    <row r="346" spans="5:35" x14ac:dyDescent="0.45">
      <c r="E346" t="s">
        <v>1552</v>
      </c>
      <c r="G346" t="s">
        <v>437</v>
      </c>
      <c r="I346" t="s">
        <v>252</v>
      </c>
      <c r="J346" t="s">
        <v>2130</v>
      </c>
      <c r="K346">
        <v>0</v>
      </c>
      <c r="L346" t="s">
        <v>254</v>
      </c>
      <c r="N346" t="s">
        <v>422</v>
      </c>
      <c r="O346" t="s">
        <v>2130</v>
      </c>
      <c r="P346">
        <v>7.2415071841464544E-6</v>
      </c>
      <c r="Q346" t="s">
        <v>254</v>
      </c>
      <c r="S346" t="s">
        <v>423</v>
      </c>
      <c r="T346" t="s">
        <v>2130</v>
      </c>
      <c r="U346">
        <v>7.4851182299046766E-6</v>
      </c>
      <c r="V346" t="s">
        <v>254</v>
      </c>
      <c r="X346">
        <v>1.1415525114155251E-4</v>
      </c>
      <c r="Y346">
        <v>2.9833677249334962E-5</v>
      </c>
      <c r="Z346" t="s">
        <v>2130</v>
      </c>
      <c r="AA346" t="s">
        <v>25</v>
      </c>
      <c r="AC346" t="s">
        <v>22</v>
      </c>
      <c r="AD346" t="s">
        <v>2130</v>
      </c>
      <c r="AE346">
        <v>8.6835490378086016E-5</v>
      </c>
      <c r="AG346" t="s">
        <v>97</v>
      </c>
      <c r="AH346" t="s">
        <v>2130</v>
      </c>
      <c r="AI346">
        <v>0</v>
      </c>
    </row>
    <row r="347" spans="5:35" x14ac:dyDescent="0.45">
      <c r="E347" t="s">
        <v>903</v>
      </c>
      <c r="G347" t="s">
        <v>437</v>
      </c>
      <c r="I347" t="s">
        <v>252</v>
      </c>
      <c r="J347" t="s">
        <v>2131</v>
      </c>
      <c r="K347">
        <v>0</v>
      </c>
      <c r="L347" t="s">
        <v>254</v>
      </c>
      <c r="N347" t="s">
        <v>422</v>
      </c>
      <c r="O347" t="s">
        <v>2131</v>
      </c>
      <c r="P347">
        <v>6.5465975254280781E-6</v>
      </c>
      <c r="Q347" t="s">
        <v>254</v>
      </c>
      <c r="S347" t="s">
        <v>423</v>
      </c>
      <c r="T347" t="s">
        <v>2131</v>
      </c>
      <c r="U347">
        <v>6.3973164948473426E-6</v>
      </c>
      <c r="V347" t="s">
        <v>254</v>
      </c>
      <c r="X347">
        <v>1.1415525114155251E-4</v>
      </c>
      <c r="Y347">
        <v>2.1546544680075254E-5</v>
      </c>
      <c r="Z347" t="s">
        <v>2131</v>
      </c>
      <c r="AA347" t="s">
        <v>25</v>
      </c>
      <c r="AC347" t="s">
        <v>22</v>
      </c>
      <c r="AD347" t="s">
        <v>2131</v>
      </c>
      <c r="AE347">
        <v>8.0481073272938177E-5</v>
      </c>
      <c r="AG347" t="s">
        <v>97</v>
      </c>
      <c r="AH347" t="s">
        <v>2131</v>
      </c>
      <c r="AI347">
        <v>0</v>
      </c>
    </row>
    <row r="348" spans="5:35" x14ac:dyDescent="0.45">
      <c r="E348" t="s">
        <v>904</v>
      </c>
      <c r="G348" t="s">
        <v>437</v>
      </c>
      <c r="I348" t="s">
        <v>252</v>
      </c>
      <c r="J348" t="s">
        <v>2132</v>
      </c>
      <c r="K348">
        <v>0</v>
      </c>
      <c r="L348" t="s">
        <v>254</v>
      </c>
      <c r="N348" t="s">
        <v>422</v>
      </c>
      <c r="O348" t="s">
        <v>2132</v>
      </c>
      <c r="P348">
        <v>5.9908280359525424E-6</v>
      </c>
      <c r="Q348" t="s">
        <v>254</v>
      </c>
      <c r="S348" t="s">
        <v>423</v>
      </c>
      <c r="T348" t="s">
        <v>2132</v>
      </c>
      <c r="U348">
        <v>5.4509111152336434E-6</v>
      </c>
      <c r="V348" t="s">
        <v>254</v>
      </c>
      <c r="X348">
        <v>1.1415525114155251E-4</v>
      </c>
      <c r="Y348">
        <v>1.4916838624667481E-5</v>
      </c>
      <c r="Z348" t="s">
        <v>2132</v>
      </c>
      <c r="AA348" t="s">
        <v>25</v>
      </c>
      <c r="AC348" t="s">
        <v>22</v>
      </c>
      <c r="AD348" t="s">
        <v>2132</v>
      </c>
      <c r="AE348">
        <v>7.9363616421851814E-5</v>
      </c>
      <c r="AG348" t="s">
        <v>97</v>
      </c>
      <c r="AH348" t="s">
        <v>2132</v>
      </c>
      <c r="AI348">
        <v>0</v>
      </c>
    </row>
    <row r="349" spans="5:35" x14ac:dyDescent="0.45">
      <c r="E349" t="s">
        <v>905</v>
      </c>
      <c r="G349" t="s">
        <v>437</v>
      </c>
      <c r="I349" t="s">
        <v>252</v>
      </c>
      <c r="J349" t="s">
        <v>2133</v>
      </c>
      <c r="K349">
        <v>0</v>
      </c>
      <c r="L349" t="s">
        <v>254</v>
      </c>
      <c r="N349" t="s">
        <v>422</v>
      </c>
      <c r="O349" t="s">
        <v>2133</v>
      </c>
      <c r="P349">
        <v>5.7893139285242011E-6</v>
      </c>
      <c r="Q349" t="s">
        <v>254</v>
      </c>
      <c r="S349" t="s">
        <v>423</v>
      </c>
      <c r="T349" t="s">
        <v>2133</v>
      </c>
      <c r="U349">
        <v>5.6112346327450883E-6</v>
      </c>
      <c r="V349" t="s">
        <v>254</v>
      </c>
      <c r="X349">
        <v>1.1415525114155251E-4</v>
      </c>
      <c r="Y349">
        <v>1.6574265138519424E-5</v>
      </c>
      <c r="Z349" t="s">
        <v>2133</v>
      </c>
      <c r="AA349" t="s">
        <v>25</v>
      </c>
      <c r="AC349" t="s">
        <v>22</v>
      </c>
      <c r="AD349" t="s">
        <v>2133</v>
      </c>
      <c r="AE349">
        <v>7.9015849529980543E-5</v>
      </c>
      <c r="AG349" t="s">
        <v>97</v>
      </c>
      <c r="AH349" t="s">
        <v>2133</v>
      </c>
      <c r="AI349">
        <v>0</v>
      </c>
    </row>
    <row r="350" spans="5:35" x14ac:dyDescent="0.45">
      <c r="E350" t="s">
        <v>906</v>
      </c>
      <c r="G350" t="s">
        <v>437</v>
      </c>
      <c r="I350" t="s">
        <v>252</v>
      </c>
      <c r="J350" t="s">
        <v>2134</v>
      </c>
      <c r="K350">
        <v>0</v>
      </c>
      <c r="L350" t="s">
        <v>254</v>
      </c>
      <c r="N350" t="s">
        <v>422</v>
      </c>
      <c r="O350" t="s">
        <v>2134</v>
      </c>
      <c r="P350">
        <v>7.516769882424297E-6</v>
      </c>
      <c r="Q350" t="s">
        <v>254</v>
      </c>
      <c r="S350" t="s">
        <v>423</v>
      </c>
      <c r="T350" t="s">
        <v>2134</v>
      </c>
      <c r="U350">
        <v>6.8279659838882077E-6</v>
      </c>
      <c r="V350" t="s">
        <v>254</v>
      </c>
      <c r="X350">
        <v>1.1415525114155251E-4</v>
      </c>
      <c r="Y350">
        <v>1.4585353321897093E-5</v>
      </c>
      <c r="Z350" t="s">
        <v>2134</v>
      </c>
      <c r="AA350" t="s">
        <v>25</v>
      </c>
      <c r="AC350" t="s">
        <v>22</v>
      </c>
      <c r="AD350" t="s">
        <v>2134</v>
      </c>
      <c r="AE350">
        <v>8.0048921767598126E-5</v>
      </c>
      <c r="AG350" t="s">
        <v>97</v>
      </c>
      <c r="AH350" t="s">
        <v>2134</v>
      </c>
      <c r="AI350">
        <v>0</v>
      </c>
    </row>
    <row r="351" spans="5:35" x14ac:dyDescent="0.45">
      <c r="E351" t="s">
        <v>907</v>
      </c>
      <c r="G351" t="s">
        <v>437</v>
      </c>
      <c r="I351" t="s">
        <v>252</v>
      </c>
      <c r="J351" t="s">
        <v>2135</v>
      </c>
      <c r="K351">
        <v>0</v>
      </c>
      <c r="L351" t="s">
        <v>254</v>
      </c>
      <c r="N351" t="s">
        <v>422</v>
      </c>
      <c r="O351" t="s">
        <v>2135</v>
      </c>
      <c r="P351">
        <v>1.1761435803374926E-5</v>
      </c>
      <c r="Q351" t="s">
        <v>254</v>
      </c>
      <c r="S351" t="s">
        <v>423</v>
      </c>
      <c r="T351" t="s">
        <v>2135</v>
      </c>
      <c r="U351">
        <v>9.4424239722726715E-6</v>
      </c>
      <c r="V351" t="s">
        <v>254</v>
      </c>
      <c r="X351">
        <v>1.1415525114155251E-4</v>
      </c>
      <c r="Y351">
        <v>2.1215059377304864E-5</v>
      </c>
      <c r="Z351" t="s">
        <v>2135</v>
      </c>
      <c r="AA351" t="s">
        <v>25</v>
      </c>
      <c r="AC351" t="s">
        <v>22</v>
      </c>
      <c r="AD351" t="s">
        <v>2135</v>
      </c>
      <c r="AE351">
        <v>8.6840604597084124E-5</v>
      </c>
      <c r="AG351" t="s">
        <v>97</v>
      </c>
      <c r="AH351" t="s">
        <v>2135</v>
      </c>
      <c r="AI351">
        <v>0</v>
      </c>
    </row>
    <row r="352" spans="5:35" x14ac:dyDescent="0.45">
      <c r="E352" t="s">
        <v>908</v>
      </c>
      <c r="G352" t="s">
        <v>437</v>
      </c>
      <c r="I352" t="s">
        <v>252</v>
      </c>
      <c r="J352" t="s">
        <v>2136</v>
      </c>
      <c r="K352">
        <v>0</v>
      </c>
      <c r="L352" t="s">
        <v>254</v>
      </c>
      <c r="N352" t="s">
        <v>422</v>
      </c>
      <c r="O352" t="s">
        <v>2136</v>
      </c>
      <c r="P352">
        <v>1.6964193704386738E-5</v>
      </c>
      <c r="Q352" t="s">
        <v>254</v>
      </c>
      <c r="S352" t="s">
        <v>423</v>
      </c>
      <c r="T352" t="s">
        <v>2136</v>
      </c>
      <c r="U352">
        <v>1.351053506427679E-5</v>
      </c>
      <c r="V352" t="s">
        <v>254</v>
      </c>
      <c r="X352">
        <v>1.1415525114155251E-4</v>
      </c>
      <c r="Y352">
        <v>5.7678442682047593E-5</v>
      </c>
      <c r="Z352" t="s">
        <v>2136</v>
      </c>
      <c r="AA352" t="s">
        <v>25</v>
      </c>
      <c r="AC352" t="s">
        <v>22</v>
      </c>
      <c r="AD352" t="s">
        <v>2136</v>
      </c>
      <c r="AE352">
        <v>1.0243385832231208E-4</v>
      </c>
      <c r="AG352" t="s">
        <v>97</v>
      </c>
      <c r="AH352" t="s">
        <v>2136</v>
      </c>
      <c r="AI352">
        <v>0</v>
      </c>
    </row>
    <row r="353" spans="5:35" x14ac:dyDescent="0.45">
      <c r="E353" t="s">
        <v>909</v>
      </c>
      <c r="G353" t="s">
        <v>437</v>
      </c>
      <c r="I353" t="s">
        <v>252</v>
      </c>
      <c r="J353" t="s">
        <v>2137</v>
      </c>
      <c r="K353">
        <v>7.6461013239153015E-7</v>
      </c>
      <c r="L353" t="s">
        <v>254</v>
      </c>
      <c r="N353" t="s">
        <v>422</v>
      </c>
      <c r="O353" t="s">
        <v>2137</v>
      </c>
      <c r="P353">
        <v>2.1216502270397079E-5</v>
      </c>
      <c r="Q353" t="s">
        <v>254</v>
      </c>
      <c r="S353" t="s">
        <v>423</v>
      </c>
      <c r="T353" t="s">
        <v>2137</v>
      </c>
      <c r="U353">
        <v>1.9003689606114529E-5</v>
      </c>
      <c r="V353" t="s">
        <v>254</v>
      </c>
      <c r="X353">
        <v>1.1415525114155251E-4</v>
      </c>
      <c r="Y353">
        <v>1.6905750441289813E-4</v>
      </c>
      <c r="Z353" t="s">
        <v>2137</v>
      </c>
      <c r="AA353" t="s">
        <v>25</v>
      </c>
      <c r="AC353" t="s">
        <v>22</v>
      </c>
      <c r="AD353" t="s">
        <v>2137</v>
      </c>
      <c r="AE353">
        <v>1.138769233305763E-4</v>
      </c>
      <c r="AG353" t="s">
        <v>97</v>
      </c>
      <c r="AH353" t="s">
        <v>2137</v>
      </c>
      <c r="AI353">
        <v>0</v>
      </c>
    </row>
    <row r="354" spans="5:35" x14ac:dyDescent="0.45">
      <c r="E354" t="s">
        <v>910</v>
      </c>
      <c r="G354" t="s">
        <v>437</v>
      </c>
      <c r="I354" t="s">
        <v>252</v>
      </c>
      <c r="J354" t="s">
        <v>2138</v>
      </c>
      <c r="K354">
        <v>1.009135909768E-4</v>
      </c>
      <c r="L354" t="s">
        <v>254</v>
      </c>
      <c r="N354" t="s">
        <v>422</v>
      </c>
      <c r="O354" t="s">
        <v>2138</v>
      </c>
      <c r="P354">
        <v>2.4429306384762853E-5</v>
      </c>
      <c r="Q354" t="s">
        <v>254</v>
      </c>
      <c r="S354" t="s">
        <v>423</v>
      </c>
      <c r="T354" t="s">
        <v>2138</v>
      </c>
      <c r="U354">
        <v>2.5017655562674181E-5</v>
      </c>
      <c r="V354" t="s">
        <v>254</v>
      </c>
      <c r="X354">
        <v>1.1415525114155251E-4</v>
      </c>
      <c r="Y354">
        <v>1.9060404909297337E-4</v>
      </c>
      <c r="Z354" t="s">
        <v>2138</v>
      </c>
      <c r="AA354" t="s">
        <v>25</v>
      </c>
      <c r="AC354" t="s">
        <v>22</v>
      </c>
      <c r="AD354" t="s">
        <v>2138</v>
      </c>
      <c r="AE354">
        <v>1.2197528911407859E-4</v>
      </c>
      <c r="AG354" t="s">
        <v>97</v>
      </c>
      <c r="AH354" t="s">
        <v>2138</v>
      </c>
      <c r="AI354">
        <v>0</v>
      </c>
    </row>
    <row r="355" spans="5:35" x14ac:dyDescent="0.45">
      <c r="E355" t="s">
        <v>911</v>
      </c>
      <c r="G355" t="s">
        <v>437</v>
      </c>
      <c r="I355" t="s">
        <v>252</v>
      </c>
      <c r="J355" t="s">
        <v>2139</v>
      </c>
      <c r="K355">
        <v>1.998997465845E-4</v>
      </c>
      <c r="L355" t="s">
        <v>254</v>
      </c>
      <c r="N355" t="s">
        <v>422</v>
      </c>
      <c r="O355" t="s">
        <v>2139</v>
      </c>
      <c r="P355">
        <v>2.6663150560824183E-5</v>
      </c>
      <c r="Q355" t="s">
        <v>254</v>
      </c>
      <c r="S355" t="s">
        <v>423</v>
      </c>
      <c r="T355" t="s">
        <v>2139</v>
      </c>
      <c r="U355">
        <v>3.0664463154036983E-5</v>
      </c>
      <c r="V355" t="s">
        <v>254</v>
      </c>
      <c r="X355">
        <v>1.1415525114155251E-4</v>
      </c>
      <c r="Y355">
        <v>1.4585353321897094E-4</v>
      </c>
      <c r="Z355" t="s">
        <v>2139</v>
      </c>
      <c r="AA355" t="s">
        <v>25</v>
      </c>
      <c r="AC355" t="s">
        <v>22</v>
      </c>
      <c r="AD355" t="s">
        <v>2139</v>
      </c>
      <c r="AE355">
        <v>1.2689005357125935E-4</v>
      </c>
      <c r="AG355" t="s">
        <v>97</v>
      </c>
      <c r="AH355" t="s">
        <v>2139</v>
      </c>
      <c r="AI355">
        <v>0</v>
      </c>
    </row>
    <row r="356" spans="5:35" x14ac:dyDescent="0.45">
      <c r="E356" t="s">
        <v>912</v>
      </c>
      <c r="G356" t="s">
        <v>437</v>
      </c>
      <c r="I356" t="s">
        <v>252</v>
      </c>
      <c r="J356" t="s">
        <v>2140</v>
      </c>
      <c r="K356">
        <v>2.7769479116099998E-4</v>
      </c>
      <c r="L356" t="s">
        <v>254</v>
      </c>
      <c r="N356" t="s">
        <v>422</v>
      </c>
      <c r="O356" t="s">
        <v>2140</v>
      </c>
      <c r="P356">
        <v>2.8497441274588696E-5</v>
      </c>
      <c r="Q356" t="s">
        <v>254</v>
      </c>
      <c r="S356" t="s">
        <v>423</v>
      </c>
      <c r="T356" t="s">
        <v>2140</v>
      </c>
      <c r="U356">
        <v>4.0407702513434383E-5</v>
      </c>
      <c r="V356" t="s">
        <v>254</v>
      </c>
      <c r="X356">
        <v>1.1415525114155251E-4</v>
      </c>
      <c r="Y356">
        <v>1.4452759200788939E-4</v>
      </c>
      <c r="Z356" t="s">
        <v>2140</v>
      </c>
      <c r="AA356" t="s">
        <v>25</v>
      </c>
      <c r="AC356" t="s">
        <v>22</v>
      </c>
      <c r="AD356" t="s">
        <v>2140</v>
      </c>
      <c r="AE356">
        <v>1.2730174820060696E-4</v>
      </c>
      <c r="AG356" t="s">
        <v>97</v>
      </c>
      <c r="AH356" t="s">
        <v>2140</v>
      </c>
      <c r="AI356">
        <v>0</v>
      </c>
    </row>
    <row r="357" spans="5:35" x14ac:dyDescent="0.45">
      <c r="E357" t="s">
        <v>913</v>
      </c>
      <c r="G357" t="s">
        <v>437</v>
      </c>
      <c r="I357" t="s">
        <v>252</v>
      </c>
      <c r="J357" t="s">
        <v>2141</v>
      </c>
      <c r="K357">
        <v>3.2818371928579999E-4</v>
      </c>
      <c r="L357" t="s">
        <v>254</v>
      </c>
      <c r="N357" t="s">
        <v>422</v>
      </c>
      <c r="O357" t="s">
        <v>2141</v>
      </c>
      <c r="P357">
        <v>3.4005115041141907E-5</v>
      </c>
      <c r="Q357" t="s">
        <v>254</v>
      </c>
      <c r="S357" t="s">
        <v>423</v>
      </c>
      <c r="T357" t="s">
        <v>2141</v>
      </c>
      <c r="U357">
        <v>5.4009004175972872E-5</v>
      </c>
      <c r="V357" t="s">
        <v>254</v>
      </c>
      <c r="X357">
        <v>1.1415525114155251E-4</v>
      </c>
      <c r="Y357">
        <v>1.408812536774151E-4</v>
      </c>
      <c r="Z357" t="s">
        <v>2141</v>
      </c>
      <c r="AA357" t="s">
        <v>25</v>
      </c>
      <c r="AC357" t="s">
        <v>22</v>
      </c>
      <c r="AD357" t="s">
        <v>2141</v>
      </c>
      <c r="AE357">
        <v>1.2746540320854636E-4</v>
      </c>
      <c r="AG357" t="s">
        <v>97</v>
      </c>
      <c r="AH357" t="s">
        <v>2141</v>
      </c>
      <c r="AI357">
        <v>0</v>
      </c>
    </row>
    <row r="358" spans="5:35" x14ac:dyDescent="0.45">
      <c r="E358" t="s">
        <v>914</v>
      </c>
      <c r="G358" t="s">
        <v>437</v>
      </c>
      <c r="I358" t="s">
        <v>252</v>
      </c>
      <c r="J358" t="s">
        <v>2142</v>
      </c>
      <c r="K358">
        <v>3.3283490820779999E-4</v>
      </c>
      <c r="L358" t="s">
        <v>254</v>
      </c>
      <c r="N358" t="s">
        <v>422</v>
      </c>
      <c r="O358" t="s">
        <v>2142</v>
      </c>
      <c r="P358">
        <v>3.1398306109353096E-5</v>
      </c>
      <c r="Q358" t="s">
        <v>254</v>
      </c>
      <c r="S358" t="s">
        <v>423</v>
      </c>
      <c r="T358" t="s">
        <v>2142</v>
      </c>
      <c r="U358">
        <v>5.8939007308703806E-5</v>
      </c>
      <c r="V358" t="s">
        <v>254</v>
      </c>
      <c r="X358">
        <v>1.1415525114155251E-4</v>
      </c>
      <c r="Y358">
        <v>1.4054976837464471E-4</v>
      </c>
      <c r="Z358" t="s">
        <v>2142</v>
      </c>
      <c r="AA358" t="s">
        <v>25</v>
      </c>
      <c r="AC358" t="s">
        <v>22</v>
      </c>
      <c r="AD358" t="s">
        <v>2142</v>
      </c>
      <c r="AE358">
        <v>1.2730174820060696E-4</v>
      </c>
      <c r="AG358" t="s">
        <v>97</v>
      </c>
      <c r="AH358" t="s">
        <v>2142</v>
      </c>
      <c r="AI358">
        <v>0</v>
      </c>
    </row>
    <row r="359" spans="5:35" x14ac:dyDescent="0.45">
      <c r="E359" t="s">
        <v>915</v>
      </c>
      <c r="G359" t="s">
        <v>437</v>
      </c>
      <c r="I359" t="s">
        <v>252</v>
      </c>
      <c r="J359" t="s">
        <v>2143</v>
      </c>
      <c r="K359">
        <v>3.1166572838520001E-4</v>
      </c>
      <c r="L359" t="s">
        <v>254</v>
      </c>
      <c r="N359" t="s">
        <v>422</v>
      </c>
      <c r="O359" t="s">
        <v>2143</v>
      </c>
      <c r="P359">
        <v>3.1875407593010804E-5</v>
      </c>
      <c r="Q359" t="s">
        <v>254</v>
      </c>
      <c r="S359" t="s">
        <v>423</v>
      </c>
      <c r="T359" t="s">
        <v>2143</v>
      </c>
      <c r="U359">
        <v>6.1508749523728451E-5</v>
      </c>
      <c r="V359" t="s">
        <v>254</v>
      </c>
      <c r="X359">
        <v>1.1415525114155251E-4</v>
      </c>
      <c r="Y359">
        <v>1.4253868019126702E-4</v>
      </c>
      <c r="Z359" t="s">
        <v>2143</v>
      </c>
      <c r="AA359" t="s">
        <v>25</v>
      </c>
      <c r="AC359" t="s">
        <v>22</v>
      </c>
      <c r="AD359" t="s">
        <v>2143</v>
      </c>
      <c r="AE359">
        <v>1.2730174820060696E-4</v>
      </c>
      <c r="AG359" t="s">
        <v>97</v>
      </c>
      <c r="AH359" t="s">
        <v>2143</v>
      </c>
      <c r="AI359">
        <v>0</v>
      </c>
    </row>
    <row r="360" spans="5:35" x14ac:dyDescent="0.45">
      <c r="E360" t="s">
        <v>916</v>
      </c>
      <c r="G360" t="s">
        <v>437</v>
      </c>
      <c r="I360" t="s">
        <v>252</v>
      </c>
      <c r="J360" t="s">
        <v>2144</v>
      </c>
      <c r="K360">
        <v>3.4049249825630001E-4</v>
      </c>
      <c r="L360" t="s">
        <v>254</v>
      </c>
      <c r="N360" t="s">
        <v>422</v>
      </c>
      <c r="O360" t="s">
        <v>2144</v>
      </c>
      <c r="P360">
        <v>3.220649945841594E-5</v>
      </c>
      <c r="Q360" t="s">
        <v>254</v>
      </c>
      <c r="S360" t="s">
        <v>423</v>
      </c>
      <c r="T360" t="s">
        <v>2144</v>
      </c>
      <c r="U360">
        <v>6.4523993904289618E-5</v>
      </c>
      <c r="V360" t="s">
        <v>254</v>
      </c>
      <c r="X360">
        <v>1.1415525114155251E-4</v>
      </c>
      <c r="Y360">
        <v>1.4883690094390442E-4</v>
      </c>
      <c r="Z360" t="s">
        <v>2144</v>
      </c>
      <c r="AA360" t="s">
        <v>25</v>
      </c>
      <c r="AC360" t="s">
        <v>22</v>
      </c>
      <c r="AD360" t="s">
        <v>2144</v>
      </c>
      <c r="AE360">
        <v>1.2663945684035209E-4</v>
      </c>
      <c r="AG360" t="s">
        <v>97</v>
      </c>
      <c r="AH360" t="s">
        <v>2144</v>
      </c>
      <c r="AI360">
        <v>0</v>
      </c>
    </row>
    <row r="361" spans="5:35" x14ac:dyDescent="0.45">
      <c r="E361" t="s">
        <v>917</v>
      </c>
      <c r="G361" t="s">
        <v>437</v>
      </c>
      <c r="I361" t="s">
        <v>252</v>
      </c>
      <c r="J361" t="s">
        <v>2145</v>
      </c>
      <c r="K361">
        <v>3.551001027068E-4</v>
      </c>
      <c r="L361" t="s">
        <v>254</v>
      </c>
      <c r="N361" t="s">
        <v>422</v>
      </c>
      <c r="O361" t="s">
        <v>2145</v>
      </c>
      <c r="P361">
        <v>3.2748350551368273E-5</v>
      </c>
      <c r="Q361" t="s">
        <v>254</v>
      </c>
      <c r="S361" t="s">
        <v>423</v>
      </c>
      <c r="T361" t="s">
        <v>2145</v>
      </c>
      <c r="U361">
        <v>6.7479226280149968E-5</v>
      </c>
      <c r="V361" t="s">
        <v>254</v>
      </c>
      <c r="X361">
        <v>1.1415525114155251E-4</v>
      </c>
      <c r="Y361">
        <v>1.5049432745775637E-4</v>
      </c>
      <c r="Z361" t="s">
        <v>2145</v>
      </c>
      <c r="AA361" t="s">
        <v>25</v>
      </c>
      <c r="AC361" t="s">
        <v>22</v>
      </c>
      <c r="AD361" t="s">
        <v>2145</v>
      </c>
      <c r="AE361">
        <v>1.2562428436922789E-4</v>
      </c>
      <c r="AG361" t="s">
        <v>97</v>
      </c>
      <c r="AH361" t="s">
        <v>2145</v>
      </c>
      <c r="AI361">
        <v>0</v>
      </c>
    </row>
    <row r="362" spans="5:35" x14ac:dyDescent="0.45">
      <c r="E362" t="s">
        <v>918</v>
      </c>
      <c r="G362" t="s">
        <v>437</v>
      </c>
      <c r="I362" t="s">
        <v>252</v>
      </c>
      <c r="J362" t="s">
        <v>2146</v>
      </c>
      <c r="K362">
        <v>3.4684196479180002E-4</v>
      </c>
      <c r="L362" t="s">
        <v>254</v>
      </c>
      <c r="N362" t="s">
        <v>422</v>
      </c>
      <c r="O362" t="s">
        <v>2146</v>
      </c>
      <c r="P362">
        <v>3.7138531190571851E-5</v>
      </c>
      <c r="Q362" t="s">
        <v>254</v>
      </c>
      <c r="S362" t="s">
        <v>423</v>
      </c>
      <c r="T362" t="s">
        <v>2146</v>
      </c>
      <c r="U362">
        <v>7.2985822655302217E-5</v>
      </c>
      <c r="V362" t="s">
        <v>254</v>
      </c>
      <c r="X362">
        <v>1.1415525114155251E-4</v>
      </c>
      <c r="Y362">
        <v>1.7237235744060203E-4</v>
      </c>
      <c r="Z362" t="s">
        <v>2146</v>
      </c>
      <c r="AA362" t="s">
        <v>25</v>
      </c>
      <c r="AC362" t="s">
        <v>22</v>
      </c>
      <c r="AD362" t="s">
        <v>2146</v>
      </c>
      <c r="AE362">
        <v>1.2562428436922786E-4</v>
      </c>
      <c r="AG362" t="s">
        <v>97</v>
      </c>
      <c r="AH362" t="s">
        <v>2146</v>
      </c>
      <c r="AI362">
        <v>0</v>
      </c>
    </row>
    <row r="363" spans="5:35" x14ac:dyDescent="0.45">
      <c r="E363" t="s">
        <v>919</v>
      </c>
      <c r="G363" t="s">
        <v>437</v>
      </c>
      <c r="I363" t="s">
        <v>252</v>
      </c>
      <c r="J363" t="s">
        <v>2147</v>
      </c>
      <c r="K363">
        <v>2.9682256914330001E-4</v>
      </c>
      <c r="L363" t="s">
        <v>254</v>
      </c>
      <c r="N363" t="s">
        <v>422</v>
      </c>
      <c r="O363" t="s">
        <v>2147</v>
      </c>
      <c r="P363">
        <v>4.726084368198602E-5</v>
      </c>
      <c r="Q363" t="s">
        <v>254</v>
      </c>
      <c r="S363" t="s">
        <v>423</v>
      </c>
      <c r="T363" t="s">
        <v>2147</v>
      </c>
      <c r="U363">
        <v>8.5294072553324202E-5</v>
      </c>
      <c r="V363" t="s">
        <v>254</v>
      </c>
      <c r="X363">
        <v>1.1415525114155251E-4</v>
      </c>
      <c r="Y363">
        <v>2.2209515285616027E-4</v>
      </c>
      <c r="Z363" t="s">
        <v>2147</v>
      </c>
      <c r="AA363" t="s">
        <v>25</v>
      </c>
      <c r="AC363" t="s">
        <v>22</v>
      </c>
      <c r="AD363" t="s">
        <v>2147</v>
      </c>
      <c r="AE363">
        <v>1.2502080652745126E-4</v>
      </c>
      <c r="AG363" t="s">
        <v>97</v>
      </c>
      <c r="AH363" t="s">
        <v>2147</v>
      </c>
      <c r="AI363">
        <v>0</v>
      </c>
    </row>
    <row r="364" spans="5:35" x14ac:dyDescent="0.45">
      <c r="E364" t="s">
        <v>920</v>
      </c>
      <c r="G364" t="s">
        <v>437</v>
      </c>
      <c r="I364" t="s">
        <v>252</v>
      </c>
      <c r="J364" t="s">
        <v>2148</v>
      </c>
      <c r="K364">
        <v>2.110949026611E-4</v>
      </c>
      <c r="L364" t="s">
        <v>254</v>
      </c>
      <c r="N364" t="s">
        <v>422</v>
      </c>
      <c r="O364" t="s">
        <v>2148</v>
      </c>
      <c r="P364">
        <v>6.2932058433336186E-5</v>
      </c>
      <c r="Q364" t="s">
        <v>254</v>
      </c>
      <c r="S364" t="s">
        <v>423</v>
      </c>
      <c r="T364" t="s">
        <v>2148</v>
      </c>
      <c r="U364">
        <v>9.8809830440859398E-5</v>
      </c>
      <c r="V364" t="s">
        <v>254</v>
      </c>
      <c r="X364">
        <v>1.1415525114155251E-4</v>
      </c>
      <c r="Y364">
        <v>2.2209515285616027E-4</v>
      </c>
      <c r="Z364" t="s">
        <v>2148</v>
      </c>
      <c r="AA364" t="s">
        <v>25</v>
      </c>
      <c r="AC364" t="s">
        <v>22</v>
      </c>
      <c r="AD364" t="s">
        <v>2148</v>
      </c>
      <c r="AE364">
        <v>1.2475231003005065E-4</v>
      </c>
      <c r="AG364" t="s">
        <v>97</v>
      </c>
      <c r="AH364" t="s">
        <v>2148</v>
      </c>
      <c r="AI364">
        <v>0</v>
      </c>
    </row>
    <row r="365" spans="5:35" x14ac:dyDescent="0.45">
      <c r="E365" t="s">
        <v>921</v>
      </c>
      <c r="G365" t="s">
        <v>437</v>
      </c>
      <c r="I365" t="s">
        <v>252</v>
      </c>
      <c r="J365" t="s">
        <v>2149</v>
      </c>
      <c r="K365">
        <v>7.9263931042365833E-5</v>
      </c>
      <c r="L365" t="s">
        <v>254</v>
      </c>
      <c r="N365" t="s">
        <v>422</v>
      </c>
      <c r="O365" t="s">
        <v>2149</v>
      </c>
      <c r="P365">
        <v>7.8884280984854686E-5</v>
      </c>
      <c r="Q365" t="s">
        <v>254</v>
      </c>
      <c r="S365" t="s">
        <v>423</v>
      </c>
      <c r="T365" t="s">
        <v>2149</v>
      </c>
      <c r="U365">
        <v>1.1481523262659999E-4</v>
      </c>
      <c r="V365" t="s">
        <v>254</v>
      </c>
      <c r="X365">
        <v>1.1415525114155251E-4</v>
      </c>
      <c r="Y365">
        <v>1.7237235744060203E-4</v>
      </c>
      <c r="Z365" t="s">
        <v>2149</v>
      </c>
      <c r="AA365" t="s">
        <v>25</v>
      </c>
      <c r="AC365" t="s">
        <v>22</v>
      </c>
      <c r="AD365" t="s">
        <v>2149</v>
      </c>
      <c r="AE365">
        <v>1.2384709326738574E-4</v>
      </c>
      <c r="AG365" t="s">
        <v>97</v>
      </c>
      <c r="AH365" t="s">
        <v>2149</v>
      </c>
      <c r="AI365">
        <v>0</v>
      </c>
    </row>
    <row r="366" spans="5:35" x14ac:dyDescent="0.45">
      <c r="E366" t="s">
        <v>922</v>
      </c>
      <c r="G366" t="s">
        <v>437</v>
      </c>
      <c r="I366" t="s">
        <v>252</v>
      </c>
      <c r="J366" t="s">
        <v>2150</v>
      </c>
      <c r="K366">
        <v>0</v>
      </c>
      <c r="L366" t="s">
        <v>254</v>
      </c>
      <c r="N366" t="s">
        <v>422</v>
      </c>
      <c r="O366" t="s">
        <v>2150</v>
      </c>
      <c r="P366">
        <v>9.3061359876350165E-5</v>
      </c>
      <c r="Q366" t="s">
        <v>254</v>
      </c>
      <c r="S366" t="s">
        <v>423</v>
      </c>
      <c r="T366" t="s">
        <v>2150</v>
      </c>
      <c r="U366">
        <v>1.2757026703099999E-4</v>
      </c>
      <c r="V366" t="s">
        <v>254</v>
      </c>
      <c r="X366">
        <v>1.1415525114155251E-4</v>
      </c>
      <c r="Y366">
        <v>1.5579809230208258E-4</v>
      </c>
      <c r="Z366" t="s">
        <v>2150</v>
      </c>
      <c r="AA366" t="s">
        <v>25</v>
      </c>
      <c r="AC366" t="s">
        <v>22</v>
      </c>
      <c r="AD366" t="s">
        <v>2150</v>
      </c>
      <c r="AE366">
        <v>1.2203665974205589E-4</v>
      </c>
      <c r="AG366" t="s">
        <v>97</v>
      </c>
      <c r="AH366" t="s">
        <v>2150</v>
      </c>
      <c r="AI366">
        <v>0</v>
      </c>
    </row>
    <row r="367" spans="5:35" x14ac:dyDescent="0.45">
      <c r="E367" t="s">
        <v>923</v>
      </c>
      <c r="G367" t="s">
        <v>437</v>
      </c>
      <c r="I367" t="s">
        <v>252</v>
      </c>
      <c r="J367" t="s">
        <v>2151</v>
      </c>
      <c r="K367">
        <v>0</v>
      </c>
      <c r="L367" t="s">
        <v>254</v>
      </c>
      <c r="N367" t="s">
        <v>422</v>
      </c>
      <c r="O367" t="s">
        <v>2151</v>
      </c>
      <c r="P367">
        <v>1.000759198759E-4</v>
      </c>
      <c r="Q367" t="s">
        <v>254</v>
      </c>
      <c r="S367" t="s">
        <v>423</v>
      </c>
      <c r="T367" t="s">
        <v>2151</v>
      </c>
      <c r="U367">
        <v>1.3554727008929999E-4</v>
      </c>
      <c r="V367" t="s">
        <v>254</v>
      </c>
      <c r="X367">
        <v>1.1415525114155251E-4</v>
      </c>
      <c r="Y367">
        <v>1.093901499142282E-4</v>
      </c>
      <c r="Z367" t="s">
        <v>2151</v>
      </c>
      <c r="AA367" t="s">
        <v>25</v>
      </c>
      <c r="AC367" t="s">
        <v>22</v>
      </c>
      <c r="AD367" t="s">
        <v>2151</v>
      </c>
      <c r="AE367">
        <v>1.1572059927939385E-4</v>
      </c>
      <c r="AG367" t="s">
        <v>97</v>
      </c>
      <c r="AH367" t="s">
        <v>2151</v>
      </c>
      <c r="AI367">
        <v>0</v>
      </c>
    </row>
    <row r="368" spans="5:35" x14ac:dyDescent="0.45">
      <c r="E368" t="s">
        <v>924</v>
      </c>
      <c r="G368" t="s">
        <v>437</v>
      </c>
      <c r="I368" t="s">
        <v>252</v>
      </c>
      <c r="J368" t="s">
        <v>2152</v>
      </c>
      <c r="K368">
        <v>0</v>
      </c>
      <c r="L368" t="s">
        <v>254</v>
      </c>
      <c r="N368" t="s">
        <v>422</v>
      </c>
      <c r="O368" t="s">
        <v>2152</v>
      </c>
      <c r="P368">
        <v>9.7339165025482399E-5</v>
      </c>
      <c r="Q368" t="s">
        <v>254</v>
      </c>
      <c r="S368" t="s">
        <v>423</v>
      </c>
      <c r="T368" t="s">
        <v>2152</v>
      </c>
      <c r="U368">
        <v>1.2506523622440001E-4</v>
      </c>
      <c r="V368" t="s">
        <v>254</v>
      </c>
      <c r="X368">
        <v>1.1415525114155251E-4</v>
      </c>
      <c r="Y368">
        <v>7.9556472664893237E-5</v>
      </c>
      <c r="Z368" t="s">
        <v>2152</v>
      </c>
      <c r="AA368" t="s">
        <v>25</v>
      </c>
      <c r="AC368" t="s">
        <v>22</v>
      </c>
      <c r="AD368" t="s">
        <v>2152</v>
      </c>
      <c r="AE368">
        <v>1.0917695607131603E-4</v>
      </c>
      <c r="AG368" t="s">
        <v>97</v>
      </c>
      <c r="AH368" t="s">
        <v>2152</v>
      </c>
      <c r="AI368">
        <v>0</v>
      </c>
    </row>
    <row r="369" spans="5:35" x14ac:dyDescent="0.45">
      <c r="E369" t="s">
        <v>925</v>
      </c>
      <c r="G369" t="s">
        <v>437</v>
      </c>
      <c r="I369" t="s">
        <v>252</v>
      </c>
      <c r="J369" t="s">
        <v>2153</v>
      </c>
      <c r="K369">
        <v>0</v>
      </c>
      <c r="L369" t="s">
        <v>254</v>
      </c>
      <c r="N369" t="s">
        <v>422</v>
      </c>
      <c r="O369" t="s">
        <v>2153</v>
      </c>
      <c r="P369">
        <v>1.1203844622650001E-4</v>
      </c>
      <c r="Q369" t="s">
        <v>254</v>
      </c>
      <c r="S369" t="s">
        <v>423</v>
      </c>
      <c r="T369" t="s">
        <v>2153</v>
      </c>
      <c r="U369">
        <v>1.316124437548E-4</v>
      </c>
      <c r="V369" t="s">
        <v>254</v>
      </c>
      <c r="X369">
        <v>1.1415525114155251E-4</v>
      </c>
      <c r="Y369">
        <v>5.6352501470966035E-5</v>
      </c>
      <c r="Z369" t="s">
        <v>2153</v>
      </c>
      <c r="AA369" t="s">
        <v>25</v>
      </c>
      <c r="AC369" t="s">
        <v>22</v>
      </c>
      <c r="AD369" t="s">
        <v>2153</v>
      </c>
      <c r="AE369">
        <v>9.4657688335690542E-5</v>
      </c>
      <c r="AG369" t="s">
        <v>97</v>
      </c>
      <c r="AH369" t="s">
        <v>2153</v>
      </c>
      <c r="AI369">
        <v>0</v>
      </c>
    </row>
    <row r="370" spans="5:35" x14ac:dyDescent="0.45">
      <c r="E370" t="s">
        <v>926</v>
      </c>
      <c r="G370" t="s">
        <v>437</v>
      </c>
      <c r="I370" t="s">
        <v>252</v>
      </c>
      <c r="J370" t="s">
        <v>2154</v>
      </c>
      <c r="K370">
        <v>0</v>
      </c>
      <c r="L370" t="s">
        <v>254</v>
      </c>
      <c r="N370" t="s">
        <v>422</v>
      </c>
      <c r="O370" t="s">
        <v>2154</v>
      </c>
      <c r="P370">
        <v>1.083131456562E-4</v>
      </c>
      <c r="Q370" t="s">
        <v>254</v>
      </c>
      <c r="S370" t="s">
        <v>423</v>
      </c>
      <c r="T370" t="s">
        <v>2154</v>
      </c>
      <c r="U370">
        <v>1.272182414965E-4</v>
      </c>
      <c r="V370" t="s">
        <v>254</v>
      </c>
      <c r="X370">
        <v>1.1415525114155251E-4</v>
      </c>
      <c r="Y370">
        <v>2.9833677249334962E-5</v>
      </c>
      <c r="Z370" t="s">
        <v>2154</v>
      </c>
      <c r="AA370" t="s">
        <v>25</v>
      </c>
      <c r="AC370" t="s">
        <v>22</v>
      </c>
      <c r="AD370" t="s">
        <v>2154</v>
      </c>
      <c r="AE370">
        <v>8.5835660563956108E-5</v>
      </c>
      <c r="AG370" t="s">
        <v>97</v>
      </c>
      <c r="AH370" t="s">
        <v>2154</v>
      </c>
      <c r="AI370">
        <v>0</v>
      </c>
    </row>
    <row r="371" spans="5:35" x14ac:dyDescent="0.45">
      <c r="E371" t="s">
        <v>219</v>
      </c>
      <c r="G371" t="s">
        <v>437</v>
      </c>
      <c r="I371" t="s">
        <v>252</v>
      </c>
      <c r="J371" t="s">
        <v>2155</v>
      </c>
      <c r="K371">
        <v>0</v>
      </c>
      <c r="L371" t="s">
        <v>254</v>
      </c>
      <c r="N371" t="s">
        <v>422</v>
      </c>
      <c r="O371" t="s">
        <v>2155</v>
      </c>
      <c r="P371">
        <v>1.071335383783E-4</v>
      </c>
      <c r="Q371" t="s">
        <v>254</v>
      </c>
      <c r="S371" t="s">
        <v>423</v>
      </c>
      <c r="T371" t="s">
        <v>2155</v>
      </c>
      <c r="U371">
        <v>1.2641892201620001E-4</v>
      </c>
      <c r="V371" t="s">
        <v>254</v>
      </c>
      <c r="X371">
        <v>1.1415525114155251E-4</v>
      </c>
      <c r="Y371">
        <v>2.1546544680075254E-5</v>
      </c>
      <c r="Z371" t="s">
        <v>2155</v>
      </c>
      <c r="AA371" t="s">
        <v>25</v>
      </c>
      <c r="AC371" t="s">
        <v>22</v>
      </c>
      <c r="AD371" t="s">
        <v>2155</v>
      </c>
      <c r="AE371">
        <v>8.0133306381066906E-5</v>
      </c>
      <c r="AG371" t="s">
        <v>97</v>
      </c>
      <c r="AH371" t="s">
        <v>2155</v>
      </c>
      <c r="AI371">
        <v>0</v>
      </c>
    </row>
    <row r="372" spans="5:35" x14ac:dyDescent="0.45">
      <c r="E372" t="s">
        <v>220</v>
      </c>
      <c r="G372" t="s">
        <v>437</v>
      </c>
      <c r="I372" t="s">
        <v>252</v>
      </c>
      <c r="J372" t="s">
        <v>2156</v>
      </c>
      <c r="K372">
        <v>0</v>
      </c>
      <c r="L372" t="s">
        <v>254</v>
      </c>
      <c r="N372" t="s">
        <v>422</v>
      </c>
      <c r="O372" t="s">
        <v>2156</v>
      </c>
      <c r="P372">
        <v>1.04498307565E-4</v>
      </c>
      <c r="Q372" t="s">
        <v>254</v>
      </c>
      <c r="S372" t="s">
        <v>423</v>
      </c>
      <c r="T372" t="s">
        <v>2156</v>
      </c>
      <c r="U372">
        <v>1.3888109352E-4</v>
      </c>
      <c r="V372" t="s">
        <v>254</v>
      </c>
      <c r="X372">
        <v>1.1415525114155251E-4</v>
      </c>
      <c r="Y372">
        <v>1.4916838624667481E-5</v>
      </c>
      <c r="Z372" t="s">
        <v>2156</v>
      </c>
      <c r="AA372" t="s">
        <v>25</v>
      </c>
      <c r="AC372" t="s">
        <v>22</v>
      </c>
      <c r="AD372" t="s">
        <v>2156</v>
      </c>
      <c r="AE372">
        <v>7.9015849529980543E-5</v>
      </c>
      <c r="AG372" t="s">
        <v>97</v>
      </c>
      <c r="AH372" t="s">
        <v>2156</v>
      </c>
      <c r="AI372">
        <v>0</v>
      </c>
    </row>
    <row r="373" spans="5:35" x14ac:dyDescent="0.45">
      <c r="E373" t="s">
        <v>221</v>
      </c>
      <c r="G373" t="s">
        <v>437</v>
      </c>
      <c r="I373" t="s">
        <v>252</v>
      </c>
      <c r="J373" t="s">
        <v>2157</v>
      </c>
      <c r="K373">
        <v>0</v>
      </c>
      <c r="L373" t="s">
        <v>254</v>
      </c>
      <c r="N373" t="s">
        <v>422</v>
      </c>
      <c r="O373" t="s">
        <v>2157</v>
      </c>
      <c r="P373">
        <v>1.019061677176E-4</v>
      </c>
      <c r="Q373" t="s">
        <v>254</v>
      </c>
      <c r="S373" t="s">
        <v>423</v>
      </c>
      <c r="T373" t="s">
        <v>2157</v>
      </c>
      <c r="U373">
        <v>1.4911176842149999E-4</v>
      </c>
      <c r="V373" t="s">
        <v>254</v>
      </c>
      <c r="X373">
        <v>1.1415525114155251E-4</v>
      </c>
      <c r="Y373">
        <v>1.6574265138519424E-5</v>
      </c>
      <c r="Z373" t="s">
        <v>2157</v>
      </c>
      <c r="AA373" t="s">
        <v>25</v>
      </c>
      <c r="AC373" t="s">
        <v>22</v>
      </c>
      <c r="AD373" t="s">
        <v>2157</v>
      </c>
      <c r="AE373">
        <v>7.9015849529980543E-5</v>
      </c>
      <c r="AG373" t="s">
        <v>97</v>
      </c>
      <c r="AH373" t="s">
        <v>2157</v>
      </c>
      <c r="AI373">
        <v>0</v>
      </c>
    </row>
    <row r="374" spans="5:35" x14ac:dyDescent="0.45">
      <c r="E374" t="s">
        <v>222</v>
      </c>
      <c r="G374" t="s">
        <v>437</v>
      </c>
      <c r="I374" t="s">
        <v>252</v>
      </c>
      <c r="J374" t="s">
        <v>2158</v>
      </c>
      <c r="K374">
        <v>0</v>
      </c>
      <c r="L374" t="s">
        <v>254</v>
      </c>
      <c r="N374" t="s">
        <v>422</v>
      </c>
      <c r="O374" t="s">
        <v>2158</v>
      </c>
      <c r="P374">
        <v>9.8320501895786521E-5</v>
      </c>
      <c r="Q374" t="s">
        <v>254</v>
      </c>
      <c r="S374" t="s">
        <v>423</v>
      </c>
      <c r="T374" t="s">
        <v>2158</v>
      </c>
      <c r="U374">
        <v>1.5405410026229999E-4</v>
      </c>
      <c r="V374" t="s">
        <v>254</v>
      </c>
      <c r="X374">
        <v>1.1415525114155251E-4</v>
      </c>
      <c r="Y374">
        <v>1.4585353321897093E-5</v>
      </c>
      <c r="Z374" t="s">
        <v>2158</v>
      </c>
      <c r="AA374" t="s">
        <v>25</v>
      </c>
      <c r="AC374" t="s">
        <v>22</v>
      </c>
      <c r="AD374" t="s">
        <v>2158</v>
      </c>
      <c r="AE374">
        <v>8.0048921767598139E-5</v>
      </c>
      <c r="AG374" t="s">
        <v>97</v>
      </c>
      <c r="AH374" t="s">
        <v>2158</v>
      </c>
      <c r="AI374">
        <v>0</v>
      </c>
    </row>
    <row r="375" spans="5:35" x14ac:dyDescent="0.45">
      <c r="E375" t="s">
        <v>223</v>
      </c>
      <c r="G375" t="s">
        <v>437</v>
      </c>
      <c r="I375" t="s">
        <v>252</v>
      </c>
      <c r="J375" t="s">
        <v>2159</v>
      </c>
      <c r="K375">
        <v>0</v>
      </c>
      <c r="L375" t="s">
        <v>254</v>
      </c>
      <c r="N375" t="s">
        <v>422</v>
      </c>
      <c r="O375" t="s">
        <v>2159</v>
      </c>
      <c r="P375">
        <v>1.018159269819E-4</v>
      </c>
      <c r="Q375" t="s">
        <v>254</v>
      </c>
      <c r="S375" t="s">
        <v>423</v>
      </c>
      <c r="T375" t="s">
        <v>2159</v>
      </c>
      <c r="U375">
        <v>1.596536522152E-4</v>
      </c>
      <c r="V375" t="s">
        <v>254</v>
      </c>
      <c r="X375">
        <v>1.1415525114155251E-4</v>
      </c>
      <c r="Y375">
        <v>2.1215059377304864E-5</v>
      </c>
      <c r="Z375" t="s">
        <v>2159</v>
      </c>
      <c r="AA375" t="s">
        <v>25</v>
      </c>
      <c r="AC375" t="s">
        <v>22</v>
      </c>
      <c r="AD375" t="s">
        <v>2159</v>
      </c>
      <c r="AE375">
        <v>8.6840604597084124E-5</v>
      </c>
      <c r="AG375" t="s">
        <v>97</v>
      </c>
      <c r="AH375" t="s">
        <v>2159</v>
      </c>
      <c r="AI375">
        <v>0</v>
      </c>
    </row>
    <row r="376" spans="5:35" x14ac:dyDescent="0.45">
      <c r="E376" t="s">
        <v>224</v>
      </c>
      <c r="G376" t="s">
        <v>437</v>
      </c>
      <c r="I376" t="s">
        <v>252</v>
      </c>
      <c r="J376" t="s">
        <v>2160</v>
      </c>
      <c r="K376">
        <v>0</v>
      </c>
      <c r="L376" t="s">
        <v>254</v>
      </c>
      <c r="N376" t="s">
        <v>422</v>
      </c>
      <c r="O376" t="s">
        <v>2160</v>
      </c>
      <c r="P376">
        <v>1.088462185812E-4</v>
      </c>
      <c r="Q376" t="s">
        <v>254</v>
      </c>
      <c r="S376" t="s">
        <v>423</v>
      </c>
      <c r="T376" t="s">
        <v>2160</v>
      </c>
      <c r="U376">
        <v>1.628887123762E-4</v>
      </c>
      <c r="V376" t="s">
        <v>254</v>
      </c>
      <c r="X376">
        <v>1.1415525114155251E-4</v>
      </c>
      <c r="Y376">
        <v>5.7678442682047593E-5</v>
      </c>
      <c r="Z376" t="s">
        <v>2160</v>
      </c>
      <c r="AA376" t="s">
        <v>25</v>
      </c>
      <c r="AC376" t="s">
        <v>22</v>
      </c>
      <c r="AD376" t="s">
        <v>2160</v>
      </c>
      <c r="AE376">
        <v>1.0243385832231208E-4</v>
      </c>
      <c r="AG376" t="s">
        <v>97</v>
      </c>
      <c r="AH376" t="s">
        <v>2160</v>
      </c>
      <c r="AI376">
        <v>0</v>
      </c>
    </row>
    <row r="377" spans="5:35" x14ac:dyDescent="0.45">
      <c r="E377" t="s">
        <v>225</v>
      </c>
      <c r="G377" t="s">
        <v>437</v>
      </c>
      <c r="I377" t="s">
        <v>252</v>
      </c>
      <c r="J377" t="s">
        <v>2161</v>
      </c>
      <c r="K377">
        <v>8.4797544773878865E-7</v>
      </c>
      <c r="L377" t="s">
        <v>254</v>
      </c>
      <c r="N377" t="s">
        <v>422</v>
      </c>
      <c r="O377" t="s">
        <v>2161</v>
      </c>
      <c r="P377">
        <v>1.1548074686999999E-4</v>
      </c>
      <c r="Q377" t="s">
        <v>254</v>
      </c>
      <c r="S377" t="s">
        <v>423</v>
      </c>
      <c r="T377" t="s">
        <v>2161</v>
      </c>
      <c r="U377">
        <v>1.6454467363189999E-4</v>
      </c>
      <c r="V377" t="s">
        <v>254</v>
      </c>
      <c r="X377">
        <v>1.1415525114155251E-4</v>
      </c>
      <c r="Y377">
        <v>1.6905750441289813E-4</v>
      </c>
      <c r="Z377" t="s">
        <v>2161</v>
      </c>
      <c r="AA377" t="s">
        <v>25</v>
      </c>
      <c r="AC377" t="s">
        <v>22</v>
      </c>
      <c r="AD377" t="s">
        <v>2161</v>
      </c>
      <c r="AE377">
        <v>1.1428350374092581E-4</v>
      </c>
      <c r="AG377" t="s">
        <v>97</v>
      </c>
      <c r="AH377" t="s">
        <v>2161</v>
      </c>
      <c r="AI377">
        <v>0</v>
      </c>
    </row>
    <row r="378" spans="5:35" x14ac:dyDescent="0.45">
      <c r="E378" t="s">
        <v>226</v>
      </c>
      <c r="G378" t="s">
        <v>437</v>
      </c>
      <c r="I378" t="s">
        <v>252</v>
      </c>
      <c r="J378" t="s">
        <v>2162</v>
      </c>
      <c r="K378">
        <v>1.3889502557930001E-4</v>
      </c>
      <c r="L378" t="s">
        <v>254</v>
      </c>
      <c r="N378" t="s">
        <v>422</v>
      </c>
      <c r="O378" t="s">
        <v>2162</v>
      </c>
      <c r="P378">
        <v>1.1894031504880001E-4</v>
      </c>
      <c r="Q378" t="s">
        <v>254</v>
      </c>
      <c r="S378" t="s">
        <v>423</v>
      </c>
      <c r="T378" t="s">
        <v>2162</v>
      </c>
      <c r="U378">
        <v>1.626004631412E-4</v>
      </c>
      <c r="V378" t="s">
        <v>254</v>
      </c>
      <c r="X378">
        <v>1.1415525114155251E-4</v>
      </c>
      <c r="Y378">
        <v>1.9060404909297337E-4</v>
      </c>
      <c r="Z378" t="s">
        <v>2162</v>
      </c>
      <c r="AA378" t="s">
        <v>25</v>
      </c>
      <c r="AC378" t="s">
        <v>22</v>
      </c>
      <c r="AD378" t="s">
        <v>2162</v>
      </c>
      <c r="AE378">
        <v>1.222591282684735E-4</v>
      </c>
      <c r="AG378" t="s">
        <v>97</v>
      </c>
      <c r="AH378" t="s">
        <v>2162</v>
      </c>
      <c r="AI378">
        <v>0</v>
      </c>
    </row>
    <row r="379" spans="5:35" x14ac:dyDescent="0.45">
      <c r="E379" t="s">
        <v>227</v>
      </c>
      <c r="G379" t="s">
        <v>437</v>
      </c>
      <c r="I379" t="s">
        <v>252</v>
      </c>
      <c r="J379" t="s">
        <v>2163</v>
      </c>
      <c r="K379">
        <v>2.435927418568E-4</v>
      </c>
      <c r="L379" t="s">
        <v>254</v>
      </c>
      <c r="N379" t="s">
        <v>422</v>
      </c>
      <c r="O379" t="s">
        <v>2163</v>
      </c>
      <c r="P379">
        <v>1.101384856097E-4</v>
      </c>
      <c r="Q379" t="s">
        <v>254</v>
      </c>
      <c r="S379" t="s">
        <v>423</v>
      </c>
      <c r="T379" t="s">
        <v>2163</v>
      </c>
      <c r="U379">
        <v>1.5978070968310001E-4</v>
      </c>
      <c r="V379" t="s">
        <v>254</v>
      </c>
      <c r="X379">
        <v>1.1415525114155251E-4</v>
      </c>
      <c r="Y379">
        <v>1.4585353321897094E-4</v>
      </c>
      <c r="Z379" t="s">
        <v>2163</v>
      </c>
      <c r="AA379" t="s">
        <v>25</v>
      </c>
      <c r="AC379" t="s">
        <v>22</v>
      </c>
      <c r="AD379" t="s">
        <v>2163</v>
      </c>
      <c r="AE379">
        <v>1.2727617710561639E-4</v>
      </c>
      <c r="AG379" t="s">
        <v>97</v>
      </c>
      <c r="AH379" t="s">
        <v>2163</v>
      </c>
      <c r="AI379">
        <v>0</v>
      </c>
    </row>
    <row r="380" spans="5:35" x14ac:dyDescent="0.45">
      <c r="E380" t="s">
        <v>228</v>
      </c>
      <c r="G380" t="s">
        <v>437</v>
      </c>
      <c r="I380" t="s">
        <v>252</v>
      </c>
      <c r="J380" t="s">
        <v>2164</v>
      </c>
      <c r="K380">
        <v>3.0361904117389999E-4</v>
      </c>
      <c r="L380" t="s">
        <v>254</v>
      </c>
      <c r="N380" t="s">
        <v>422</v>
      </c>
      <c r="O380" t="s">
        <v>2164</v>
      </c>
      <c r="P380">
        <v>9.330391400802432E-5</v>
      </c>
      <c r="Q380" t="s">
        <v>254</v>
      </c>
      <c r="S380" t="s">
        <v>423</v>
      </c>
      <c r="T380" t="s">
        <v>2164</v>
      </c>
      <c r="U380">
        <v>1.634705395139E-4</v>
      </c>
      <c r="V380" t="s">
        <v>254</v>
      </c>
      <c r="X380">
        <v>1.1415525114155251E-4</v>
      </c>
      <c r="Y380">
        <v>1.4452759200788939E-4</v>
      </c>
      <c r="Z380" t="s">
        <v>2164</v>
      </c>
      <c r="AA380" t="s">
        <v>25</v>
      </c>
      <c r="AC380" t="s">
        <v>22</v>
      </c>
      <c r="AD380" t="s">
        <v>2164</v>
      </c>
      <c r="AE380">
        <v>1.2751654539852744E-4</v>
      </c>
      <c r="AG380" t="s">
        <v>97</v>
      </c>
      <c r="AH380" t="s">
        <v>2164</v>
      </c>
      <c r="AI380">
        <v>0</v>
      </c>
    </row>
    <row r="381" spans="5:35" x14ac:dyDescent="0.45">
      <c r="E381" t="s">
        <v>229</v>
      </c>
      <c r="G381" t="s">
        <v>437</v>
      </c>
      <c r="I381" t="s">
        <v>252</v>
      </c>
      <c r="J381" t="s">
        <v>2165</v>
      </c>
      <c r="K381">
        <v>3.3466872310759999E-4</v>
      </c>
      <c r="L381" t="s">
        <v>254</v>
      </c>
      <c r="N381" t="s">
        <v>422</v>
      </c>
      <c r="O381" t="s">
        <v>2165</v>
      </c>
      <c r="P381">
        <v>9.3260499478123803E-5</v>
      </c>
      <c r="Q381" t="s">
        <v>254</v>
      </c>
      <c r="S381" t="s">
        <v>423</v>
      </c>
      <c r="T381" t="s">
        <v>2165</v>
      </c>
      <c r="U381">
        <v>1.6774756942160001E-4</v>
      </c>
      <c r="V381" t="s">
        <v>254</v>
      </c>
      <c r="X381">
        <v>1.1415525114155251E-4</v>
      </c>
      <c r="Y381">
        <v>1.408812536774151E-4</v>
      </c>
      <c r="Z381" t="s">
        <v>2165</v>
      </c>
      <c r="AA381" t="s">
        <v>25</v>
      </c>
      <c r="AC381" t="s">
        <v>22</v>
      </c>
      <c r="AD381" t="s">
        <v>2165</v>
      </c>
      <c r="AE381">
        <v>1.2730174820060693E-4</v>
      </c>
      <c r="AG381" t="s">
        <v>97</v>
      </c>
      <c r="AH381" t="s">
        <v>2165</v>
      </c>
      <c r="AI381">
        <v>0</v>
      </c>
    </row>
    <row r="382" spans="5:35" x14ac:dyDescent="0.45">
      <c r="E382" t="s">
        <v>230</v>
      </c>
      <c r="G382" t="s">
        <v>437</v>
      </c>
      <c r="I382" t="s">
        <v>252</v>
      </c>
      <c r="J382" t="s">
        <v>2166</v>
      </c>
      <c r="K382">
        <v>3.4195928593640002E-4</v>
      </c>
      <c r="L382" t="s">
        <v>254</v>
      </c>
      <c r="N382" t="s">
        <v>422</v>
      </c>
      <c r="O382" t="s">
        <v>2166</v>
      </c>
      <c r="P382">
        <v>1.0059331774930001E-4</v>
      </c>
      <c r="Q382" t="s">
        <v>254</v>
      </c>
      <c r="S382" t="s">
        <v>423</v>
      </c>
      <c r="T382" t="s">
        <v>2166</v>
      </c>
      <c r="U382">
        <v>1.709121774111E-4</v>
      </c>
      <c r="V382" t="s">
        <v>254</v>
      </c>
      <c r="X382">
        <v>1.1415525114155251E-4</v>
      </c>
      <c r="Y382">
        <v>1.4054976837464471E-4</v>
      </c>
      <c r="Z382" t="s">
        <v>2166</v>
      </c>
      <c r="AA382" t="s">
        <v>25</v>
      </c>
      <c r="AC382" t="s">
        <v>22</v>
      </c>
      <c r="AD382" t="s">
        <v>2166</v>
      </c>
      <c r="AE382">
        <v>1.2721224936814004E-4</v>
      </c>
      <c r="AG382" t="s">
        <v>97</v>
      </c>
      <c r="AH382" t="s">
        <v>2166</v>
      </c>
      <c r="AI382">
        <v>0</v>
      </c>
    </row>
    <row r="383" spans="5:35" x14ac:dyDescent="0.45">
      <c r="E383" t="s">
        <v>231</v>
      </c>
      <c r="G383" t="s">
        <v>437</v>
      </c>
      <c r="I383" t="s">
        <v>252</v>
      </c>
      <c r="J383" t="s">
        <v>2167</v>
      </c>
      <c r="K383">
        <v>3.119013636676E-4</v>
      </c>
      <c r="L383" t="s">
        <v>254</v>
      </c>
      <c r="N383" t="s">
        <v>422</v>
      </c>
      <c r="O383" t="s">
        <v>2167</v>
      </c>
      <c r="P383">
        <v>1.0332477759110001E-4</v>
      </c>
      <c r="Q383" t="s">
        <v>254</v>
      </c>
      <c r="S383" t="s">
        <v>423</v>
      </c>
      <c r="T383" t="s">
        <v>2167</v>
      </c>
      <c r="U383">
        <v>1.7194196068709999E-4</v>
      </c>
      <c r="V383" t="s">
        <v>254</v>
      </c>
      <c r="X383">
        <v>1.1415525114155251E-4</v>
      </c>
      <c r="Y383">
        <v>1.4253868019126702E-4</v>
      </c>
      <c r="Z383" t="s">
        <v>2167</v>
      </c>
      <c r="AA383" t="s">
        <v>25</v>
      </c>
      <c r="AC383" t="s">
        <v>22</v>
      </c>
      <c r="AD383" t="s">
        <v>2167</v>
      </c>
      <c r="AE383">
        <v>1.2730174820060696E-4</v>
      </c>
      <c r="AG383" t="s">
        <v>97</v>
      </c>
      <c r="AH383" t="s">
        <v>2167</v>
      </c>
      <c r="AI383">
        <v>0</v>
      </c>
    </row>
    <row r="384" spans="5:35" x14ac:dyDescent="0.45">
      <c r="E384" t="s">
        <v>232</v>
      </c>
      <c r="G384" t="s">
        <v>437</v>
      </c>
      <c r="I384" t="s">
        <v>252</v>
      </c>
      <c r="J384" t="s">
        <v>2168</v>
      </c>
      <c r="K384">
        <v>3.3729866533329999E-4</v>
      </c>
      <c r="L384" t="s">
        <v>254</v>
      </c>
      <c r="N384" t="s">
        <v>422</v>
      </c>
      <c r="O384" t="s">
        <v>2168</v>
      </c>
      <c r="P384">
        <v>1.020084348297E-4</v>
      </c>
      <c r="Q384" t="s">
        <v>254</v>
      </c>
      <c r="S384" t="s">
        <v>423</v>
      </c>
      <c r="T384" t="s">
        <v>2168</v>
      </c>
      <c r="U384">
        <v>1.7198932749120001E-4</v>
      </c>
      <c r="V384" t="s">
        <v>254</v>
      </c>
      <c r="X384">
        <v>1.1415525114155251E-4</v>
      </c>
      <c r="Y384">
        <v>1.4883690094390442E-4</v>
      </c>
      <c r="Z384" t="s">
        <v>2168</v>
      </c>
      <c r="AA384" t="s">
        <v>25</v>
      </c>
      <c r="AC384" t="s">
        <v>22</v>
      </c>
      <c r="AD384" t="s">
        <v>2168</v>
      </c>
      <c r="AE384">
        <v>1.2663945684035209E-4</v>
      </c>
      <c r="AG384" t="s">
        <v>97</v>
      </c>
      <c r="AH384" t="s">
        <v>2168</v>
      </c>
      <c r="AI384">
        <v>0</v>
      </c>
    </row>
    <row r="385" spans="5:35" x14ac:dyDescent="0.45">
      <c r="E385" t="s">
        <v>233</v>
      </c>
      <c r="G385" t="s">
        <v>437</v>
      </c>
      <c r="I385" t="s">
        <v>252</v>
      </c>
      <c r="J385" t="s">
        <v>2169</v>
      </c>
      <c r="K385">
        <v>3.5327146971289998E-4</v>
      </c>
      <c r="L385" t="s">
        <v>254</v>
      </c>
      <c r="N385" t="s">
        <v>422</v>
      </c>
      <c r="O385" t="s">
        <v>2169</v>
      </c>
      <c r="P385">
        <v>1.0201245796050001E-4</v>
      </c>
      <c r="Q385" t="s">
        <v>254</v>
      </c>
      <c r="S385" t="s">
        <v>423</v>
      </c>
      <c r="T385" t="s">
        <v>2169</v>
      </c>
      <c r="U385">
        <v>1.723201237181E-4</v>
      </c>
      <c r="V385" t="s">
        <v>254</v>
      </c>
      <c r="X385">
        <v>1.1415525114155251E-4</v>
      </c>
      <c r="Y385">
        <v>1.5049432745775637E-4</v>
      </c>
      <c r="Z385" t="s">
        <v>2169</v>
      </c>
      <c r="AA385" t="s">
        <v>25</v>
      </c>
      <c r="AC385" t="s">
        <v>22</v>
      </c>
      <c r="AD385" t="s">
        <v>2169</v>
      </c>
      <c r="AE385">
        <v>1.254197156093036E-4</v>
      </c>
      <c r="AG385" t="s">
        <v>97</v>
      </c>
      <c r="AH385" t="s">
        <v>2169</v>
      </c>
      <c r="AI385">
        <v>0</v>
      </c>
    </row>
    <row r="386" spans="5:35" x14ac:dyDescent="0.45">
      <c r="E386" t="s">
        <v>234</v>
      </c>
      <c r="G386" t="s">
        <v>437</v>
      </c>
      <c r="I386" t="s">
        <v>252</v>
      </c>
      <c r="J386" t="s">
        <v>2170</v>
      </c>
      <c r="K386">
        <v>3.277983348103E-4</v>
      </c>
      <c r="L386" t="s">
        <v>254</v>
      </c>
      <c r="N386" t="s">
        <v>422</v>
      </c>
      <c r="O386" t="s">
        <v>2170</v>
      </c>
      <c r="P386">
        <v>1.017163856031E-4</v>
      </c>
      <c r="Q386" t="s">
        <v>254</v>
      </c>
      <c r="S386" t="s">
        <v>423</v>
      </c>
      <c r="T386" t="s">
        <v>2170</v>
      </c>
      <c r="U386">
        <v>1.7150591957809999E-4</v>
      </c>
      <c r="V386" t="s">
        <v>254</v>
      </c>
      <c r="X386">
        <v>1.1415525114155251E-4</v>
      </c>
      <c r="Y386">
        <v>1.7237235744060203E-4</v>
      </c>
      <c r="Z386" t="s">
        <v>2170</v>
      </c>
      <c r="AA386" t="s">
        <v>25</v>
      </c>
      <c r="AC386" t="s">
        <v>22</v>
      </c>
      <c r="AD386" t="s">
        <v>2170</v>
      </c>
      <c r="AE386">
        <v>1.254197156093036E-4</v>
      </c>
      <c r="AG386" t="s">
        <v>97</v>
      </c>
      <c r="AH386" t="s">
        <v>2170</v>
      </c>
      <c r="AI386">
        <v>0</v>
      </c>
    </row>
    <row r="387" spans="5:35" x14ac:dyDescent="0.45">
      <c r="E387" t="s">
        <v>235</v>
      </c>
      <c r="G387" t="s">
        <v>437</v>
      </c>
      <c r="I387" t="s">
        <v>252</v>
      </c>
      <c r="J387" t="s">
        <v>2171</v>
      </c>
      <c r="K387">
        <v>2.4246450004890001E-4</v>
      </c>
      <c r="L387" t="s">
        <v>254</v>
      </c>
      <c r="N387" t="s">
        <v>422</v>
      </c>
      <c r="O387" t="s">
        <v>2171</v>
      </c>
      <c r="P387">
        <v>9.5118454750215125E-5</v>
      </c>
      <c r="Q387" t="s">
        <v>254</v>
      </c>
      <c r="S387" t="s">
        <v>423</v>
      </c>
      <c r="T387" t="s">
        <v>2171</v>
      </c>
      <c r="U387">
        <v>1.651636204473E-4</v>
      </c>
      <c r="V387" t="s">
        <v>254</v>
      </c>
      <c r="X387">
        <v>1.1415525114155251E-4</v>
      </c>
      <c r="Y387">
        <v>2.2209515285616027E-4</v>
      </c>
      <c r="Z387" t="s">
        <v>2171</v>
      </c>
      <c r="AA387" t="s">
        <v>25</v>
      </c>
      <c r="AC387" t="s">
        <v>22</v>
      </c>
      <c r="AD387" t="s">
        <v>2171</v>
      </c>
      <c r="AE387">
        <v>1.2502080652745126E-4</v>
      </c>
      <c r="AG387" t="s">
        <v>97</v>
      </c>
      <c r="AH387" t="s">
        <v>2171</v>
      </c>
      <c r="AI387">
        <v>0</v>
      </c>
    </row>
    <row r="388" spans="5:35" x14ac:dyDescent="0.45">
      <c r="E388" t="s">
        <v>236</v>
      </c>
      <c r="G388" t="s">
        <v>437</v>
      </c>
      <c r="I388" t="s">
        <v>252</v>
      </c>
      <c r="J388" t="s">
        <v>2172</v>
      </c>
      <c r="K388">
        <v>1.3585487063750001E-4</v>
      </c>
      <c r="L388" t="s">
        <v>254</v>
      </c>
      <c r="N388" t="s">
        <v>422</v>
      </c>
      <c r="O388" t="s">
        <v>2172</v>
      </c>
      <c r="P388">
        <v>9.9459358662985024E-5</v>
      </c>
      <c r="Q388" t="s">
        <v>254</v>
      </c>
      <c r="S388" t="s">
        <v>423</v>
      </c>
      <c r="T388" t="s">
        <v>2172</v>
      </c>
      <c r="U388">
        <v>1.5179196927230001E-4</v>
      </c>
      <c r="V388" t="s">
        <v>254</v>
      </c>
      <c r="X388">
        <v>1.1415525114155251E-4</v>
      </c>
      <c r="Y388">
        <v>2.2209515285616027E-4</v>
      </c>
      <c r="Z388" t="s">
        <v>2172</v>
      </c>
      <c r="AA388" t="s">
        <v>25</v>
      </c>
      <c r="AC388" t="s">
        <v>22</v>
      </c>
      <c r="AD388" t="s">
        <v>2172</v>
      </c>
      <c r="AE388">
        <v>1.2475231003005065E-4</v>
      </c>
      <c r="AG388" t="s">
        <v>97</v>
      </c>
      <c r="AH388" t="s">
        <v>2172</v>
      </c>
      <c r="AI388">
        <v>0</v>
      </c>
    </row>
    <row r="389" spans="5:35" x14ac:dyDescent="0.45">
      <c r="E389" t="s">
        <v>237</v>
      </c>
      <c r="G389" t="s">
        <v>437</v>
      </c>
      <c r="I389" t="s">
        <v>252</v>
      </c>
      <c r="J389" t="s">
        <v>2173</v>
      </c>
      <c r="K389">
        <v>9.2495864060063633E-6</v>
      </c>
      <c r="L389" t="s">
        <v>254</v>
      </c>
      <c r="N389" t="s">
        <v>422</v>
      </c>
      <c r="O389" t="s">
        <v>2173</v>
      </c>
      <c r="P389">
        <v>1.139310213964E-4</v>
      </c>
      <c r="Q389" t="s">
        <v>254</v>
      </c>
      <c r="S389" t="s">
        <v>423</v>
      </c>
      <c r="T389" t="s">
        <v>2173</v>
      </c>
      <c r="U389">
        <v>1.4049893455870001E-4</v>
      </c>
      <c r="V389" t="s">
        <v>254</v>
      </c>
      <c r="X389">
        <v>1.1415525114155251E-4</v>
      </c>
      <c r="Y389">
        <v>1.7237235744060203E-4</v>
      </c>
      <c r="Z389" t="s">
        <v>2173</v>
      </c>
      <c r="AA389" t="s">
        <v>25</v>
      </c>
      <c r="AC389" t="s">
        <v>22</v>
      </c>
      <c r="AD389" t="s">
        <v>2173</v>
      </c>
      <c r="AE389">
        <v>1.2384709326738574E-4</v>
      </c>
      <c r="AG389" t="s">
        <v>97</v>
      </c>
      <c r="AH389" t="s">
        <v>2173</v>
      </c>
      <c r="AI389">
        <v>0</v>
      </c>
    </row>
    <row r="390" spans="5:35" x14ac:dyDescent="0.45">
      <c r="E390" t="s">
        <v>238</v>
      </c>
      <c r="G390" t="s">
        <v>437</v>
      </c>
      <c r="I390" t="s">
        <v>252</v>
      </c>
      <c r="J390" t="s">
        <v>2174</v>
      </c>
      <c r="K390">
        <v>0</v>
      </c>
      <c r="L390" t="s">
        <v>254</v>
      </c>
      <c r="N390" t="s">
        <v>422</v>
      </c>
      <c r="O390" t="s">
        <v>2174</v>
      </c>
      <c r="P390">
        <v>1.193117447519E-4</v>
      </c>
      <c r="Q390" t="s">
        <v>254</v>
      </c>
      <c r="S390" t="s">
        <v>423</v>
      </c>
      <c r="T390" t="s">
        <v>2174</v>
      </c>
      <c r="U390">
        <v>1.320945387439E-4</v>
      </c>
      <c r="V390" t="s">
        <v>254</v>
      </c>
      <c r="X390">
        <v>1.1415525114155251E-4</v>
      </c>
      <c r="Y390">
        <v>1.5579809230208258E-4</v>
      </c>
      <c r="Z390" t="s">
        <v>2174</v>
      </c>
      <c r="AA390" t="s">
        <v>25</v>
      </c>
      <c r="AC390" t="s">
        <v>22</v>
      </c>
      <c r="AD390" t="s">
        <v>2174</v>
      </c>
      <c r="AE390">
        <v>1.2203665974205588E-4</v>
      </c>
      <c r="AG390" t="s">
        <v>97</v>
      </c>
      <c r="AH390" t="s">
        <v>2174</v>
      </c>
      <c r="AI390">
        <v>0</v>
      </c>
    </row>
    <row r="391" spans="5:35" x14ac:dyDescent="0.45">
      <c r="E391" t="s">
        <v>239</v>
      </c>
      <c r="G391" t="s">
        <v>437</v>
      </c>
      <c r="I391" t="s">
        <v>252</v>
      </c>
      <c r="J391" t="s">
        <v>2175</v>
      </c>
      <c r="K391">
        <v>0</v>
      </c>
      <c r="L391" t="s">
        <v>254</v>
      </c>
      <c r="N391" t="s">
        <v>422</v>
      </c>
      <c r="O391" t="s">
        <v>2175</v>
      </c>
      <c r="P391">
        <v>1.228062093821E-4</v>
      </c>
      <c r="Q391" t="s">
        <v>254</v>
      </c>
      <c r="S391" t="s">
        <v>423</v>
      </c>
      <c r="T391" t="s">
        <v>2175</v>
      </c>
      <c r="U391">
        <v>1.3105297801980001E-4</v>
      </c>
      <c r="V391" t="s">
        <v>254</v>
      </c>
      <c r="X391">
        <v>1.1415525114155251E-4</v>
      </c>
      <c r="Y391">
        <v>1.093901499142282E-4</v>
      </c>
      <c r="Z391" t="s">
        <v>2175</v>
      </c>
      <c r="AA391" t="s">
        <v>25</v>
      </c>
      <c r="AC391" t="s">
        <v>22</v>
      </c>
      <c r="AD391" t="s">
        <v>2175</v>
      </c>
      <c r="AE391">
        <v>1.160964943757547E-4</v>
      </c>
      <c r="AG391" t="s">
        <v>97</v>
      </c>
      <c r="AH391" t="s">
        <v>2175</v>
      </c>
      <c r="AI391">
        <v>0</v>
      </c>
    </row>
    <row r="392" spans="5:35" x14ac:dyDescent="0.45">
      <c r="E392" t="s">
        <v>240</v>
      </c>
      <c r="G392" t="s">
        <v>437</v>
      </c>
      <c r="I392" t="s">
        <v>252</v>
      </c>
      <c r="J392" t="s">
        <v>2176</v>
      </c>
      <c r="K392">
        <v>0</v>
      </c>
      <c r="L392" t="s">
        <v>254</v>
      </c>
      <c r="N392" t="s">
        <v>422</v>
      </c>
      <c r="O392" t="s">
        <v>2176</v>
      </c>
      <c r="P392">
        <v>1.2698004653549999E-4</v>
      </c>
      <c r="Q392" t="s">
        <v>254</v>
      </c>
      <c r="S392" t="s">
        <v>423</v>
      </c>
      <c r="T392" t="s">
        <v>2176</v>
      </c>
      <c r="U392">
        <v>1.3467880362149999E-4</v>
      </c>
      <c r="V392" t="s">
        <v>254</v>
      </c>
      <c r="X392">
        <v>1.1415525114155251E-4</v>
      </c>
      <c r="Y392">
        <v>7.9556472664893237E-5</v>
      </c>
      <c r="Z392" t="s">
        <v>2176</v>
      </c>
      <c r="AA392" t="s">
        <v>25</v>
      </c>
      <c r="AC392" t="s">
        <v>22</v>
      </c>
      <c r="AD392" t="s">
        <v>2176</v>
      </c>
      <c r="AE392">
        <v>1.0917695607131603E-4</v>
      </c>
      <c r="AG392" t="s">
        <v>97</v>
      </c>
      <c r="AH392" t="s">
        <v>2176</v>
      </c>
      <c r="AI392">
        <v>0</v>
      </c>
    </row>
    <row r="393" spans="5:35" x14ac:dyDescent="0.45">
      <c r="E393" t="s">
        <v>241</v>
      </c>
      <c r="G393" t="s">
        <v>437</v>
      </c>
      <c r="I393" t="s">
        <v>252</v>
      </c>
      <c r="J393" t="s">
        <v>2177</v>
      </c>
      <c r="K393">
        <v>0</v>
      </c>
      <c r="L393" t="s">
        <v>254</v>
      </c>
      <c r="N393" t="s">
        <v>422</v>
      </c>
      <c r="O393" t="s">
        <v>2177</v>
      </c>
      <c r="P393">
        <v>1.328116543053E-4</v>
      </c>
      <c r="Q393" t="s">
        <v>254</v>
      </c>
      <c r="S393" t="s">
        <v>423</v>
      </c>
      <c r="T393" t="s">
        <v>2177</v>
      </c>
      <c r="U393">
        <v>1.301730125542E-4</v>
      </c>
      <c r="V393" t="s">
        <v>254</v>
      </c>
      <c r="X393">
        <v>1.1415525114155251E-4</v>
      </c>
      <c r="Y393">
        <v>5.6352501470966035E-5</v>
      </c>
      <c r="Z393" t="s">
        <v>2177</v>
      </c>
      <c r="AA393" t="s">
        <v>25</v>
      </c>
      <c r="AC393" t="s">
        <v>22</v>
      </c>
      <c r="AD393" t="s">
        <v>2177</v>
      </c>
      <c r="AE393">
        <v>8.8543639523453707E-5</v>
      </c>
      <c r="AG393" t="s">
        <v>97</v>
      </c>
      <c r="AH393" t="s">
        <v>2177</v>
      </c>
      <c r="AI393">
        <v>0</v>
      </c>
    </row>
    <row r="394" spans="5:35" x14ac:dyDescent="0.45">
      <c r="E394" t="s">
        <v>242</v>
      </c>
      <c r="G394" t="s">
        <v>437</v>
      </c>
      <c r="I394" t="s">
        <v>252</v>
      </c>
      <c r="J394" t="s">
        <v>2178</v>
      </c>
      <c r="K394">
        <v>0</v>
      </c>
      <c r="L394" t="s">
        <v>254</v>
      </c>
      <c r="N394" t="s">
        <v>422</v>
      </c>
      <c r="O394" t="s">
        <v>2178</v>
      </c>
      <c r="P394">
        <v>1.297217410832E-4</v>
      </c>
      <c r="Q394" t="s">
        <v>254</v>
      </c>
      <c r="S394" t="s">
        <v>423</v>
      </c>
      <c r="T394" t="s">
        <v>2178</v>
      </c>
      <c r="U394">
        <v>1.2255029269009999E-4</v>
      </c>
      <c r="V394" t="s">
        <v>254</v>
      </c>
      <c r="X394">
        <v>1.1415525114155251E-4</v>
      </c>
      <c r="Y394">
        <v>2.9833677249334962E-5</v>
      </c>
      <c r="Z394" t="s">
        <v>2178</v>
      </c>
      <c r="AA394" t="s">
        <v>25</v>
      </c>
      <c r="AC394" t="s">
        <v>22</v>
      </c>
      <c r="AD394" t="s">
        <v>2178</v>
      </c>
      <c r="AE394">
        <v>7.962188448125621E-5</v>
      </c>
      <c r="AG394" t="s">
        <v>97</v>
      </c>
      <c r="AH394" t="s">
        <v>2178</v>
      </c>
      <c r="AI394">
        <v>0</v>
      </c>
    </row>
    <row r="395" spans="5:35" x14ac:dyDescent="0.45">
      <c r="E395" t="s">
        <v>243</v>
      </c>
      <c r="G395" t="s">
        <v>155</v>
      </c>
      <c r="I395" t="s">
        <v>252</v>
      </c>
      <c r="J395" t="s">
        <v>2179</v>
      </c>
      <c r="K395">
        <v>0</v>
      </c>
      <c r="L395" t="s">
        <v>254</v>
      </c>
      <c r="N395" t="s">
        <v>422</v>
      </c>
      <c r="O395" t="s">
        <v>2179</v>
      </c>
      <c r="P395">
        <v>1.4212094062790001E-4</v>
      </c>
      <c r="Q395" t="s">
        <v>254</v>
      </c>
      <c r="S395" t="s">
        <v>423</v>
      </c>
      <c r="T395" t="s">
        <v>2179</v>
      </c>
      <c r="U395">
        <v>1.1668565234459999E-4</v>
      </c>
      <c r="V395" t="s">
        <v>254</v>
      </c>
      <c r="X395">
        <v>1.1415525114155251E-4</v>
      </c>
      <c r="Y395">
        <v>2.1546544680075254E-5</v>
      </c>
      <c r="Z395" t="s">
        <v>2179</v>
      </c>
      <c r="AA395" t="s">
        <v>25</v>
      </c>
      <c r="AC395" t="s">
        <v>22</v>
      </c>
      <c r="AD395" t="s">
        <v>2179</v>
      </c>
      <c r="AE395">
        <v>7.3295595580597964E-5</v>
      </c>
      <c r="AG395" t="s">
        <v>97</v>
      </c>
      <c r="AH395" t="s">
        <v>2179</v>
      </c>
      <c r="AI395">
        <v>0</v>
      </c>
    </row>
    <row r="396" spans="5:35" x14ac:dyDescent="0.45">
      <c r="E396" t="s">
        <v>244</v>
      </c>
      <c r="G396" t="s">
        <v>155</v>
      </c>
      <c r="I396" t="s">
        <v>252</v>
      </c>
      <c r="J396" t="s">
        <v>2180</v>
      </c>
      <c r="K396">
        <v>0</v>
      </c>
      <c r="L396" t="s">
        <v>254</v>
      </c>
      <c r="N396" t="s">
        <v>422</v>
      </c>
      <c r="O396" t="s">
        <v>2180</v>
      </c>
      <c r="P396">
        <v>1.482360513427E-4</v>
      </c>
      <c r="Q396" t="s">
        <v>254</v>
      </c>
      <c r="S396" t="s">
        <v>423</v>
      </c>
      <c r="T396" t="s">
        <v>2180</v>
      </c>
      <c r="U396">
        <v>1.2381431134559999E-4</v>
      </c>
      <c r="V396" t="s">
        <v>254</v>
      </c>
      <c r="X396">
        <v>1.1415525114155251E-4</v>
      </c>
      <c r="Y396">
        <v>1.4916838624667481E-5</v>
      </c>
      <c r="Z396" t="s">
        <v>2180</v>
      </c>
      <c r="AA396" t="s">
        <v>25</v>
      </c>
      <c r="AC396" t="s">
        <v>22</v>
      </c>
      <c r="AD396" t="s">
        <v>2180</v>
      </c>
      <c r="AE396">
        <v>7.0411176065665655E-5</v>
      </c>
      <c r="AG396" t="s">
        <v>97</v>
      </c>
      <c r="AH396" t="s">
        <v>2180</v>
      </c>
      <c r="AI396">
        <v>0</v>
      </c>
    </row>
    <row r="397" spans="5:35" x14ac:dyDescent="0.45">
      <c r="E397" t="s">
        <v>245</v>
      </c>
      <c r="G397" t="s">
        <v>155</v>
      </c>
      <c r="I397" t="s">
        <v>252</v>
      </c>
      <c r="J397" t="s">
        <v>2181</v>
      </c>
      <c r="K397">
        <v>0</v>
      </c>
      <c r="L397" t="s">
        <v>254</v>
      </c>
      <c r="N397" t="s">
        <v>422</v>
      </c>
      <c r="O397" t="s">
        <v>2181</v>
      </c>
      <c r="P397">
        <v>1.4423250073500001E-4</v>
      </c>
      <c r="Q397" t="s">
        <v>254</v>
      </c>
      <c r="S397" t="s">
        <v>423</v>
      </c>
      <c r="T397" t="s">
        <v>2181</v>
      </c>
      <c r="U397">
        <v>1.2615012013929999E-4</v>
      </c>
      <c r="V397" t="s">
        <v>254</v>
      </c>
      <c r="X397">
        <v>1.1415525114155251E-4</v>
      </c>
      <c r="Y397">
        <v>1.6574265138519424E-5</v>
      </c>
      <c r="Z397" t="s">
        <v>2181</v>
      </c>
      <c r="AA397" t="s">
        <v>25</v>
      </c>
      <c r="AC397" t="s">
        <v>22</v>
      </c>
      <c r="AD397" t="s">
        <v>2181</v>
      </c>
      <c r="AE397">
        <v>7.0411176065665655E-5</v>
      </c>
      <c r="AG397" t="s">
        <v>97</v>
      </c>
      <c r="AH397" t="s">
        <v>2181</v>
      </c>
      <c r="AI397">
        <v>0</v>
      </c>
    </row>
    <row r="398" spans="5:35" x14ac:dyDescent="0.45">
      <c r="E398" t="s">
        <v>246</v>
      </c>
      <c r="G398" t="s">
        <v>155</v>
      </c>
      <c r="I398" t="s">
        <v>252</v>
      </c>
      <c r="J398" t="s">
        <v>2182</v>
      </c>
      <c r="K398">
        <v>0</v>
      </c>
      <c r="L398" t="s">
        <v>254</v>
      </c>
      <c r="N398" t="s">
        <v>422</v>
      </c>
      <c r="O398" t="s">
        <v>2182</v>
      </c>
      <c r="P398">
        <v>1.3258945894069999E-4</v>
      </c>
      <c r="Q398" t="s">
        <v>254</v>
      </c>
      <c r="S398" t="s">
        <v>423</v>
      </c>
      <c r="T398" t="s">
        <v>2182</v>
      </c>
      <c r="U398">
        <v>1.239902931921E-4</v>
      </c>
      <c r="V398" t="s">
        <v>254</v>
      </c>
      <c r="X398">
        <v>1.1415525114155251E-4</v>
      </c>
      <c r="Y398">
        <v>1.4585353321897093E-5</v>
      </c>
      <c r="Z398" t="s">
        <v>2182</v>
      </c>
      <c r="AA398" t="s">
        <v>25</v>
      </c>
      <c r="AC398" t="s">
        <v>22</v>
      </c>
      <c r="AD398" t="s">
        <v>2182</v>
      </c>
      <c r="AE398">
        <v>7.0608073497092783E-5</v>
      </c>
      <c r="AG398" t="s">
        <v>97</v>
      </c>
      <c r="AH398" t="s">
        <v>2182</v>
      </c>
      <c r="AI398">
        <v>0</v>
      </c>
    </row>
    <row r="399" spans="5:35" x14ac:dyDescent="0.45">
      <c r="E399" t="s">
        <v>247</v>
      </c>
      <c r="G399" t="s">
        <v>155</v>
      </c>
      <c r="I399" t="s">
        <v>252</v>
      </c>
      <c r="J399" t="s">
        <v>2183</v>
      </c>
      <c r="K399">
        <v>0</v>
      </c>
      <c r="L399" t="s">
        <v>254</v>
      </c>
      <c r="N399" t="s">
        <v>422</v>
      </c>
      <c r="O399" t="s">
        <v>2183</v>
      </c>
      <c r="P399">
        <v>1.2404840044920001E-4</v>
      </c>
      <c r="Q399" t="s">
        <v>254</v>
      </c>
      <c r="S399" t="s">
        <v>423</v>
      </c>
      <c r="T399" t="s">
        <v>2183</v>
      </c>
      <c r="U399">
        <v>1.150300962768E-4</v>
      </c>
      <c r="V399" t="s">
        <v>254</v>
      </c>
      <c r="X399">
        <v>1.1415525114155251E-4</v>
      </c>
      <c r="Y399">
        <v>2.1215059377304864E-5</v>
      </c>
      <c r="Z399" t="s">
        <v>2183</v>
      </c>
      <c r="AA399" t="s">
        <v>25</v>
      </c>
      <c r="AC399" t="s">
        <v>22</v>
      </c>
      <c r="AD399" t="s">
        <v>2183</v>
      </c>
      <c r="AE399">
        <v>7.0804970928519897E-5</v>
      </c>
      <c r="AG399" t="s">
        <v>97</v>
      </c>
      <c r="AH399" t="s">
        <v>2183</v>
      </c>
      <c r="AI399">
        <v>0</v>
      </c>
    </row>
    <row r="400" spans="5:35" x14ac:dyDescent="0.45">
      <c r="E400" t="s">
        <v>248</v>
      </c>
      <c r="G400" t="s">
        <v>155</v>
      </c>
      <c r="I400" t="s">
        <v>252</v>
      </c>
      <c r="J400" t="s">
        <v>2184</v>
      </c>
      <c r="K400">
        <v>0</v>
      </c>
      <c r="L400" t="s">
        <v>254</v>
      </c>
      <c r="N400" t="s">
        <v>422</v>
      </c>
      <c r="O400" t="s">
        <v>2184</v>
      </c>
      <c r="P400">
        <v>1.0833041358709999E-4</v>
      </c>
      <c r="Q400" t="s">
        <v>254</v>
      </c>
      <c r="S400" t="s">
        <v>423</v>
      </c>
      <c r="T400" t="s">
        <v>2184</v>
      </c>
      <c r="U400">
        <v>1.063954275297E-4</v>
      </c>
      <c r="V400" t="s">
        <v>254</v>
      </c>
      <c r="X400">
        <v>1.1415525114155251E-4</v>
      </c>
      <c r="Y400">
        <v>5.7678442682047593E-5</v>
      </c>
      <c r="Z400" t="s">
        <v>2184</v>
      </c>
      <c r="AA400" t="s">
        <v>25</v>
      </c>
      <c r="AC400" t="s">
        <v>22</v>
      </c>
      <c r="AD400" t="s">
        <v>2184</v>
      </c>
      <c r="AE400">
        <v>7.315495455815001E-5</v>
      </c>
      <c r="AG400" t="s">
        <v>97</v>
      </c>
      <c r="AH400" t="s">
        <v>2184</v>
      </c>
      <c r="AI400">
        <v>0</v>
      </c>
    </row>
    <row r="401" spans="5:35" x14ac:dyDescent="0.45">
      <c r="E401" t="s">
        <v>249</v>
      </c>
      <c r="G401" t="s">
        <v>155</v>
      </c>
      <c r="I401" t="s">
        <v>252</v>
      </c>
      <c r="J401" t="s">
        <v>2185</v>
      </c>
      <c r="K401">
        <v>9.4624061618080638E-7</v>
      </c>
      <c r="L401" t="s">
        <v>254</v>
      </c>
      <c r="N401" t="s">
        <v>422</v>
      </c>
      <c r="O401" t="s">
        <v>2185</v>
      </c>
      <c r="P401">
        <v>1.0019220132359999E-4</v>
      </c>
      <c r="Q401" t="s">
        <v>254</v>
      </c>
      <c r="S401" t="s">
        <v>423</v>
      </c>
      <c r="T401" t="s">
        <v>2185</v>
      </c>
      <c r="U401">
        <v>1.0141932447859999E-4</v>
      </c>
      <c r="V401" t="s">
        <v>254</v>
      </c>
      <c r="X401">
        <v>1.1415525114155251E-4</v>
      </c>
      <c r="Y401">
        <v>1.6905750441289813E-4</v>
      </c>
      <c r="Z401" t="s">
        <v>2185</v>
      </c>
      <c r="AA401" t="s">
        <v>25</v>
      </c>
      <c r="AC401" t="s">
        <v>22</v>
      </c>
      <c r="AD401" t="s">
        <v>2185</v>
      </c>
      <c r="AE401">
        <v>7.8662968419111165E-5</v>
      </c>
      <c r="AG401" t="s">
        <v>97</v>
      </c>
      <c r="AH401" t="s">
        <v>2185</v>
      </c>
      <c r="AI401">
        <v>0</v>
      </c>
    </row>
    <row r="402" spans="5:35" x14ac:dyDescent="0.45">
      <c r="E402" t="s">
        <v>250</v>
      </c>
      <c r="G402" t="s">
        <v>155</v>
      </c>
      <c r="I402" t="s">
        <v>252</v>
      </c>
      <c r="J402" t="s">
        <v>2186</v>
      </c>
      <c r="K402">
        <v>3.679150350043665E-5</v>
      </c>
      <c r="L402" t="s">
        <v>254</v>
      </c>
      <c r="N402" t="s">
        <v>422</v>
      </c>
      <c r="O402" t="s">
        <v>2186</v>
      </c>
      <c r="P402">
        <v>9.9727242547905442E-5</v>
      </c>
      <c r="Q402" t="s">
        <v>254</v>
      </c>
      <c r="S402" t="s">
        <v>423</v>
      </c>
      <c r="T402" t="s">
        <v>2186</v>
      </c>
      <c r="U402">
        <v>9.8805974464995566E-5</v>
      </c>
      <c r="V402" t="s">
        <v>254</v>
      </c>
      <c r="X402">
        <v>1.1415525114155251E-4</v>
      </c>
      <c r="Y402">
        <v>1.9060404909297337E-4</v>
      </c>
      <c r="Z402" t="s">
        <v>2186</v>
      </c>
      <c r="AA402" t="s">
        <v>25</v>
      </c>
      <c r="AC402" t="s">
        <v>22</v>
      </c>
      <c r="AD402" t="s">
        <v>2186</v>
      </c>
      <c r="AE402">
        <v>8.7144900627471477E-5</v>
      </c>
      <c r="AG402" t="s">
        <v>97</v>
      </c>
      <c r="AH402" t="s">
        <v>2186</v>
      </c>
      <c r="AI402">
        <v>0</v>
      </c>
    </row>
    <row r="403" spans="5:35" x14ac:dyDescent="0.45">
      <c r="I403" t="s">
        <v>252</v>
      </c>
      <c r="J403" t="s">
        <v>2187</v>
      </c>
      <c r="K403">
        <v>9.0185565472127366E-5</v>
      </c>
      <c r="L403" t="s">
        <v>254</v>
      </c>
      <c r="N403" t="s">
        <v>422</v>
      </c>
      <c r="O403" t="s">
        <v>2187</v>
      </c>
      <c r="P403">
        <v>9.4665317867627282E-5</v>
      </c>
      <c r="Q403" t="s">
        <v>254</v>
      </c>
      <c r="S403" t="s">
        <v>423</v>
      </c>
      <c r="T403" t="s">
        <v>2187</v>
      </c>
      <c r="U403">
        <v>1.070337758897E-4</v>
      </c>
      <c r="V403" t="s">
        <v>254</v>
      </c>
      <c r="X403">
        <v>1.1415525114155251E-4</v>
      </c>
      <c r="Y403">
        <v>1.4585353321897094E-4</v>
      </c>
      <c r="Z403" t="s">
        <v>2187</v>
      </c>
      <c r="AA403" t="s">
        <v>25</v>
      </c>
      <c r="AC403" t="s">
        <v>22</v>
      </c>
      <c r="AD403" t="s">
        <v>2187</v>
      </c>
      <c r="AE403">
        <v>9.6327480838572437E-5</v>
      </c>
      <c r="AG403" t="s">
        <v>97</v>
      </c>
      <c r="AH403" t="s">
        <v>2187</v>
      </c>
      <c r="AI403">
        <v>0</v>
      </c>
    </row>
    <row r="404" spans="5:35" x14ac:dyDescent="0.45">
      <c r="I404" t="s">
        <v>252</v>
      </c>
      <c r="J404" t="s">
        <v>2188</v>
      </c>
      <c r="K404">
        <v>1.5494036887340001E-4</v>
      </c>
      <c r="L404" t="s">
        <v>254</v>
      </c>
      <c r="N404" t="s">
        <v>422</v>
      </c>
      <c r="O404" t="s">
        <v>2188</v>
      </c>
      <c r="P404">
        <v>9.4470342943849718E-5</v>
      </c>
      <c r="Q404" t="s">
        <v>254</v>
      </c>
      <c r="S404" t="s">
        <v>423</v>
      </c>
      <c r="T404" t="s">
        <v>2188</v>
      </c>
      <c r="U404">
        <v>1.069869857311E-4</v>
      </c>
      <c r="V404" t="s">
        <v>254</v>
      </c>
      <c r="X404">
        <v>1.1415525114155251E-4</v>
      </c>
      <c r="Y404">
        <v>1.4452759200788939E-4</v>
      </c>
      <c r="Z404" t="s">
        <v>2188</v>
      </c>
      <c r="AA404" t="s">
        <v>25</v>
      </c>
      <c r="AC404" t="s">
        <v>22</v>
      </c>
      <c r="AD404" t="s">
        <v>2188</v>
      </c>
      <c r="AE404">
        <v>9.9020117141075727E-5</v>
      </c>
      <c r="AG404" t="s">
        <v>97</v>
      </c>
      <c r="AH404" t="s">
        <v>2188</v>
      </c>
      <c r="AI404">
        <v>0</v>
      </c>
    </row>
    <row r="405" spans="5:35" x14ac:dyDescent="0.45">
      <c r="I405" t="s">
        <v>252</v>
      </c>
      <c r="J405" t="s">
        <v>2189</v>
      </c>
      <c r="K405">
        <v>1.902721953692E-4</v>
      </c>
      <c r="L405" t="s">
        <v>254</v>
      </c>
      <c r="N405" t="s">
        <v>422</v>
      </c>
      <c r="O405" t="s">
        <v>2189</v>
      </c>
      <c r="P405">
        <v>1.354378784451E-4</v>
      </c>
      <c r="Q405" t="s">
        <v>254</v>
      </c>
      <c r="S405" t="s">
        <v>423</v>
      </c>
      <c r="T405" t="s">
        <v>2189</v>
      </c>
      <c r="U405">
        <v>1.2787482306480001E-4</v>
      </c>
      <c r="V405" t="s">
        <v>254</v>
      </c>
      <c r="X405">
        <v>1.1415525114155251E-4</v>
      </c>
      <c r="Y405">
        <v>1.408812536774151E-4</v>
      </c>
      <c r="Z405" t="s">
        <v>2189</v>
      </c>
      <c r="AA405" t="s">
        <v>25</v>
      </c>
      <c r="AC405" t="s">
        <v>22</v>
      </c>
      <c r="AD405" t="s">
        <v>2189</v>
      </c>
      <c r="AE405">
        <v>9.9020117141075727E-5</v>
      </c>
      <c r="AG405" t="s">
        <v>97</v>
      </c>
      <c r="AH405" t="s">
        <v>2189</v>
      </c>
      <c r="AI405">
        <v>0</v>
      </c>
    </row>
    <row r="406" spans="5:35" x14ac:dyDescent="0.45">
      <c r="I406" t="s">
        <v>252</v>
      </c>
      <c r="J406" t="s">
        <v>2190</v>
      </c>
      <c r="K406">
        <v>2.2842224607110001E-4</v>
      </c>
      <c r="L406" t="s">
        <v>254</v>
      </c>
      <c r="N406" t="s">
        <v>422</v>
      </c>
      <c r="O406" t="s">
        <v>2190</v>
      </c>
      <c r="P406">
        <v>1.158191778527E-4</v>
      </c>
      <c r="Q406" t="s">
        <v>254</v>
      </c>
      <c r="S406" t="s">
        <v>423</v>
      </c>
      <c r="T406" t="s">
        <v>2190</v>
      </c>
      <c r="U406">
        <v>1.2306425635749999E-4</v>
      </c>
      <c r="V406" t="s">
        <v>254</v>
      </c>
      <c r="X406">
        <v>1.1415525114155251E-4</v>
      </c>
      <c r="Y406">
        <v>1.4054976837464471E-4</v>
      </c>
      <c r="Z406" t="s">
        <v>2190</v>
      </c>
      <c r="AA406" t="s">
        <v>25</v>
      </c>
      <c r="AC406" t="s">
        <v>22</v>
      </c>
      <c r="AD406" t="s">
        <v>2190</v>
      </c>
      <c r="AE406">
        <v>9.8938289637106014E-5</v>
      </c>
      <c r="AG406" t="s">
        <v>97</v>
      </c>
      <c r="AH406" t="s">
        <v>2190</v>
      </c>
      <c r="AI406">
        <v>0</v>
      </c>
    </row>
    <row r="407" spans="5:35" x14ac:dyDescent="0.45">
      <c r="I407" t="s">
        <v>252</v>
      </c>
      <c r="J407" t="s">
        <v>2191</v>
      </c>
      <c r="K407">
        <v>2.382628215116E-4</v>
      </c>
      <c r="L407" t="s">
        <v>254</v>
      </c>
      <c r="N407" t="s">
        <v>422</v>
      </c>
      <c r="O407" t="s">
        <v>2191</v>
      </c>
      <c r="P407">
        <v>8.6896438255563556E-5</v>
      </c>
      <c r="Q407" t="s">
        <v>254</v>
      </c>
      <c r="S407" t="s">
        <v>423</v>
      </c>
      <c r="T407" t="s">
        <v>2191</v>
      </c>
      <c r="U407">
        <v>9.6706820759510559E-5</v>
      </c>
      <c r="V407" t="s">
        <v>254</v>
      </c>
      <c r="X407">
        <v>1.1415525114155251E-4</v>
      </c>
      <c r="Y407">
        <v>1.4253868019126702E-4</v>
      </c>
      <c r="Z407" t="s">
        <v>2191</v>
      </c>
      <c r="AA407" t="s">
        <v>25</v>
      </c>
      <c r="AC407" t="s">
        <v>22</v>
      </c>
      <c r="AD407" t="s">
        <v>2191</v>
      </c>
      <c r="AE407">
        <v>9.8501023912767882E-5</v>
      </c>
      <c r="AG407" t="s">
        <v>97</v>
      </c>
      <c r="AH407" t="s">
        <v>2191</v>
      </c>
      <c r="AI407">
        <v>0</v>
      </c>
    </row>
    <row r="408" spans="5:35" x14ac:dyDescent="0.45">
      <c r="I408" t="s">
        <v>252</v>
      </c>
      <c r="J408" t="s">
        <v>2192</v>
      </c>
      <c r="K408">
        <v>2.5182026176849998E-4</v>
      </c>
      <c r="L408" t="s">
        <v>254</v>
      </c>
      <c r="N408" t="s">
        <v>422</v>
      </c>
      <c r="O408" t="s">
        <v>2192</v>
      </c>
      <c r="P408">
        <v>6.9530287828403073E-5</v>
      </c>
      <c r="Q408" t="s">
        <v>254</v>
      </c>
      <c r="S408" t="s">
        <v>423</v>
      </c>
      <c r="T408" t="s">
        <v>2192</v>
      </c>
      <c r="U408">
        <v>8.4865926288958264E-5</v>
      </c>
      <c r="V408" t="s">
        <v>254</v>
      </c>
      <c r="X408">
        <v>1.1415525114155251E-4</v>
      </c>
      <c r="Y408">
        <v>1.4883690094390442E-4</v>
      </c>
      <c r="Z408" t="s">
        <v>2192</v>
      </c>
      <c r="AA408" t="s">
        <v>25</v>
      </c>
      <c r="AC408" t="s">
        <v>22</v>
      </c>
      <c r="AD408" t="s">
        <v>2192</v>
      </c>
      <c r="AE408">
        <v>9.7828504114516826E-5</v>
      </c>
      <c r="AG408" t="s">
        <v>97</v>
      </c>
      <c r="AH408" t="s">
        <v>2192</v>
      </c>
      <c r="AI408">
        <v>0</v>
      </c>
    </row>
    <row r="409" spans="5:35" x14ac:dyDescent="0.45">
      <c r="I409" t="s">
        <v>252</v>
      </c>
      <c r="J409" t="s">
        <v>2193</v>
      </c>
      <c r="K409">
        <v>2.3888029628310001E-4</v>
      </c>
      <c r="L409" t="s">
        <v>254</v>
      </c>
      <c r="N409" t="s">
        <v>422</v>
      </c>
      <c r="O409" t="s">
        <v>2193</v>
      </c>
      <c r="P409">
        <v>6.5706080009362306E-5</v>
      </c>
      <c r="Q409" t="s">
        <v>254</v>
      </c>
      <c r="S409" t="s">
        <v>423</v>
      </c>
      <c r="T409" t="s">
        <v>2193</v>
      </c>
      <c r="U409">
        <v>8.1239632965796353E-5</v>
      </c>
      <c r="V409" t="s">
        <v>254</v>
      </c>
      <c r="X409">
        <v>1.1415525114155251E-4</v>
      </c>
      <c r="Y409">
        <v>1.5049432745775637E-4</v>
      </c>
      <c r="Z409" t="s">
        <v>2193</v>
      </c>
      <c r="AA409" t="s">
        <v>25</v>
      </c>
      <c r="AC409" t="s">
        <v>22</v>
      </c>
      <c r="AD409" t="s">
        <v>2193</v>
      </c>
      <c r="AE409">
        <v>9.7306853776709914E-5</v>
      </c>
      <c r="AG409" t="s">
        <v>97</v>
      </c>
      <c r="AH409" t="s">
        <v>2193</v>
      </c>
      <c r="AI409">
        <v>0</v>
      </c>
    </row>
    <row r="410" spans="5:35" x14ac:dyDescent="0.45">
      <c r="I410" t="s">
        <v>252</v>
      </c>
      <c r="J410" t="s">
        <v>2194</v>
      </c>
      <c r="K410">
        <v>1.899092404017E-4</v>
      </c>
      <c r="L410" t="s">
        <v>254</v>
      </c>
      <c r="N410" t="s">
        <v>422</v>
      </c>
      <c r="O410" t="s">
        <v>2194</v>
      </c>
      <c r="P410">
        <v>7.0745081395918991E-5</v>
      </c>
      <c r="Q410" t="s">
        <v>254</v>
      </c>
      <c r="S410" t="s">
        <v>423</v>
      </c>
      <c r="T410" t="s">
        <v>2194</v>
      </c>
      <c r="U410">
        <v>8.3090248894324102E-5</v>
      </c>
      <c r="V410" t="s">
        <v>254</v>
      </c>
      <c r="X410">
        <v>1.1415525114155251E-4</v>
      </c>
      <c r="Y410">
        <v>1.7237235744060203E-4</v>
      </c>
      <c r="Z410" t="s">
        <v>2194</v>
      </c>
      <c r="AA410" t="s">
        <v>25</v>
      </c>
      <c r="AC410" t="s">
        <v>22</v>
      </c>
      <c r="AD410" t="s">
        <v>2194</v>
      </c>
      <c r="AE410">
        <v>9.7306853776709914E-5</v>
      </c>
      <c r="AG410" t="s">
        <v>97</v>
      </c>
      <c r="AH410" t="s">
        <v>2194</v>
      </c>
      <c r="AI410">
        <v>0</v>
      </c>
    </row>
    <row r="411" spans="5:35" x14ac:dyDescent="0.45">
      <c r="I411" t="s">
        <v>252</v>
      </c>
      <c r="J411" t="s">
        <v>2195</v>
      </c>
      <c r="K411">
        <v>1.2657098718349999E-4</v>
      </c>
      <c r="L411" t="s">
        <v>254</v>
      </c>
      <c r="N411" t="s">
        <v>422</v>
      </c>
      <c r="O411" t="s">
        <v>2195</v>
      </c>
      <c r="P411">
        <v>8.5926668818101925E-5</v>
      </c>
      <c r="Q411" t="s">
        <v>254</v>
      </c>
      <c r="S411" t="s">
        <v>423</v>
      </c>
      <c r="T411" t="s">
        <v>2195</v>
      </c>
      <c r="U411">
        <v>8.9615450869514265E-5</v>
      </c>
      <c r="V411" t="s">
        <v>254</v>
      </c>
      <c r="X411">
        <v>1.1415525114155251E-4</v>
      </c>
      <c r="Y411">
        <v>2.2209515285616027E-4</v>
      </c>
      <c r="Z411" t="s">
        <v>2195</v>
      </c>
      <c r="AA411" t="s">
        <v>25</v>
      </c>
      <c r="AC411" t="s">
        <v>22</v>
      </c>
      <c r="AD411" t="s">
        <v>2195</v>
      </c>
      <c r="AE411">
        <v>9.6803103205396365E-5</v>
      </c>
      <c r="AG411" t="s">
        <v>97</v>
      </c>
      <c r="AH411" t="s">
        <v>2195</v>
      </c>
      <c r="AI411">
        <v>0</v>
      </c>
    </row>
    <row r="412" spans="5:35" x14ac:dyDescent="0.45">
      <c r="I412" t="s">
        <v>252</v>
      </c>
      <c r="J412" t="s">
        <v>2196</v>
      </c>
      <c r="K412">
        <v>7.3395738468633802E-5</v>
      </c>
      <c r="L412" t="s">
        <v>254</v>
      </c>
      <c r="N412" t="s">
        <v>422</v>
      </c>
      <c r="O412" t="s">
        <v>2196</v>
      </c>
      <c r="P412">
        <v>9.4116445085707715E-5</v>
      </c>
      <c r="Q412" t="s">
        <v>254</v>
      </c>
      <c r="S412" t="s">
        <v>423</v>
      </c>
      <c r="T412" t="s">
        <v>2196</v>
      </c>
      <c r="U412">
        <v>9.6768190649023199E-5</v>
      </c>
      <c r="V412" t="s">
        <v>254</v>
      </c>
      <c r="X412">
        <v>1.1415525114155251E-4</v>
      </c>
      <c r="Y412">
        <v>2.2209515285616027E-4</v>
      </c>
      <c r="Z412" t="s">
        <v>2196</v>
      </c>
      <c r="AA412" t="s">
        <v>25</v>
      </c>
      <c r="AC412" t="s">
        <v>22</v>
      </c>
      <c r="AD412" t="s">
        <v>2196</v>
      </c>
      <c r="AE412">
        <v>9.6803103205396365E-5</v>
      </c>
      <c r="AG412" t="s">
        <v>97</v>
      </c>
      <c r="AH412" t="s">
        <v>2196</v>
      </c>
      <c r="AI412">
        <v>0</v>
      </c>
    </row>
    <row r="413" spans="5:35" x14ac:dyDescent="0.45">
      <c r="I413" t="s">
        <v>252</v>
      </c>
      <c r="J413" t="s">
        <v>2197</v>
      </c>
      <c r="K413">
        <v>2.5047148429164009E-5</v>
      </c>
      <c r="L413" t="s">
        <v>254</v>
      </c>
      <c r="N413" t="s">
        <v>422</v>
      </c>
      <c r="O413" t="s">
        <v>2197</v>
      </c>
      <c r="P413">
        <v>9.3493020476608806E-5</v>
      </c>
      <c r="Q413" t="s">
        <v>254</v>
      </c>
      <c r="S413" t="s">
        <v>423</v>
      </c>
      <c r="T413" t="s">
        <v>2197</v>
      </c>
      <c r="U413">
        <v>9.6275525535177519E-5</v>
      </c>
      <c r="V413" t="s">
        <v>254</v>
      </c>
      <c r="X413">
        <v>1.1415525114155251E-4</v>
      </c>
      <c r="Y413">
        <v>1.7237235744060203E-4</v>
      </c>
      <c r="Z413" t="s">
        <v>2197</v>
      </c>
      <c r="AA413" t="s">
        <v>25</v>
      </c>
      <c r="AC413" t="s">
        <v>22</v>
      </c>
      <c r="AD413" t="s">
        <v>2197</v>
      </c>
      <c r="AE413">
        <v>9.6700818825434261E-5</v>
      </c>
      <c r="AG413" t="s">
        <v>97</v>
      </c>
      <c r="AH413" t="s">
        <v>2197</v>
      </c>
      <c r="AI413">
        <v>0</v>
      </c>
    </row>
    <row r="414" spans="5:35" x14ac:dyDescent="0.45">
      <c r="I414" t="s">
        <v>252</v>
      </c>
      <c r="J414" t="s">
        <v>2198</v>
      </c>
      <c r="K414">
        <v>0</v>
      </c>
      <c r="L414" t="s">
        <v>254</v>
      </c>
      <c r="N414" t="s">
        <v>422</v>
      </c>
      <c r="O414" t="s">
        <v>2198</v>
      </c>
      <c r="P414">
        <v>9.2228954899725737E-5</v>
      </c>
      <c r="Q414" t="s">
        <v>254</v>
      </c>
      <c r="S414" t="s">
        <v>423</v>
      </c>
      <c r="T414" t="s">
        <v>2198</v>
      </c>
      <c r="U414">
        <v>8.9677892533117078E-5</v>
      </c>
      <c r="V414" t="s">
        <v>254</v>
      </c>
      <c r="X414">
        <v>1.1415525114155251E-4</v>
      </c>
      <c r="Y414">
        <v>1.5579809230208258E-4</v>
      </c>
      <c r="Z414" t="s">
        <v>2198</v>
      </c>
      <c r="AA414" t="s">
        <v>25</v>
      </c>
      <c r="AC414" t="s">
        <v>22</v>
      </c>
      <c r="AD414" t="s">
        <v>2198</v>
      </c>
      <c r="AE414">
        <v>9.6700818825434261E-5</v>
      </c>
      <c r="AG414" t="s">
        <v>97</v>
      </c>
      <c r="AH414" t="s">
        <v>2198</v>
      </c>
      <c r="AI414">
        <v>0</v>
      </c>
    </row>
    <row r="415" spans="5:35" x14ac:dyDescent="0.45">
      <c r="I415" t="s">
        <v>252</v>
      </c>
      <c r="J415" t="s">
        <v>2199</v>
      </c>
      <c r="K415">
        <v>0</v>
      </c>
      <c r="L415" t="s">
        <v>254</v>
      </c>
      <c r="N415" t="s">
        <v>422</v>
      </c>
      <c r="O415" t="s">
        <v>2199</v>
      </c>
      <c r="P415">
        <v>9.5595739168070917E-5</v>
      </c>
      <c r="Q415" t="s">
        <v>254</v>
      </c>
      <c r="S415" t="s">
        <v>423</v>
      </c>
      <c r="T415" t="s">
        <v>2199</v>
      </c>
      <c r="U415">
        <v>8.4589574957277873E-5</v>
      </c>
      <c r="V415" t="s">
        <v>254</v>
      </c>
      <c r="X415">
        <v>1.1415525114155251E-4</v>
      </c>
      <c r="Y415">
        <v>1.093901499142282E-4</v>
      </c>
      <c r="Z415" t="s">
        <v>2199</v>
      </c>
      <c r="AA415" t="s">
        <v>25</v>
      </c>
      <c r="AC415" t="s">
        <v>22</v>
      </c>
      <c r="AD415" t="s">
        <v>2199</v>
      </c>
      <c r="AE415">
        <v>9.637862302855349E-5</v>
      </c>
      <c r="AG415" t="s">
        <v>97</v>
      </c>
      <c r="AH415" t="s">
        <v>2199</v>
      </c>
      <c r="AI415">
        <v>0</v>
      </c>
    </row>
    <row r="416" spans="5:35" x14ac:dyDescent="0.45">
      <c r="I416" t="s">
        <v>252</v>
      </c>
      <c r="J416" t="s">
        <v>2200</v>
      </c>
      <c r="K416">
        <v>0</v>
      </c>
      <c r="L416" t="s">
        <v>254</v>
      </c>
      <c r="N416" t="s">
        <v>422</v>
      </c>
      <c r="O416" t="s">
        <v>2200</v>
      </c>
      <c r="P416">
        <v>9.501952464114744E-5</v>
      </c>
      <c r="Q416" t="s">
        <v>254</v>
      </c>
      <c r="S416" t="s">
        <v>423</v>
      </c>
      <c r="T416" t="s">
        <v>2200</v>
      </c>
      <c r="U416">
        <v>8.0768318564798804E-5</v>
      </c>
      <c r="V416" t="s">
        <v>254</v>
      </c>
      <c r="X416">
        <v>1.1415525114155251E-4</v>
      </c>
      <c r="Y416">
        <v>7.9556472664893237E-5</v>
      </c>
      <c r="Z416" t="s">
        <v>2200</v>
      </c>
      <c r="AA416" t="s">
        <v>25</v>
      </c>
      <c r="AC416" t="s">
        <v>22</v>
      </c>
      <c r="AD416" t="s">
        <v>2200</v>
      </c>
      <c r="AE416">
        <v>9.2496930808990354E-5</v>
      </c>
      <c r="AG416" t="s">
        <v>97</v>
      </c>
      <c r="AH416" t="s">
        <v>2200</v>
      </c>
      <c r="AI416">
        <v>0</v>
      </c>
    </row>
    <row r="417" spans="9:35" x14ac:dyDescent="0.45">
      <c r="I417" t="s">
        <v>252</v>
      </c>
      <c r="J417" t="s">
        <v>2201</v>
      </c>
      <c r="K417">
        <v>0</v>
      </c>
      <c r="L417" t="s">
        <v>254</v>
      </c>
      <c r="N417" t="s">
        <v>422</v>
      </c>
      <c r="O417" t="s">
        <v>2201</v>
      </c>
      <c r="P417">
        <v>8.5347539282007757E-5</v>
      </c>
      <c r="Q417" t="s">
        <v>254</v>
      </c>
      <c r="S417" t="s">
        <v>423</v>
      </c>
      <c r="T417" t="s">
        <v>2201</v>
      </c>
      <c r="U417">
        <v>8.6095060237445492E-5</v>
      </c>
      <c r="V417" t="s">
        <v>254</v>
      </c>
      <c r="X417">
        <v>1.1415525114155251E-4</v>
      </c>
      <c r="Y417">
        <v>5.6352501470966035E-5</v>
      </c>
      <c r="Z417" t="s">
        <v>2201</v>
      </c>
      <c r="AA417" t="s">
        <v>25</v>
      </c>
      <c r="AC417" t="s">
        <v>22</v>
      </c>
      <c r="AD417" t="s">
        <v>2201</v>
      </c>
      <c r="AE417">
        <v>8.9546026447082669E-5</v>
      </c>
      <c r="AG417" t="s">
        <v>97</v>
      </c>
      <c r="AH417" t="s">
        <v>2201</v>
      </c>
      <c r="AI417">
        <v>0</v>
      </c>
    </row>
    <row r="418" spans="9:35" x14ac:dyDescent="0.45">
      <c r="I418" t="s">
        <v>252</v>
      </c>
      <c r="J418" t="s">
        <v>2202</v>
      </c>
      <c r="K418">
        <v>0</v>
      </c>
      <c r="L418" t="s">
        <v>254</v>
      </c>
      <c r="N418" t="s">
        <v>422</v>
      </c>
      <c r="O418" t="s">
        <v>2202</v>
      </c>
      <c r="P418">
        <v>7.6096673787327403E-5</v>
      </c>
      <c r="Q418" t="s">
        <v>254</v>
      </c>
      <c r="S418" t="s">
        <v>423</v>
      </c>
      <c r="T418" t="s">
        <v>2202</v>
      </c>
      <c r="U418">
        <v>8.8673666642941746E-5</v>
      </c>
      <c r="V418" t="s">
        <v>254</v>
      </c>
      <c r="X418">
        <v>1.1415525114155251E-4</v>
      </c>
      <c r="Y418">
        <v>2.9833677249334962E-5</v>
      </c>
      <c r="Z418" t="s">
        <v>2202</v>
      </c>
      <c r="AA418" t="s">
        <v>25</v>
      </c>
      <c r="AC418" t="s">
        <v>22</v>
      </c>
      <c r="AD418" t="s">
        <v>2202</v>
      </c>
      <c r="AE418">
        <v>7.996965137312748E-5</v>
      </c>
      <c r="AG418" t="s">
        <v>97</v>
      </c>
      <c r="AH418" t="s">
        <v>2202</v>
      </c>
      <c r="AI418">
        <v>0</v>
      </c>
    </row>
    <row r="419" spans="9:35" x14ac:dyDescent="0.45">
      <c r="I419" t="s">
        <v>252</v>
      </c>
      <c r="J419" t="s">
        <v>2203</v>
      </c>
      <c r="K419">
        <v>0</v>
      </c>
      <c r="L419" t="s">
        <v>254</v>
      </c>
      <c r="N419" t="s">
        <v>422</v>
      </c>
      <c r="O419" t="s">
        <v>2203</v>
      </c>
      <c r="P419">
        <v>6.8225007290585404E-5</v>
      </c>
      <c r="Q419" t="s">
        <v>254</v>
      </c>
      <c r="S419" t="s">
        <v>423</v>
      </c>
      <c r="T419" t="s">
        <v>2203</v>
      </c>
      <c r="U419">
        <v>9.2403011573542407E-5</v>
      </c>
      <c r="V419" t="s">
        <v>254</v>
      </c>
      <c r="X419">
        <v>1.1415525114155251E-4</v>
      </c>
      <c r="Y419">
        <v>2.1546544680075254E-5</v>
      </c>
      <c r="Z419" t="s">
        <v>2203</v>
      </c>
      <c r="AA419" t="s">
        <v>25</v>
      </c>
      <c r="AC419" t="s">
        <v>22</v>
      </c>
      <c r="AD419" t="s">
        <v>2203</v>
      </c>
      <c r="AE419">
        <v>7.3295595580597964E-5</v>
      </c>
      <c r="AG419" t="s">
        <v>97</v>
      </c>
      <c r="AH419" t="s">
        <v>2203</v>
      </c>
      <c r="AI419">
        <v>0</v>
      </c>
    </row>
    <row r="420" spans="9:35" x14ac:dyDescent="0.45">
      <c r="I420" t="s">
        <v>252</v>
      </c>
      <c r="J420" t="s">
        <v>2204</v>
      </c>
      <c r="K420">
        <v>0</v>
      </c>
      <c r="L420" t="s">
        <v>254</v>
      </c>
      <c r="N420" t="s">
        <v>422</v>
      </c>
      <c r="O420" t="s">
        <v>2204</v>
      </c>
      <c r="P420">
        <v>6.1125797182901812E-5</v>
      </c>
      <c r="Q420" t="s">
        <v>254</v>
      </c>
      <c r="S420" t="s">
        <v>423</v>
      </c>
      <c r="T420" t="s">
        <v>2204</v>
      </c>
      <c r="U420">
        <v>8.4679278297710852E-5</v>
      </c>
      <c r="V420" t="s">
        <v>254</v>
      </c>
      <c r="X420">
        <v>1.1415525114155251E-4</v>
      </c>
      <c r="Y420">
        <v>1.4916838624667481E-5</v>
      </c>
      <c r="Z420" t="s">
        <v>2204</v>
      </c>
      <c r="AA420" t="s">
        <v>25</v>
      </c>
      <c r="AC420" t="s">
        <v>22</v>
      </c>
      <c r="AD420" t="s">
        <v>2204</v>
      </c>
      <c r="AE420">
        <v>7.0411176065665669E-5</v>
      </c>
      <c r="AG420" t="s">
        <v>97</v>
      </c>
      <c r="AH420" t="s">
        <v>2204</v>
      </c>
      <c r="AI420">
        <v>0</v>
      </c>
    </row>
    <row r="421" spans="9:35" x14ac:dyDescent="0.45">
      <c r="I421" t="s">
        <v>252</v>
      </c>
      <c r="J421" t="s">
        <v>2205</v>
      </c>
      <c r="K421">
        <v>0</v>
      </c>
      <c r="L421" t="s">
        <v>254</v>
      </c>
      <c r="N421" t="s">
        <v>422</v>
      </c>
      <c r="O421" t="s">
        <v>2205</v>
      </c>
      <c r="P421">
        <v>5.6925980681626497E-5</v>
      </c>
      <c r="Q421" t="s">
        <v>254</v>
      </c>
      <c r="S421" t="s">
        <v>423</v>
      </c>
      <c r="T421" t="s">
        <v>2205</v>
      </c>
      <c r="U421">
        <v>7.6263231349868772E-5</v>
      </c>
      <c r="V421" t="s">
        <v>254</v>
      </c>
      <c r="X421">
        <v>1.1415525114155251E-4</v>
      </c>
      <c r="Y421">
        <v>1.6574265138519424E-5</v>
      </c>
      <c r="Z421" t="s">
        <v>2205</v>
      </c>
      <c r="AA421" t="s">
        <v>25</v>
      </c>
      <c r="AC421" t="s">
        <v>22</v>
      </c>
      <c r="AD421" t="s">
        <v>2205</v>
      </c>
      <c r="AE421">
        <v>7.0411176065665669E-5</v>
      </c>
      <c r="AG421" t="s">
        <v>97</v>
      </c>
      <c r="AH421" t="s">
        <v>2205</v>
      </c>
      <c r="AI421">
        <v>0</v>
      </c>
    </row>
    <row r="422" spans="9:35" x14ac:dyDescent="0.45">
      <c r="I422" t="s">
        <v>252</v>
      </c>
      <c r="J422" t="s">
        <v>2206</v>
      </c>
      <c r="K422">
        <v>0</v>
      </c>
      <c r="L422" t="s">
        <v>254</v>
      </c>
      <c r="N422" t="s">
        <v>422</v>
      </c>
      <c r="O422" t="s">
        <v>2206</v>
      </c>
      <c r="P422">
        <v>5.1084544988345333E-5</v>
      </c>
      <c r="Q422" t="s">
        <v>254</v>
      </c>
      <c r="S422" t="s">
        <v>423</v>
      </c>
      <c r="T422" t="s">
        <v>2206</v>
      </c>
      <c r="U422">
        <v>6.5171334562115225E-5</v>
      </c>
      <c r="V422" t="s">
        <v>254</v>
      </c>
      <c r="X422">
        <v>1.1415525114155251E-4</v>
      </c>
      <c r="Y422">
        <v>1.4585353321897093E-5</v>
      </c>
      <c r="Z422" t="s">
        <v>2206</v>
      </c>
      <c r="AA422" t="s">
        <v>25</v>
      </c>
      <c r="AC422" t="s">
        <v>22</v>
      </c>
      <c r="AD422" t="s">
        <v>2206</v>
      </c>
      <c r="AE422">
        <v>7.0608073497092783E-5</v>
      </c>
      <c r="AG422" t="s">
        <v>97</v>
      </c>
      <c r="AH422" t="s">
        <v>2206</v>
      </c>
      <c r="AI422">
        <v>0</v>
      </c>
    </row>
    <row r="423" spans="9:35" x14ac:dyDescent="0.45">
      <c r="I423" t="s">
        <v>252</v>
      </c>
      <c r="J423" t="s">
        <v>2207</v>
      </c>
      <c r="K423">
        <v>0</v>
      </c>
      <c r="L423" t="s">
        <v>254</v>
      </c>
      <c r="N423" t="s">
        <v>422</v>
      </c>
      <c r="O423" t="s">
        <v>2207</v>
      </c>
      <c r="P423">
        <v>4.4559980354126869E-5</v>
      </c>
      <c r="Q423" t="s">
        <v>254</v>
      </c>
      <c r="S423" t="s">
        <v>423</v>
      </c>
      <c r="T423" t="s">
        <v>2207</v>
      </c>
      <c r="U423">
        <v>5.2469831071098809E-5</v>
      </c>
      <c r="V423" t="s">
        <v>254</v>
      </c>
      <c r="X423">
        <v>1.1415525114155251E-4</v>
      </c>
      <c r="Y423">
        <v>2.1215059377304864E-5</v>
      </c>
      <c r="Z423" t="s">
        <v>2207</v>
      </c>
      <c r="AA423" t="s">
        <v>25</v>
      </c>
      <c r="AC423" t="s">
        <v>22</v>
      </c>
      <c r="AD423" t="s">
        <v>2207</v>
      </c>
      <c r="AE423">
        <v>7.0804970928519897E-5</v>
      </c>
      <c r="AG423" t="s">
        <v>97</v>
      </c>
      <c r="AH423" t="s">
        <v>2207</v>
      </c>
      <c r="AI423">
        <v>0</v>
      </c>
    </row>
    <row r="424" spans="9:35" x14ac:dyDescent="0.45">
      <c r="I424" t="s">
        <v>252</v>
      </c>
      <c r="J424" t="s">
        <v>2208</v>
      </c>
      <c r="K424">
        <v>0</v>
      </c>
      <c r="L424" t="s">
        <v>254</v>
      </c>
      <c r="N424" t="s">
        <v>422</v>
      </c>
      <c r="O424" t="s">
        <v>2208</v>
      </c>
      <c r="P424">
        <v>3.8773877371252158E-5</v>
      </c>
      <c r="Q424" t="s">
        <v>254</v>
      </c>
      <c r="S424" t="s">
        <v>423</v>
      </c>
      <c r="T424" t="s">
        <v>2208</v>
      </c>
      <c r="U424">
        <v>4.486503031639383E-5</v>
      </c>
      <c r="V424" t="s">
        <v>254</v>
      </c>
      <c r="X424">
        <v>1.1415525114155251E-4</v>
      </c>
      <c r="Y424">
        <v>5.7678442682047593E-5</v>
      </c>
      <c r="Z424" t="s">
        <v>2208</v>
      </c>
      <c r="AA424" t="s">
        <v>25</v>
      </c>
      <c r="AC424" t="s">
        <v>22</v>
      </c>
      <c r="AD424" t="s">
        <v>2208</v>
      </c>
      <c r="AE424">
        <v>7.3154954558150024E-5</v>
      </c>
      <c r="AG424" t="s">
        <v>97</v>
      </c>
      <c r="AH424" t="s">
        <v>2208</v>
      </c>
      <c r="AI424">
        <v>0</v>
      </c>
    </row>
    <row r="425" spans="9:35" x14ac:dyDescent="0.45">
      <c r="I425" t="s">
        <v>252</v>
      </c>
      <c r="J425" t="s">
        <v>2209</v>
      </c>
      <c r="K425">
        <v>4.5550529325253807E-9</v>
      </c>
      <c r="L425" t="s">
        <v>254</v>
      </c>
      <c r="N425" t="s">
        <v>422</v>
      </c>
      <c r="O425" t="s">
        <v>2209</v>
      </c>
      <c r="P425">
        <v>3.5438435994494416E-5</v>
      </c>
      <c r="Q425" t="s">
        <v>254</v>
      </c>
      <c r="S425" t="s">
        <v>423</v>
      </c>
      <c r="T425" t="s">
        <v>2209</v>
      </c>
      <c r="U425">
        <v>4.5186812063855732E-5</v>
      </c>
      <c r="V425" t="s">
        <v>254</v>
      </c>
      <c r="X425">
        <v>1.1415525114155251E-4</v>
      </c>
      <c r="Y425">
        <v>1.6905750441289813E-4</v>
      </c>
      <c r="Z425" t="s">
        <v>2209</v>
      </c>
      <c r="AA425" t="s">
        <v>25</v>
      </c>
      <c r="AC425" t="s">
        <v>22</v>
      </c>
      <c r="AD425" t="s">
        <v>2209</v>
      </c>
      <c r="AE425">
        <v>7.8662968419111165E-5</v>
      </c>
      <c r="AG425" t="s">
        <v>97</v>
      </c>
      <c r="AH425" t="s">
        <v>2209</v>
      </c>
      <c r="AI425">
        <v>0</v>
      </c>
    </row>
    <row r="426" spans="9:35" x14ac:dyDescent="0.45">
      <c r="I426" t="s">
        <v>252</v>
      </c>
      <c r="J426" t="s">
        <v>2210</v>
      </c>
      <c r="K426">
        <v>8.5148882796186052E-5</v>
      </c>
      <c r="L426" t="s">
        <v>254</v>
      </c>
      <c r="N426" t="s">
        <v>422</v>
      </c>
      <c r="O426" t="s">
        <v>2210</v>
      </c>
      <c r="P426">
        <v>3.5169492605064122E-5</v>
      </c>
      <c r="Q426" t="s">
        <v>254</v>
      </c>
      <c r="S426" t="s">
        <v>423</v>
      </c>
      <c r="T426" t="s">
        <v>2210</v>
      </c>
      <c r="U426">
        <v>4.4644829179646807E-5</v>
      </c>
      <c r="V426" t="s">
        <v>254</v>
      </c>
      <c r="X426">
        <v>1.1415525114155251E-4</v>
      </c>
      <c r="Y426">
        <v>1.9060404909297337E-4</v>
      </c>
      <c r="Z426" t="s">
        <v>2210</v>
      </c>
      <c r="AA426" t="s">
        <v>25</v>
      </c>
      <c r="AC426" t="s">
        <v>22</v>
      </c>
      <c r="AD426" t="s">
        <v>2210</v>
      </c>
      <c r="AE426">
        <v>8.7300884306913728E-5</v>
      </c>
      <c r="AG426" t="s">
        <v>97</v>
      </c>
      <c r="AH426" t="s">
        <v>2210</v>
      </c>
      <c r="AI426">
        <v>0</v>
      </c>
    </row>
    <row r="427" spans="9:35" x14ac:dyDescent="0.45">
      <c r="I427" t="s">
        <v>252</v>
      </c>
      <c r="J427" t="s">
        <v>2211</v>
      </c>
      <c r="K427">
        <v>1.3675084524680001E-4</v>
      </c>
      <c r="L427" t="s">
        <v>254</v>
      </c>
      <c r="N427" t="s">
        <v>422</v>
      </c>
      <c r="O427" t="s">
        <v>2211</v>
      </c>
      <c r="P427">
        <v>3.0447131453054867E-5</v>
      </c>
      <c r="Q427" t="s">
        <v>254</v>
      </c>
      <c r="S427" t="s">
        <v>423</v>
      </c>
      <c r="T427" t="s">
        <v>2211</v>
      </c>
      <c r="U427">
        <v>4.2892382714275448E-5</v>
      </c>
      <c r="V427" t="s">
        <v>254</v>
      </c>
      <c r="X427">
        <v>1.1415525114155251E-4</v>
      </c>
      <c r="Y427">
        <v>1.4585353321897094E-4</v>
      </c>
      <c r="Z427" t="s">
        <v>2211</v>
      </c>
      <c r="AA427" t="s">
        <v>25</v>
      </c>
      <c r="AC427" t="s">
        <v>22</v>
      </c>
      <c r="AD427" t="s">
        <v>2211</v>
      </c>
      <c r="AE427">
        <v>9.6751961015415313E-5</v>
      </c>
      <c r="AG427" t="s">
        <v>97</v>
      </c>
      <c r="AH427" t="s">
        <v>2211</v>
      </c>
      <c r="AI427">
        <v>0</v>
      </c>
    </row>
    <row r="428" spans="9:35" x14ac:dyDescent="0.45">
      <c r="I428" t="s">
        <v>252</v>
      </c>
      <c r="J428" t="s">
        <v>2212</v>
      </c>
      <c r="K428">
        <v>2.005456090554E-4</v>
      </c>
      <c r="L428" t="s">
        <v>254</v>
      </c>
      <c r="N428" t="s">
        <v>422</v>
      </c>
      <c r="O428" t="s">
        <v>2212</v>
      </c>
      <c r="P428">
        <v>2.7980070937000404E-5</v>
      </c>
      <c r="Q428" t="s">
        <v>254</v>
      </c>
      <c r="S428" t="s">
        <v>423</v>
      </c>
      <c r="T428" t="s">
        <v>2212</v>
      </c>
      <c r="U428">
        <v>5.3876673721443113E-5</v>
      </c>
      <c r="V428" t="s">
        <v>254</v>
      </c>
      <c r="X428">
        <v>1.1415525114155251E-4</v>
      </c>
      <c r="Y428">
        <v>1.4452759200788939E-4</v>
      </c>
      <c r="Z428" t="s">
        <v>2212</v>
      </c>
      <c r="AA428" t="s">
        <v>25</v>
      </c>
      <c r="AC428" t="s">
        <v>22</v>
      </c>
      <c r="AD428" t="s">
        <v>2212</v>
      </c>
      <c r="AE428">
        <v>9.9188886368013234E-5</v>
      </c>
      <c r="AG428" t="s">
        <v>97</v>
      </c>
      <c r="AH428" t="s">
        <v>2212</v>
      </c>
      <c r="AI428">
        <v>0</v>
      </c>
    </row>
    <row r="429" spans="9:35" x14ac:dyDescent="0.45">
      <c r="I429" t="s">
        <v>252</v>
      </c>
      <c r="J429" t="s">
        <v>2213</v>
      </c>
      <c r="K429">
        <v>2.407209652661E-4</v>
      </c>
      <c r="L429" t="s">
        <v>254</v>
      </c>
      <c r="N429" t="s">
        <v>422</v>
      </c>
      <c r="O429" t="s">
        <v>2213</v>
      </c>
      <c r="P429">
        <v>2.0379962996756748E-5</v>
      </c>
      <c r="Q429" t="s">
        <v>254</v>
      </c>
      <c r="S429" t="s">
        <v>423</v>
      </c>
      <c r="T429" t="s">
        <v>2213</v>
      </c>
      <c r="U429">
        <v>4.8278646558504897E-5</v>
      </c>
      <c r="V429" t="s">
        <v>254</v>
      </c>
      <c r="X429">
        <v>1.1415525114155251E-4</v>
      </c>
      <c r="Y429">
        <v>1.408812536774151E-4</v>
      </c>
      <c r="Z429" t="s">
        <v>2213</v>
      </c>
      <c r="AA429" t="s">
        <v>25</v>
      </c>
      <c r="AC429" t="s">
        <v>22</v>
      </c>
      <c r="AD429" t="s">
        <v>2213</v>
      </c>
      <c r="AE429">
        <v>9.8815548381151437E-5</v>
      </c>
      <c r="AG429" t="s">
        <v>97</v>
      </c>
      <c r="AH429" t="s">
        <v>2213</v>
      </c>
      <c r="AI429">
        <v>0</v>
      </c>
    </row>
    <row r="430" spans="9:35" x14ac:dyDescent="0.45">
      <c r="I430" t="s">
        <v>252</v>
      </c>
      <c r="J430" t="s">
        <v>2214</v>
      </c>
      <c r="K430">
        <v>2.5452373587779998E-4</v>
      </c>
      <c r="L430" t="s">
        <v>254</v>
      </c>
      <c r="N430" t="s">
        <v>422</v>
      </c>
      <c r="O430" t="s">
        <v>2214</v>
      </c>
      <c r="P430">
        <v>1.8412402279963162E-5</v>
      </c>
      <c r="Q430" t="s">
        <v>254</v>
      </c>
      <c r="S430" t="s">
        <v>423</v>
      </c>
      <c r="T430" t="s">
        <v>2214</v>
      </c>
      <c r="U430">
        <v>3.9619091852767039E-5</v>
      </c>
      <c r="V430" t="s">
        <v>254</v>
      </c>
      <c r="X430">
        <v>1.1415525114155251E-4</v>
      </c>
      <c r="Y430">
        <v>1.4054976837464471E-4</v>
      </c>
      <c r="Z430" t="s">
        <v>2214</v>
      </c>
      <c r="AA430" t="s">
        <v>25</v>
      </c>
      <c r="AC430" t="s">
        <v>22</v>
      </c>
      <c r="AD430" t="s">
        <v>2214</v>
      </c>
      <c r="AE430">
        <v>9.8766963300669425E-5</v>
      </c>
      <c r="AG430" t="s">
        <v>97</v>
      </c>
      <c r="AH430" t="s">
        <v>2214</v>
      </c>
      <c r="AI430">
        <v>0</v>
      </c>
    </row>
    <row r="431" spans="9:35" x14ac:dyDescent="0.45">
      <c r="I431" t="s">
        <v>252</v>
      </c>
      <c r="J431" t="s">
        <v>2215</v>
      </c>
      <c r="K431">
        <v>2.2278587053669999E-4</v>
      </c>
      <c r="L431" t="s">
        <v>254</v>
      </c>
      <c r="N431" t="s">
        <v>422</v>
      </c>
      <c r="O431" t="s">
        <v>2215</v>
      </c>
      <c r="P431">
        <v>1.547376404978127E-5</v>
      </c>
      <c r="Q431" t="s">
        <v>254</v>
      </c>
      <c r="S431" t="s">
        <v>423</v>
      </c>
      <c r="T431" t="s">
        <v>2215</v>
      </c>
      <c r="U431">
        <v>3.5980840008205393E-5</v>
      </c>
      <c r="V431" t="s">
        <v>254</v>
      </c>
      <c r="X431">
        <v>1.1415525114155251E-4</v>
      </c>
      <c r="Y431">
        <v>1.4253868019126702E-4</v>
      </c>
      <c r="Z431" t="s">
        <v>2215</v>
      </c>
      <c r="AA431" t="s">
        <v>25</v>
      </c>
      <c r="AC431" t="s">
        <v>22</v>
      </c>
      <c r="AD431" t="s">
        <v>2215</v>
      </c>
      <c r="AE431">
        <v>9.832969757633128E-5</v>
      </c>
      <c r="AG431" t="s">
        <v>97</v>
      </c>
      <c r="AH431" t="s">
        <v>2215</v>
      </c>
      <c r="AI431">
        <v>0</v>
      </c>
    </row>
    <row r="432" spans="9:35" x14ac:dyDescent="0.45">
      <c r="I432" t="s">
        <v>252</v>
      </c>
      <c r="J432" t="s">
        <v>2216</v>
      </c>
      <c r="K432">
        <v>2.1281567441340001E-4</v>
      </c>
      <c r="L432" t="s">
        <v>254</v>
      </c>
      <c r="N432" t="s">
        <v>422</v>
      </c>
      <c r="O432" t="s">
        <v>2216</v>
      </c>
      <c r="P432">
        <v>1.314157839833316E-5</v>
      </c>
      <c r="Q432" t="s">
        <v>254</v>
      </c>
      <c r="S432" t="s">
        <v>423</v>
      </c>
      <c r="T432" t="s">
        <v>2216</v>
      </c>
      <c r="U432">
        <v>2.9526486909560748E-5</v>
      </c>
      <c r="V432" t="s">
        <v>254</v>
      </c>
      <c r="X432">
        <v>1.1415525114155251E-4</v>
      </c>
      <c r="Y432">
        <v>1.4883690094390442E-4</v>
      </c>
      <c r="Z432" t="s">
        <v>2216</v>
      </c>
      <c r="AA432" t="s">
        <v>25</v>
      </c>
      <c r="AC432" t="s">
        <v>22</v>
      </c>
      <c r="AD432" t="s">
        <v>2216</v>
      </c>
      <c r="AE432">
        <v>9.7450051908656908E-5</v>
      </c>
      <c r="AG432" t="s">
        <v>97</v>
      </c>
      <c r="AH432" t="s">
        <v>2216</v>
      </c>
      <c r="AI432">
        <v>0</v>
      </c>
    </row>
    <row r="433" spans="9:35" x14ac:dyDescent="0.45">
      <c r="I433" t="s">
        <v>252</v>
      </c>
      <c r="J433" t="s">
        <v>2217</v>
      </c>
      <c r="K433">
        <v>2.0875444507029999E-4</v>
      </c>
      <c r="L433" t="s">
        <v>254</v>
      </c>
      <c r="N433" t="s">
        <v>422</v>
      </c>
      <c r="O433" t="s">
        <v>2217</v>
      </c>
      <c r="P433">
        <v>1.3038277821083374E-5</v>
      </c>
      <c r="Q433" t="s">
        <v>254</v>
      </c>
      <c r="S433" t="s">
        <v>423</v>
      </c>
      <c r="T433" t="s">
        <v>2217</v>
      </c>
      <c r="U433">
        <v>2.8430423251304451E-5</v>
      </c>
      <c r="V433" t="s">
        <v>254</v>
      </c>
      <c r="X433">
        <v>1.1415525114155251E-4</v>
      </c>
      <c r="Y433">
        <v>1.5049432745775637E-4</v>
      </c>
      <c r="Z433" t="s">
        <v>2217</v>
      </c>
      <c r="AA433" t="s">
        <v>25</v>
      </c>
      <c r="AC433" t="s">
        <v>22</v>
      </c>
      <c r="AD433" t="s">
        <v>2217</v>
      </c>
      <c r="AE433">
        <v>9.7097170797787516E-5</v>
      </c>
      <c r="AG433" t="s">
        <v>97</v>
      </c>
      <c r="AH433" t="s">
        <v>2217</v>
      </c>
      <c r="AI433">
        <v>0</v>
      </c>
    </row>
    <row r="434" spans="9:35" x14ac:dyDescent="0.45">
      <c r="I434" t="s">
        <v>252</v>
      </c>
      <c r="J434" t="s">
        <v>2218</v>
      </c>
      <c r="K434">
        <v>1.7391934782060001E-4</v>
      </c>
      <c r="L434" t="s">
        <v>254</v>
      </c>
      <c r="N434" t="s">
        <v>422</v>
      </c>
      <c r="O434" t="s">
        <v>2218</v>
      </c>
      <c r="P434">
        <v>1.4810386139317004E-5</v>
      </c>
      <c r="Q434" t="s">
        <v>254</v>
      </c>
      <c r="S434" t="s">
        <v>423</v>
      </c>
      <c r="T434" t="s">
        <v>2218</v>
      </c>
      <c r="U434">
        <v>3.250923209365187E-5</v>
      </c>
      <c r="V434" t="s">
        <v>254</v>
      </c>
      <c r="X434">
        <v>1.1415525114155251E-4</v>
      </c>
      <c r="Y434">
        <v>1.7237235744060203E-4</v>
      </c>
      <c r="Z434" t="s">
        <v>2218</v>
      </c>
      <c r="AA434" t="s">
        <v>25</v>
      </c>
      <c r="AC434" t="s">
        <v>22</v>
      </c>
      <c r="AD434" t="s">
        <v>2218</v>
      </c>
      <c r="AE434">
        <v>9.7097170797787516E-5</v>
      </c>
      <c r="AG434" t="s">
        <v>97</v>
      </c>
      <c r="AH434" t="s">
        <v>2218</v>
      </c>
      <c r="AI434">
        <v>0</v>
      </c>
    </row>
    <row r="435" spans="9:35" x14ac:dyDescent="0.45">
      <c r="I435" t="s">
        <v>252</v>
      </c>
      <c r="J435" t="s">
        <v>2219</v>
      </c>
      <c r="K435">
        <v>1.4974242404829999E-4</v>
      </c>
      <c r="L435" t="s">
        <v>254</v>
      </c>
      <c r="N435" t="s">
        <v>422</v>
      </c>
      <c r="O435" t="s">
        <v>2219</v>
      </c>
      <c r="P435">
        <v>2.0024927658302161E-5</v>
      </c>
      <c r="Q435" t="s">
        <v>254</v>
      </c>
      <c r="S435" t="s">
        <v>423</v>
      </c>
      <c r="T435" t="s">
        <v>2219</v>
      </c>
      <c r="U435">
        <v>4.0163706551767392E-5</v>
      </c>
      <c r="V435" t="s">
        <v>254</v>
      </c>
      <c r="X435">
        <v>1.1415525114155251E-4</v>
      </c>
      <c r="Y435">
        <v>2.2209515285616027E-4</v>
      </c>
      <c r="Z435" t="s">
        <v>2219</v>
      </c>
      <c r="AA435" t="s">
        <v>25</v>
      </c>
      <c r="AC435" t="s">
        <v>22</v>
      </c>
      <c r="AD435" t="s">
        <v>2219</v>
      </c>
      <c r="AE435">
        <v>9.6631776868959804E-5</v>
      </c>
      <c r="AG435" t="s">
        <v>97</v>
      </c>
      <c r="AH435" t="s">
        <v>2219</v>
      </c>
      <c r="AI435">
        <v>0</v>
      </c>
    </row>
    <row r="436" spans="9:35" x14ac:dyDescent="0.45">
      <c r="I436" t="s">
        <v>252</v>
      </c>
      <c r="J436" t="s">
        <v>2220</v>
      </c>
      <c r="K436">
        <v>1.070859717694E-4</v>
      </c>
      <c r="L436" t="s">
        <v>254</v>
      </c>
      <c r="N436" t="s">
        <v>422</v>
      </c>
      <c r="O436" t="s">
        <v>2220</v>
      </c>
      <c r="P436">
        <v>2.7924191416968677E-5</v>
      </c>
      <c r="Q436" t="s">
        <v>254</v>
      </c>
      <c r="S436" t="s">
        <v>423</v>
      </c>
      <c r="T436" t="s">
        <v>2220</v>
      </c>
      <c r="U436">
        <v>4.6548713269807335E-5</v>
      </c>
      <c r="V436" t="s">
        <v>254</v>
      </c>
      <c r="X436">
        <v>1.1415525114155251E-4</v>
      </c>
      <c r="Y436">
        <v>2.2209515285616027E-4</v>
      </c>
      <c r="Z436" t="s">
        <v>2220</v>
      </c>
      <c r="AA436" t="s">
        <v>25</v>
      </c>
      <c r="AC436" t="s">
        <v>22</v>
      </c>
      <c r="AD436" t="s">
        <v>2220</v>
      </c>
      <c r="AE436">
        <v>9.6631776868959804E-5</v>
      </c>
      <c r="AG436" t="s">
        <v>97</v>
      </c>
      <c r="AH436" t="s">
        <v>2220</v>
      </c>
      <c r="AI436">
        <v>0</v>
      </c>
    </row>
    <row r="437" spans="9:35" x14ac:dyDescent="0.45">
      <c r="I437" t="s">
        <v>252</v>
      </c>
      <c r="J437" t="s">
        <v>2221</v>
      </c>
      <c r="K437">
        <v>2.6566143556366951E-5</v>
      </c>
      <c r="L437" t="s">
        <v>254</v>
      </c>
      <c r="N437" t="s">
        <v>422</v>
      </c>
      <c r="O437" t="s">
        <v>2221</v>
      </c>
      <c r="P437">
        <v>3.4537897763813287E-5</v>
      </c>
      <c r="Q437" t="s">
        <v>254</v>
      </c>
      <c r="S437" t="s">
        <v>423</v>
      </c>
      <c r="T437" t="s">
        <v>2221</v>
      </c>
      <c r="U437">
        <v>4.8007963490430373E-5</v>
      </c>
      <c r="V437" t="s">
        <v>254</v>
      </c>
      <c r="X437">
        <v>1.1415525114155251E-4</v>
      </c>
      <c r="Y437">
        <v>1.7237235744060203E-4</v>
      </c>
      <c r="Z437" t="s">
        <v>2221</v>
      </c>
      <c r="AA437" t="s">
        <v>25</v>
      </c>
      <c r="AC437" t="s">
        <v>22</v>
      </c>
      <c r="AD437" t="s">
        <v>2221</v>
      </c>
      <c r="AE437">
        <v>9.6700818825434261E-5</v>
      </c>
      <c r="AG437" t="s">
        <v>97</v>
      </c>
      <c r="AH437" t="s">
        <v>2221</v>
      </c>
      <c r="AI437">
        <v>0</v>
      </c>
    </row>
    <row r="438" spans="9:35" x14ac:dyDescent="0.45">
      <c r="I438" t="s">
        <v>252</v>
      </c>
      <c r="J438" t="s">
        <v>2222</v>
      </c>
      <c r="K438">
        <v>0</v>
      </c>
      <c r="L438" t="s">
        <v>254</v>
      </c>
      <c r="N438" t="s">
        <v>422</v>
      </c>
      <c r="O438" t="s">
        <v>2222</v>
      </c>
      <c r="P438">
        <v>3.8928649335200881E-5</v>
      </c>
      <c r="Q438" t="s">
        <v>254</v>
      </c>
      <c r="S438" t="s">
        <v>423</v>
      </c>
      <c r="T438" t="s">
        <v>2222</v>
      </c>
      <c r="U438">
        <v>4.6488975933315545E-5</v>
      </c>
      <c r="V438" t="s">
        <v>254</v>
      </c>
      <c r="X438">
        <v>1.1415525114155251E-4</v>
      </c>
      <c r="Y438">
        <v>1.5579809230208258E-4</v>
      </c>
      <c r="Z438" t="s">
        <v>2222</v>
      </c>
      <c r="AA438" t="s">
        <v>25</v>
      </c>
      <c r="AC438" t="s">
        <v>22</v>
      </c>
      <c r="AD438" t="s">
        <v>2222</v>
      </c>
      <c r="AE438">
        <v>9.6700818825434261E-5</v>
      </c>
      <c r="AG438" t="s">
        <v>97</v>
      </c>
      <c r="AH438" t="s">
        <v>2222</v>
      </c>
      <c r="AI438">
        <v>0</v>
      </c>
    </row>
    <row r="439" spans="9:35" x14ac:dyDescent="0.45">
      <c r="I439" t="s">
        <v>252</v>
      </c>
      <c r="J439" t="s">
        <v>2223</v>
      </c>
      <c r="K439">
        <v>0</v>
      </c>
      <c r="L439" t="s">
        <v>254</v>
      </c>
      <c r="N439" t="s">
        <v>422</v>
      </c>
      <c r="O439" t="s">
        <v>2223</v>
      </c>
      <c r="P439">
        <v>4.0325855771564639E-5</v>
      </c>
      <c r="Q439" t="s">
        <v>254</v>
      </c>
      <c r="S439" t="s">
        <v>423</v>
      </c>
      <c r="T439" t="s">
        <v>2223</v>
      </c>
      <c r="U439">
        <v>4.4281891338095738E-5</v>
      </c>
      <c r="V439" t="s">
        <v>254</v>
      </c>
      <c r="X439">
        <v>1.1415525114155251E-4</v>
      </c>
      <c r="Y439">
        <v>1.093901499142282E-4</v>
      </c>
      <c r="Z439" t="s">
        <v>2223</v>
      </c>
      <c r="AA439" t="s">
        <v>25</v>
      </c>
      <c r="AC439" t="s">
        <v>22</v>
      </c>
      <c r="AD439" t="s">
        <v>2223</v>
      </c>
      <c r="AE439">
        <v>9.6002727932192653E-5</v>
      </c>
      <c r="AG439" t="s">
        <v>97</v>
      </c>
      <c r="AH439" t="s">
        <v>2223</v>
      </c>
      <c r="AI439">
        <v>0</v>
      </c>
    </row>
    <row r="440" spans="9:35" x14ac:dyDescent="0.45">
      <c r="I440" t="s">
        <v>252</v>
      </c>
      <c r="J440" t="s">
        <v>2224</v>
      </c>
      <c r="K440">
        <v>0</v>
      </c>
      <c r="L440" t="s">
        <v>254</v>
      </c>
      <c r="N440" t="s">
        <v>422</v>
      </c>
      <c r="O440" t="s">
        <v>2224</v>
      </c>
      <c r="P440">
        <v>3.8889223390734371E-5</v>
      </c>
      <c r="Q440" t="s">
        <v>254</v>
      </c>
      <c r="S440" t="s">
        <v>423</v>
      </c>
      <c r="T440" t="s">
        <v>2224</v>
      </c>
      <c r="U440">
        <v>4.8276217726564313E-5</v>
      </c>
      <c r="V440" t="s">
        <v>254</v>
      </c>
      <c r="X440">
        <v>1.1415525114155251E-4</v>
      </c>
      <c r="Y440">
        <v>7.9556472664893237E-5</v>
      </c>
      <c r="Z440" t="s">
        <v>2224</v>
      </c>
      <c r="AA440" t="s">
        <v>25</v>
      </c>
      <c r="AC440" t="s">
        <v>22</v>
      </c>
      <c r="AD440" t="s">
        <v>2224</v>
      </c>
      <c r="AE440">
        <v>9.2530173232478069E-5</v>
      </c>
      <c r="AG440" t="s">
        <v>97</v>
      </c>
      <c r="AH440" t="s">
        <v>2224</v>
      </c>
      <c r="AI440">
        <v>0</v>
      </c>
    </row>
    <row r="441" spans="9:35" x14ac:dyDescent="0.45">
      <c r="I441" t="s">
        <v>252</v>
      </c>
      <c r="J441" t="s">
        <v>2225</v>
      </c>
      <c r="K441">
        <v>0</v>
      </c>
      <c r="L441" t="s">
        <v>254</v>
      </c>
      <c r="N441" t="s">
        <v>422</v>
      </c>
      <c r="O441" t="s">
        <v>2225</v>
      </c>
      <c r="P441">
        <v>3.8301548640012183E-5</v>
      </c>
      <c r="Q441" t="s">
        <v>254</v>
      </c>
      <c r="S441" t="s">
        <v>423</v>
      </c>
      <c r="T441" t="s">
        <v>2225</v>
      </c>
      <c r="U441">
        <v>5.6437357634780143E-5</v>
      </c>
      <c r="V441" t="s">
        <v>254</v>
      </c>
      <c r="X441">
        <v>1.1415525114155251E-4</v>
      </c>
      <c r="Y441">
        <v>5.6352501470966035E-5</v>
      </c>
      <c r="Z441" t="s">
        <v>2225</v>
      </c>
      <c r="AA441" t="s">
        <v>25</v>
      </c>
      <c r="AC441" t="s">
        <v>22</v>
      </c>
      <c r="AD441" t="s">
        <v>2225</v>
      </c>
      <c r="AE441">
        <v>9.4657688335690542E-5</v>
      </c>
      <c r="AG441" t="s">
        <v>97</v>
      </c>
      <c r="AH441" t="s">
        <v>2225</v>
      </c>
      <c r="AI441">
        <v>0</v>
      </c>
    </row>
    <row r="442" spans="9:35" x14ac:dyDescent="0.45">
      <c r="I442" t="s">
        <v>252</v>
      </c>
      <c r="J442" t="s">
        <v>2226</v>
      </c>
      <c r="K442">
        <v>0</v>
      </c>
      <c r="L442" t="s">
        <v>254</v>
      </c>
      <c r="N442" t="s">
        <v>422</v>
      </c>
      <c r="O442" t="s">
        <v>2226</v>
      </c>
      <c r="P442">
        <v>3.3654031881671714E-5</v>
      </c>
      <c r="Q442" t="s">
        <v>254</v>
      </c>
      <c r="S442" t="s">
        <v>423</v>
      </c>
      <c r="T442" t="s">
        <v>2226</v>
      </c>
      <c r="U442">
        <v>4.68466141657026E-5</v>
      </c>
      <c r="V442" t="s">
        <v>254</v>
      </c>
      <c r="X442">
        <v>1.1415525114155251E-4</v>
      </c>
      <c r="Y442">
        <v>2.9833677249334962E-5</v>
      </c>
      <c r="Z442" t="s">
        <v>2226</v>
      </c>
      <c r="AA442" t="s">
        <v>25</v>
      </c>
      <c r="AC442" t="s">
        <v>22</v>
      </c>
      <c r="AD442" t="s">
        <v>2226</v>
      </c>
      <c r="AE442">
        <v>8.5835660563956094E-5</v>
      </c>
      <c r="AG442" t="s">
        <v>97</v>
      </c>
      <c r="AH442" t="s">
        <v>2226</v>
      </c>
      <c r="AI442">
        <v>0</v>
      </c>
    </row>
    <row r="443" spans="9:35" x14ac:dyDescent="0.45">
      <c r="I443" t="s">
        <v>252</v>
      </c>
      <c r="J443" t="s">
        <v>2227</v>
      </c>
      <c r="K443">
        <v>0</v>
      </c>
      <c r="L443" t="s">
        <v>254</v>
      </c>
      <c r="N443" t="s">
        <v>422</v>
      </c>
      <c r="O443" t="s">
        <v>2227</v>
      </c>
      <c r="P443">
        <v>3.1906148699199427E-5</v>
      </c>
      <c r="Q443" t="s">
        <v>254</v>
      </c>
      <c r="S443" t="s">
        <v>423</v>
      </c>
      <c r="T443" t="s">
        <v>2227</v>
      </c>
      <c r="U443">
        <v>3.9771537295658766E-5</v>
      </c>
      <c r="V443" t="s">
        <v>254</v>
      </c>
      <c r="X443">
        <v>1.1415525114155251E-4</v>
      </c>
      <c r="Y443">
        <v>2.1546544680075254E-5</v>
      </c>
      <c r="Z443" t="s">
        <v>2227</v>
      </c>
      <c r="AA443" t="s">
        <v>25</v>
      </c>
      <c r="AC443" t="s">
        <v>22</v>
      </c>
      <c r="AD443" t="s">
        <v>2227</v>
      </c>
      <c r="AE443">
        <v>8.0133306381066906E-5</v>
      </c>
      <c r="AG443" t="s">
        <v>97</v>
      </c>
      <c r="AH443" t="s">
        <v>2227</v>
      </c>
      <c r="AI443">
        <v>0</v>
      </c>
    </row>
    <row r="444" spans="9:35" x14ac:dyDescent="0.45">
      <c r="I444" t="s">
        <v>252</v>
      </c>
      <c r="J444" t="s">
        <v>2228</v>
      </c>
      <c r="K444">
        <v>0</v>
      </c>
      <c r="L444" t="s">
        <v>254</v>
      </c>
      <c r="N444" t="s">
        <v>422</v>
      </c>
      <c r="O444" t="s">
        <v>2228</v>
      </c>
      <c r="P444">
        <v>3.1294991697989145E-5</v>
      </c>
      <c r="Q444" t="s">
        <v>254</v>
      </c>
      <c r="S444" t="s">
        <v>423</v>
      </c>
      <c r="T444" t="s">
        <v>2228</v>
      </c>
      <c r="U444">
        <v>3.5534524949985278E-5</v>
      </c>
      <c r="V444" t="s">
        <v>254</v>
      </c>
      <c r="X444">
        <v>1.1415525114155251E-4</v>
      </c>
      <c r="Y444">
        <v>1.4916838624667481E-5</v>
      </c>
      <c r="Z444" t="s">
        <v>2228</v>
      </c>
      <c r="AA444" t="s">
        <v>25</v>
      </c>
      <c r="AC444" t="s">
        <v>22</v>
      </c>
      <c r="AD444" t="s">
        <v>2228</v>
      </c>
      <c r="AE444">
        <v>7.901584952998053E-5</v>
      </c>
      <c r="AG444" t="s">
        <v>97</v>
      </c>
      <c r="AH444" t="s">
        <v>2228</v>
      </c>
      <c r="AI444">
        <v>0</v>
      </c>
    </row>
    <row r="445" spans="9:35" x14ac:dyDescent="0.45">
      <c r="I445" t="s">
        <v>252</v>
      </c>
      <c r="J445" t="s">
        <v>2229</v>
      </c>
      <c r="K445">
        <v>0</v>
      </c>
      <c r="L445" t="s">
        <v>254</v>
      </c>
      <c r="N445" t="s">
        <v>422</v>
      </c>
      <c r="O445" t="s">
        <v>2229</v>
      </c>
      <c r="P445">
        <v>3.0735943182498923E-5</v>
      </c>
      <c r="Q445" t="s">
        <v>254</v>
      </c>
      <c r="S445" t="s">
        <v>423</v>
      </c>
      <c r="T445" t="s">
        <v>2229</v>
      </c>
      <c r="U445">
        <v>3.2864067496697409E-5</v>
      </c>
      <c r="V445" t="s">
        <v>254</v>
      </c>
      <c r="X445">
        <v>1.1415525114155251E-4</v>
      </c>
      <c r="Y445">
        <v>1.6574265138519424E-5</v>
      </c>
      <c r="Z445" t="s">
        <v>2229</v>
      </c>
      <c r="AA445" t="s">
        <v>25</v>
      </c>
      <c r="AC445" t="s">
        <v>22</v>
      </c>
      <c r="AD445" t="s">
        <v>2229</v>
      </c>
      <c r="AE445">
        <v>7.901584952998053E-5</v>
      </c>
      <c r="AG445" t="s">
        <v>97</v>
      </c>
      <c r="AH445" t="s">
        <v>2229</v>
      </c>
      <c r="AI445">
        <v>0</v>
      </c>
    </row>
    <row r="446" spans="9:35" x14ac:dyDescent="0.45">
      <c r="I446" t="s">
        <v>252</v>
      </c>
      <c r="J446" t="s">
        <v>2230</v>
      </c>
      <c r="K446">
        <v>0</v>
      </c>
      <c r="L446" t="s">
        <v>254</v>
      </c>
      <c r="N446" t="s">
        <v>422</v>
      </c>
      <c r="O446" t="s">
        <v>2230</v>
      </c>
      <c r="P446">
        <v>3.073102825111934E-5</v>
      </c>
      <c r="Q446" t="s">
        <v>254</v>
      </c>
      <c r="S446" t="s">
        <v>423</v>
      </c>
      <c r="T446" t="s">
        <v>2230</v>
      </c>
      <c r="U446">
        <v>3.0869551288963338E-5</v>
      </c>
      <c r="V446" t="s">
        <v>254</v>
      </c>
      <c r="X446">
        <v>1.1415525114155251E-4</v>
      </c>
      <c r="Y446">
        <v>1.4585353321897093E-5</v>
      </c>
      <c r="Z446" t="s">
        <v>2230</v>
      </c>
      <c r="AA446" t="s">
        <v>25</v>
      </c>
      <c r="AC446" t="s">
        <v>22</v>
      </c>
      <c r="AD446" t="s">
        <v>2230</v>
      </c>
      <c r="AE446">
        <v>8.0048921767598126E-5</v>
      </c>
      <c r="AG446" t="s">
        <v>97</v>
      </c>
      <c r="AH446" t="s">
        <v>2230</v>
      </c>
      <c r="AI446">
        <v>0</v>
      </c>
    </row>
    <row r="447" spans="9:35" x14ac:dyDescent="0.45">
      <c r="I447" t="s">
        <v>252</v>
      </c>
      <c r="J447" t="s">
        <v>2231</v>
      </c>
      <c r="K447">
        <v>0</v>
      </c>
      <c r="L447" t="s">
        <v>254</v>
      </c>
      <c r="N447" t="s">
        <v>422</v>
      </c>
      <c r="O447" t="s">
        <v>2231</v>
      </c>
      <c r="P447">
        <v>2.997846758931142E-5</v>
      </c>
      <c r="Q447" t="s">
        <v>254</v>
      </c>
      <c r="S447" t="s">
        <v>423</v>
      </c>
      <c r="T447" t="s">
        <v>2231</v>
      </c>
      <c r="U447">
        <v>2.820041843411405E-5</v>
      </c>
      <c r="V447" t="s">
        <v>254</v>
      </c>
      <c r="X447">
        <v>1.1415525114155251E-4</v>
      </c>
      <c r="Y447">
        <v>2.1215059377304864E-5</v>
      </c>
      <c r="Z447" t="s">
        <v>2231</v>
      </c>
      <c r="AA447" t="s">
        <v>25</v>
      </c>
      <c r="AC447" t="s">
        <v>22</v>
      </c>
      <c r="AD447" t="s">
        <v>2231</v>
      </c>
      <c r="AE447">
        <v>8.6840604597084124E-5</v>
      </c>
      <c r="AG447" t="s">
        <v>97</v>
      </c>
      <c r="AH447" t="s">
        <v>2231</v>
      </c>
      <c r="AI447">
        <v>0</v>
      </c>
    </row>
    <row r="448" spans="9:35" x14ac:dyDescent="0.45">
      <c r="I448" t="s">
        <v>252</v>
      </c>
      <c r="J448" t="s">
        <v>2232</v>
      </c>
      <c r="K448">
        <v>0</v>
      </c>
      <c r="L448" t="s">
        <v>254</v>
      </c>
      <c r="N448" t="s">
        <v>422</v>
      </c>
      <c r="O448" t="s">
        <v>2232</v>
      </c>
      <c r="P448">
        <v>3.0459138731807801E-5</v>
      </c>
      <c r="Q448" t="s">
        <v>254</v>
      </c>
      <c r="S448" t="s">
        <v>423</v>
      </c>
      <c r="T448" t="s">
        <v>2232</v>
      </c>
      <c r="U448">
        <v>2.689804173468857E-5</v>
      </c>
      <c r="V448" t="s">
        <v>254</v>
      </c>
      <c r="X448">
        <v>1.1415525114155251E-4</v>
      </c>
      <c r="Y448">
        <v>5.7678442682047593E-5</v>
      </c>
      <c r="Z448" t="s">
        <v>2232</v>
      </c>
      <c r="AA448" t="s">
        <v>25</v>
      </c>
      <c r="AC448" t="s">
        <v>22</v>
      </c>
      <c r="AD448" t="s">
        <v>2232</v>
      </c>
      <c r="AE448">
        <v>1.0243385832231207E-4</v>
      </c>
      <c r="AG448" t="s">
        <v>97</v>
      </c>
      <c r="AH448" t="s">
        <v>2232</v>
      </c>
      <c r="AI448">
        <v>0</v>
      </c>
    </row>
    <row r="449" spans="9:35" x14ac:dyDescent="0.45">
      <c r="I449" t="s">
        <v>252</v>
      </c>
      <c r="J449" t="s">
        <v>2233</v>
      </c>
      <c r="K449">
        <v>4.2057934589133619E-7</v>
      </c>
      <c r="L449" t="s">
        <v>254</v>
      </c>
      <c r="N449" t="s">
        <v>422</v>
      </c>
      <c r="O449" t="s">
        <v>2233</v>
      </c>
      <c r="P449">
        <v>3.3171117190108364E-5</v>
      </c>
      <c r="Q449" t="s">
        <v>254</v>
      </c>
      <c r="S449" t="s">
        <v>423</v>
      </c>
      <c r="T449" t="s">
        <v>2233</v>
      </c>
      <c r="U449">
        <v>2.7750827675545807E-5</v>
      </c>
      <c r="V449" t="s">
        <v>254</v>
      </c>
      <c r="X449">
        <v>1.1415525114155251E-4</v>
      </c>
      <c r="Y449">
        <v>1.6905750441289813E-4</v>
      </c>
      <c r="Z449" t="s">
        <v>2233</v>
      </c>
      <c r="AA449" t="s">
        <v>25</v>
      </c>
      <c r="AC449" t="s">
        <v>22</v>
      </c>
      <c r="AD449" t="s">
        <v>2233</v>
      </c>
      <c r="AE449">
        <v>1.1428350374092581E-4</v>
      </c>
      <c r="AG449" t="s">
        <v>97</v>
      </c>
      <c r="AH449" t="s">
        <v>2233</v>
      </c>
      <c r="AI449">
        <v>0</v>
      </c>
    </row>
    <row r="450" spans="9:35" x14ac:dyDescent="0.45">
      <c r="I450" t="s">
        <v>252</v>
      </c>
      <c r="J450" t="s">
        <v>2234</v>
      </c>
      <c r="K450">
        <v>7.920650429448173E-5</v>
      </c>
      <c r="L450" t="s">
        <v>254</v>
      </c>
      <c r="N450" t="s">
        <v>422</v>
      </c>
      <c r="O450" t="s">
        <v>2234</v>
      </c>
      <c r="P450">
        <v>3.1075350932897762E-5</v>
      </c>
      <c r="Q450" t="s">
        <v>254</v>
      </c>
      <c r="S450" t="s">
        <v>423</v>
      </c>
      <c r="T450" t="s">
        <v>2234</v>
      </c>
      <c r="U450">
        <v>2.9073628080120008E-5</v>
      </c>
      <c r="V450" t="s">
        <v>254</v>
      </c>
      <c r="X450">
        <v>1.1415525114155251E-4</v>
      </c>
      <c r="Y450">
        <v>1.9060404909297337E-4</v>
      </c>
      <c r="Z450" t="s">
        <v>2234</v>
      </c>
      <c r="AA450" t="s">
        <v>25</v>
      </c>
      <c r="AC450" t="s">
        <v>22</v>
      </c>
      <c r="AD450" t="s">
        <v>2234</v>
      </c>
      <c r="AE450">
        <v>1.222591282684735E-4</v>
      </c>
      <c r="AG450" t="s">
        <v>97</v>
      </c>
      <c r="AH450" t="s">
        <v>2234</v>
      </c>
      <c r="AI450">
        <v>0</v>
      </c>
    </row>
    <row r="451" spans="9:35" x14ac:dyDescent="0.45">
      <c r="I451" t="s">
        <v>252</v>
      </c>
      <c r="J451" t="s">
        <v>2235</v>
      </c>
      <c r="K451">
        <v>1.4518628178089999E-4</v>
      </c>
      <c r="L451" t="s">
        <v>254</v>
      </c>
      <c r="N451" t="s">
        <v>422</v>
      </c>
      <c r="O451" t="s">
        <v>2235</v>
      </c>
      <c r="P451">
        <v>2.559749757255029E-5</v>
      </c>
      <c r="Q451" t="s">
        <v>254</v>
      </c>
      <c r="S451" t="s">
        <v>423</v>
      </c>
      <c r="T451" t="s">
        <v>2235</v>
      </c>
      <c r="U451">
        <v>3.0888147508942493E-5</v>
      </c>
      <c r="V451" t="s">
        <v>254</v>
      </c>
      <c r="X451">
        <v>1.1415525114155251E-4</v>
      </c>
      <c r="Y451">
        <v>1.4585353321897094E-4</v>
      </c>
      <c r="Z451" t="s">
        <v>2235</v>
      </c>
      <c r="AA451" t="s">
        <v>25</v>
      </c>
      <c r="AC451" t="s">
        <v>22</v>
      </c>
      <c r="AD451" t="s">
        <v>2235</v>
      </c>
      <c r="AE451">
        <v>1.2750120274153311E-4</v>
      </c>
      <c r="AG451" t="s">
        <v>97</v>
      </c>
      <c r="AH451" t="s">
        <v>2235</v>
      </c>
      <c r="AI451">
        <v>0</v>
      </c>
    </row>
    <row r="452" spans="9:35" x14ac:dyDescent="0.45">
      <c r="I452" t="s">
        <v>252</v>
      </c>
      <c r="J452" t="s">
        <v>2236</v>
      </c>
      <c r="K452">
        <v>2.041808831374E-4</v>
      </c>
      <c r="L452" t="s">
        <v>254</v>
      </c>
      <c r="N452" t="s">
        <v>422</v>
      </c>
      <c r="O452" t="s">
        <v>2236</v>
      </c>
      <c r="P452">
        <v>2.1141155240731917E-5</v>
      </c>
      <c r="Q452" t="s">
        <v>254</v>
      </c>
      <c r="S452" t="s">
        <v>423</v>
      </c>
      <c r="T452" t="s">
        <v>2236</v>
      </c>
      <c r="U452">
        <v>2.9542421315392777E-5</v>
      </c>
      <c r="V452" t="s">
        <v>254</v>
      </c>
      <c r="X452">
        <v>1.1415525114155251E-4</v>
      </c>
      <c r="Y452">
        <v>1.4452759200788939E-4</v>
      </c>
      <c r="Z452" t="s">
        <v>2236</v>
      </c>
      <c r="AA452" t="s">
        <v>25</v>
      </c>
      <c r="AC452" t="s">
        <v>22</v>
      </c>
      <c r="AD452" t="s">
        <v>2236</v>
      </c>
      <c r="AE452">
        <v>1.2756768758850849E-4</v>
      </c>
      <c r="AG452" t="s">
        <v>97</v>
      </c>
      <c r="AH452" t="s">
        <v>2236</v>
      </c>
      <c r="AI452">
        <v>0</v>
      </c>
    </row>
    <row r="453" spans="9:35" x14ac:dyDescent="0.45">
      <c r="I453" t="s">
        <v>252</v>
      </c>
      <c r="J453" t="s">
        <v>2237</v>
      </c>
      <c r="K453">
        <v>2.502357475638E-4</v>
      </c>
      <c r="L453" t="s">
        <v>254</v>
      </c>
      <c r="N453" t="s">
        <v>422</v>
      </c>
      <c r="O453" t="s">
        <v>2237</v>
      </c>
      <c r="P453">
        <v>2.1184814862373397E-5</v>
      </c>
      <c r="Q453" t="s">
        <v>254</v>
      </c>
      <c r="S453" t="s">
        <v>423</v>
      </c>
      <c r="T453" t="s">
        <v>2237</v>
      </c>
      <c r="U453">
        <v>4.1398065854470639E-5</v>
      </c>
      <c r="V453" t="s">
        <v>254</v>
      </c>
      <c r="X453">
        <v>1.1415525114155251E-4</v>
      </c>
      <c r="Y453">
        <v>1.408812536774151E-4</v>
      </c>
      <c r="Z453" t="s">
        <v>2237</v>
      </c>
      <c r="AA453" t="s">
        <v>25</v>
      </c>
      <c r="AC453" t="s">
        <v>22</v>
      </c>
      <c r="AD453" t="s">
        <v>2237</v>
      </c>
      <c r="AE453">
        <v>1.2748841719403784E-4</v>
      </c>
      <c r="AG453" t="s">
        <v>97</v>
      </c>
      <c r="AH453" t="s">
        <v>2237</v>
      </c>
      <c r="AI453">
        <v>0</v>
      </c>
    </row>
    <row r="454" spans="9:35" x14ac:dyDescent="0.45">
      <c r="I454" t="s">
        <v>252</v>
      </c>
      <c r="J454" t="s">
        <v>2238</v>
      </c>
      <c r="K454">
        <v>2.4183660186060001E-4</v>
      </c>
      <c r="L454" t="s">
        <v>254</v>
      </c>
      <c r="N454" t="s">
        <v>422</v>
      </c>
      <c r="O454" t="s">
        <v>2238</v>
      </c>
      <c r="P454">
        <v>2.2556789224207856E-5</v>
      </c>
      <c r="Q454" t="s">
        <v>254</v>
      </c>
      <c r="S454" t="s">
        <v>423</v>
      </c>
      <c r="T454" t="s">
        <v>2238</v>
      </c>
      <c r="U454">
        <v>5.2281014085653078E-5</v>
      </c>
      <c r="V454" t="s">
        <v>254</v>
      </c>
      <c r="X454">
        <v>1.1415525114155251E-4</v>
      </c>
      <c r="Y454">
        <v>1.4054976837464471E-4</v>
      </c>
      <c r="Z454" t="s">
        <v>2238</v>
      </c>
      <c r="AA454" t="s">
        <v>25</v>
      </c>
      <c r="AC454" t="s">
        <v>22</v>
      </c>
      <c r="AD454" t="s">
        <v>2238</v>
      </c>
      <c r="AE454">
        <v>1.2704603725070159E-4</v>
      </c>
      <c r="AG454" t="s">
        <v>97</v>
      </c>
      <c r="AH454" t="s">
        <v>2238</v>
      </c>
      <c r="AI454">
        <v>0</v>
      </c>
    </row>
    <row r="455" spans="9:35" x14ac:dyDescent="0.45">
      <c r="I455" t="s">
        <v>252</v>
      </c>
      <c r="J455" t="s">
        <v>2239</v>
      </c>
      <c r="K455">
        <v>2.1392690628139999E-4</v>
      </c>
      <c r="L455" t="s">
        <v>254</v>
      </c>
      <c r="N455" t="s">
        <v>422</v>
      </c>
      <c r="O455" t="s">
        <v>2239</v>
      </c>
      <c r="P455">
        <v>2.6509234262134769E-5</v>
      </c>
      <c r="Q455" t="s">
        <v>254</v>
      </c>
      <c r="S455" t="s">
        <v>423</v>
      </c>
      <c r="T455" t="s">
        <v>2239</v>
      </c>
      <c r="U455">
        <v>5.7767525616038342E-5</v>
      </c>
      <c r="V455" t="s">
        <v>254</v>
      </c>
      <c r="X455">
        <v>1.1415525114155251E-4</v>
      </c>
      <c r="Y455">
        <v>1.4253868019126702E-4</v>
      </c>
      <c r="Z455" t="s">
        <v>2239</v>
      </c>
      <c r="AA455" t="s">
        <v>25</v>
      </c>
      <c r="AC455" t="s">
        <v>22</v>
      </c>
      <c r="AD455" t="s">
        <v>2239</v>
      </c>
      <c r="AE455">
        <v>1.2704603725070159E-4</v>
      </c>
      <c r="AG455" t="s">
        <v>97</v>
      </c>
      <c r="AH455" t="s">
        <v>2239</v>
      </c>
      <c r="AI455">
        <v>0</v>
      </c>
    </row>
    <row r="456" spans="9:35" x14ac:dyDescent="0.45">
      <c r="I456" t="s">
        <v>252</v>
      </c>
      <c r="J456" t="s">
        <v>2240</v>
      </c>
      <c r="K456">
        <v>2.10345785809E-4</v>
      </c>
      <c r="L456" t="s">
        <v>254</v>
      </c>
      <c r="N456" t="s">
        <v>422</v>
      </c>
      <c r="O456" t="s">
        <v>2240</v>
      </c>
      <c r="P456">
        <v>3.029445368942508E-5</v>
      </c>
      <c r="Q456" t="s">
        <v>254</v>
      </c>
      <c r="S456" t="s">
        <v>423</v>
      </c>
      <c r="T456" t="s">
        <v>2240</v>
      </c>
      <c r="U456">
        <v>5.5520304496454096E-5</v>
      </c>
      <c r="V456" t="s">
        <v>254</v>
      </c>
      <c r="X456">
        <v>1.1415525114155251E-4</v>
      </c>
      <c r="Y456">
        <v>1.4883690094390442E-4</v>
      </c>
      <c r="Z456" t="s">
        <v>2240</v>
      </c>
      <c r="AA456" t="s">
        <v>25</v>
      </c>
      <c r="AC456" t="s">
        <v>22</v>
      </c>
      <c r="AD456" t="s">
        <v>2240</v>
      </c>
      <c r="AE456">
        <v>1.2581095336265877E-4</v>
      </c>
      <c r="AG456" t="s">
        <v>97</v>
      </c>
      <c r="AH456" t="s">
        <v>2240</v>
      </c>
      <c r="AI456">
        <v>0</v>
      </c>
    </row>
    <row r="457" spans="9:35" x14ac:dyDescent="0.45">
      <c r="I457" t="s">
        <v>252</v>
      </c>
      <c r="J457" t="s">
        <v>2241</v>
      </c>
      <c r="K457">
        <v>1.943573956904E-4</v>
      </c>
      <c r="L457" t="s">
        <v>254</v>
      </c>
      <c r="N457" t="s">
        <v>422</v>
      </c>
      <c r="O457" t="s">
        <v>2241</v>
      </c>
      <c r="P457">
        <v>3.1274082998777582E-5</v>
      </c>
      <c r="Q457" t="s">
        <v>254</v>
      </c>
      <c r="S457" t="s">
        <v>423</v>
      </c>
      <c r="T457" t="s">
        <v>2241</v>
      </c>
      <c r="U457">
        <v>5.0545618168607589E-5</v>
      </c>
      <c r="V457" t="s">
        <v>254</v>
      </c>
      <c r="X457">
        <v>1.1415525114155251E-4</v>
      </c>
      <c r="Y457">
        <v>1.5049432745775637E-4</v>
      </c>
      <c r="Z457" t="s">
        <v>2241</v>
      </c>
      <c r="AA457" t="s">
        <v>25</v>
      </c>
      <c r="AC457" t="s">
        <v>22</v>
      </c>
      <c r="AD457" t="s">
        <v>2241</v>
      </c>
      <c r="AE457">
        <v>1.2479578089153454E-4</v>
      </c>
      <c r="AG457" t="s">
        <v>97</v>
      </c>
      <c r="AH457" t="s">
        <v>2241</v>
      </c>
      <c r="AI457">
        <v>0</v>
      </c>
    </row>
    <row r="458" spans="9:35" x14ac:dyDescent="0.45">
      <c r="I458" t="s">
        <v>252</v>
      </c>
      <c r="J458" t="s">
        <v>2242</v>
      </c>
      <c r="K458">
        <v>1.995036049528E-4</v>
      </c>
      <c r="L458" t="s">
        <v>254</v>
      </c>
      <c r="N458" t="s">
        <v>422</v>
      </c>
      <c r="O458" t="s">
        <v>2242</v>
      </c>
      <c r="P458">
        <v>3.2057964908343284E-5</v>
      </c>
      <c r="Q458" t="s">
        <v>254</v>
      </c>
      <c r="S458" t="s">
        <v>423</v>
      </c>
      <c r="T458" t="s">
        <v>2242</v>
      </c>
      <c r="U458">
        <v>5.1026484633259998E-5</v>
      </c>
      <c r="V458" t="s">
        <v>254</v>
      </c>
      <c r="X458">
        <v>1.1415525114155251E-4</v>
      </c>
      <c r="Y458">
        <v>1.7237235744060203E-4</v>
      </c>
      <c r="Z458" t="s">
        <v>2242</v>
      </c>
      <c r="AA458" t="s">
        <v>25</v>
      </c>
      <c r="AC458" t="s">
        <v>22</v>
      </c>
      <c r="AD458" t="s">
        <v>2242</v>
      </c>
      <c r="AE458">
        <v>1.2479578089153454E-4</v>
      </c>
      <c r="AG458" t="s">
        <v>97</v>
      </c>
      <c r="AH458" t="s">
        <v>2242</v>
      </c>
      <c r="AI458">
        <v>0</v>
      </c>
    </row>
    <row r="459" spans="9:35" x14ac:dyDescent="0.45">
      <c r="I459" t="s">
        <v>252</v>
      </c>
      <c r="J459" t="s">
        <v>2243</v>
      </c>
      <c r="K459">
        <v>1.6573924479780001E-4</v>
      </c>
      <c r="L459" t="s">
        <v>254</v>
      </c>
      <c r="N459" t="s">
        <v>422</v>
      </c>
      <c r="O459" t="s">
        <v>2243</v>
      </c>
      <c r="P459">
        <v>3.2454689719323502E-5</v>
      </c>
      <c r="Q459" t="s">
        <v>254</v>
      </c>
      <c r="S459" t="s">
        <v>423</v>
      </c>
      <c r="T459" t="s">
        <v>2243</v>
      </c>
      <c r="U459">
        <v>5.6775026546545667E-5</v>
      </c>
      <c r="V459" t="s">
        <v>254</v>
      </c>
      <c r="X459">
        <v>1.1415525114155251E-4</v>
      </c>
      <c r="Y459">
        <v>2.2209515285616027E-4</v>
      </c>
      <c r="Z459" t="s">
        <v>2243</v>
      </c>
      <c r="AA459" t="s">
        <v>25</v>
      </c>
      <c r="AC459" t="s">
        <v>22</v>
      </c>
      <c r="AD459" t="s">
        <v>2243</v>
      </c>
      <c r="AE459">
        <v>1.2449915618964436E-4</v>
      </c>
      <c r="AG459" t="s">
        <v>97</v>
      </c>
      <c r="AH459" t="s">
        <v>2243</v>
      </c>
      <c r="AI459">
        <v>0</v>
      </c>
    </row>
    <row r="460" spans="9:35" x14ac:dyDescent="0.45">
      <c r="I460" t="s">
        <v>252</v>
      </c>
      <c r="J460" t="s">
        <v>2244</v>
      </c>
      <c r="K460">
        <v>1.296021840101E-4</v>
      </c>
      <c r="L460" t="s">
        <v>254</v>
      </c>
      <c r="N460" t="s">
        <v>422</v>
      </c>
      <c r="O460" t="s">
        <v>2244</v>
      </c>
      <c r="P460">
        <v>3.6131670211112543E-5</v>
      </c>
      <c r="Q460" t="s">
        <v>254</v>
      </c>
      <c r="S460" t="s">
        <v>423</v>
      </c>
      <c r="T460" t="s">
        <v>2244</v>
      </c>
      <c r="U460">
        <v>6.1719754257643888E-5</v>
      </c>
      <c r="V460" t="s">
        <v>254</v>
      </c>
      <c r="X460">
        <v>1.1415525114155251E-4</v>
      </c>
      <c r="Y460">
        <v>2.2209515285616027E-4</v>
      </c>
      <c r="Z460" t="s">
        <v>2244</v>
      </c>
      <c r="AA460" t="s">
        <v>25</v>
      </c>
      <c r="AC460" t="s">
        <v>22</v>
      </c>
      <c r="AD460" t="s">
        <v>2244</v>
      </c>
      <c r="AE460">
        <v>1.2449915618964436E-4</v>
      </c>
      <c r="AG460" t="s">
        <v>97</v>
      </c>
      <c r="AH460" t="s">
        <v>2244</v>
      </c>
      <c r="AI460">
        <v>0</v>
      </c>
    </row>
    <row r="461" spans="9:35" x14ac:dyDescent="0.45">
      <c r="I461" t="s">
        <v>252</v>
      </c>
      <c r="J461" t="s">
        <v>2245</v>
      </c>
      <c r="K461">
        <v>3.5836835413368332E-5</v>
      </c>
      <c r="L461" t="s">
        <v>254</v>
      </c>
      <c r="N461" t="s">
        <v>422</v>
      </c>
      <c r="O461" t="s">
        <v>2245</v>
      </c>
      <c r="P461">
        <v>4.0696603219425038E-5</v>
      </c>
      <c r="Q461" t="s">
        <v>254</v>
      </c>
      <c r="S461" t="s">
        <v>423</v>
      </c>
      <c r="T461" t="s">
        <v>2245</v>
      </c>
      <c r="U461">
        <v>6.3870972927719506E-5</v>
      </c>
      <c r="V461" t="s">
        <v>254</v>
      </c>
      <c r="X461">
        <v>1.1415525114155251E-4</v>
      </c>
      <c r="Y461">
        <v>1.7237235744060203E-4</v>
      </c>
      <c r="Z461" t="s">
        <v>2245</v>
      </c>
      <c r="AA461" t="s">
        <v>25</v>
      </c>
      <c r="AC461" t="s">
        <v>22</v>
      </c>
      <c r="AD461" t="s">
        <v>2245</v>
      </c>
      <c r="AE461">
        <v>1.2403376226081662E-4</v>
      </c>
      <c r="AG461" t="s">
        <v>97</v>
      </c>
      <c r="AH461" t="s">
        <v>2245</v>
      </c>
      <c r="AI461">
        <v>0</v>
      </c>
    </row>
    <row r="462" spans="9:35" x14ac:dyDescent="0.45">
      <c r="I462" t="s">
        <v>252</v>
      </c>
      <c r="J462" t="s">
        <v>2246</v>
      </c>
      <c r="K462">
        <v>0</v>
      </c>
      <c r="L462" t="s">
        <v>254</v>
      </c>
      <c r="N462" t="s">
        <v>422</v>
      </c>
      <c r="O462" t="s">
        <v>2246</v>
      </c>
      <c r="P462">
        <v>4.2308317529541901E-5</v>
      </c>
      <c r="Q462" t="s">
        <v>254</v>
      </c>
      <c r="S462" t="s">
        <v>423</v>
      </c>
      <c r="T462" t="s">
        <v>2246</v>
      </c>
      <c r="U462">
        <v>7.0200006663653894E-5</v>
      </c>
      <c r="V462" t="s">
        <v>254</v>
      </c>
      <c r="X462">
        <v>1.1415525114155251E-4</v>
      </c>
      <c r="Y462">
        <v>1.5579809230208258E-4</v>
      </c>
      <c r="Z462" t="s">
        <v>2246</v>
      </c>
      <c r="AA462" t="s">
        <v>25</v>
      </c>
      <c r="AC462" t="s">
        <v>22</v>
      </c>
      <c r="AD462" t="s">
        <v>2246</v>
      </c>
      <c r="AE462">
        <v>1.2184487652962686E-4</v>
      </c>
      <c r="AG462" t="s">
        <v>97</v>
      </c>
      <c r="AH462" t="s">
        <v>2246</v>
      </c>
      <c r="AI462">
        <v>0</v>
      </c>
    </row>
    <row r="463" spans="9:35" x14ac:dyDescent="0.45">
      <c r="I463" t="s">
        <v>252</v>
      </c>
      <c r="J463" t="s">
        <v>2247</v>
      </c>
      <c r="K463">
        <v>0</v>
      </c>
      <c r="L463" t="s">
        <v>254</v>
      </c>
      <c r="N463" t="s">
        <v>422</v>
      </c>
      <c r="O463" t="s">
        <v>2247</v>
      </c>
      <c r="P463">
        <v>4.3387743658370177E-5</v>
      </c>
      <c r="Q463" t="s">
        <v>254</v>
      </c>
      <c r="S463" t="s">
        <v>423</v>
      </c>
      <c r="T463" t="s">
        <v>2247</v>
      </c>
      <c r="U463">
        <v>7.4371481878776055E-5</v>
      </c>
      <c r="V463" t="s">
        <v>254</v>
      </c>
      <c r="X463">
        <v>1.1415525114155251E-4</v>
      </c>
      <c r="Y463">
        <v>1.093901499142282E-4</v>
      </c>
      <c r="Z463" t="s">
        <v>2247</v>
      </c>
      <c r="AA463" t="s">
        <v>25</v>
      </c>
      <c r="AC463" t="s">
        <v>22</v>
      </c>
      <c r="AD463" t="s">
        <v>2247</v>
      </c>
      <c r="AE463">
        <v>1.1550068786247523E-4</v>
      </c>
      <c r="AG463" t="s">
        <v>97</v>
      </c>
      <c r="AH463" t="s">
        <v>2247</v>
      </c>
      <c r="AI463">
        <v>0</v>
      </c>
    </row>
    <row r="464" spans="9:35" x14ac:dyDescent="0.45">
      <c r="I464" t="s">
        <v>252</v>
      </c>
      <c r="J464" t="s">
        <v>2248</v>
      </c>
      <c r="K464">
        <v>0</v>
      </c>
      <c r="L464" t="s">
        <v>254</v>
      </c>
      <c r="N464" t="s">
        <v>422</v>
      </c>
      <c r="O464" t="s">
        <v>2248</v>
      </c>
      <c r="P464">
        <v>5.1022474600594536E-5</v>
      </c>
      <c r="Q464" t="s">
        <v>254</v>
      </c>
      <c r="S464" t="s">
        <v>423</v>
      </c>
      <c r="T464" t="s">
        <v>2248</v>
      </c>
      <c r="U464">
        <v>1.002858985674E-4</v>
      </c>
      <c r="V464" t="s">
        <v>254</v>
      </c>
      <c r="X464">
        <v>1.1415525114155251E-4</v>
      </c>
      <c r="Y464">
        <v>7.9556472664893237E-5</v>
      </c>
      <c r="Z464" t="s">
        <v>2248</v>
      </c>
      <c r="AA464" t="s">
        <v>25</v>
      </c>
      <c r="AC464" t="s">
        <v>22</v>
      </c>
      <c r="AD464" t="s">
        <v>2248</v>
      </c>
      <c r="AE464">
        <v>1.0886754582193058E-4</v>
      </c>
      <c r="AG464" t="s">
        <v>97</v>
      </c>
      <c r="AH464" t="s">
        <v>2248</v>
      </c>
      <c r="AI464">
        <v>0</v>
      </c>
    </row>
    <row r="465" spans="9:35" x14ac:dyDescent="0.45">
      <c r="I465" t="s">
        <v>252</v>
      </c>
      <c r="J465" t="s">
        <v>2249</v>
      </c>
      <c r="K465">
        <v>0</v>
      </c>
      <c r="L465" t="s">
        <v>254</v>
      </c>
      <c r="N465" t="s">
        <v>422</v>
      </c>
      <c r="O465" t="s">
        <v>2249</v>
      </c>
      <c r="P465">
        <v>6.3286378759460268E-5</v>
      </c>
      <c r="Q465" t="s">
        <v>254</v>
      </c>
      <c r="S465" t="s">
        <v>423</v>
      </c>
      <c r="T465" t="s">
        <v>2249</v>
      </c>
      <c r="U465">
        <v>1.090800101143E-4</v>
      </c>
      <c r="V465" t="s">
        <v>254</v>
      </c>
      <c r="X465">
        <v>1.1415525114155251E-4</v>
      </c>
      <c r="Y465">
        <v>5.6352501470966035E-5</v>
      </c>
      <c r="Z465" t="s">
        <v>2249</v>
      </c>
      <c r="AA465" t="s">
        <v>25</v>
      </c>
      <c r="AC465" t="s">
        <v>22</v>
      </c>
      <c r="AD465" t="s">
        <v>2249</v>
      </c>
      <c r="AE465">
        <v>9.5015683665558001E-5</v>
      </c>
      <c r="AG465" t="s">
        <v>97</v>
      </c>
      <c r="AH465" t="s">
        <v>2249</v>
      </c>
      <c r="AI465">
        <v>0</v>
      </c>
    </row>
    <row r="466" spans="9:35" x14ac:dyDescent="0.45">
      <c r="I466" t="s">
        <v>252</v>
      </c>
      <c r="J466" t="s">
        <v>2250</v>
      </c>
      <c r="K466">
        <v>0</v>
      </c>
      <c r="L466" t="s">
        <v>254</v>
      </c>
      <c r="N466" t="s">
        <v>422</v>
      </c>
      <c r="O466" t="s">
        <v>2250</v>
      </c>
      <c r="P466">
        <v>6.9594129018796553E-5</v>
      </c>
      <c r="Q466" t="s">
        <v>254</v>
      </c>
      <c r="S466" t="s">
        <v>423</v>
      </c>
      <c r="T466" t="s">
        <v>2250</v>
      </c>
      <c r="U466">
        <v>9.5785287045516674E-5</v>
      </c>
      <c r="V466" t="s">
        <v>254</v>
      </c>
      <c r="X466">
        <v>1.1415525114155251E-4</v>
      </c>
      <c r="Y466">
        <v>2.9833677249334962E-5</v>
      </c>
      <c r="Z466" t="s">
        <v>2250</v>
      </c>
      <c r="AA466" t="s">
        <v>25</v>
      </c>
      <c r="AC466" t="s">
        <v>22</v>
      </c>
      <c r="AD466" t="s">
        <v>2250</v>
      </c>
      <c r="AE466">
        <v>8.6201327222320756E-5</v>
      </c>
      <c r="AG466" t="s">
        <v>97</v>
      </c>
      <c r="AH466" t="s">
        <v>2250</v>
      </c>
      <c r="AI466">
        <v>0</v>
      </c>
    </row>
    <row r="467" spans="9:35" x14ac:dyDescent="0.45">
      <c r="I467" t="s">
        <v>252</v>
      </c>
      <c r="J467" t="s">
        <v>398</v>
      </c>
      <c r="K467">
        <v>3.2958281595258512E-7</v>
      </c>
      <c r="L467" t="s">
        <v>254</v>
      </c>
      <c r="N467" t="s">
        <v>422</v>
      </c>
      <c r="O467" t="s">
        <v>398</v>
      </c>
      <c r="P467">
        <v>3.0734248303117023E-2</v>
      </c>
      <c r="Q467" t="s">
        <v>254</v>
      </c>
      <c r="S467" t="s">
        <v>423</v>
      </c>
      <c r="T467" t="s">
        <v>398</v>
      </c>
      <c r="U467">
        <v>2.86731600145597E-2</v>
      </c>
      <c r="V467" t="s">
        <v>254</v>
      </c>
      <c r="X467">
        <v>2.4771689497716895E-2</v>
      </c>
      <c r="Y467">
        <v>9.7827942553597048E-3</v>
      </c>
      <c r="Z467" t="s">
        <v>398</v>
      </c>
      <c r="AA467" t="s">
        <v>25</v>
      </c>
      <c r="AC467" t="s">
        <v>22</v>
      </c>
      <c r="AD467" t="s">
        <v>398</v>
      </c>
      <c r="AE467">
        <v>1.8463570384942989E-2</v>
      </c>
      <c r="AG467" t="s">
        <v>97</v>
      </c>
      <c r="AH467" t="s">
        <v>398</v>
      </c>
      <c r="AI467">
        <v>0.26158392147292209</v>
      </c>
    </row>
    <row r="468" spans="9:35" x14ac:dyDescent="0.45">
      <c r="I468" t="s">
        <v>252</v>
      </c>
      <c r="J468" t="s">
        <v>399</v>
      </c>
      <c r="K468">
        <v>1.8984719522335222E-3</v>
      </c>
      <c r="L468" t="s">
        <v>254</v>
      </c>
      <c r="N468" t="s">
        <v>422</v>
      </c>
      <c r="O468" t="s">
        <v>399</v>
      </c>
      <c r="P468">
        <v>4.4344888697710307E-3</v>
      </c>
      <c r="Q468" t="s">
        <v>254</v>
      </c>
      <c r="S468" t="s">
        <v>423</v>
      </c>
      <c r="T468" t="s">
        <v>399</v>
      </c>
      <c r="U468">
        <v>4.1685888254161954E-3</v>
      </c>
      <c r="V468" t="s">
        <v>254</v>
      </c>
      <c r="X468">
        <v>3.5388127853881279E-3</v>
      </c>
      <c r="Y468">
        <v>5.9087255218821738E-3</v>
      </c>
      <c r="Z468" t="s">
        <v>399</v>
      </c>
      <c r="AA468" t="s">
        <v>25</v>
      </c>
      <c r="AC468" t="s">
        <v>22</v>
      </c>
      <c r="AD468" t="s">
        <v>399</v>
      </c>
      <c r="AE468">
        <v>3.5211649293716706E-3</v>
      </c>
      <c r="AG468" t="s">
        <v>97</v>
      </c>
      <c r="AH468" t="s">
        <v>399</v>
      </c>
      <c r="AI468">
        <v>7.9840231634114911E-2</v>
      </c>
    </row>
    <row r="469" spans="9:35" x14ac:dyDescent="0.45">
      <c r="I469" t="s">
        <v>252</v>
      </c>
      <c r="J469" t="s">
        <v>400</v>
      </c>
      <c r="K469">
        <v>1.0745151550953907E-2</v>
      </c>
      <c r="L469" t="s">
        <v>254</v>
      </c>
      <c r="N469" t="s">
        <v>422</v>
      </c>
      <c r="O469" t="s">
        <v>400</v>
      </c>
      <c r="P469">
        <v>8.8286100848873218E-3</v>
      </c>
      <c r="Q469" t="s">
        <v>254</v>
      </c>
      <c r="S469" t="s">
        <v>423</v>
      </c>
      <c r="T469" t="s">
        <v>400</v>
      </c>
      <c r="U469">
        <v>8.3054739636949666E-3</v>
      </c>
      <c r="V469" t="s">
        <v>254</v>
      </c>
      <c r="X469">
        <v>7.0776255707762558E-3</v>
      </c>
      <c r="Y469">
        <v>9.0018148820326695E-3</v>
      </c>
      <c r="Z469" t="s">
        <v>400</v>
      </c>
      <c r="AA469" t="s">
        <v>25</v>
      </c>
      <c r="AC469" t="s">
        <v>22</v>
      </c>
      <c r="AD469" t="s">
        <v>400</v>
      </c>
      <c r="AE469">
        <v>7.4816693988852137E-3</v>
      </c>
      <c r="AG469" t="s">
        <v>97</v>
      </c>
      <c r="AH469" t="s">
        <v>400</v>
      </c>
      <c r="AI469">
        <v>6.3218942958019442E-2</v>
      </c>
    </row>
    <row r="470" spans="9:35" x14ac:dyDescent="0.45">
      <c r="I470" t="s">
        <v>252</v>
      </c>
      <c r="J470" t="s">
        <v>401</v>
      </c>
      <c r="K470">
        <v>2.1831181533129931E-2</v>
      </c>
      <c r="L470" t="s">
        <v>254</v>
      </c>
      <c r="N470" t="s">
        <v>422</v>
      </c>
      <c r="O470" t="s">
        <v>401</v>
      </c>
      <c r="P470">
        <v>1.2791133872752417E-2</v>
      </c>
      <c r="Q470" t="s">
        <v>254</v>
      </c>
      <c r="S470" t="s">
        <v>423</v>
      </c>
      <c r="T470" t="s">
        <v>401</v>
      </c>
      <c r="U470">
        <v>1.2222527696226625E-2</v>
      </c>
      <c r="V470" t="s">
        <v>254</v>
      </c>
      <c r="X470">
        <v>1.0616438356164383E-2</v>
      </c>
      <c r="Y470">
        <v>1.3143060769543132E-2</v>
      </c>
      <c r="Z470" t="s">
        <v>401</v>
      </c>
      <c r="AA470" t="s">
        <v>25</v>
      </c>
      <c r="AC470" t="s">
        <v>22</v>
      </c>
      <c r="AD470" t="s">
        <v>401</v>
      </c>
      <c r="AE470">
        <v>1.1209668687197322E-2</v>
      </c>
      <c r="AG470" t="s">
        <v>97</v>
      </c>
      <c r="AH470" t="s">
        <v>401</v>
      </c>
      <c r="AI470">
        <v>6.548258060104617E-2</v>
      </c>
    </row>
    <row r="471" spans="9:35" x14ac:dyDescent="0.45">
      <c r="I471" t="s">
        <v>252</v>
      </c>
      <c r="J471" t="s">
        <v>402</v>
      </c>
      <c r="K471">
        <v>7.2855052323544658E-3</v>
      </c>
      <c r="L471" t="s">
        <v>254</v>
      </c>
      <c r="N471" t="s">
        <v>422</v>
      </c>
      <c r="O471" t="s">
        <v>402</v>
      </c>
      <c r="P471">
        <v>4.2589329846080748E-3</v>
      </c>
      <c r="Q471" t="s">
        <v>254</v>
      </c>
      <c r="S471" t="s">
        <v>423</v>
      </c>
      <c r="T471" t="s">
        <v>402</v>
      </c>
      <c r="U471">
        <v>4.1079596745851685E-3</v>
      </c>
      <c r="V471" t="s">
        <v>254</v>
      </c>
      <c r="X471">
        <v>3.5388127853881279E-3</v>
      </c>
      <c r="Y471">
        <v>4.6139439292610376E-3</v>
      </c>
      <c r="Z471" t="s">
        <v>402</v>
      </c>
      <c r="AA471" t="s">
        <v>25</v>
      </c>
      <c r="AC471" t="s">
        <v>22</v>
      </c>
      <c r="AD471" t="s">
        <v>402</v>
      </c>
      <c r="AE471">
        <v>3.700172822743408E-3</v>
      </c>
      <c r="AG471" t="s">
        <v>97</v>
      </c>
      <c r="AH471" t="s">
        <v>402</v>
      </c>
      <c r="AI471">
        <v>6.666821648959953E-2</v>
      </c>
    </row>
    <row r="472" spans="9:35" x14ac:dyDescent="0.45">
      <c r="I472" t="s">
        <v>252</v>
      </c>
      <c r="J472" t="s">
        <v>403</v>
      </c>
      <c r="K472">
        <v>1.3557370213634876E-2</v>
      </c>
      <c r="L472" t="s">
        <v>254</v>
      </c>
      <c r="N472" t="s">
        <v>422</v>
      </c>
      <c r="O472" t="s">
        <v>403</v>
      </c>
      <c r="P472">
        <v>8.3809070398184055E-3</v>
      </c>
      <c r="Q472" t="s">
        <v>254</v>
      </c>
      <c r="S472" t="s">
        <v>423</v>
      </c>
      <c r="T472" t="s">
        <v>403</v>
      </c>
      <c r="U472">
        <v>8.2800663842089815E-3</v>
      </c>
      <c r="V472" t="s">
        <v>254</v>
      </c>
      <c r="X472">
        <v>7.0776255707762558E-3</v>
      </c>
      <c r="Y472">
        <v>1.0008867231849112E-2</v>
      </c>
      <c r="Z472" t="s">
        <v>403</v>
      </c>
      <c r="AA472" t="s">
        <v>25</v>
      </c>
      <c r="AC472" t="s">
        <v>22</v>
      </c>
      <c r="AD472" t="s">
        <v>403</v>
      </c>
      <c r="AE472">
        <v>7.3484184228895383E-3</v>
      </c>
      <c r="AG472" t="s">
        <v>97</v>
      </c>
      <c r="AH472" t="s">
        <v>403</v>
      </c>
      <c r="AI472">
        <v>7.0312583174223064E-2</v>
      </c>
    </row>
    <row r="473" spans="9:35" x14ac:dyDescent="0.45">
      <c r="I473" t="s">
        <v>252</v>
      </c>
      <c r="J473" t="s">
        <v>404</v>
      </c>
      <c r="K473">
        <v>7.4400963199842329E-3</v>
      </c>
      <c r="L473" t="s">
        <v>254</v>
      </c>
      <c r="N473" t="s">
        <v>422</v>
      </c>
      <c r="O473" t="s">
        <v>404</v>
      </c>
      <c r="P473">
        <v>8.0235516971465456E-3</v>
      </c>
      <c r="Q473" t="s">
        <v>254</v>
      </c>
      <c r="S473" t="s">
        <v>423</v>
      </c>
      <c r="T473" t="s">
        <v>404</v>
      </c>
      <c r="U473">
        <v>8.3079167827620551E-3</v>
      </c>
      <c r="V473" t="s">
        <v>254</v>
      </c>
      <c r="X473">
        <v>7.0776255707762558E-3</v>
      </c>
      <c r="Y473">
        <v>1.376989947708193E-2</v>
      </c>
      <c r="Z473" t="s">
        <v>404</v>
      </c>
      <c r="AA473" t="s">
        <v>25</v>
      </c>
      <c r="AC473" t="s">
        <v>22</v>
      </c>
      <c r="AD473" t="s">
        <v>404</v>
      </c>
      <c r="AE473">
        <v>7.355013208287596E-3</v>
      </c>
      <c r="AG473" t="s">
        <v>97</v>
      </c>
      <c r="AH473" t="s">
        <v>404</v>
      </c>
      <c r="AI473">
        <v>7.3698867732210349E-2</v>
      </c>
    </row>
    <row r="474" spans="9:35" x14ac:dyDescent="0.45">
      <c r="I474" t="s">
        <v>252</v>
      </c>
      <c r="J474" t="s">
        <v>405</v>
      </c>
      <c r="K474">
        <v>2.0476372471086324E-5</v>
      </c>
      <c r="L474" t="s">
        <v>254</v>
      </c>
      <c r="N474" t="s">
        <v>422</v>
      </c>
      <c r="O474" t="s">
        <v>405</v>
      </c>
      <c r="P474">
        <v>2.5153016257585408E-2</v>
      </c>
      <c r="Q474" t="s">
        <v>254</v>
      </c>
      <c r="S474" t="s">
        <v>423</v>
      </c>
      <c r="T474" t="s">
        <v>405</v>
      </c>
      <c r="U474">
        <v>2.471905350643714E-2</v>
      </c>
      <c r="V474" t="s">
        <v>254</v>
      </c>
      <c r="X474">
        <v>2.1232876712328767E-2</v>
      </c>
      <c r="Y474">
        <v>1.8702400782305319E-2</v>
      </c>
      <c r="Z474" t="s">
        <v>405</v>
      </c>
      <c r="AA474" t="s">
        <v>25</v>
      </c>
      <c r="AC474" t="s">
        <v>22</v>
      </c>
      <c r="AD474" t="s">
        <v>405</v>
      </c>
      <c r="AE474">
        <v>1.9619793437954926E-2</v>
      </c>
      <c r="AG474" t="s">
        <v>97</v>
      </c>
      <c r="AH474" t="s">
        <v>405</v>
      </c>
      <c r="AI474">
        <v>0.1673241681685036</v>
      </c>
    </row>
    <row r="475" spans="9:35" x14ac:dyDescent="0.45">
      <c r="I475" t="s">
        <v>252</v>
      </c>
      <c r="J475" t="s">
        <v>406</v>
      </c>
      <c r="K475">
        <v>0</v>
      </c>
      <c r="L475" t="s">
        <v>254</v>
      </c>
      <c r="N475" t="s">
        <v>422</v>
      </c>
      <c r="O475" t="s">
        <v>406</v>
      </c>
      <c r="P475">
        <v>2.931101114839732E-2</v>
      </c>
      <c r="Q475" t="s">
        <v>254</v>
      </c>
      <c r="S475" t="s">
        <v>423</v>
      </c>
      <c r="T475" t="s">
        <v>406</v>
      </c>
      <c r="U475">
        <v>2.7847033930216165E-2</v>
      </c>
      <c r="V475" t="s">
        <v>254</v>
      </c>
      <c r="X475">
        <v>2.3972602739726026E-2</v>
      </c>
      <c r="Y475">
        <v>9.4672202471222967E-3</v>
      </c>
      <c r="Z475" t="s">
        <v>406</v>
      </c>
      <c r="AA475" t="s">
        <v>25</v>
      </c>
      <c r="AC475" t="s">
        <v>22</v>
      </c>
      <c r="AD475" t="s">
        <v>406</v>
      </c>
      <c r="AE475">
        <v>2.0052436889231126E-2</v>
      </c>
      <c r="AG475" t="s">
        <v>97</v>
      </c>
      <c r="AH475" t="s">
        <v>406</v>
      </c>
      <c r="AI475">
        <v>0.29993685127360115</v>
      </c>
    </row>
    <row r="476" spans="9:35" x14ac:dyDescent="0.45">
      <c r="I476" t="s">
        <v>252</v>
      </c>
      <c r="J476" t="s">
        <v>407</v>
      </c>
      <c r="K476">
        <v>6.9595661734516304E-5</v>
      </c>
      <c r="L476" t="s">
        <v>254</v>
      </c>
      <c r="N476" t="s">
        <v>422</v>
      </c>
      <c r="O476" t="s">
        <v>407</v>
      </c>
      <c r="P476">
        <v>4.1448967536828552E-3</v>
      </c>
      <c r="Q476" t="s">
        <v>254</v>
      </c>
      <c r="S476" t="s">
        <v>423</v>
      </c>
      <c r="T476" t="s">
        <v>407</v>
      </c>
      <c r="U476">
        <v>3.9352607163494809E-3</v>
      </c>
      <c r="V476" t="s">
        <v>254</v>
      </c>
      <c r="X476">
        <v>3.4246575342465752E-3</v>
      </c>
      <c r="Y476">
        <v>5.7181214727892006E-3</v>
      </c>
      <c r="Z476" t="s">
        <v>407</v>
      </c>
      <c r="AA476" t="s">
        <v>25</v>
      </c>
      <c r="AC476" t="s">
        <v>22</v>
      </c>
      <c r="AD476" t="s">
        <v>407</v>
      </c>
      <c r="AE476">
        <v>3.9165735287244154E-3</v>
      </c>
      <c r="AG476" t="s">
        <v>97</v>
      </c>
      <c r="AH476" t="s">
        <v>407</v>
      </c>
      <c r="AI476">
        <v>9.6641572988210633E-2</v>
      </c>
    </row>
    <row r="477" spans="9:35" x14ac:dyDescent="0.45">
      <c r="I477" t="s">
        <v>252</v>
      </c>
      <c r="J477" t="s">
        <v>408</v>
      </c>
      <c r="K477">
        <v>6.1529025516527565E-3</v>
      </c>
      <c r="L477" t="s">
        <v>254</v>
      </c>
      <c r="N477" t="s">
        <v>422</v>
      </c>
      <c r="O477" t="s">
        <v>408</v>
      </c>
      <c r="P477">
        <v>8.1377139366058445E-3</v>
      </c>
      <c r="Q477" t="s">
        <v>254</v>
      </c>
      <c r="S477" t="s">
        <v>423</v>
      </c>
      <c r="T477" t="s">
        <v>408</v>
      </c>
      <c r="U477">
        <v>7.8562759010133449E-3</v>
      </c>
      <c r="V477" t="s">
        <v>254</v>
      </c>
      <c r="X477">
        <v>6.8493150684931503E-3</v>
      </c>
      <c r="Y477">
        <v>8.7114337568058101E-3</v>
      </c>
      <c r="Z477" t="s">
        <v>408</v>
      </c>
      <c r="AA477" t="s">
        <v>25</v>
      </c>
      <c r="AC477" t="s">
        <v>22</v>
      </c>
      <c r="AD477" t="s">
        <v>408</v>
      </c>
      <c r="AE477">
        <v>8.1700769192631136E-3</v>
      </c>
      <c r="AG477" t="s">
        <v>97</v>
      </c>
      <c r="AH477" t="s">
        <v>408</v>
      </c>
      <c r="AI477">
        <v>8.8318365814044064E-2</v>
      </c>
    </row>
    <row r="478" spans="9:35" x14ac:dyDescent="0.45">
      <c r="I478" t="s">
        <v>252</v>
      </c>
      <c r="J478" t="s">
        <v>409</v>
      </c>
      <c r="K478">
        <v>1.4808228014460098E-2</v>
      </c>
      <c r="L478" t="s">
        <v>254</v>
      </c>
      <c r="N478" t="s">
        <v>422</v>
      </c>
      <c r="O478" t="s">
        <v>409</v>
      </c>
      <c r="P478">
        <v>1.2782462221910021E-2</v>
      </c>
      <c r="Q478" t="s">
        <v>254</v>
      </c>
      <c r="S478" t="s">
        <v>423</v>
      </c>
      <c r="T478" t="s">
        <v>409</v>
      </c>
      <c r="U478">
        <v>1.1336376707505036E-2</v>
      </c>
      <c r="V478" t="s">
        <v>254</v>
      </c>
      <c r="X478">
        <v>1.0273972602739725E-2</v>
      </c>
      <c r="Y478">
        <v>1.2719091067299805E-2</v>
      </c>
      <c r="Z478" t="s">
        <v>409</v>
      </c>
      <c r="AA478" t="s">
        <v>25</v>
      </c>
      <c r="AC478" t="s">
        <v>22</v>
      </c>
      <c r="AD478" t="s">
        <v>409</v>
      </c>
      <c r="AE478">
        <v>1.2282637548432982E-2</v>
      </c>
      <c r="AG478" t="s">
        <v>97</v>
      </c>
      <c r="AH478" t="s">
        <v>409</v>
      </c>
      <c r="AI478">
        <v>8.524347860116066E-2</v>
      </c>
    </row>
    <row r="479" spans="9:35" x14ac:dyDescent="0.45">
      <c r="I479" t="s">
        <v>252</v>
      </c>
      <c r="J479" t="s">
        <v>410</v>
      </c>
      <c r="K479">
        <v>5.2665416862010123E-3</v>
      </c>
      <c r="L479" t="s">
        <v>254</v>
      </c>
      <c r="N479" t="s">
        <v>422</v>
      </c>
      <c r="O479" t="s">
        <v>410</v>
      </c>
      <c r="P479">
        <v>4.4544946420195762E-3</v>
      </c>
      <c r="Q479" t="s">
        <v>254</v>
      </c>
      <c r="S479" t="s">
        <v>423</v>
      </c>
      <c r="T479" t="s">
        <v>410</v>
      </c>
      <c r="U479">
        <v>3.666573427115692E-3</v>
      </c>
      <c r="V479" t="s">
        <v>254</v>
      </c>
      <c r="X479">
        <v>3.4246575342465752E-3</v>
      </c>
      <c r="Y479">
        <v>4.4651070283171336E-3</v>
      </c>
      <c r="Z479" t="s">
        <v>410</v>
      </c>
      <c r="AA479" t="s">
        <v>25</v>
      </c>
      <c r="AC479" t="s">
        <v>22</v>
      </c>
      <c r="AD479" t="s">
        <v>410</v>
      </c>
      <c r="AE479">
        <v>4.0651825043714063E-3</v>
      </c>
      <c r="AG479" t="s">
        <v>97</v>
      </c>
      <c r="AH479" t="s">
        <v>410</v>
      </c>
      <c r="AI479">
        <v>8.3883454206900465E-2</v>
      </c>
    </row>
    <row r="480" spans="9:35" x14ac:dyDescent="0.45">
      <c r="I480" t="s">
        <v>252</v>
      </c>
      <c r="J480" t="s">
        <v>411</v>
      </c>
      <c r="K480">
        <v>9.6719817741024918E-3</v>
      </c>
      <c r="L480" t="s">
        <v>254</v>
      </c>
      <c r="N480" t="s">
        <v>422</v>
      </c>
      <c r="O480" t="s">
        <v>411</v>
      </c>
      <c r="P480">
        <v>8.8934972559307334E-3</v>
      </c>
      <c r="Q480" t="s">
        <v>254</v>
      </c>
      <c r="S480" t="s">
        <v>423</v>
      </c>
      <c r="T480" t="s">
        <v>411</v>
      </c>
      <c r="U480">
        <v>7.4513489315056712E-3</v>
      </c>
      <c r="V480" t="s">
        <v>254</v>
      </c>
      <c r="X480">
        <v>6.8493150684931503E-3</v>
      </c>
      <c r="Y480">
        <v>9.6860005469507522E-3</v>
      </c>
      <c r="Z480" t="s">
        <v>411</v>
      </c>
      <c r="AA480" t="s">
        <v>25</v>
      </c>
      <c r="AC480" t="s">
        <v>22</v>
      </c>
      <c r="AD480" t="s">
        <v>411</v>
      </c>
      <c r="AE480">
        <v>8.1181445824468363E-3</v>
      </c>
      <c r="AG480" t="s">
        <v>97</v>
      </c>
      <c r="AH480" t="s">
        <v>411</v>
      </c>
      <c r="AI480">
        <v>9.0322808135314681E-2</v>
      </c>
    </row>
    <row r="481" spans="9:35" x14ac:dyDescent="0.45">
      <c r="I481" t="s">
        <v>252</v>
      </c>
      <c r="J481" t="s">
        <v>412</v>
      </c>
      <c r="K481">
        <v>3.0328701328589868E-3</v>
      </c>
      <c r="L481" t="s">
        <v>254</v>
      </c>
      <c r="N481" t="s">
        <v>422</v>
      </c>
      <c r="O481" t="s">
        <v>412</v>
      </c>
      <c r="P481">
        <v>8.9269866837705641E-3</v>
      </c>
      <c r="Q481" t="s">
        <v>254</v>
      </c>
      <c r="S481" t="s">
        <v>423</v>
      </c>
      <c r="T481" t="s">
        <v>412</v>
      </c>
      <c r="U481">
        <v>7.6402466940948379E-3</v>
      </c>
      <c r="V481" t="s">
        <v>254</v>
      </c>
      <c r="X481">
        <v>6.8493150684931503E-3</v>
      </c>
      <c r="Y481">
        <v>1.3325709171369611E-2</v>
      </c>
      <c r="Z481" t="s">
        <v>412</v>
      </c>
      <c r="AA481" t="s">
        <v>25</v>
      </c>
      <c r="AC481" t="s">
        <v>22</v>
      </c>
      <c r="AD481" t="s">
        <v>412</v>
      </c>
      <c r="AE481">
        <v>8.2616291106577238E-3</v>
      </c>
      <c r="AG481" t="s">
        <v>97</v>
      </c>
      <c r="AH481" t="s">
        <v>412</v>
      </c>
      <c r="AI481">
        <v>8.4411488885055563E-2</v>
      </c>
    </row>
    <row r="482" spans="9:35" x14ac:dyDescent="0.45">
      <c r="I482" t="s">
        <v>252</v>
      </c>
      <c r="J482" t="s">
        <v>413</v>
      </c>
      <c r="K482">
        <v>0</v>
      </c>
      <c r="L482" t="s">
        <v>254</v>
      </c>
      <c r="N482" t="s">
        <v>422</v>
      </c>
      <c r="O482" t="s">
        <v>413</v>
      </c>
      <c r="P482">
        <v>2.5727119340730506E-2</v>
      </c>
      <c r="Q482" t="s">
        <v>254</v>
      </c>
      <c r="S482" t="s">
        <v>423</v>
      </c>
      <c r="T482" t="s">
        <v>413</v>
      </c>
      <c r="U482">
        <v>2.3947295215002884E-2</v>
      </c>
      <c r="V482" t="s">
        <v>254</v>
      </c>
      <c r="X482">
        <v>2.0547945205479451E-2</v>
      </c>
      <c r="Y482">
        <v>1.8099097531263209E-2</v>
      </c>
      <c r="Z482" t="s">
        <v>413</v>
      </c>
      <c r="AA482" t="s">
        <v>25</v>
      </c>
      <c r="AC482" t="s">
        <v>22</v>
      </c>
      <c r="AD482" t="s">
        <v>413</v>
      </c>
      <c r="AE482">
        <v>2.1459757666207505E-2</v>
      </c>
      <c r="AG482" t="s">
        <v>97</v>
      </c>
      <c r="AH482" t="s">
        <v>413</v>
      </c>
      <c r="AI482">
        <v>0.20586110636602517</v>
      </c>
    </row>
    <row r="483" spans="9:35" x14ac:dyDescent="0.45">
      <c r="I483" t="s">
        <v>252</v>
      </c>
      <c r="J483" t="s">
        <v>414</v>
      </c>
      <c r="K483">
        <v>0</v>
      </c>
      <c r="L483" t="s">
        <v>254</v>
      </c>
      <c r="N483" t="s">
        <v>422</v>
      </c>
      <c r="O483" t="s">
        <v>414</v>
      </c>
      <c r="P483">
        <v>3.1146804888227204E-2</v>
      </c>
      <c r="Q483" t="s">
        <v>254</v>
      </c>
      <c r="S483" t="s">
        <v>423</v>
      </c>
      <c r="T483" t="s">
        <v>414</v>
      </c>
      <c r="U483">
        <v>2.8793009642577382E-2</v>
      </c>
      <c r="V483" t="s">
        <v>254</v>
      </c>
      <c r="X483">
        <v>2.4771689497716895E-2</v>
      </c>
      <c r="Y483">
        <v>9.7827942553597048E-3</v>
      </c>
      <c r="Z483" t="s">
        <v>414</v>
      </c>
      <c r="AA483" t="s">
        <v>25</v>
      </c>
      <c r="AC483" t="s">
        <v>22</v>
      </c>
      <c r="AD483" t="s">
        <v>414</v>
      </c>
      <c r="AE483">
        <v>2.1425280402942632E-2</v>
      </c>
      <c r="AG483" t="s">
        <v>97</v>
      </c>
      <c r="AH483" t="s">
        <v>414</v>
      </c>
      <c r="AI483">
        <v>0.2947027221455345</v>
      </c>
    </row>
    <row r="484" spans="9:35" x14ac:dyDescent="0.45">
      <c r="I484" t="s">
        <v>252</v>
      </c>
      <c r="J484" t="s">
        <v>415</v>
      </c>
      <c r="K484">
        <v>0</v>
      </c>
      <c r="L484" t="s">
        <v>254</v>
      </c>
      <c r="N484" t="s">
        <v>422</v>
      </c>
      <c r="O484" t="s">
        <v>415</v>
      </c>
      <c r="P484">
        <v>4.31761190741473E-3</v>
      </c>
      <c r="Q484" t="s">
        <v>254</v>
      </c>
      <c r="S484" t="s">
        <v>423</v>
      </c>
      <c r="T484" t="s">
        <v>415</v>
      </c>
      <c r="U484">
        <v>4.1199438315051417E-3</v>
      </c>
      <c r="V484" t="s">
        <v>254</v>
      </c>
      <c r="X484">
        <v>3.5388127853881279E-3</v>
      </c>
      <c r="Y484">
        <v>5.9087255218821738E-3</v>
      </c>
      <c r="Z484" t="s">
        <v>415</v>
      </c>
      <c r="AA484" t="s">
        <v>25</v>
      </c>
      <c r="AC484" t="s">
        <v>22</v>
      </c>
      <c r="AD484" t="s">
        <v>415</v>
      </c>
      <c r="AE484">
        <v>4.1125234349494791E-3</v>
      </c>
      <c r="AG484" t="s">
        <v>97</v>
      </c>
      <c r="AH484" t="s">
        <v>415</v>
      </c>
      <c r="AI484">
        <v>8.4630227908339517E-2</v>
      </c>
    </row>
    <row r="485" spans="9:35" x14ac:dyDescent="0.45">
      <c r="I485" t="s">
        <v>252</v>
      </c>
      <c r="J485" t="s">
        <v>416</v>
      </c>
      <c r="K485">
        <v>6.4038723485293526E-3</v>
      </c>
      <c r="L485" t="s">
        <v>254</v>
      </c>
      <c r="N485" t="s">
        <v>422</v>
      </c>
      <c r="O485" t="s">
        <v>416</v>
      </c>
      <c r="P485">
        <v>8.5232327838381788E-3</v>
      </c>
      <c r="Q485" t="s">
        <v>254</v>
      </c>
      <c r="S485" t="s">
        <v>423</v>
      </c>
      <c r="T485" t="s">
        <v>416</v>
      </c>
      <c r="U485">
        <v>8.239040986961408E-3</v>
      </c>
      <c r="V485" t="s">
        <v>254</v>
      </c>
      <c r="X485">
        <v>7.0776255707762558E-3</v>
      </c>
      <c r="Y485">
        <v>9.0018148820326695E-3</v>
      </c>
      <c r="Z485" t="s">
        <v>416</v>
      </c>
      <c r="AA485" t="s">
        <v>25</v>
      </c>
      <c r="AC485" t="s">
        <v>22</v>
      </c>
      <c r="AD485" t="s">
        <v>416</v>
      </c>
      <c r="AE485">
        <v>8.5682569926429156E-3</v>
      </c>
      <c r="AG485" t="s">
        <v>97</v>
      </c>
      <c r="AH485" t="s">
        <v>416</v>
      </c>
      <c r="AI485">
        <v>7.9188707784562995E-2</v>
      </c>
    </row>
    <row r="486" spans="9:35" x14ac:dyDescent="0.45">
      <c r="I486" t="s">
        <v>252</v>
      </c>
      <c r="J486" t="s">
        <v>417</v>
      </c>
      <c r="K486">
        <v>1.8568084035886397E-2</v>
      </c>
      <c r="L486" t="s">
        <v>254</v>
      </c>
      <c r="N486" t="s">
        <v>422</v>
      </c>
      <c r="O486" t="s">
        <v>417</v>
      </c>
      <c r="P486">
        <v>1.243096882230536E-2</v>
      </c>
      <c r="Q486" t="s">
        <v>254</v>
      </c>
      <c r="S486" t="s">
        <v>423</v>
      </c>
      <c r="T486" t="s">
        <v>417</v>
      </c>
      <c r="U486">
        <v>1.207865958376843E-2</v>
      </c>
      <c r="V486" t="s">
        <v>254</v>
      </c>
      <c r="X486">
        <v>1.0616438356164383E-2</v>
      </c>
      <c r="Y486">
        <v>1.3143060769543132E-2</v>
      </c>
      <c r="Z486" t="s">
        <v>417</v>
      </c>
      <c r="AA486" t="s">
        <v>25</v>
      </c>
      <c r="AC486" t="s">
        <v>22</v>
      </c>
      <c r="AD486" t="s">
        <v>417</v>
      </c>
      <c r="AE486">
        <v>1.2785028667649806E-2</v>
      </c>
      <c r="AG486" t="s">
        <v>97</v>
      </c>
      <c r="AH486" t="s">
        <v>417</v>
      </c>
      <c r="AI486">
        <v>8.0668699840730218E-2</v>
      </c>
    </row>
    <row r="487" spans="9:35" x14ac:dyDescent="0.45">
      <c r="I487" t="s">
        <v>252</v>
      </c>
      <c r="J487" t="s">
        <v>418</v>
      </c>
      <c r="K487">
        <v>6.5515329450327254E-3</v>
      </c>
      <c r="L487" t="s">
        <v>254</v>
      </c>
      <c r="N487" t="s">
        <v>422</v>
      </c>
      <c r="O487" t="s">
        <v>418</v>
      </c>
      <c r="P487">
        <v>4.1898215208638848E-3</v>
      </c>
      <c r="Q487" t="s">
        <v>254</v>
      </c>
      <c r="S487" t="s">
        <v>423</v>
      </c>
      <c r="T487" t="s">
        <v>418</v>
      </c>
      <c r="U487">
        <v>3.9982360424480265E-3</v>
      </c>
      <c r="V487" t="s">
        <v>254</v>
      </c>
      <c r="X487">
        <v>3.5388127853881279E-3</v>
      </c>
      <c r="Y487">
        <v>4.6139439292610376E-3</v>
      </c>
      <c r="Z487" t="s">
        <v>418</v>
      </c>
      <c r="AA487" t="s">
        <v>25</v>
      </c>
      <c r="AC487" t="s">
        <v>22</v>
      </c>
      <c r="AD487" t="s">
        <v>418</v>
      </c>
      <c r="AE487">
        <v>4.2043748081554795E-3</v>
      </c>
      <c r="AG487" t="s">
        <v>97</v>
      </c>
      <c r="AH487" t="s">
        <v>418</v>
      </c>
      <c r="AI487">
        <v>7.6650597053711245E-2</v>
      </c>
    </row>
    <row r="488" spans="9:35" x14ac:dyDescent="0.45">
      <c r="I488" t="s">
        <v>252</v>
      </c>
      <c r="J488" t="s">
        <v>419</v>
      </c>
      <c r="K488">
        <v>1.3234551289396075E-2</v>
      </c>
      <c r="L488" t="s">
        <v>254</v>
      </c>
      <c r="N488" t="s">
        <v>422</v>
      </c>
      <c r="O488" t="s">
        <v>419</v>
      </c>
      <c r="P488">
        <v>8.4239938906834257E-3</v>
      </c>
      <c r="Q488" t="s">
        <v>254</v>
      </c>
      <c r="S488" t="s">
        <v>423</v>
      </c>
      <c r="T488" t="s">
        <v>419</v>
      </c>
      <c r="U488">
        <v>8.1432231404651167E-3</v>
      </c>
      <c r="V488" t="s">
        <v>254</v>
      </c>
      <c r="X488">
        <v>7.0776255707762558E-3</v>
      </c>
      <c r="Y488">
        <v>1.0008867231849112E-2</v>
      </c>
      <c r="Z488" t="s">
        <v>419</v>
      </c>
      <c r="AA488" t="s">
        <v>25</v>
      </c>
      <c r="AC488" t="s">
        <v>22</v>
      </c>
      <c r="AD488" t="s">
        <v>419</v>
      </c>
      <c r="AE488">
        <v>8.4036328402033542E-3</v>
      </c>
      <c r="AG488" t="s">
        <v>97</v>
      </c>
      <c r="AH488" t="s">
        <v>419</v>
      </c>
      <c r="AI488">
        <v>7.9590932437562545E-2</v>
      </c>
    </row>
    <row r="489" spans="9:35" x14ac:dyDescent="0.45">
      <c r="I489" t="s">
        <v>252</v>
      </c>
      <c r="J489" t="s">
        <v>420</v>
      </c>
      <c r="K489">
        <v>3.9746287768223278E-3</v>
      </c>
      <c r="L489" t="s">
        <v>254</v>
      </c>
      <c r="N489" t="s">
        <v>422</v>
      </c>
      <c r="O489" t="s">
        <v>420</v>
      </c>
      <c r="P489">
        <v>8.7486588963055899E-3</v>
      </c>
      <c r="Q489" t="s">
        <v>254</v>
      </c>
      <c r="S489" t="s">
        <v>423</v>
      </c>
      <c r="T489" t="s">
        <v>420</v>
      </c>
      <c r="U489">
        <v>8.3249273270211421E-3</v>
      </c>
      <c r="V489" t="s">
        <v>254</v>
      </c>
      <c r="X489">
        <v>7.0776255707762558E-3</v>
      </c>
      <c r="Y489">
        <v>1.376989947708193E-2</v>
      </c>
      <c r="Z489" t="s">
        <v>420</v>
      </c>
      <c r="AA489" t="s">
        <v>25</v>
      </c>
      <c r="AC489" t="s">
        <v>22</v>
      </c>
      <c r="AD489" t="s">
        <v>420</v>
      </c>
      <c r="AE489">
        <v>8.6302720122139603E-3</v>
      </c>
      <c r="AG489" t="s">
        <v>97</v>
      </c>
      <c r="AH489" t="s">
        <v>420</v>
      </c>
      <c r="AI489">
        <v>7.2305314486669214E-2</v>
      </c>
    </row>
    <row r="490" spans="9:35" x14ac:dyDescent="0.45">
      <c r="I490" t="s">
        <v>252</v>
      </c>
      <c r="J490" t="s">
        <v>421</v>
      </c>
      <c r="K490">
        <v>0</v>
      </c>
      <c r="L490" t="s">
        <v>254</v>
      </c>
      <c r="N490" t="s">
        <v>422</v>
      </c>
      <c r="O490" t="s">
        <v>421</v>
      </c>
      <c r="P490">
        <v>2.8229797330429289E-2</v>
      </c>
      <c r="Q490" t="s">
        <v>254</v>
      </c>
      <c r="S490" t="s">
        <v>423</v>
      </c>
      <c r="T490" t="s">
        <v>421</v>
      </c>
      <c r="U490">
        <v>2.4994685761360526E-2</v>
      </c>
      <c r="V490" t="s">
        <v>254</v>
      </c>
      <c r="X490">
        <v>2.1232876712328767E-2</v>
      </c>
      <c r="Y490">
        <v>1.8702400782305319E-2</v>
      </c>
      <c r="Z490" t="s">
        <v>421</v>
      </c>
      <c r="AA490" t="s">
        <v>25</v>
      </c>
      <c r="AC490" t="s">
        <v>22</v>
      </c>
      <c r="AD490" t="s">
        <v>421</v>
      </c>
      <c r="AE490">
        <v>2.2314284150476777E-2</v>
      </c>
      <c r="AG490" t="s">
        <v>97</v>
      </c>
      <c r="AH490" t="s">
        <v>421</v>
      </c>
      <c r="AI490">
        <v>0.19559280053890871</v>
      </c>
    </row>
    <row r="491" spans="9:35" x14ac:dyDescent="0.45">
      <c r="AC491" t="s">
        <v>19</v>
      </c>
      <c r="AD491" t="s">
        <v>253</v>
      </c>
      <c r="AE491">
        <v>2.3608462951731045E-2</v>
      </c>
    </row>
    <row r="492" spans="9:35" x14ac:dyDescent="0.45">
      <c r="AC492" t="s">
        <v>19</v>
      </c>
      <c r="AD492" t="s">
        <v>255</v>
      </c>
      <c r="AE492">
        <v>3.4576537755749122E-3</v>
      </c>
    </row>
    <row r="493" spans="9:35" x14ac:dyDescent="0.45">
      <c r="AC493" t="s">
        <v>19</v>
      </c>
      <c r="AD493" t="s">
        <v>256</v>
      </c>
      <c r="AE493">
        <v>6.9324487589130408E-3</v>
      </c>
    </row>
    <row r="494" spans="9:35" x14ac:dyDescent="0.45">
      <c r="AC494" t="s">
        <v>19</v>
      </c>
      <c r="AD494" t="s">
        <v>257</v>
      </c>
      <c r="AE494">
        <v>1.0403940019518445E-2</v>
      </c>
    </row>
    <row r="495" spans="9:35" x14ac:dyDescent="0.45">
      <c r="AC495" t="s">
        <v>19</v>
      </c>
      <c r="AD495" t="s">
        <v>258</v>
      </c>
      <c r="AE495">
        <v>3.4665409751795041E-3</v>
      </c>
    </row>
    <row r="496" spans="9:35" x14ac:dyDescent="0.45">
      <c r="AC496" t="s">
        <v>19</v>
      </c>
      <c r="AD496" t="s">
        <v>259</v>
      </c>
      <c r="AE496">
        <v>6.9336140885377468E-3</v>
      </c>
    </row>
    <row r="497" spans="29:31" x14ac:dyDescent="0.45">
      <c r="AC497" t="s">
        <v>19</v>
      </c>
      <c r="AD497" t="s">
        <v>260</v>
      </c>
      <c r="AE497">
        <v>6.9411429354229266E-3</v>
      </c>
    </row>
    <row r="498" spans="29:31" x14ac:dyDescent="0.45">
      <c r="AC498" t="s">
        <v>19</v>
      </c>
      <c r="AD498" t="s">
        <v>261</v>
      </c>
      <c r="AE498">
        <v>2.0525357623227054E-2</v>
      </c>
    </row>
    <row r="499" spans="29:31" x14ac:dyDescent="0.45">
      <c r="AC499" t="s">
        <v>19</v>
      </c>
      <c r="AD499" t="s">
        <v>262</v>
      </c>
      <c r="AE499">
        <v>1.118275529419466E-4</v>
      </c>
    </row>
    <row r="500" spans="29:31" x14ac:dyDescent="0.45">
      <c r="AC500" t="s">
        <v>19</v>
      </c>
      <c r="AD500" t="s">
        <v>263</v>
      </c>
      <c r="AE500">
        <v>1.1160349476142498E-4</v>
      </c>
    </row>
    <row r="501" spans="29:31" x14ac:dyDescent="0.45">
      <c r="AC501" t="s">
        <v>19</v>
      </c>
      <c r="AD501" t="s">
        <v>264</v>
      </c>
      <c r="AE501">
        <v>1.115686749090466E-4</v>
      </c>
    </row>
    <row r="502" spans="29:31" x14ac:dyDescent="0.45">
      <c r="AC502" t="s">
        <v>19</v>
      </c>
      <c r="AD502" t="s">
        <v>265</v>
      </c>
      <c r="AE502">
        <v>1.1162260783256744E-4</v>
      </c>
    </row>
    <row r="503" spans="29:31" x14ac:dyDescent="0.45">
      <c r="AC503" t="s">
        <v>19</v>
      </c>
      <c r="AD503" t="s">
        <v>266</v>
      </c>
      <c r="AE503">
        <v>1.1207942915670526E-4</v>
      </c>
    </row>
    <row r="504" spans="29:31" x14ac:dyDescent="0.45">
      <c r="AC504" t="s">
        <v>19</v>
      </c>
      <c r="AD504" t="s">
        <v>267</v>
      </c>
      <c r="AE504">
        <v>1.1359995912333636E-4</v>
      </c>
    </row>
    <row r="505" spans="29:31" x14ac:dyDescent="0.45">
      <c r="AC505" t="s">
        <v>19</v>
      </c>
      <c r="AD505" t="s">
        <v>268</v>
      </c>
      <c r="AE505">
        <v>1.1483341454617408E-4</v>
      </c>
    </row>
    <row r="506" spans="29:31" x14ac:dyDescent="0.45">
      <c r="AC506" t="s">
        <v>19</v>
      </c>
      <c r="AD506" t="s">
        <v>269</v>
      </c>
      <c r="AE506">
        <v>1.1538409808107099E-4</v>
      </c>
    </row>
    <row r="507" spans="29:31" x14ac:dyDescent="0.45">
      <c r="AC507" t="s">
        <v>19</v>
      </c>
      <c r="AD507" t="s">
        <v>270</v>
      </c>
      <c r="AE507">
        <v>1.1561194102815545E-4</v>
      </c>
    </row>
    <row r="508" spans="29:31" x14ac:dyDescent="0.45">
      <c r="AC508" t="s">
        <v>19</v>
      </c>
      <c r="AD508" t="s">
        <v>271</v>
      </c>
      <c r="AE508">
        <v>1.156851762611469E-4</v>
      </c>
    </row>
    <row r="509" spans="29:31" x14ac:dyDescent="0.45">
      <c r="AC509" t="s">
        <v>19</v>
      </c>
      <c r="AD509" t="s">
        <v>272</v>
      </c>
      <c r="AE509">
        <v>1.1563767744078294E-4</v>
      </c>
    </row>
    <row r="510" spans="29:31" x14ac:dyDescent="0.45">
      <c r="AC510" t="s">
        <v>19</v>
      </c>
      <c r="AD510" t="s">
        <v>273</v>
      </c>
      <c r="AE510">
        <v>1.1555498029138435E-4</v>
      </c>
    </row>
    <row r="511" spans="29:31" x14ac:dyDescent="0.45">
      <c r="AC511" t="s">
        <v>19</v>
      </c>
      <c r="AD511" t="s">
        <v>274</v>
      </c>
      <c r="AE511">
        <v>1.1547133695034502E-4</v>
      </c>
    </row>
    <row r="512" spans="29:31" x14ac:dyDescent="0.45">
      <c r="AC512" t="s">
        <v>19</v>
      </c>
      <c r="AD512" t="s">
        <v>275</v>
      </c>
      <c r="AE512">
        <v>1.1546187503393786E-4</v>
      </c>
    </row>
    <row r="513" spans="29:31" x14ac:dyDescent="0.45">
      <c r="AC513" t="s">
        <v>19</v>
      </c>
      <c r="AD513" t="s">
        <v>276</v>
      </c>
      <c r="AE513">
        <v>1.154034003905416E-4</v>
      </c>
    </row>
    <row r="514" spans="29:31" x14ac:dyDescent="0.45">
      <c r="AC514" t="s">
        <v>19</v>
      </c>
      <c r="AD514" t="s">
        <v>277</v>
      </c>
      <c r="AE514">
        <v>1.1537539311797638E-4</v>
      </c>
    </row>
    <row r="515" spans="29:31" x14ac:dyDescent="0.45">
      <c r="AC515" t="s">
        <v>19</v>
      </c>
      <c r="AD515" t="s">
        <v>278</v>
      </c>
      <c r="AE515">
        <v>1.1546887685207917E-4</v>
      </c>
    </row>
    <row r="516" spans="29:31" x14ac:dyDescent="0.45">
      <c r="AC516" t="s">
        <v>19</v>
      </c>
      <c r="AD516" t="s">
        <v>279</v>
      </c>
      <c r="AE516">
        <v>1.155644422077915E-4</v>
      </c>
    </row>
    <row r="517" spans="29:31" x14ac:dyDescent="0.45">
      <c r="AC517" t="s">
        <v>19</v>
      </c>
      <c r="AD517" t="s">
        <v>280</v>
      </c>
      <c r="AE517">
        <v>1.1562916171601649E-4</v>
      </c>
    </row>
    <row r="518" spans="29:31" x14ac:dyDescent="0.45">
      <c r="AC518" t="s">
        <v>19</v>
      </c>
      <c r="AD518" t="s">
        <v>281</v>
      </c>
      <c r="AE518">
        <v>1.1551183395256767E-4</v>
      </c>
    </row>
    <row r="519" spans="29:31" x14ac:dyDescent="0.45">
      <c r="AC519" t="s">
        <v>19</v>
      </c>
      <c r="AD519" t="s">
        <v>282</v>
      </c>
      <c r="AE519">
        <v>1.1455504496547536E-4</v>
      </c>
    </row>
    <row r="520" spans="29:31" x14ac:dyDescent="0.45">
      <c r="AC520" t="s">
        <v>19</v>
      </c>
      <c r="AD520" t="s">
        <v>283</v>
      </c>
      <c r="AE520">
        <v>1.1377159828696228E-4</v>
      </c>
    </row>
    <row r="521" spans="29:31" x14ac:dyDescent="0.45">
      <c r="AC521" t="s">
        <v>19</v>
      </c>
      <c r="AD521" t="s">
        <v>284</v>
      </c>
      <c r="AE521">
        <v>1.1302297146082756E-4</v>
      </c>
    </row>
    <row r="522" spans="29:31" x14ac:dyDescent="0.45">
      <c r="AC522" t="s">
        <v>19</v>
      </c>
      <c r="AD522" t="s">
        <v>285</v>
      </c>
      <c r="AE522">
        <v>1.1203722900952933E-4</v>
      </c>
    </row>
    <row r="523" spans="29:31" x14ac:dyDescent="0.45">
      <c r="AC523" t="s">
        <v>19</v>
      </c>
      <c r="AD523" t="s">
        <v>286</v>
      </c>
      <c r="AE523">
        <v>2.1271741957469715E-2</v>
      </c>
    </row>
    <row r="524" spans="29:31" x14ac:dyDescent="0.45">
      <c r="AC524" t="s">
        <v>19</v>
      </c>
      <c r="AD524" t="s">
        <v>287</v>
      </c>
      <c r="AE524">
        <v>3.1136905858532228E-3</v>
      </c>
    </row>
    <row r="525" spans="29:31" x14ac:dyDescent="0.45">
      <c r="AC525" t="s">
        <v>19</v>
      </c>
      <c r="AD525" t="s">
        <v>288</v>
      </c>
      <c r="AE525">
        <v>6.2401019613625638E-3</v>
      </c>
    </row>
    <row r="526" spans="29:31" x14ac:dyDescent="0.45">
      <c r="AC526" t="s">
        <v>19</v>
      </c>
      <c r="AD526" t="s">
        <v>289</v>
      </c>
      <c r="AE526">
        <v>9.356956044347357E-3</v>
      </c>
    </row>
    <row r="527" spans="29:31" x14ac:dyDescent="0.45">
      <c r="AC527" t="s">
        <v>19</v>
      </c>
      <c r="AD527" t="s">
        <v>290</v>
      </c>
      <c r="AE527">
        <v>3.1169685721733204E-3</v>
      </c>
    </row>
    <row r="528" spans="29:31" x14ac:dyDescent="0.45">
      <c r="AC528" t="s">
        <v>19</v>
      </c>
      <c r="AD528" t="s">
        <v>291</v>
      </c>
      <c r="AE528">
        <v>6.2343496839019933E-3</v>
      </c>
    </row>
    <row r="529" spans="29:31" x14ac:dyDescent="0.45">
      <c r="AC529" t="s">
        <v>19</v>
      </c>
      <c r="AD529" t="s">
        <v>292</v>
      </c>
      <c r="AE529">
        <v>6.2429403470463845E-3</v>
      </c>
    </row>
    <row r="530" spans="29:31" x14ac:dyDescent="0.45">
      <c r="AC530" t="s">
        <v>19</v>
      </c>
      <c r="AD530" t="s">
        <v>293</v>
      </c>
      <c r="AE530">
        <v>1.8465823668312151E-2</v>
      </c>
    </row>
    <row r="531" spans="29:31" x14ac:dyDescent="0.45">
      <c r="AC531" t="s">
        <v>19</v>
      </c>
      <c r="AD531" t="s">
        <v>1891</v>
      </c>
      <c r="AE531">
        <v>1.1191495284911358E-4</v>
      </c>
    </row>
    <row r="532" spans="29:31" x14ac:dyDescent="0.45">
      <c r="AC532" t="s">
        <v>19</v>
      </c>
      <c r="AD532" t="s">
        <v>1892</v>
      </c>
      <c r="AE532">
        <v>1.1175182941025409E-4</v>
      </c>
    </row>
    <row r="533" spans="29:31" x14ac:dyDescent="0.45">
      <c r="AC533" t="s">
        <v>19</v>
      </c>
      <c r="AD533" t="s">
        <v>1893</v>
      </c>
      <c r="AE533">
        <v>1.1174728769037867E-4</v>
      </c>
    </row>
    <row r="534" spans="29:31" x14ac:dyDescent="0.45">
      <c r="AC534" t="s">
        <v>19</v>
      </c>
      <c r="AD534" t="s">
        <v>1894</v>
      </c>
      <c r="AE534">
        <v>1.1171946965614161E-4</v>
      </c>
    </row>
    <row r="535" spans="29:31" x14ac:dyDescent="0.45">
      <c r="AC535" t="s">
        <v>19</v>
      </c>
      <c r="AD535" t="s">
        <v>1895</v>
      </c>
      <c r="AE535">
        <v>1.1229797122527555E-4</v>
      </c>
    </row>
    <row r="536" spans="29:31" x14ac:dyDescent="0.45">
      <c r="AC536" t="s">
        <v>19</v>
      </c>
      <c r="AD536" t="s">
        <v>1896</v>
      </c>
      <c r="AE536">
        <v>1.1440514000915072E-4</v>
      </c>
    </row>
    <row r="537" spans="29:31" x14ac:dyDescent="0.45">
      <c r="AC537" t="s">
        <v>19</v>
      </c>
      <c r="AD537" t="s">
        <v>1897</v>
      </c>
      <c r="AE537">
        <v>1.15482095334614E-4</v>
      </c>
    </row>
    <row r="538" spans="29:31" x14ac:dyDescent="0.45">
      <c r="AC538" t="s">
        <v>19</v>
      </c>
      <c r="AD538" t="s">
        <v>1898</v>
      </c>
      <c r="AE538">
        <v>1.1599095719899122E-4</v>
      </c>
    </row>
    <row r="539" spans="29:31" x14ac:dyDescent="0.45">
      <c r="AC539" t="s">
        <v>19</v>
      </c>
      <c r="AD539" t="s">
        <v>1899</v>
      </c>
      <c r="AE539">
        <v>1.1604659326746534E-4</v>
      </c>
    </row>
    <row r="540" spans="29:31" x14ac:dyDescent="0.45">
      <c r="AC540" t="s">
        <v>19</v>
      </c>
      <c r="AD540" t="s">
        <v>1900</v>
      </c>
      <c r="AE540">
        <v>1.1612115316875378E-4</v>
      </c>
    </row>
    <row r="541" spans="29:31" x14ac:dyDescent="0.45">
      <c r="AC541" t="s">
        <v>19</v>
      </c>
      <c r="AD541" t="s">
        <v>1901</v>
      </c>
      <c r="AE541">
        <v>1.1609182122789157E-4</v>
      </c>
    </row>
    <row r="542" spans="29:31" x14ac:dyDescent="0.45">
      <c r="AC542" t="s">
        <v>19</v>
      </c>
      <c r="AD542" t="s">
        <v>1902</v>
      </c>
      <c r="AE542">
        <v>1.1601574741997799E-4</v>
      </c>
    </row>
    <row r="543" spans="29:31" x14ac:dyDescent="0.45">
      <c r="AC543" t="s">
        <v>19</v>
      </c>
      <c r="AD543" t="s">
        <v>1903</v>
      </c>
      <c r="AE543">
        <v>1.1600363616697681E-4</v>
      </c>
    </row>
    <row r="544" spans="29:31" x14ac:dyDescent="0.45">
      <c r="AC544" t="s">
        <v>19</v>
      </c>
      <c r="AD544" t="s">
        <v>1904</v>
      </c>
      <c r="AE544">
        <v>1.1594572923856498E-4</v>
      </c>
    </row>
    <row r="545" spans="29:31" x14ac:dyDescent="0.45">
      <c r="AC545" t="s">
        <v>19</v>
      </c>
      <c r="AD545" t="s">
        <v>1905</v>
      </c>
      <c r="AE545">
        <v>1.1593305027057938E-4</v>
      </c>
    </row>
    <row r="546" spans="29:31" x14ac:dyDescent="0.45">
      <c r="AC546" t="s">
        <v>19</v>
      </c>
      <c r="AD546" t="s">
        <v>1906</v>
      </c>
      <c r="AE546">
        <v>1.1597543965608346E-4</v>
      </c>
    </row>
    <row r="547" spans="29:31" x14ac:dyDescent="0.45">
      <c r="AC547" t="s">
        <v>19</v>
      </c>
      <c r="AD547" t="s">
        <v>1907</v>
      </c>
      <c r="AE547">
        <v>1.1605075651068449E-4</v>
      </c>
    </row>
    <row r="548" spans="29:31" x14ac:dyDescent="0.45">
      <c r="AC548" t="s">
        <v>19</v>
      </c>
      <c r="AD548" t="s">
        <v>1908</v>
      </c>
      <c r="AE548">
        <v>1.161417801465214E-4</v>
      </c>
    </row>
    <row r="549" spans="29:31" x14ac:dyDescent="0.45">
      <c r="AC549" t="s">
        <v>19</v>
      </c>
      <c r="AD549" t="s">
        <v>1909</v>
      </c>
      <c r="AE549">
        <v>1.1613458909005194E-4</v>
      </c>
    </row>
    <row r="550" spans="29:31" x14ac:dyDescent="0.45">
      <c r="AC550" t="s">
        <v>19</v>
      </c>
      <c r="AD550" t="s">
        <v>1910</v>
      </c>
      <c r="AE550">
        <v>1.1570899209005777E-4</v>
      </c>
    </row>
    <row r="551" spans="29:31" x14ac:dyDescent="0.45">
      <c r="AC551" t="s">
        <v>19</v>
      </c>
      <c r="AD551" t="s">
        <v>1911</v>
      </c>
      <c r="AE551">
        <v>1.1442803784685606E-4</v>
      </c>
    </row>
    <row r="552" spans="29:31" x14ac:dyDescent="0.45">
      <c r="AC552" t="s">
        <v>19</v>
      </c>
      <c r="AD552" t="s">
        <v>1912</v>
      </c>
      <c r="AE552">
        <v>1.1379560335420128E-4</v>
      </c>
    </row>
    <row r="553" spans="29:31" x14ac:dyDescent="0.45">
      <c r="AC553" t="s">
        <v>19</v>
      </c>
      <c r="AD553" t="s">
        <v>1913</v>
      </c>
      <c r="AE553">
        <v>1.1327709033508874E-4</v>
      </c>
    </row>
    <row r="554" spans="29:31" x14ac:dyDescent="0.45">
      <c r="AC554" t="s">
        <v>19</v>
      </c>
      <c r="AD554" t="s">
        <v>1914</v>
      </c>
      <c r="AE554">
        <v>1.1214922989935495E-4</v>
      </c>
    </row>
    <row r="555" spans="29:31" x14ac:dyDescent="0.45">
      <c r="AC555" t="s">
        <v>19</v>
      </c>
      <c r="AD555" t="s">
        <v>294</v>
      </c>
      <c r="AE555">
        <v>2.4432411551340204E-2</v>
      </c>
    </row>
    <row r="556" spans="29:31" x14ac:dyDescent="0.45">
      <c r="AC556" t="s">
        <v>19</v>
      </c>
      <c r="AD556" t="s">
        <v>295</v>
      </c>
      <c r="AE556">
        <v>3.5675608551710924E-3</v>
      </c>
    </row>
    <row r="557" spans="29:31" x14ac:dyDescent="0.45">
      <c r="AC557" t="s">
        <v>19</v>
      </c>
      <c r="AD557" t="s">
        <v>296</v>
      </c>
      <c r="AE557">
        <v>7.1577780799408084E-3</v>
      </c>
    </row>
    <row r="558" spans="29:31" x14ac:dyDescent="0.45">
      <c r="AC558" t="s">
        <v>19</v>
      </c>
      <c r="AD558" t="s">
        <v>297</v>
      </c>
      <c r="AE558">
        <v>1.0730786917340819E-2</v>
      </c>
    </row>
    <row r="559" spans="29:31" x14ac:dyDescent="0.45">
      <c r="AC559" t="s">
        <v>19</v>
      </c>
      <c r="AD559" t="s">
        <v>298</v>
      </c>
      <c r="AE559">
        <v>3.5732902347939584E-3</v>
      </c>
    </row>
    <row r="560" spans="29:31" x14ac:dyDescent="0.45">
      <c r="AC560" t="s">
        <v>19</v>
      </c>
      <c r="AD560" t="s">
        <v>299</v>
      </c>
      <c r="AE560">
        <v>7.1447781637506797E-3</v>
      </c>
    </row>
    <row r="561" spans="29:31" x14ac:dyDescent="0.45">
      <c r="AC561" t="s">
        <v>19</v>
      </c>
      <c r="AD561" t="s">
        <v>300</v>
      </c>
      <c r="AE561">
        <v>7.1547004970102151E-3</v>
      </c>
    </row>
    <row r="562" spans="29:31" x14ac:dyDescent="0.45">
      <c r="AC562" t="s">
        <v>19</v>
      </c>
      <c r="AD562" t="s">
        <v>301</v>
      </c>
      <c r="AE562">
        <v>2.1210920477999422E-2</v>
      </c>
    </row>
    <row r="563" spans="29:31" x14ac:dyDescent="0.45">
      <c r="AC563" t="s">
        <v>19</v>
      </c>
      <c r="AD563" t="s">
        <v>302</v>
      </c>
      <c r="AE563">
        <v>2.3682791462922036E-2</v>
      </c>
    </row>
    <row r="564" spans="29:31" x14ac:dyDescent="0.45">
      <c r="AC564" t="s">
        <v>19</v>
      </c>
      <c r="AD564" t="s">
        <v>303</v>
      </c>
      <c r="AE564">
        <v>3.4533939736514372E-3</v>
      </c>
    </row>
    <row r="565" spans="29:31" x14ac:dyDescent="0.45">
      <c r="AC565" t="s">
        <v>19</v>
      </c>
      <c r="AD565" t="s">
        <v>304</v>
      </c>
      <c r="AE565">
        <v>6.9207834463373653E-3</v>
      </c>
    </row>
    <row r="566" spans="29:31" x14ac:dyDescent="0.45">
      <c r="AC566" t="s">
        <v>19</v>
      </c>
      <c r="AD566" t="s">
        <v>305</v>
      </c>
      <c r="AE566">
        <v>1.0370268134606019E-2</v>
      </c>
    </row>
    <row r="567" spans="29:31" x14ac:dyDescent="0.45">
      <c r="AC567" t="s">
        <v>19</v>
      </c>
      <c r="AD567" t="s">
        <v>306</v>
      </c>
      <c r="AE567">
        <v>3.4537794521258651E-3</v>
      </c>
    </row>
    <row r="568" spans="29:31" x14ac:dyDescent="0.45">
      <c r="AC568" t="s">
        <v>19</v>
      </c>
      <c r="AD568" t="s">
        <v>307</v>
      </c>
      <c r="AE568">
        <v>6.9054458690796829E-3</v>
      </c>
    </row>
    <row r="569" spans="29:31" x14ac:dyDescent="0.45">
      <c r="AC569" t="s">
        <v>19</v>
      </c>
      <c r="AD569" t="s">
        <v>308</v>
      </c>
      <c r="AE569">
        <v>6.906657562094784E-3</v>
      </c>
    </row>
    <row r="570" spans="29:31" x14ac:dyDescent="0.45">
      <c r="AC570" t="s">
        <v>19</v>
      </c>
      <c r="AD570" t="s">
        <v>309</v>
      </c>
      <c r="AE570">
        <v>2.0495156606258523E-2</v>
      </c>
    </row>
    <row r="571" spans="29:31" x14ac:dyDescent="0.45">
      <c r="AC571" t="s">
        <v>19</v>
      </c>
      <c r="AD571" t="s">
        <v>310</v>
      </c>
      <c r="AE571">
        <v>2.445360623936129E-2</v>
      </c>
    </row>
    <row r="572" spans="29:31" x14ac:dyDescent="0.45">
      <c r="AC572" t="s">
        <v>19</v>
      </c>
      <c r="AD572" t="s">
        <v>311</v>
      </c>
      <c r="AE572">
        <v>3.5637901726707994E-3</v>
      </c>
    </row>
    <row r="573" spans="29:31" x14ac:dyDescent="0.45">
      <c r="AC573" t="s">
        <v>19</v>
      </c>
      <c r="AD573" t="s">
        <v>312</v>
      </c>
      <c r="AE573">
        <v>7.144888839786894E-3</v>
      </c>
    </row>
    <row r="574" spans="29:31" x14ac:dyDescent="0.45">
      <c r="AC574" t="s">
        <v>19</v>
      </c>
      <c r="AD574" t="s">
        <v>313</v>
      </c>
      <c r="AE574">
        <v>1.0711892468507895E-2</v>
      </c>
    </row>
    <row r="575" spans="29:31" x14ac:dyDescent="0.45">
      <c r="AC575" t="s">
        <v>19</v>
      </c>
      <c r="AD575" t="s">
        <v>314</v>
      </c>
      <c r="AE575">
        <v>3.5676949163337079E-3</v>
      </c>
    </row>
    <row r="576" spans="29:31" x14ac:dyDescent="0.45">
      <c r="AC576" t="s">
        <v>19</v>
      </c>
      <c r="AD576" t="s">
        <v>315</v>
      </c>
      <c r="AE576">
        <v>7.1320632120969851E-3</v>
      </c>
    </row>
    <row r="577" spans="29:31" x14ac:dyDescent="0.45">
      <c r="AC577" t="s">
        <v>19</v>
      </c>
      <c r="AD577" t="s">
        <v>316</v>
      </c>
      <c r="AE577">
        <v>7.1327832639355698E-3</v>
      </c>
    </row>
    <row r="578" spans="29:31" x14ac:dyDescent="0.45">
      <c r="AC578" t="s">
        <v>19</v>
      </c>
      <c r="AD578" t="s">
        <v>317</v>
      </c>
      <c r="AE578">
        <v>2.1195618960105168E-2</v>
      </c>
    </row>
    <row r="579" spans="29:31" x14ac:dyDescent="0.45">
      <c r="AC579" t="s">
        <v>19</v>
      </c>
      <c r="AD579" t="s">
        <v>318</v>
      </c>
      <c r="AE579">
        <v>2.3644233434457197E-2</v>
      </c>
    </row>
    <row r="580" spans="29:31" x14ac:dyDescent="0.45">
      <c r="AC580" t="s">
        <v>19</v>
      </c>
      <c r="AD580" t="s">
        <v>319</v>
      </c>
      <c r="AE580">
        <v>3.4382306091986425E-3</v>
      </c>
    </row>
    <row r="581" spans="29:31" x14ac:dyDescent="0.45">
      <c r="AC581" t="s">
        <v>19</v>
      </c>
      <c r="AD581" t="s">
        <v>320</v>
      </c>
      <c r="AE581">
        <v>6.9077758092234475E-3</v>
      </c>
    </row>
    <row r="582" spans="29:31" x14ac:dyDescent="0.45">
      <c r="AC582" t="s">
        <v>19</v>
      </c>
      <c r="AD582" t="s">
        <v>321</v>
      </c>
      <c r="AE582">
        <v>1.0364475133057232E-2</v>
      </c>
    </row>
    <row r="583" spans="29:31" x14ac:dyDescent="0.45">
      <c r="AC583" t="s">
        <v>19</v>
      </c>
      <c r="AD583" t="s">
        <v>322</v>
      </c>
      <c r="AE583">
        <v>3.452774899384749E-3</v>
      </c>
    </row>
    <row r="584" spans="29:31" x14ac:dyDescent="0.45">
      <c r="AC584" t="s">
        <v>19</v>
      </c>
      <c r="AD584" t="s">
        <v>323</v>
      </c>
      <c r="AE584">
        <v>6.9008529034649824E-3</v>
      </c>
    </row>
    <row r="585" spans="29:31" x14ac:dyDescent="0.45">
      <c r="AC585" t="s">
        <v>19</v>
      </c>
      <c r="AD585" t="s">
        <v>324</v>
      </c>
      <c r="AE585">
        <v>6.8985177024956943E-3</v>
      </c>
    </row>
    <row r="586" spans="29:31" x14ac:dyDescent="0.45">
      <c r="AC586" t="s">
        <v>19</v>
      </c>
      <c r="AD586" t="s">
        <v>325</v>
      </c>
      <c r="AE586">
        <v>2.052883470810786E-2</v>
      </c>
    </row>
    <row r="587" spans="29:31" x14ac:dyDescent="0.45">
      <c r="AC587" t="s">
        <v>19</v>
      </c>
      <c r="AD587" t="s">
        <v>326</v>
      </c>
      <c r="AE587">
        <v>2.4439674861368808E-2</v>
      </c>
    </row>
    <row r="588" spans="29:31" x14ac:dyDescent="0.45">
      <c r="AC588" t="s">
        <v>19</v>
      </c>
      <c r="AD588" t="s">
        <v>327</v>
      </c>
      <c r="AE588">
        <v>3.5519802367630954E-3</v>
      </c>
    </row>
    <row r="589" spans="29:31" x14ac:dyDescent="0.45">
      <c r="AC589" t="s">
        <v>19</v>
      </c>
      <c r="AD589" t="s">
        <v>328</v>
      </c>
      <c r="AE589">
        <v>7.1320585804889019E-3</v>
      </c>
    </row>
    <row r="590" spans="29:31" x14ac:dyDescent="0.45">
      <c r="AC590" t="s">
        <v>19</v>
      </c>
      <c r="AD590" t="s">
        <v>329</v>
      </c>
      <c r="AE590">
        <v>1.0711635821121786E-2</v>
      </c>
    </row>
    <row r="591" spans="29:31" x14ac:dyDescent="0.45">
      <c r="AC591" t="s">
        <v>19</v>
      </c>
      <c r="AD591" t="s">
        <v>330</v>
      </c>
      <c r="AE591">
        <v>3.569633712680596E-3</v>
      </c>
    </row>
    <row r="592" spans="29:31" x14ac:dyDescent="0.45">
      <c r="AC592" t="s">
        <v>19</v>
      </c>
      <c r="AD592" t="s">
        <v>331</v>
      </c>
      <c r="AE592">
        <v>7.1329040973390472E-3</v>
      </c>
    </row>
    <row r="593" spans="29:31" x14ac:dyDescent="0.45">
      <c r="AC593" t="s">
        <v>19</v>
      </c>
      <c r="AD593" t="s">
        <v>332</v>
      </c>
      <c r="AE593">
        <v>7.1296043486112131E-3</v>
      </c>
    </row>
    <row r="594" spans="29:31" x14ac:dyDescent="0.45">
      <c r="AC594" t="s">
        <v>19</v>
      </c>
      <c r="AD594" t="s">
        <v>333</v>
      </c>
      <c r="AE594">
        <v>2.1224910512777185E-2</v>
      </c>
    </row>
    <row r="595" spans="29:31" x14ac:dyDescent="0.45">
      <c r="AC595" t="s">
        <v>19</v>
      </c>
      <c r="AD595" t="s">
        <v>334</v>
      </c>
      <c r="AE595">
        <v>1.8916767727084755E-2</v>
      </c>
    </row>
    <row r="596" spans="29:31" x14ac:dyDescent="0.45">
      <c r="AC596" t="s">
        <v>19</v>
      </c>
      <c r="AD596" t="s">
        <v>335</v>
      </c>
      <c r="AE596">
        <v>2.7502213219147134E-3</v>
      </c>
    </row>
    <row r="597" spans="29:31" x14ac:dyDescent="0.45">
      <c r="AC597" t="s">
        <v>19</v>
      </c>
      <c r="AD597" t="s">
        <v>336</v>
      </c>
      <c r="AE597">
        <v>5.5251999373470964E-3</v>
      </c>
    </row>
    <row r="598" spans="29:31" x14ac:dyDescent="0.45">
      <c r="AC598" t="s">
        <v>19</v>
      </c>
      <c r="AD598" t="s">
        <v>337</v>
      </c>
      <c r="AE598">
        <v>8.2955365365901257E-3</v>
      </c>
    </row>
    <row r="599" spans="29:31" x14ac:dyDescent="0.45">
      <c r="AC599" t="s">
        <v>19</v>
      </c>
      <c r="AD599" t="s">
        <v>338</v>
      </c>
      <c r="AE599">
        <v>2.7643068983934003E-3</v>
      </c>
    </row>
    <row r="600" spans="29:31" x14ac:dyDescent="0.45">
      <c r="AC600" t="s">
        <v>19</v>
      </c>
      <c r="AD600" t="s">
        <v>339</v>
      </c>
      <c r="AE600">
        <v>5.5245788571541311E-3</v>
      </c>
    </row>
    <row r="601" spans="29:31" x14ac:dyDescent="0.45">
      <c r="AC601" t="s">
        <v>19</v>
      </c>
      <c r="AD601" t="s">
        <v>340</v>
      </c>
      <c r="AE601">
        <v>5.5219270604618597E-3</v>
      </c>
    </row>
    <row r="602" spans="29:31" x14ac:dyDescent="0.45">
      <c r="AC602" t="s">
        <v>19</v>
      </c>
      <c r="AD602" t="s">
        <v>341</v>
      </c>
      <c r="AE602">
        <v>1.6426965216537762E-2</v>
      </c>
    </row>
    <row r="603" spans="29:31" x14ac:dyDescent="0.45">
      <c r="AC603" t="s">
        <v>19</v>
      </c>
      <c r="AD603" t="s">
        <v>1915</v>
      </c>
      <c r="AE603">
        <v>1.1293174431748211E-4</v>
      </c>
    </row>
    <row r="604" spans="29:31" x14ac:dyDescent="0.45">
      <c r="AC604" t="s">
        <v>19</v>
      </c>
      <c r="AD604" t="s">
        <v>1916</v>
      </c>
      <c r="AE604">
        <v>1.1256575739085305E-4</v>
      </c>
    </row>
    <row r="605" spans="29:31" x14ac:dyDescent="0.45">
      <c r="AC605" t="s">
        <v>19</v>
      </c>
      <c r="AD605" t="s">
        <v>1917</v>
      </c>
      <c r="AE605">
        <v>1.1241985463985462E-4</v>
      </c>
    </row>
    <row r="606" spans="29:31" x14ac:dyDescent="0.45">
      <c r="AC606" t="s">
        <v>19</v>
      </c>
      <c r="AD606" t="s">
        <v>1918</v>
      </c>
      <c r="AE606">
        <v>1.1232542471411114E-4</v>
      </c>
    </row>
    <row r="607" spans="29:31" x14ac:dyDescent="0.45">
      <c r="AC607" t="s">
        <v>19</v>
      </c>
      <c r="AD607" t="s">
        <v>1919</v>
      </c>
      <c r="AE607">
        <v>1.127443983726203E-4</v>
      </c>
    </row>
    <row r="608" spans="29:31" x14ac:dyDescent="0.45">
      <c r="AC608" t="s">
        <v>19</v>
      </c>
      <c r="AD608" t="s">
        <v>1920</v>
      </c>
      <c r="AE608">
        <v>1.1383081561449074E-4</v>
      </c>
    </row>
    <row r="609" spans="29:31" x14ac:dyDescent="0.45">
      <c r="AC609" t="s">
        <v>19</v>
      </c>
      <c r="AD609" t="s">
        <v>1921</v>
      </c>
      <c r="AE609">
        <v>1.1477606106356631E-4</v>
      </c>
    </row>
    <row r="610" spans="29:31" x14ac:dyDescent="0.45">
      <c r="AC610" t="s">
        <v>19</v>
      </c>
      <c r="AD610" t="s">
        <v>1922</v>
      </c>
      <c r="AE610">
        <v>1.1541114489281507E-4</v>
      </c>
    </row>
    <row r="611" spans="29:31" x14ac:dyDescent="0.45">
      <c r="AC611" t="s">
        <v>19</v>
      </c>
      <c r="AD611" t="s">
        <v>1923</v>
      </c>
      <c r="AE611">
        <v>1.1570768135301556E-4</v>
      </c>
    </row>
    <row r="612" spans="29:31" x14ac:dyDescent="0.45">
      <c r="AC612" t="s">
        <v>19</v>
      </c>
      <c r="AD612" t="s">
        <v>1924</v>
      </c>
      <c r="AE612">
        <v>1.1573549938725264E-4</v>
      </c>
    </row>
    <row r="613" spans="29:31" x14ac:dyDescent="0.45">
      <c r="AC613" t="s">
        <v>19</v>
      </c>
      <c r="AD613" t="s">
        <v>1925</v>
      </c>
      <c r="AE613">
        <v>1.1575574788836394E-4</v>
      </c>
    </row>
    <row r="614" spans="29:31" x14ac:dyDescent="0.45">
      <c r="AC614" t="s">
        <v>19</v>
      </c>
      <c r="AD614" t="s">
        <v>1926</v>
      </c>
      <c r="AE614">
        <v>1.1576350665981783E-4</v>
      </c>
    </row>
    <row r="615" spans="29:31" x14ac:dyDescent="0.45">
      <c r="AC615" t="s">
        <v>19</v>
      </c>
      <c r="AD615" t="s">
        <v>1927</v>
      </c>
      <c r="AE615">
        <v>1.1584298675763799E-4</v>
      </c>
    </row>
    <row r="616" spans="29:31" x14ac:dyDescent="0.45">
      <c r="AC616" t="s">
        <v>19</v>
      </c>
      <c r="AD616" t="s">
        <v>1928</v>
      </c>
      <c r="AE616">
        <v>1.1581308710179135E-4</v>
      </c>
    </row>
    <row r="617" spans="29:31" x14ac:dyDescent="0.45">
      <c r="AC617" t="s">
        <v>19</v>
      </c>
      <c r="AD617" t="s">
        <v>1929</v>
      </c>
      <c r="AE617">
        <v>1.157305791907209E-4</v>
      </c>
    </row>
    <row r="618" spans="29:31" x14ac:dyDescent="0.45">
      <c r="AC618" t="s">
        <v>19</v>
      </c>
      <c r="AD618" t="s">
        <v>1930</v>
      </c>
      <c r="AE618">
        <v>1.1570295039481199E-4</v>
      </c>
    </row>
    <row r="619" spans="29:31" x14ac:dyDescent="0.45">
      <c r="AC619" t="s">
        <v>19</v>
      </c>
      <c r="AD619" t="s">
        <v>1931</v>
      </c>
      <c r="AE619">
        <v>1.1567645702887192E-4</v>
      </c>
    </row>
    <row r="620" spans="29:31" x14ac:dyDescent="0.45">
      <c r="AC620" t="s">
        <v>19</v>
      </c>
      <c r="AD620" t="s">
        <v>1932</v>
      </c>
      <c r="AE620">
        <v>1.1557862081322186E-4</v>
      </c>
    </row>
    <row r="621" spans="29:31" x14ac:dyDescent="0.45">
      <c r="AC621" t="s">
        <v>19</v>
      </c>
      <c r="AD621" t="s">
        <v>1933</v>
      </c>
      <c r="AE621">
        <v>1.154904357523071E-4</v>
      </c>
    </row>
    <row r="622" spans="29:31" x14ac:dyDescent="0.45">
      <c r="AC622" t="s">
        <v>19</v>
      </c>
      <c r="AD622" t="s">
        <v>1934</v>
      </c>
      <c r="AE622">
        <v>1.1530876695728959E-4</v>
      </c>
    </row>
    <row r="623" spans="29:31" x14ac:dyDescent="0.45">
      <c r="AC623" t="s">
        <v>19</v>
      </c>
      <c r="AD623" t="s">
        <v>1935</v>
      </c>
      <c r="AE623">
        <v>1.1484664695996374E-4</v>
      </c>
    </row>
    <row r="624" spans="29:31" x14ac:dyDescent="0.45">
      <c r="AC624" t="s">
        <v>19</v>
      </c>
      <c r="AD624" t="s">
        <v>1936</v>
      </c>
      <c r="AE624">
        <v>1.143618183632607E-4</v>
      </c>
    </row>
    <row r="625" spans="29:31" x14ac:dyDescent="0.45">
      <c r="AC625" t="s">
        <v>19</v>
      </c>
      <c r="AD625" t="s">
        <v>1937</v>
      </c>
      <c r="AE625">
        <v>1.1385068563894578E-4</v>
      </c>
    </row>
    <row r="626" spans="29:31" x14ac:dyDescent="0.45">
      <c r="AC626" t="s">
        <v>19</v>
      </c>
      <c r="AD626" t="s">
        <v>1938</v>
      </c>
      <c r="AE626">
        <v>1.1302295719164718E-4</v>
      </c>
    </row>
    <row r="627" spans="29:31" x14ac:dyDescent="0.45">
      <c r="AC627" t="s">
        <v>19</v>
      </c>
      <c r="AD627" t="s">
        <v>1939</v>
      </c>
      <c r="AE627">
        <v>1.1260303734149726E-4</v>
      </c>
    </row>
    <row r="628" spans="29:31" x14ac:dyDescent="0.45">
      <c r="AC628" t="s">
        <v>19</v>
      </c>
      <c r="AD628" t="s">
        <v>1940</v>
      </c>
      <c r="AE628">
        <v>1.124198546398546E-4</v>
      </c>
    </row>
    <row r="629" spans="29:31" x14ac:dyDescent="0.45">
      <c r="AC629" t="s">
        <v>19</v>
      </c>
      <c r="AD629" t="s">
        <v>1941</v>
      </c>
      <c r="AE629">
        <v>1.1226165139752684E-4</v>
      </c>
    </row>
    <row r="630" spans="29:31" x14ac:dyDescent="0.45">
      <c r="AC630" t="s">
        <v>19</v>
      </c>
      <c r="AD630" t="s">
        <v>1942</v>
      </c>
      <c r="AE630">
        <v>1.1232542471411111E-4</v>
      </c>
    </row>
    <row r="631" spans="29:31" x14ac:dyDescent="0.45">
      <c r="AC631" t="s">
        <v>19</v>
      </c>
      <c r="AD631" t="s">
        <v>1943</v>
      </c>
      <c r="AE631">
        <v>1.1274439837262027E-4</v>
      </c>
    </row>
    <row r="632" spans="29:31" x14ac:dyDescent="0.45">
      <c r="AC632" t="s">
        <v>19</v>
      </c>
      <c r="AD632" t="s">
        <v>1944</v>
      </c>
      <c r="AE632">
        <v>1.1386942023343195E-4</v>
      </c>
    </row>
    <row r="633" spans="29:31" x14ac:dyDescent="0.45">
      <c r="AC633" t="s">
        <v>19</v>
      </c>
      <c r="AD633" t="s">
        <v>1945</v>
      </c>
      <c r="AE633">
        <v>1.1471626175187303E-4</v>
      </c>
    </row>
    <row r="634" spans="29:31" x14ac:dyDescent="0.45">
      <c r="AC634" t="s">
        <v>19</v>
      </c>
      <c r="AD634" t="s">
        <v>1946</v>
      </c>
      <c r="AE634">
        <v>1.1533128631833862E-4</v>
      </c>
    </row>
    <row r="635" spans="29:31" x14ac:dyDescent="0.45">
      <c r="AC635" t="s">
        <v>19</v>
      </c>
      <c r="AD635" t="s">
        <v>1947</v>
      </c>
      <c r="AE635">
        <v>1.1566756282744919E-4</v>
      </c>
    </row>
    <row r="636" spans="29:31" x14ac:dyDescent="0.45">
      <c r="AC636" t="s">
        <v>19</v>
      </c>
      <c r="AD636" t="s">
        <v>1948</v>
      </c>
      <c r="AE636">
        <v>1.1570654592304668E-4</v>
      </c>
    </row>
    <row r="637" spans="29:31" x14ac:dyDescent="0.45">
      <c r="AC637" t="s">
        <v>19</v>
      </c>
      <c r="AD637" t="s">
        <v>1949</v>
      </c>
      <c r="AE637">
        <v>1.1570654592304668E-4</v>
      </c>
    </row>
    <row r="638" spans="29:31" x14ac:dyDescent="0.45">
      <c r="AC638" t="s">
        <v>19</v>
      </c>
      <c r="AD638" t="s">
        <v>1950</v>
      </c>
      <c r="AE638">
        <v>1.1568762209023237E-4</v>
      </c>
    </row>
    <row r="639" spans="29:31" x14ac:dyDescent="0.45">
      <c r="AC639" t="s">
        <v>19</v>
      </c>
      <c r="AD639" t="s">
        <v>1951</v>
      </c>
      <c r="AE639">
        <v>1.1568762209023237E-4</v>
      </c>
    </row>
    <row r="640" spans="29:31" x14ac:dyDescent="0.45">
      <c r="AC640" t="s">
        <v>19</v>
      </c>
      <c r="AD640" t="s">
        <v>1952</v>
      </c>
      <c r="AE640">
        <v>1.1560057245928647E-4</v>
      </c>
    </row>
    <row r="641" spans="29:31" x14ac:dyDescent="0.45">
      <c r="AC641" t="s">
        <v>19</v>
      </c>
      <c r="AD641" t="s">
        <v>1953</v>
      </c>
      <c r="AE641">
        <v>1.155254448430136E-4</v>
      </c>
    </row>
    <row r="642" spans="29:31" x14ac:dyDescent="0.45">
      <c r="AC642" t="s">
        <v>19</v>
      </c>
      <c r="AD642" t="s">
        <v>1954</v>
      </c>
      <c r="AE642">
        <v>1.1549800528543283E-4</v>
      </c>
    </row>
    <row r="643" spans="29:31" x14ac:dyDescent="0.45">
      <c r="AC643" t="s">
        <v>19</v>
      </c>
      <c r="AD643" t="s">
        <v>1955</v>
      </c>
      <c r="AE643">
        <v>1.1547151191949276E-4</v>
      </c>
    </row>
    <row r="644" spans="29:31" x14ac:dyDescent="0.45">
      <c r="AC644" t="s">
        <v>19</v>
      </c>
      <c r="AD644" t="s">
        <v>1956</v>
      </c>
      <c r="AE644">
        <v>1.1547151191949276E-4</v>
      </c>
    </row>
    <row r="645" spans="29:31" x14ac:dyDescent="0.45">
      <c r="AC645" t="s">
        <v>19</v>
      </c>
      <c r="AD645" t="s">
        <v>1957</v>
      </c>
      <c r="AE645">
        <v>1.1542325614581624E-4</v>
      </c>
    </row>
    <row r="646" spans="29:31" x14ac:dyDescent="0.45">
      <c r="AC646" t="s">
        <v>19</v>
      </c>
      <c r="AD646" t="s">
        <v>1958</v>
      </c>
      <c r="AE646">
        <v>1.1525975423030045E-4</v>
      </c>
    </row>
    <row r="647" spans="29:31" x14ac:dyDescent="0.45">
      <c r="AC647" t="s">
        <v>19</v>
      </c>
      <c r="AD647" t="s">
        <v>1959</v>
      </c>
      <c r="AE647">
        <v>1.1481296253755424E-4</v>
      </c>
    </row>
    <row r="648" spans="29:31" x14ac:dyDescent="0.45">
      <c r="AC648" t="s">
        <v>19</v>
      </c>
      <c r="AD648" t="s">
        <v>1960</v>
      </c>
      <c r="AE648">
        <v>1.1432870165583564E-4</v>
      </c>
    </row>
    <row r="649" spans="29:31" x14ac:dyDescent="0.45">
      <c r="AC649" t="s">
        <v>19</v>
      </c>
      <c r="AD649" t="s">
        <v>1961</v>
      </c>
      <c r="AE649">
        <v>1.1330530077723691E-4</v>
      </c>
    </row>
    <row r="650" spans="29:31" x14ac:dyDescent="0.45">
      <c r="AC650" t="s">
        <v>19</v>
      </c>
      <c r="AD650" t="s">
        <v>1962</v>
      </c>
      <c r="AE650">
        <v>1.1264675139529836E-4</v>
      </c>
    </row>
    <row r="651" spans="29:31" x14ac:dyDescent="0.45">
      <c r="AC651" t="s">
        <v>19</v>
      </c>
      <c r="AD651" t="s">
        <v>1963</v>
      </c>
      <c r="AE651">
        <v>1.1222474992353892E-4</v>
      </c>
    </row>
    <row r="652" spans="29:31" x14ac:dyDescent="0.45">
      <c r="AC652" t="s">
        <v>19</v>
      </c>
      <c r="AD652" t="s">
        <v>1964</v>
      </c>
      <c r="AE652">
        <v>1.1211612712318467E-4</v>
      </c>
    </row>
    <row r="653" spans="29:31" x14ac:dyDescent="0.45">
      <c r="AC653" t="s">
        <v>19</v>
      </c>
      <c r="AD653" t="s">
        <v>1965</v>
      </c>
      <c r="AE653">
        <v>1.1211612712318467E-4</v>
      </c>
    </row>
    <row r="654" spans="29:31" x14ac:dyDescent="0.45">
      <c r="AC654" t="s">
        <v>19</v>
      </c>
      <c r="AD654" t="s">
        <v>1966</v>
      </c>
      <c r="AE654">
        <v>1.1218008967809712E-4</v>
      </c>
    </row>
    <row r="655" spans="29:31" x14ac:dyDescent="0.45">
      <c r="AC655" t="s">
        <v>19</v>
      </c>
      <c r="AD655" t="s">
        <v>1967</v>
      </c>
      <c r="AE655">
        <v>1.1266321512984685E-4</v>
      </c>
    </row>
    <row r="656" spans="29:31" x14ac:dyDescent="0.45">
      <c r="AC656" t="s">
        <v>19</v>
      </c>
      <c r="AD656" t="s">
        <v>1968</v>
      </c>
      <c r="AE656">
        <v>1.1378842622898666E-4</v>
      </c>
    </row>
    <row r="657" spans="29:31" x14ac:dyDescent="0.45">
      <c r="AC657" t="s">
        <v>19</v>
      </c>
      <c r="AD657" t="s">
        <v>1969</v>
      </c>
      <c r="AE657">
        <v>1.1464548661714747E-4</v>
      </c>
    </row>
    <row r="658" spans="29:31" x14ac:dyDescent="0.45">
      <c r="AC658" t="s">
        <v>19</v>
      </c>
      <c r="AD658" t="s">
        <v>1970</v>
      </c>
      <c r="AE658">
        <v>1.15300061994195E-4</v>
      </c>
    </row>
    <row r="659" spans="29:31" x14ac:dyDescent="0.45">
      <c r="AC659" t="s">
        <v>19</v>
      </c>
      <c r="AD659" t="s">
        <v>1971</v>
      </c>
      <c r="AE659">
        <v>1.1566756282744921E-4</v>
      </c>
    </row>
    <row r="660" spans="29:31" x14ac:dyDescent="0.45">
      <c r="AC660" t="s">
        <v>19</v>
      </c>
      <c r="AD660" t="s">
        <v>1972</v>
      </c>
      <c r="AE660">
        <v>1.1570654592304671E-4</v>
      </c>
    </row>
    <row r="661" spans="29:31" x14ac:dyDescent="0.45">
      <c r="AC661" t="s">
        <v>19</v>
      </c>
      <c r="AD661" t="s">
        <v>1973</v>
      </c>
      <c r="AE661">
        <v>1.1571392621784429E-4</v>
      </c>
    </row>
    <row r="662" spans="29:31" x14ac:dyDescent="0.45">
      <c r="AC662" t="s">
        <v>19</v>
      </c>
      <c r="AD662" t="s">
        <v>1974</v>
      </c>
      <c r="AE662">
        <v>1.157213065126419E-4</v>
      </c>
    </row>
    <row r="663" spans="29:31" x14ac:dyDescent="0.45">
      <c r="AC663" t="s">
        <v>19</v>
      </c>
      <c r="AD663" t="s">
        <v>1975</v>
      </c>
      <c r="AE663">
        <v>1.1572774061579875E-4</v>
      </c>
    </row>
    <row r="664" spans="29:31" x14ac:dyDescent="0.45">
      <c r="AC664" t="s">
        <v>19</v>
      </c>
      <c r="AD664" t="s">
        <v>1976</v>
      </c>
      <c r="AE664">
        <v>1.1564958518627561E-4</v>
      </c>
    </row>
    <row r="665" spans="29:31" x14ac:dyDescent="0.45">
      <c r="AC665" t="s">
        <v>19</v>
      </c>
      <c r="AD665" t="s">
        <v>1977</v>
      </c>
      <c r="AE665">
        <v>1.1557445757000272E-4</v>
      </c>
    </row>
    <row r="666" spans="29:31" x14ac:dyDescent="0.45">
      <c r="AC666" t="s">
        <v>19</v>
      </c>
      <c r="AD666" t="s">
        <v>1978</v>
      </c>
      <c r="AE666">
        <v>1.1554701801242194E-4</v>
      </c>
    </row>
    <row r="667" spans="29:31" x14ac:dyDescent="0.45">
      <c r="AC667" t="s">
        <v>19</v>
      </c>
      <c r="AD667" t="s">
        <v>1979</v>
      </c>
      <c r="AE667">
        <v>1.1552052464648189E-4</v>
      </c>
    </row>
    <row r="668" spans="29:31" x14ac:dyDescent="0.45">
      <c r="AC668" t="s">
        <v>19</v>
      </c>
      <c r="AD668" t="s">
        <v>1980</v>
      </c>
      <c r="AE668">
        <v>1.1552052464648189E-4</v>
      </c>
    </row>
    <row r="669" spans="29:31" x14ac:dyDescent="0.45">
      <c r="AC669" t="s">
        <v>19</v>
      </c>
      <c r="AD669" t="s">
        <v>1981</v>
      </c>
      <c r="AE669">
        <v>1.1546337467138263E-4</v>
      </c>
    </row>
    <row r="670" spans="29:31" x14ac:dyDescent="0.45">
      <c r="AC670" t="s">
        <v>19</v>
      </c>
      <c r="AD670" t="s">
        <v>1982</v>
      </c>
      <c r="AE670">
        <v>1.1527981349308366E-4</v>
      </c>
    </row>
    <row r="671" spans="29:31" x14ac:dyDescent="0.45">
      <c r="AC671" t="s">
        <v>19</v>
      </c>
      <c r="AD671" t="s">
        <v>1983</v>
      </c>
      <c r="AE671">
        <v>1.1481296253755424E-4</v>
      </c>
    </row>
    <row r="672" spans="29:31" x14ac:dyDescent="0.45">
      <c r="AC672" t="s">
        <v>19</v>
      </c>
      <c r="AD672" t="s">
        <v>1984</v>
      </c>
      <c r="AE672">
        <v>1.1432870165583565E-4</v>
      </c>
    </row>
    <row r="673" spans="29:31" x14ac:dyDescent="0.45">
      <c r="AC673" t="s">
        <v>19</v>
      </c>
      <c r="AD673" t="s">
        <v>1985</v>
      </c>
      <c r="AE673">
        <v>1.1330530077723691E-4</v>
      </c>
    </row>
    <row r="674" spans="29:31" x14ac:dyDescent="0.45">
      <c r="AC674" t="s">
        <v>19</v>
      </c>
      <c r="AD674" t="s">
        <v>1986</v>
      </c>
      <c r="AE674">
        <v>1.126210149826709E-4</v>
      </c>
    </row>
    <row r="675" spans="29:31" x14ac:dyDescent="0.45">
      <c r="AC675" t="s">
        <v>19</v>
      </c>
      <c r="AD675" t="s">
        <v>1987</v>
      </c>
      <c r="AE675">
        <v>1.1219882427258331E-4</v>
      </c>
    </row>
    <row r="676" spans="29:31" x14ac:dyDescent="0.45">
      <c r="AC676" t="s">
        <v>19</v>
      </c>
      <c r="AD676" t="s">
        <v>1988</v>
      </c>
      <c r="AE676">
        <v>1.1211612712318467E-4</v>
      </c>
    </row>
    <row r="677" spans="29:31" x14ac:dyDescent="0.45">
      <c r="AC677" t="s">
        <v>19</v>
      </c>
      <c r="AD677" t="s">
        <v>1989</v>
      </c>
      <c r="AE677">
        <v>1.1211612712318467E-4</v>
      </c>
    </row>
    <row r="678" spans="29:31" x14ac:dyDescent="0.45">
      <c r="AC678" t="s">
        <v>19</v>
      </c>
      <c r="AD678" t="s">
        <v>1990</v>
      </c>
      <c r="AE678">
        <v>1.1218008967809712E-4</v>
      </c>
    </row>
    <row r="679" spans="29:31" x14ac:dyDescent="0.45">
      <c r="AC679" t="s">
        <v>19</v>
      </c>
      <c r="AD679" t="s">
        <v>1991</v>
      </c>
      <c r="AE679">
        <v>1.1266321512984685E-4</v>
      </c>
    </row>
    <row r="680" spans="29:31" x14ac:dyDescent="0.45">
      <c r="AC680" t="s">
        <v>19</v>
      </c>
      <c r="AD680" t="s">
        <v>1992</v>
      </c>
      <c r="AE680">
        <v>1.1378842622898666E-4</v>
      </c>
    </row>
    <row r="681" spans="29:31" x14ac:dyDescent="0.45">
      <c r="AC681" t="s">
        <v>19</v>
      </c>
      <c r="AD681" t="s">
        <v>1993</v>
      </c>
      <c r="AE681">
        <v>1.1463507850909957E-4</v>
      </c>
    </row>
    <row r="682" spans="29:31" x14ac:dyDescent="0.45">
      <c r="AC682" t="s">
        <v>19</v>
      </c>
      <c r="AD682" t="s">
        <v>1994</v>
      </c>
      <c r="AE682">
        <v>1.15300061994195E-4</v>
      </c>
    </row>
    <row r="683" spans="29:31" x14ac:dyDescent="0.45">
      <c r="AC683" t="s">
        <v>19</v>
      </c>
      <c r="AD683" t="s">
        <v>1995</v>
      </c>
      <c r="AE683">
        <v>1.1566756282744921E-4</v>
      </c>
    </row>
    <row r="684" spans="29:31" x14ac:dyDescent="0.45">
      <c r="AC684" t="s">
        <v>19</v>
      </c>
      <c r="AD684" t="s">
        <v>1996</v>
      </c>
      <c r="AE684">
        <v>1.1574004110712808E-4</v>
      </c>
    </row>
    <row r="685" spans="29:31" x14ac:dyDescent="0.45">
      <c r="AC685" t="s">
        <v>19</v>
      </c>
      <c r="AD685" t="s">
        <v>1997</v>
      </c>
      <c r="AE685">
        <v>1.1573549938725264E-4</v>
      </c>
    </row>
    <row r="686" spans="29:31" x14ac:dyDescent="0.45">
      <c r="AC686" t="s">
        <v>19</v>
      </c>
      <c r="AD686" t="s">
        <v>1998</v>
      </c>
      <c r="AE686">
        <v>1.1571979260601674E-4</v>
      </c>
    </row>
    <row r="687" spans="29:31" x14ac:dyDescent="0.45">
      <c r="AC687" t="s">
        <v>19</v>
      </c>
      <c r="AD687" t="s">
        <v>1999</v>
      </c>
      <c r="AE687">
        <v>1.1574193349040951E-4</v>
      </c>
    </row>
    <row r="688" spans="29:31" x14ac:dyDescent="0.45">
      <c r="AC688" t="s">
        <v>19</v>
      </c>
      <c r="AD688" t="s">
        <v>2000</v>
      </c>
      <c r="AE688">
        <v>1.1569064990348267E-4</v>
      </c>
    </row>
    <row r="689" spans="29:31" x14ac:dyDescent="0.45">
      <c r="AC689" t="s">
        <v>19</v>
      </c>
      <c r="AD689" t="s">
        <v>2001</v>
      </c>
      <c r="AE689">
        <v>1.156194962921008E-4</v>
      </c>
    </row>
    <row r="690" spans="29:31" x14ac:dyDescent="0.45">
      <c r="AC690" t="s">
        <v>19</v>
      </c>
      <c r="AD690" t="s">
        <v>2002</v>
      </c>
      <c r="AE690">
        <v>1.1559186749619189E-4</v>
      </c>
    </row>
    <row r="691" spans="29:31" x14ac:dyDescent="0.45">
      <c r="AC691" t="s">
        <v>19</v>
      </c>
      <c r="AD691" t="s">
        <v>2003</v>
      </c>
      <c r="AE691">
        <v>1.1556537413025185E-4</v>
      </c>
    </row>
    <row r="692" spans="29:31" x14ac:dyDescent="0.45">
      <c r="AC692" t="s">
        <v>19</v>
      </c>
      <c r="AD692" t="s">
        <v>2004</v>
      </c>
      <c r="AE692">
        <v>1.1555118125564109E-4</v>
      </c>
    </row>
    <row r="693" spans="29:31" x14ac:dyDescent="0.45">
      <c r="AC693" t="s">
        <v>19</v>
      </c>
      <c r="AD693" t="s">
        <v>2005</v>
      </c>
      <c r="AE693">
        <v>1.1547529668605566E-4</v>
      </c>
    </row>
    <row r="694" spans="29:31" x14ac:dyDescent="0.45">
      <c r="AC694" t="s">
        <v>19</v>
      </c>
      <c r="AD694" t="s">
        <v>2006</v>
      </c>
      <c r="AE694">
        <v>1.1529324941438184E-4</v>
      </c>
    </row>
    <row r="695" spans="29:31" x14ac:dyDescent="0.45">
      <c r="AC695" t="s">
        <v>19</v>
      </c>
      <c r="AD695" t="s">
        <v>2007</v>
      </c>
      <c r="AE695">
        <v>1.1481296253755424E-4</v>
      </c>
    </row>
    <row r="696" spans="29:31" x14ac:dyDescent="0.45">
      <c r="AC696" t="s">
        <v>19</v>
      </c>
      <c r="AD696" t="s">
        <v>2008</v>
      </c>
      <c r="AE696">
        <v>1.1432870165583565E-4</v>
      </c>
    </row>
    <row r="697" spans="29:31" x14ac:dyDescent="0.45">
      <c r="AC697" t="s">
        <v>19</v>
      </c>
      <c r="AD697" t="s">
        <v>2009</v>
      </c>
      <c r="AE697">
        <v>1.1292682412095039E-4</v>
      </c>
    </row>
    <row r="698" spans="29:31" x14ac:dyDescent="0.45">
      <c r="AC698" t="s">
        <v>19</v>
      </c>
      <c r="AD698" t="s">
        <v>2010</v>
      </c>
      <c r="AE698">
        <v>1.122124494322096E-4</v>
      </c>
    </row>
    <row r="699" spans="29:31" x14ac:dyDescent="0.45">
      <c r="AC699" t="s">
        <v>19</v>
      </c>
      <c r="AD699" t="s">
        <v>2011</v>
      </c>
      <c r="AE699">
        <v>1.1171853739575569E-4</v>
      </c>
    </row>
    <row r="700" spans="29:31" x14ac:dyDescent="0.45">
      <c r="AC700" t="s">
        <v>19</v>
      </c>
      <c r="AD700" t="s">
        <v>2012</v>
      </c>
      <c r="AE700">
        <v>1.115050765616101E-4</v>
      </c>
    </row>
    <row r="701" spans="29:31" x14ac:dyDescent="0.45">
      <c r="AC701" t="s">
        <v>19</v>
      </c>
      <c r="AD701" t="s">
        <v>2013</v>
      </c>
      <c r="AE701">
        <v>1.115050765616101E-4</v>
      </c>
    </row>
    <row r="702" spans="29:31" x14ac:dyDescent="0.45">
      <c r="AC702" t="s">
        <v>19</v>
      </c>
      <c r="AD702" t="s">
        <v>2014</v>
      </c>
      <c r="AE702">
        <v>1.1151983715120529E-4</v>
      </c>
    </row>
    <row r="703" spans="29:31" x14ac:dyDescent="0.45">
      <c r="AC703" t="s">
        <v>19</v>
      </c>
      <c r="AD703" t="s">
        <v>2015</v>
      </c>
      <c r="AE703">
        <v>1.1153421926414417E-4</v>
      </c>
    </row>
    <row r="704" spans="29:31" x14ac:dyDescent="0.45">
      <c r="AC704" t="s">
        <v>19</v>
      </c>
      <c r="AD704" t="s">
        <v>2016</v>
      </c>
      <c r="AE704">
        <v>1.1171910511074015E-4</v>
      </c>
    </row>
    <row r="705" spans="29:31" x14ac:dyDescent="0.45">
      <c r="AC705" t="s">
        <v>19</v>
      </c>
      <c r="AD705" t="s">
        <v>2017</v>
      </c>
      <c r="AE705">
        <v>1.1212672446956071E-4</v>
      </c>
    </row>
    <row r="706" spans="29:31" x14ac:dyDescent="0.45">
      <c r="AC706" t="s">
        <v>19</v>
      </c>
      <c r="AD706" t="s">
        <v>2018</v>
      </c>
      <c r="AE706">
        <v>1.1274515532593288E-4</v>
      </c>
    </row>
    <row r="707" spans="29:31" x14ac:dyDescent="0.45">
      <c r="AC707" t="s">
        <v>19</v>
      </c>
      <c r="AD707" t="s">
        <v>2019</v>
      </c>
      <c r="AE707">
        <v>1.1345025733659465E-4</v>
      </c>
    </row>
    <row r="708" spans="29:31" x14ac:dyDescent="0.45">
      <c r="AC708" t="s">
        <v>19</v>
      </c>
      <c r="AD708" t="s">
        <v>2020</v>
      </c>
      <c r="AE708">
        <v>1.1363457546820619E-4</v>
      </c>
    </row>
    <row r="709" spans="29:31" x14ac:dyDescent="0.45">
      <c r="AC709" t="s">
        <v>19</v>
      </c>
      <c r="AD709" t="s">
        <v>2021</v>
      </c>
      <c r="AE709">
        <v>1.1364725443619179E-4</v>
      </c>
    </row>
    <row r="710" spans="29:31" x14ac:dyDescent="0.45">
      <c r="AC710" t="s">
        <v>19</v>
      </c>
      <c r="AD710" t="s">
        <v>2022</v>
      </c>
      <c r="AE710">
        <v>1.1361281306046971E-4</v>
      </c>
    </row>
    <row r="711" spans="29:31" x14ac:dyDescent="0.45">
      <c r="AC711" t="s">
        <v>19</v>
      </c>
      <c r="AD711" t="s">
        <v>2023</v>
      </c>
      <c r="AE711">
        <v>1.1358045330635721E-4</v>
      </c>
    </row>
    <row r="712" spans="29:31" x14ac:dyDescent="0.45">
      <c r="AC712" t="s">
        <v>19</v>
      </c>
      <c r="AD712" t="s">
        <v>2024</v>
      </c>
      <c r="AE712">
        <v>1.1353522534593098E-4</v>
      </c>
    </row>
    <row r="713" spans="29:31" x14ac:dyDescent="0.45">
      <c r="AC713" t="s">
        <v>19</v>
      </c>
      <c r="AD713" t="s">
        <v>2025</v>
      </c>
      <c r="AE713">
        <v>1.134964314886616E-4</v>
      </c>
    </row>
    <row r="714" spans="29:31" x14ac:dyDescent="0.45">
      <c r="AC714" t="s">
        <v>19</v>
      </c>
      <c r="AD714" t="s">
        <v>2026</v>
      </c>
      <c r="AE714">
        <v>1.1348129242241015E-4</v>
      </c>
    </row>
    <row r="715" spans="29:31" x14ac:dyDescent="0.45">
      <c r="AC715" t="s">
        <v>19</v>
      </c>
      <c r="AD715" t="s">
        <v>2027</v>
      </c>
      <c r="AE715">
        <v>1.1346728878612756E-4</v>
      </c>
    </row>
    <row r="716" spans="29:31" x14ac:dyDescent="0.45">
      <c r="AC716" t="s">
        <v>19</v>
      </c>
      <c r="AD716" t="s">
        <v>2028</v>
      </c>
      <c r="AE716">
        <v>1.1347466908092514E-4</v>
      </c>
    </row>
    <row r="717" spans="29:31" x14ac:dyDescent="0.45">
      <c r="AC717" t="s">
        <v>19</v>
      </c>
      <c r="AD717" t="s">
        <v>2029</v>
      </c>
      <c r="AE717">
        <v>1.1347977851578499E-4</v>
      </c>
    </row>
    <row r="718" spans="29:31" x14ac:dyDescent="0.45">
      <c r="AC718" t="s">
        <v>19</v>
      </c>
      <c r="AD718" t="s">
        <v>2030</v>
      </c>
      <c r="AE718">
        <v>1.134627470662521E-4</v>
      </c>
    </row>
    <row r="719" spans="29:31" x14ac:dyDescent="0.45">
      <c r="AC719" t="s">
        <v>19</v>
      </c>
      <c r="AD719" t="s">
        <v>2031</v>
      </c>
      <c r="AE719">
        <v>1.1343190121876477E-4</v>
      </c>
    </row>
    <row r="720" spans="29:31" x14ac:dyDescent="0.45">
      <c r="AC720" t="s">
        <v>19</v>
      </c>
      <c r="AD720" t="s">
        <v>2032</v>
      </c>
      <c r="AE720">
        <v>1.1311663016407808E-4</v>
      </c>
    </row>
    <row r="721" spans="29:31" x14ac:dyDescent="0.45">
      <c r="AC721" t="s">
        <v>19</v>
      </c>
      <c r="AD721" t="s">
        <v>2033</v>
      </c>
      <c r="AE721">
        <v>1.128528319346464E-4</v>
      </c>
    </row>
    <row r="722" spans="29:31" x14ac:dyDescent="0.45">
      <c r="AC722" t="s">
        <v>19</v>
      </c>
      <c r="AD722" t="s">
        <v>2034</v>
      </c>
      <c r="AE722">
        <v>1.1218671301958212E-4</v>
      </c>
    </row>
    <row r="723" spans="29:31" x14ac:dyDescent="0.45">
      <c r="AC723" t="s">
        <v>19</v>
      </c>
      <c r="AD723" t="s">
        <v>2035</v>
      </c>
      <c r="AE723">
        <v>1.1171853739575569E-4</v>
      </c>
    </row>
    <row r="724" spans="29:31" x14ac:dyDescent="0.45">
      <c r="AC724" t="s">
        <v>19</v>
      </c>
      <c r="AD724" t="s">
        <v>2036</v>
      </c>
      <c r="AE724">
        <v>1.115050765616101E-4</v>
      </c>
    </row>
    <row r="725" spans="29:31" x14ac:dyDescent="0.45">
      <c r="AC725" t="s">
        <v>19</v>
      </c>
      <c r="AD725" t="s">
        <v>2037</v>
      </c>
      <c r="AE725">
        <v>1.115050765616101E-4</v>
      </c>
    </row>
    <row r="726" spans="29:31" x14ac:dyDescent="0.45">
      <c r="AC726" t="s">
        <v>19</v>
      </c>
      <c r="AD726" t="s">
        <v>2038</v>
      </c>
      <c r="AE726">
        <v>1.1151983715120529E-4</v>
      </c>
    </row>
    <row r="727" spans="29:31" x14ac:dyDescent="0.45">
      <c r="AC727" t="s">
        <v>19</v>
      </c>
      <c r="AD727" t="s">
        <v>2039</v>
      </c>
      <c r="AE727">
        <v>1.1153421926414417E-4</v>
      </c>
    </row>
    <row r="728" spans="29:31" x14ac:dyDescent="0.45">
      <c r="AC728" t="s">
        <v>19</v>
      </c>
      <c r="AD728" t="s">
        <v>2040</v>
      </c>
      <c r="AE728">
        <v>1.1171910511074015E-4</v>
      </c>
    </row>
    <row r="729" spans="29:31" x14ac:dyDescent="0.45">
      <c r="AC729" t="s">
        <v>19</v>
      </c>
      <c r="AD729" t="s">
        <v>2041</v>
      </c>
      <c r="AE729">
        <v>1.1212672446956071E-4</v>
      </c>
    </row>
    <row r="730" spans="29:31" x14ac:dyDescent="0.45">
      <c r="AC730" t="s">
        <v>19</v>
      </c>
      <c r="AD730" t="s">
        <v>2042</v>
      </c>
      <c r="AE730">
        <v>1.1272301444154011E-4</v>
      </c>
    </row>
    <row r="731" spans="29:31" x14ac:dyDescent="0.45">
      <c r="AC731" t="s">
        <v>19</v>
      </c>
      <c r="AD731" t="s">
        <v>2043</v>
      </c>
      <c r="AE731">
        <v>1.1345025733659465E-4</v>
      </c>
    </row>
    <row r="732" spans="29:31" x14ac:dyDescent="0.45">
      <c r="AC732" t="s">
        <v>19</v>
      </c>
      <c r="AD732" t="s">
        <v>2044</v>
      </c>
      <c r="AE732">
        <v>1.1363457546820619E-4</v>
      </c>
    </row>
    <row r="733" spans="29:31" x14ac:dyDescent="0.45">
      <c r="AC733" t="s">
        <v>19</v>
      </c>
      <c r="AD733" t="s">
        <v>2045</v>
      </c>
      <c r="AE733">
        <v>1.1363154765495589E-4</v>
      </c>
    </row>
    <row r="734" spans="29:31" x14ac:dyDescent="0.45">
      <c r="AC734" t="s">
        <v>19</v>
      </c>
      <c r="AD734" t="s">
        <v>2046</v>
      </c>
      <c r="AE734">
        <v>1.1361281306046971E-4</v>
      </c>
    </row>
    <row r="735" spans="29:31" x14ac:dyDescent="0.45">
      <c r="AC735" t="s">
        <v>19</v>
      </c>
      <c r="AD735" t="s">
        <v>2047</v>
      </c>
      <c r="AE735">
        <v>1.1358045330635721E-4</v>
      </c>
    </row>
    <row r="736" spans="29:31" x14ac:dyDescent="0.45">
      <c r="AC736" t="s">
        <v>19</v>
      </c>
      <c r="AD736" t="s">
        <v>2048</v>
      </c>
      <c r="AE736">
        <v>1.135348468692747E-4</v>
      </c>
    </row>
    <row r="737" spans="29:31" x14ac:dyDescent="0.45">
      <c r="AC737" t="s">
        <v>19</v>
      </c>
      <c r="AD737" t="s">
        <v>2049</v>
      </c>
      <c r="AE737">
        <v>1.1347126279101856E-4</v>
      </c>
    </row>
    <row r="738" spans="29:31" x14ac:dyDescent="0.45">
      <c r="AC738" t="s">
        <v>19</v>
      </c>
      <c r="AD738" t="s">
        <v>2050</v>
      </c>
      <c r="AE738">
        <v>1.1347126279101856E-4</v>
      </c>
    </row>
    <row r="739" spans="29:31" x14ac:dyDescent="0.45">
      <c r="AC739" t="s">
        <v>19</v>
      </c>
      <c r="AD739" t="s">
        <v>2051</v>
      </c>
      <c r="AE739">
        <v>1.1344931114495395E-4</v>
      </c>
    </row>
    <row r="740" spans="29:31" x14ac:dyDescent="0.45">
      <c r="AC740" t="s">
        <v>19</v>
      </c>
      <c r="AD740" t="s">
        <v>2052</v>
      </c>
      <c r="AE740">
        <v>1.1346180087461141E-4</v>
      </c>
    </row>
    <row r="741" spans="29:31" x14ac:dyDescent="0.45">
      <c r="AC741" t="s">
        <v>19</v>
      </c>
      <c r="AD741" t="s">
        <v>2053</v>
      </c>
      <c r="AE741">
        <v>1.1347977851578499E-4</v>
      </c>
    </row>
    <row r="742" spans="29:31" x14ac:dyDescent="0.45">
      <c r="AC742" t="s">
        <v>19</v>
      </c>
      <c r="AD742" t="s">
        <v>2054</v>
      </c>
      <c r="AE742">
        <v>1.1347542603423772E-4</v>
      </c>
    </row>
    <row r="743" spans="29:31" x14ac:dyDescent="0.45">
      <c r="AC743" t="s">
        <v>19</v>
      </c>
      <c r="AD743" t="s">
        <v>2055</v>
      </c>
      <c r="AE743">
        <v>1.1343190121876477E-4</v>
      </c>
    </row>
    <row r="744" spans="29:31" x14ac:dyDescent="0.45">
      <c r="AC744" t="s">
        <v>19</v>
      </c>
      <c r="AD744" t="s">
        <v>2056</v>
      </c>
      <c r="AE744">
        <v>1.131446374366433E-4</v>
      </c>
    </row>
    <row r="745" spans="29:31" x14ac:dyDescent="0.45">
      <c r="AC745" t="s">
        <v>19</v>
      </c>
      <c r="AD745" t="s">
        <v>2057</v>
      </c>
      <c r="AE745">
        <v>1.1330530077723693E-4</v>
      </c>
    </row>
    <row r="746" spans="29:31" x14ac:dyDescent="0.45">
      <c r="AC746" t="s">
        <v>19</v>
      </c>
      <c r="AD746" t="s">
        <v>2058</v>
      </c>
      <c r="AE746">
        <v>1.1264675139529839E-4</v>
      </c>
    </row>
    <row r="747" spans="29:31" x14ac:dyDescent="0.45">
      <c r="AC747" t="s">
        <v>19</v>
      </c>
      <c r="AD747" t="s">
        <v>2059</v>
      </c>
      <c r="AE747">
        <v>1.1219882427258331E-4</v>
      </c>
    </row>
    <row r="748" spans="29:31" x14ac:dyDescent="0.45">
      <c r="AC748" t="s">
        <v>19</v>
      </c>
      <c r="AD748" t="s">
        <v>2060</v>
      </c>
      <c r="AE748">
        <v>1.121161271231847E-4</v>
      </c>
    </row>
    <row r="749" spans="29:31" x14ac:dyDescent="0.45">
      <c r="AC749" t="s">
        <v>19</v>
      </c>
      <c r="AD749" t="s">
        <v>2061</v>
      </c>
      <c r="AE749">
        <v>1.121161271231847E-4</v>
      </c>
    </row>
    <row r="750" spans="29:31" x14ac:dyDescent="0.45">
      <c r="AC750" t="s">
        <v>19</v>
      </c>
      <c r="AD750" t="s">
        <v>2062</v>
      </c>
      <c r="AE750">
        <v>1.1218008967809712E-4</v>
      </c>
    </row>
    <row r="751" spans="29:31" x14ac:dyDescent="0.45">
      <c r="AC751" t="s">
        <v>19</v>
      </c>
      <c r="AD751" t="s">
        <v>2063</v>
      </c>
      <c r="AE751">
        <v>1.1266321512984685E-4</v>
      </c>
    </row>
    <row r="752" spans="29:31" x14ac:dyDescent="0.45">
      <c r="AC752" t="s">
        <v>19</v>
      </c>
      <c r="AD752" t="s">
        <v>2064</v>
      </c>
      <c r="AE752">
        <v>1.1378842622898666E-4</v>
      </c>
    </row>
    <row r="753" spans="29:31" x14ac:dyDescent="0.45">
      <c r="AC753" t="s">
        <v>19</v>
      </c>
      <c r="AD753" t="s">
        <v>2065</v>
      </c>
      <c r="AE753">
        <v>1.146350785090996E-4</v>
      </c>
    </row>
    <row r="754" spans="29:31" x14ac:dyDescent="0.45">
      <c r="AC754" t="s">
        <v>19</v>
      </c>
      <c r="AD754" t="s">
        <v>2066</v>
      </c>
      <c r="AE754">
        <v>1.1533866661313623E-4</v>
      </c>
    </row>
    <row r="755" spans="29:31" x14ac:dyDescent="0.45">
      <c r="AC755" t="s">
        <v>19</v>
      </c>
      <c r="AD755" t="s">
        <v>2067</v>
      </c>
      <c r="AE755">
        <v>1.1567494312224679E-4</v>
      </c>
    </row>
    <row r="756" spans="29:31" x14ac:dyDescent="0.45">
      <c r="AC756" t="s">
        <v>19</v>
      </c>
      <c r="AD756" t="s">
        <v>2068</v>
      </c>
      <c r="AE756">
        <v>1.1574666444861309E-4</v>
      </c>
    </row>
    <row r="757" spans="29:31" x14ac:dyDescent="0.45">
      <c r="AC757" t="s">
        <v>19</v>
      </c>
      <c r="AD757" t="s">
        <v>2069</v>
      </c>
      <c r="AE757">
        <v>1.1573549938725264E-4</v>
      </c>
    </row>
    <row r="758" spans="29:31" x14ac:dyDescent="0.45">
      <c r="AC758" t="s">
        <v>19</v>
      </c>
      <c r="AD758" t="s">
        <v>2070</v>
      </c>
      <c r="AE758">
        <v>1.1573493167226821E-4</v>
      </c>
    </row>
    <row r="759" spans="29:31" x14ac:dyDescent="0.45">
      <c r="AC759" t="s">
        <v>19</v>
      </c>
      <c r="AD759" t="s">
        <v>2071</v>
      </c>
      <c r="AE759">
        <v>1.1573493167226821E-4</v>
      </c>
    </row>
    <row r="760" spans="29:31" x14ac:dyDescent="0.45">
      <c r="AC760" t="s">
        <v>19</v>
      </c>
      <c r="AD760" t="s">
        <v>2072</v>
      </c>
      <c r="AE760">
        <v>1.1569064990348267E-4</v>
      </c>
    </row>
    <row r="761" spans="29:31" x14ac:dyDescent="0.45">
      <c r="AC761" t="s">
        <v>19</v>
      </c>
      <c r="AD761" t="s">
        <v>2073</v>
      </c>
      <c r="AE761">
        <v>1.1563255373674272E-4</v>
      </c>
    </row>
    <row r="762" spans="29:31" x14ac:dyDescent="0.45">
      <c r="AC762" t="s">
        <v>19</v>
      </c>
      <c r="AD762" t="s">
        <v>2074</v>
      </c>
      <c r="AE762">
        <v>1.156115482823188E-4</v>
      </c>
    </row>
    <row r="763" spans="29:31" x14ac:dyDescent="0.45">
      <c r="AC763" t="s">
        <v>19</v>
      </c>
      <c r="AD763" t="s">
        <v>2075</v>
      </c>
      <c r="AE763">
        <v>1.155725651867213E-4</v>
      </c>
    </row>
    <row r="764" spans="29:31" x14ac:dyDescent="0.45">
      <c r="AC764" t="s">
        <v>19</v>
      </c>
      <c r="AD764" t="s">
        <v>2076</v>
      </c>
      <c r="AE764">
        <v>1.1556537413025185E-4</v>
      </c>
    </row>
    <row r="765" spans="29:31" x14ac:dyDescent="0.45">
      <c r="AC765" t="s">
        <v>19</v>
      </c>
      <c r="AD765" t="s">
        <v>2077</v>
      </c>
      <c r="AE765">
        <v>1.1549043575230713E-4</v>
      </c>
    </row>
    <row r="766" spans="29:31" x14ac:dyDescent="0.45">
      <c r="AC766" t="s">
        <v>19</v>
      </c>
      <c r="AD766" t="s">
        <v>2078</v>
      </c>
      <c r="AE766">
        <v>1.1529324941438184E-4</v>
      </c>
    </row>
    <row r="767" spans="29:31" x14ac:dyDescent="0.45">
      <c r="AC767" t="s">
        <v>19</v>
      </c>
      <c r="AD767" t="s">
        <v>2079</v>
      </c>
      <c r="AE767">
        <v>1.1481296253755427E-4</v>
      </c>
    </row>
    <row r="768" spans="29:31" x14ac:dyDescent="0.45">
      <c r="AC768" t="s">
        <v>19</v>
      </c>
      <c r="AD768" t="s">
        <v>2080</v>
      </c>
      <c r="AE768">
        <v>1.1432870165583565E-4</v>
      </c>
    </row>
    <row r="769" spans="29:31" x14ac:dyDescent="0.45">
      <c r="AC769" t="s">
        <v>19</v>
      </c>
      <c r="AD769" t="s">
        <v>2081</v>
      </c>
      <c r="AE769">
        <v>1.1335355655091347E-4</v>
      </c>
    </row>
    <row r="770" spans="29:31" x14ac:dyDescent="0.45">
      <c r="AC770" t="s">
        <v>19</v>
      </c>
      <c r="AD770" t="s">
        <v>2082</v>
      </c>
      <c r="AE770">
        <v>1.1264675139529839E-4</v>
      </c>
    </row>
    <row r="771" spans="29:31" x14ac:dyDescent="0.45">
      <c r="AC771" t="s">
        <v>19</v>
      </c>
      <c r="AD771" t="s">
        <v>366</v>
      </c>
      <c r="AE771">
        <v>1.8123826071262526E-2</v>
      </c>
    </row>
    <row r="772" spans="29:31" x14ac:dyDescent="0.45">
      <c r="AC772" t="s">
        <v>19</v>
      </c>
      <c r="AD772" t="s">
        <v>367</v>
      </c>
      <c r="AE772">
        <v>2.636757326485942E-3</v>
      </c>
    </row>
    <row r="773" spans="29:31" x14ac:dyDescent="0.45">
      <c r="AC773" t="s">
        <v>19</v>
      </c>
      <c r="AD773" t="s">
        <v>368</v>
      </c>
      <c r="AE773">
        <v>5.2965829944108742E-3</v>
      </c>
    </row>
    <row r="774" spans="29:31" x14ac:dyDescent="0.45">
      <c r="AC774" t="s">
        <v>19</v>
      </c>
      <c r="AD774" t="s">
        <v>369</v>
      </c>
      <c r="AE774">
        <v>7.9475725570798145E-3</v>
      </c>
    </row>
    <row r="775" spans="29:31" x14ac:dyDescent="0.45">
      <c r="AC775" t="s">
        <v>19</v>
      </c>
      <c r="AD775" t="s">
        <v>370</v>
      </c>
      <c r="AE775">
        <v>2.6475030357112281E-3</v>
      </c>
    </row>
    <row r="776" spans="29:31" x14ac:dyDescent="0.45">
      <c r="AC776" t="s">
        <v>19</v>
      </c>
      <c r="AD776" t="s">
        <v>371</v>
      </c>
      <c r="AE776">
        <v>5.2918490083940428E-3</v>
      </c>
    </row>
    <row r="777" spans="29:31" x14ac:dyDescent="0.45">
      <c r="AC777" t="s">
        <v>19</v>
      </c>
      <c r="AD777" t="s">
        <v>372</v>
      </c>
      <c r="AE777">
        <v>5.2909130356230466E-3</v>
      </c>
    </row>
    <row r="778" spans="29:31" x14ac:dyDescent="0.45">
      <c r="AC778" t="s">
        <v>19</v>
      </c>
      <c r="AD778" t="s">
        <v>373</v>
      </c>
      <c r="AE778">
        <v>1.5738073138557507E-2</v>
      </c>
    </row>
    <row r="779" spans="29:31" x14ac:dyDescent="0.45">
      <c r="AC779" t="s">
        <v>19</v>
      </c>
      <c r="AD779" t="s">
        <v>2083</v>
      </c>
      <c r="AE779">
        <v>1.1229342207103721E-4</v>
      </c>
    </row>
    <row r="780" spans="29:31" x14ac:dyDescent="0.45">
      <c r="AC780" t="s">
        <v>19</v>
      </c>
      <c r="AD780" t="s">
        <v>2084</v>
      </c>
      <c r="AE780">
        <v>1.122107249216386E-4</v>
      </c>
    </row>
    <row r="781" spans="29:31" x14ac:dyDescent="0.45">
      <c r="AC781" t="s">
        <v>19</v>
      </c>
      <c r="AD781" t="s">
        <v>2085</v>
      </c>
      <c r="AE781">
        <v>1.122107249216386E-4</v>
      </c>
    </row>
    <row r="782" spans="29:31" x14ac:dyDescent="0.45">
      <c r="AC782" t="s">
        <v>19</v>
      </c>
      <c r="AD782" t="s">
        <v>2086</v>
      </c>
      <c r="AE782">
        <v>1.1228717720620848E-4</v>
      </c>
    </row>
    <row r="783" spans="29:31" x14ac:dyDescent="0.45">
      <c r="AC783" t="s">
        <v>19</v>
      </c>
      <c r="AD783" t="s">
        <v>2087</v>
      </c>
      <c r="AE783">
        <v>1.1273699671220501E-4</v>
      </c>
    </row>
    <row r="784" spans="29:31" x14ac:dyDescent="0.45">
      <c r="AC784" t="s">
        <v>19</v>
      </c>
      <c r="AD784" t="s">
        <v>2088</v>
      </c>
      <c r="AE784">
        <v>1.1388567336403459E-4</v>
      </c>
    </row>
    <row r="785" spans="29:31" x14ac:dyDescent="0.45">
      <c r="AC785" t="s">
        <v>19</v>
      </c>
      <c r="AD785" t="s">
        <v>2089</v>
      </c>
      <c r="AE785">
        <v>1.1478852942760607E-4</v>
      </c>
    </row>
    <row r="786" spans="29:31" x14ac:dyDescent="0.45">
      <c r="AC786" t="s">
        <v>19</v>
      </c>
      <c r="AD786" t="s">
        <v>2090</v>
      </c>
      <c r="AE786">
        <v>1.1545843310923319E-4</v>
      </c>
    </row>
    <row r="787" spans="29:31" x14ac:dyDescent="0.45">
      <c r="AC787" t="s">
        <v>19</v>
      </c>
      <c r="AD787" t="s">
        <v>2091</v>
      </c>
      <c r="AE787">
        <v>1.1579887286156291E-4</v>
      </c>
    </row>
    <row r="788" spans="29:31" x14ac:dyDescent="0.45">
      <c r="AC788" t="s">
        <v>19</v>
      </c>
      <c r="AD788" t="s">
        <v>2092</v>
      </c>
      <c r="AE788">
        <v>1.1579792666992221E-4</v>
      </c>
    </row>
    <row r="789" spans="29:31" x14ac:dyDescent="0.45">
      <c r="AC789" t="s">
        <v>19</v>
      </c>
      <c r="AD789" t="s">
        <v>2093</v>
      </c>
      <c r="AE789">
        <v>1.1577975979042044E-4</v>
      </c>
    </row>
    <row r="790" spans="29:31" x14ac:dyDescent="0.45">
      <c r="AC790" t="s">
        <v>19</v>
      </c>
      <c r="AD790" t="s">
        <v>2094</v>
      </c>
      <c r="AE790">
        <v>1.1578411227196775E-4</v>
      </c>
    </row>
    <row r="791" spans="29:31" x14ac:dyDescent="0.45">
      <c r="AC791" t="s">
        <v>19</v>
      </c>
      <c r="AD791" t="s">
        <v>2095</v>
      </c>
      <c r="AE791">
        <v>1.1580227915146949E-4</v>
      </c>
    </row>
    <row r="792" spans="29:31" x14ac:dyDescent="0.45">
      <c r="AC792" t="s">
        <v>19</v>
      </c>
      <c r="AD792" t="s">
        <v>2096</v>
      </c>
      <c r="AE792">
        <v>1.1576878396738814E-4</v>
      </c>
    </row>
    <row r="793" spans="29:31" x14ac:dyDescent="0.45">
      <c r="AC793" t="s">
        <v>19</v>
      </c>
      <c r="AD793" t="s">
        <v>2097</v>
      </c>
      <c r="AE793">
        <v>1.1569763035600627E-4</v>
      </c>
    </row>
    <row r="794" spans="29:31" x14ac:dyDescent="0.45">
      <c r="AC794" t="s">
        <v>19</v>
      </c>
      <c r="AD794" t="s">
        <v>2098</v>
      </c>
      <c r="AE794">
        <v>1.1569914426263143E-4</v>
      </c>
    </row>
    <row r="795" spans="29:31" x14ac:dyDescent="0.45">
      <c r="AC795" t="s">
        <v>19</v>
      </c>
      <c r="AD795" t="s">
        <v>2099</v>
      </c>
      <c r="AE795">
        <v>1.1567113699006623E-4</v>
      </c>
    </row>
    <row r="796" spans="29:31" x14ac:dyDescent="0.45">
      <c r="AC796" t="s">
        <v>19</v>
      </c>
      <c r="AD796" t="s">
        <v>2100</v>
      </c>
      <c r="AE796">
        <v>1.1561531168326397E-4</v>
      </c>
    </row>
    <row r="797" spans="29:31" x14ac:dyDescent="0.45">
      <c r="AC797" t="s">
        <v>19</v>
      </c>
      <c r="AD797" t="s">
        <v>2101</v>
      </c>
      <c r="AE797">
        <v>1.1552845129064622E-4</v>
      </c>
    </row>
    <row r="798" spans="29:31" x14ac:dyDescent="0.45">
      <c r="AC798" t="s">
        <v>19</v>
      </c>
      <c r="AD798" t="s">
        <v>2102</v>
      </c>
      <c r="AE798">
        <v>1.1539447055432078E-4</v>
      </c>
    </row>
    <row r="799" spans="29:31" x14ac:dyDescent="0.45">
      <c r="AC799" t="s">
        <v>19</v>
      </c>
      <c r="AD799" t="s">
        <v>2103</v>
      </c>
      <c r="AE799">
        <v>1.149041540461016E-4</v>
      </c>
    </row>
    <row r="800" spans="29:31" x14ac:dyDescent="0.45">
      <c r="AC800" t="s">
        <v>19</v>
      </c>
      <c r="AD800" t="s">
        <v>2104</v>
      </c>
      <c r="AE800">
        <v>1.1441989316438301E-4</v>
      </c>
    </row>
    <row r="801" spans="29:31" x14ac:dyDescent="0.45">
      <c r="AC801" t="s">
        <v>19</v>
      </c>
      <c r="AD801" t="s">
        <v>2105</v>
      </c>
      <c r="AE801">
        <v>1.1336829577489091E-4</v>
      </c>
    </row>
    <row r="802" spans="29:31" x14ac:dyDescent="0.45">
      <c r="AC802" t="s">
        <v>19</v>
      </c>
      <c r="AD802" t="s">
        <v>2106</v>
      </c>
      <c r="AE802">
        <v>1.1271542354279667E-4</v>
      </c>
    </row>
    <row r="803" spans="29:31" x14ac:dyDescent="0.45">
      <c r="AC803" t="s">
        <v>19</v>
      </c>
      <c r="AD803" t="s">
        <v>2107</v>
      </c>
      <c r="AE803">
        <v>1.1229342207103722E-4</v>
      </c>
    </row>
    <row r="804" spans="29:31" x14ac:dyDescent="0.45">
      <c r="AC804" t="s">
        <v>19</v>
      </c>
      <c r="AD804" t="s">
        <v>2108</v>
      </c>
      <c r="AE804">
        <v>1.1221072492163863E-4</v>
      </c>
    </row>
    <row r="805" spans="29:31" x14ac:dyDescent="0.45">
      <c r="AC805" t="s">
        <v>19</v>
      </c>
      <c r="AD805" t="s">
        <v>2109</v>
      </c>
      <c r="AE805">
        <v>1.1221072492163863E-4</v>
      </c>
    </row>
    <row r="806" spans="29:31" x14ac:dyDescent="0.45">
      <c r="AC806" t="s">
        <v>19</v>
      </c>
      <c r="AD806" t="s">
        <v>2110</v>
      </c>
      <c r="AE806">
        <v>1.1228717720620851E-4</v>
      </c>
    </row>
    <row r="807" spans="29:31" x14ac:dyDescent="0.45">
      <c r="AC807" t="s">
        <v>19</v>
      </c>
      <c r="AD807" t="s">
        <v>2111</v>
      </c>
      <c r="AE807">
        <v>1.1277597980780254E-4</v>
      </c>
    </row>
    <row r="808" spans="29:31" x14ac:dyDescent="0.45">
      <c r="AC808" t="s">
        <v>19</v>
      </c>
      <c r="AD808" t="s">
        <v>2112</v>
      </c>
      <c r="AE808">
        <v>1.1393014437114824E-4</v>
      </c>
    </row>
    <row r="809" spans="29:31" x14ac:dyDescent="0.45">
      <c r="AC809" t="s">
        <v>19</v>
      </c>
      <c r="AD809" t="s">
        <v>2113</v>
      </c>
      <c r="AE809">
        <v>1.148070747837641E-4</v>
      </c>
    </row>
    <row r="810" spans="29:31" x14ac:dyDescent="0.45">
      <c r="AC810" t="s">
        <v>19</v>
      </c>
      <c r="AD810" t="s">
        <v>2114</v>
      </c>
      <c r="AE810">
        <v>1.1544878195449789E-4</v>
      </c>
    </row>
    <row r="811" spans="29:31" x14ac:dyDescent="0.45">
      <c r="AC811" t="s">
        <v>19</v>
      </c>
      <c r="AD811" t="s">
        <v>2115</v>
      </c>
      <c r="AE811">
        <v>1.1579584504831264E-4</v>
      </c>
    </row>
    <row r="812" spans="29:31" x14ac:dyDescent="0.45">
      <c r="AC812" t="s">
        <v>19</v>
      </c>
      <c r="AD812" t="s">
        <v>2116</v>
      </c>
      <c r="AE812">
        <v>1.1578411227196775E-4</v>
      </c>
    </row>
    <row r="813" spans="29:31" x14ac:dyDescent="0.45">
      <c r="AC813" t="s">
        <v>19</v>
      </c>
      <c r="AD813" t="s">
        <v>2117</v>
      </c>
      <c r="AE813">
        <v>1.1579243875840606E-4</v>
      </c>
    </row>
    <row r="814" spans="29:31" x14ac:dyDescent="0.45">
      <c r="AC814" t="s">
        <v>19</v>
      </c>
      <c r="AD814" t="s">
        <v>2118</v>
      </c>
      <c r="AE814">
        <v>1.1578411227196775E-4</v>
      </c>
    </row>
    <row r="815" spans="29:31" x14ac:dyDescent="0.45">
      <c r="AC815" t="s">
        <v>19</v>
      </c>
      <c r="AD815" t="s">
        <v>2119</v>
      </c>
      <c r="AE815">
        <v>1.1583198956898801E-4</v>
      </c>
    </row>
    <row r="816" spans="29:31" x14ac:dyDescent="0.45">
      <c r="AC816" t="s">
        <v>19</v>
      </c>
      <c r="AD816" t="s">
        <v>2120</v>
      </c>
      <c r="AE816">
        <v>1.158136334511581E-4</v>
      </c>
    </row>
    <row r="817" spans="29:31" x14ac:dyDescent="0.45">
      <c r="AC817" t="s">
        <v>19</v>
      </c>
      <c r="AD817" t="s">
        <v>2121</v>
      </c>
      <c r="AE817">
        <v>1.1570576760411645E-4</v>
      </c>
    </row>
    <row r="818" spans="29:31" x14ac:dyDescent="0.45">
      <c r="AC818" t="s">
        <v>19</v>
      </c>
      <c r="AD818" t="s">
        <v>2122</v>
      </c>
      <c r="AE818">
        <v>1.1570576760411645E-4</v>
      </c>
    </row>
    <row r="819" spans="29:31" x14ac:dyDescent="0.45">
      <c r="AC819" t="s">
        <v>19</v>
      </c>
      <c r="AD819" t="s">
        <v>2123</v>
      </c>
      <c r="AE819">
        <v>1.1567113699006623E-4</v>
      </c>
    </row>
    <row r="820" spans="29:31" x14ac:dyDescent="0.45">
      <c r="AC820" t="s">
        <v>19</v>
      </c>
      <c r="AD820" t="s">
        <v>2124</v>
      </c>
      <c r="AE820">
        <v>1.1561531168326397E-4</v>
      </c>
    </row>
    <row r="821" spans="29:31" x14ac:dyDescent="0.45">
      <c r="AC821" t="s">
        <v>19</v>
      </c>
      <c r="AD821" t="s">
        <v>2125</v>
      </c>
      <c r="AE821">
        <v>1.1553677777708452E-4</v>
      </c>
    </row>
    <row r="822" spans="29:31" x14ac:dyDescent="0.45">
      <c r="AC822" t="s">
        <v>19</v>
      </c>
      <c r="AD822" t="s">
        <v>2126</v>
      </c>
      <c r="AE822">
        <v>1.1539447055432078E-4</v>
      </c>
    </row>
    <row r="823" spans="29:31" x14ac:dyDescent="0.45">
      <c r="AC823" t="s">
        <v>19</v>
      </c>
      <c r="AD823" t="s">
        <v>2127</v>
      </c>
      <c r="AE823">
        <v>1.14954869918044E-4</v>
      </c>
    </row>
    <row r="824" spans="29:31" x14ac:dyDescent="0.45">
      <c r="AC824" t="s">
        <v>19</v>
      </c>
      <c r="AD824" t="s">
        <v>2128</v>
      </c>
      <c r="AE824">
        <v>1.1447079827465354E-4</v>
      </c>
    </row>
    <row r="825" spans="29:31" x14ac:dyDescent="0.45">
      <c r="AC825" t="s">
        <v>19</v>
      </c>
      <c r="AD825" t="s">
        <v>2129</v>
      </c>
      <c r="AE825">
        <v>1.1348108181846431E-4</v>
      </c>
    </row>
    <row r="826" spans="29:31" x14ac:dyDescent="0.45">
      <c r="AC826" t="s">
        <v>19</v>
      </c>
      <c r="AD826" t="s">
        <v>2130</v>
      </c>
      <c r="AE826">
        <v>1.1278941572910069E-4</v>
      </c>
    </row>
    <row r="827" spans="29:31" x14ac:dyDescent="0.45">
      <c r="AC827" t="s">
        <v>19</v>
      </c>
      <c r="AD827" t="s">
        <v>2131</v>
      </c>
      <c r="AE827">
        <v>1.1231915848366469E-4</v>
      </c>
    </row>
    <row r="828" spans="29:31" x14ac:dyDescent="0.45">
      <c r="AC828" t="s">
        <v>19</v>
      </c>
      <c r="AD828" t="s">
        <v>2132</v>
      </c>
      <c r="AE828">
        <v>1.1223646133426609E-4</v>
      </c>
    </row>
    <row r="829" spans="29:31" x14ac:dyDescent="0.45">
      <c r="AC829" t="s">
        <v>19</v>
      </c>
      <c r="AD829" t="s">
        <v>2133</v>
      </c>
      <c r="AE829">
        <v>1.122107249216386E-4</v>
      </c>
    </row>
    <row r="830" spans="29:31" x14ac:dyDescent="0.45">
      <c r="AC830" t="s">
        <v>19</v>
      </c>
      <c r="AD830" t="s">
        <v>2134</v>
      </c>
      <c r="AE830">
        <v>1.1228717720620848E-4</v>
      </c>
    </row>
    <row r="831" spans="29:31" x14ac:dyDescent="0.45">
      <c r="AC831" t="s">
        <v>19</v>
      </c>
      <c r="AD831" t="s">
        <v>2135</v>
      </c>
      <c r="AE831">
        <v>1.1278979420575697E-4</v>
      </c>
    </row>
    <row r="832" spans="29:31" x14ac:dyDescent="0.45">
      <c r="AC832" t="s">
        <v>19</v>
      </c>
      <c r="AD832" t="s">
        <v>2136</v>
      </c>
      <c r="AE832">
        <v>1.1394376953077456E-4</v>
      </c>
    </row>
    <row r="833" spans="29:31" x14ac:dyDescent="0.45">
      <c r="AC833" t="s">
        <v>19</v>
      </c>
      <c r="AD833" t="s">
        <v>2137</v>
      </c>
      <c r="AE833">
        <v>1.1479061104921564E-4</v>
      </c>
    </row>
    <row r="834" spans="29:31" x14ac:dyDescent="0.45">
      <c r="AC834" t="s">
        <v>19</v>
      </c>
      <c r="AD834" t="s">
        <v>2138</v>
      </c>
      <c r="AE834">
        <v>1.1538992883444533E-4</v>
      </c>
    </row>
    <row r="835" spans="29:31" x14ac:dyDescent="0.45">
      <c r="AC835" t="s">
        <v>19</v>
      </c>
      <c r="AD835" t="s">
        <v>2139</v>
      </c>
      <c r="AE835">
        <v>1.1575364490113668E-4</v>
      </c>
    </row>
    <row r="836" spans="29:31" x14ac:dyDescent="0.45">
      <c r="AC836" t="s">
        <v>19</v>
      </c>
      <c r="AD836" t="s">
        <v>2140</v>
      </c>
      <c r="AE836">
        <v>1.1578411227196775E-4</v>
      </c>
    </row>
    <row r="837" spans="29:31" x14ac:dyDescent="0.45">
      <c r="AC837" t="s">
        <v>19</v>
      </c>
      <c r="AD837" t="s">
        <v>2141</v>
      </c>
      <c r="AE837">
        <v>1.1579622352496891E-4</v>
      </c>
    </row>
    <row r="838" spans="29:31" x14ac:dyDescent="0.45">
      <c r="AC838" t="s">
        <v>19</v>
      </c>
      <c r="AD838" t="s">
        <v>2142</v>
      </c>
      <c r="AE838">
        <v>1.1578411227196775E-4</v>
      </c>
    </row>
    <row r="839" spans="29:31" x14ac:dyDescent="0.45">
      <c r="AC839" t="s">
        <v>19</v>
      </c>
      <c r="AD839" t="s">
        <v>2143</v>
      </c>
      <c r="AE839">
        <v>1.1578411227196775E-4</v>
      </c>
    </row>
    <row r="840" spans="29:31" x14ac:dyDescent="0.45">
      <c r="AC840" t="s">
        <v>19</v>
      </c>
      <c r="AD840" t="s">
        <v>2144</v>
      </c>
      <c r="AE840">
        <v>1.1573509954497864E-4</v>
      </c>
    </row>
    <row r="841" spans="29:31" x14ac:dyDescent="0.45">
      <c r="AC841" t="s">
        <v>19</v>
      </c>
      <c r="AD841" t="s">
        <v>2145</v>
      </c>
      <c r="AE841">
        <v>1.1565997192870577E-4</v>
      </c>
    </row>
    <row r="842" spans="29:31" x14ac:dyDescent="0.45">
      <c r="AC842" t="s">
        <v>19</v>
      </c>
      <c r="AD842" t="s">
        <v>2146</v>
      </c>
      <c r="AE842">
        <v>1.1565997192870577E-4</v>
      </c>
    </row>
    <row r="843" spans="29:31" x14ac:dyDescent="0.45">
      <c r="AC843" t="s">
        <v>19</v>
      </c>
      <c r="AD843" t="s">
        <v>2147</v>
      </c>
      <c r="AE843">
        <v>1.1561531168326397E-4</v>
      </c>
    </row>
    <row r="844" spans="29:31" x14ac:dyDescent="0.45">
      <c r="AC844" t="s">
        <v>19</v>
      </c>
      <c r="AD844" t="s">
        <v>2148</v>
      </c>
      <c r="AE844">
        <v>1.1559544165880891E-4</v>
      </c>
    </row>
    <row r="845" spans="29:31" x14ac:dyDescent="0.45">
      <c r="AC845" t="s">
        <v>19</v>
      </c>
      <c r="AD845" t="s">
        <v>2149</v>
      </c>
      <c r="AE845">
        <v>1.1552845129064619E-4</v>
      </c>
    </row>
    <row r="846" spans="29:31" x14ac:dyDescent="0.45">
      <c r="AC846" t="s">
        <v>19</v>
      </c>
      <c r="AD846" t="s">
        <v>2150</v>
      </c>
      <c r="AE846">
        <v>1.1539447055432078E-4</v>
      </c>
    </row>
    <row r="847" spans="29:31" x14ac:dyDescent="0.45">
      <c r="AC847" t="s">
        <v>19</v>
      </c>
      <c r="AD847" t="s">
        <v>2151</v>
      </c>
      <c r="AE847">
        <v>1.1492705188380694E-4</v>
      </c>
    </row>
    <row r="848" spans="29:31" x14ac:dyDescent="0.45">
      <c r="AC848" t="s">
        <v>19</v>
      </c>
      <c r="AD848" t="s">
        <v>2152</v>
      </c>
      <c r="AE848">
        <v>1.1444279100208832E-4</v>
      </c>
    </row>
    <row r="849" spans="29:31" x14ac:dyDescent="0.45">
      <c r="AC849" t="s">
        <v>19</v>
      </c>
      <c r="AD849" t="s">
        <v>2153</v>
      </c>
      <c r="AE849">
        <v>1.1336829577489091E-4</v>
      </c>
    </row>
    <row r="850" spans="29:31" x14ac:dyDescent="0.45">
      <c r="AC850" t="s">
        <v>19</v>
      </c>
      <c r="AD850" t="s">
        <v>2154</v>
      </c>
      <c r="AE850">
        <v>1.1271542354279667E-4</v>
      </c>
    </row>
    <row r="851" spans="29:31" x14ac:dyDescent="0.45">
      <c r="AC851" t="s">
        <v>19</v>
      </c>
      <c r="AD851" t="s">
        <v>2155</v>
      </c>
      <c r="AE851">
        <v>1.1229342207103721E-4</v>
      </c>
    </row>
    <row r="852" spans="29:31" x14ac:dyDescent="0.45">
      <c r="AC852" t="s">
        <v>19</v>
      </c>
      <c r="AD852" t="s">
        <v>2156</v>
      </c>
      <c r="AE852">
        <v>1.122107249216386E-4</v>
      </c>
    </row>
    <row r="853" spans="29:31" x14ac:dyDescent="0.45">
      <c r="AC853" t="s">
        <v>19</v>
      </c>
      <c r="AD853" t="s">
        <v>2157</v>
      </c>
      <c r="AE853">
        <v>1.122107249216386E-4</v>
      </c>
    </row>
    <row r="854" spans="29:31" x14ac:dyDescent="0.45">
      <c r="AC854" t="s">
        <v>19</v>
      </c>
      <c r="AD854" t="s">
        <v>2158</v>
      </c>
      <c r="AE854">
        <v>1.1228717720620848E-4</v>
      </c>
    </row>
    <row r="855" spans="29:31" x14ac:dyDescent="0.45">
      <c r="AC855" t="s">
        <v>19</v>
      </c>
      <c r="AD855" t="s">
        <v>2159</v>
      </c>
      <c r="AE855">
        <v>1.1278979420575697E-4</v>
      </c>
    </row>
    <row r="856" spans="29:31" x14ac:dyDescent="0.45">
      <c r="AC856" t="s">
        <v>19</v>
      </c>
      <c r="AD856" t="s">
        <v>2160</v>
      </c>
      <c r="AE856">
        <v>1.1394376953077456E-4</v>
      </c>
    </row>
    <row r="857" spans="29:31" x14ac:dyDescent="0.45">
      <c r="AC857" t="s">
        <v>19</v>
      </c>
      <c r="AD857" t="s">
        <v>2161</v>
      </c>
      <c r="AE857">
        <v>1.1482069994339041E-4</v>
      </c>
    </row>
    <row r="858" spans="29:31" x14ac:dyDescent="0.45">
      <c r="AC858" t="s">
        <v>19</v>
      </c>
      <c r="AD858" t="s">
        <v>2162</v>
      </c>
      <c r="AE858">
        <v>1.1541093428886925E-4</v>
      </c>
    </row>
    <row r="859" spans="29:31" x14ac:dyDescent="0.45">
      <c r="AC859" t="s">
        <v>19</v>
      </c>
      <c r="AD859" t="s">
        <v>2163</v>
      </c>
      <c r="AE859">
        <v>1.157822198886863E-4</v>
      </c>
    </row>
    <row r="860" spans="29:31" x14ac:dyDescent="0.45">
      <c r="AC860" t="s">
        <v>19</v>
      </c>
      <c r="AD860" t="s">
        <v>2164</v>
      </c>
      <c r="AE860">
        <v>1.1580000829153179E-4</v>
      </c>
    </row>
    <row r="861" spans="29:31" x14ac:dyDescent="0.45">
      <c r="AC861" t="s">
        <v>19</v>
      </c>
      <c r="AD861" t="s">
        <v>2165</v>
      </c>
      <c r="AE861">
        <v>1.1578411227196775E-4</v>
      </c>
    </row>
    <row r="862" spans="29:31" x14ac:dyDescent="0.45">
      <c r="AC862" t="s">
        <v>19</v>
      </c>
      <c r="AD862" t="s">
        <v>2166</v>
      </c>
      <c r="AE862">
        <v>1.1577748893048273E-4</v>
      </c>
    </row>
    <row r="863" spans="29:31" x14ac:dyDescent="0.45">
      <c r="AC863" t="s">
        <v>19</v>
      </c>
      <c r="AD863" t="s">
        <v>2167</v>
      </c>
      <c r="AE863">
        <v>1.1578411227196775E-4</v>
      </c>
    </row>
    <row r="864" spans="29:31" x14ac:dyDescent="0.45">
      <c r="AC864" t="s">
        <v>19</v>
      </c>
      <c r="AD864" t="s">
        <v>2168</v>
      </c>
      <c r="AE864">
        <v>1.1573509954497864E-4</v>
      </c>
    </row>
    <row r="865" spans="29:31" x14ac:dyDescent="0.45">
      <c r="AC865" t="s">
        <v>19</v>
      </c>
      <c r="AD865" t="s">
        <v>2169</v>
      </c>
      <c r="AE865">
        <v>1.1564483286245432E-4</v>
      </c>
    </row>
    <row r="866" spans="29:31" x14ac:dyDescent="0.45">
      <c r="AC866" t="s">
        <v>19</v>
      </c>
      <c r="AD866" t="s">
        <v>2170</v>
      </c>
      <c r="AE866">
        <v>1.1564483286245432E-4</v>
      </c>
    </row>
    <row r="867" spans="29:31" x14ac:dyDescent="0.45">
      <c r="AC867" t="s">
        <v>19</v>
      </c>
      <c r="AD867" t="s">
        <v>2171</v>
      </c>
      <c r="AE867">
        <v>1.1561531168326394E-4</v>
      </c>
    </row>
    <row r="868" spans="29:31" x14ac:dyDescent="0.45">
      <c r="AC868" t="s">
        <v>19</v>
      </c>
      <c r="AD868" t="s">
        <v>2172</v>
      </c>
      <c r="AE868">
        <v>1.1559544165880891E-4</v>
      </c>
    </row>
    <row r="869" spans="29:31" x14ac:dyDescent="0.45">
      <c r="AC869" t="s">
        <v>19</v>
      </c>
      <c r="AD869" t="s">
        <v>2173</v>
      </c>
      <c r="AE869">
        <v>1.1552845129064619E-4</v>
      </c>
    </row>
    <row r="870" spans="29:31" x14ac:dyDescent="0.45">
      <c r="AC870" t="s">
        <v>19</v>
      </c>
      <c r="AD870" t="s">
        <v>2174</v>
      </c>
      <c r="AE870">
        <v>1.1539447055432078E-4</v>
      </c>
    </row>
    <row r="871" spans="29:31" x14ac:dyDescent="0.45">
      <c r="AC871" t="s">
        <v>19</v>
      </c>
      <c r="AD871" t="s">
        <v>2175</v>
      </c>
      <c r="AE871">
        <v>1.1495486991804397E-4</v>
      </c>
    </row>
    <row r="872" spans="29:31" x14ac:dyDescent="0.45">
      <c r="AC872" t="s">
        <v>19</v>
      </c>
      <c r="AD872" t="s">
        <v>2176</v>
      </c>
      <c r="AE872">
        <v>1.1444279100208832E-4</v>
      </c>
    </row>
    <row r="873" spans="29:31" x14ac:dyDescent="0.45">
      <c r="AC873" t="s">
        <v>19</v>
      </c>
      <c r="AD873" t="s">
        <v>2177</v>
      </c>
      <c r="AE873">
        <v>1.1291582693230037E-4</v>
      </c>
    </row>
    <row r="874" spans="29:31" x14ac:dyDescent="0.45">
      <c r="AC874" t="s">
        <v>19</v>
      </c>
      <c r="AD874" t="s">
        <v>2178</v>
      </c>
      <c r="AE874">
        <v>1.1225557440540855E-4</v>
      </c>
    </row>
    <row r="875" spans="29:31" x14ac:dyDescent="0.45">
      <c r="AC875" t="s">
        <v>19</v>
      </c>
      <c r="AD875" t="s">
        <v>2179</v>
      </c>
      <c r="AE875">
        <v>1.1178739878158216E-4</v>
      </c>
    </row>
    <row r="876" spans="29:31" x14ac:dyDescent="0.45">
      <c r="AC876" t="s">
        <v>19</v>
      </c>
      <c r="AD876" t="s">
        <v>2180</v>
      </c>
      <c r="AE876">
        <v>1.1157393794743657E-4</v>
      </c>
    </row>
    <row r="877" spans="29:31" x14ac:dyDescent="0.45">
      <c r="AC877" t="s">
        <v>19</v>
      </c>
      <c r="AD877" t="s">
        <v>2181</v>
      </c>
      <c r="AE877">
        <v>1.1157393794743657E-4</v>
      </c>
    </row>
    <row r="878" spans="29:31" x14ac:dyDescent="0.45">
      <c r="AC878" t="s">
        <v>19</v>
      </c>
      <c r="AD878" t="s">
        <v>2182</v>
      </c>
      <c r="AE878">
        <v>1.1158850929870358E-4</v>
      </c>
    </row>
    <row r="879" spans="29:31" x14ac:dyDescent="0.45">
      <c r="AC879" t="s">
        <v>19</v>
      </c>
      <c r="AD879" t="s">
        <v>2183</v>
      </c>
      <c r="AE879">
        <v>1.1160308064997061E-4</v>
      </c>
    </row>
    <row r="880" spans="29:31" x14ac:dyDescent="0.45">
      <c r="AC880" t="s">
        <v>19</v>
      </c>
      <c r="AD880" t="s">
        <v>2184</v>
      </c>
      <c r="AE880">
        <v>1.1177699067353428E-4</v>
      </c>
    </row>
    <row r="881" spans="29:31" x14ac:dyDescent="0.45">
      <c r="AC881" t="s">
        <v>19</v>
      </c>
      <c r="AD881" t="s">
        <v>2185</v>
      </c>
      <c r="AE881">
        <v>1.1218461003235485E-4</v>
      </c>
    </row>
    <row r="882" spans="29:31" x14ac:dyDescent="0.45">
      <c r="AC882" t="s">
        <v>19</v>
      </c>
      <c r="AD882" t="s">
        <v>2186</v>
      </c>
      <c r="AE882">
        <v>1.1281231356680603E-4</v>
      </c>
    </row>
    <row r="883" spans="29:31" x14ac:dyDescent="0.45">
      <c r="AC883" t="s">
        <v>19</v>
      </c>
      <c r="AD883" t="s">
        <v>2187</v>
      </c>
      <c r="AE883">
        <v>1.1349186840316847E-4</v>
      </c>
    </row>
    <row r="884" spans="29:31" x14ac:dyDescent="0.45">
      <c r="AC884" t="s">
        <v>19</v>
      </c>
      <c r="AD884" t="s">
        <v>2188</v>
      </c>
      <c r="AE884">
        <v>1.1369113636270332E-4</v>
      </c>
    </row>
    <row r="885" spans="29:31" x14ac:dyDescent="0.45">
      <c r="AC885" t="s">
        <v>19</v>
      </c>
      <c r="AD885" t="s">
        <v>2189</v>
      </c>
      <c r="AE885">
        <v>1.1369113636270332E-4</v>
      </c>
    </row>
    <row r="886" spans="29:31" x14ac:dyDescent="0.45">
      <c r="AC886" t="s">
        <v>19</v>
      </c>
      <c r="AD886" t="s">
        <v>2190</v>
      </c>
      <c r="AE886">
        <v>1.1368508073620274E-4</v>
      </c>
    </row>
    <row r="887" spans="29:31" x14ac:dyDescent="0.45">
      <c r="AC887" t="s">
        <v>19</v>
      </c>
      <c r="AD887" t="s">
        <v>2191</v>
      </c>
      <c r="AE887">
        <v>1.1365272098209025E-4</v>
      </c>
    </row>
    <row r="888" spans="29:31" x14ac:dyDescent="0.45">
      <c r="AC888" t="s">
        <v>19</v>
      </c>
      <c r="AD888" t="s">
        <v>2192</v>
      </c>
      <c r="AE888">
        <v>1.1360295130178856E-4</v>
      </c>
    </row>
    <row r="889" spans="29:31" x14ac:dyDescent="0.45">
      <c r="AC889" t="s">
        <v>19</v>
      </c>
      <c r="AD889" t="s">
        <v>2193</v>
      </c>
      <c r="AE889">
        <v>1.1356434668284733E-4</v>
      </c>
    </row>
    <row r="890" spans="29:31" x14ac:dyDescent="0.45">
      <c r="AC890" t="s">
        <v>19</v>
      </c>
      <c r="AD890" t="s">
        <v>2194</v>
      </c>
      <c r="AE890">
        <v>1.1356434668284733E-4</v>
      </c>
    </row>
    <row r="891" spans="29:31" x14ac:dyDescent="0.45">
      <c r="AC891" t="s">
        <v>19</v>
      </c>
      <c r="AD891" t="s">
        <v>2195</v>
      </c>
      <c r="AE891">
        <v>1.1352706673220311E-4</v>
      </c>
    </row>
    <row r="892" spans="29:31" x14ac:dyDescent="0.45">
      <c r="AC892" t="s">
        <v>19</v>
      </c>
      <c r="AD892" t="s">
        <v>2196</v>
      </c>
      <c r="AE892">
        <v>1.1352706673220311E-4</v>
      </c>
    </row>
    <row r="893" spans="29:31" x14ac:dyDescent="0.45">
      <c r="AC893" t="s">
        <v>19</v>
      </c>
      <c r="AD893" t="s">
        <v>2197</v>
      </c>
      <c r="AE893">
        <v>1.1351949719907738E-4</v>
      </c>
    </row>
    <row r="894" spans="29:31" x14ac:dyDescent="0.45">
      <c r="AC894" t="s">
        <v>19</v>
      </c>
      <c r="AD894" t="s">
        <v>2198</v>
      </c>
      <c r="AE894">
        <v>1.1351949719907738E-4</v>
      </c>
    </row>
    <row r="895" spans="29:31" x14ac:dyDescent="0.45">
      <c r="AC895" t="s">
        <v>19</v>
      </c>
      <c r="AD895" t="s">
        <v>2199</v>
      </c>
      <c r="AE895">
        <v>1.1349565316973134E-4</v>
      </c>
    </row>
    <row r="896" spans="29:31" x14ac:dyDescent="0.45">
      <c r="AC896" t="s">
        <v>19</v>
      </c>
      <c r="AD896" t="s">
        <v>2200</v>
      </c>
      <c r="AE896">
        <v>1.1320838938760989E-4</v>
      </c>
    </row>
    <row r="897" spans="29:31" x14ac:dyDescent="0.45">
      <c r="AC897" t="s">
        <v>19</v>
      </c>
      <c r="AD897" t="s">
        <v>2201</v>
      </c>
      <c r="AE897">
        <v>1.1299000835693255E-4</v>
      </c>
    </row>
    <row r="898" spans="29:31" x14ac:dyDescent="0.45">
      <c r="AC898" t="s">
        <v>19</v>
      </c>
      <c r="AD898" t="s">
        <v>2202</v>
      </c>
      <c r="AE898">
        <v>1.1228131081803604E-4</v>
      </c>
    </row>
    <row r="899" spans="29:31" x14ac:dyDescent="0.45">
      <c r="AC899" t="s">
        <v>19</v>
      </c>
      <c r="AD899" t="s">
        <v>2203</v>
      </c>
      <c r="AE899">
        <v>1.1178739878158213E-4</v>
      </c>
    </row>
    <row r="900" spans="29:31" x14ac:dyDescent="0.45">
      <c r="AC900" t="s">
        <v>19</v>
      </c>
      <c r="AD900" t="s">
        <v>2204</v>
      </c>
      <c r="AE900">
        <v>1.1157393794743654E-4</v>
      </c>
    </row>
    <row r="901" spans="29:31" x14ac:dyDescent="0.45">
      <c r="AC901" t="s">
        <v>19</v>
      </c>
      <c r="AD901" t="s">
        <v>2205</v>
      </c>
      <c r="AE901">
        <v>1.1157393794743654E-4</v>
      </c>
    </row>
    <row r="902" spans="29:31" x14ac:dyDescent="0.45">
      <c r="AC902" t="s">
        <v>19</v>
      </c>
      <c r="AD902" t="s">
        <v>2206</v>
      </c>
      <c r="AE902">
        <v>1.1158850929870358E-4</v>
      </c>
    </row>
    <row r="903" spans="29:31" x14ac:dyDescent="0.45">
      <c r="AC903" t="s">
        <v>19</v>
      </c>
      <c r="AD903" t="s">
        <v>2207</v>
      </c>
      <c r="AE903">
        <v>1.1160308064997061E-4</v>
      </c>
    </row>
    <row r="904" spans="29:31" x14ac:dyDescent="0.45">
      <c r="AC904" t="s">
        <v>19</v>
      </c>
      <c r="AD904" t="s">
        <v>2208</v>
      </c>
      <c r="AE904">
        <v>1.1177699067353425E-4</v>
      </c>
    </row>
    <row r="905" spans="29:31" x14ac:dyDescent="0.45">
      <c r="AC905" t="s">
        <v>19</v>
      </c>
      <c r="AD905" t="s">
        <v>2209</v>
      </c>
      <c r="AE905">
        <v>1.1218461003235484E-4</v>
      </c>
    </row>
    <row r="906" spans="29:31" x14ac:dyDescent="0.45">
      <c r="AC906" t="s">
        <v>19</v>
      </c>
      <c r="AD906" t="s">
        <v>2210</v>
      </c>
      <c r="AE906">
        <v>1.1282385710482277E-4</v>
      </c>
    </row>
    <row r="907" spans="29:31" x14ac:dyDescent="0.45">
      <c r="AC907" t="s">
        <v>19</v>
      </c>
      <c r="AD907" t="s">
        <v>2211</v>
      </c>
      <c r="AE907">
        <v>1.1352328196564024E-4</v>
      </c>
    </row>
    <row r="908" spans="29:31" x14ac:dyDescent="0.45">
      <c r="AC908" t="s">
        <v>19</v>
      </c>
      <c r="AD908" t="s">
        <v>2212</v>
      </c>
      <c r="AE908">
        <v>1.1370362609236078E-4</v>
      </c>
    </row>
    <row r="909" spans="29:31" x14ac:dyDescent="0.45">
      <c r="AC909" t="s">
        <v>19</v>
      </c>
      <c r="AD909" t="s">
        <v>2213</v>
      </c>
      <c r="AE909">
        <v>1.1367599729645185E-4</v>
      </c>
    </row>
    <row r="910" spans="29:31" x14ac:dyDescent="0.45">
      <c r="AC910" t="s">
        <v>19</v>
      </c>
      <c r="AD910" t="s">
        <v>2214</v>
      </c>
      <c r="AE910">
        <v>1.1367240176821713E-4</v>
      </c>
    </row>
    <row r="911" spans="29:31" x14ac:dyDescent="0.45">
      <c r="AC911" t="s">
        <v>19</v>
      </c>
      <c r="AD911" t="s">
        <v>2215</v>
      </c>
      <c r="AE911">
        <v>1.1364004201410464E-4</v>
      </c>
    </row>
    <row r="912" spans="29:31" x14ac:dyDescent="0.45">
      <c r="AC912" t="s">
        <v>19</v>
      </c>
      <c r="AD912" t="s">
        <v>2216</v>
      </c>
      <c r="AE912">
        <v>1.1357494402922334E-4</v>
      </c>
    </row>
    <row r="913" spans="29:31" x14ac:dyDescent="0.45">
      <c r="AC913" t="s">
        <v>19</v>
      </c>
      <c r="AD913" t="s">
        <v>2217</v>
      </c>
      <c r="AE913">
        <v>1.1354882913993957E-4</v>
      </c>
    </row>
    <row r="914" spans="29:31" x14ac:dyDescent="0.45">
      <c r="AC914" t="s">
        <v>19</v>
      </c>
      <c r="AD914" t="s">
        <v>2218</v>
      </c>
      <c r="AE914">
        <v>1.1354882913993957E-4</v>
      </c>
    </row>
    <row r="915" spans="29:31" x14ac:dyDescent="0.45">
      <c r="AC915" t="s">
        <v>19</v>
      </c>
      <c r="AD915" t="s">
        <v>2219</v>
      </c>
      <c r="AE915">
        <v>1.135143877642175E-4</v>
      </c>
    </row>
    <row r="916" spans="29:31" x14ac:dyDescent="0.45">
      <c r="AC916" t="s">
        <v>19</v>
      </c>
      <c r="AD916" t="s">
        <v>2220</v>
      </c>
      <c r="AE916">
        <v>1.135143877642175E-4</v>
      </c>
    </row>
    <row r="917" spans="29:31" x14ac:dyDescent="0.45">
      <c r="AC917" t="s">
        <v>19</v>
      </c>
      <c r="AD917" t="s">
        <v>2221</v>
      </c>
      <c r="AE917">
        <v>1.1351949719907738E-4</v>
      </c>
    </row>
    <row r="918" spans="29:31" x14ac:dyDescent="0.45">
      <c r="AC918" t="s">
        <v>19</v>
      </c>
      <c r="AD918" t="s">
        <v>2222</v>
      </c>
      <c r="AE918">
        <v>1.1351949719907738E-4</v>
      </c>
    </row>
    <row r="919" spans="29:31" x14ac:dyDescent="0.45">
      <c r="AC919" t="s">
        <v>19</v>
      </c>
      <c r="AD919" t="s">
        <v>2223</v>
      </c>
      <c r="AE919">
        <v>1.1346783513549428E-4</v>
      </c>
    </row>
    <row r="920" spans="29:31" x14ac:dyDescent="0.45">
      <c r="AC920" t="s">
        <v>19</v>
      </c>
      <c r="AD920" t="s">
        <v>2224</v>
      </c>
      <c r="AE920">
        <v>1.1321084948587571E-4</v>
      </c>
    </row>
    <row r="921" spans="29:31" x14ac:dyDescent="0.45">
      <c r="AC921" t="s">
        <v>19</v>
      </c>
      <c r="AD921" t="s">
        <v>2225</v>
      </c>
      <c r="AE921">
        <v>1.1336829577489091E-4</v>
      </c>
    </row>
    <row r="922" spans="29:31" x14ac:dyDescent="0.45">
      <c r="AC922" t="s">
        <v>19</v>
      </c>
      <c r="AD922" t="s">
        <v>2226</v>
      </c>
      <c r="AE922">
        <v>1.1271542354279667E-4</v>
      </c>
    </row>
    <row r="923" spans="29:31" x14ac:dyDescent="0.45">
      <c r="AC923" t="s">
        <v>19</v>
      </c>
      <c r="AD923" t="s">
        <v>2227</v>
      </c>
      <c r="AE923">
        <v>1.1229342207103722E-4</v>
      </c>
    </row>
    <row r="924" spans="29:31" x14ac:dyDescent="0.45">
      <c r="AC924" t="s">
        <v>19</v>
      </c>
      <c r="AD924" t="s">
        <v>2228</v>
      </c>
      <c r="AE924">
        <v>1.1221072492163863E-4</v>
      </c>
    </row>
    <row r="925" spans="29:31" x14ac:dyDescent="0.45">
      <c r="AC925" t="s">
        <v>19</v>
      </c>
      <c r="AD925" t="s">
        <v>2229</v>
      </c>
      <c r="AE925">
        <v>1.1221072492163863E-4</v>
      </c>
    </row>
    <row r="926" spans="29:31" x14ac:dyDescent="0.45">
      <c r="AC926" t="s">
        <v>19</v>
      </c>
      <c r="AD926" t="s">
        <v>2230</v>
      </c>
      <c r="AE926">
        <v>1.1228717720620851E-4</v>
      </c>
    </row>
    <row r="927" spans="29:31" x14ac:dyDescent="0.45">
      <c r="AC927" t="s">
        <v>19</v>
      </c>
      <c r="AD927" t="s">
        <v>2231</v>
      </c>
      <c r="AE927">
        <v>1.1278979420575699E-4</v>
      </c>
    </row>
    <row r="928" spans="29:31" x14ac:dyDescent="0.45">
      <c r="AC928" t="s">
        <v>19</v>
      </c>
      <c r="AD928" t="s">
        <v>2232</v>
      </c>
      <c r="AE928">
        <v>1.1394376953077458E-4</v>
      </c>
    </row>
    <row r="929" spans="29:31" x14ac:dyDescent="0.45">
      <c r="AC929" t="s">
        <v>19</v>
      </c>
      <c r="AD929" t="s">
        <v>2233</v>
      </c>
      <c r="AE929">
        <v>1.1482069994339041E-4</v>
      </c>
    </row>
    <row r="930" spans="29:31" x14ac:dyDescent="0.45">
      <c r="AC930" t="s">
        <v>19</v>
      </c>
      <c r="AD930" t="s">
        <v>2234</v>
      </c>
      <c r="AE930">
        <v>1.1541093428886925E-4</v>
      </c>
    </row>
    <row r="931" spans="29:31" x14ac:dyDescent="0.45">
      <c r="AC931" t="s">
        <v>19</v>
      </c>
      <c r="AD931" t="s">
        <v>2235</v>
      </c>
      <c r="AE931">
        <v>1.1579887286156294E-4</v>
      </c>
    </row>
    <row r="932" spans="29:31" x14ac:dyDescent="0.45">
      <c r="AC932" t="s">
        <v>19</v>
      </c>
      <c r="AD932" t="s">
        <v>2236</v>
      </c>
      <c r="AE932">
        <v>1.1580379305809463E-4</v>
      </c>
    </row>
    <row r="933" spans="29:31" x14ac:dyDescent="0.45">
      <c r="AC933" t="s">
        <v>19</v>
      </c>
      <c r="AD933" t="s">
        <v>2237</v>
      </c>
      <c r="AE933">
        <v>1.1579792666992221E-4</v>
      </c>
    </row>
    <row r="934" spans="29:31" x14ac:dyDescent="0.45">
      <c r="AC934" t="s">
        <v>19</v>
      </c>
      <c r="AD934" t="s">
        <v>2238</v>
      </c>
      <c r="AE934">
        <v>1.1576518843915341E-4</v>
      </c>
    </row>
    <row r="935" spans="29:31" x14ac:dyDescent="0.45">
      <c r="AC935" t="s">
        <v>19</v>
      </c>
      <c r="AD935" t="s">
        <v>2239</v>
      </c>
      <c r="AE935">
        <v>1.1576518843915341E-4</v>
      </c>
    </row>
    <row r="936" spans="29:31" x14ac:dyDescent="0.45">
      <c r="AC936" t="s">
        <v>19</v>
      </c>
      <c r="AD936" t="s">
        <v>2240</v>
      </c>
      <c r="AE936">
        <v>1.1567378632666023E-4</v>
      </c>
    </row>
    <row r="937" spans="29:31" x14ac:dyDescent="0.45">
      <c r="AC937" t="s">
        <v>19</v>
      </c>
      <c r="AD937" t="s">
        <v>2241</v>
      </c>
      <c r="AE937">
        <v>1.1559865871038736E-4</v>
      </c>
    </row>
    <row r="938" spans="29:31" x14ac:dyDescent="0.45">
      <c r="AC938" t="s">
        <v>19</v>
      </c>
      <c r="AD938" t="s">
        <v>2242</v>
      </c>
      <c r="AE938">
        <v>1.1559865871038736E-4</v>
      </c>
    </row>
    <row r="939" spans="29:31" x14ac:dyDescent="0.45">
      <c r="AC939" t="s">
        <v>19</v>
      </c>
      <c r="AD939" t="s">
        <v>2243</v>
      </c>
      <c r="AE939">
        <v>1.1557670706432275E-4</v>
      </c>
    </row>
    <row r="940" spans="29:31" x14ac:dyDescent="0.45">
      <c r="AC940" t="s">
        <v>19</v>
      </c>
      <c r="AD940" t="s">
        <v>2244</v>
      </c>
      <c r="AE940">
        <v>1.1557670706432275E-4</v>
      </c>
    </row>
    <row r="941" spans="29:31" x14ac:dyDescent="0.45">
      <c r="AC941" t="s">
        <v>19</v>
      </c>
      <c r="AD941" t="s">
        <v>2245</v>
      </c>
      <c r="AE941">
        <v>1.1554226568860068E-4</v>
      </c>
    </row>
    <row r="942" spans="29:31" x14ac:dyDescent="0.45">
      <c r="AC942" t="s">
        <v>19</v>
      </c>
      <c r="AD942" t="s">
        <v>2246</v>
      </c>
      <c r="AE942">
        <v>1.1538027767971005E-4</v>
      </c>
    </row>
    <row r="943" spans="29:31" x14ac:dyDescent="0.45">
      <c r="AC943" t="s">
        <v>19</v>
      </c>
      <c r="AD943" t="s">
        <v>2247</v>
      </c>
      <c r="AE943">
        <v>1.1491077738758662E-4</v>
      </c>
    </row>
    <row r="944" spans="29:31" x14ac:dyDescent="0.45">
      <c r="AC944" t="s">
        <v>19</v>
      </c>
      <c r="AD944" t="s">
        <v>2248</v>
      </c>
      <c r="AE944">
        <v>1.1441989316438301E-4</v>
      </c>
    </row>
    <row r="945" spans="29:31" x14ac:dyDescent="0.45">
      <c r="AC945" t="s">
        <v>19</v>
      </c>
      <c r="AD945" t="s">
        <v>2249</v>
      </c>
      <c r="AE945">
        <v>1.1339478914083097E-4</v>
      </c>
    </row>
    <row r="946" spans="29:31" x14ac:dyDescent="0.45">
      <c r="AC946" t="s">
        <v>19</v>
      </c>
      <c r="AD946" t="s">
        <v>2250</v>
      </c>
      <c r="AE946">
        <v>1.1274248462372117E-4</v>
      </c>
    </row>
    <row r="947" spans="29:31" x14ac:dyDescent="0.45">
      <c r="AC947" t="s">
        <v>19</v>
      </c>
      <c r="AD947" t="s">
        <v>398</v>
      </c>
      <c r="AE947">
        <v>2.4426264456493714E-2</v>
      </c>
    </row>
    <row r="948" spans="29:31" x14ac:dyDescent="0.45">
      <c r="AC948" t="s">
        <v>19</v>
      </c>
      <c r="AD948" t="s">
        <v>399</v>
      </c>
      <c r="AE948">
        <v>3.5548504641611067E-3</v>
      </c>
    </row>
    <row r="949" spans="29:31" x14ac:dyDescent="0.45">
      <c r="AC949" t="s">
        <v>19</v>
      </c>
      <c r="AD949" t="s">
        <v>400</v>
      </c>
      <c r="AE949">
        <v>7.1422141547188333E-3</v>
      </c>
    </row>
    <row r="950" spans="29:31" x14ac:dyDescent="0.45">
      <c r="AC950" t="s">
        <v>19</v>
      </c>
      <c r="AD950" t="s">
        <v>401</v>
      </c>
      <c r="AE950">
        <v>1.0712371350290137E-2</v>
      </c>
    </row>
    <row r="951" spans="29:31" x14ac:dyDescent="0.45">
      <c r="AC951" t="s">
        <v>19</v>
      </c>
      <c r="AD951" t="s">
        <v>402</v>
      </c>
      <c r="AE951">
        <v>3.5680979040844467E-3</v>
      </c>
    </row>
    <row r="952" spans="29:31" x14ac:dyDescent="0.45">
      <c r="AC952" t="s">
        <v>19</v>
      </c>
      <c r="AD952" t="s">
        <v>403</v>
      </c>
      <c r="AE952">
        <v>7.1323529454392891E-3</v>
      </c>
    </row>
    <row r="953" spans="29:31" x14ac:dyDescent="0.45">
      <c r="AC953" t="s">
        <v>19</v>
      </c>
      <c r="AD953" t="s">
        <v>404</v>
      </c>
      <c r="AE953">
        <v>7.1328409910875702E-3</v>
      </c>
    </row>
    <row r="954" spans="29:31" x14ac:dyDescent="0.45">
      <c r="AC954" t="s">
        <v>19</v>
      </c>
      <c r="AD954" t="s">
        <v>405</v>
      </c>
      <c r="AE954">
        <v>2.1217563065022409E-2</v>
      </c>
    </row>
    <row r="955" spans="29:31" x14ac:dyDescent="0.45">
      <c r="AC955" t="s">
        <v>19</v>
      </c>
      <c r="AD955" t="s">
        <v>406</v>
      </c>
      <c r="AE955">
        <v>2.3601944688261496E-2</v>
      </c>
    </row>
    <row r="956" spans="29:31" x14ac:dyDescent="0.45">
      <c r="AC956" t="s">
        <v>19</v>
      </c>
      <c r="AD956" t="s">
        <v>407</v>
      </c>
      <c r="AE956">
        <v>3.4495549500944142E-3</v>
      </c>
    </row>
    <row r="957" spans="29:31" x14ac:dyDescent="0.45">
      <c r="AC957" t="s">
        <v>19</v>
      </c>
      <c r="AD957" t="s">
        <v>408</v>
      </c>
      <c r="AE957">
        <v>6.9240443207816407E-3</v>
      </c>
    </row>
    <row r="958" spans="29:31" x14ac:dyDescent="0.45">
      <c r="AC958" t="s">
        <v>19</v>
      </c>
      <c r="AD958" t="s">
        <v>409</v>
      </c>
      <c r="AE958">
        <v>1.0388103253298267E-2</v>
      </c>
    </row>
    <row r="959" spans="29:31" x14ac:dyDescent="0.45">
      <c r="AC959" t="s">
        <v>19</v>
      </c>
      <c r="AD959" t="s">
        <v>410</v>
      </c>
      <c r="AE959">
        <v>3.4605527247727878E-3</v>
      </c>
    </row>
    <row r="960" spans="29:31" x14ac:dyDescent="0.45">
      <c r="AC960" t="s">
        <v>19</v>
      </c>
      <c r="AD960" t="s">
        <v>411</v>
      </c>
      <c r="AE960">
        <v>6.9202010795753792E-3</v>
      </c>
    </row>
    <row r="961" spans="29:31" x14ac:dyDescent="0.45">
      <c r="AC961" t="s">
        <v>19</v>
      </c>
      <c r="AD961" t="s">
        <v>412</v>
      </c>
      <c r="AE961">
        <v>6.9308196206441536E-3</v>
      </c>
    </row>
    <row r="962" spans="29:31" x14ac:dyDescent="0.45">
      <c r="AC962" t="s">
        <v>19</v>
      </c>
      <c r="AD962" t="s">
        <v>413</v>
      </c>
      <c r="AE962">
        <v>2.054638336964636E-2</v>
      </c>
    </row>
    <row r="963" spans="29:31" x14ac:dyDescent="0.45">
      <c r="AC963" t="s">
        <v>19</v>
      </c>
      <c r="AD963" t="s">
        <v>414</v>
      </c>
      <c r="AE963">
        <v>2.4416657413212691E-2</v>
      </c>
    </row>
    <row r="964" spans="29:31" x14ac:dyDescent="0.45">
      <c r="AC964" t="s">
        <v>19</v>
      </c>
      <c r="AD964" t="s">
        <v>415</v>
      </c>
      <c r="AE964">
        <v>3.5659298573304079E-3</v>
      </c>
    </row>
    <row r="965" spans="29:31" x14ac:dyDescent="0.45">
      <c r="AC965" t="s">
        <v>19</v>
      </c>
      <c r="AD965" t="s">
        <v>416</v>
      </c>
      <c r="AE965">
        <v>7.1572589045875478E-3</v>
      </c>
    </row>
    <row r="966" spans="29:31" x14ac:dyDescent="0.45">
      <c r="AC966" t="s">
        <v>19</v>
      </c>
      <c r="AD966" t="s">
        <v>417</v>
      </c>
      <c r="AE966">
        <v>1.07309036300797E-2</v>
      </c>
    </row>
    <row r="967" spans="29:31" x14ac:dyDescent="0.45">
      <c r="AC967" t="s">
        <v>19</v>
      </c>
      <c r="AD967" t="s">
        <v>418</v>
      </c>
      <c r="AE967">
        <v>3.5727272980773136E-3</v>
      </c>
    </row>
    <row r="968" spans="29:31" x14ac:dyDescent="0.45">
      <c r="AC968" t="s">
        <v>19</v>
      </c>
      <c r="AD968" t="s">
        <v>419</v>
      </c>
      <c r="AE968">
        <v>7.1450759302600121E-3</v>
      </c>
    </row>
    <row r="969" spans="29:31" x14ac:dyDescent="0.45">
      <c r="AC969" t="s">
        <v>19</v>
      </c>
      <c r="AD969" t="s">
        <v>420</v>
      </c>
      <c r="AE969">
        <v>7.1618483125216771E-3</v>
      </c>
    </row>
    <row r="970" spans="29:31" x14ac:dyDescent="0.45">
      <c r="AC970" t="s">
        <v>19</v>
      </c>
      <c r="AD970" t="s">
        <v>421</v>
      </c>
      <c r="AE970">
        <v>2.1220864479047526E-2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2927-2E6B-40D8-84F9-869E7A79B2D0}">
  <dimension ref="A9:AN2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125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2253</v>
      </c>
      <c r="G11" t="s">
        <v>155</v>
      </c>
      <c r="I11" t="s">
        <v>252</v>
      </c>
      <c r="J11" t="s">
        <v>253</v>
      </c>
      <c r="K11">
        <v>2.5929890560617802E-3</v>
      </c>
      <c r="L11" t="s">
        <v>254</v>
      </c>
      <c r="N11" t="s">
        <v>422</v>
      </c>
      <c r="O11" t="s">
        <v>253</v>
      </c>
      <c r="P11">
        <v>8.7678808835176036E-2</v>
      </c>
      <c r="Q11" t="s">
        <v>254</v>
      </c>
      <c r="S11" t="s">
        <v>423</v>
      </c>
      <c r="T11" t="s">
        <v>253</v>
      </c>
      <c r="U11">
        <v>9.1064627174710699E-2</v>
      </c>
      <c r="V11" t="s">
        <v>254</v>
      </c>
      <c r="X11">
        <v>8.2191780821917804E-2</v>
      </c>
      <c r="Y11">
        <v>4.555602515973449E-2</v>
      </c>
      <c r="Z11" t="s">
        <v>253</v>
      </c>
      <c r="AA11" t="s">
        <v>25</v>
      </c>
      <c r="AC11" t="s">
        <v>22</v>
      </c>
      <c r="AD11" t="s">
        <v>253</v>
      </c>
      <c r="AE11">
        <v>7.801859008853064E-2</v>
      </c>
      <c r="AG11" t="s">
        <v>97</v>
      </c>
      <c r="AH11" t="s">
        <v>253</v>
      </c>
      <c r="AI11">
        <v>0.33476859829075845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0.1834911648075081</v>
      </c>
      <c r="L12" t="s">
        <v>254</v>
      </c>
      <c r="N12" t="s">
        <v>422</v>
      </c>
      <c r="O12" t="s">
        <v>255</v>
      </c>
      <c r="P12">
        <v>0.1075339412127366</v>
      </c>
      <c r="Q12" t="s">
        <v>254</v>
      </c>
      <c r="S12" t="s">
        <v>423</v>
      </c>
      <c r="T12" t="s">
        <v>255</v>
      </c>
      <c r="U12">
        <v>0.11359768078668238</v>
      </c>
      <c r="V12" t="s">
        <v>254</v>
      </c>
      <c r="X12">
        <v>0.10273972602739725</v>
      </c>
      <c r="Y12">
        <v>0.14672202471222937</v>
      </c>
      <c r="Z12" t="s">
        <v>255</v>
      </c>
      <c r="AA12" t="s">
        <v>25</v>
      </c>
      <c r="AC12" t="s">
        <v>22</v>
      </c>
      <c r="AD12" t="s">
        <v>255</v>
      </c>
      <c r="AE12">
        <v>0.12957129981836521</v>
      </c>
      <c r="AG12" t="s">
        <v>97</v>
      </c>
      <c r="AH12" t="s">
        <v>255</v>
      </c>
      <c r="AI12">
        <v>8.6733460980271238E-2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3.3447894870403377E-3</v>
      </c>
      <c r="L13" t="s">
        <v>254</v>
      </c>
      <c r="N13" t="s">
        <v>422</v>
      </c>
      <c r="O13" t="s">
        <v>256</v>
      </c>
      <c r="P13">
        <v>6.7581687478284178E-2</v>
      </c>
      <c r="Q13" t="s">
        <v>254</v>
      </c>
      <c r="S13" t="s">
        <v>423</v>
      </c>
      <c r="T13" t="s">
        <v>256</v>
      </c>
      <c r="U13">
        <v>6.9311684495434497E-2</v>
      </c>
      <c r="V13" t="s">
        <v>254</v>
      </c>
      <c r="X13">
        <v>6.1643835616438353E-2</v>
      </c>
      <c r="Y13">
        <v>5.4297292593789633E-2</v>
      </c>
      <c r="Z13" t="s">
        <v>256</v>
      </c>
      <c r="AA13" t="s">
        <v>25</v>
      </c>
      <c r="AC13" t="s">
        <v>22</v>
      </c>
      <c r="AD13" t="s">
        <v>256</v>
      </c>
      <c r="AE13">
        <v>6.6994613480497886E-2</v>
      </c>
      <c r="AG13" t="s">
        <v>97</v>
      </c>
      <c r="AH13" t="s">
        <v>256</v>
      </c>
      <c r="AI13">
        <v>0.21170458073985476</v>
      </c>
    </row>
    <row r="14" spans="1:40" x14ac:dyDescent="0.45">
      <c r="I14" t="s">
        <v>252</v>
      </c>
      <c r="J14" t="s">
        <v>286</v>
      </c>
      <c r="K14">
        <v>5.9763796215744978E-2</v>
      </c>
      <c r="L14" t="s">
        <v>254</v>
      </c>
      <c r="N14" t="s">
        <v>422</v>
      </c>
      <c r="O14" t="s">
        <v>286</v>
      </c>
      <c r="P14">
        <v>0.20899856725043961</v>
      </c>
      <c r="Q14" t="s">
        <v>254</v>
      </c>
      <c r="S14" t="s">
        <v>423</v>
      </c>
      <c r="T14" t="s">
        <v>286</v>
      </c>
      <c r="U14">
        <v>0.20938526898984183</v>
      </c>
      <c r="V14" t="s">
        <v>254</v>
      </c>
      <c r="X14">
        <v>0.22283105022831051</v>
      </c>
      <c r="Y14">
        <v>0.12350744598861346</v>
      </c>
      <c r="Z14" t="s">
        <v>286</v>
      </c>
      <c r="AA14" t="s">
        <v>25</v>
      </c>
      <c r="AC14" t="s">
        <v>22</v>
      </c>
      <c r="AD14" t="s">
        <v>286</v>
      </c>
      <c r="AE14">
        <v>0.17887636473581819</v>
      </c>
      <c r="AG14" t="s">
        <v>97</v>
      </c>
      <c r="AH14" t="s">
        <v>286</v>
      </c>
      <c r="AI14">
        <v>0.417818361871789</v>
      </c>
    </row>
    <row r="15" spans="1:40" x14ac:dyDescent="0.45">
      <c r="I15" t="s">
        <v>252</v>
      </c>
      <c r="J15" t="s">
        <v>287</v>
      </c>
      <c r="K15">
        <v>0.6600530577693795</v>
      </c>
      <c r="L15" t="s">
        <v>254</v>
      </c>
      <c r="N15" t="s">
        <v>422</v>
      </c>
      <c r="O15" t="s">
        <v>287</v>
      </c>
      <c r="P15">
        <v>0.25817019396712787</v>
      </c>
      <c r="Q15" t="s">
        <v>254</v>
      </c>
      <c r="S15" t="s">
        <v>423</v>
      </c>
      <c r="T15" t="s">
        <v>287</v>
      </c>
      <c r="U15">
        <v>0.25426714511621989</v>
      </c>
      <c r="V15" t="s">
        <v>254</v>
      </c>
      <c r="X15">
        <v>0.27853881278538811</v>
      </c>
      <c r="Y15">
        <v>0.39777971144204405</v>
      </c>
      <c r="Z15" t="s">
        <v>287</v>
      </c>
      <c r="AA15" t="s">
        <v>25</v>
      </c>
      <c r="AC15" t="s">
        <v>22</v>
      </c>
      <c r="AD15" t="s">
        <v>287</v>
      </c>
      <c r="AE15">
        <v>0.29886381804073175</v>
      </c>
      <c r="AG15" t="s">
        <v>97</v>
      </c>
      <c r="AH15" t="s">
        <v>287</v>
      </c>
      <c r="AI15">
        <v>0.18382457834874666</v>
      </c>
    </row>
    <row r="16" spans="1:40" x14ac:dyDescent="0.45">
      <c r="I16" t="s">
        <v>252</v>
      </c>
      <c r="J16" t="s">
        <v>288</v>
      </c>
      <c r="K16">
        <v>4.2021533268416039E-2</v>
      </c>
      <c r="L16" t="s">
        <v>254</v>
      </c>
      <c r="N16" t="s">
        <v>422</v>
      </c>
      <c r="O16" t="s">
        <v>288</v>
      </c>
      <c r="P16">
        <v>0.16402591121594046</v>
      </c>
      <c r="Q16" t="s">
        <v>254</v>
      </c>
      <c r="S16" t="s">
        <v>423</v>
      </c>
      <c r="T16" t="s">
        <v>288</v>
      </c>
      <c r="U16">
        <v>0.16368186712075561</v>
      </c>
      <c r="V16" t="s">
        <v>254</v>
      </c>
      <c r="X16">
        <v>0.16712328767123288</v>
      </c>
      <c r="Y16">
        <v>0.14720599325427411</v>
      </c>
      <c r="Z16" t="s">
        <v>288</v>
      </c>
      <c r="AA16" t="s">
        <v>25</v>
      </c>
      <c r="AC16" t="s">
        <v>22</v>
      </c>
      <c r="AD16" t="s">
        <v>288</v>
      </c>
      <c r="AE16">
        <v>0.15723166052682189</v>
      </c>
      <c r="AG16" t="s">
        <v>97</v>
      </c>
      <c r="AH16" t="s">
        <v>288</v>
      </c>
      <c r="AI16">
        <v>0.30004541550156016</v>
      </c>
    </row>
    <row r="17" spans="9:35" x14ac:dyDescent="0.45">
      <c r="I17" t="s">
        <v>252</v>
      </c>
      <c r="J17" t="s">
        <v>294</v>
      </c>
      <c r="K17">
        <v>0</v>
      </c>
      <c r="L17" t="s">
        <v>254</v>
      </c>
      <c r="N17" t="s">
        <v>422</v>
      </c>
      <c r="O17" t="s">
        <v>294</v>
      </c>
      <c r="P17">
        <v>3.5464416795641933E-2</v>
      </c>
      <c r="Q17" t="s">
        <v>254</v>
      </c>
      <c r="S17" t="s">
        <v>423</v>
      </c>
      <c r="T17" t="s">
        <v>294</v>
      </c>
      <c r="U17">
        <v>3.2912953474082525E-2</v>
      </c>
      <c r="V17" t="s">
        <v>254</v>
      </c>
      <c r="X17">
        <v>2.8310502283105023E-2</v>
      </c>
      <c r="Y17">
        <v>1.5691519777241876E-2</v>
      </c>
      <c r="Z17" t="s">
        <v>294</v>
      </c>
      <c r="AA17" t="s">
        <v>25</v>
      </c>
      <c r="AC17" t="s">
        <v>22</v>
      </c>
      <c r="AD17" t="s">
        <v>294</v>
      </c>
      <c r="AE17">
        <v>2.5537803837892108E-2</v>
      </c>
      <c r="AG17" t="s">
        <v>97</v>
      </c>
      <c r="AH17" t="s">
        <v>294</v>
      </c>
      <c r="AI17">
        <v>0.30998096223895955</v>
      </c>
    </row>
    <row r="18" spans="9:35" x14ac:dyDescent="0.45">
      <c r="I18" t="s">
        <v>252</v>
      </c>
      <c r="J18" t="s">
        <v>295</v>
      </c>
      <c r="K18">
        <v>4.873266939566688E-2</v>
      </c>
      <c r="L18" t="s">
        <v>254</v>
      </c>
      <c r="N18" t="s">
        <v>422</v>
      </c>
      <c r="O18" t="s">
        <v>295</v>
      </c>
      <c r="P18">
        <v>4.2316675913996439E-2</v>
      </c>
      <c r="Q18" t="s">
        <v>254</v>
      </c>
      <c r="S18" t="s">
        <v>423</v>
      </c>
      <c r="T18" t="s">
        <v>295</v>
      </c>
      <c r="U18">
        <v>4.0784087080664125E-2</v>
      </c>
      <c r="V18" t="s">
        <v>254</v>
      </c>
      <c r="X18">
        <v>3.5388127853881277E-2</v>
      </c>
      <c r="Y18">
        <v>5.0537586289767886E-2</v>
      </c>
      <c r="Z18" t="s">
        <v>295</v>
      </c>
      <c r="AA18" t="s">
        <v>25</v>
      </c>
      <c r="AC18" t="s">
        <v>22</v>
      </c>
      <c r="AD18" t="s">
        <v>295</v>
      </c>
      <c r="AE18">
        <v>4.259156532086552E-2</v>
      </c>
      <c r="AG18" t="s">
        <v>97</v>
      </c>
      <c r="AH18" t="s">
        <v>295</v>
      </c>
      <c r="AI18">
        <v>8.4091823592784776E-2</v>
      </c>
    </row>
    <row r="19" spans="9:35" x14ac:dyDescent="0.45">
      <c r="I19" t="s">
        <v>252</v>
      </c>
      <c r="J19" t="s">
        <v>296</v>
      </c>
      <c r="K19">
        <v>0</v>
      </c>
      <c r="L19" t="s">
        <v>254</v>
      </c>
      <c r="N19" t="s">
        <v>422</v>
      </c>
      <c r="O19" t="s">
        <v>296</v>
      </c>
      <c r="P19">
        <v>2.8229797330429289E-2</v>
      </c>
      <c r="Q19" t="s">
        <v>254</v>
      </c>
      <c r="S19" t="s">
        <v>423</v>
      </c>
      <c r="T19" t="s">
        <v>296</v>
      </c>
      <c r="U19">
        <v>2.4994685761360526E-2</v>
      </c>
      <c r="V19" t="s">
        <v>254</v>
      </c>
      <c r="X19">
        <v>2.1232876712328767E-2</v>
      </c>
      <c r="Y19">
        <v>1.8702400782305319E-2</v>
      </c>
      <c r="Z19" t="s">
        <v>296</v>
      </c>
      <c r="AA19" t="s">
        <v>25</v>
      </c>
      <c r="AC19" t="s">
        <v>22</v>
      </c>
      <c r="AD19" t="s">
        <v>296</v>
      </c>
      <c r="AE19">
        <v>2.2314284150476777E-2</v>
      </c>
      <c r="AG19" t="s">
        <v>97</v>
      </c>
      <c r="AH19" t="s">
        <v>296</v>
      </c>
      <c r="AI19">
        <v>0.19559280053890871</v>
      </c>
    </row>
    <row r="20" spans="9:35" x14ac:dyDescent="0.45">
      <c r="AC20" t="s">
        <v>19</v>
      </c>
      <c r="AD20" t="s">
        <v>253</v>
      </c>
      <c r="AE20">
        <v>8.1259350611866385E-2</v>
      </c>
    </row>
    <row r="21" spans="9:35" x14ac:dyDescent="0.45">
      <c r="AC21" t="s">
        <v>19</v>
      </c>
      <c r="AD21" t="s">
        <v>255</v>
      </c>
      <c r="AE21">
        <v>0.1039458980858874</v>
      </c>
    </row>
    <row r="22" spans="9:35" x14ac:dyDescent="0.45">
      <c r="AC22" t="s">
        <v>19</v>
      </c>
      <c r="AD22" t="s">
        <v>256</v>
      </c>
      <c r="AE22">
        <v>6.1572123151545623E-2</v>
      </c>
    </row>
    <row r="23" spans="9:35" x14ac:dyDescent="0.45">
      <c r="AC23" t="s">
        <v>19</v>
      </c>
      <c r="AD23" t="s">
        <v>286</v>
      </c>
      <c r="AE23">
        <v>0.22032450957612881</v>
      </c>
    </row>
    <row r="24" spans="9:35" x14ac:dyDescent="0.45">
      <c r="AC24" t="s">
        <v>19</v>
      </c>
      <c r="AD24" t="s">
        <v>287</v>
      </c>
      <c r="AE24">
        <v>0.2809758556155198</v>
      </c>
    </row>
    <row r="25" spans="9:35" x14ac:dyDescent="0.45">
      <c r="AC25" t="s">
        <v>19</v>
      </c>
      <c r="AD25" t="s">
        <v>288</v>
      </c>
      <c r="AE25">
        <v>0.16695099713393502</v>
      </c>
    </row>
    <row r="26" spans="9:35" x14ac:dyDescent="0.45">
      <c r="AC26" t="s">
        <v>19</v>
      </c>
      <c r="AD26" t="s">
        <v>294</v>
      </c>
      <c r="AE26">
        <v>2.7982587270543102E-2</v>
      </c>
    </row>
    <row r="27" spans="9:35" x14ac:dyDescent="0.45">
      <c r="AC27" t="s">
        <v>19</v>
      </c>
      <c r="AD27" t="s">
        <v>295</v>
      </c>
      <c r="AE27">
        <v>3.5767814075526247E-2</v>
      </c>
    </row>
    <row r="28" spans="9:35" x14ac:dyDescent="0.45">
      <c r="AC28" t="s">
        <v>19</v>
      </c>
      <c r="AD28" t="s">
        <v>296</v>
      </c>
      <c r="AE28">
        <v>2.1220864479047526E-2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F0F4F-1714-4ED8-A317-1F4B8126DD93}">
  <dimension ref="A9:AN4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126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2253</v>
      </c>
      <c r="G11" t="s">
        <v>155</v>
      </c>
      <c r="I11" t="s">
        <v>252</v>
      </c>
      <c r="J11" t="s">
        <v>253</v>
      </c>
      <c r="K11">
        <v>1.6104140391799037E-5</v>
      </c>
      <c r="L11" t="s">
        <v>254</v>
      </c>
      <c r="N11" t="s">
        <v>422</v>
      </c>
      <c r="O11" t="s">
        <v>253</v>
      </c>
      <c r="P11">
        <v>7.664605719081069E-2</v>
      </c>
      <c r="Q11" t="s">
        <v>254</v>
      </c>
      <c r="S11" t="s">
        <v>423</v>
      </c>
      <c r="T11" t="s">
        <v>253</v>
      </c>
      <c r="U11">
        <v>7.9468752805135712E-2</v>
      </c>
      <c r="V11" t="s">
        <v>254</v>
      </c>
      <c r="X11">
        <v>7.1917808219178078E-2</v>
      </c>
      <c r="Y11">
        <v>2.8401660741366887E-2</v>
      </c>
      <c r="Z11" t="s">
        <v>253</v>
      </c>
      <c r="AA11" t="s">
        <v>25</v>
      </c>
      <c r="AC11" t="s">
        <v>22</v>
      </c>
      <c r="AD11" t="s">
        <v>253</v>
      </c>
      <c r="AE11">
        <v>6.5389946137231578E-2</v>
      </c>
      <c r="AG11" t="s">
        <v>97</v>
      </c>
      <c r="AH11" t="s">
        <v>253</v>
      </c>
      <c r="AI11">
        <v>0.32542033084200739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2.576884915669981E-3</v>
      </c>
      <c r="L12" t="s">
        <v>254</v>
      </c>
      <c r="N12" t="s">
        <v>422</v>
      </c>
      <c r="O12" t="s">
        <v>255</v>
      </c>
      <c r="P12">
        <v>1.1032751644365341E-2</v>
      </c>
      <c r="Q12" t="s">
        <v>254</v>
      </c>
      <c r="S12" t="s">
        <v>423</v>
      </c>
      <c r="T12" t="s">
        <v>255</v>
      </c>
      <c r="U12">
        <v>1.1595874369574995E-2</v>
      </c>
      <c r="V12" t="s">
        <v>254</v>
      </c>
      <c r="X12">
        <v>1.0273972602739725E-2</v>
      </c>
      <c r="Y12">
        <v>1.7154364418367599E-2</v>
      </c>
      <c r="Z12" t="s">
        <v>255</v>
      </c>
      <c r="AA12" t="s">
        <v>25</v>
      </c>
      <c r="AC12" t="s">
        <v>22</v>
      </c>
      <c r="AD12" t="s">
        <v>255</v>
      </c>
      <c r="AE12">
        <v>1.2628643951299062E-2</v>
      </c>
      <c r="AG12" t="s">
        <v>97</v>
      </c>
      <c r="AH12" t="s">
        <v>255</v>
      </c>
      <c r="AI12">
        <v>9.7895868791875618E-2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9.1295009177644687E-2</v>
      </c>
      <c r="L13" t="s">
        <v>254</v>
      </c>
      <c r="N13" t="s">
        <v>422</v>
      </c>
      <c r="O13" t="s">
        <v>256</v>
      </c>
      <c r="P13">
        <v>5.3346107089154014E-2</v>
      </c>
      <c r="Q13" t="s">
        <v>254</v>
      </c>
      <c r="S13" t="s">
        <v>423</v>
      </c>
      <c r="T13" t="s">
        <v>256</v>
      </c>
      <c r="U13">
        <v>5.676323320714266E-2</v>
      </c>
      <c r="V13" t="s">
        <v>254</v>
      </c>
      <c r="X13">
        <v>5.1369863013698627E-2</v>
      </c>
      <c r="Y13">
        <v>6.4291574472316843E-2</v>
      </c>
      <c r="Z13" t="s">
        <v>256</v>
      </c>
      <c r="AA13" t="s">
        <v>25</v>
      </c>
      <c r="AC13" t="s">
        <v>22</v>
      </c>
      <c r="AD13" t="s">
        <v>256</v>
      </c>
      <c r="AE13">
        <v>6.4884330043305821E-2</v>
      </c>
      <c r="AG13" t="s">
        <v>97</v>
      </c>
      <c r="AH13" t="s">
        <v>256</v>
      </c>
      <c r="AI13">
        <v>8.5438004647724552E-2</v>
      </c>
    </row>
    <row r="14" spans="1:40" x14ac:dyDescent="0.45">
      <c r="E14" t="s">
        <v>246</v>
      </c>
      <c r="G14" t="s">
        <v>155</v>
      </c>
      <c r="I14" t="s">
        <v>252</v>
      </c>
      <c r="J14" t="s">
        <v>257</v>
      </c>
      <c r="K14">
        <v>2.1198906553061985E-2</v>
      </c>
      <c r="L14" t="s">
        <v>254</v>
      </c>
      <c r="N14" t="s">
        <v>422</v>
      </c>
      <c r="O14" t="s">
        <v>257</v>
      </c>
      <c r="P14">
        <v>1.0711769118516153E-2</v>
      </c>
      <c r="Q14" t="s">
        <v>254</v>
      </c>
      <c r="S14" t="s">
        <v>423</v>
      </c>
      <c r="T14" t="s">
        <v>257</v>
      </c>
      <c r="U14">
        <v>1.1213176665761023E-2</v>
      </c>
      <c r="V14" t="s">
        <v>254</v>
      </c>
      <c r="X14">
        <v>1.0273972602739725E-2</v>
      </c>
      <c r="Y14">
        <v>1.33953210849514E-2</v>
      </c>
      <c r="Z14" t="s">
        <v>257</v>
      </c>
      <c r="AA14" t="s">
        <v>25</v>
      </c>
      <c r="AC14" t="s">
        <v>22</v>
      </c>
      <c r="AD14" t="s">
        <v>257</v>
      </c>
      <c r="AE14">
        <v>1.2870886605472896E-2</v>
      </c>
      <c r="AG14" t="s">
        <v>97</v>
      </c>
      <c r="AH14" t="s">
        <v>257</v>
      </c>
      <c r="AI14">
        <v>8.6135329958817675E-2</v>
      </c>
    </row>
    <row r="15" spans="1:40" x14ac:dyDescent="0.45">
      <c r="E15" t="s">
        <v>247</v>
      </c>
      <c r="G15" t="s">
        <v>155</v>
      </c>
      <c r="I15" t="s">
        <v>252</v>
      </c>
      <c r="J15" t="s">
        <v>258</v>
      </c>
      <c r="K15">
        <v>7.0997249076801425E-2</v>
      </c>
      <c r="L15" t="s">
        <v>254</v>
      </c>
      <c r="N15" t="s">
        <v>422</v>
      </c>
      <c r="O15" t="s">
        <v>258</v>
      </c>
      <c r="P15">
        <v>4.3476065005066435E-2</v>
      </c>
      <c r="Q15" t="s">
        <v>254</v>
      </c>
      <c r="S15" t="s">
        <v>423</v>
      </c>
      <c r="T15" t="s">
        <v>258</v>
      </c>
      <c r="U15">
        <v>4.5621270913778697E-2</v>
      </c>
      <c r="V15" t="s">
        <v>254</v>
      </c>
      <c r="X15">
        <v>4.1095890410958902E-2</v>
      </c>
      <c r="Y15">
        <v>6.90351291549611E-2</v>
      </c>
      <c r="Z15" t="s">
        <v>258</v>
      </c>
      <c r="AA15" t="s">
        <v>25</v>
      </c>
      <c r="AC15" t="s">
        <v>22</v>
      </c>
      <c r="AD15" t="s">
        <v>258</v>
      </c>
      <c r="AE15">
        <v>5.1816083169586483E-2</v>
      </c>
      <c r="AG15" t="s">
        <v>97</v>
      </c>
      <c r="AH15" t="s">
        <v>258</v>
      </c>
      <c r="AI15">
        <v>8.6297518943237117E-2</v>
      </c>
    </row>
    <row r="16" spans="1:40" x14ac:dyDescent="0.45">
      <c r="E16" t="s">
        <v>248</v>
      </c>
      <c r="G16" t="s">
        <v>155</v>
      </c>
      <c r="I16" t="s">
        <v>252</v>
      </c>
      <c r="J16" t="s">
        <v>259</v>
      </c>
      <c r="K16">
        <v>3.3447894870403377E-3</v>
      </c>
      <c r="L16" t="s">
        <v>254</v>
      </c>
      <c r="N16" t="s">
        <v>422</v>
      </c>
      <c r="O16" t="s">
        <v>259</v>
      </c>
      <c r="P16">
        <v>6.7581687478284178E-2</v>
      </c>
      <c r="Q16" t="s">
        <v>254</v>
      </c>
      <c r="S16" t="s">
        <v>423</v>
      </c>
      <c r="T16" t="s">
        <v>259</v>
      </c>
      <c r="U16">
        <v>6.9311684495434497E-2</v>
      </c>
      <c r="V16" t="s">
        <v>254</v>
      </c>
      <c r="X16">
        <v>6.1643835616438353E-2</v>
      </c>
      <c r="Y16">
        <v>5.4297292593789633E-2</v>
      </c>
      <c r="Z16" t="s">
        <v>259</v>
      </c>
      <c r="AA16" t="s">
        <v>25</v>
      </c>
      <c r="AC16" t="s">
        <v>22</v>
      </c>
      <c r="AD16" t="s">
        <v>259</v>
      </c>
      <c r="AE16">
        <v>6.6994613480497886E-2</v>
      </c>
      <c r="AG16" t="s">
        <v>97</v>
      </c>
      <c r="AH16" t="s">
        <v>259</v>
      </c>
      <c r="AI16">
        <v>0.21170458073985476</v>
      </c>
    </row>
    <row r="17" spans="9:35" x14ac:dyDescent="0.45">
      <c r="I17" t="s">
        <v>252</v>
      </c>
      <c r="J17" t="s">
        <v>286</v>
      </c>
      <c r="K17">
        <v>2.2488476714698787E-2</v>
      </c>
      <c r="L17" t="s">
        <v>254</v>
      </c>
      <c r="N17" t="s">
        <v>422</v>
      </c>
      <c r="O17" t="s">
        <v>286</v>
      </c>
      <c r="P17">
        <v>0.18429002493958077</v>
      </c>
      <c r="Q17" t="s">
        <v>254</v>
      </c>
      <c r="S17" t="s">
        <v>423</v>
      </c>
      <c r="T17" t="s">
        <v>286</v>
      </c>
      <c r="U17">
        <v>0.18390488132609853</v>
      </c>
      <c r="V17" t="s">
        <v>254</v>
      </c>
      <c r="X17">
        <v>0.19497716894977168</v>
      </c>
      <c r="Y17">
        <v>7.7000058009928013E-2</v>
      </c>
      <c r="Z17" t="s">
        <v>286</v>
      </c>
      <c r="AA17" t="s">
        <v>25</v>
      </c>
      <c r="AC17" t="s">
        <v>22</v>
      </c>
      <c r="AD17" t="s">
        <v>286</v>
      </c>
      <c r="AE17">
        <v>0.15025884598055939</v>
      </c>
      <c r="AG17" t="s">
        <v>97</v>
      </c>
      <c r="AH17" t="s">
        <v>286</v>
      </c>
      <c r="AI17">
        <v>0.3731747034762869</v>
      </c>
    </row>
    <row r="18" spans="9:35" x14ac:dyDescent="0.45">
      <c r="I18" t="s">
        <v>252</v>
      </c>
      <c r="J18" t="s">
        <v>287</v>
      </c>
      <c r="K18">
        <v>3.7275319501046192E-2</v>
      </c>
      <c r="L18" t="s">
        <v>254</v>
      </c>
      <c r="N18" t="s">
        <v>422</v>
      </c>
      <c r="O18" t="s">
        <v>287</v>
      </c>
      <c r="P18">
        <v>2.4708542310858839E-2</v>
      </c>
      <c r="Q18" t="s">
        <v>254</v>
      </c>
      <c r="S18" t="s">
        <v>423</v>
      </c>
      <c r="T18" t="s">
        <v>287</v>
      </c>
      <c r="U18">
        <v>2.5480387663743304E-2</v>
      </c>
      <c r="V18" t="s">
        <v>254</v>
      </c>
      <c r="X18">
        <v>2.7853881278538814E-2</v>
      </c>
      <c r="Y18">
        <v>4.6507387978685484E-2</v>
      </c>
      <c r="Z18" t="s">
        <v>287</v>
      </c>
      <c r="AA18" t="s">
        <v>25</v>
      </c>
      <c r="AC18" t="s">
        <v>22</v>
      </c>
      <c r="AD18" t="s">
        <v>287</v>
      </c>
      <c r="AE18">
        <v>2.8617518755258808E-2</v>
      </c>
      <c r="AG18" t="s">
        <v>97</v>
      </c>
      <c r="AH18" t="s">
        <v>287</v>
      </c>
      <c r="AI18">
        <v>0.18698153167882059</v>
      </c>
    </row>
    <row r="19" spans="9:35" x14ac:dyDescent="0.45">
      <c r="I19" t="s">
        <v>252</v>
      </c>
      <c r="J19" t="s">
        <v>288</v>
      </c>
      <c r="K19">
        <v>0.34472296071844233</v>
      </c>
      <c r="L19" t="s">
        <v>254</v>
      </c>
      <c r="N19" t="s">
        <v>422</v>
      </c>
      <c r="O19" t="s">
        <v>288</v>
      </c>
      <c r="P19">
        <v>0.1229248991743196</v>
      </c>
      <c r="Q19" t="s">
        <v>254</v>
      </c>
      <c r="S19" t="s">
        <v>423</v>
      </c>
      <c r="T19" t="s">
        <v>288</v>
      </c>
      <c r="U19">
        <v>0.12350544198687602</v>
      </c>
      <c r="V19" t="s">
        <v>254</v>
      </c>
      <c r="X19">
        <v>0.13926940639269406</v>
      </c>
      <c r="Y19">
        <v>0.1743016019027257</v>
      </c>
      <c r="Z19" t="s">
        <v>288</v>
      </c>
      <c r="AA19" t="s">
        <v>25</v>
      </c>
      <c r="AC19" t="s">
        <v>22</v>
      </c>
      <c r="AD19" t="s">
        <v>288</v>
      </c>
      <c r="AE19">
        <v>0.1503437499751881</v>
      </c>
      <c r="AG19" t="s">
        <v>97</v>
      </c>
      <c r="AH19" t="s">
        <v>288</v>
      </c>
      <c r="AI19">
        <v>0.17249944435337694</v>
      </c>
    </row>
    <row r="20" spans="9:35" x14ac:dyDescent="0.45">
      <c r="I20" t="s">
        <v>252</v>
      </c>
      <c r="J20" t="s">
        <v>289</v>
      </c>
      <c r="K20">
        <v>7.3903824389465578E-2</v>
      </c>
      <c r="L20" t="s">
        <v>254</v>
      </c>
      <c r="N20" t="s">
        <v>422</v>
      </c>
      <c r="O20" t="s">
        <v>289</v>
      </c>
      <c r="P20">
        <v>2.6181529160506534E-2</v>
      </c>
      <c r="Q20" t="s">
        <v>254</v>
      </c>
      <c r="S20" t="s">
        <v>423</v>
      </c>
      <c r="T20" t="s">
        <v>289</v>
      </c>
      <c r="U20">
        <v>2.5000214837316615E-2</v>
      </c>
      <c r="V20" t="s">
        <v>254</v>
      </c>
      <c r="X20">
        <v>2.7853881278538814E-2</v>
      </c>
      <c r="Y20">
        <v>3.6316203830312692E-2</v>
      </c>
      <c r="Z20" t="s">
        <v>289</v>
      </c>
      <c r="AA20" t="s">
        <v>25</v>
      </c>
      <c r="AC20" t="s">
        <v>22</v>
      </c>
      <c r="AD20" t="s">
        <v>289</v>
      </c>
      <c r="AE20">
        <v>2.986174686687024E-2</v>
      </c>
      <c r="AG20" t="s">
        <v>97</v>
      </c>
      <c r="AH20" t="s">
        <v>289</v>
      </c>
      <c r="AI20">
        <v>0.16940188971626546</v>
      </c>
    </row>
    <row r="21" spans="9:35" x14ac:dyDescent="0.45">
      <c r="I21" t="s">
        <v>252</v>
      </c>
      <c r="J21" t="s">
        <v>290</v>
      </c>
      <c r="K21">
        <v>0.24142627266147154</v>
      </c>
      <c r="L21" t="s">
        <v>254</v>
      </c>
      <c r="N21" t="s">
        <v>422</v>
      </c>
      <c r="O21" t="s">
        <v>290</v>
      </c>
      <c r="P21">
        <v>0.10906376563230175</v>
      </c>
      <c r="Q21" t="s">
        <v>254</v>
      </c>
      <c r="S21" t="s">
        <v>423</v>
      </c>
      <c r="T21" t="s">
        <v>290</v>
      </c>
      <c r="U21">
        <v>0.10576148829202726</v>
      </c>
      <c r="V21" t="s">
        <v>254</v>
      </c>
      <c r="X21">
        <v>0.11141552511415526</v>
      </c>
      <c r="Y21">
        <v>0.18716190570900565</v>
      </c>
      <c r="Z21" t="s">
        <v>290</v>
      </c>
      <c r="AA21" t="s">
        <v>25</v>
      </c>
      <c r="AC21" t="s">
        <v>22</v>
      </c>
      <c r="AD21" t="s">
        <v>290</v>
      </c>
      <c r="AE21">
        <v>0.11865832119867341</v>
      </c>
      <c r="AG21" t="s">
        <v>97</v>
      </c>
      <c r="AH21" t="s">
        <v>290</v>
      </c>
      <c r="AI21">
        <v>0.1904747109472007</v>
      </c>
    </row>
    <row r="22" spans="9:35" x14ac:dyDescent="0.45">
      <c r="I22" t="s">
        <v>252</v>
      </c>
      <c r="J22" t="s">
        <v>291</v>
      </c>
      <c r="K22">
        <v>4.2021533268416039E-2</v>
      </c>
      <c r="L22" t="s">
        <v>254</v>
      </c>
      <c r="N22" t="s">
        <v>422</v>
      </c>
      <c r="O22" t="s">
        <v>291</v>
      </c>
      <c r="P22">
        <v>0.16402591121594046</v>
      </c>
      <c r="Q22" t="s">
        <v>254</v>
      </c>
      <c r="S22" t="s">
        <v>423</v>
      </c>
      <c r="T22" t="s">
        <v>291</v>
      </c>
      <c r="U22">
        <v>0.16368186712075561</v>
      </c>
      <c r="V22" t="s">
        <v>254</v>
      </c>
      <c r="X22">
        <v>0.16712328767123288</v>
      </c>
      <c r="Y22">
        <v>0.14720599325427411</v>
      </c>
      <c r="Z22" t="s">
        <v>291</v>
      </c>
      <c r="AA22" t="s">
        <v>25</v>
      </c>
      <c r="AC22" t="s">
        <v>22</v>
      </c>
      <c r="AD22" t="s">
        <v>291</v>
      </c>
      <c r="AE22">
        <v>0.15723166052682189</v>
      </c>
      <c r="AG22" t="s">
        <v>97</v>
      </c>
      <c r="AH22" t="s">
        <v>291</v>
      </c>
      <c r="AI22">
        <v>0.30004541550156016</v>
      </c>
    </row>
    <row r="23" spans="9:35" x14ac:dyDescent="0.45">
      <c r="I23" t="s">
        <v>252</v>
      </c>
      <c r="J23" t="s">
        <v>294</v>
      </c>
      <c r="K23">
        <v>0</v>
      </c>
      <c r="L23" t="s">
        <v>254</v>
      </c>
      <c r="N23" t="s">
        <v>422</v>
      </c>
      <c r="O23" t="s">
        <v>294</v>
      </c>
      <c r="P23">
        <v>3.1146804888227204E-2</v>
      </c>
      <c r="Q23" t="s">
        <v>254</v>
      </c>
      <c r="S23" t="s">
        <v>423</v>
      </c>
      <c r="T23" t="s">
        <v>294</v>
      </c>
      <c r="U23">
        <v>2.8793009642577382E-2</v>
      </c>
      <c r="V23" t="s">
        <v>254</v>
      </c>
      <c r="X23">
        <v>2.4771689497716895E-2</v>
      </c>
      <c r="Y23">
        <v>9.7827942553597048E-3</v>
      </c>
      <c r="Z23" t="s">
        <v>294</v>
      </c>
      <c r="AA23" t="s">
        <v>25</v>
      </c>
      <c r="AC23" t="s">
        <v>22</v>
      </c>
      <c r="AD23" t="s">
        <v>294</v>
      </c>
      <c r="AE23">
        <v>2.1425280402942632E-2</v>
      </c>
      <c r="AG23" t="s">
        <v>97</v>
      </c>
      <c r="AH23" t="s">
        <v>294</v>
      </c>
      <c r="AI23">
        <v>0.2947027221455345</v>
      </c>
    </row>
    <row r="24" spans="9:35" x14ac:dyDescent="0.45">
      <c r="I24" t="s">
        <v>252</v>
      </c>
      <c r="J24" t="s">
        <v>295</v>
      </c>
      <c r="K24">
        <v>0</v>
      </c>
      <c r="L24" t="s">
        <v>254</v>
      </c>
      <c r="N24" t="s">
        <v>422</v>
      </c>
      <c r="O24" t="s">
        <v>295</v>
      </c>
      <c r="P24">
        <v>4.31761190741473E-3</v>
      </c>
      <c r="Q24" t="s">
        <v>254</v>
      </c>
      <c r="S24" t="s">
        <v>423</v>
      </c>
      <c r="T24" t="s">
        <v>295</v>
      </c>
      <c r="U24">
        <v>4.1199438315051417E-3</v>
      </c>
      <c r="V24" t="s">
        <v>254</v>
      </c>
      <c r="X24">
        <v>3.5388127853881279E-3</v>
      </c>
      <c r="Y24">
        <v>5.9087255218821738E-3</v>
      </c>
      <c r="Z24" t="s">
        <v>295</v>
      </c>
      <c r="AA24" t="s">
        <v>25</v>
      </c>
      <c r="AC24" t="s">
        <v>22</v>
      </c>
      <c r="AD24" t="s">
        <v>295</v>
      </c>
      <c r="AE24">
        <v>4.1125234349494791E-3</v>
      </c>
      <c r="AG24" t="s">
        <v>97</v>
      </c>
      <c r="AH24" t="s">
        <v>295</v>
      </c>
      <c r="AI24">
        <v>8.4630227908339517E-2</v>
      </c>
    </row>
    <row r="25" spans="9:35" x14ac:dyDescent="0.45">
      <c r="I25" t="s">
        <v>252</v>
      </c>
      <c r="J25" t="s">
        <v>296</v>
      </c>
      <c r="K25">
        <v>2.4971956384415749E-2</v>
      </c>
      <c r="L25" t="s">
        <v>254</v>
      </c>
      <c r="N25" t="s">
        <v>422</v>
      </c>
      <c r="O25" t="s">
        <v>296</v>
      </c>
      <c r="P25">
        <v>2.0954201606143537E-2</v>
      </c>
      <c r="Q25" t="s">
        <v>254</v>
      </c>
      <c r="S25" t="s">
        <v>423</v>
      </c>
      <c r="T25" t="s">
        <v>296</v>
      </c>
      <c r="U25">
        <v>2.0317700570729836E-2</v>
      </c>
      <c r="V25" t="s">
        <v>254</v>
      </c>
      <c r="X25">
        <v>1.7694063926940638E-2</v>
      </c>
      <c r="Y25">
        <v>2.2144875651575809E-2</v>
      </c>
      <c r="Z25" t="s">
        <v>296</v>
      </c>
      <c r="AA25" t="s">
        <v>25</v>
      </c>
      <c r="AC25" t="s">
        <v>22</v>
      </c>
      <c r="AD25" t="s">
        <v>296</v>
      </c>
      <c r="AE25">
        <v>2.1353285660292723E-2</v>
      </c>
      <c r="AG25" t="s">
        <v>97</v>
      </c>
      <c r="AH25" t="s">
        <v>296</v>
      </c>
      <c r="AI25">
        <v>8.1828217485444554E-2</v>
      </c>
    </row>
    <row r="26" spans="9:35" x14ac:dyDescent="0.45">
      <c r="I26" t="s">
        <v>252</v>
      </c>
      <c r="J26" t="s">
        <v>297</v>
      </c>
      <c r="K26">
        <v>6.5515329450327254E-3</v>
      </c>
      <c r="L26" t="s">
        <v>254</v>
      </c>
      <c r="N26" t="s">
        <v>422</v>
      </c>
      <c r="O26" t="s">
        <v>297</v>
      </c>
      <c r="P26">
        <v>4.1898215208638848E-3</v>
      </c>
      <c r="Q26" t="s">
        <v>254</v>
      </c>
      <c r="S26" t="s">
        <v>423</v>
      </c>
      <c r="T26" t="s">
        <v>297</v>
      </c>
      <c r="U26">
        <v>3.9982360424480265E-3</v>
      </c>
      <c r="V26" t="s">
        <v>254</v>
      </c>
      <c r="X26">
        <v>3.5388127853881279E-3</v>
      </c>
      <c r="Y26">
        <v>4.6139439292610376E-3</v>
      </c>
      <c r="Z26" t="s">
        <v>297</v>
      </c>
      <c r="AA26" t="s">
        <v>25</v>
      </c>
      <c r="AC26" t="s">
        <v>22</v>
      </c>
      <c r="AD26" t="s">
        <v>297</v>
      </c>
      <c r="AE26">
        <v>4.2043748081554795E-3</v>
      </c>
      <c r="AG26" t="s">
        <v>97</v>
      </c>
      <c r="AH26" t="s">
        <v>297</v>
      </c>
      <c r="AI26">
        <v>7.6650597053711245E-2</v>
      </c>
    </row>
    <row r="27" spans="9:35" x14ac:dyDescent="0.45">
      <c r="I27" t="s">
        <v>252</v>
      </c>
      <c r="J27" t="s">
        <v>298</v>
      </c>
      <c r="K27">
        <v>1.7209180066218403E-2</v>
      </c>
      <c r="L27" t="s">
        <v>254</v>
      </c>
      <c r="N27" t="s">
        <v>422</v>
      </c>
      <c r="O27" t="s">
        <v>298</v>
      </c>
      <c r="P27">
        <v>1.7172652786989016E-2</v>
      </c>
      <c r="Q27" t="s">
        <v>254</v>
      </c>
      <c r="S27" t="s">
        <v>423</v>
      </c>
      <c r="T27" t="s">
        <v>298</v>
      </c>
      <c r="U27">
        <v>1.6468150467486259E-2</v>
      </c>
      <c r="V27" t="s">
        <v>254</v>
      </c>
      <c r="X27">
        <v>1.4155251141552512E-2</v>
      </c>
      <c r="Y27">
        <v>2.3778766708931042E-2</v>
      </c>
      <c r="Z27" t="s">
        <v>298</v>
      </c>
      <c r="AA27" t="s">
        <v>25</v>
      </c>
      <c r="AC27" t="s">
        <v>22</v>
      </c>
      <c r="AD27" t="s">
        <v>298</v>
      </c>
      <c r="AE27">
        <v>1.7033904852417313E-2</v>
      </c>
      <c r="AG27" t="s">
        <v>97</v>
      </c>
      <c r="AH27" t="s">
        <v>298</v>
      </c>
      <c r="AI27">
        <v>8.336058196802254E-2</v>
      </c>
    </row>
    <row r="28" spans="9:35" x14ac:dyDescent="0.45">
      <c r="I28" t="s">
        <v>252</v>
      </c>
      <c r="J28" t="s">
        <v>299</v>
      </c>
      <c r="K28">
        <v>0</v>
      </c>
      <c r="L28" t="s">
        <v>254</v>
      </c>
      <c r="N28" t="s">
        <v>422</v>
      </c>
      <c r="O28" t="s">
        <v>299</v>
      </c>
      <c r="P28">
        <v>2.8229797330429289E-2</v>
      </c>
      <c r="Q28" t="s">
        <v>254</v>
      </c>
      <c r="S28" t="s">
        <v>423</v>
      </c>
      <c r="T28" t="s">
        <v>299</v>
      </c>
      <c r="U28">
        <v>2.4994685761360526E-2</v>
      </c>
      <c r="V28" t="s">
        <v>254</v>
      </c>
      <c r="X28">
        <v>2.1232876712328767E-2</v>
      </c>
      <c r="Y28">
        <v>1.8702400782305319E-2</v>
      </c>
      <c r="Z28" t="s">
        <v>299</v>
      </c>
      <c r="AA28" t="s">
        <v>25</v>
      </c>
      <c r="AC28" t="s">
        <v>22</v>
      </c>
      <c r="AD28" t="s">
        <v>299</v>
      </c>
      <c r="AE28">
        <v>2.2314284150476777E-2</v>
      </c>
      <c r="AG28" t="s">
        <v>97</v>
      </c>
      <c r="AH28" t="s">
        <v>299</v>
      </c>
      <c r="AI28">
        <v>0.19559280053890871</v>
      </c>
    </row>
    <row r="29" spans="9:35" x14ac:dyDescent="0.45">
      <c r="AC29" t="s">
        <v>19</v>
      </c>
      <c r="AD29" t="s">
        <v>253</v>
      </c>
      <c r="AE29">
        <v>7.0889070339987093E-2</v>
      </c>
    </row>
    <row r="30" spans="9:35" x14ac:dyDescent="0.45">
      <c r="AC30" t="s">
        <v>19</v>
      </c>
      <c r="AD30" t="s">
        <v>255</v>
      </c>
      <c r="AE30">
        <v>1.0370280271879291E-2</v>
      </c>
    </row>
    <row r="31" spans="9:35" x14ac:dyDescent="0.45">
      <c r="AC31" t="s">
        <v>19</v>
      </c>
      <c r="AD31" t="s">
        <v>256</v>
      </c>
      <c r="AE31">
        <v>5.1980251844645914E-2</v>
      </c>
    </row>
    <row r="32" spans="9:35" x14ac:dyDescent="0.45">
      <c r="AC32" t="s">
        <v>19</v>
      </c>
      <c r="AD32" t="s">
        <v>257</v>
      </c>
      <c r="AE32">
        <v>1.0388207386419285E-2</v>
      </c>
    </row>
    <row r="33" spans="29:31" x14ac:dyDescent="0.45">
      <c r="AC33" t="s">
        <v>19</v>
      </c>
      <c r="AD33" t="s">
        <v>258</v>
      </c>
      <c r="AE33">
        <v>4.1577438854822207E-2</v>
      </c>
    </row>
    <row r="34" spans="29:31" x14ac:dyDescent="0.45">
      <c r="AC34" t="s">
        <v>19</v>
      </c>
      <c r="AD34" t="s">
        <v>259</v>
      </c>
      <c r="AE34">
        <v>6.1572123151545623E-2</v>
      </c>
    </row>
    <row r="35" spans="29:31" x14ac:dyDescent="0.45">
      <c r="AC35" t="s">
        <v>19</v>
      </c>
      <c r="AD35" t="s">
        <v>286</v>
      </c>
      <c r="AE35">
        <v>0.19232082594646097</v>
      </c>
    </row>
    <row r="36" spans="29:31" x14ac:dyDescent="0.45">
      <c r="AC36" t="s">
        <v>19</v>
      </c>
      <c r="AD36" t="s">
        <v>287</v>
      </c>
      <c r="AE36">
        <v>2.8003683629667847E-2</v>
      </c>
    </row>
    <row r="37" spans="29:31" x14ac:dyDescent="0.45">
      <c r="AC37" t="s">
        <v>19</v>
      </c>
      <c r="AD37" t="s">
        <v>288</v>
      </c>
      <c r="AE37">
        <v>0.14055540839781169</v>
      </c>
    </row>
    <row r="38" spans="29:31" x14ac:dyDescent="0.45">
      <c r="AC38" t="s">
        <v>19</v>
      </c>
      <c r="AD38" t="s">
        <v>289</v>
      </c>
      <c r="AE38">
        <v>2.809576245842248E-2</v>
      </c>
    </row>
    <row r="39" spans="29:31" x14ac:dyDescent="0.45">
      <c r="AC39" t="s">
        <v>19</v>
      </c>
      <c r="AD39" t="s">
        <v>290</v>
      </c>
      <c r="AE39">
        <v>0.11232468475928566</v>
      </c>
    </row>
    <row r="40" spans="29:31" x14ac:dyDescent="0.45">
      <c r="AC40" t="s">
        <v>19</v>
      </c>
      <c r="AD40" t="s">
        <v>291</v>
      </c>
      <c r="AE40">
        <v>0.16695099713393502</v>
      </c>
    </row>
    <row r="41" spans="29:31" x14ac:dyDescent="0.45">
      <c r="AC41" t="s">
        <v>19</v>
      </c>
      <c r="AD41" t="s">
        <v>294</v>
      </c>
      <c r="AE41">
        <v>2.4416657413212691E-2</v>
      </c>
    </row>
    <row r="42" spans="29:31" x14ac:dyDescent="0.45">
      <c r="AC42" t="s">
        <v>19</v>
      </c>
      <c r="AD42" t="s">
        <v>295</v>
      </c>
      <c r="AE42">
        <v>3.5659298573304079E-3</v>
      </c>
    </row>
    <row r="43" spans="29:31" x14ac:dyDescent="0.45">
      <c r="AC43" t="s">
        <v>19</v>
      </c>
      <c r="AD43" t="s">
        <v>296</v>
      </c>
      <c r="AE43">
        <v>1.7888162534667247E-2</v>
      </c>
    </row>
    <row r="44" spans="29:31" x14ac:dyDescent="0.45">
      <c r="AC44" t="s">
        <v>19</v>
      </c>
      <c r="AD44" t="s">
        <v>297</v>
      </c>
      <c r="AE44">
        <v>3.5727272980773136E-3</v>
      </c>
    </row>
    <row r="45" spans="29:31" x14ac:dyDescent="0.45">
      <c r="AC45" t="s">
        <v>19</v>
      </c>
      <c r="AD45" t="s">
        <v>298</v>
      </c>
      <c r="AE45">
        <v>1.4306924242781691E-2</v>
      </c>
    </row>
    <row r="46" spans="29:31" x14ac:dyDescent="0.45">
      <c r="AC46" t="s">
        <v>19</v>
      </c>
      <c r="AD46" t="s">
        <v>299</v>
      </c>
      <c r="AE46">
        <v>2.1220864479047526E-2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A39F4-6AFF-4D77-BFAD-0A183CF874DA}">
  <dimension ref="A9:AN9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127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2258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5.2425364559329224E-2</v>
      </c>
      <c r="Q11" t="s">
        <v>254</v>
      </c>
      <c r="S11" t="s">
        <v>423</v>
      </c>
      <c r="T11" t="s">
        <v>253</v>
      </c>
      <c r="U11">
        <v>5.3566783468345723E-2</v>
      </c>
      <c r="V11" t="s">
        <v>254</v>
      </c>
      <c r="X11">
        <v>4.714611872146119E-2</v>
      </c>
      <c r="Y11">
        <v>1.861886648600718E-2</v>
      </c>
      <c r="Z11" t="s">
        <v>253</v>
      </c>
      <c r="AA11" t="s">
        <v>25</v>
      </c>
      <c r="AC11" t="s">
        <v>22</v>
      </c>
      <c r="AD11" t="s">
        <v>253</v>
      </c>
      <c r="AE11">
        <v>4.3716715583948219E-2</v>
      </c>
      <c r="AG11" t="s">
        <v>97</v>
      </c>
      <c r="AH11" t="s">
        <v>253</v>
      </c>
      <c r="AI11">
        <v>0.30733129923405222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8.3849719630973629E-5</v>
      </c>
      <c r="L12" t="s">
        <v>254</v>
      </c>
      <c r="N12" t="s">
        <v>422</v>
      </c>
      <c r="O12" t="s">
        <v>255</v>
      </c>
      <c r="P12">
        <v>7.4596528143409226E-3</v>
      </c>
      <c r="Q12" t="s">
        <v>254</v>
      </c>
      <c r="S12" t="s">
        <v>423</v>
      </c>
      <c r="T12" t="s">
        <v>255</v>
      </c>
      <c r="U12">
        <v>7.7059079308925728E-3</v>
      </c>
      <c r="V12" t="s">
        <v>254</v>
      </c>
      <c r="X12">
        <v>6.735159817351598E-3</v>
      </c>
      <c r="Y12">
        <v>1.124563889648543E-2</v>
      </c>
      <c r="Z12" t="s">
        <v>255</v>
      </c>
      <c r="AA12" t="s">
        <v>25</v>
      </c>
      <c r="AC12" t="s">
        <v>22</v>
      </c>
      <c r="AD12" t="s">
        <v>255</v>
      </c>
      <c r="AE12">
        <v>8.4890714081021657E-3</v>
      </c>
      <c r="AG12" t="s">
        <v>97</v>
      </c>
      <c r="AH12" t="s">
        <v>255</v>
      </c>
      <c r="AI12">
        <v>7.7008049574196047E-2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5.2592303684164912E-2</v>
      </c>
      <c r="L13" t="s">
        <v>254</v>
      </c>
      <c r="N13" t="s">
        <v>422</v>
      </c>
      <c r="O13" t="s">
        <v>256</v>
      </c>
      <c r="P13">
        <v>3.6393396991901028E-2</v>
      </c>
      <c r="Q13" t="s">
        <v>254</v>
      </c>
      <c r="S13" t="s">
        <v>423</v>
      </c>
      <c r="T13" t="s">
        <v>256</v>
      </c>
      <c r="U13">
        <v>3.7895688663569779E-2</v>
      </c>
      <c r="V13" t="s">
        <v>254</v>
      </c>
      <c r="X13">
        <v>3.3675799086757989E-2</v>
      </c>
      <c r="Y13">
        <v>4.2146698820741048E-2</v>
      </c>
      <c r="Z13" t="s">
        <v>256</v>
      </c>
      <c r="AA13" t="s">
        <v>25</v>
      </c>
      <c r="AC13" t="s">
        <v>22</v>
      </c>
      <c r="AD13" t="s">
        <v>256</v>
      </c>
      <c r="AE13">
        <v>4.3500555946623741E-2</v>
      </c>
      <c r="AG13" t="s">
        <v>97</v>
      </c>
      <c r="AH13" t="s">
        <v>256</v>
      </c>
      <c r="AI13">
        <v>6.6876447595161981E-2</v>
      </c>
    </row>
    <row r="14" spans="1:40" x14ac:dyDescent="0.45">
      <c r="C14" t="s">
        <v>165</v>
      </c>
      <c r="E14" t="s">
        <v>246</v>
      </c>
      <c r="G14" t="s">
        <v>155</v>
      </c>
      <c r="I14" t="s">
        <v>252</v>
      </c>
      <c r="J14" t="s">
        <v>257</v>
      </c>
      <c r="K14">
        <v>1.2443362136332627E-2</v>
      </c>
      <c r="L14" t="s">
        <v>254</v>
      </c>
      <c r="N14" t="s">
        <v>422</v>
      </c>
      <c r="O14" t="s">
        <v>257</v>
      </c>
      <c r="P14">
        <v>7.338986005465788E-3</v>
      </c>
      <c r="Q14" t="s">
        <v>254</v>
      </c>
      <c r="S14" t="s">
        <v>423</v>
      </c>
      <c r="T14" t="s">
        <v>257</v>
      </c>
      <c r="U14">
        <v>7.5057894300372434E-3</v>
      </c>
      <c r="V14" t="s">
        <v>254</v>
      </c>
      <c r="X14">
        <v>6.735159817351598E-3</v>
      </c>
      <c r="Y14">
        <v>8.7813771556903598E-3</v>
      </c>
      <c r="Z14" t="s">
        <v>257</v>
      </c>
      <c r="AA14" t="s">
        <v>25</v>
      </c>
      <c r="AC14" t="s">
        <v>22</v>
      </c>
      <c r="AD14" t="s">
        <v>257</v>
      </c>
      <c r="AE14">
        <v>8.6538950150826556E-3</v>
      </c>
      <c r="AG14" t="s">
        <v>97</v>
      </c>
      <c r="AH14" t="s">
        <v>257</v>
      </c>
      <c r="AI14">
        <v>6.5186366523115602E-2</v>
      </c>
    </row>
    <row r="15" spans="1:40" x14ac:dyDescent="0.45">
      <c r="C15" t="s">
        <v>169</v>
      </c>
      <c r="E15" t="s">
        <v>247</v>
      </c>
      <c r="G15" t="s">
        <v>155</v>
      </c>
      <c r="I15" t="s">
        <v>252</v>
      </c>
      <c r="J15" t="s">
        <v>258</v>
      </c>
      <c r="K15">
        <v>4.063501182739776E-2</v>
      </c>
      <c r="L15" t="s">
        <v>254</v>
      </c>
      <c r="N15" t="s">
        <v>422</v>
      </c>
      <c r="O15" t="s">
        <v>258</v>
      </c>
      <c r="P15">
        <v>2.9514672615065338E-2</v>
      </c>
      <c r="Q15" t="s">
        <v>254</v>
      </c>
      <c r="S15" t="s">
        <v>423</v>
      </c>
      <c r="T15" t="s">
        <v>258</v>
      </c>
      <c r="U15">
        <v>3.0117002374122948E-2</v>
      </c>
      <c r="V15" t="s">
        <v>254</v>
      </c>
      <c r="X15">
        <v>2.6940639269406392E-2</v>
      </c>
      <c r="Y15">
        <v>4.5256362446030048E-2</v>
      </c>
      <c r="Z15" t="s">
        <v>258</v>
      </c>
      <c r="AA15" t="s">
        <v>25</v>
      </c>
      <c r="AC15" t="s">
        <v>22</v>
      </c>
      <c r="AD15" t="s">
        <v>258</v>
      </c>
      <c r="AE15">
        <v>3.4862747707399631E-2</v>
      </c>
      <c r="AG15" t="s">
        <v>97</v>
      </c>
      <c r="AH15" t="s">
        <v>258</v>
      </c>
      <c r="AI15">
        <v>6.4746080285035479E-2</v>
      </c>
    </row>
    <row r="16" spans="1:40" x14ac:dyDescent="0.45">
      <c r="C16" t="s">
        <v>171</v>
      </c>
      <c r="E16" t="s">
        <v>248</v>
      </c>
      <c r="G16" t="s">
        <v>155</v>
      </c>
      <c r="I16" t="s">
        <v>252</v>
      </c>
      <c r="J16" t="s">
        <v>259</v>
      </c>
      <c r="K16">
        <v>3.0928607330769746E-4</v>
      </c>
      <c r="L16" t="s">
        <v>254</v>
      </c>
      <c r="N16" t="s">
        <v>422</v>
      </c>
      <c r="O16" t="s">
        <v>259</v>
      </c>
      <c r="P16">
        <v>4.5448256355410631E-2</v>
      </c>
      <c r="Q16" t="s">
        <v>254</v>
      </c>
      <c r="S16" t="s">
        <v>423</v>
      </c>
      <c r="T16" t="s">
        <v>259</v>
      </c>
      <c r="U16">
        <v>4.557979588687882E-2</v>
      </c>
      <c r="V16" t="s">
        <v>254</v>
      </c>
      <c r="X16">
        <v>4.041095890410959E-2</v>
      </c>
      <c r="Y16">
        <v>3.5594891811484314E-2</v>
      </c>
      <c r="Z16" t="s">
        <v>259</v>
      </c>
      <c r="AA16" t="s">
        <v>25</v>
      </c>
      <c r="AC16" t="s">
        <v>22</v>
      </c>
      <c r="AD16" t="s">
        <v>259</v>
      </c>
      <c r="AE16">
        <v>4.4784638916907919E-2</v>
      </c>
      <c r="AG16" t="s">
        <v>97</v>
      </c>
      <c r="AH16" t="s">
        <v>259</v>
      </c>
      <c r="AI16">
        <v>0.19439336779296057</v>
      </c>
    </row>
    <row r="17" spans="3:35" x14ac:dyDescent="0.45">
      <c r="C17" t="s">
        <v>173</v>
      </c>
      <c r="I17" t="s">
        <v>252</v>
      </c>
      <c r="J17" t="s">
        <v>286</v>
      </c>
      <c r="K17">
        <v>1.6104140391799037E-5</v>
      </c>
      <c r="L17" t="s">
        <v>254</v>
      </c>
      <c r="N17" t="s">
        <v>422</v>
      </c>
      <c r="O17" t="s">
        <v>286</v>
      </c>
      <c r="P17">
        <v>2.422069263148147E-2</v>
      </c>
      <c r="Q17" t="s">
        <v>254</v>
      </c>
      <c r="S17" t="s">
        <v>423</v>
      </c>
      <c r="T17" t="s">
        <v>286</v>
      </c>
      <c r="U17">
        <v>2.5901969336789985E-2</v>
      </c>
      <c r="V17" t="s">
        <v>254</v>
      </c>
      <c r="X17">
        <v>2.4771689497716895E-2</v>
      </c>
      <c r="Y17">
        <v>9.7827942553597048E-3</v>
      </c>
      <c r="Z17" t="s">
        <v>286</v>
      </c>
      <c r="AA17" t="s">
        <v>25</v>
      </c>
      <c r="AC17" t="s">
        <v>22</v>
      </c>
      <c r="AD17" t="s">
        <v>286</v>
      </c>
      <c r="AE17">
        <v>2.1673230553283358E-2</v>
      </c>
      <c r="AG17" t="s">
        <v>97</v>
      </c>
      <c r="AH17" t="s">
        <v>286</v>
      </c>
      <c r="AI17">
        <v>0.29189958109755287</v>
      </c>
    </row>
    <row r="18" spans="3:35" x14ac:dyDescent="0.45">
      <c r="I18" t="s">
        <v>252</v>
      </c>
      <c r="J18" t="s">
        <v>287</v>
      </c>
      <c r="K18">
        <v>2.4930351960390073E-3</v>
      </c>
      <c r="L18" t="s">
        <v>254</v>
      </c>
      <c r="N18" t="s">
        <v>422</v>
      </c>
      <c r="O18" t="s">
        <v>287</v>
      </c>
      <c r="P18">
        <v>3.5730988300244175E-3</v>
      </c>
      <c r="Q18" t="s">
        <v>254</v>
      </c>
      <c r="S18" t="s">
        <v>423</v>
      </c>
      <c r="T18" t="s">
        <v>287</v>
      </c>
      <c r="U18">
        <v>3.8899664386824219E-3</v>
      </c>
      <c r="V18" t="s">
        <v>254</v>
      </c>
      <c r="X18">
        <v>3.5388127853881279E-3</v>
      </c>
      <c r="Y18">
        <v>5.9087255218821738E-3</v>
      </c>
      <c r="Z18" t="s">
        <v>287</v>
      </c>
      <c r="AA18" t="s">
        <v>25</v>
      </c>
      <c r="AC18" t="s">
        <v>22</v>
      </c>
      <c r="AD18" t="s">
        <v>287</v>
      </c>
      <c r="AE18">
        <v>4.1395725431968974E-3</v>
      </c>
      <c r="AG18" t="s">
        <v>97</v>
      </c>
      <c r="AH18" t="s">
        <v>287</v>
      </c>
      <c r="AI18">
        <v>7.1225832716647064E-2</v>
      </c>
    </row>
    <row r="19" spans="3:35" x14ac:dyDescent="0.45">
      <c r="I19" t="s">
        <v>252</v>
      </c>
      <c r="J19" t="s">
        <v>288</v>
      </c>
      <c r="K19">
        <v>3.8702705493479775E-2</v>
      </c>
      <c r="L19" t="s">
        <v>254</v>
      </c>
      <c r="N19" t="s">
        <v>422</v>
      </c>
      <c r="O19" t="s">
        <v>288</v>
      </c>
      <c r="P19">
        <v>1.695271009725299E-2</v>
      </c>
      <c r="Q19" t="s">
        <v>254</v>
      </c>
      <c r="S19" t="s">
        <v>423</v>
      </c>
      <c r="T19" t="s">
        <v>288</v>
      </c>
      <c r="U19">
        <v>1.8867544543572881E-2</v>
      </c>
      <c r="V19" t="s">
        <v>254</v>
      </c>
      <c r="X19">
        <v>1.7694063926940638E-2</v>
      </c>
      <c r="Y19">
        <v>2.2144875651575809E-2</v>
      </c>
      <c r="Z19" t="s">
        <v>288</v>
      </c>
      <c r="AA19" t="s">
        <v>25</v>
      </c>
      <c r="AC19" t="s">
        <v>22</v>
      </c>
      <c r="AD19" t="s">
        <v>288</v>
      </c>
      <c r="AE19">
        <v>2.1383774096682087E-2</v>
      </c>
      <c r="AG19" t="s">
        <v>97</v>
      </c>
      <c r="AH19" t="s">
        <v>288</v>
      </c>
      <c r="AI19">
        <v>7.6058926206082011E-2</v>
      </c>
    </row>
    <row r="20" spans="3:35" x14ac:dyDescent="0.45">
      <c r="I20" t="s">
        <v>252</v>
      </c>
      <c r="J20" t="s">
        <v>289</v>
      </c>
      <c r="K20">
        <v>8.7555444167293581E-3</v>
      </c>
      <c r="L20" t="s">
        <v>254</v>
      </c>
      <c r="N20" t="s">
        <v>422</v>
      </c>
      <c r="O20" t="s">
        <v>289</v>
      </c>
      <c r="P20">
        <v>3.3727831130503645E-3</v>
      </c>
      <c r="Q20" t="s">
        <v>254</v>
      </c>
      <c r="S20" t="s">
        <v>423</v>
      </c>
      <c r="T20" t="s">
        <v>289</v>
      </c>
      <c r="U20">
        <v>3.7073872357237798E-3</v>
      </c>
      <c r="V20" t="s">
        <v>254</v>
      </c>
      <c r="X20">
        <v>3.5388127853881279E-3</v>
      </c>
      <c r="Y20">
        <v>4.6139439292610376E-3</v>
      </c>
      <c r="Z20" t="s">
        <v>289</v>
      </c>
      <c r="AA20" t="s">
        <v>25</v>
      </c>
      <c r="AC20" t="s">
        <v>22</v>
      </c>
      <c r="AD20" t="s">
        <v>289</v>
      </c>
      <c r="AE20">
        <v>4.2169915903902391E-3</v>
      </c>
      <c r="AG20" t="s">
        <v>97</v>
      </c>
      <c r="AH20" t="s">
        <v>289</v>
      </c>
      <c r="AI20">
        <v>8.3300670632449947E-2</v>
      </c>
    </row>
    <row r="21" spans="3:35" x14ac:dyDescent="0.45">
      <c r="I21" t="s">
        <v>252</v>
      </c>
      <c r="J21" t="s">
        <v>290</v>
      </c>
      <c r="K21">
        <v>3.0362237249403661E-2</v>
      </c>
      <c r="L21" t="s">
        <v>254</v>
      </c>
      <c r="N21" t="s">
        <v>422</v>
      </c>
      <c r="O21" t="s">
        <v>290</v>
      </c>
      <c r="P21">
        <v>1.3961392390001095E-2</v>
      </c>
      <c r="Q21" t="s">
        <v>254</v>
      </c>
      <c r="S21" t="s">
        <v>423</v>
      </c>
      <c r="T21" t="s">
        <v>290</v>
      </c>
      <c r="U21">
        <v>1.5504268539655747E-2</v>
      </c>
      <c r="V21" t="s">
        <v>254</v>
      </c>
      <c r="X21">
        <v>1.4155251141552512E-2</v>
      </c>
      <c r="Y21">
        <v>2.3778766708931042E-2</v>
      </c>
      <c r="Z21" t="s">
        <v>290</v>
      </c>
      <c r="AA21" t="s">
        <v>25</v>
      </c>
      <c r="AC21" t="s">
        <v>22</v>
      </c>
      <c r="AD21" t="s">
        <v>290</v>
      </c>
      <c r="AE21">
        <v>1.6953335462186858E-2</v>
      </c>
      <c r="AG21" t="s">
        <v>97</v>
      </c>
      <c r="AH21" t="s">
        <v>290</v>
      </c>
      <c r="AI21">
        <v>8.4014971104022562E-2</v>
      </c>
    </row>
    <row r="22" spans="3:35" x14ac:dyDescent="0.45">
      <c r="I22" t="s">
        <v>252</v>
      </c>
      <c r="J22" t="s">
        <v>291</v>
      </c>
      <c r="K22">
        <v>3.0355034137326403E-3</v>
      </c>
      <c r="L22" t="s">
        <v>254</v>
      </c>
      <c r="N22" t="s">
        <v>422</v>
      </c>
      <c r="O22" t="s">
        <v>291</v>
      </c>
      <c r="P22">
        <v>2.2133431122873554E-2</v>
      </c>
      <c r="Q22" t="s">
        <v>254</v>
      </c>
      <c r="S22" t="s">
        <v>423</v>
      </c>
      <c r="T22" t="s">
        <v>291</v>
      </c>
      <c r="U22">
        <v>2.3731888608555678E-2</v>
      </c>
      <c r="V22" t="s">
        <v>254</v>
      </c>
      <c r="X22">
        <v>2.1232876712328767E-2</v>
      </c>
      <c r="Y22">
        <v>1.8702400782305319E-2</v>
      </c>
      <c r="Z22" t="s">
        <v>291</v>
      </c>
      <c r="AA22" t="s">
        <v>25</v>
      </c>
      <c r="AC22" t="s">
        <v>22</v>
      </c>
      <c r="AD22" t="s">
        <v>291</v>
      </c>
      <c r="AE22">
        <v>2.220997456358997E-2</v>
      </c>
      <c r="AG22" t="s">
        <v>97</v>
      </c>
      <c r="AH22" t="s">
        <v>291</v>
      </c>
      <c r="AI22">
        <v>0.19728339884766566</v>
      </c>
    </row>
    <row r="23" spans="3:35" x14ac:dyDescent="0.45">
      <c r="I23" t="s">
        <v>252</v>
      </c>
      <c r="J23" t="s">
        <v>294</v>
      </c>
      <c r="K23">
        <v>2.4944652964232262E-3</v>
      </c>
      <c r="L23" t="s">
        <v>254</v>
      </c>
      <c r="N23" t="s">
        <v>422</v>
      </c>
      <c r="O23" t="s">
        <v>294</v>
      </c>
      <c r="P23">
        <v>2.7681132667217855E-2</v>
      </c>
      <c r="Q23" t="s">
        <v>254</v>
      </c>
      <c r="S23" t="s">
        <v>423</v>
      </c>
      <c r="T23" t="s">
        <v>294</v>
      </c>
      <c r="U23">
        <v>2.7873206943640528E-2</v>
      </c>
      <c r="V23" t="s">
        <v>254</v>
      </c>
      <c r="X23">
        <v>2.3972602739726026E-2</v>
      </c>
      <c r="Y23">
        <v>9.4672202471222967E-3</v>
      </c>
      <c r="Z23" t="s">
        <v>294</v>
      </c>
      <c r="AA23" t="s">
        <v>25</v>
      </c>
      <c r="AC23" t="s">
        <v>22</v>
      </c>
      <c r="AD23" t="s">
        <v>294</v>
      </c>
      <c r="AE23">
        <v>1.9928596464069401E-2</v>
      </c>
      <c r="AG23" t="s">
        <v>97</v>
      </c>
      <c r="AH23" t="s">
        <v>294</v>
      </c>
      <c r="AI23">
        <v>0.27785577591947086</v>
      </c>
    </row>
    <row r="24" spans="3:35" x14ac:dyDescent="0.45">
      <c r="I24" t="s">
        <v>252</v>
      </c>
      <c r="J24" t="s">
        <v>295</v>
      </c>
      <c r="K24">
        <v>5.1159918965719819E-3</v>
      </c>
      <c r="L24" t="s">
        <v>254</v>
      </c>
      <c r="N24" t="s">
        <v>422</v>
      </c>
      <c r="O24" t="s">
        <v>295</v>
      </c>
      <c r="P24">
        <v>3.71907315514738E-3</v>
      </c>
      <c r="Q24" t="s">
        <v>254</v>
      </c>
      <c r="S24" t="s">
        <v>423</v>
      </c>
      <c r="T24" t="s">
        <v>295</v>
      </c>
      <c r="U24">
        <v>3.7231555410848502E-3</v>
      </c>
      <c r="V24" t="s">
        <v>254</v>
      </c>
      <c r="X24">
        <v>3.4246575342465752E-3</v>
      </c>
      <c r="Y24">
        <v>5.7181214727892006E-3</v>
      </c>
      <c r="Z24" t="s">
        <v>295</v>
      </c>
      <c r="AA24" t="s">
        <v>25</v>
      </c>
      <c r="AC24" t="s">
        <v>22</v>
      </c>
      <c r="AD24" t="s">
        <v>295</v>
      </c>
      <c r="AE24">
        <v>3.7946926128766649E-3</v>
      </c>
      <c r="AG24" t="s">
        <v>97</v>
      </c>
      <c r="AH24" t="s">
        <v>295</v>
      </c>
      <c r="AI24">
        <v>7.4794780557807972E-2</v>
      </c>
    </row>
    <row r="25" spans="3:35" x14ac:dyDescent="0.45">
      <c r="I25" t="s">
        <v>252</v>
      </c>
      <c r="J25" t="s">
        <v>296</v>
      </c>
      <c r="K25">
        <v>4.4024165954215502E-2</v>
      </c>
      <c r="L25" t="s">
        <v>254</v>
      </c>
      <c r="N25" t="s">
        <v>422</v>
      </c>
      <c r="O25" t="s">
        <v>296</v>
      </c>
      <c r="P25">
        <v>1.805582592559216E-2</v>
      </c>
      <c r="Q25" t="s">
        <v>254</v>
      </c>
      <c r="S25" t="s">
        <v>423</v>
      </c>
      <c r="T25" t="s">
        <v>296</v>
      </c>
      <c r="U25">
        <v>1.7723669994131993E-2</v>
      </c>
      <c r="V25" t="s">
        <v>254</v>
      </c>
      <c r="X25">
        <v>1.7123287671232876E-2</v>
      </c>
      <c r="Y25">
        <v>2.143052482410562E-2</v>
      </c>
      <c r="Z25" t="s">
        <v>296</v>
      </c>
      <c r="AA25" t="s">
        <v>25</v>
      </c>
      <c r="AC25" t="s">
        <v>22</v>
      </c>
      <c r="AD25" t="s">
        <v>296</v>
      </c>
      <c r="AE25">
        <v>1.9298870590794871E-2</v>
      </c>
      <c r="AG25" t="s">
        <v>97</v>
      </c>
      <c r="AH25" t="s">
        <v>296</v>
      </c>
      <c r="AI25">
        <v>7.9554814884472025E-2</v>
      </c>
    </row>
    <row r="26" spans="3:35" x14ac:dyDescent="0.45">
      <c r="I26" t="s">
        <v>252</v>
      </c>
      <c r="J26" t="s">
        <v>297</v>
      </c>
      <c r="K26">
        <v>9.1413712135646995E-3</v>
      </c>
      <c r="L26" t="s">
        <v>254</v>
      </c>
      <c r="N26" t="s">
        <v>422</v>
      </c>
      <c r="O26" t="s">
        <v>297</v>
      </c>
      <c r="P26">
        <v>3.7518861291754814E-3</v>
      </c>
      <c r="Q26" t="s">
        <v>254</v>
      </c>
      <c r="S26" t="s">
        <v>423</v>
      </c>
      <c r="T26" t="s">
        <v>297</v>
      </c>
      <c r="U26">
        <v>3.5812458448567083E-3</v>
      </c>
      <c r="V26" t="s">
        <v>254</v>
      </c>
      <c r="X26">
        <v>3.4246575342465752E-3</v>
      </c>
      <c r="Y26">
        <v>4.4651070283171336E-3</v>
      </c>
      <c r="Z26" t="s">
        <v>297</v>
      </c>
      <c r="AA26" t="s">
        <v>25</v>
      </c>
      <c r="AC26" t="s">
        <v>22</v>
      </c>
      <c r="AD26" t="s">
        <v>297</v>
      </c>
      <c r="AE26">
        <v>3.799901444926237E-3</v>
      </c>
      <c r="AG26" t="s">
        <v>97</v>
      </c>
      <c r="AH26" t="s">
        <v>297</v>
      </c>
      <c r="AI26">
        <v>7.5531060198747779E-2</v>
      </c>
    </row>
    <row r="27" spans="3:35" x14ac:dyDescent="0.45">
      <c r="I27" t="s">
        <v>252</v>
      </c>
      <c r="J27" t="s">
        <v>298</v>
      </c>
      <c r="K27">
        <v>2.9951873896523335E-2</v>
      </c>
      <c r="L27" t="s">
        <v>254</v>
      </c>
      <c r="N27" t="s">
        <v>422</v>
      </c>
      <c r="O27" t="s">
        <v>298</v>
      </c>
      <c r="P27">
        <v>1.5708389941126399E-2</v>
      </c>
      <c r="Q27" t="s">
        <v>254</v>
      </c>
      <c r="S27" t="s">
        <v>423</v>
      </c>
      <c r="T27" t="s">
        <v>298</v>
      </c>
      <c r="U27">
        <v>1.5060112823812801E-2</v>
      </c>
      <c r="V27" t="s">
        <v>254</v>
      </c>
      <c r="X27">
        <v>1.3698630136986301E-2</v>
      </c>
      <c r="Y27">
        <v>2.3011709718320367E-2</v>
      </c>
      <c r="Z27" t="s">
        <v>298</v>
      </c>
      <c r="AA27" t="s">
        <v>25</v>
      </c>
      <c r="AC27" t="s">
        <v>22</v>
      </c>
      <c r="AD27" t="s">
        <v>298</v>
      </c>
      <c r="AE27">
        <v>1.5158873582494525E-2</v>
      </c>
      <c r="AG27" t="s">
        <v>97</v>
      </c>
      <c r="AH27" t="s">
        <v>298</v>
      </c>
      <c r="AI27">
        <v>7.615739937590571E-2</v>
      </c>
    </row>
    <row r="28" spans="3:35" x14ac:dyDescent="0.45">
      <c r="I28" t="s">
        <v>252</v>
      </c>
      <c r="J28" t="s">
        <v>299</v>
      </c>
      <c r="K28">
        <v>4.9040794776632072E-3</v>
      </c>
      <c r="L28" t="s">
        <v>254</v>
      </c>
      <c r="N28" t="s">
        <v>422</v>
      </c>
      <c r="O28" t="s">
        <v>299</v>
      </c>
      <c r="P28">
        <v>2.3314738567736269E-2</v>
      </c>
      <c r="Q28" t="s">
        <v>254</v>
      </c>
      <c r="S28" t="s">
        <v>423</v>
      </c>
      <c r="T28" t="s">
        <v>299</v>
      </c>
      <c r="U28">
        <v>2.3608513409972137E-2</v>
      </c>
      <c r="V28" t="s">
        <v>254</v>
      </c>
      <c r="X28">
        <v>2.0547945205479451E-2</v>
      </c>
      <c r="Y28">
        <v>1.8099097531263209E-2</v>
      </c>
      <c r="Z28" t="s">
        <v>299</v>
      </c>
      <c r="AA28" t="s">
        <v>25</v>
      </c>
      <c r="AC28" t="s">
        <v>22</v>
      </c>
      <c r="AD28" t="s">
        <v>299</v>
      </c>
      <c r="AE28">
        <v>1.9725011261502445E-2</v>
      </c>
      <c r="AG28" t="s">
        <v>97</v>
      </c>
      <c r="AH28" t="s">
        <v>299</v>
      </c>
      <c r="AI28">
        <v>0.17311711242521777</v>
      </c>
    </row>
    <row r="29" spans="3:35" x14ac:dyDescent="0.45">
      <c r="I29" t="s">
        <v>252</v>
      </c>
      <c r="J29" t="s">
        <v>302</v>
      </c>
      <c r="K29">
        <v>1.5227953239765394E-2</v>
      </c>
      <c r="L29" t="s">
        <v>254</v>
      </c>
      <c r="N29" t="s">
        <v>422</v>
      </c>
      <c r="O29" t="s">
        <v>302</v>
      </c>
      <c r="P29">
        <v>6.5892307315079474E-2</v>
      </c>
      <c r="Q29" t="s">
        <v>254</v>
      </c>
      <c r="S29" t="s">
        <v>423</v>
      </c>
      <c r="T29" t="s">
        <v>302</v>
      </c>
      <c r="U29">
        <v>6.8867254007288867E-2</v>
      </c>
      <c r="V29" t="s">
        <v>254</v>
      </c>
      <c r="X29">
        <v>7.3515981735159816E-2</v>
      </c>
      <c r="Y29">
        <v>2.9032808757841703E-2</v>
      </c>
      <c r="Z29" t="s">
        <v>302</v>
      </c>
      <c r="AA29" t="s">
        <v>25</v>
      </c>
      <c r="AC29" t="s">
        <v>22</v>
      </c>
      <c r="AD29" t="s">
        <v>302</v>
      </c>
      <c r="AE29">
        <v>5.5755796630562932E-2</v>
      </c>
      <c r="AG29" t="s">
        <v>97</v>
      </c>
      <c r="AH29" t="s">
        <v>302</v>
      </c>
      <c r="AI29">
        <v>0.3080431717214609</v>
      </c>
    </row>
    <row r="30" spans="3:35" x14ac:dyDescent="0.45">
      <c r="I30" t="s">
        <v>252</v>
      </c>
      <c r="J30" t="s">
        <v>303</v>
      </c>
      <c r="K30">
        <v>1.9306059131574498E-2</v>
      </c>
      <c r="L30" t="s">
        <v>254</v>
      </c>
      <c r="N30" t="s">
        <v>422</v>
      </c>
      <c r="O30" t="s">
        <v>303</v>
      </c>
      <c r="P30">
        <v>8.6104270204791656E-3</v>
      </c>
      <c r="Q30" t="s">
        <v>254</v>
      </c>
      <c r="S30" t="s">
        <v>423</v>
      </c>
      <c r="T30" t="s">
        <v>303</v>
      </c>
      <c r="U30">
        <v>9.4665402710039162E-3</v>
      </c>
      <c r="V30" t="s">
        <v>254</v>
      </c>
      <c r="X30">
        <v>1.0502283105022832E-2</v>
      </c>
      <c r="Y30">
        <v>1.7535572516553546E-2</v>
      </c>
      <c r="Z30" t="s">
        <v>303</v>
      </c>
      <c r="AA30" t="s">
        <v>25</v>
      </c>
      <c r="AC30" t="s">
        <v>22</v>
      </c>
      <c r="AD30" t="s">
        <v>303</v>
      </c>
      <c r="AE30">
        <v>1.0552770168193925E-2</v>
      </c>
      <c r="AG30" t="s">
        <v>97</v>
      </c>
      <c r="AH30" t="s">
        <v>303</v>
      </c>
      <c r="AI30">
        <v>0.11362585304701223</v>
      </c>
    </row>
    <row r="31" spans="3:35" x14ac:dyDescent="0.45">
      <c r="I31" t="s">
        <v>252</v>
      </c>
      <c r="J31" t="s">
        <v>304</v>
      </c>
      <c r="K31">
        <v>0.15125261071378471</v>
      </c>
      <c r="L31" t="s">
        <v>254</v>
      </c>
      <c r="N31" t="s">
        <v>422</v>
      </c>
      <c r="O31" t="s">
        <v>304</v>
      </c>
      <c r="P31">
        <v>4.2807871583666182E-2</v>
      </c>
      <c r="Q31" t="s">
        <v>254</v>
      </c>
      <c r="S31" t="s">
        <v>423</v>
      </c>
      <c r="T31" t="s">
        <v>304</v>
      </c>
      <c r="U31">
        <v>4.5228042807518902E-2</v>
      </c>
      <c r="V31" t="s">
        <v>254</v>
      </c>
      <c r="X31">
        <v>5.2511415525114152E-2</v>
      </c>
      <c r="Y31">
        <v>6.5720276127257213E-2</v>
      </c>
      <c r="Z31" t="s">
        <v>304</v>
      </c>
      <c r="AA31" t="s">
        <v>25</v>
      </c>
      <c r="AC31" t="s">
        <v>22</v>
      </c>
      <c r="AD31" t="s">
        <v>304</v>
      </c>
      <c r="AE31">
        <v>5.5503154391830636E-2</v>
      </c>
      <c r="AG31" t="s">
        <v>97</v>
      </c>
      <c r="AH31" t="s">
        <v>304</v>
      </c>
      <c r="AI31">
        <v>9.1425012135467609E-2</v>
      </c>
    </row>
    <row r="32" spans="3:35" x14ac:dyDescent="0.45">
      <c r="I32" t="s">
        <v>252</v>
      </c>
      <c r="J32" t="s">
        <v>305</v>
      </c>
      <c r="K32">
        <v>3.2086928328070301E-2</v>
      </c>
      <c r="L32" t="s">
        <v>254</v>
      </c>
      <c r="N32" t="s">
        <v>422</v>
      </c>
      <c r="O32" t="s">
        <v>305</v>
      </c>
      <c r="P32">
        <v>9.3613086889832338E-3</v>
      </c>
      <c r="Q32" t="s">
        <v>254</v>
      </c>
      <c r="S32" t="s">
        <v>423</v>
      </c>
      <c r="T32" t="s">
        <v>305</v>
      </c>
      <c r="U32">
        <v>9.3386773778687503E-3</v>
      </c>
      <c r="V32" t="s">
        <v>254</v>
      </c>
      <c r="X32">
        <v>1.0502283105022832E-2</v>
      </c>
      <c r="Y32">
        <v>1.3692994886839211E-2</v>
      </c>
      <c r="Z32" t="s">
        <v>305</v>
      </c>
      <c r="AA32" t="s">
        <v>25</v>
      </c>
      <c r="AC32" t="s">
        <v>22</v>
      </c>
      <c r="AD32" t="s">
        <v>305</v>
      </c>
      <c r="AE32">
        <v>1.1040610404204345E-2</v>
      </c>
      <c r="AG32" t="s">
        <v>97</v>
      </c>
      <c r="AH32" t="s">
        <v>305</v>
      </c>
      <c r="AI32">
        <v>8.6056554030798926E-2</v>
      </c>
    </row>
    <row r="33" spans="9:35" x14ac:dyDescent="0.45">
      <c r="I33" t="s">
        <v>252</v>
      </c>
      <c r="J33" t="s">
        <v>306</v>
      </c>
      <c r="K33">
        <v>0.10691413932403648</v>
      </c>
      <c r="L33" t="s">
        <v>254</v>
      </c>
      <c r="N33" t="s">
        <v>422</v>
      </c>
      <c r="O33" t="s">
        <v>306</v>
      </c>
      <c r="P33">
        <v>3.9919611439541022E-2</v>
      </c>
      <c r="Q33" t="s">
        <v>254</v>
      </c>
      <c r="S33" t="s">
        <v>423</v>
      </c>
      <c r="T33" t="s">
        <v>306</v>
      </c>
      <c r="U33">
        <v>3.9656291257805405E-2</v>
      </c>
      <c r="V33" t="s">
        <v>254</v>
      </c>
      <c r="X33">
        <v>4.2009132420091327E-2</v>
      </c>
      <c r="Y33">
        <v>7.0569243136182458E-2</v>
      </c>
      <c r="Z33" t="s">
        <v>306</v>
      </c>
      <c r="AA33" t="s">
        <v>25</v>
      </c>
      <c r="AC33" t="s">
        <v>22</v>
      </c>
      <c r="AD33" t="s">
        <v>306</v>
      </c>
      <c r="AE33">
        <v>4.3707219869576888E-2</v>
      </c>
      <c r="AG33" t="s">
        <v>97</v>
      </c>
      <c r="AH33" t="s">
        <v>306</v>
      </c>
      <c r="AI33">
        <v>9.3136092989226871E-2</v>
      </c>
    </row>
    <row r="34" spans="9:35" x14ac:dyDescent="0.45">
      <c r="I34" t="s">
        <v>252</v>
      </c>
      <c r="J34" t="s">
        <v>307</v>
      </c>
      <c r="K34">
        <v>2.5237177336633072E-2</v>
      </c>
      <c r="L34" t="s">
        <v>254</v>
      </c>
      <c r="N34" t="s">
        <v>422</v>
      </c>
      <c r="O34" t="s">
        <v>307</v>
      </c>
      <c r="P34">
        <v>6.0231633954349162E-2</v>
      </c>
      <c r="Q34" t="s">
        <v>254</v>
      </c>
      <c r="S34" t="s">
        <v>423</v>
      </c>
      <c r="T34" t="s">
        <v>307</v>
      </c>
      <c r="U34">
        <v>6.066937173254227E-2</v>
      </c>
      <c r="V34" t="s">
        <v>254</v>
      </c>
      <c r="X34">
        <v>6.3013698630136991E-2</v>
      </c>
      <c r="Y34">
        <v>5.5503899095873853E-2</v>
      </c>
      <c r="Z34" t="s">
        <v>307</v>
      </c>
      <c r="AA34" t="s">
        <v>25</v>
      </c>
      <c r="AC34" t="s">
        <v>22</v>
      </c>
      <c r="AD34" t="s">
        <v>307</v>
      </c>
      <c r="AE34">
        <v>5.8254219277945454E-2</v>
      </c>
      <c r="AG34" t="s">
        <v>97</v>
      </c>
      <c r="AH34" t="s">
        <v>307</v>
      </c>
      <c r="AI34">
        <v>0.17699699485635745</v>
      </c>
    </row>
    <row r="35" spans="9:35" x14ac:dyDescent="0.45">
      <c r="I35" t="s">
        <v>252</v>
      </c>
      <c r="J35" t="s">
        <v>310</v>
      </c>
      <c r="K35">
        <v>4.7660581785101668E-3</v>
      </c>
      <c r="L35" t="s">
        <v>254</v>
      </c>
      <c r="N35" t="s">
        <v>422</v>
      </c>
      <c r="O35" t="s">
        <v>310</v>
      </c>
      <c r="P35">
        <v>6.1405573808886123E-2</v>
      </c>
      <c r="Q35" t="s">
        <v>254</v>
      </c>
      <c r="S35" t="s">
        <v>423</v>
      </c>
      <c r="T35" t="s">
        <v>310</v>
      </c>
      <c r="U35">
        <v>5.9317386444952984E-2</v>
      </c>
      <c r="V35" t="s">
        <v>254</v>
      </c>
      <c r="X35">
        <v>7.3515981735159816E-2</v>
      </c>
      <c r="Y35">
        <v>2.9032808757841703E-2</v>
      </c>
      <c r="Z35" t="s">
        <v>310</v>
      </c>
      <c r="AA35" t="s">
        <v>25</v>
      </c>
      <c r="AC35" t="s">
        <v>22</v>
      </c>
      <c r="AD35" t="s">
        <v>310</v>
      </c>
      <c r="AE35">
        <v>5.4522015996695913E-2</v>
      </c>
      <c r="AG35" t="s">
        <v>97</v>
      </c>
      <c r="AH35" t="s">
        <v>310</v>
      </c>
      <c r="AI35">
        <v>0.2656981313261948</v>
      </c>
    </row>
    <row r="36" spans="9:35" x14ac:dyDescent="0.45">
      <c r="I36" t="s">
        <v>252</v>
      </c>
      <c r="J36" t="s">
        <v>311</v>
      </c>
      <c r="K36">
        <v>1.2783672811165193E-2</v>
      </c>
      <c r="L36" t="s">
        <v>254</v>
      </c>
      <c r="N36" t="s">
        <v>422</v>
      </c>
      <c r="O36" t="s">
        <v>311</v>
      </c>
      <c r="P36">
        <v>8.2341453815494361E-3</v>
      </c>
      <c r="Q36" t="s">
        <v>254</v>
      </c>
      <c r="S36" t="s">
        <v>423</v>
      </c>
      <c r="T36" t="s">
        <v>311</v>
      </c>
      <c r="U36">
        <v>8.3554311353050553E-3</v>
      </c>
      <c r="V36" t="s">
        <v>254</v>
      </c>
      <c r="X36">
        <v>1.0502283105022832E-2</v>
      </c>
      <c r="Y36">
        <v>1.7535572516553546E-2</v>
      </c>
      <c r="Z36" t="s">
        <v>311</v>
      </c>
      <c r="AA36" t="s">
        <v>25</v>
      </c>
      <c r="AC36" t="s">
        <v>22</v>
      </c>
      <c r="AD36" t="s">
        <v>311</v>
      </c>
      <c r="AE36">
        <v>1.0353482445463805E-2</v>
      </c>
      <c r="AG36" t="s">
        <v>97</v>
      </c>
      <c r="AH36" t="s">
        <v>311</v>
      </c>
      <c r="AI36">
        <v>9.3283721850350387E-2</v>
      </c>
    </row>
    <row r="37" spans="9:35" x14ac:dyDescent="0.45">
      <c r="I37" t="s">
        <v>252</v>
      </c>
      <c r="J37" t="s">
        <v>312</v>
      </c>
      <c r="K37">
        <v>0.12848505348432926</v>
      </c>
      <c r="L37" t="s">
        <v>254</v>
      </c>
      <c r="N37" t="s">
        <v>422</v>
      </c>
      <c r="O37" t="s">
        <v>312</v>
      </c>
      <c r="P37">
        <v>4.1141025506545394E-2</v>
      </c>
      <c r="Q37" t="s">
        <v>254</v>
      </c>
      <c r="S37" t="s">
        <v>423</v>
      </c>
      <c r="T37" t="s">
        <v>312</v>
      </c>
      <c r="U37">
        <v>4.1361076576706741E-2</v>
      </c>
      <c r="V37" t="s">
        <v>254</v>
      </c>
      <c r="X37">
        <v>5.2511415525114152E-2</v>
      </c>
      <c r="Y37">
        <v>6.5720276127257213E-2</v>
      </c>
      <c r="Z37" t="s">
        <v>312</v>
      </c>
      <c r="AA37" t="s">
        <v>25</v>
      </c>
      <c r="AC37" t="s">
        <v>22</v>
      </c>
      <c r="AD37" t="s">
        <v>312</v>
      </c>
      <c r="AE37">
        <v>5.5089010524866491E-2</v>
      </c>
      <c r="AG37" t="s">
        <v>97</v>
      </c>
      <c r="AH37" t="s">
        <v>312</v>
      </c>
      <c r="AI37">
        <v>9.4509558588423026E-2</v>
      </c>
    </row>
    <row r="38" spans="9:35" x14ac:dyDescent="0.45">
      <c r="I38" t="s">
        <v>252</v>
      </c>
      <c r="J38" t="s">
        <v>313</v>
      </c>
      <c r="K38">
        <v>2.7408983161629565E-2</v>
      </c>
      <c r="L38" t="s">
        <v>254</v>
      </c>
      <c r="N38" t="s">
        <v>422</v>
      </c>
      <c r="O38" t="s">
        <v>313</v>
      </c>
      <c r="P38">
        <v>8.6138397003282432E-3</v>
      </c>
      <c r="Q38" t="s">
        <v>254</v>
      </c>
      <c r="S38" t="s">
        <v>423</v>
      </c>
      <c r="T38" t="s">
        <v>313</v>
      </c>
      <c r="U38">
        <v>8.4137181874754663E-3</v>
      </c>
      <c r="V38" t="s">
        <v>254</v>
      </c>
      <c r="X38">
        <v>1.0502283105022832E-2</v>
      </c>
      <c r="Y38">
        <v>1.3692994886839211E-2</v>
      </c>
      <c r="Z38" t="s">
        <v>313</v>
      </c>
      <c r="AA38" t="s">
        <v>25</v>
      </c>
      <c r="AC38" t="s">
        <v>22</v>
      </c>
      <c r="AD38" t="s">
        <v>313</v>
      </c>
      <c r="AE38">
        <v>1.0956052513368255E-2</v>
      </c>
      <c r="AG38" t="s">
        <v>97</v>
      </c>
      <c r="AH38" t="s">
        <v>313</v>
      </c>
      <c r="AI38">
        <v>9.3599853681848977E-2</v>
      </c>
    </row>
    <row r="39" spans="9:35" x14ac:dyDescent="0.45">
      <c r="I39" t="s">
        <v>252</v>
      </c>
      <c r="J39" t="s">
        <v>314</v>
      </c>
      <c r="K39">
        <v>9.1855407533950231E-2</v>
      </c>
      <c r="L39" t="s">
        <v>254</v>
      </c>
      <c r="N39" t="s">
        <v>422</v>
      </c>
      <c r="O39" t="s">
        <v>314</v>
      </c>
      <c r="P39">
        <v>3.561528031193302E-2</v>
      </c>
      <c r="Q39" t="s">
        <v>254</v>
      </c>
      <c r="S39" t="s">
        <v>423</v>
      </c>
      <c r="T39" t="s">
        <v>314</v>
      </c>
      <c r="U39">
        <v>3.5953488584808541E-2</v>
      </c>
      <c r="V39" t="s">
        <v>254</v>
      </c>
      <c r="X39">
        <v>4.2009132420091327E-2</v>
      </c>
      <c r="Y39">
        <v>7.0569243136182458E-2</v>
      </c>
      <c r="Z39" t="s">
        <v>314</v>
      </c>
      <c r="AA39" t="s">
        <v>25</v>
      </c>
      <c r="AC39" t="s">
        <v>22</v>
      </c>
      <c r="AD39" t="s">
        <v>314</v>
      </c>
      <c r="AE39">
        <v>4.3412454053497439E-2</v>
      </c>
      <c r="AG39" t="s">
        <v>97</v>
      </c>
      <c r="AH39" t="s">
        <v>314</v>
      </c>
      <c r="AI39">
        <v>8.5595900119943336E-2</v>
      </c>
    </row>
    <row r="40" spans="9:35" x14ac:dyDescent="0.45">
      <c r="I40" t="s">
        <v>252</v>
      </c>
      <c r="J40" t="s">
        <v>315</v>
      </c>
      <c r="K40">
        <v>1.1880276454119763E-2</v>
      </c>
      <c r="L40" t="s">
        <v>254</v>
      </c>
      <c r="N40" t="s">
        <v>422</v>
      </c>
      <c r="O40" t="s">
        <v>315</v>
      </c>
      <c r="P40">
        <v>5.4752419353124505E-2</v>
      </c>
      <c r="Q40" t="s">
        <v>254</v>
      </c>
      <c r="S40" t="s">
        <v>423</v>
      </c>
      <c r="T40" t="s">
        <v>315</v>
      </c>
      <c r="U40">
        <v>5.5456686763238311E-2</v>
      </c>
      <c r="V40" t="s">
        <v>254</v>
      </c>
      <c r="X40">
        <v>6.3013698630136991E-2</v>
      </c>
      <c r="Y40">
        <v>5.5503899095873853E-2</v>
      </c>
      <c r="Z40" t="s">
        <v>315</v>
      </c>
      <c r="AA40" t="s">
        <v>25</v>
      </c>
      <c r="AC40" t="s">
        <v>22</v>
      </c>
      <c r="AD40" t="s">
        <v>315</v>
      </c>
      <c r="AE40">
        <v>5.7792672321166472E-2</v>
      </c>
      <c r="AG40" t="s">
        <v>97</v>
      </c>
      <c r="AH40" t="s">
        <v>315</v>
      </c>
      <c r="AI40">
        <v>0.17351747924348127</v>
      </c>
    </row>
    <row r="41" spans="9:35" x14ac:dyDescent="0.45">
      <c r="I41" t="s">
        <v>252</v>
      </c>
      <c r="J41" t="s">
        <v>318</v>
      </c>
      <c r="K41">
        <v>0</v>
      </c>
      <c r="L41" t="s">
        <v>254</v>
      </c>
      <c r="N41" t="s">
        <v>422</v>
      </c>
      <c r="O41" t="s">
        <v>318</v>
      </c>
      <c r="P41">
        <v>2.931101114839732E-2</v>
      </c>
      <c r="Q41" t="s">
        <v>254</v>
      </c>
      <c r="S41" t="s">
        <v>423</v>
      </c>
      <c r="T41" t="s">
        <v>318</v>
      </c>
      <c r="U41">
        <v>2.7847033930216165E-2</v>
      </c>
      <c r="V41" t="s">
        <v>254</v>
      </c>
      <c r="X41">
        <v>2.3972602739726026E-2</v>
      </c>
      <c r="Y41">
        <v>9.4672202471222967E-3</v>
      </c>
      <c r="Z41" t="s">
        <v>318</v>
      </c>
      <c r="AA41" t="s">
        <v>25</v>
      </c>
      <c r="AC41" t="s">
        <v>22</v>
      </c>
      <c r="AD41" t="s">
        <v>318</v>
      </c>
      <c r="AE41">
        <v>2.0052436889231126E-2</v>
      </c>
      <c r="AG41" t="s">
        <v>97</v>
      </c>
      <c r="AH41" t="s">
        <v>318</v>
      </c>
      <c r="AI41">
        <v>0.29993685127360115</v>
      </c>
    </row>
    <row r="42" spans="9:35" x14ac:dyDescent="0.45">
      <c r="I42" t="s">
        <v>252</v>
      </c>
      <c r="J42" t="s">
        <v>319</v>
      </c>
      <c r="K42">
        <v>6.9595661734516304E-5</v>
      </c>
      <c r="L42" t="s">
        <v>254</v>
      </c>
      <c r="N42" t="s">
        <v>422</v>
      </c>
      <c r="O42" t="s">
        <v>319</v>
      </c>
      <c r="P42">
        <v>4.1448967536828552E-3</v>
      </c>
      <c r="Q42" t="s">
        <v>254</v>
      </c>
      <c r="S42" t="s">
        <v>423</v>
      </c>
      <c r="T42" t="s">
        <v>319</v>
      </c>
      <c r="U42">
        <v>3.9352607163494809E-3</v>
      </c>
      <c r="V42" t="s">
        <v>254</v>
      </c>
      <c r="X42">
        <v>3.4246575342465752E-3</v>
      </c>
      <c r="Y42">
        <v>5.7181214727892006E-3</v>
      </c>
      <c r="Z42" t="s">
        <v>319</v>
      </c>
      <c r="AA42" t="s">
        <v>25</v>
      </c>
      <c r="AC42" t="s">
        <v>22</v>
      </c>
      <c r="AD42" t="s">
        <v>319</v>
      </c>
      <c r="AE42">
        <v>3.9165735287244154E-3</v>
      </c>
      <c r="AG42" t="s">
        <v>97</v>
      </c>
      <c r="AH42" t="s">
        <v>319</v>
      </c>
      <c r="AI42">
        <v>9.6641572988210633E-2</v>
      </c>
    </row>
    <row r="43" spans="9:35" x14ac:dyDescent="0.45">
      <c r="I43" t="s">
        <v>252</v>
      </c>
      <c r="J43" t="s">
        <v>320</v>
      </c>
      <c r="K43">
        <v>2.0961130566112852E-2</v>
      </c>
      <c r="L43" t="s">
        <v>254</v>
      </c>
      <c r="N43" t="s">
        <v>422</v>
      </c>
      <c r="O43" t="s">
        <v>320</v>
      </c>
      <c r="P43">
        <v>2.0920176158515866E-2</v>
      </c>
      <c r="Q43" t="s">
        <v>254</v>
      </c>
      <c r="S43" t="s">
        <v>423</v>
      </c>
      <c r="T43" t="s">
        <v>320</v>
      </c>
      <c r="U43">
        <v>1.9192652608518383E-2</v>
      </c>
      <c r="V43" t="s">
        <v>254</v>
      </c>
      <c r="X43">
        <v>1.7123287671232876E-2</v>
      </c>
      <c r="Y43">
        <v>2.143052482410562E-2</v>
      </c>
      <c r="Z43" t="s">
        <v>320</v>
      </c>
      <c r="AA43" t="s">
        <v>25</v>
      </c>
      <c r="AC43" t="s">
        <v>22</v>
      </c>
      <c r="AD43" t="s">
        <v>320</v>
      </c>
      <c r="AE43">
        <v>2.0452714467696094E-2</v>
      </c>
      <c r="AG43" t="s">
        <v>97</v>
      </c>
      <c r="AH43" t="s">
        <v>320</v>
      </c>
      <c r="AI43">
        <v>8.7185746927849417E-2</v>
      </c>
    </row>
    <row r="44" spans="9:35" x14ac:dyDescent="0.45">
      <c r="I44" t="s">
        <v>252</v>
      </c>
      <c r="J44" t="s">
        <v>321</v>
      </c>
      <c r="K44">
        <v>5.2665416862010123E-3</v>
      </c>
      <c r="L44" t="s">
        <v>254</v>
      </c>
      <c r="N44" t="s">
        <v>422</v>
      </c>
      <c r="O44" t="s">
        <v>321</v>
      </c>
      <c r="P44">
        <v>4.4544946420195762E-3</v>
      </c>
      <c r="Q44" t="s">
        <v>254</v>
      </c>
      <c r="S44" t="s">
        <v>423</v>
      </c>
      <c r="T44" t="s">
        <v>321</v>
      </c>
      <c r="U44">
        <v>3.666573427115692E-3</v>
      </c>
      <c r="V44" t="s">
        <v>254</v>
      </c>
      <c r="X44">
        <v>3.4246575342465752E-3</v>
      </c>
      <c r="Y44">
        <v>4.4651070283171336E-3</v>
      </c>
      <c r="Z44" t="s">
        <v>321</v>
      </c>
      <c r="AA44" t="s">
        <v>25</v>
      </c>
      <c r="AC44" t="s">
        <v>22</v>
      </c>
      <c r="AD44" t="s">
        <v>321</v>
      </c>
      <c r="AE44">
        <v>4.0651825043714063E-3</v>
      </c>
      <c r="AG44" t="s">
        <v>97</v>
      </c>
      <c r="AH44" t="s">
        <v>321</v>
      </c>
      <c r="AI44">
        <v>8.3883454206900465E-2</v>
      </c>
    </row>
    <row r="45" spans="9:35" x14ac:dyDescent="0.45">
      <c r="I45" t="s">
        <v>252</v>
      </c>
      <c r="J45" t="s">
        <v>322</v>
      </c>
      <c r="K45">
        <v>1.270485190696148E-2</v>
      </c>
      <c r="L45" t="s">
        <v>254</v>
      </c>
      <c r="N45" t="s">
        <v>422</v>
      </c>
      <c r="O45" t="s">
        <v>322</v>
      </c>
      <c r="P45">
        <v>1.7820483939701297E-2</v>
      </c>
      <c r="Q45" t="s">
        <v>254</v>
      </c>
      <c r="S45" t="s">
        <v>423</v>
      </c>
      <c r="T45" t="s">
        <v>322</v>
      </c>
      <c r="U45">
        <v>1.5091595625600508E-2</v>
      </c>
      <c r="V45" t="s">
        <v>254</v>
      </c>
      <c r="X45">
        <v>1.3698630136986301E-2</v>
      </c>
      <c r="Y45">
        <v>2.3011709718320367E-2</v>
      </c>
      <c r="Z45" t="s">
        <v>322</v>
      </c>
      <c r="AA45" t="s">
        <v>25</v>
      </c>
      <c r="AC45" t="s">
        <v>22</v>
      </c>
      <c r="AD45" t="s">
        <v>322</v>
      </c>
      <c r="AE45">
        <v>1.637977369310456E-2</v>
      </c>
      <c r="AG45" t="s">
        <v>97</v>
      </c>
      <c r="AH45" t="s">
        <v>322</v>
      </c>
      <c r="AI45">
        <v>9.1759895716467366E-2</v>
      </c>
    </row>
    <row r="46" spans="9:35" x14ac:dyDescent="0.45">
      <c r="I46" t="s">
        <v>252</v>
      </c>
      <c r="J46" t="s">
        <v>323</v>
      </c>
      <c r="K46">
        <v>0</v>
      </c>
      <c r="L46" t="s">
        <v>254</v>
      </c>
      <c r="N46" t="s">
        <v>422</v>
      </c>
      <c r="O46" t="s">
        <v>323</v>
      </c>
      <c r="P46">
        <v>2.5727119340730506E-2</v>
      </c>
      <c r="Q46" t="s">
        <v>254</v>
      </c>
      <c r="S46" t="s">
        <v>423</v>
      </c>
      <c r="T46" t="s">
        <v>323</v>
      </c>
      <c r="U46">
        <v>2.3947295215002884E-2</v>
      </c>
      <c r="V46" t="s">
        <v>254</v>
      </c>
      <c r="X46">
        <v>2.0547945205479451E-2</v>
      </c>
      <c r="Y46">
        <v>1.8099097531263209E-2</v>
      </c>
      <c r="Z46" t="s">
        <v>323</v>
      </c>
      <c r="AA46" t="s">
        <v>25</v>
      </c>
      <c r="AC46" t="s">
        <v>22</v>
      </c>
      <c r="AD46" t="s">
        <v>323</v>
      </c>
      <c r="AE46">
        <v>2.1459757666207505E-2</v>
      </c>
      <c r="AG46" t="s">
        <v>97</v>
      </c>
      <c r="AH46" t="s">
        <v>323</v>
      </c>
      <c r="AI46">
        <v>0.20586110636602517</v>
      </c>
    </row>
    <row r="47" spans="9:35" x14ac:dyDescent="0.45">
      <c r="I47" t="s">
        <v>252</v>
      </c>
      <c r="J47" t="s">
        <v>326</v>
      </c>
      <c r="K47">
        <v>0</v>
      </c>
      <c r="L47" t="s">
        <v>254</v>
      </c>
      <c r="N47" t="s">
        <v>422</v>
      </c>
      <c r="O47" t="s">
        <v>326</v>
      </c>
      <c r="P47">
        <v>3.1146804888227204E-2</v>
      </c>
      <c r="Q47" t="s">
        <v>254</v>
      </c>
      <c r="S47" t="s">
        <v>423</v>
      </c>
      <c r="T47" t="s">
        <v>326</v>
      </c>
      <c r="U47">
        <v>2.8793009642577382E-2</v>
      </c>
      <c r="V47" t="s">
        <v>254</v>
      </c>
      <c r="X47">
        <v>2.4771689497716895E-2</v>
      </c>
      <c r="Y47">
        <v>9.7827942553597048E-3</v>
      </c>
      <c r="Z47" t="s">
        <v>326</v>
      </c>
      <c r="AA47" t="s">
        <v>25</v>
      </c>
      <c r="AC47" t="s">
        <v>22</v>
      </c>
      <c r="AD47" t="s">
        <v>326</v>
      </c>
      <c r="AE47">
        <v>2.1425280402942632E-2</v>
      </c>
      <c r="AG47" t="s">
        <v>97</v>
      </c>
      <c r="AH47" t="s">
        <v>326</v>
      </c>
      <c r="AI47">
        <v>0.2947027221455345</v>
      </c>
    </row>
    <row r="48" spans="9:35" x14ac:dyDescent="0.45">
      <c r="I48" t="s">
        <v>252</v>
      </c>
      <c r="J48" t="s">
        <v>327</v>
      </c>
      <c r="K48">
        <v>0</v>
      </c>
      <c r="L48" t="s">
        <v>254</v>
      </c>
      <c r="N48" t="s">
        <v>422</v>
      </c>
      <c r="O48" t="s">
        <v>327</v>
      </c>
      <c r="P48">
        <v>4.31761190741473E-3</v>
      </c>
      <c r="Q48" t="s">
        <v>254</v>
      </c>
      <c r="S48" t="s">
        <v>423</v>
      </c>
      <c r="T48" t="s">
        <v>327</v>
      </c>
      <c r="U48">
        <v>4.1199438315051417E-3</v>
      </c>
      <c r="V48" t="s">
        <v>254</v>
      </c>
      <c r="X48">
        <v>3.5388127853881279E-3</v>
      </c>
      <c r="Y48">
        <v>5.9087255218821738E-3</v>
      </c>
      <c r="Z48" t="s">
        <v>327</v>
      </c>
      <c r="AA48" t="s">
        <v>25</v>
      </c>
      <c r="AC48" t="s">
        <v>22</v>
      </c>
      <c r="AD48" t="s">
        <v>327</v>
      </c>
      <c r="AE48">
        <v>4.1125234349494791E-3</v>
      </c>
      <c r="AG48" t="s">
        <v>97</v>
      </c>
      <c r="AH48" t="s">
        <v>327</v>
      </c>
      <c r="AI48">
        <v>8.4630227908339517E-2</v>
      </c>
    </row>
    <row r="49" spans="9:35" x14ac:dyDescent="0.45">
      <c r="I49" t="s">
        <v>252</v>
      </c>
      <c r="J49" t="s">
        <v>328</v>
      </c>
      <c r="K49">
        <v>2.4971956384415749E-2</v>
      </c>
      <c r="L49" t="s">
        <v>254</v>
      </c>
      <c r="N49" t="s">
        <v>422</v>
      </c>
      <c r="O49" t="s">
        <v>328</v>
      </c>
      <c r="P49">
        <v>2.0954201606143537E-2</v>
      </c>
      <c r="Q49" t="s">
        <v>254</v>
      </c>
      <c r="S49" t="s">
        <v>423</v>
      </c>
      <c r="T49" t="s">
        <v>328</v>
      </c>
      <c r="U49">
        <v>2.0317700570729836E-2</v>
      </c>
      <c r="V49" t="s">
        <v>254</v>
      </c>
      <c r="X49">
        <v>1.7694063926940638E-2</v>
      </c>
      <c r="Y49">
        <v>2.2144875651575809E-2</v>
      </c>
      <c r="Z49" t="s">
        <v>328</v>
      </c>
      <c r="AA49" t="s">
        <v>25</v>
      </c>
      <c r="AC49" t="s">
        <v>22</v>
      </c>
      <c r="AD49" t="s">
        <v>328</v>
      </c>
      <c r="AE49">
        <v>2.1353285660292723E-2</v>
      </c>
      <c r="AG49" t="s">
        <v>97</v>
      </c>
      <c r="AH49" t="s">
        <v>328</v>
      </c>
      <c r="AI49">
        <v>8.1828217485444554E-2</v>
      </c>
    </row>
    <row r="50" spans="9:35" x14ac:dyDescent="0.45">
      <c r="I50" t="s">
        <v>252</v>
      </c>
      <c r="J50" t="s">
        <v>329</v>
      </c>
      <c r="K50">
        <v>6.5515329450327254E-3</v>
      </c>
      <c r="L50" t="s">
        <v>254</v>
      </c>
      <c r="N50" t="s">
        <v>422</v>
      </c>
      <c r="O50" t="s">
        <v>329</v>
      </c>
      <c r="P50">
        <v>4.1898215208638848E-3</v>
      </c>
      <c r="Q50" t="s">
        <v>254</v>
      </c>
      <c r="S50" t="s">
        <v>423</v>
      </c>
      <c r="T50" t="s">
        <v>329</v>
      </c>
      <c r="U50">
        <v>3.9982360424480265E-3</v>
      </c>
      <c r="V50" t="s">
        <v>254</v>
      </c>
      <c r="X50">
        <v>3.5388127853881279E-3</v>
      </c>
      <c r="Y50">
        <v>4.6139439292610376E-3</v>
      </c>
      <c r="Z50" t="s">
        <v>329</v>
      </c>
      <c r="AA50" t="s">
        <v>25</v>
      </c>
      <c r="AC50" t="s">
        <v>22</v>
      </c>
      <c r="AD50" t="s">
        <v>329</v>
      </c>
      <c r="AE50">
        <v>4.2043748081554795E-3</v>
      </c>
      <c r="AG50" t="s">
        <v>97</v>
      </c>
      <c r="AH50" t="s">
        <v>329</v>
      </c>
      <c r="AI50">
        <v>7.6650597053711245E-2</v>
      </c>
    </row>
    <row r="51" spans="9:35" x14ac:dyDescent="0.45">
      <c r="I51" t="s">
        <v>252</v>
      </c>
      <c r="J51" t="s">
        <v>330</v>
      </c>
      <c r="K51">
        <v>1.7209180066218403E-2</v>
      </c>
      <c r="L51" t="s">
        <v>254</v>
      </c>
      <c r="N51" t="s">
        <v>422</v>
      </c>
      <c r="O51" t="s">
        <v>330</v>
      </c>
      <c r="P51">
        <v>1.7172652786989016E-2</v>
      </c>
      <c r="Q51" t="s">
        <v>254</v>
      </c>
      <c r="S51" t="s">
        <v>423</v>
      </c>
      <c r="T51" t="s">
        <v>330</v>
      </c>
      <c r="U51">
        <v>1.6468150467486259E-2</v>
      </c>
      <c r="V51" t="s">
        <v>254</v>
      </c>
      <c r="X51">
        <v>1.4155251141552512E-2</v>
      </c>
      <c r="Y51">
        <v>2.3778766708931042E-2</v>
      </c>
      <c r="Z51" t="s">
        <v>330</v>
      </c>
      <c r="AA51" t="s">
        <v>25</v>
      </c>
      <c r="AC51" t="s">
        <v>22</v>
      </c>
      <c r="AD51" t="s">
        <v>330</v>
      </c>
      <c r="AE51">
        <v>1.7033904852417313E-2</v>
      </c>
      <c r="AG51" t="s">
        <v>97</v>
      </c>
      <c r="AH51" t="s">
        <v>330</v>
      </c>
      <c r="AI51">
        <v>8.336058196802254E-2</v>
      </c>
    </row>
    <row r="52" spans="9:35" x14ac:dyDescent="0.45">
      <c r="I52" t="s">
        <v>252</v>
      </c>
      <c r="J52" t="s">
        <v>331</v>
      </c>
      <c r="K52">
        <v>0</v>
      </c>
      <c r="L52" t="s">
        <v>254</v>
      </c>
      <c r="N52" t="s">
        <v>422</v>
      </c>
      <c r="O52" t="s">
        <v>331</v>
      </c>
      <c r="P52">
        <v>2.8229797330429289E-2</v>
      </c>
      <c r="Q52" t="s">
        <v>254</v>
      </c>
      <c r="S52" t="s">
        <v>423</v>
      </c>
      <c r="T52" t="s">
        <v>331</v>
      </c>
      <c r="U52">
        <v>2.4994685761360526E-2</v>
      </c>
      <c r="V52" t="s">
        <v>254</v>
      </c>
      <c r="X52">
        <v>2.1232876712328767E-2</v>
      </c>
      <c r="Y52">
        <v>1.8702400782305319E-2</v>
      </c>
      <c r="Z52" t="s">
        <v>331</v>
      </c>
      <c r="AA52" t="s">
        <v>25</v>
      </c>
      <c r="AC52" t="s">
        <v>22</v>
      </c>
      <c r="AD52" t="s">
        <v>331</v>
      </c>
      <c r="AE52">
        <v>2.2314284150476777E-2</v>
      </c>
      <c r="AG52" t="s">
        <v>97</v>
      </c>
      <c r="AH52" t="s">
        <v>331</v>
      </c>
      <c r="AI52">
        <v>0.19559280053890871</v>
      </c>
    </row>
    <row r="53" spans="9:35" x14ac:dyDescent="0.45">
      <c r="AC53" t="s">
        <v>19</v>
      </c>
      <c r="AD53" t="s">
        <v>253</v>
      </c>
      <c r="AE53">
        <v>4.6456658788646889E-2</v>
      </c>
    </row>
    <row r="54" spans="9:35" x14ac:dyDescent="0.45">
      <c r="AC54" t="s">
        <v>19</v>
      </c>
      <c r="AD54" t="s">
        <v>255</v>
      </c>
      <c r="AE54">
        <v>6.8027194167081971E-3</v>
      </c>
    </row>
    <row r="55" spans="9:35" x14ac:dyDescent="0.45">
      <c r="AC55" t="s">
        <v>19</v>
      </c>
      <c r="AD55" t="s">
        <v>256</v>
      </c>
      <c r="AE55">
        <v>3.4091686847364286E-2</v>
      </c>
    </row>
    <row r="56" spans="9:35" x14ac:dyDescent="0.45">
      <c r="AC56" t="s">
        <v>19</v>
      </c>
      <c r="AD56" t="s">
        <v>257</v>
      </c>
      <c r="AE56">
        <v>6.8149171516253279E-3</v>
      </c>
    </row>
    <row r="57" spans="9:35" x14ac:dyDescent="0.45">
      <c r="AC57" t="s">
        <v>19</v>
      </c>
      <c r="AD57" t="s">
        <v>258</v>
      </c>
      <c r="AE57">
        <v>2.7277960194061306E-2</v>
      </c>
    </row>
    <row r="58" spans="9:35" x14ac:dyDescent="0.45">
      <c r="AC58" t="s">
        <v>19</v>
      </c>
      <c r="AD58" t="s">
        <v>259</v>
      </c>
      <c r="AE58">
        <v>4.0361202673546197E-2</v>
      </c>
    </row>
    <row r="59" spans="9:35" x14ac:dyDescent="0.45">
      <c r="AC59" t="s">
        <v>19</v>
      </c>
      <c r="AD59" t="s">
        <v>286</v>
      </c>
      <c r="AE59">
        <v>2.4432411551340204E-2</v>
      </c>
    </row>
    <row r="60" spans="9:35" x14ac:dyDescent="0.45">
      <c r="AC60" t="s">
        <v>19</v>
      </c>
      <c r="AD60" t="s">
        <v>287</v>
      </c>
      <c r="AE60">
        <v>3.5675608551710924E-3</v>
      </c>
    </row>
    <row r="61" spans="9:35" x14ac:dyDescent="0.45">
      <c r="AC61" t="s">
        <v>19</v>
      </c>
      <c r="AD61" t="s">
        <v>288</v>
      </c>
      <c r="AE61">
        <v>1.7888564997281624E-2</v>
      </c>
    </row>
    <row r="62" spans="9:35" x14ac:dyDescent="0.45">
      <c r="AC62" t="s">
        <v>19</v>
      </c>
      <c r="AD62" t="s">
        <v>289</v>
      </c>
      <c r="AE62">
        <v>3.5732902347939584E-3</v>
      </c>
    </row>
    <row r="63" spans="9:35" x14ac:dyDescent="0.45">
      <c r="AC63" t="s">
        <v>19</v>
      </c>
      <c r="AD63" t="s">
        <v>290</v>
      </c>
      <c r="AE63">
        <v>1.4299478660760897E-2</v>
      </c>
    </row>
    <row r="64" spans="9:35" x14ac:dyDescent="0.45">
      <c r="AC64" t="s">
        <v>19</v>
      </c>
      <c r="AD64" t="s">
        <v>291</v>
      </c>
      <c r="AE64">
        <v>2.1210920477999422E-2</v>
      </c>
    </row>
    <row r="65" spans="29:31" x14ac:dyDescent="0.45">
      <c r="AC65" t="s">
        <v>19</v>
      </c>
      <c r="AD65" t="s">
        <v>294</v>
      </c>
      <c r="AE65">
        <v>2.3682791462922036E-2</v>
      </c>
    </row>
    <row r="66" spans="29:31" x14ac:dyDescent="0.45">
      <c r="AC66" t="s">
        <v>19</v>
      </c>
      <c r="AD66" t="s">
        <v>295</v>
      </c>
      <c r="AE66">
        <v>3.4533939736514372E-3</v>
      </c>
    </row>
    <row r="67" spans="29:31" x14ac:dyDescent="0.45">
      <c r="AC67" t="s">
        <v>19</v>
      </c>
      <c r="AD67" t="s">
        <v>296</v>
      </c>
      <c r="AE67">
        <v>1.7291051580943385E-2</v>
      </c>
    </row>
    <row r="68" spans="29:31" x14ac:dyDescent="0.45">
      <c r="AC68" t="s">
        <v>19</v>
      </c>
      <c r="AD68" t="s">
        <v>297</v>
      </c>
      <c r="AE68">
        <v>3.4537794521258651E-3</v>
      </c>
    </row>
    <row r="69" spans="29:31" x14ac:dyDescent="0.45">
      <c r="AC69" t="s">
        <v>19</v>
      </c>
      <c r="AD69" t="s">
        <v>298</v>
      </c>
      <c r="AE69">
        <v>1.3812103431174467E-2</v>
      </c>
    </row>
    <row r="70" spans="29:31" x14ac:dyDescent="0.45">
      <c r="AC70" t="s">
        <v>19</v>
      </c>
      <c r="AD70" t="s">
        <v>299</v>
      </c>
      <c r="AE70">
        <v>2.0495156606258523E-2</v>
      </c>
    </row>
    <row r="71" spans="29:31" x14ac:dyDescent="0.45">
      <c r="AC71" t="s">
        <v>19</v>
      </c>
      <c r="AD71" t="s">
        <v>302</v>
      </c>
      <c r="AE71">
        <v>7.2537514535187295E-2</v>
      </c>
    </row>
    <row r="72" spans="29:31" x14ac:dyDescent="0.45">
      <c r="AC72" t="s">
        <v>19</v>
      </c>
      <c r="AD72" t="s">
        <v>303</v>
      </c>
      <c r="AE72">
        <v>1.0554001018632539E-2</v>
      </c>
    </row>
    <row r="73" spans="29:31" x14ac:dyDescent="0.45">
      <c r="AC73" t="s">
        <v>19</v>
      </c>
      <c r="AD73" t="s">
        <v>304</v>
      </c>
      <c r="AE73">
        <v>5.2972726652186157E-2</v>
      </c>
    </row>
    <row r="74" spans="29:31" x14ac:dyDescent="0.45">
      <c r="AC74" t="s">
        <v>19</v>
      </c>
      <c r="AD74" t="s">
        <v>305</v>
      </c>
      <c r="AE74">
        <v>1.0590103528399054E-2</v>
      </c>
    </row>
    <row r="75" spans="29:31" x14ac:dyDescent="0.45">
      <c r="AC75" t="s">
        <v>19</v>
      </c>
      <c r="AD75" t="s">
        <v>306</v>
      </c>
      <c r="AE75">
        <v>4.232672552794349E-2</v>
      </c>
    </row>
    <row r="76" spans="29:31" x14ac:dyDescent="0.45">
      <c r="AC76" t="s">
        <v>19</v>
      </c>
      <c r="AD76" t="s">
        <v>307</v>
      </c>
      <c r="AE76">
        <v>6.2949364180990203E-2</v>
      </c>
    </row>
    <row r="77" spans="29:31" x14ac:dyDescent="0.45">
      <c r="AC77" t="s">
        <v>19</v>
      </c>
      <c r="AD77" t="s">
        <v>310</v>
      </c>
      <c r="AE77">
        <v>7.2498575260090153E-2</v>
      </c>
    </row>
    <row r="78" spans="29:31" x14ac:dyDescent="0.45">
      <c r="AC78" t="s">
        <v>19</v>
      </c>
      <c r="AD78" t="s">
        <v>311</v>
      </c>
      <c r="AE78">
        <v>1.0546733687289457E-2</v>
      </c>
    </row>
    <row r="79" spans="29:31" x14ac:dyDescent="0.45">
      <c r="AC79" t="s">
        <v>19</v>
      </c>
      <c r="AD79" t="s">
        <v>312</v>
      </c>
      <c r="AE79">
        <v>5.2979482590602228E-2</v>
      </c>
    </row>
    <row r="80" spans="29:31" x14ac:dyDescent="0.45">
      <c r="AC80" t="s">
        <v>19</v>
      </c>
      <c r="AD80" t="s">
        <v>313</v>
      </c>
      <c r="AE80">
        <v>1.0591326753124776E-2</v>
      </c>
    </row>
    <row r="81" spans="29:31" x14ac:dyDescent="0.45">
      <c r="AC81" t="s">
        <v>19</v>
      </c>
      <c r="AD81" t="s">
        <v>314</v>
      </c>
      <c r="AE81">
        <v>4.2334835099948169E-2</v>
      </c>
    </row>
    <row r="82" spans="29:31" x14ac:dyDescent="0.45">
      <c r="AC82" t="s">
        <v>19</v>
      </c>
      <c r="AD82" t="s">
        <v>315</v>
      </c>
      <c r="AE82">
        <v>6.296009297703993E-2</v>
      </c>
    </row>
    <row r="83" spans="29:31" x14ac:dyDescent="0.45">
      <c r="AC83" t="s">
        <v>19</v>
      </c>
      <c r="AD83" t="s">
        <v>318</v>
      </c>
      <c r="AE83">
        <v>2.3601944688261496E-2</v>
      </c>
    </row>
    <row r="84" spans="29:31" x14ac:dyDescent="0.45">
      <c r="AC84" t="s">
        <v>19</v>
      </c>
      <c r="AD84" t="s">
        <v>319</v>
      </c>
      <c r="AE84">
        <v>3.4495549500944142E-3</v>
      </c>
    </row>
    <row r="85" spans="29:31" x14ac:dyDescent="0.45">
      <c r="AC85" t="s">
        <v>19</v>
      </c>
      <c r="AD85" t="s">
        <v>320</v>
      </c>
      <c r="AE85">
        <v>1.7312147574079905E-2</v>
      </c>
    </row>
    <row r="86" spans="29:31" x14ac:dyDescent="0.45">
      <c r="AC86" t="s">
        <v>19</v>
      </c>
      <c r="AD86" t="s">
        <v>321</v>
      </c>
      <c r="AE86">
        <v>3.4605527247727878E-3</v>
      </c>
    </row>
    <row r="87" spans="29:31" x14ac:dyDescent="0.45">
      <c r="AC87" t="s">
        <v>19</v>
      </c>
      <c r="AD87" t="s">
        <v>322</v>
      </c>
      <c r="AE87">
        <v>1.3851020700219534E-2</v>
      </c>
    </row>
    <row r="88" spans="29:31" x14ac:dyDescent="0.45">
      <c r="AC88" t="s">
        <v>19</v>
      </c>
      <c r="AD88" t="s">
        <v>323</v>
      </c>
      <c r="AE88">
        <v>2.054638336964636E-2</v>
      </c>
    </row>
    <row r="89" spans="29:31" x14ac:dyDescent="0.45">
      <c r="AC89" t="s">
        <v>19</v>
      </c>
      <c r="AD89" t="s">
        <v>326</v>
      </c>
      <c r="AE89">
        <v>2.4416657413212691E-2</v>
      </c>
    </row>
    <row r="90" spans="29:31" x14ac:dyDescent="0.45">
      <c r="AC90" t="s">
        <v>19</v>
      </c>
      <c r="AD90" t="s">
        <v>327</v>
      </c>
      <c r="AE90">
        <v>3.5659298573304079E-3</v>
      </c>
    </row>
    <row r="91" spans="29:31" x14ac:dyDescent="0.45">
      <c r="AC91" t="s">
        <v>19</v>
      </c>
      <c r="AD91" t="s">
        <v>328</v>
      </c>
      <c r="AE91">
        <v>1.7888162534667247E-2</v>
      </c>
    </row>
    <row r="92" spans="29:31" x14ac:dyDescent="0.45">
      <c r="AC92" t="s">
        <v>19</v>
      </c>
      <c r="AD92" t="s">
        <v>329</v>
      </c>
      <c r="AE92">
        <v>3.5727272980773136E-3</v>
      </c>
    </row>
    <row r="93" spans="29:31" x14ac:dyDescent="0.45">
      <c r="AC93" t="s">
        <v>19</v>
      </c>
      <c r="AD93" t="s">
        <v>330</v>
      </c>
      <c r="AE93">
        <v>1.4306924242781691E-2</v>
      </c>
    </row>
    <row r="94" spans="29:31" x14ac:dyDescent="0.45">
      <c r="AC94" t="s">
        <v>19</v>
      </c>
      <c r="AD94" t="s">
        <v>331</v>
      </c>
      <c r="AE94">
        <v>2.1220864479047526E-2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15EB3-FB3B-4E97-A733-B68BE74F7D69}">
  <dimension ref="A9:AN12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128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2258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5.2425364559329224E-2</v>
      </c>
      <c r="Q11" t="s">
        <v>254</v>
      </c>
      <c r="S11" t="s">
        <v>423</v>
      </c>
      <c r="T11" t="s">
        <v>253</v>
      </c>
      <c r="U11">
        <v>5.3566783468345723E-2</v>
      </c>
      <c r="V11" t="s">
        <v>254</v>
      </c>
      <c r="X11">
        <v>4.714611872146119E-2</v>
      </c>
      <c r="Y11">
        <v>1.861886648600718E-2</v>
      </c>
      <c r="Z11" t="s">
        <v>253</v>
      </c>
      <c r="AA11" t="s">
        <v>25</v>
      </c>
      <c r="AC11" t="s">
        <v>22</v>
      </c>
      <c r="AD11" t="s">
        <v>253</v>
      </c>
      <c r="AE11">
        <v>4.3716715583948219E-2</v>
      </c>
      <c r="AG11" t="s">
        <v>97</v>
      </c>
      <c r="AH11" t="s">
        <v>253</v>
      </c>
      <c r="AI11">
        <v>0.30733129923405222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8.3849719630973629E-5</v>
      </c>
      <c r="L12" t="s">
        <v>254</v>
      </c>
      <c r="N12" t="s">
        <v>422</v>
      </c>
      <c r="O12" t="s">
        <v>255</v>
      </c>
      <c r="P12">
        <v>7.4596528143409226E-3</v>
      </c>
      <c r="Q12" t="s">
        <v>254</v>
      </c>
      <c r="S12" t="s">
        <v>423</v>
      </c>
      <c r="T12" t="s">
        <v>255</v>
      </c>
      <c r="U12">
        <v>7.7059079308925728E-3</v>
      </c>
      <c r="V12" t="s">
        <v>254</v>
      </c>
      <c r="X12">
        <v>6.735159817351598E-3</v>
      </c>
      <c r="Y12">
        <v>1.124563889648543E-2</v>
      </c>
      <c r="Z12" t="s">
        <v>255</v>
      </c>
      <c r="AA12" t="s">
        <v>25</v>
      </c>
      <c r="AC12" t="s">
        <v>22</v>
      </c>
      <c r="AD12" t="s">
        <v>255</v>
      </c>
      <c r="AE12">
        <v>8.4890714081021657E-3</v>
      </c>
      <c r="AG12" t="s">
        <v>97</v>
      </c>
      <c r="AH12" t="s">
        <v>255</v>
      </c>
      <c r="AI12">
        <v>7.7008049574196047E-2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1.431666169292708E-2</v>
      </c>
      <c r="L13" t="s">
        <v>254</v>
      </c>
      <c r="N13" t="s">
        <v>422</v>
      </c>
      <c r="O13" t="s">
        <v>256</v>
      </c>
      <c r="P13">
        <v>1.4762918541770788E-2</v>
      </c>
      <c r="Q13" t="s">
        <v>254</v>
      </c>
      <c r="S13" t="s">
        <v>423</v>
      </c>
      <c r="T13" t="s">
        <v>256</v>
      </c>
      <c r="U13">
        <v>1.5343809115369278E-2</v>
      </c>
      <c r="V13" t="s">
        <v>254</v>
      </c>
      <c r="X13">
        <v>1.3470319634703196E-2</v>
      </c>
      <c r="Y13">
        <v>1.7132486388384761E-2</v>
      </c>
      <c r="Z13" t="s">
        <v>256</v>
      </c>
      <c r="AA13" t="s">
        <v>25</v>
      </c>
      <c r="AC13" t="s">
        <v>22</v>
      </c>
      <c r="AD13" t="s">
        <v>256</v>
      </c>
      <c r="AE13">
        <v>1.7391315454842394E-2</v>
      </c>
      <c r="AG13" t="s">
        <v>97</v>
      </c>
      <c r="AH13" t="s">
        <v>256</v>
      </c>
      <c r="AI13">
        <v>6.730690152138008E-2</v>
      </c>
    </row>
    <row r="14" spans="1:40" x14ac:dyDescent="0.45">
      <c r="C14" t="s">
        <v>165</v>
      </c>
      <c r="E14" t="s">
        <v>246</v>
      </c>
      <c r="G14" t="s">
        <v>155</v>
      </c>
      <c r="I14" t="s">
        <v>252</v>
      </c>
      <c r="J14" t="s">
        <v>257</v>
      </c>
      <c r="K14">
        <v>3.8275641991237834E-2</v>
      </c>
      <c r="L14" t="s">
        <v>254</v>
      </c>
      <c r="N14" t="s">
        <v>422</v>
      </c>
      <c r="O14" t="s">
        <v>257</v>
      </c>
      <c r="P14">
        <v>2.163047845013024E-2</v>
      </c>
      <c r="Q14" t="s">
        <v>254</v>
      </c>
      <c r="S14" t="s">
        <v>423</v>
      </c>
      <c r="T14" t="s">
        <v>257</v>
      </c>
      <c r="U14">
        <v>2.2551879548200499E-2</v>
      </c>
      <c r="V14" t="s">
        <v>254</v>
      </c>
      <c r="X14">
        <v>2.0205479452054795E-2</v>
      </c>
      <c r="Y14">
        <v>2.5014212432356287E-2</v>
      </c>
      <c r="Z14" t="s">
        <v>257</v>
      </c>
      <c r="AA14" t="s">
        <v>25</v>
      </c>
      <c r="AC14" t="s">
        <v>22</v>
      </c>
      <c r="AD14" t="s">
        <v>257</v>
      </c>
      <c r="AE14">
        <v>2.6109240491781347E-2</v>
      </c>
      <c r="AG14" t="s">
        <v>97</v>
      </c>
      <c r="AH14" t="s">
        <v>257</v>
      </c>
      <c r="AI14">
        <v>6.2683149550663453E-2</v>
      </c>
    </row>
    <row r="15" spans="1:40" x14ac:dyDescent="0.45">
      <c r="C15" t="s">
        <v>169</v>
      </c>
      <c r="E15" t="s">
        <v>247</v>
      </c>
      <c r="G15" t="s">
        <v>155</v>
      </c>
      <c r="I15" t="s">
        <v>252</v>
      </c>
      <c r="J15" t="s">
        <v>258</v>
      </c>
      <c r="K15">
        <v>1.2443362136332627E-2</v>
      </c>
      <c r="L15" t="s">
        <v>254</v>
      </c>
      <c r="N15" t="s">
        <v>422</v>
      </c>
      <c r="O15" t="s">
        <v>258</v>
      </c>
      <c r="P15">
        <v>7.338986005465788E-3</v>
      </c>
      <c r="Q15" t="s">
        <v>254</v>
      </c>
      <c r="S15" t="s">
        <v>423</v>
      </c>
      <c r="T15" t="s">
        <v>258</v>
      </c>
      <c r="U15">
        <v>7.5057894300372434E-3</v>
      </c>
      <c r="V15" t="s">
        <v>254</v>
      </c>
      <c r="X15">
        <v>6.735159817351598E-3</v>
      </c>
      <c r="Y15">
        <v>8.7813771556903598E-3</v>
      </c>
      <c r="Z15" t="s">
        <v>258</v>
      </c>
      <c r="AA15" t="s">
        <v>25</v>
      </c>
      <c r="AC15" t="s">
        <v>22</v>
      </c>
      <c r="AD15" t="s">
        <v>258</v>
      </c>
      <c r="AE15">
        <v>8.6538950150826556E-3</v>
      </c>
      <c r="AG15" t="s">
        <v>97</v>
      </c>
      <c r="AH15" t="s">
        <v>258</v>
      </c>
      <c r="AI15">
        <v>6.5186366523115602E-2</v>
      </c>
    </row>
    <row r="16" spans="1:40" x14ac:dyDescent="0.45">
      <c r="C16" t="s">
        <v>171</v>
      </c>
      <c r="E16" t="s">
        <v>248</v>
      </c>
      <c r="G16" t="s">
        <v>155</v>
      </c>
      <c r="I16" t="s">
        <v>252</v>
      </c>
      <c r="J16" t="s">
        <v>259</v>
      </c>
      <c r="K16">
        <v>2.5938970596022896E-2</v>
      </c>
      <c r="L16" t="s">
        <v>254</v>
      </c>
      <c r="N16" t="s">
        <v>422</v>
      </c>
      <c r="O16" t="s">
        <v>259</v>
      </c>
      <c r="P16">
        <v>1.4759294324930674E-2</v>
      </c>
      <c r="Q16" t="s">
        <v>254</v>
      </c>
      <c r="S16" t="s">
        <v>423</v>
      </c>
      <c r="T16" t="s">
        <v>259</v>
      </c>
      <c r="U16">
        <v>1.5079103456305783E-2</v>
      </c>
      <c r="V16" t="s">
        <v>254</v>
      </c>
      <c r="X16">
        <v>1.3470319634703196E-2</v>
      </c>
      <c r="Y16">
        <v>1.9049134409003136E-2</v>
      </c>
      <c r="Z16" t="s">
        <v>259</v>
      </c>
      <c r="AA16" t="s">
        <v>25</v>
      </c>
      <c r="AC16" t="s">
        <v>22</v>
      </c>
      <c r="AD16" t="s">
        <v>259</v>
      </c>
      <c r="AE16">
        <v>1.7318826514763228E-2</v>
      </c>
      <c r="AG16" t="s">
        <v>97</v>
      </c>
      <c r="AH16" t="s">
        <v>259</v>
      </c>
      <c r="AI16">
        <v>6.920492835687897E-2</v>
      </c>
    </row>
    <row r="17" spans="3:35" x14ac:dyDescent="0.45">
      <c r="C17" t="s">
        <v>173</v>
      </c>
      <c r="E17" t="s">
        <v>249</v>
      </c>
      <c r="G17" t="s">
        <v>155</v>
      </c>
      <c r="I17" t="s">
        <v>252</v>
      </c>
      <c r="J17" t="s">
        <v>260</v>
      </c>
      <c r="K17">
        <v>1.4696041231374862E-2</v>
      </c>
      <c r="L17" t="s">
        <v>254</v>
      </c>
      <c r="N17" t="s">
        <v>422</v>
      </c>
      <c r="O17" t="s">
        <v>260</v>
      </c>
      <c r="P17">
        <v>1.4755378290134664E-2</v>
      </c>
      <c r="Q17" t="s">
        <v>254</v>
      </c>
      <c r="S17" t="s">
        <v>423</v>
      </c>
      <c r="T17" t="s">
        <v>260</v>
      </c>
      <c r="U17">
        <v>1.5037898917817167E-2</v>
      </c>
      <c r="V17" t="s">
        <v>254</v>
      </c>
      <c r="X17">
        <v>1.3470319634703196E-2</v>
      </c>
      <c r="Y17">
        <v>2.6207228037026908E-2</v>
      </c>
      <c r="Z17" t="s">
        <v>260</v>
      </c>
      <c r="AA17" t="s">
        <v>25</v>
      </c>
      <c r="AC17" t="s">
        <v>22</v>
      </c>
      <c r="AD17" t="s">
        <v>260</v>
      </c>
      <c r="AE17">
        <v>1.7543921192636404E-2</v>
      </c>
      <c r="AG17" t="s">
        <v>97</v>
      </c>
      <c r="AH17" t="s">
        <v>260</v>
      </c>
      <c r="AI17">
        <v>5.9355019653709595E-2</v>
      </c>
    </row>
    <row r="18" spans="3:35" x14ac:dyDescent="0.45">
      <c r="E18" t="s">
        <v>250</v>
      </c>
      <c r="G18" t="s">
        <v>155</v>
      </c>
      <c r="I18" t="s">
        <v>252</v>
      </c>
      <c r="J18" t="s">
        <v>261</v>
      </c>
      <c r="K18">
        <v>3.0928607330769746E-4</v>
      </c>
      <c r="L18" t="s">
        <v>254</v>
      </c>
      <c r="N18" t="s">
        <v>422</v>
      </c>
      <c r="O18" t="s">
        <v>261</v>
      </c>
      <c r="P18">
        <v>4.5448256355410631E-2</v>
      </c>
      <c r="Q18" t="s">
        <v>254</v>
      </c>
      <c r="S18" t="s">
        <v>423</v>
      </c>
      <c r="T18" t="s">
        <v>261</v>
      </c>
      <c r="U18">
        <v>4.557979588687882E-2</v>
      </c>
      <c r="V18" t="s">
        <v>254</v>
      </c>
      <c r="X18">
        <v>4.041095890410959E-2</v>
      </c>
      <c r="Y18">
        <v>3.5594891811484314E-2</v>
      </c>
      <c r="Z18" t="s">
        <v>261</v>
      </c>
      <c r="AA18" t="s">
        <v>25</v>
      </c>
      <c r="AC18" t="s">
        <v>22</v>
      </c>
      <c r="AD18" t="s">
        <v>261</v>
      </c>
      <c r="AE18">
        <v>4.4784638916907919E-2</v>
      </c>
      <c r="AG18" t="s">
        <v>97</v>
      </c>
      <c r="AH18" t="s">
        <v>261</v>
      </c>
      <c r="AI18">
        <v>0.19439336779296057</v>
      </c>
    </row>
    <row r="19" spans="3:35" x14ac:dyDescent="0.45">
      <c r="I19" t="s">
        <v>252</v>
      </c>
      <c r="J19" t="s">
        <v>286</v>
      </c>
      <c r="K19">
        <v>1.6104140391799037E-5</v>
      </c>
      <c r="L19" t="s">
        <v>254</v>
      </c>
      <c r="N19" t="s">
        <v>422</v>
      </c>
      <c r="O19" t="s">
        <v>286</v>
      </c>
      <c r="P19">
        <v>2.422069263148147E-2</v>
      </c>
      <c r="Q19" t="s">
        <v>254</v>
      </c>
      <c r="S19" t="s">
        <v>423</v>
      </c>
      <c r="T19" t="s">
        <v>286</v>
      </c>
      <c r="U19">
        <v>2.5901969336789985E-2</v>
      </c>
      <c r="V19" t="s">
        <v>254</v>
      </c>
      <c r="X19">
        <v>2.4771689497716895E-2</v>
      </c>
      <c r="Y19">
        <v>9.7827942553597048E-3</v>
      </c>
      <c r="Z19" t="s">
        <v>286</v>
      </c>
      <c r="AA19" t="s">
        <v>25</v>
      </c>
      <c r="AC19" t="s">
        <v>22</v>
      </c>
      <c r="AD19" t="s">
        <v>286</v>
      </c>
      <c r="AE19">
        <v>2.1673230553283358E-2</v>
      </c>
      <c r="AG19" t="s">
        <v>97</v>
      </c>
      <c r="AH19" t="s">
        <v>286</v>
      </c>
      <c r="AI19">
        <v>0.29189958109755287</v>
      </c>
    </row>
    <row r="20" spans="3:35" x14ac:dyDescent="0.45">
      <c r="I20" t="s">
        <v>252</v>
      </c>
      <c r="J20" t="s">
        <v>287</v>
      </c>
      <c r="K20">
        <v>2.4930351960390073E-3</v>
      </c>
      <c r="L20" t="s">
        <v>254</v>
      </c>
      <c r="N20" t="s">
        <v>422</v>
      </c>
      <c r="O20" t="s">
        <v>287</v>
      </c>
      <c r="P20">
        <v>3.5730988300244175E-3</v>
      </c>
      <c r="Q20" t="s">
        <v>254</v>
      </c>
      <c r="S20" t="s">
        <v>423</v>
      </c>
      <c r="T20" t="s">
        <v>287</v>
      </c>
      <c r="U20">
        <v>3.8899664386824219E-3</v>
      </c>
      <c r="V20" t="s">
        <v>254</v>
      </c>
      <c r="X20">
        <v>3.5388127853881279E-3</v>
      </c>
      <c r="Y20">
        <v>5.9087255218821738E-3</v>
      </c>
      <c r="Z20" t="s">
        <v>287</v>
      </c>
      <c r="AA20" t="s">
        <v>25</v>
      </c>
      <c r="AC20" t="s">
        <v>22</v>
      </c>
      <c r="AD20" t="s">
        <v>287</v>
      </c>
      <c r="AE20">
        <v>4.1395725431968974E-3</v>
      </c>
      <c r="AG20" t="s">
        <v>97</v>
      </c>
      <c r="AH20" t="s">
        <v>287</v>
      </c>
      <c r="AI20">
        <v>7.1225832716647064E-2</v>
      </c>
    </row>
    <row r="21" spans="3:35" x14ac:dyDescent="0.45">
      <c r="I21" t="s">
        <v>252</v>
      </c>
      <c r="J21" t="s">
        <v>288</v>
      </c>
      <c r="K21">
        <v>1.2217569584091117E-2</v>
      </c>
      <c r="L21" t="s">
        <v>254</v>
      </c>
      <c r="N21" t="s">
        <v>422</v>
      </c>
      <c r="O21" t="s">
        <v>288</v>
      </c>
      <c r="P21">
        <v>6.9748728034219332E-3</v>
      </c>
      <c r="Q21" t="s">
        <v>254</v>
      </c>
      <c r="S21" t="s">
        <v>423</v>
      </c>
      <c r="T21" t="s">
        <v>288</v>
      </c>
      <c r="U21">
        <v>7.7357545072605522E-3</v>
      </c>
      <c r="V21" t="s">
        <v>254</v>
      </c>
      <c r="X21">
        <v>7.0776255707762558E-3</v>
      </c>
      <c r="Y21">
        <v>9.0018148820326695E-3</v>
      </c>
      <c r="Z21" t="s">
        <v>288</v>
      </c>
      <c r="AA21" t="s">
        <v>25</v>
      </c>
      <c r="AC21" t="s">
        <v>22</v>
      </c>
      <c r="AD21" t="s">
        <v>288</v>
      </c>
      <c r="AE21">
        <v>8.58529246405847E-3</v>
      </c>
      <c r="AG21" t="s">
        <v>97</v>
      </c>
      <c r="AH21" t="s">
        <v>288</v>
      </c>
      <c r="AI21">
        <v>7.2679836004472698E-2</v>
      </c>
    </row>
    <row r="22" spans="3:35" x14ac:dyDescent="0.45">
      <c r="I22" t="s">
        <v>252</v>
      </c>
      <c r="J22" t="s">
        <v>289</v>
      </c>
      <c r="K22">
        <v>2.6485135909388655E-2</v>
      </c>
      <c r="L22" t="s">
        <v>254</v>
      </c>
      <c r="N22" t="s">
        <v>422</v>
      </c>
      <c r="O22" t="s">
        <v>289</v>
      </c>
      <c r="P22">
        <v>9.9778372938310565E-3</v>
      </c>
      <c r="Q22" t="s">
        <v>254</v>
      </c>
      <c r="S22" t="s">
        <v>423</v>
      </c>
      <c r="T22" t="s">
        <v>289</v>
      </c>
      <c r="U22">
        <v>1.1131790036312329E-2</v>
      </c>
      <c r="V22" t="s">
        <v>254</v>
      </c>
      <c r="X22">
        <v>1.0616438356164383E-2</v>
      </c>
      <c r="Y22">
        <v>1.3143060769543132E-2</v>
      </c>
      <c r="Z22" t="s">
        <v>289</v>
      </c>
      <c r="AA22" t="s">
        <v>25</v>
      </c>
      <c r="AC22" t="s">
        <v>22</v>
      </c>
      <c r="AD22" t="s">
        <v>289</v>
      </c>
      <c r="AE22">
        <v>1.2798481632623615E-2</v>
      </c>
      <c r="AG22" t="s">
        <v>97</v>
      </c>
      <c r="AH22" t="s">
        <v>289</v>
      </c>
      <c r="AI22">
        <v>7.8130437900502558E-2</v>
      </c>
    </row>
    <row r="23" spans="3:35" x14ac:dyDescent="0.45">
      <c r="I23" t="s">
        <v>252</v>
      </c>
      <c r="J23" t="s">
        <v>290</v>
      </c>
      <c r="K23">
        <v>8.7555444167293581E-3</v>
      </c>
      <c r="L23" t="s">
        <v>254</v>
      </c>
      <c r="N23" t="s">
        <v>422</v>
      </c>
      <c r="O23" t="s">
        <v>290</v>
      </c>
      <c r="P23">
        <v>3.3727831130503645E-3</v>
      </c>
      <c r="Q23" t="s">
        <v>254</v>
      </c>
      <c r="S23" t="s">
        <v>423</v>
      </c>
      <c r="T23" t="s">
        <v>290</v>
      </c>
      <c r="U23">
        <v>3.7073872357237798E-3</v>
      </c>
      <c r="V23" t="s">
        <v>254</v>
      </c>
      <c r="X23">
        <v>3.5388127853881279E-3</v>
      </c>
      <c r="Y23">
        <v>4.6139439292610376E-3</v>
      </c>
      <c r="Z23" t="s">
        <v>290</v>
      </c>
      <c r="AA23" t="s">
        <v>25</v>
      </c>
      <c r="AC23" t="s">
        <v>22</v>
      </c>
      <c r="AD23" t="s">
        <v>290</v>
      </c>
      <c r="AE23">
        <v>4.2169915903902391E-3</v>
      </c>
      <c r="AG23" t="s">
        <v>97</v>
      </c>
      <c r="AH23" t="s">
        <v>290</v>
      </c>
      <c r="AI23">
        <v>8.3300670632449947E-2</v>
      </c>
    </row>
    <row r="24" spans="3:35" x14ac:dyDescent="0.45">
      <c r="I24" t="s">
        <v>252</v>
      </c>
      <c r="J24" t="s">
        <v>291</v>
      </c>
      <c r="K24">
        <v>1.7586171126462422E-2</v>
      </c>
      <c r="L24" t="s">
        <v>254</v>
      </c>
      <c r="N24" t="s">
        <v>422</v>
      </c>
      <c r="O24" t="s">
        <v>291</v>
      </c>
      <c r="P24">
        <v>6.8659250177975891E-3</v>
      </c>
      <c r="Q24" t="s">
        <v>254</v>
      </c>
      <c r="S24" t="s">
        <v>423</v>
      </c>
      <c r="T24" t="s">
        <v>291</v>
      </c>
      <c r="U24">
        <v>7.5891430150184756E-3</v>
      </c>
      <c r="V24" t="s">
        <v>254</v>
      </c>
      <c r="X24">
        <v>7.0776255707762558E-3</v>
      </c>
      <c r="Y24">
        <v>1.0008867231849112E-2</v>
      </c>
      <c r="Z24" t="s">
        <v>291</v>
      </c>
      <c r="AA24" t="s">
        <v>25</v>
      </c>
      <c r="AC24" t="s">
        <v>22</v>
      </c>
      <c r="AD24" t="s">
        <v>291</v>
      </c>
      <c r="AE24">
        <v>8.4096292699114943E-3</v>
      </c>
      <c r="AG24" t="s">
        <v>97</v>
      </c>
      <c r="AH24" t="s">
        <v>291</v>
      </c>
      <c r="AI24">
        <v>8.7356154406409425E-2</v>
      </c>
    </row>
    <row r="25" spans="3:35" x14ac:dyDescent="0.45">
      <c r="I25" t="s">
        <v>252</v>
      </c>
      <c r="J25" t="s">
        <v>292</v>
      </c>
      <c r="K25">
        <v>1.277606612294124E-2</v>
      </c>
      <c r="L25" t="s">
        <v>254</v>
      </c>
      <c r="N25" t="s">
        <v>422</v>
      </c>
      <c r="O25" t="s">
        <v>292</v>
      </c>
      <c r="P25">
        <v>7.0954673722035053E-3</v>
      </c>
      <c r="Q25" t="s">
        <v>254</v>
      </c>
      <c r="S25" t="s">
        <v>423</v>
      </c>
      <c r="T25" t="s">
        <v>292</v>
      </c>
      <c r="U25">
        <v>7.9151255246372714E-3</v>
      </c>
      <c r="V25" t="s">
        <v>254</v>
      </c>
      <c r="X25">
        <v>7.0776255707762558E-3</v>
      </c>
      <c r="Y25">
        <v>1.376989947708193E-2</v>
      </c>
      <c r="Z25" t="s">
        <v>292</v>
      </c>
      <c r="AA25" t="s">
        <v>25</v>
      </c>
      <c r="AC25" t="s">
        <v>22</v>
      </c>
      <c r="AD25" t="s">
        <v>292</v>
      </c>
      <c r="AE25">
        <v>8.5437061922753639E-3</v>
      </c>
      <c r="AG25" t="s">
        <v>97</v>
      </c>
      <c r="AH25" t="s">
        <v>292</v>
      </c>
      <c r="AI25">
        <v>7.7419278474670117E-2</v>
      </c>
    </row>
    <row r="26" spans="3:35" x14ac:dyDescent="0.45">
      <c r="I26" t="s">
        <v>252</v>
      </c>
      <c r="J26" t="s">
        <v>293</v>
      </c>
      <c r="K26">
        <v>3.0355034137326403E-3</v>
      </c>
      <c r="L26" t="s">
        <v>254</v>
      </c>
      <c r="N26" t="s">
        <v>422</v>
      </c>
      <c r="O26" t="s">
        <v>293</v>
      </c>
      <c r="P26">
        <v>2.2133431122873554E-2</v>
      </c>
      <c r="Q26" t="s">
        <v>254</v>
      </c>
      <c r="S26" t="s">
        <v>423</v>
      </c>
      <c r="T26" t="s">
        <v>293</v>
      </c>
      <c r="U26">
        <v>2.3731888608555678E-2</v>
      </c>
      <c r="V26" t="s">
        <v>254</v>
      </c>
      <c r="X26">
        <v>2.1232876712328767E-2</v>
      </c>
      <c r="Y26">
        <v>1.8702400782305319E-2</v>
      </c>
      <c r="Z26" t="s">
        <v>293</v>
      </c>
      <c r="AA26" t="s">
        <v>25</v>
      </c>
      <c r="AC26" t="s">
        <v>22</v>
      </c>
      <c r="AD26" t="s">
        <v>293</v>
      </c>
      <c r="AE26">
        <v>2.220997456358997E-2</v>
      </c>
      <c r="AG26" t="s">
        <v>97</v>
      </c>
      <c r="AH26" t="s">
        <v>293</v>
      </c>
      <c r="AI26">
        <v>0.19728339884766566</v>
      </c>
    </row>
    <row r="27" spans="3:35" x14ac:dyDescent="0.45">
      <c r="I27" t="s">
        <v>252</v>
      </c>
      <c r="J27" t="s">
        <v>294</v>
      </c>
      <c r="K27">
        <v>2.4944652964232262E-3</v>
      </c>
      <c r="L27" t="s">
        <v>254</v>
      </c>
      <c r="N27" t="s">
        <v>422</v>
      </c>
      <c r="O27" t="s">
        <v>294</v>
      </c>
      <c r="P27">
        <v>2.7681132667217855E-2</v>
      </c>
      <c r="Q27" t="s">
        <v>254</v>
      </c>
      <c r="S27" t="s">
        <v>423</v>
      </c>
      <c r="T27" t="s">
        <v>294</v>
      </c>
      <c r="U27">
        <v>2.7873206943640528E-2</v>
      </c>
      <c r="V27" t="s">
        <v>254</v>
      </c>
      <c r="X27">
        <v>2.3972602739726026E-2</v>
      </c>
      <c r="Y27">
        <v>9.4672202471222967E-3</v>
      </c>
      <c r="Z27" t="s">
        <v>294</v>
      </c>
      <c r="AA27" t="s">
        <v>25</v>
      </c>
      <c r="AC27" t="s">
        <v>22</v>
      </c>
      <c r="AD27" t="s">
        <v>294</v>
      </c>
      <c r="AE27">
        <v>1.9928596464069401E-2</v>
      </c>
      <c r="AG27" t="s">
        <v>97</v>
      </c>
      <c r="AH27" t="s">
        <v>294</v>
      </c>
      <c r="AI27">
        <v>0.27785577591947086</v>
      </c>
    </row>
    <row r="28" spans="3:35" x14ac:dyDescent="0.45">
      <c r="I28" t="s">
        <v>252</v>
      </c>
      <c r="J28" t="s">
        <v>295</v>
      </c>
      <c r="K28">
        <v>5.1159918965719819E-3</v>
      </c>
      <c r="L28" t="s">
        <v>254</v>
      </c>
      <c r="N28" t="s">
        <v>422</v>
      </c>
      <c r="O28" t="s">
        <v>295</v>
      </c>
      <c r="P28">
        <v>3.71907315514738E-3</v>
      </c>
      <c r="Q28" t="s">
        <v>254</v>
      </c>
      <c r="S28" t="s">
        <v>423</v>
      </c>
      <c r="T28" t="s">
        <v>295</v>
      </c>
      <c r="U28">
        <v>3.7231555410848502E-3</v>
      </c>
      <c r="V28" t="s">
        <v>254</v>
      </c>
      <c r="X28">
        <v>3.4246575342465752E-3</v>
      </c>
      <c r="Y28">
        <v>5.7181214727892006E-3</v>
      </c>
      <c r="Z28" t="s">
        <v>295</v>
      </c>
      <c r="AA28" t="s">
        <v>25</v>
      </c>
      <c r="AC28" t="s">
        <v>22</v>
      </c>
      <c r="AD28" t="s">
        <v>295</v>
      </c>
      <c r="AE28">
        <v>3.7946926128766649E-3</v>
      </c>
      <c r="AG28" t="s">
        <v>97</v>
      </c>
      <c r="AH28" t="s">
        <v>295</v>
      </c>
      <c r="AI28">
        <v>7.4794780557807972E-2</v>
      </c>
    </row>
    <row r="29" spans="3:35" x14ac:dyDescent="0.45">
      <c r="I29" t="s">
        <v>252</v>
      </c>
      <c r="J29" t="s">
        <v>296</v>
      </c>
      <c r="K29">
        <v>1.5772344864832602E-2</v>
      </c>
      <c r="L29" t="s">
        <v>254</v>
      </c>
      <c r="N29" t="s">
        <v>422</v>
      </c>
      <c r="O29" t="s">
        <v>296</v>
      </c>
      <c r="P29">
        <v>7.3237708627581222E-3</v>
      </c>
      <c r="Q29" t="s">
        <v>254</v>
      </c>
      <c r="S29" t="s">
        <v>423</v>
      </c>
      <c r="T29" t="s">
        <v>296</v>
      </c>
      <c r="U29">
        <v>7.2380689982444726E-3</v>
      </c>
      <c r="V29" t="s">
        <v>254</v>
      </c>
      <c r="X29">
        <v>6.8493150684931503E-3</v>
      </c>
      <c r="Y29">
        <v>8.7114337568058101E-3</v>
      </c>
      <c r="Z29" t="s">
        <v>296</v>
      </c>
      <c r="AA29" t="s">
        <v>25</v>
      </c>
      <c r="AC29" t="s">
        <v>22</v>
      </c>
      <c r="AD29" t="s">
        <v>296</v>
      </c>
      <c r="AE29">
        <v>7.7785013729748257E-3</v>
      </c>
      <c r="AG29" t="s">
        <v>97</v>
      </c>
      <c r="AH29" t="s">
        <v>296</v>
      </c>
      <c r="AI29">
        <v>7.330637502080628E-2</v>
      </c>
    </row>
    <row r="30" spans="3:35" x14ac:dyDescent="0.45">
      <c r="I30" t="s">
        <v>252</v>
      </c>
      <c r="J30" t="s">
        <v>297</v>
      </c>
      <c r="K30">
        <v>2.82518210893829E-2</v>
      </c>
      <c r="L30" t="s">
        <v>254</v>
      </c>
      <c r="N30" t="s">
        <v>422</v>
      </c>
      <c r="O30" t="s">
        <v>297</v>
      </c>
      <c r="P30">
        <v>1.0732055062834039E-2</v>
      </c>
      <c r="Q30" t="s">
        <v>254</v>
      </c>
      <c r="S30" t="s">
        <v>423</v>
      </c>
      <c r="T30" t="s">
        <v>297</v>
      </c>
      <c r="U30">
        <v>1.0485600995887521E-2</v>
      </c>
      <c r="V30" t="s">
        <v>254</v>
      </c>
      <c r="X30">
        <v>1.0273972602739725E-2</v>
      </c>
      <c r="Y30">
        <v>1.2719091067299805E-2</v>
      </c>
      <c r="Z30" t="s">
        <v>297</v>
      </c>
      <c r="AA30" t="s">
        <v>25</v>
      </c>
      <c r="AC30" t="s">
        <v>22</v>
      </c>
      <c r="AD30" t="s">
        <v>297</v>
      </c>
      <c r="AE30">
        <v>1.1520369217820046E-2</v>
      </c>
      <c r="AG30" t="s">
        <v>97</v>
      </c>
      <c r="AH30" t="s">
        <v>297</v>
      </c>
      <c r="AI30">
        <v>6.9585259375130937E-2</v>
      </c>
    </row>
    <row r="31" spans="3:35" x14ac:dyDescent="0.45">
      <c r="I31" t="s">
        <v>252</v>
      </c>
      <c r="J31" t="s">
        <v>298</v>
      </c>
      <c r="K31">
        <v>9.1413712135646995E-3</v>
      </c>
      <c r="L31" t="s">
        <v>254</v>
      </c>
      <c r="N31" t="s">
        <v>422</v>
      </c>
      <c r="O31" t="s">
        <v>298</v>
      </c>
      <c r="P31">
        <v>3.7518861291754814E-3</v>
      </c>
      <c r="Q31" t="s">
        <v>254</v>
      </c>
      <c r="S31" t="s">
        <v>423</v>
      </c>
      <c r="T31" t="s">
        <v>298</v>
      </c>
      <c r="U31">
        <v>3.5812458448567083E-3</v>
      </c>
      <c r="V31" t="s">
        <v>254</v>
      </c>
      <c r="X31">
        <v>3.4246575342465752E-3</v>
      </c>
      <c r="Y31">
        <v>4.4651070283171336E-3</v>
      </c>
      <c r="Z31" t="s">
        <v>298</v>
      </c>
      <c r="AA31" t="s">
        <v>25</v>
      </c>
      <c r="AC31" t="s">
        <v>22</v>
      </c>
      <c r="AD31" t="s">
        <v>298</v>
      </c>
      <c r="AE31">
        <v>3.799901444926237E-3</v>
      </c>
      <c r="AG31" t="s">
        <v>97</v>
      </c>
      <c r="AH31" t="s">
        <v>298</v>
      </c>
      <c r="AI31">
        <v>7.5531060198747779E-2</v>
      </c>
    </row>
    <row r="32" spans="3:35" x14ac:dyDescent="0.45">
      <c r="I32" t="s">
        <v>252</v>
      </c>
      <c r="J32" t="s">
        <v>299</v>
      </c>
      <c r="K32">
        <v>1.7140077917634298E-2</v>
      </c>
      <c r="L32" t="s">
        <v>254</v>
      </c>
      <c r="N32" t="s">
        <v>422</v>
      </c>
      <c r="O32" t="s">
        <v>299</v>
      </c>
      <c r="P32">
        <v>7.8351823959872668E-3</v>
      </c>
      <c r="Q32" t="s">
        <v>254</v>
      </c>
      <c r="S32" t="s">
        <v>423</v>
      </c>
      <c r="T32" t="s">
        <v>299</v>
      </c>
      <c r="U32">
        <v>7.4052957927088084E-3</v>
      </c>
      <c r="V32" t="s">
        <v>254</v>
      </c>
      <c r="X32">
        <v>6.8493150684931503E-3</v>
      </c>
      <c r="Y32">
        <v>9.6860005469507522E-3</v>
      </c>
      <c r="Z32" t="s">
        <v>299</v>
      </c>
      <c r="AA32" t="s">
        <v>25</v>
      </c>
      <c r="AC32" t="s">
        <v>22</v>
      </c>
      <c r="AD32" t="s">
        <v>299</v>
      </c>
      <c r="AE32">
        <v>7.5712502051860425E-3</v>
      </c>
      <c r="AG32" t="s">
        <v>97</v>
      </c>
      <c r="AH32" t="s">
        <v>299</v>
      </c>
      <c r="AI32">
        <v>7.7040330198470786E-2</v>
      </c>
    </row>
    <row r="33" spans="9:35" x14ac:dyDescent="0.45">
      <c r="I33" t="s">
        <v>252</v>
      </c>
      <c r="J33" t="s">
        <v>300</v>
      </c>
      <c r="K33">
        <v>1.2811795978889037E-2</v>
      </c>
      <c r="L33" t="s">
        <v>254</v>
      </c>
      <c r="N33" t="s">
        <v>422</v>
      </c>
      <c r="O33" t="s">
        <v>300</v>
      </c>
      <c r="P33">
        <v>7.8732075451391336E-3</v>
      </c>
      <c r="Q33" t="s">
        <v>254</v>
      </c>
      <c r="S33" t="s">
        <v>423</v>
      </c>
      <c r="T33" t="s">
        <v>300</v>
      </c>
      <c r="U33">
        <v>7.6548170311039939E-3</v>
      </c>
      <c r="V33" t="s">
        <v>254</v>
      </c>
      <c r="X33">
        <v>6.8493150684931503E-3</v>
      </c>
      <c r="Y33">
        <v>1.3325709171369611E-2</v>
      </c>
      <c r="Z33" t="s">
        <v>300</v>
      </c>
      <c r="AA33" t="s">
        <v>25</v>
      </c>
      <c r="AC33" t="s">
        <v>22</v>
      </c>
      <c r="AD33" t="s">
        <v>300</v>
      </c>
      <c r="AE33">
        <v>7.5876233773084813E-3</v>
      </c>
      <c r="AG33" t="s">
        <v>97</v>
      </c>
      <c r="AH33" t="s">
        <v>300</v>
      </c>
      <c r="AI33">
        <v>7.4017133247418876E-2</v>
      </c>
    </row>
    <row r="34" spans="9:35" x14ac:dyDescent="0.45">
      <c r="I34" t="s">
        <v>252</v>
      </c>
      <c r="J34" t="s">
        <v>301</v>
      </c>
      <c r="K34">
        <v>4.9040794776632072E-3</v>
      </c>
      <c r="L34" t="s">
        <v>254</v>
      </c>
      <c r="N34" t="s">
        <v>422</v>
      </c>
      <c r="O34" t="s">
        <v>301</v>
      </c>
      <c r="P34">
        <v>2.3314738567736269E-2</v>
      </c>
      <c r="Q34" t="s">
        <v>254</v>
      </c>
      <c r="S34" t="s">
        <v>423</v>
      </c>
      <c r="T34" t="s">
        <v>301</v>
      </c>
      <c r="U34">
        <v>2.3608513409972137E-2</v>
      </c>
      <c r="V34" t="s">
        <v>254</v>
      </c>
      <c r="X34">
        <v>2.0547945205479451E-2</v>
      </c>
      <c r="Y34">
        <v>1.8099097531263209E-2</v>
      </c>
      <c r="Z34" t="s">
        <v>301</v>
      </c>
      <c r="AA34" t="s">
        <v>25</v>
      </c>
      <c r="AC34" t="s">
        <v>22</v>
      </c>
      <c r="AD34" t="s">
        <v>301</v>
      </c>
      <c r="AE34">
        <v>1.9725011261502445E-2</v>
      </c>
      <c r="AG34" t="s">
        <v>97</v>
      </c>
      <c r="AH34" t="s">
        <v>301</v>
      </c>
      <c r="AI34">
        <v>0.17311711242521777</v>
      </c>
    </row>
    <row r="35" spans="9:35" x14ac:dyDescent="0.45">
      <c r="I35" t="s">
        <v>252</v>
      </c>
      <c r="J35" t="s">
        <v>302</v>
      </c>
      <c r="K35">
        <v>1.5227953239765394E-2</v>
      </c>
      <c r="L35" t="s">
        <v>254</v>
      </c>
      <c r="N35" t="s">
        <v>422</v>
      </c>
      <c r="O35" t="s">
        <v>302</v>
      </c>
      <c r="P35">
        <v>6.5892307315079474E-2</v>
      </c>
      <c r="Q35" t="s">
        <v>254</v>
      </c>
      <c r="S35" t="s">
        <v>423</v>
      </c>
      <c r="T35" t="s">
        <v>302</v>
      </c>
      <c r="U35">
        <v>6.8867254007288867E-2</v>
      </c>
      <c r="V35" t="s">
        <v>254</v>
      </c>
      <c r="X35">
        <v>7.3515981735159816E-2</v>
      </c>
      <c r="Y35">
        <v>2.9032808757841703E-2</v>
      </c>
      <c r="Z35" t="s">
        <v>302</v>
      </c>
      <c r="AA35" t="s">
        <v>25</v>
      </c>
      <c r="AC35" t="s">
        <v>22</v>
      </c>
      <c r="AD35" t="s">
        <v>302</v>
      </c>
      <c r="AE35">
        <v>5.5755796630562932E-2</v>
      </c>
      <c r="AG35" t="s">
        <v>97</v>
      </c>
      <c r="AH35" t="s">
        <v>302</v>
      </c>
      <c r="AI35">
        <v>0.3080431717214609</v>
      </c>
    </row>
    <row r="36" spans="9:35" x14ac:dyDescent="0.45">
      <c r="I36" t="s">
        <v>252</v>
      </c>
      <c r="J36" t="s">
        <v>303</v>
      </c>
      <c r="K36">
        <v>1.9306059131574498E-2</v>
      </c>
      <c r="L36" t="s">
        <v>254</v>
      </c>
      <c r="N36" t="s">
        <v>422</v>
      </c>
      <c r="O36" t="s">
        <v>303</v>
      </c>
      <c r="P36">
        <v>8.6104270204791656E-3</v>
      </c>
      <c r="Q36" t="s">
        <v>254</v>
      </c>
      <c r="S36" t="s">
        <v>423</v>
      </c>
      <c r="T36" t="s">
        <v>303</v>
      </c>
      <c r="U36">
        <v>9.4665402710039162E-3</v>
      </c>
      <c r="V36" t="s">
        <v>254</v>
      </c>
      <c r="X36">
        <v>1.0502283105022832E-2</v>
      </c>
      <c r="Y36">
        <v>1.7535572516553546E-2</v>
      </c>
      <c r="Z36" t="s">
        <v>303</v>
      </c>
      <c r="AA36" t="s">
        <v>25</v>
      </c>
      <c r="AC36" t="s">
        <v>22</v>
      </c>
      <c r="AD36" t="s">
        <v>303</v>
      </c>
      <c r="AE36">
        <v>1.0552770168193925E-2</v>
      </c>
      <c r="AG36" t="s">
        <v>97</v>
      </c>
      <c r="AH36" t="s">
        <v>303</v>
      </c>
      <c r="AI36">
        <v>0.11362585304701223</v>
      </c>
    </row>
    <row r="37" spans="9:35" x14ac:dyDescent="0.45">
      <c r="I37" t="s">
        <v>252</v>
      </c>
      <c r="J37" t="s">
        <v>304</v>
      </c>
      <c r="K37">
        <v>5.4274050059977222E-2</v>
      </c>
      <c r="L37" t="s">
        <v>254</v>
      </c>
      <c r="N37" t="s">
        <v>422</v>
      </c>
      <c r="O37" t="s">
        <v>304</v>
      </c>
      <c r="P37">
        <v>1.7191166136827501E-2</v>
      </c>
      <c r="Q37" t="s">
        <v>254</v>
      </c>
      <c r="S37" t="s">
        <v>423</v>
      </c>
      <c r="T37" t="s">
        <v>304</v>
      </c>
      <c r="U37">
        <v>1.853229706704845E-2</v>
      </c>
      <c r="V37" t="s">
        <v>254</v>
      </c>
      <c r="X37">
        <v>2.1004566210045664E-2</v>
      </c>
      <c r="Y37">
        <v>2.6715063520871156E-2</v>
      </c>
      <c r="Z37" t="s">
        <v>304</v>
      </c>
      <c r="AA37" t="s">
        <v>25</v>
      </c>
      <c r="AC37" t="s">
        <v>22</v>
      </c>
      <c r="AD37" t="s">
        <v>304</v>
      </c>
      <c r="AE37">
        <v>2.2142246226603601E-2</v>
      </c>
      <c r="AG37" t="s">
        <v>97</v>
      </c>
      <c r="AH37" t="s">
        <v>304</v>
      </c>
      <c r="AI37">
        <v>9.3604240970526442E-2</v>
      </c>
    </row>
    <row r="38" spans="9:35" x14ac:dyDescent="0.45">
      <c r="I38" t="s">
        <v>252</v>
      </c>
      <c r="J38" t="s">
        <v>305</v>
      </c>
      <c r="K38">
        <v>9.69785606538075E-2</v>
      </c>
      <c r="L38" t="s">
        <v>254</v>
      </c>
      <c r="N38" t="s">
        <v>422</v>
      </c>
      <c r="O38" t="s">
        <v>305</v>
      </c>
      <c r="P38">
        <v>2.5616705446838681E-2</v>
      </c>
      <c r="Q38" t="s">
        <v>254</v>
      </c>
      <c r="S38" t="s">
        <v>423</v>
      </c>
      <c r="T38" t="s">
        <v>305</v>
      </c>
      <c r="U38">
        <v>2.6695745740470449E-2</v>
      </c>
      <c r="V38" t="s">
        <v>254</v>
      </c>
      <c r="X38">
        <v>3.1506849315068496E-2</v>
      </c>
      <c r="Y38">
        <v>3.9005212606386071E-2</v>
      </c>
      <c r="Z38" t="s">
        <v>305</v>
      </c>
      <c r="AA38" t="s">
        <v>25</v>
      </c>
      <c r="AC38" t="s">
        <v>22</v>
      </c>
      <c r="AD38" t="s">
        <v>305</v>
      </c>
      <c r="AE38">
        <v>3.3360908165227042E-2</v>
      </c>
      <c r="AG38" t="s">
        <v>97</v>
      </c>
      <c r="AH38" t="s">
        <v>305</v>
      </c>
      <c r="AI38">
        <v>8.612157825118949E-2</v>
      </c>
    </row>
    <row r="39" spans="9:35" x14ac:dyDescent="0.45">
      <c r="I39" t="s">
        <v>252</v>
      </c>
      <c r="J39" t="s">
        <v>306</v>
      </c>
      <c r="K39">
        <v>3.2086928328070301E-2</v>
      </c>
      <c r="L39" t="s">
        <v>254</v>
      </c>
      <c r="N39" t="s">
        <v>422</v>
      </c>
      <c r="O39" t="s">
        <v>306</v>
      </c>
      <c r="P39">
        <v>9.3613086889832338E-3</v>
      </c>
      <c r="Q39" t="s">
        <v>254</v>
      </c>
      <c r="S39" t="s">
        <v>423</v>
      </c>
      <c r="T39" t="s">
        <v>306</v>
      </c>
      <c r="U39">
        <v>9.3386773778687503E-3</v>
      </c>
      <c r="V39" t="s">
        <v>254</v>
      </c>
      <c r="X39">
        <v>1.0502283105022832E-2</v>
      </c>
      <c r="Y39">
        <v>1.3692994886839211E-2</v>
      </c>
      <c r="Z39" t="s">
        <v>306</v>
      </c>
      <c r="AA39" t="s">
        <v>25</v>
      </c>
      <c r="AC39" t="s">
        <v>22</v>
      </c>
      <c r="AD39" t="s">
        <v>306</v>
      </c>
      <c r="AE39">
        <v>1.1040610404204345E-2</v>
      </c>
      <c r="AG39" t="s">
        <v>97</v>
      </c>
      <c r="AH39" t="s">
        <v>306</v>
      </c>
      <c r="AI39">
        <v>8.6056554030798926E-2</v>
      </c>
    </row>
    <row r="40" spans="9:35" x14ac:dyDescent="0.45">
      <c r="I40" t="s">
        <v>252</v>
      </c>
      <c r="J40" t="s">
        <v>307</v>
      </c>
      <c r="K40">
        <v>6.02215387902987E-2</v>
      </c>
      <c r="L40" t="s">
        <v>254</v>
      </c>
      <c r="N40" t="s">
        <v>422</v>
      </c>
      <c r="O40" t="s">
        <v>307</v>
      </c>
      <c r="P40">
        <v>1.9685210695374079E-2</v>
      </c>
      <c r="Q40" t="s">
        <v>254</v>
      </c>
      <c r="S40" t="s">
        <v>423</v>
      </c>
      <c r="T40" t="s">
        <v>307</v>
      </c>
      <c r="U40">
        <v>1.9516904321780895E-2</v>
      </c>
      <c r="V40" t="s">
        <v>254</v>
      </c>
      <c r="X40">
        <v>2.1004566210045664E-2</v>
      </c>
      <c r="Y40">
        <v>2.9703735010648963E-2</v>
      </c>
      <c r="Z40" t="s">
        <v>307</v>
      </c>
      <c r="AA40" t="s">
        <v>25</v>
      </c>
      <c r="AC40" t="s">
        <v>22</v>
      </c>
      <c r="AD40" t="s">
        <v>307</v>
      </c>
      <c r="AE40">
        <v>2.1886816558743152E-2</v>
      </c>
      <c r="AG40" t="s">
        <v>97</v>
      </c>
      <c r="AH40" t="s">
        <v>307</v>
      </c>
      <c r="AI40">
        <v>9.1897264849632787E-2</v>
      </c>
    </row>
    <row r="41" spans="9:35" x14ac:dyDescent="0.45">
      <c r="I41" t="s">
        <v>252</v>
      </c>
      <c r="J41" t="s">
        <v>308</v>
      </c>
      <c r="K41">
        <v>4.6692600533737791E-2</v>
      </c>
      <c r="L41" t="s">
        <v>254</v>
      </c>
      <c r="N41" t="s">
        <v>422</v>
      </c>
      <c r="O41" t="s">
        <v>308</v>
      </c>
      <c r="P41">
        <v>2.0234400744166943E-2</v>
      </c>
      <c r="Q41" t="s">
        <v>254</v>
      </c>
      <c r="S41" t="s">
        <v>423</v>
      </c>
      <c r="T41" t="s">
        <v>308</v>
      </c>
      <c r="U41">
        <v>2.0139386936024514E-2</v>
      </c>
      <c r="V41" t="s">
        <v>254</v>
      </c>
      <c r="X41">
        <v>2.1004566210045664E-2</v>
      </c>
      <c r="Y41">
        <v>4.0865508125533495E-2</v>
      </c>
      <c r="Z41" t="s">
        <v>308</v>
      </c>
      <c r="AA41" t="s">
        <v>25</v>
      </c>
      <c r="AC41" t="s">
        <v>22</v>
      </c>
      <c r="AD41" t="s">
        <v>308</v>
      </c>
      <c r="AE41">
        <v>2.1820403310833736E-2</v>
      </c>
      <c r="AG41" t="s">
        <v>97</v>
      </c>
      <c r="AH41" t="s">
        <v>308</v>
      </c>
      <c r="AI41">
        <v>9.4232889141106391E-2</v>
      </c>
    </row>
    <row r="42" spans="9:35" x14ac:dyDescent="0.45">
      <c r="I42" t="s">
        <v>252</v>
      </c>
      <c r="J42" t="s">
        <v>309</v>
      </c>
      <c r="K42">
        <v>2.5237177336633072E-2</v>
      </c>
      <c r="L42" t="s">
        <v>254</v>
      </c>
      <c r="N42" t="s">
        <v>422</v>
      </c>
      <c r="O42" t="s">
        <v>309</v>
      </c>
      <c r="P42">
        <v>6.0231633954349162E-2</v>
      </c>
      <c r="Q42" t="s">
        <v>254</v>
      </c>
      <c r="S42" t="s">
        <v>423</v>
      </c>
      <c r="T42" t="s">
        <v>309</v>
      </c>
      <c r="U42">
        <v>6.066937173254227E-2</v>
      </c>
      <c r="V42" t="s">
        <v>254</v>
      </c>
      <c r="X42">
        <v>6.3013698630136991E-2</v>
      </c>
      <c r="Y42">
        <v>5.5503899095873853E-2</v>
      </c>
      <c r="Z42" t="s">
        <v>309</v>
      </c>
      <c r="AA42" t="s">
        <v>25</v>
      </c>
      <c r="AC42" t="s">
        <v>22</v>
      </c>
      <c r="AD42" t="s">
        <v>309</v>
      </c>
      <c r="AE42">
        <v>5.8254219277945454E-2</v>
      </c>
      <c r="AG42" t="s">
        <v>97</v>
      </c>
      <c r="AH42" t="s">
        <v>309</v>
      </c>
      <c r="AI42">
        <v>0.17699699485635745</v>
      </c>
    </row>
    <row r="43" spans="9:35" x14ac:dyDescent="0.45">
      <c r="I43" t="s">
        <v>252</v>
      </c>
      <c r="J43" t="s">
        <v>310</v>
      </c>
      <c r="K43">
        <v>4.7660581785101668E-3</v>
      </c>
      <c r="L43" t="s">
        <v>254</v>
      </c>
      <c r="N43" t="s">
        <v>422</v>
      </c>
      <c r="O43" t="s">
        <v>310</v>
      </c>
      <c r="P43">
        <v>6.1405573808886123E-2</v>
      </c>
      <c r="Q43" t="s">
        <v>254</v>
      </c>
      <c r="S43" t="s">
        <v>423</v>
      </c>
      <c r="T43" t="s">
        <v>310</v>
      </c>
      <c r="U43">
        <v>5.9317386444952984E-2</v>
      </c>
      <c r="V43" t="s">
        <v>254</v>
      </c>
      <c r="X43">
        <v>7.3515981735159816E-2</v>
      </c>
      <c r="Y43">
        <v>2.9032808757841703E-2</v>
      </c>
      <c r="Z43" t="s">
        <v>310</v>
      </c>
      <c r="AA43" t="s">
        <v>25</v>
      </c>
      <c r="AC43" t="s">
        <v>22</v>
      </c>
      <c r="AD43" t="s">
        <v>310</v>
      </c>
      <c r="AE43">
        <v>5.4522015996695913E-2</v>
      </c>
      <c r="AG43" t="s">
        <v>97</v>
      </c>
      <c r="AH43" t="s">
        <v>310</v>
      </c>
      <c r="AI43">
        <v>0.2656981313261948</v>
      </c>
    </row>
    <row r="44" spans="9:35" x14ac:dyDescent="0.45">
      <c r="I44" t="s">
        <v>252</v>
      </c>
      <c r="J44" t="s">
        <v>311</v>
      </c>
      <c r="K44">
        <v>1.2783672811165193E-2</v>
      </c>
      <c r="L44" t="s">
        <v>254</v>
      </c>
      <c r="N44" t="s">
        <v>422</v>
      </c>
      <c r="O44" t="s">
        <v>311</v>
      </c>
      <c r="P44">
        <v>8.2341453815494361E-3</v>
      </c>
      <c r="Q44" t="s">
        <v>254</v>
      </c>
      <c r="S44" t="s">
        <v>423</v>
      </c>
      <c r="T44" t="s">
        <v>311</v>
      </c>
      <c r="U44">
        <v>8.3554311353050553E-3</v>
      </c>
      <c r="V44" t="s">
        <v>254</v>
      </c>
      <c r="X44">
        <v>1.0502283105022832E-2</v>
      </c>
      <c r="Y44">
        <v>1.7535572516553546E-2</v>
      </c>
      <c r="Z44" t="s">
        <v>311</v>
      </c>
      <c r="AA44" t="s">
        <v>25</v>
      </c>
      <c r="AC44" t="s">
        <v>22</v>
      </c>
      <c r="AD44" t="s">
        <v>311</v>
      </c>
      <c r="AE44">
        <v>1.0353482445463805E-2</v>
      </c>
      <c r="AG44" t="s">
        <v>97</v>
      </c>
      <c r="AH44" t="s">
        <v>311</v>
      </c>
      <c r="AI44">
        <v>9.3283721850350387E-2</v>
      </c>
    </row>
    <row r="45" spans="9:35" x14ac:dyDescent="0.45">
      <c r="I45" t="s">
        <v>252</v>
      </c>
      <c r="J45" t="s">
        <v>312</v>
      </c>
      <c r="K45">
        <v>4.5188696668819237E-2</v>
      </c>
      <c r="L45" t="s">
        <v>254</v>
      </c>
      <c r="N45" t="s">
        <v>422</v>
      </c>
      <c r="O45" t="s">
        <v>312</v>
      </c>
      <c r="P45">
        <v>1.6432684927522714E-2</v>
      </c>
      <c r="Q45" t="s">
        <v>254</v>
      </c>
      <c r="S45" t="s">
        <v>423</v>
      </c>
      <c r="T45" t="s">
        <v>312</v>
      </c>
      <c r="U45">
        <v>1.6750510509942064E-2</v>
      </c>
      <c r="V45" t="s">
        <v>254</v>
      </c>
      <c r="X45">
        <v>2.1004566210045664E-2</v>
      </c>
      <c r="Y45">
        <v>2.6715063520871156E-2</v>
      </c>
      <c r="Z45" t="s">
        <v>312</v>
      </c>
      <c r="AA45" t="s">
        <v>25</v>
      </c>
      <c r="AC45" t="s">
        <v>22</v>
      </c>
      <c r="AD45" t="s">
        <v>312</v>
      </c>
      <c r="AE45">
        <v>2.1977549130145789E-2</v>
      </c>
      <c r="AG45" t="s">
        <v>97</v>
      </c>
      <c r="AH45" t="s">
        <v>312</v>
      </c>
      <c r="AI45">
        <v>8.9084691697559393E-2</v>
      </c>
    </row>
    <row r="46" spans="9:35" x14ac:dyDescent="0.45">
      <c r="I46" t="s">
        <v>252</v>
      </c>
      <c r="J46" t="s">
        <v>313</v>
      </c>
      <c r="K46">
        <v>8.3296356815510036E-2</v>
      </c>
      <c r="L46" t="s">
        <v>254</v>
      </c>
      <c r="N46" t="s">
        <v>422</v>
      </c>
      <c r="O46" t="s">
        <v>313</v>
      </c>
      <c r="P46">
        <v>2.4708340579022679E-2</v>
      </c>
      <c r="Q46" t="s">
        <v>254</v>
      </c>
      <c r="S46" t="s">
        <v>423</v>
      </c>
      <c r="T46" t="s">
        <v>313</v>
      </c>
      <c r="U46">
        <v>2.4610566066764678E-2</v>
      </c>
      <c r="V46" t="s">
        <v>254</v>
      </c>
      <c r="X46">
        <v>3.1506849315068496E-2</v>
      </c>
      <c r="Y46">
        <v>3.9005212606386071E-2</v>
      </c>
      <c r="Z46" t="s">
        <v>313</v>
      </c>
      <c r="AA46" t="s">
        <v>25</v>
      </c>
      <c r="AC46" t="s">
        <v>22</v>
      </c>
      <c r="AD46" t="s">
        <v>313</v>
      </c>
      <c r="AE46">
        <v>3.3111461394720709E-2</v>
      </c>
      <c r="AG46" t="s">
        <v>97</v>
      </c>
      <c r="AH46" t="s">
        <v>313</v>
      </c>
      <c r="AI46">
        <v>9.3073318718406295E-2</v>
      </c>
    </row>
    <row r="47" spans="9:35" x14ac:dyDescent="0.45">
      <c r="I47" t="s">
        <v>252</v>
      </c>
      <c r="J47" t="s">
        <v>314</v>
      </c>
      <c r="K47">
        <v>2.7408983161629565E-2</v>
      </c>
      <c r="L47" t="s">
        <v>254</v>
      </c>
      <c r="N47" t="s">
        <v>422</v>
      </c>
      <c r="O47" t="s">
        <v>314</v>
      </c>
      <c r="P47">
        <v>8.6138397003282432E-3</v>
      </c>
      <c r="Q47" t="s">
        <v>254</v>
      </c>
      <c r="S47" t="s">
        <v>423</v>
      </c>
      <c r="T47" t="s">
        <v>314</v>
      </c>
      <c r="U47">
        <v>8.4137181874754663E-3</v>
      </c>
      <c r="V47" t="s">
        <v>254</v>
      </c>
      <c r="X47">
        <v>1.0502283105022832E-2</v>
      </c>
      <c r="Y47">
        <v>1.3692994886839211E-2</v>
      </c>
      <c r="Z47" t="s">
        <v>314</v>
      </c>
      <c r="AA47" t="s">
        <v>25</v>
      </c>
      <c r="AC47" t="s">
        <v>22</v>
      </c>
      <c r="AD47" t="s">
        <v>314</v>
      </c>
      <c r="AE47">
        <v>1.0956052513368255E-2</v>
      </c>
      <c r="AG47" t="s">
        <v>97</v>
      </c>
      <c r="AH47" t="s">
        <v>314</v>
      </c>
      <c r="AI47">
        <v>9.3599853681848977E-2</v>
      </c>
    </row>
    <row r="48" spans="9:35" x14ac:dyDescent="0.45">
      <c r="I48" t="s">
        <v>252</v>
      </c>
      <c r="J48" t="s">
        <v>315</v>
      </c>
      <c r="K48">
        <v>5.3179467216751979E-2</v>
      </c>
      <c r="L48" t="s">
        <v>254</v>
      </c>
      <c r="N48" t="s">
        <v>422</v>
      </c>
      <c r="O48" t="s">
        <v>315</v>
      </c>
      <c r="P48">
        <v>1.7772241651930372E-2</v>
      </c>
      <c r="Q48" t="s">
        <v>254</v>
      </c>
      <c r="S48" t="s">
        <v>423</v>
      </c>
      <c r="T48" t="s">
        <v>315</v>
      </c>
      <c r="U48">
        <v>1.7538394577936156E-2</v>
      </c>
      <c r="V48" t="s">
        <v>254</v>
      </c>
      <c r="X48">
        <v>2.1004566210045664E-2</v>
      </c>
      <c r="Y48">
        <v>2.9703735010648963E-2</v>
      </c>
      <c r="Z48" t="s">
        <v>315</v>
      </c>
      <c r="AA48" t="s">
        <v>25</v>
      </c>
      <c r="AC48" t="s">
        <v>22</v>
      </c>
      <c r="AD48" t="s">
        <v>315</v>
      </c>
      <c r="AE48">
        <v>2.1735401089023422E-2</v>
      </c>
      <c r="AG48" t="s">
        <v>97</v>
      </c>
      <c r="AH48" t="s">
        <v>315</v>
      </c>
      <c r="AI48">
        <v>8.4509617831093342E-2</v>
      </c>
    </row>
    <row r="49" spans="9:35" x14ac:dyDescent="0.45">
      <c r="I49" t="s">
        <v>252</v>
      </c>
      <c r="J49" t="s">
        <v>316</v>
      </c>
      <c r="K49">
        <v>3.8675940317198253E-2</v>
      </c>
      <c r="L49" t="s">
        <v>254</v>
      </c>
      <c r="N49" t="s">
        <v>422</v>
      </c>
      <c r="O49" t="s">
        <v>316</v>
      </c>
      <c r="P49">
        <v>1.7843038660002648E-2</v>
      </c>
      <c r="Q49" t="s">
        <v>254</v>
      </c>
      <c r="S49" t="s">
        <v>423</v>
      </c>
      <c r="T49" t="s">
        <v>316</v>
      </c>
      <c r="U49">
        <v>1.8415094006872388E-2</v>
      </c>
      <c r="V49" t="s">
        <v>254</v>
      </c>
      <c r="X49">
        <v>2.1004566210045664E-2</v>
      </c>
      <c r="Y49">
        <v>4.0865508125533495E-2</v>
      </c>
      <c r="Z49" t="s">
        <v>316</v>
      </c>
      <c r="AA49" t="s">
        <v>25</v>
      </c>
      <c r="AC49" t="s">
        <v>22</v>
      </c>
      <c r="AD49" t="s">
        <v>316</v>
      </c>
      <c r="AE49">
        <v>2.167705296447402E-2</v>
      </c>
      <c r="AG49" t="s">
        <v>97</v>
      </c>
      <c r="AH49" t="s">
        <v>316</v>
      </c>
      <c r="AI49">
        <v>7.9149058531029048E-2</v>
      </c>
    </row>
    <row r="50" spans="9:35" x14ac:dyDescent="0.45">
      <c r="I50" t="s">
        <v>252</v>
      </c>
      <c r="J50" t="s">
        <v>317</v>
      </c>
      <c r="K50">
        <v>1.1880276454119763E-2</v>
      </c>
      <c r="L50" t="s">
        <v>254</v>
      </c>
      <c r="N50" t="s">
        <v>422</v>
      </c>
      <c r="O50" t="s">
        <v>317</v>
      </c>
      <c r="P50">
        <v>5.4752419353124505E-2</v>
      </c>
      <c r="Q50" t="s">
        <v>254</v>
      </c>
      <c r="S50" t="s">
        <v>423</v>
      </c>
      <c r="T50" t="s">
        <v>317</v>
      </c>
      <c r="U50">
        <v>5.5456686763238311E-2</v>
      </c>
      <c r="V50" t="s">
        <v>254</v>
      </c>
      <c r="X50">
        <v>6.3013698630136991E-2</v>
      </c>
      <c r="Y50">
        <v>5.5503899095873853E-2</v>
      </c>
      <c r="Z50" t="s">
        <v>317</v>
      </c>
      <c r="AA50" t="s">
        <v>25</v>
      </c>
      <c r="AC50" t="s">
        <v>22</v>
      </c>
      <c r="AD50" t="s">
        <v>317</v>
      </c>
      <c r="AE50">
        <v>5.7792672321166472E-2</v>
      </c>
      <c r="AG50" t="s">
        <v>97</v>
      </c>
      <c r="AH50" t="s">
        <v>317</v>
      </c>
      <c r="AI50">
        <v>0.17351747924348127</v>
      </c>
    </row>
    <row r="51" spans="9:35" x14ac:dyDescent="0.45">
      <c r="I51" t="s">
        <v>252</v>
      </c>
      <c r="J51" t="s">
        <v>318</v>
      </c>
      <c r="K51">
        <v>0</v>
      </c>
      <c r="L51" t="s">
        <v>254</v>
      </c>
      <c r="N51" t="s">
        <v>422</v>
      </c>
      <c r="O51" t="s">
        <v>318</v>
      </c>
      <c r="P51">
        <v>2.931101114839732E-2</v>
      </c>
      <c r="Q51" t="s">
        <v>254</v>
      </c>
      <c r="S51" t="s">
        <v>423</v>
      </c>
      <c r="T51" t="s">
        <v>318</v>
      </c>
      <c r="U51">
        <v>2.7847033930216165E-2</v>
      </c>
      <c r="V51" t="s">
        <v>254</v>
      </c>
      <c r="X51">
        <v>2.3972602739726026E-2</v>
      </c>
      <c r="Y51">
        <v>9.4672202471222967E-3</v>
      </c>
      <c r="Z51" t="s">
        <v>318</v>
      </c>
      <c r="AA51" t="s">
        <v>25</v>
      </c>
      <c r="AC51" t="s">
        <v>22</v>
      </c>
      <c r="AD51" t="s">
        <v>318</v>
      </c>
      <c r="AE51">
        <v>2.0052436889231126E-2</v>
      </c>
      <c r="AG51" t="s">
        <v>97</v>
      </c>
      <c r="AH51" t="s">
        <v>318</v>
      </c>
      <c r="AI51">
        <v>0.29993685127360115</v>
      </c>
    </row>
    <row r="52" spans="9:35" x14ac:dyDescent="0.45">
      <c r="I52" t="s">
        <v>252</v>
      </c>
      <c r="J52" t="s">
        <v>319</v>
      </c>
      <c r="K52">
        <v>6.9595661734516304E-5</v>
      </c>
      <c r="L52" t="s">
        <v>254</v>
      </c>
      <c r="N52" t="s">
        <v>422</v>
      </c>
      <c r="O52" t="s">
        <v>319</v>
      </c>
      <c r="P52">
        <v>4.1448967536828552E-3</v>
      </c>
      <c r="Q52" t="s">
        <v>254</v>
      </c>
      <c r="S52" t="s">
        <v>423</v>
      </c>
      <c r="T52" t="s">
        <v>319</v>
      </c>
      <c r="U52">
        <v>3.9352607163494809E-3</v>
      </c>
      <c r="V52" t="s">
        <v>254</v>
      </c>
      <c r="X52">
        <v>3.4246575342465752E-3</v>
      </c>
      <c r="Y52">
        <v>5.7181214727892006E-3</v>
      </c>
      <c r="Z52" t="s">
        <v>319</v>
      </c>
      <c r="AA52" t="s">
        <v>25</v>
      </c>
      <c r="AC52" t="s">
        <v>22</v>
      </c>
      <c r="AD52" t="s">
        <v>319</v>
      </c>
      <c r="AE52">
        <v>3.9165735287244154E-3</v>
      </c>
      <c r="AG52" t="s">
        <v>97</v>
      </c>
      <c r="AH52" t="s">
        <v>319</v>
      </c>
      <c r="AI52">
        <v>9.6641572988210633E-2</v>
      </c>
    </row>
    <row r="53" spans="9:35" x14ac:dyDescent="0.45">
      <c r="I53" t="s">
        <v>252</v>
      </c>
      <c r="J53" t="s">
        <v>320</v>
      </c>
      <c r="K53">
        <v>6.1529025516527565E-3</v>
      </c>
      <c r="L53" t="s">
        <v>254</v>
      </c>
      <c r="N53" t="s">
        <v>422</v>
      </c>
      <c r="O53" t="s">
        <v>320</v>
      </c>
      <c r="P53">
        <v>8.1377139366058445E-3</v>
      </c>
      <c r="Q53" t="s">
        <v>254</v>
      </c>
      <c r="S53" t="s">
        <v>423</v>
      </c>
      <c r="T53" t="s">
        <v>320</v>
      </c>
      <c r="U53">
        <v>7.8562759010133449E-3</v>
      </c>
      <c r="V53" t="s">
        <v>254</v>
      </c>
      <c r="X53">
        <v>6.8493150684931503E-3</v>
      </c>
      <c r="Y53">
        <v>8.7114337568058101E-3</v>
      </c>
      <c r="Z53" t="s">
        <v>320</v>
      </c>
      <c r="AA53" t="s">
        <v>25</v>
      </c>
      <c r="AC53" t="s">
        <v>22</v>
      </c>
      <c r="AD53" t="s">
        <v>320</v>
      </c>
      <c r="AE53">
        <v>8.1700769192631136E-3</v>
      </c>
      <c r="AG53" t="s">
        <v>97</v>
      </c>
      <c r="AH53" t="s">
        <v>320</v>
      </c>
      <c r="AI53">
        <v>8.8318365814044064E-2</v>
      </c>
    </row>
    <row r="54" spans="9:35" x14ac:dyDescent="0.45">
      <c r="I54" t="s">
        <v>252</v>
      </c>
      <c r="J54" t="s">
        <v>321</v>
      </c>
      <c r="K54">
        <v>1.4808228014460098E-2</v>
      </c>
      <c r="L54" t="s">
        <v>254</v>
      </c>
      <c r="N54" t="s">
        <v>422</v>
      </c>
      <c r="O54" t="s">
        <v>321</v>
      </c>
      <c r="P54">
        <v>1.2782462221910021E-2</v>
      </c>
      <c r="Q54" t="s">
        <v>254</v>
      </c>
      <c r="S54" t="s">
        <v>423</v>
      </c>
      <c r="T54" t="s">
        <v>321</v>
      </c>
      <c r="U54">
        <v>1.1336376707505036E-2</v>
      </c>
      <c r="V54" t="s">
        <v>254</v>
      </c>
      <c r="X54">
        <v>1.0273972602739725E-2</v>
      </c>
      <c r="Y54">
        <v>1.2719091067299805E-2</v>
      </c>
      <c r="Z54" t="s">
        <v>321</v>
      </c>
      <c r="AA54" t="s">
        <v>25</v>
      </c>
      <c r="AC54" t="s">
        <v>22</v>
      </c>
      <c r="AD54" t="s">
        <v>321</v>
      </c>
      <c r="AE54">
        <v>1.2282637548432982E-2</v>
      </c>
      <c r="AG54" t="s">
        <v>97</v>
      </c>
      <c r="AH54" t="s">
        <v>321</v>
      </c>
      <c r="AI54">
        <v>8.524347860116066E-2</v>
      </c>
    </row>
    <row r="55" spans="9:35" x14ac:dyDescent="0.45">
      <c r="I55" t="s">
        <v>252</v>
      </c>
      <c r="J55" t="s">
        <v>322</v>
      </c>
      <c r="K55">
        <v>5.2665416862010123E-3</v>
      </c>
      <c r="L55" t="s">
        <v>254</v>
      </c>
      <c r="N55" t="s">
        <v>422</v>
      </c>
      <c r="O55" t="s">
        <v>322</v>
      </c>
      <c r="P55">
        <v>4.4544946420195762E-3</v>
      </c>
      <c r="Q55" t="s">
        <v>254</v>
      </c>
      <c r="S55" t="s">
        <v>423</v>
      </c>
      <c r="T55" t="s">
        <v>322</v>
      </c>
      <c r="U55">
        <v>3.666573427115692E-3</v>
      </c>
      <c r="V55" t="s">
        <v>254</v>
      </c>
      <c r="X55">
        <v>3.4246575342465752E-3</v>
      </c>
      <c r="Y55">
        <v>4.4651070283171336E-3</v>
      </c>
      <c r="Z55" t="s">
        <v>322</v>
      </c>
      <c r="AA55" t="s">
        <v>25</v>
      </c>
      <c r="AC55" t="s">
        <v>22</v>
      </c>
      <c r="AD55" t="s">
        <v>322</v>
      </c>
      <c r="AE55">
        <v>4.0651825043714063E-3</v>
      </c>
      <c r="AG55" t="s">
        <v>97</v>
      </c>
      <c r="AH55" t="s">
        <v>322</v>
      </c>
      <c r="AI55">
        <v>8.3883454206900465E-2</v>
      </c>
    </row>
    <row r="56" spans="9:35" x14ac:dyDescent="0.45">
      <c r="I56" t="s">
        <v>252</v>
      </c>
      <c r="J56" t="s">
        <v>323</v>
      </c>
      <c r="K56">
        <v>9.6719817741024918E-3</v>
      </c>
      <c r="L56" t="s">
        <v>254</v>
      </c>
      <c r="N56" t="s">
        <v>422</v>
      </c>
      <c r="O56" t="s">
        <v>323</v>
      </c>
      <c r="P56">
        <v>8.8934972559307334E-3</v>
      </c>
      <c r="Q56" t="s">
        <v>254</v>
      </c>
      <c r="S56" t="s">
        <v>423</v>
      </c>
      <c r="T56" t="s">
        <v>323</v>
      </c>
      <c r="U56">
        <v>7.4513489315056712E-3</v>
      </c>
      <c r="V56" t="s">
        <v>254</v>
      </c>
      <c r="X56">
        <v>6.8493150684931503E-3</v>
      </c>
      <c r="Y56">
        <v>9.6860005469507522E-3</v>
      </c>
      <c r="Z56" t="s">
        <v>323</v>
      </c>
      <c r="AA56" t="s">
        <v>25</v>
      </c>
      <c r="AC56" t="s">
        <v>22</v>
      </c>
      <c r="AD56" t="s">
        <v>323</v>
      </c>
      <c r="AE56">
        <v>8.1181445824468363E-3</v>
      </c>
      <c r="AG56" t="s">
        <v>97</v>
      </c>
      <c r="AH56" t="s">
        <v>323</v>
      </c>
      <c r="AI56">
        <v>9.0322808135314681E-2</v>
      </c>
    </row>
    <row r="57" spans="9:35" x14ac:dyDescent="0.45">
      <c r="I57" t="s">
        <v>252</v>
      </c>
      <c r="J57" t="s">
        <v>324</v>
      </c>
      <c r="K57">
        <v>3.0328701328589868E-3</v>
      </c>
      <c r="L57" t="s">
        <v>254</v>
      </c>
      <c r="N57" t="s">
        <v>422</v>
      </c>
      <c r="O57" t="s">
        <v>324</v>
      </c>
      <c r="P57">
        <v>8.9269866837705641E-3</v>
      </c>
      <c r="Q57" t="s">
        <v>254</v>
      </c>
      <c r="S57" t="s">
        <v>423</v>
      </c>
      <c r="T57" t="s">
        <v>324</v>
      </c>
      <c r="U57">
        <v>7.6402466940948379E-3</v>
      </c>
      <c r="V57" t="s">
        <v>254</v>
      </c>
      <c r="X57">
        <v>6.8493150684931503E-3</v>
      </c>
      <c r="Y57">
        <v>1.3325709171369611E-2</v>
      </c>
      <c r="Z57" t="s">
        <v>324</v>
      </c>
      <c r="AA57" t="s">
        <v>25</v>
      </c>
      <c r="AC57" t="s">
        <v>22</v>
      </c>
      <c r="AD57" t="s">
        <v>324</v>
      </c>
      <c r="AE57">
        <v>8.2616291106577238E-3</v>
      </c>
      <c r="AG57" t="s">
        <v>97</v>
      </c>
      <c r="AH57" t="s">
        <v>324</v>
      </c>
      <c r="AI57">
        <v>8.4411488885055563E-2</v>
      </c>
    </row>
    <row r="58" spans="9:35" x14ac:dyDescent="0.45">
      <c r="I58" t="s">
        <v>252</v>
      </c>
      <c r="J58" t="s">
        <v>325</v>
      </c>
      <c r="K58">
        <v>0</v>
      </c>
      <c r="L58" t="s">
        <v>254</v>
      </c>
      <c r="N58" t="s">
        <v>422</v>
      </c>
      <c r="O58" t="s">
        <v>325</v>
      </c>
      <c r="P58">
        <v>2.5727119340730506E-2</v>
      </c>
      <c r="Q58" t="s">
        <v>254</v>
      </c>
      <c r="S58" t="s">
        <v>423</v>
      </c>
      <c r="T58" t="s">
        <v>325</v>
      </c>
      <c r="U58">
        <v>2.3947295215002884E-2</v>
      </c>
      <c r="V58" t="s">
        <v>254</v>
      </c>
      <c r="X58">
        <v>2.0547945205479451E-2</v>
      </c>
      <c r="Y58">
        <v>1.8099097531263209E-2</v>
      </c>
      <c r="Z58" t="s">
        <v>325</v>
      </c>
      <c r="AA58" t="s">
        <v>25</v>
      </c>
      <c r="AC58" t="s">
        <v>22</v>
      </c>
      <c r="AD58" t="s">
        <v>325</v>
      </c>
      <c r="AE58">
        <v>2.1459757666207505E-2</v>
      </c>
      <c r="AG58" t="s">
        <v>97</v>
      </c>
      <c r="AH58" t="s">
        <v>325</v>
      </c>
      <c r="AI58">
        <v>0.20586110636602517</v>
      </c>
    </row>
    <row r="59" spans="9:35" x14ac:dyDescent="0.45">
      <c r="I59" t="s">
        <v>252</v>
      </c>
      <c r="J59" t="s">
        <v>326</v>
      </c>
      <c r="K59">
        <v>0</v>
      </c>
      <c r="L59" t="s">
        <v>254</v>
      </c>
      <c r="N59" t="s">
        <v>422</v>
      </c>
      <c r="O59" t="s">
        <v>326</v>
      </c>
      <c r="P59">
        <v>3.1146804888227204E-2</v>
      </c>
      <c r="Q59" t="s">
        <v>254</v>
      </c>
      <c r="S59" t="s">
        <v>423</v>
      </c>
      <c r="T59" t="s">
        <v>326</v>
      </c>
      <c r="U59">
        <v>2.8793009642577382E-2</v>
      </c>
      <c r="V59" t="s">
        <v>254</v>
      </c>
      <c r="X59">
        <v>2.4771689497716895E-2</v>
      </c>
      <c r="Y59">
        <v>9.7827942553597048E-3</v>
      </c>
      <c r="Z59" t="s">
        <v>326</v>
      </c>
      <c r="AA59" t="s">
        <v>25</v>
      </c>
      <c r="AC59" t="s">
        <v>22</v>
      </c>
      <c r="AD59" t="s">
        <v>326</v>
      </c>
      <c r="AE59">
        <v>2.1425280402942632E-2</v>
      </c>
      <c r="AG59" t="s">
        <v>97</v>
      </c>
      <c r="AH59" t="s">
        <v>326</v>
      </c>
      <c r="AI59">
        <v>0.2947027221455345</v>
      </c>
    </row>
    <row r="60" spans="9:35" x14ac:dyDescent="0.45">
      <c r="I60" t="s">
        <v>252</v>
      </c>
      <c r="J60" t="s">
        <v>327</v>
      </c>
      <c r="K60">
        <v>0</v>
      </c>
      <c r="L60" t="s">
        <v>254</v>
      </c>
      <c r="N60" t="s">
        <v>422</v>
      </c>
      <c r="O60" t="s">
        <v>327</v>
      </c>
      <c r="P60">
        <v>4.31761190741473E-3</v>
      </c>
      <c r="Q60" t="s">
        <v>254</v>
      </c>
      <c r="S60" t="s">
        <v>423</v>
      </c>
      <c r="T60" t="s">
        <v>327</v>
      </c>
      <c r="U60">
        <v>4.1199438315051417E-3</v>
      </c>
      <c r="V60" t="s">
        <v>254</v>
      </c>
      <c r="X60">
        <v>3.5388127853881279E-3</v>
      </c>
      <c r="Y60">
        <v>5.9087255218821738E-3</v>
      </c>
      <c r="Z60" t="s">
        <v>327</v>
      </c>
      <c r="AA60" t="s">
        <v>25</v>
      </c>
      <c r="AC60" t="s">
        <v>22</v>
      </c>
      <c r="AD60" t="s">
        <v>327</v>
      </c>
      <c r="AE60">
        <v>4.1125234349494791E-3</v>
      </c>
      <c r="AG60" t="s">
        <v>97</v>
      </c>
      <c r="AH60" t="s">
        <v>327</v>
      </c>
      <c r="AI60">
        <v>8.4630227908339517E-2</v>
      </c>
    </row>
    <row r="61" spans="9:35" x14ac:dyDescent="0.45">
      <c r="I61" t="s">
        <v>252</v>
      </c>
      <c r="J61" t="s">
        <v>328</v>
      </c>
      <c r="K61">
        <v>6.4038723485293526E-3</v>
      </c>
      <c r="L61" t="s">
        <v>254</v>
      </c>
      <c r="N61" t="s">
        <v>422</v>
      </c>
      <c r="O61" t="s">
        <v>328</v>
      </c>
      <c r="P61">
        <v>8.5232327838381788E-3</v>
      </c>
      <c r="Q61" t="s">
        <v>254</v>
      </c>
      <c r="S61" t="s">
        <v>423</v>
      </c>
      <c r="T61" t="s">
        <v>328</v>
      </c>
      <c r="U61">
        <v>8.239040986961408E-3</v>
      </c>
      <c r="V61" t="s">
        <v>254</v>
      </c>
      <c r="X61">
        <v>7.0776255707762558E-3</v>
      </c>
      <c r="Y61">
        <v>9.0018148820326695E-3</v>
      </c>
      <c r="Z61" t="s">
        <v>328</v>
      </c>
      <c r="AA61" t="s">
        <v>25</v>
      </c>
      <c r="AC61" t="s">
        <v>22</v>
      </c>
      <c r="AD61" t="s">
        <v>328</v>
      </c>
      <c r="AE61">
        <v>8.5682569926429156E-3</v>
      </c>
      <c r="AG61" t="s">
        <v>97</v>
      </c>
      <c r="AH61" t="s">
        <v>328</v>
      </c>
      <c r="AI61">
        <v>7.9188707784562995E-2</v>
      </c>
    </row>
    <row r="62" spans="9:35" x14ac:dyDescent="0.45">
      <c r="I62" t="s">
        <v>252</v>
      </c>
      <c r="J62" t="s">
        <v>329</v>
      </c>
      <c r="K62">
        <v>1.8568084035886397E-2</v>
      </c>
      <c r="L62" t="s">
        <v>254</v>
      </c>
      <c r="N62" t="s">
        <v>422</v>
      </c>
      <c r="O62" t="s">
        <v>329</v>
      </c>
      <c r="P62">
        <v>1.243096882230536E-2</v>
      </c>
      <c r="Q62" t="s">
        <v>254</v>
      </c>
      <c r="S62" t="s">
        <v>423</v>
      </c>
      <c r="T62" t="s">
        <v>329</v>
      </c>
      <c r="U62">
        <v>1.207865958376843E-2</v>
      </c>
      <c r="V62" t="s">
        <v>254</v>
      </c>
      <c r="X62">
        <v>1.0616438356164383E-2</v>
      </c>
      <c r="Y62">
        <v>1.3143060769543132E-2</v>
      </c>
      <c r="Z62" t="s">
        <v>329</v>
      </c>
      <c r="AA62" t="s">
        <v>25</v>
      </c>
      <c r="AC62" t="s">
        <v>22</v>
      </c>
      <c r="AD62" t="s">
        <v>329</v>
      </c>
      <c r="AE62">
        <v>1.2785028667649806E-2</v>
      </c>
      <c r="AG62" t="s">
        <v>97</v>
      </c>
      <c r="AH62" t="s">
        <v>329</v>
      </c>
      <c r="AI62">
        <v>8.0668699840730218E-2</v>
      </c>
    </row>
    <row r="63" spans="9:35" x14ac:dyDescent="0.45">
      <c r="I63" t="s">
        <v>252</v>
      </c>
      <c r="J63" t="s">
        <v>330</v>
      </c>
      <c r="K63">
        <v>6.5515329450327254E-3</v>
      </c>
      <c r="L63" t="s">
        <v>254</v>
      </c>
      <c r="N63" t="s">
        <v>422</v>
      </c>
      <c r="O63" t="s">
        <v>330</v>
      </c>
      <c r="P63">
        <v>4.1898215208638848E-3</v>
      </c>
      <c r="Q63" t="s">
        <v>254</v>
      </c>
      <c r="S63" t="s">
        <v>423</v>
      </c>
      <c r="T63" t="s">
        <v>330</v>
      </c>
      <c r="U63">
        <v>3.9982360424480265E-3</v>
      </c>
      <c r="V63" t="s">
        <v>254</v>
      </c>
      <c r="X63">
        <v>3.5388127853881279E-3</v>
      </c>
      <c r="Y63">
        <v>4.6139439292610376E-3</v>
      </c>
      <c r="Z63" t="s">
        <v>330</v>
      </c>
      <c r="AA63" t="s">
        <v>25</v>
      </c>
      <c r="AC63" t="s">
        <v>22</v>
      </c>
      <c r="AD63" t="s">
        <v>330</v>
      </c>
      <c r="AE63">
        <v>4.2043748081554795E-3</v>
      </c>
      <c r="AG63" t="s">
        <v>97</v>
      </c>
      <c r="AH63" t="s">
        <v>330</v>
      </c>
      <c r="AI63">
        <v>7.6650597053711245E-2</v>
      </c>
    </row>
    <row r="64" spans="9:35" x14ac:dyDescent="0.45">
      <c r="I64" t="s">
        <v>252</v>
      </c>
      <c r="J64" t="s">
        <v>331</v>
      </c>
      <c r="K64">
        <v>1.3234551289396075E-2</v>
      </c>
      <c r="L64" t="s">
        <v>254</v>
      </c>
      <c r="N64" t="s">
        <v>422</v>
      </c>
      <c r="O64" t="s">
        <v>331</v>
      </c>
      <c r="P64">
        <v>8.4239938906834257E-3</v>
      </c>
      <c r="Q64" t="s">
        <v>254</v>
      </c>
      <c r="S64" t="s">
        <v>423</v>
      </c>
      <c r="T64" t="s">
        <v>331</v>
      </c>
      <c r="U64">
        <v>8.1432231404651167E-3</v>
      </c>
      <c r="V64" t="s">
        <v>254</v>
      </c>
      <c r="X64">
        <v>7.0776255707762558E-3</v>
      </c>
      <c r="Y64">
        <v>1.0008867231849112E-2</v>
      </c>
      <c r="Z64" t="s">
        <v>331</v>
      </c>
      <c r="AA64" t="s">
        <v>25</v>
      </c>
      <c r="AC64" t="s">
        <v>22</v>
      </c>
      <c r="AD64" t="s">
        <v>331</v>
      </c>
      <c r="AE64">
        <v>8.4036328402033542E-3</v>
      </c>
      <c r="AG64" t="s">
        <v>97</v>
      </c>
      <c r="AH64" t="s">
        <v>331</v>
      </c>
      <c r="AI64">
        <v>7.9590932437562545E-2</v>
      </c>
    </row>
    <row r="65" spans="9:35" x14ac:dyDescent="0.45">
      <c r="I65" t="s">
        <v>252</v>
      </c>
      <c r="J65" t="s">
        <v>332</v>
      </c>
      <c r="K65">
        <v>3.9746287768223278E-3</v>
      </c>
      <c r="L65" t="s">
        <v>254</v>
      </c>
      <c r="N65" t="s">
        <v>422</v>
      </c>
      <c r="O65" t="s">
        <v>332</v>
      </c>
      <c r="P65">
        <v>8.7486588963055899E-3</v>
      </c>
      <c r="Q65" t="s">
        <v>254</v>
      </c>
      <c r="S65" t="s">
        <v>423</v>
      </c>
      <c r="T65" t="s">
        <v>332</v>
      </c>
      <c r="U65">
        <v>8.3249273270211421E-3</v>
      </c>
      <c r="V65" t="s">
        <v>254</v>
      </c>
      <c r="X65">
        <v>7.0776255707762558E-3</v>
      </c>
      <c r="Y65">
        <v>1.376989947708193E-2</v>
      </c>
      <c r="Z65" t="s">
        <v>332</v>
      </c>
      <c r="AA65" t="s">
        <v>25</v>
      </c>
      <c r="AC65" t="s">
        <v>22</v>
      </c>
      <c r="AD65" t="s">
        <v>332</v>
      </c>
      <c r="AE65">
        <v>8.6302720122139603E-3</v>
      </c>
      <c r="AG65" t="s">
        <v>97</v>
      </c>
      <c r="AH65" t="s">
        <v>332</v>
      </c>
      <c r="AI65">
        <v>7.2305314486669214E-2</v>
      </c>
    </row>
    <row r="66" spans="9:35" x14ac:dyDescent="0.45">
      <c r="I66" t="s">
        <v>252</v>
      </c>
      <c r="J66" t="s">
        <v>333</v>
      </c>
      <c r="K66">
        <v>0</v>
      </c>
      <c r="L66" t="s">
        <v>254</v>
      </c>
      <c r="N66" t="s">
        <v>422</v>
      </c>
      <c r="O66" t="s">
        <v>333</v>
      </c>
      <c r="P66">
        <v>2.8229797330429289E-2</v>
      </c>
      <c r="Q66" t="s">
        <v>254</v>
      </c>
      <c r="S66" t="s">
        <v>423</v>
      </c>
      <c r="T66" t="s">
        <v>333</v>
      </c>
      <c r="U66">
        <v>2.4994685761360526E-2</v>
      </c>
      <c r="V66" t="s">
        <v>254</v>
      </c>
      <c r="X66">
        <v>2.1232876712328767E-2</v>
      </c>
      <c r="Y66">
        <v>1.8702400782305319E-2</v>
      </c>
      <c r="Z66" t="s">
        <v>333</v>
      </c>
      <c r="AA66" t="s">
        <v>25</v>
      </c>
      <c r="AC66" t="s">
        <v>22</v>
      </c>
      <c r="AD66" t="s">
        <v>333</v>
      </c>
      <c r="AE66">
        <v>2.2314284150476777E-2</v>
      </c>
      <c r="AG66" t="s">
        <v>97</v>
      </c>
      <c r="AH66" t="s">
        <v>333</v>
      </c>
      <c r="AI66">
        <v>0.19559280053890871</v>
      </c>
    </row>
    <row r="67" spans="9:35" x14ac:dyDescent="0.45">
      <c r="AC67" t="s">
        <v>19</v>
      </c>
      <c r="AD67" t="s">
        <v>253</v>
      </c>
      <c r="AE67">
        <v>4.6456658788646889E-2</v>
      </c>
    </row>
    <row r="68" spans="9:35" x14ac:dyDescent="0.45">
      <c r="AC68" t="s">
        <v>19</v>
      </c>
      <c r="AD68" t="s">
        <v>255</v>
      </c>
      <c r="AE68">
        <v>6.8027194167081971E-3</v>
      </c>
    </row>
    <row r="69" spans="9:35" x14ac:dyDescent="0.45">
      <c r="AC69" t="s">
        <v>19</v>
      </c>
      <c r="AD69" t="s">
        <v>256</v>
      </c>
      <c r="AE69">
        <v>1.3636015584001125E-2</v>
      </c>
    </row>
    <row r="70" spans="9:35" x14ac:dyDescent="0.45">
      <c r="AC70" t="s">
        <v>19</v>
      </c>
      <c r="AD70" t="s">
        <v>257</v>
      </c>
      <c r="AE70">
        <v>2.0455671263363159E-2</v>
      </c>
    </row>
    <row r="71" spans="9:35" x14ac:dyDescent="0.45">
      <c r="AC71" t="s">
        <v>19</v>
      </c>
      <c r="AD71" t="s">
        <v>258</v>
      </c>
      <c r="AE71">
        <v>6.8149171516253279E-3</v>
      </c>
    </row>
    <row r="72" spans="9:35" x14ac:dyDescent="0.45">
      <c r="AC72" t="s">
        <v>19</v>
      </c>
      <c r="AD72" t="s">
        <v>259</v>
      </c>
      <c r="AE72">
        <v>1.3630651055874922E-2</v>
      </c>
    </row>
    <row r="73" spans="9:35" x14ac:dyDescent="0.45">
      <c r="AC73" t="s">
        <v>19</v>
      </c>
      <c r="AD73" t="s">
        <v>260</v>
      </c>
      <c r="AE73">
        <v>1.3647309138186388E-2</v>
      </c>
    </row>
    <row r="74" spans="9:35" x14ac:dyDescent="0.45">
      <c r="AC74" t="s">
        <v>19</v>
      </c>
      <c r="AD74" t="s">
        <v>261</v>
      </c>
      <c r="AE74">
        <v>4.0361202673546197E-2</v>
      </c>
    </row>
    <row r="75" spans="9:35" x14ac:dyDescent="0.45">
      <c r="AC75" t="s">
        <v>19</v>
      </c>
      <c r="AD75" t="s">
        <v>286</v>
      </c>
      <c r="AE75">
        <v>2.4432411551340204E-2</v>
      </c>
    </row>
    <row r="76" spans="9:35" x14ac:dyDescent="0.45">
      <c r="AC76" t="s">
        <v>19</v>
      </c>
      <c r="AD76" t="s">
        <v>287</v>
      </c>
      <c r="AE76">
        <v>3.5675608551710924E-3</v>
      </c>
    </row>
    <row r="77" spans="9:35" x14ac:dyDescent="0.45">
      <c r="AC77" t="s">
        <v>19</v>
      </c>
      <c r="AD77" t="s">
        <v>288</v>
      </c>
      <c r="AE77">
        <v>7.1577780799408084E-3</v>
      </c>
    </row>
    <row r="78" spans="9:35" x14ac:dyDescent="0.45">
      <c r="AC78" t="s">
        <v>19</v>
      </c>
      <c r="AD78" t="s">
        <v>289</v>
      </c>
      <c r="AE78">
        <v>1.0730786917340819E-2</v>
      </c>
    </row>
    <row r="79" spans="9:35" x14ac:dyDescent="0.45">
      <c r="AC79" t="s">
        <v>19</v>
      </c>
      <c r="AD79" t="s">
        <v>290</v>
      </c>
      <c r="AE79">
        <v>3.5732902347939584E-3</v>
      </c>
    </row>
    <row r="80" spans="9:35" x14ac:dyDescent="0.45">
      <c r="AC80" t="s">
        <v>19</v>
      </c>
      <c r="AD80" t="s">
        <v>291</v>
      </c>
      <c r="AE80">
        <v>7.1447781637506797E-3</v>
      </c>
    </row>
    <row r="81" spans="29:31" x14ac:dyDescent="0.45">
      <c r="AC81" t="s">
        <v>19</v>
      </c>
      <c r="AD81" t="s">
        <v>292</v>
      </c>
      <c r="AE81">
        <v>7.1547004970102151E-3</v>
      </c>
    </row>
    <row r="82" spans="29:31" x14ac:dyDescent="0.45">
      <c r="AC82" t="s">
        <v>19</v>
      </c>
      <c r="AD82" t="s">
        <v>293</v>
      </c>
      <c r="AE82">
        <v>2.1210920477999422E-2</v>
      </c>
    </row>
    <row r="83" spans="29:31" x14ac:dyDescent="0.45">
      <c r="AC83" t="s">
        <v>19</v>
      </c>
      <c r="AD83" t="s">
        <v>294</v>
      </c>
      <c r="AE83">
        <v>2.3682791462922036E-2</v>
      </c>
    </row>
    <row r="84" spans="29:31" x14ac:dyDescent="0.45">
      <c r="AC84" t="s">
        <v>19</v>
      </c>
      <c r="AD84" t="s">
        <v>295</v>
      </c>
      <c r="AE84">
        <v>3.4533939736514372E-3</v>
      </c>
    </row>
    <row r="85" spans="29:31" x14ac:dyDescent="0.45">
      <c r="AC85" t="s">
        <v>19</v>
      </c>
      <c r="AD85" t="s">
        <v>296</v>
      </c>
      <c r="AE85">
        <v>6.9207834463373653E-3</v>
      </c>
    </row>
    <row r="86" spans="29:31" x14ac:dyDescent="0.45">
      <c r="AC86" t="s">
        <v>19</v>
      </c>
      <c r="AD86" t="s">
        <v>297</v>
      </c>
      <c r="AE86">
        <v>1.0370268134606019E-2</v>
      </c>
    </row>
    <row r="87" spans="29:31" x14ac:dyDescent="0.45">
      <c r="AC87" t="s">
        <v>19</v>
      </c>
      <c r="AD87" t="s">
        <v>298</v>
      </c>
      <c r="AE87">
        <v>3.4537794521258651E-3</v>
      </c>
    </row>
    <row r="88" spans="29:31" x14ac:dyDescent="0.45">
      <c r="AC88" t="s">
        <v>19</v>
      </c>
      <c r="AD88" t="s">
        <v>299</v>
      </c>
      <c r="AE88">
        <v>6.9054458690796829E-3</v>
      </c>
    </row>
    <row r="89" spans="29:31" x14ac:dyDescent="0.45">
      <c r="AC89" t="s">
        <v>19</v>
      </c>
      <c r="AD89" t="s">
        <v>300</v>
      </c>
      <c r="AE89">
        <v>6.906657562094784E-3</v>
      </c>
    </row>
    <row r="90" spans="29:31" x14ac:dyDescent="0.45">
      <c r="AC90" t="s">
        <v>19</v>
      </c>
      <c r="AD90" t="s">
        <v>301</v>
      </c>
      <c r="AE90">
        <v>2.0495156606258523E-2</v>
      </c>
    </row>
    <row r="91" spans="29:31" x14ac:dyDescent="0.45">
      <c r="AC91" t="s">
        <v>19</v>
      </c>
      <c r="AD91" t="s">
        <v>302</v>
      </c>
      <c r="AE91">
        <v>7.2537514535187295E-2</v>
      </c>
    </row>
    <row r="92" spans="29:31" x14ac:dyDescent="0.45">
      <c r="AC92" t="s">
        <v>19</v>
      </c>
      <c r="AD92" t="s">
        <v>303</v>
      </c>
      <c r="AE92">
        <v>1.0554001018632539E-2</v>
      </c>
    </row>
    <row r="93" spans="29:31" x14ac:dyDescent="0.45">
      <c r="AC93" t="s">
        <v>19</v>
      </c>
      <c r="AD93" t="s">
        <v>304</v>
      </c>
      <c r="AE93">
        <v>2.1184723229499245E-2</v>
      </c>
    </row>
    <row r="94" spans="29:31" x14ac:dyDescent="0.45">
      <c r="AC94" t="s">
        <v>19</v>
      </c>
      <c r="AD94" t="s">
        <v>305</v>
      </c>
      <c r="AE94">
        <v>3.1788003422686915E-2</v>
      </c>
    </row>
    <row r="95" spans="29:31" x14ac:dyDescent="0.45">
      <c r="AC95" t="s">
        <v>19</v>
      </c>
      <c r="AD95" t="s">
        <v>306</v>
      </c>
      <c r="AE95">
        <v>1.0590103528399054E-2</v>
      </c>
    </row>
    <row r="96" spans="29:31" x14ac:dyDescent="0.45">
      <c r="AC96" t="s">
        <v>19</v>
      </c>
      <c r="AD96" t="s">
        <v>307</v>
      </c>
      <c r="AE96">
        <v>2.1165820212901015E-2</v>
      </c>
    </row>
    <row r="97" spans="29:31" x14ac:dyDescent="0.45">
      <c r="AC97" t="s">
        <v>19</v>
      </c>
      <c r="AD97" t="s">
        <v>308</v>
      </c>
      <c r="AE97">
        <v>2.1160905315042479E-2</v>
      </c>
    </row>
    <row r="98" spans="29:31" x14ac:dyDescent="0.45">
      <c r="AC98" t="s">
        <v>19</v>
      </c>
      <c r="AD98" t="s">
        <v>309</v>
      </c>
      <c r="AE98">
        <v>6.2949364180990203E-2</v>
      </c>
    </row>
    <row r="99" spans="29:31" x14ac:dyDescent="0.45">
      <c r="AC99" t="s">
        <v>19</v>
      </c>
      <c r="AD99" t="s">
        <v>310</v>
      </c>
      <c r="AE99">
        <v>7.2498575260090153E-2</v>
      </c>
    </row>
    <row r="100" spans="29:31" x14ac:dyDescent="0.45">
      <c r="AC100" t="s">
        <v>19</v>
      </c>
      <c r="AD100" t="s">
        <v>311</v>
      </c>
      <c r="AE100">
        <v>1.0546733687289457E-2</v>
      </c>
    </row>
    <row r="101" spans="29:31" x14ac:dyDescent="0.45">
      <c r="AC101" t="s">
        <v>19</v>
      </c>
      <c r="AD101" t="s">
        <v>312</v>
      </c>
      <c r="AE101">
        <v>2.1187496682781724E-2</v>
      </c>
    </row>
    <row r="102" spans="29:31" x14ac:dyDescent="0.45">
      <c r="AC102" t="s">
        <v>19</v>
      </c>
      <c r="AD102" t="s">
        <v>313</v>
      </c>
      <c r="AE102">
        <v>3.1791985907820508E-2</v>
      </c>
    </row>
    <row r="103" spans="29:31" x14ac:dyDescent="0.45">
      <c r="AC103" t="s">
        <v>19</v>
      </c>
      <c r="AD103" t="s">
        <v>314</v>
      </c>
      <c r="AE103">
        <v>1.0591326753124776E-2</v>
      </c>
    </row>
    <row r="104" spans="29:31" x14ac:dyDescent="0.45">
      <c r="AC104" t="s">
        <v>19</v>
      </c>
      <c r="AD104" t="s">
        <v>315</v>
      </c>
      <c r="AE104">
        <v>2.1169576570059866E-2</v>
      </c>
    </row>
    <row r="105" spans="29:31" x14ac:dyDescent="0.45">
      <c r="AC105" t="s">
        <v>19</v>
      </c>
      <c r="AD105" t="s">
        <v>316</v>
      </c>
      <c r="AE105">
        <v>2.1165258529888296E-2</v>
      </c>
    </row>
    <row r="106" spans="29:31" x14ac:dyDescent="0.45">
      <c r="AC106" t="s">
        <v>19</v>
      </c>
      <c r="AD106" t="s">
        <v>317</v>
      </c>
      <c r="AE106">
        <v>6.296009297703993E-2</v>
      </c>
    </row>
    <row r="107" spans="29:31" x14ac:dyDescent="0.45">
      <c r="AC107" t="s">
        <v>19</v>
      </c>
      <c r="AD107" t="s">
        <v>318</v>
      </c>
      <c r="AE107">
        <v>2.3601944688261496E-2</v>
      </c>
    </row>
    <row r="108" spans="29:31" x14ac:dyDescent="0.45">
      <c r="AC108" t="s">
        <v>19</v>
      </c>
      <c r="AD108" t="s">
        <v>319</v>
      </c>
      <c r="AE108">
        <v>3.4495549500944142E-3</v>
      </c>
    </row>
    <row r="109" spans="29:31" x14ac:dyDescent="0.45">
      <c r="AC109" t="s">
        <v>19</v>
      </c>
      <c r="AD109" t="s">
        <v>320</v>
      </c>
      <c r="AE109">
        <v>6.9240443207816407E-3</v>
      </c>
    </row>
    <row r="110" spans="29:31" x14ac:dyDescent="0.45">
      <c r="AC110" t="s">
        <v>19</v>
      </c>
      <c r="AD110" t="s">
        <v>321</v>
      </c>
      <c r="AE110">
        <v>1.0388103253298267E-2</v>
      </c>
    </row>
    <row r="111" spans="29:31" x14ac:dyDescent="0.45">
      <c r="AC111" t="s">
        <v>19</v>
      </c>
      <c r="AD111" t="s">
        <v>322</v>
      </c>
      <c r="AE111">
        <v>3.4605527247727878E-3</v>
      </c>
    </row>
    <row r="112" spans="29:31" x14ac:dyDescent="0.45">
      <c r="AC112" t="s">
        <v>19</v>
      </c>
      <c r="AD112" t="s">
        <v>323</v>
      </c>
      <c r="AE112">
        <v>6.9202010795753792E-3</v>
      </c>
    </row>
    <row r="113" spans="29:31" x14ac:dyDescent="0.45">
      <c r="AC113" t="s">
        <v>19</v>
      </c>
      <c r="AD113" t="s">
        <v>324</v>
      </c>
      <c r="AE113">
        <v>6.9308196206441536E-3</v>
      </c>
    </row>
    <row r="114" spans="29:31" x14ac:dyDescent="0.45">
      <c r="AC114" t="s">
        <v>19</v>
      </c>
      <c r="AD114" t="s">
        <v>325</v>
      </c>
      <c r="AE114">
        <v>2.054638336964636E-2</v>
      </c>
    </row>
    <row r="115" spans="29:31" x14ac:dyDescent="0.45">
      <c r="AC115" t="s">
        <v>19</v>
      </c>
      <c r="AD115" t="s">
        <v>326</v>
      </c>
      <c r="AE115">
        <v>2.4416657413212691E-2</v>
      </c>
    </row>
    <row r="116" spans="29:31" x14ac:dyDescent="0.45">
      <c r="AC116" t="s">
        <v>19</v>
      </c>
      <c r="AD116" t="s">
        <v>327</v>
      </c>
      <c r="AE116">
        <v>3.5659298573304079E-3</v>
      </c>
    </row>
    <row r="117" spans="29:31" x14ac:dyDescent="0.45">
      <c r="AC117" t="s">
        <v>19</v>
      </c>
      <c r="AD117" t="s">
        <v>328</v>
      </c>
      <c r="AE117">
        <v>7.1572589045875478E-3</v>
      </c>
    </row>
    <row r="118" spans="29:31" x14ac:dyDescent="0.45">
      <c r="AC118" t="s">
        <v>19</v>
      </c>
      <c r="AD118" t="s">
        <v>329</v>
      </c>
      <c r="AE118">
        <v>1.07309036300797E-2</v>
      </c>
    </row>
    <row r="119" spans="29:31" x14ac:dyDescent="0.45">
      <c r="AC119" t="s">
        <v>19</v>
      </c>
      <c r="AD119" t="s">
        <v>330</v>
      </c>
      <c r="AE119">
        <v>3.5727272980773136E-3</v>
      </c>
    </row>
    <row r="120" spans="29:31" x14ac:dyDescent="0.45">
      <c r="AC120" t="s">
        <v>19</v>
      </c>
      <c r="AD120" t="s">
        <v>331</v>
      </c>
      <c r="AE120">
        <v>7.1450759302600121E-3</v>
      </c>
    </row>
    <row r="121" spans="29:31" x14ac:dyDescent="0.45">
      <c r="AC121" t="s">
        <v>19</v>
      </c>
      <c r="AD121" t="s">
        <v>332</v>
      </c>
      <c r="AE121">
        <v>7.1618483125216771E-3</v>
      </c>
    </row>
    <row r="122" spans="29:31" x14ac:dyDescent="0.45">
      <c r="AC122" t="s">
        <v>19</v>
      </c>
      <c r="AD122" t="s">
        <v>333</v>
      </c>
      <c r="AE122">
        <v>2.1220864479047526E-2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85B5D-E11C-42A7-B73B-11D4A7B8956D}">
  <dimension ref="A9:AN20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129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157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2.5550017394375114E-2</v>
      </c>
      <c r="Q11" t="s">
        <v>254</v>
      </c>
      <c r="S11" t="s">
        <v>423</v>
      </c>
      <c r="T11" t="s">
        <v>253</v>
      </c>
      <c r="U11">
        <v>2.6314698197757971E-2</v>
      </c>
      <c r="V11" t="s">
        <v>254</v>
      </c>
      <c r="X11">
        <v>2.4771689497716895E-2</v>
      </c>
      <c r="Y11">
        <v>9.7827942553597048E-3</v>
      </c>
      <c r="Z11" t="s">
        <v>253</v>
      </c>
      <c r="AA11" t="s">
        <v>25</v>
      </c>
      <c r="AC11" t="s">
        <v>22</v>
      </c>
      <c r="AD11" t="s">
        <v>253</v>
      </c>
      <c r="AE11">
        <v>2.2606998255070062E-2</v>
      </c>
      <c r="AG11" t="s">
        <v>97</v>
      </c>
      <c r="AH11" t="s">
        <v>253</v>
      </c>
      <c r="AI11">
        <v>0.29325982533716588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3.571492353764361E-3</v>
      </c>
      <c r="Q12" t="s">
        <v>254</v>
      </c>
      <c r="S12" t="s">
        <v>423</v>
      </c>
      <c r="T12" t="s">
        <v>255</v>
      </c>
      <c r="U12">
        <v>3.7559791137912564E-3</v>
      </c>
      <c r="V12" t="s">
        <v>254</v>
      </c>
      <c r="X12">
        <v>3.5388127853881279E-3</v>
      </c>
      <c r="Y12">
        <v>5.9087255218821738E-3</v>
      </c>
      <c r="Z12" t="s">
        <v>255</v>
      </c>
      <c r="AA12" t="s">
        <v>25</v>
      </c>
      <c r="AC12" t="s">
        <v>22</v>
      </c>
      <c r="AD12" t="s">
        <v>255</v>
      </c>
      <c r="AE12">
        <v>4.4180407876775827E-3</v>
      </c>
      <c r="AG12" t="s">
        <v>97</v>
      </c>
      <c r="AH12" t="s">
        <v>255</v>
      </c>
      <c r="AI12">
        <v>5.9964938978160909E-2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4.62783912320343E-3</v>
      </c>
      <c r="L13" t="s">
        <v>254</v>
      </c>
      <c r="N13" t="s">
        <v>422</v>
      </c>
      <c r="O13" t="s">
        <v>256</v>
      </c>
      <c r="P13">
        <v>7.0455228010805641E-3</v>
      </c>
      <c r="Q13" t="s">
        <v>254</v>
      </c>
      <c r="S13" t="s">
        <v>423</v>
      </c>
      <c r="T13" t="s">
        <v>256</v>
      </c>
      <c r="U13">
        <v>7.4238637563069747E-3</v>
      </c>
      <c r="V13" t="s">
        <v>254</v>
      </c>
      <c r="X13">
        <v>7.0776255707762558E-3</v>
      </c>
      <c r="Y13">
        <v>9.0018148820326695E-3</v>
      </c>
      <c r="Z13" t="s">
        <v>256</v>
      </c>
      <c r="AA13" t="s">
        <v>25</v>
      </c>
      <c r="AC13" t="s">
        <v>22</v>
      </c>
      <c r="AD13" t="s">
        <v>256</v>
      </c>
      <c r="AE13">
        <v>9.0748516748292811E-3</v>
      </c>
      <c r="AG13" t="s">
        <v>97</v>
      </c>
      <c r="AH13" t="s">
        <v>256</v>
      </c>
      <c r="AI13">
        <v>5.9891306588249815E-2</v>
      </c>
    </row>
    <row r="14" spans="1:40" x14ac:dyDescent="0.45">
      <c r="C14" t="s">
        <v>165</v>
      </c>
      <c r="E14" t="s">
        <v>246</v>
      </c>
      <c r="G14" t="s">
        <v>155</v>
      </c>
      <c r="I14" t="s">
        <v>252</v>
      </c>
      <c r="J14" t="s">
        <v>257</v>
      </c>
      <c r="K14">
        <v>1.5970968002535522E-2</v>
      </c>
      <c r="L14" t="s">
        <v>254</v>
      </c>
      <c r="N14" t="s">
        <v>422</v>
      </c>
      <c r="O14" t="s">
        <v>257</v>
      </c>
      <c r="P14">
        <v>1.0364520942325371E-2</v>
      </c>
      <c r="Q14" t="s">
        <v>254</v>
      </c>
      <c r="S14" t="s">
        <v>423</v>
      </c>
      <c r="T14" t="s">
        <v>257</v>
      </c>
      <c r="U14">
        <v>1.1034451381357873E-2</v>
      </c>
      <c r="V14" t="s">
        <v>254</v>
      </c>
      <c r="X14">
        <v>1.0616438356164383E-2</v>
      </c>
      <c r="Y14">
        <v>1.3143060769543132E-2</v>
      </c>
      <c r="Z14" t="s">
        <v>257</v>
      </c>
      <c r="AA14" t="s">
        <v>25</v>
      </c>
      <c r="AC14" t="s">
        <v>22</v>
      </c>
      <c r="AD14" t="s">
        <v>257</v>
      </c>
      <c r="AE14">
        <v>1.3679640726332236E-2</v>
      </c>
      <c r="AG14" t="s">
        <v>97</v>
      </c>
      <c r="AH14" t="s">
        <v>257</v>
      </c>
      <c r="AI14">
        <v>5.6247175012977824E-2</v>
      </c>
    </row>
    <row r="15" spans="1:40" x14ac:dyDescent="0.45">
      <c r="C15" t="s">
        <v>169</v>
      </c>
      <c r="E15" t="s">
        <v>247</v>
      </c>
      <c r="G15" t="s">
        <v>155</v>
      </c>
      <c r="I15" t="s">
        <v>252</v>
      </c>
      <c r="J15" t="s">
        <v>258</v>
      </c>
      <c r="K15">
        <v>5.454637530262727E-3</v>
      </c>
      <c r="L15" t="s">
        <v>254</v>
      </c>
      <c r="N15" t="s">
        <v>422</v>
      </c>
      <c r="O15" t="s">
        <v>258</v>
      </c>
      <c r="P15">
        <v>3.5073755161339351E-3</v>
      </c>
      <c r="Q15" t="s">
        <v>254</v>
      </c>
      <c r="S15" t="s">
        <v>423</v>
      </c>
      <c r="T15" t="s">
        <v>258</v>
      </c>
      <c r="U15">
        <v>3.7274210855800941E-3</v>
      </c>
      <c r="V15" t="s">
        <v>254</v>
      </c>
      <c r="X15">
        <v>3.5388127853881279E-3</v>
      </c>
      <c r="Y15">
        <v>4.6139439292610376E-3</v>
      </c>
      <c r="Z15" t="s">
        <v>258</v>
      </c>
      <c r="AA15" t="s">
        <v>25</v>
      </c>
      <c r="AC15" t="s">
        <v>22</v>
      </c>
      <c r="AD15" t="s">
        <v>258</v>
      </c>
      <c r="AE15">
        <v>4.5391812930857403E-3</v>
      </c>
      <c r="AG15" t="s">
        <v>97</v>
      </c>
      <c r="AH15" t="s">
        <v>258</v>
      </c>
      <c r="AI15">
        <v>6.0035937988137444E-2</v>
      </c>
    </row>
    <row r="16" spans="1:40" x14ac:dyDescent="0.45">
      <c r="C16" t="s">
        <v>171</v>
      </c>
      <c r="E16" t="s">
        <v>248</v>
      </c>
      <c r="G16" t="s">
        <v>155</v>
      </c>
      <c r="I16" t="s">
        <v>252</v>
      </c>
      <c r="J16" t="s">
        <v>259</v>
      </c>
      <c r="K16">
        <v>1.1342405156971672E-2</v>
      </c>
      <c r="L16" t="s">
        <v>254</v>
      </c>
      <c r="N16" t="s">
        <v>422</v>
      </c>
      <c r="O16" t="s">
        <v>259</v>
      </c>
      <c r="P16">
        <v>6.9493087513025171E-3</v>
      </c>
      <c r="Q16" t="s">
        <v>254</v>
      </c>
      <c r="S16" t="s">
        <v>423</v>
      </c>
      <c r="T16" t="s">
        <v>259</v>
      </c>
      <c r="U16">
        <v>7.3674033041907852E-3</v>
      </c>
      <c r="V16" t="s">
        <v>254</v>
      </c>
      <c r="X16">
        <v>7.0776255707762558E-3</v>
      </c>
      <c r="Y16">
        <v>1.0008867231849112E-2</v>
      </c>
      <c r="Z16" t="s">
        <v>259</v>
      </c>
      <c r="AA16" t="s">
        <v>25</v>
      </c>
      <c r="AC16" t="s">
        <v>22</v>
      </c>
      <c r="AD16" t="s">
        <v>259</v>
      </c>
      <c r="AE16">
        <v>9.0835944322065452E-3</v>
      </c>
      <c r="AG16" t="s">
        <v>97</v>
      </c>
      <c r="AH16" t="s">
        <v>259</v>
      </c>
      <c r="AI16">
        <v>6.308444745243813E-2</v>
      </c>
    </row>
    <row r="17" spans="3:35" x14ac:dyDescent="0.45">
      <c r="C17" t="s">
        <v>173</v>
      </c>
      <c r="E17" t="s">
        <v>249</v>
      </c>
      <c r="G17" t="s">
        <v>155</v>
      </c>
      <c r="I17" t="s">
        <v>252</v>
      </c>
      <c r="J17" t="s">
        <v>260</v>
      </c>
      <c r="K17">
        <v>4.5986949584016796E-3</v>
      </c>
      <c r="L17" t="s">
        <v>254</v>
      </c>
      <c r="N17" t="s">
        <v>422</v>
      </c>
      <c r="O17" t="s">
        <v>260</v>
      </c>
      <c r="P17">
        <v>7.0448551307419113E-3</v>
      </c>
      <c r="Q17" t="s">
        <v>254</v>
      </c>
      <c r="S17" t="s">
        <v>423</v>
      </c>
      <c r="T17" t="s">
        <v>260</v>
      </c>
      <c r="U17">
        <v>7.2244896298709121E-3</v>
      </c>
      <c r="V17" t="s">
        <v>254</v>
      </c>
      <c r="X17">
        <v>7.0776255707762558E-3</v>
      </c>
      <c r="Y17">
        <v>1.376989947708193E-2</v>
      </c>
      <c r="Z17" t="s">
        <v>260</v>
      </c>
      <c r="AA17" t="s">
        <v>25</v>
      </c>
      <c r="AC17" t="s">
        <v>22</v>
      </c>
      <c r="AD17" t="s">
        <v>260</v>
      </c>
      <c r="AE17">
        <v>9.1887683459026138E-3</v>
      </c>
      <c r="AG17" t="s">
        <v>97</v>
      </c>
      <c r="AH17" t="s">
        <v>260</v>
      </c>
      <c r="AI17">
        <v>5.3910167132447562E-2</v>
      </c>
    </row>
    <row r="18" spans="3:35" x14ac:dyDescent="0.45">
      <c r="C18" t="s">
        <v>164</v>
      </c>
      <c r="E18" t="s">
        <v>250</v>
      </c>
      <c r="G18" t="s">
        <v>155</v>
      </c>
      <c r="I18" t="s">
        <v>252</v>
      </c>
      <c r="J18" t="s">
        <v>261</v>
      </c>
      <c r="K18">
        <v>0</v>
      </c>
      <c r="L18" t="s">
        <v>254</v>
      </c>
      <c r="N18" t="s">
        <v>422</v>
      </c>
      <c r="O18" t="s">
        <v>261</v>
      </c>
      <c r="P18">
        <v>2.2397691727014665E-2</v>
      </c>
      <c r="Q18" t="s">
        <v>254</v>
      </c>
      <c r="S18" t="s">
        <v>423</v>
      </c>
      <c r="T18" t="s">
        <v>261</v>
      </c>
      <c r="U18">
        <v>2.2005210993578238E-2</v>
      </c>
      <c r="V18" t="s">
        <v>254</v>
      </c>
      <c r="X18">
        <v>2.1232876712328767E-2</v>
      </c>
      <c r="Y18">
        <v>1.8702400782305319E-2</v>
      </c>
      <c r="Z18" t="s">
        <v>261</v>
      </c>
      <c r="AA18" t="s">
        <v>25</v>
      </c>
      <c r="AC18" t="s">
        <v>22</v>
      </c>
      <c r="AD18" t="s">
        <v>261</v>
      </c>
      <c r="AE18">
        <v>2.342274434856563E-2</v>
      </c>
      <c r="AG18" t="s">
        <v>97</v>
      </c>
      <c r="AH18" t="s">
        <v>261</v>
      </c>
      <c r="AI18">
        <v>0.18937647676882352</v>
      </c>
    </row>
    <row r="19" spans="3:35" x14ac:dyDescent="0.45">
      <c r="C19" t="s">
        <v>168</v>
      </c>
      <c r="I19" t="s">
        <v>252</v>
      </c>
      <c r="J19" t="s">
        <v>286</v>
      </c>
      <c r="K19">
        <v>0</v>
      </c>
      <c r="L19" t="s">
        <v>254</v>
      </c>
      <c r="N19" t="s">
        <v>422</v>
      </c>
      <c r="O19" t="s">
        <v>286</v>
      </c>
      <c r="P19">
        <v>2.6875347164954114E-2</v>
      </c>
      <c r="Q19" t="s">
        <v>254</v>
      </c>
      <c r="S19" t="s">
        <v>423</v>
      </c>
      <c r="T19" t="s">
        <v>286</v>
      </c>
      <c r="U19">
        <v>2.7252085270587752E-2</v>
      </c>
      <c r="V19" t="s">
        <v>254</v>
      </c>
      <c r="X19">
        <v>2.2374429223744292E-2</v>
      </c>
      <c r="Y19">
        <v>8.8360722306474754E-3</v>
      </c>
      <c r="Z19" t="s">
        <v>286</v>
      </c>
      <c r="AA19" t="s">
        <v>25</v>
      </c>
      <c r="AC19" t="s">
        <v>22</v>
      </c>
      <c r="AD19" t="s">
        <v>286</v>
      </c>
      <c r="AE19">
        <v>2.1109717328878161E-2</v>
      </c>
      <c r="AG19" t="s">
        <v>97</v>
      </c>
      <c r="AH19" t="s">
        <v>286</v>
      </c>
      <c r="AI19">
        <v>0.29113480752506327</v>
      </c>
    </row>
    <row r="20" spans="3:35" x14ac:dyDescent="0.45">
      <c r="C20" t="s">
        <v>177</v>
      </c>
      <c r="I20" t="s">
        <v>252</v>
      </c>
      <c r="J20" t="s">
        <v>287</v>
      </c>
      <c r="K20">
        <v>8.3849719630973629E-5</v>
      </c>
      <c r="L20" t="s">
        <v>254</v>
      </c>
      <c r="N20" t="s">
        <v>422</v>
      </c>
      <c r="O20" t="s">
        <v>287</v>
      </c>
      <c r="P20">
        <v>3.8881604605765616E-3</v>
      </c>
      <c r="Q20" t="s">
        <v>254</v>
      </c>
      <c r="S20" t="s">
        <v>423</v>
      </c>
      <c r="T20" t="s">
        <v>287</v>
      </c>
      <c r="U20">
        <v>3.9499288171013164E-3</v>
      </c>
      <c r="V20" t="s">
        <v>254</v>
      </c>
      <c r="X20">
        <v>3.1963470319634705E-3</v>
      </c>
      <c r="Y20">
        <v>5.3369133746032542E-3</v>
      </c>
      <c r="Z20" t="s">
        <v>287</v>
      </c>
      <c r="AA20" t="s">
        <v>25</v>
      </c>
      <c r="AC20" t="s">
        <v>22</v>
      </c>
      <c r="AD20" t="s">
        <v>287</v>
      </c>
      <c r="AE20">
        <v>4.0710306204245848E-3</v>
      </c>
      <c r="AG20" t="s">
        <v>97</v>
      </c>
      <c r="AH20" t="s">
        <v>287</v>
      </c>
      <c r="AI20">
        <v>6.8359075254840862E-2</v>
      </c>
    </row>
    <row r="21" spans="3:35" x14ac:dyDescent="0.45">
      <c r="C21" t="s">
        <v>179</v>
      </c>
      <c r="I21" t="s">
        <v>252</v>
      </c>
      <c r="J21" t="s">
        <v>288</v>
      </c>
      <c r="K21">
        <v>9.6888225697236499E-3</v>
      </c>
      <c r="L21" t="s">
        <v>254</v>
      </c>
      <c r="N21" t="s">
        <v>422</v>
      </c>
      <c r="O21" t="s">
        <v>288</v>
      </c>
      <c r="P21">
        <v>7.7173957406902237E-3</v>
      </c>
      <c r="Q21" t="s">
        <v>254</v>
      </c>
      <c r="S21" t="s">
        <v>423</v>
      </c>
      <c r="T21" t="s">
        <v>288</v>
      </c>
      <c r="U21">
        <v>7.9199453590623053E-3</v>
      </c>
      <c r="V21" t="s">
        <v>254</v>
      </c>
      <c r="X21">
        <v>6.392694063926941E-3</v>
      </c>
      <c r="Y21">
        <v>8.1306715063520895E-3</v>
      </c>
      <c r="Z21" t="s">
        <v>288</v>
      </c>
      <c r="AA21" t="s">
        <v>25</v>
      </c>
      <c r="AC21" t="s">
        <v>22</v>
      </c>
      <c r="AD21" t="s">
        <v>288</v>
      </c>
      <c r="AE21">
        <v>8.316463780013111E-3</v>
      </c>
      <c r="AG21" t="s">
        <v>97</v>
      </c>
      <c r="AH21" t="s">
        <v>288</v>
      </c>
      <c r="AI21">
        <v>6.1073371955473243E-2</v>
      </c>
    </row>
    <row r="22" spans="3:35" x14ac:dyDescent="0.45">
      <c r="C22" t="s">
        <v>181</v>
      </c>
      <c r="I22" t="s">
        <v>252</v>
      </c>
      <c r="J22" t="s">
        <v>289</v>
      </c>
      <c r="K22">
        <v>2.2304673988702308E-2</v>
      </c>
      <c r="L22" t="s">
        <v>254</v>
      </c>
      <c r="N22" t="s">
        <v>422</v>
      </c>
      <c r="O22" t="s">
        <v>289</v>
      </c>
      <c r="P22">
        <v>1.1265957507804868E-2</v>
      </c>
      <c r="Q22" t="s">
        <v>254</v>
      </c>
      <c r="S22" t="s">
        <v>423</v>
      </c>
      <c r="T22" t="s">
        <v>289</v>
      </c>
      <c r="U22">
        <v>1.1517428166842628E-2</v>
      </c>
      <c r="V22" t="s">
        <v>254</v>
      </c>
      <c r="X22">
        <v>9.5890410958904115E-3</v>
      </c>
      <c r="Y22">
        <v>1.1871151662813155E-2</v>
      </c>
      <c r="Z22" t="s">
        <v>289</v>
      </c>
      <c r="AA22" t="s">
        <v>25</v>
      </c>
      <c r="AC22" t="s">
        <v>22</v>
      </c>
      <c r="AD22" t="s">
        <v>289</v>
      </c>
      <c r="AE22">
        <v>1.242959976544911E-2</v>
      </c>
      <c r="AG22" t="s">
        <v>97</v>
      </c>
      <c r="AH22" t="s">
        <v>289</v>
      </c>
      <c r="AI22">
        <v>6.0211691919535903E-2</v>
      </c>
    </row>
    <row r="23" spans="3:35" x14ac:dyDescent="0.45">
      <c r="I23" t="s">
        <v>252</v>
      </c>
      <c r="J23" t="s">
        <v>290</v>
      </c>
      <c r="K23">
        <v>6.9887246060699E-3</v>
      </c>
      <c r="L23" t="s">
        <v>254</v>
      </c>
      <c r="N23" t="s">
        <v>422</v>
      </c>
      <c r="O23" t="s">
        <v>290</v>
      </c>
      <c r="P23">
        <v>3.8316104893318524E-3</v>
      </c>
      <c r="Q23" t="s">
        <v>254</v>
      </c>
      <c r="S23" t="s">
        <v>423</v>
      </c>
      <c r="T23" t="s">
        <v>290</v>
      </c>
      <c r="U23">
        <v>3.7783683444571488E-3</v>
      </c>
      <c r="V23" t="s">
        <v>254</v>
      </c>
      <c r="X23">
        <v>3.1963470319634705E-3</v>
      </c>
      <c r="Y23">
        <v>4.167433226429324E-3</v>
      </c>
      <c r="Z23" t="s">
        <v>290</v>
      </c>
      <c r="AA23" t="s">
        <v>25</v>
      </c>
      <c r="AC23" t="s">
        <v>22</v>
      </c>
      <c r="AD23" t="s">
        <v>290</v>
      </c>
      <c r="AE23">
        <v>4.1147137219969144E-3</v>
      </c>
      <c r="AG23" t="s">
        <v>97</v>
      </c>
      <c r="AH23" t="s">
        <v>290</v>
      </c>
      <c r="AI23">
        <v>6.3744162102699953E-2</v>
      </c>
    </row>
    <row r="24" spans="3:35" x14ac:dyDescent="0.45">
      <c r="I24" t="s">
        <v>252</v>
      </c>
      <c r="J24" t="s">
        <v>291</v>
      </c>
      <c r="K24">
        <v>1.4596565439051225E-2</v>
      </c>
      <c r="L24" t="s">
        <v>254</v>
      </c>
      <c r="N24" t="s">
        <v>422</v>
      </c>
      <c r="O24" t="s">
        <v>291</v>
      </c>
      <c r="P24">
        <v>7.8099855736281556E-3</v>
      </c>
      <c r="Q24" t="s">
        <v>254</v>
      </c>
      <c r="S24" t="s">
        <v>423</v>
      </c>
      <c r="T24" t="s">
        <v>291</v>
      </c>
      <c r="U24">
        <v>7.711700152114997E-3</v>
      </c>
      <c r="V24" t="s">
        <v>254</v>
      </c>
      <c r="X24">
        <v>6.392694063926941E-3</v>
      </c>
      <c r="Y24">
        <v>9.0402671771540339E-3</v>
      </c>
      <c r="Z24" t="s">
        <v>291</v>
      </c>
      <c r="AA24" t="s">
        <v>25</v>
      </c>
      <c r="AC24" t="s">
        <v>22</v>
      </c>
      <c r="AD24" t="s">
        <v>291</v>
      </c>
      <c r="AE24">
        <v>8.2352320825566806E-3</v>
      </c>
      <c r="AG24" t="s">
        <v>97</v>
      </c>
      <c r="AH24" t="s">
        <v>291</v>
      </c>
      <c r="AI24">
        <v>6.7700113318520883E-2</v>
      </c>
    </row>
    <row r="25" spans="3:35" x14ac:dyDescent="0.45">
      <c r="I25" t="s">
        <v>252</v>
      </c>
      <c r="J25" t="s">
        <v>292</v>
      </c>
      <c r="K25">
        <v>1.0097346272973182E-2</v>
      </c>
      <c r="L25" t="s">
        <v>254</v>
      </c>
      <c r="N25" t="s">
        <v>422</v>
      </c>
      <c r="O25" t="s">
        <v>292</v>
      </c>
      <c r="P25">
        <v>7.7105231593927528E-3</v>
      </c>
      <c r="Q25" t="s">
        <v>254</v>
      </c>
      <c r="S25" t="s">
        <v>423</v>
      </c>
      <c r="T25" t="s">
        <v>292</v>
      </c>
      <c r="U25">
        <v>7.813409287946254E-3</v>
      </c>
      <c r="V25" t="s">
        <v>254</v>
      </c>
      <c r="X25">
        <v>6.392694063926941E-3</v>
      </c>
      <c r="Y25">
        <v>1.2437328559944975E-2</v>
      </c>
      <c r="Z25" t="s">
        <v>292</v>
      </c>
      <c r="AA25" t="s">
        <v>25</v>
      </c>
      <c r="AC25" t="s">
        <v>22</v>
      </c>
      <c r="AD25" t="s">
        <v>292</v>
      </c>
      <c r="AE25">
        <v>8.3551528467337901E-3</v>
      </c>
      <c r="AG25" t="s">
        <v>97</v>
      </c>
      <c r="AH25" t="s">
        <v>292</v>
      </c>
      <c r="AI25">
        <v>5.656928791866056E-2</v>
      </c>
    </row>
    <row r="26" spans="3:35" x14ac:dyDescent="0.45">
      <c r="I26" t="s">
        <v>252</v>
      </c>
      <c r="J26" t="s">
        <v>293</v>
      </c>
      <c r="K26">
        <v>3.0928607330769746E-4</v>
      </c>
      <c r="L26" t="s">
        <v>254</v>
      </c>
      <c r="N26" t="s">
        <v>422</v>
      </c>
      <c r="O26" t="s">
        <v>293</v>
      </c>
      <c r="P26">
        <v>2.3050564628395966E-2</v>
      </c>
      <c r="Q26" t="s">
        <v>254</v>
      </c>
      <c r="S26" t="s">
        <v>423</v>
      </c>
      <c r="T26" t="s">
        <v>293</v>
      </c>
      <c r="U26">
        <v>2.3574584893300582E-2</v>
      </c>
      <c r="V26" t="s">
        <v>254</v>
      </c>
      <c r="X26">
        <v>1.9178082191780823E-2</v>
      </c>
      <c r="Y26">
        <v>1.6892491029178995E-2</v>
      </c>
      <c r="Z26" t="s">
        <v>293</v>
      </c>
      <c r="AA26" t="s">
        <v>25</v>
      </c>
      <c r="AC26" t="s">
        <v>22</v>
      </c>
      <c r="AD26" t="s">
        <v>293</v>
      </c>
      <c r="AE26">
        <v>2.1361894568342289E-2</v>
      </c>
      <c r="AG26" t="s">
        <v>97</v>
      </c>
      <c r="AH26" t="s">
        <v>293</v>
      </c>
      <c r="AI26">
        <v>0.18996407529817505</v>
      </c>
    </row>
    <row r="27" spans="3:35" x14ac:dyDescent="0.45">
      <c r="I27" t="s">
        <v>252</v>
      </c>
      <c r="J27" t="s">
        <v>294</v>
      </c>
      <c r="K27">
        <v>1.6104140391799037E-5</v>
      </c>
      <c r="L27" t="s">
        <v>254</v>
      </c>
      <c r="N27" t="s">
        <v>422</v>
      </c>
      <c r="O27" t="s">
        <v>294</v>
      </c>
      <c r="P27">
        <v>2.422069263148147E-2</v>
      </c>
      <c r="Q27" t="s">
        <v>254</v>
      </c>
      <c r="S27" t="s">
        <v>423</v>
      </c>
      <c r="T27" t="s">
        <v>294</v>
      </c>
      <c r="U27">
        <v>2.5901969336789985E-2</v>
      </c>
      <c r="V27" t="s">
        <v>254</v>
      </c>
      <c r="X27">
        <v>2.4771689497716895E-2</v>
      </c>
      <c r="Y27">
        <v>9.7827942553597048E-3</v>
      </c>
      <c r="Z27" t="s">
        <v>294</v>
      </c>
      <c r="AA27" t="s">
        <v>25</v>
      </c>
      <c r="AC27" t="s">
        <v>22</v>
      </c>
      <c r="AD27" t="s">
        <v>294</v>
      </c>
      <c r="AE27">
        <v>2.1673230553283358E-2</v>
      </c>
      <c r="AG27" t="s">
        <v>97</v>
      </c>
      <c r="AH27" t="s">
        <v>294</v>
      </c>
      <c r="AI27">
        <v>0.29189958109755287</v>
      </c>
    </row>
    <row r="28" spans="3:35" x14ac:dyDescent="0.45">
      <c r="I28" t="s">
        <v>252</v>
      </c>
      <c r="J28" t="s">
        <v>295</v>
      </c>
      <c r="K28">
        <v>2.4930351960390073E-3</v>
      </c>
      <c r="L28" t="s">
        <v>254</v>
      </c>
      <c r="N28" t="s">
        <v>422</v>
      </c>
      <c r="O28" t="s">
        <v>295</v>
      </c>
      <c r="P28">
        <v>3.5730988300244175E-3</v>
      </c>
      <c r="Q28" t="s">
        <v>254</v>
      </c>
      <c r="S28" t="s">
        <v>423</v>
      </c>
      <c r="T28" t="s">
        <v>295</v>
      </c>
      <c r="U28">
        <v>3.8899664386824219E-3</v>
      </c>
      <c r="V28" t="s">
        <v>254</v>
      </c>
      <c r="X28">
        <v>3.5388127853881279E-3</v>
      </c>
      <c r="Y28">
        <v>5.9087255218821738E-3</v>
      </c>
      <c r="Z28" t="s">
        <v>295</v>
      </c>
      <c r="AA28" t="s">
        <v>25</v>
      </c>
      <c r="AC28" t="s">
        <v>22</v>
      </c>
      <c r="AD28" t="s">
        <v>295</v>
      </c>
      <c r="AE28">
        <v>4.1395725431968974E-3</v>
      </c>
      <c r="AG28" t="s">
        <v>97</v>
      </c>
      <c r="AH28" t="s">
        <v>295</v>
      </c>
      <c r="AI28">
        <v>7.1225832716647064E-2</v>
      </c>
    </row>
    <row r="29" spans="3:35" x14ac:dyDescent="0.45">
      <c r="I29" t="s">
        <v>252</v>
      </c>
      <c r="J29" t="s">
        <v>296</v>
      </c>
      <c r="K29">
        <v>1.2217569584091117E-2</v>
      </c>
      <c r="L29" t="s">
        <v>254</v>
      </c>
      <c r="N29" t="s">
        <v>422</v>
      </c>
      <c r="O29" t="s">
        <v>296</v>
      </c>
      <c r="P29">
        <v>6.9748728034219332E-3</v>
      </c>
      <c r="Q29" t="s">
        <v>254</v>
      </c>
      <c r="S29" t="s">
        <v>423</v>
      </c>
      <c r="T29" t="s">
        <v>296</v>
      </c>
      <c r="U29">
        <v>7.7357545072605522E-3</v>
      </c>
      <c r="V29" t="s">
        <v>254</v>
      </c>
      <c r="X29">
        <v>7.0776255707762558E-3</v>
      </c>
      <c r="Y29">
        <v>9.0018148820326695E-3</v>
      </c>
      <c r="Z29" t="s">
        <v>296</v>
      </c>
      <c r="AA29" t="s">
        <v>25</v>
      </c>
      <c r="AC29" t="s">
        <v>22</v>
      </c>
      <c r="AD29" t="s">
        <v>296</v>
      </c>
      <c r="AE29">
        <v>8.58529246405847E-3</v>
      </c>
      <c r="AG29" t="s">
        <v>97</v>
      </c>
      <c r="AH29" t="s">
        <v>296</v>
      </c>
      <c r="AI29">
        <v>7.2679836004472698E-2</v>
      </c>
    </row>
    <row r="30" spans="3:35" x14ac:dyDescent="0.45">
      <c r="I30" t="s">
        <v>252</v>
      </c>
      <c r="J30" t="s">
        <v>297</v>
      </c>
      <c r="K30">
        <v>2.6485135909388655E-2</v>
      </c>
      <c r="L30" t="s">
        <v>254</v>
      </c>
      <c r="N30" t="s">
        <v>422</v>
      </c>
      <c r="O30" t="s">
        <v>297</v>
      </c>
      <c r="P30">
        <v>9.9778372938310565E-3</v>
      </c>
      <c r="Q30" t="s">
        <v>254</v>
      </c>
      <c r="S30" t="s">
        <v>423</v>
      </c>
      <c r="T30" t="s">
        <v>297</v>
      </c>
      <c r="U30">
        <v>1.1131790036312329E-2</v>
      </c>
      <c r="V30" t="s">
        <v>254</v>
      </c>
      <c r="X30">
        <v>1.0616438356164383E-2</v>
      </c>
      <c r="Y30">
        <v>1.3143060769543132E-2</v>
      </c>
      <c r="Z30" t="s">
        <v>297</v>
      </c>
      <c r="AA30" t="s">
        <v>25</v>
      </c>
      <c r="AC30" t="s">
        <v>22</v>
      </c>
      <c r="AD30" t="s">
        <v>297</v>
      </c>
      <c r="AE30">
        <v>1.2798481632623615E-2</v>
      </c>
      <c r="AG30" t="s">
        <v>97</v>
      </c>
      <c r="AH30" t="s">
        <v>297</v>
      </c>
      <c r="AI30">
        <v>7.8130437900502558E-2</v>
      </c>
    </row>
    <row r="31" spans="3:35" x14ac:dyDescent="0.45">
      <c r="I31" t="s">
        <v>252</v>
      </c>
      <c r="J31" t="s">
        <v>298</v>
      </c>
      <c r="K31">
        <v>8.7555444167293581E-3</v>
      </c>
      <c r="L31" t="s">
        <v>254</v>
      </c>
      <c r="N31" t="s">
        <v>422</v>
      </c>
      <c r="O31" t="s">
        <v>298</v>
      </c>
      <c r="P31">
        <v>3.3727831130503645E-3</v>
      </c>
      <c r="Q31" t="s">
        <v>254</v>
      </c>
      <c r="S31" t="s">
        <v>423</v>
      </c>
      <c r="T31" t="s">
        <v>298</v>
      </c>
      <c r="U31">
        <v>3.7073872357237798E-3</v>
      </c>
      <c r="V31" t="s">
        <v>254</v>
      </c>
      <c r="X31">
        <v>3.5388127853881279E-3</v>
      </c>
      <c r="Y31">
        <v>4.6139439292610376E-3</v>
      </c>
      <c r="Z31" t="s">
        <v>298</v>
      </c>
      <c r="AA31" t="s">
        <v>25</v>
      </c>
      <c r="AC31" t="s">
        <v>22</v>
      </c>
      <c r="AD31" t="s">
        <v>298</v>
      </c>
      <c r="AE31">
        <v>4.2169915903902391E-3</v>
      </c>
      <c r="AG31" t="s">
        <v>97</v>
      </c>
      <c r="AH31" t="s">
        <v>298</v>
      </c>
      <c r="AI31">
        <v>8.3300670632449947E-2</v>
      </c>
    </row>
    <row r="32" spans="3:35" x14ac:dyDescent="0.45">
      <c r="I32" t="s">
        <v>252</v>
      </c>
      <c r="J32" t="s">
        <v>299</v>
      </c>
      <c r="K32">
        <v>1.7586171126462422E-2</v>
      </c>
      <c r="L32" t="s">
        <v>254</v>
      </c>
      <c r="N32" t="s">
        <v>422</v>
      </c>
      <c r="O32" t="s">
        <v>299</v>
      </c>
      <c r="P32">
        <v>6.8659250177975891E-3</v>
      </c>
      <c r="Q32" t="s">
        <v>254</v>
      </c>
      <c r="S32" t="s">
        <v>423</v>
      </c>
      <c r="T32" t="s">
        <v>299</v>
      </c>
      <c r="U32">
        <v>7.5891430150184756E-3</v>
      </c>
      <c r="V32" t="s">
        <v>254</v>
      </c>
      <c r="X32">
        <v>7.0776255707762558E-3</v>
      </c>
      <c r="Y32">
        <v>1.0008867231849112E-2</v>
      </c>
      <c r="Z32" t="s">
        <v>299</v>
      </c>
      <c r="AA32" t="s">
        <v>25</v>
      </c>
      <c r="AC32" t="s">
        <v>22</v>
      </c>
      <c r="AD32" t="s">
        <v>299</v>
      </c>
      <c r="AE32">
        <v>8.4096292699114943E-3</v>
      </c>
      <c r="AG32" t="s">
        <v>97</v>
      </c>
      <c r="AH32" t="s">
        <v>299</v>
      </c>
      <c r="AI32">
        <v>8.7356154406409425E-2</v>
      </c>
    </row>
    <row r="33" spans="9:35" x14ac:dyDescent="0.45">
      <c r="I33" t="s">
        <v>252</v>
      </c>
      <c r="J33" t="s">
        <v>300</v>
      </c>
      <c r="K33">
        <v>1.277606612294124E-2</v>
      </c>
      <c r="L33" t="s">
        <v>254</v>
      </c>
      <c r="N33" t="s">
        <v>422</v>
      </c>
      <c r="O33" t="s">
        <v>300</v>
      </c>
      <c r="P33">
        <v>7.0954673722035053E-3</v>
      </c>
      <c r="Q33" t="s">
        <v>254</v>
      </c>
      <c r="S33" t="s">
        <v>423</v>
      </c>
      <c r="T33" t="s">
        <v>300</v>
      </c>
      <c r="U33">
        <v>7.9151255246372714E-3</v>
      </c>
      <c r="V33" t="s">
        <v>254</v>
      </c>
      <c r="X33">
        <v>7.0776255707762558E-3</v>
      </c>
      <c r="Y33">
        <v>1.376989947708193E-2</v>
      </c>
      <c r="Z33" t="s">
        <v>300</v>
      </c>
      <c r="AA33" t="s">
        <v>25</v>
      </c>
      <c r="AC33" t="s">
        <v>22</v>
      </c>
      <c r="AD33" t="s">
        <v>300</v>
      </c>
      <c r="AE33">
        <v>8.5437061922753639E-3</v>
      </c>
      <c r="AG33" t="s">
        <v>97</v>
      </c>
      <c r="AH33" t="s">
        <v>300</v>
      </c>
      <c r="AI33">
        <v>7.7419278474670117E-2</v>
      </c>
    </row>
    <row r="34" spans="9:35" x14ac:dyDescent="0.45">
      <c r="I34" t="s">
        <v>252</v>
      </c>
      <c r="J34" t="s">
        <v>301</v>
      </c>
      <c r="K34">
        <v>3.0355034137326403E-3</v>
      </c>
      <c r="L34" t="s">
        <v>254</v>
      </c>
      <c r="N34" t="s">
        <v>422</v>
      </c>
      <c r="O34" t="s">
        <v>301</v>
      </c>
      <c r="P34">
        <v>2.2133431122873554E-2</v>
      </c>
      <c r="Q34" t="s">
        <v>254</v>
      </c>
      <c r="S34" t="s">
        <v>423</v>
      </c>
      <c r="T34" t="s">
        <v>301</v>
      </c>
      <c r="U34">
        <v>2.3731888608555678E-2</v>
      </c>
      <c r="V34" t="s">
        <v>254</v>
      </c>
      <c r="X34">
        <v>2.1232876712328767E-2</v>
      </c>
      <c r="Y34">
        <v>1.8702400782305319E-2</v>
      </c>
      <c r="Z34" t="s">
        <v>301</v>
      </c>
      <c r="AA34" t="s">
        <v>25</v>
      </c>
      <c r="AC34" t="s">
        <v>22</v>
      </c>
      <c r="AD34" t="s">
        <v>301</v>
      </c>
      <c r="AE34">
        <v>2.220997456358997E-2</v>
      </c>
      <c r="AG34" t="s">
        <v>97</v>
      </c>
      <c r="AH34" t="s">
        <v>301</v>
      </c>
      <c r="AI34">
        <v>0.19728339884766566</v>
      </c>
    </row>
    <row r="35" spans="9:35" x14ac:dyDescent="0.45">
      <c r="I35" t="s">
        <v>252</v>
      </c>
      <c r="J35" t="s">
        <v>302</v>
      </c>
      <c r="K35">
        <v>2.4944652964232262E-3</v>
      </c>
      <c r="L35" t="s">
        <v>254</v>
      </c>
      <c r="N35" t="s">
        <v>422</v>
      </c>
      <c r="O35" t="s">
        <v>302</v>
      </c>
      <c r="P35">
        <v>2.7681132667217855E-2</v>
      </c>
      <c r="Q35" t="s">
        <v>254</v>
      </c>
      <c r="S35" t="s">
        <v>423</v>
      </c>
      <c r="T35" t="s">
        <v>302</v>
      </c>
      <c r="U35">
        <v>2.7873206943640528E-2</v>
      </c>
      <c r="V35" t="s">
        <v>254</v>
      </c>
      <c r="X35">
        <v>2.3972602739726026E-2</v>
      </c>
      <c r="Y35">
        <v>9.4672202471222967E-3</v>
      </c>
      <c r="Z35" t="s">
        <v>302</v>
      </c>
      <c r="AA35" t="s">
        <v>25</v>
      </c>
      <c r="AC35" t="s">
        <v>22</v>
      </c>
      <c r="AD35" t="s">
        <v>302</v>
      </c>
      <c r="AE35">
        <v>1.9928596464069401E-2</v>
      </c>
      <c r="AG35" t="s">
        <v>97</v>
      </c>
      <c r="AH35" t="s">
        <v>302</v>
      </c>
      <c r="AI35">
        <v>0.27785577591947086</v>
      </c>
    </row>
    <row r="36" spans="9:35" x14ac:dyDescent="0.45">
      <c r="I36" t="s">
        <v>252</v>
      </c>
      <c r="J36" t="s">
        <v>303</v>
      </c>
      <c r="K36">
        <v>5.1159918965719819E-3</v>
      </c>
      <c r="L36" t="s">
        <v>254</v>
      </c>
      <c r="N36" t="s">
        <v>422</v>
      </c>
      <c r="O36" t="s">
        <v>303</v>
      </c>
      <c r="P36">
        <v>3.71907315514738E-3</v>
      </c>
      <c r="Q36" t="s">
        <v>254</v>
      </c>
      <c r="S36" t="s">
        <v>423</v>
      </c>
      <c r="T36" t="s">
        <v>303</v>
      </c>
      <c r="U36">
        <v>3.7231555410848502E-3</v>
      </c>
      <c r="V36" t="s">
        <v>254</v>
      </c>
      <c r="X36">
        <v>3.4246575342465752E-3</v>
      </c>
      <c r="Y36">
        <v>5.7181214727892006E-3</v>
      </c>
      <c r="Z36" t="s">
        <v>303</v>
      </c>
      <c r="AA36" t="s">
        <v>25</v>
      </c>
      <c r="AC36" t="s">
        <v>22</v>
      </c>
      <c r="AD36" t="s">
        <v>303</v>
      </c>
      <c r="AE36">
        <v>3.7946926128766649E-3</v>
      </c>
      <c r="AG36" t="s">
        <v>97</v>
      </c>
      <c r="AH36" t="s">
        <v>303</v>
      </c>
      <c r="AI36">
        <v>7.4794780557807972E-2</v>
      </c>
    </row>
    <row r="37" spans="9:35" x14ac:dyDescent="0.45">
      <c r="I37" t="s">
        <v>252</v>
      </c>
      <c r="J37" t="s">
        <v>304</v>
      </c>
      <c r="K37">
        <v>1.5772344864832602E-2</v>
      </c>
      <c r="L37" t="s">
        <v>254</v>
      </c>
      <c r="N37" t="s">
        <v>422</v>
      </c>
      <c r="O37" t="s">
        <v>304</v>
      </c>
      <c r="P37">
        <v>7.3237708627581222E-3</v>
      </c>
      <c r="Q37" t="s">
        <v>254</v>
      </c>
      <c r="S37" t="s">
        <v>423</v>
      </c>
      <c r="T37" t="s">
        <v>304</v>
      </c>
      <c r="U37">
        <v>7.2380689982444726E-3</v>
      </c>
      <c r="V37" t="s">
        <v>254</v>
      </c>
      <c r="X37">
        <v>6.8493150684931503E-3</v>
      </c>
      <c r="Y37">
        <v>8.7114337568058101E-3</v>
      </c>
      <c r="Z37" t="s">
        <v>304</v>
      </c>
      <c r="AA37" t="s">
        <v>25</v>
      </c>
      <c r="AC37" t="s">
        <v>22</v>
      </c>
      <c r="AD37" t="s">
        <v>304</v>
      </c>
      <c r="AE37">
        <v>7.7785013729748257E-3</v>
      </c>
      <c r="AG37" t="s">
        <v>97</v>
      </c>
      <c r="AH37" t="s">
        <v>304</v>
      </c>
      <c r="AI37">
        <v>7.330637502080628E-2</v>
      </c>
    </row>
    <row r="38" spans="9:35" x14ac:dyDescent="0.45">
      <c r="I38" t="s">
        <v>252</v>
      </c>
      <c r="J38" t="s">
        <v>305</v>
      </c>
      <c r="K38">
        <v>2.82518210893829E-2</v>
      </c>
      <c r="L38" t="s">
        <v>254</v>
      </c>
      <c r="N38" t="s">
        <v>422</v>
      </c>
      <c r="O38" t="s">
        <v>305</v>
      </c>
      <c r="P38">
        <v>1.0732055062834039E-2</v>
      </c>
      <c r="Q38" t="s">
        <v>254</v>
      </c>
      <c r="S38" t="s">
        <v>423</v>
      </c>
      <c r="T38" t="s">
        <v>305</v>
      </c>
      <c r="U38">
        <v>1.0485600995887521E-2</v>
      </c>
      <c r="V38" t="s">
        <v>254</v>
      </c>
      <c r="X38">
        <v>1.0273972602739725E-2</v>
      </c>
      <c r="Y38">
        <v>1.2719091067299805E-2</v>
      </c>
      <c r="Z38" t="s">
        <v>305</v>
      </c>
      <c r="AA38" t="s">
        <v>25</v>
      </c>
      <c r="AC38" t="s">
        <v>22</v>
      </c>
      <c r="AD38" t="s">
        <v>305</v>
      </c>
      <c r="AE38">
        <v>1.1520369217820046E-2</v>
      </c>
      <c r="AG38" t="s">
        <v>97</v>
      </c>
      <c r="AH38" t="s">
        <v>305</v>
      </c>
      <c r="AI38">
        <v>6.9585259375130937E-2</v>
      </c>
    </row>
    <row r="39" spans="9:35" x14ac:dyDescent="0.45">
      <c r="I39" t="s">
        <v>252</v>
      </c>
      <c r="J39" t="s">
        <v>306</v>
      </c>
      <c r="K39">
        <v>9.1413712135646995E-3</v>
      </c>
      <c r="L39" t="s">
        <v>254</v>
      </c>
      <c r="N39" t="s">
        <v>422</v>
      </c>
      <c r="O39" t="s">
        <v>306</v>
      </c>
      <c r="P39">
        <v>3.7518861291754814E-3</v>
      </c>
      <c r="Q39" t="s">
        <v>254</v>
      </c>
      <c r="S39" t="s">
        <v>423</v>
      </c>
      <c r="T39" t="s">
        <v>306</v>
      </c>
      <c r="U39">
        <v>3.5812458448567083E-3</v>
      </c>
      <c r="V39" t="s">
        <v>254</v>
      </c>
      <c r="X39">
        <v>3.4246575342465752E-3</v>
      </c>
      <c r="Y39">
        <v>4.4651070283171336E-3</v>
      </c>
      <c r="Z39" t="s">
        <v>306</v>
      </c>
      <c r="AA39" t="s">
        <v>25</v>
      </c>
      <c r="AC39" t="s">
        <v>22</v>
      </c>
      <c r="AD39" t="s">
        <v>306</v>
      </c>
      <c r="AE39">
        <v>3.799901444926237E-3</v>
      </c>
      <c r="AG39" t="s">
        <v>97</v>
      </c>
      <c r="AH39" t="s">
        <v>306</v>
      </c>
      <c r="AI39">
        <v>7.5531060198747779E-2</v>
      </c>
    </row>
    <row r="40" spans="9:35" x14ac:dyDescent="0.45">
      <c r="I40" t="s">
        <v>252</v>
      </c>
      <c r="J40" t="s">
        <v>307</v>
      </c>
      <c r="K40">
        <v>1.7140077917634298E-2</v>
      </c>
      <c r="L40" t="s">
        <v>254</v>
      </c>
      <c r="N40" t="s">
        <v>422</v>
      </c>
      <c r="O40" t="s">
        <v>307</v>
      </c>
      <c r="P40">
        <v>7.8351823959872668E-3</v>
      </c>
      <c r="Q40" t="s">
        <v>254</v>
      </c>
      <c r="S40" t="s">
        <v>423</v>
      </c>
      <c r="T40" t="s">
        <v>307</v>
      </c>
      <c r="U40">
        <v>7.4052957927088084E-3</v>
      </c>
      <c r="V40" t="s">
        <v>254</v>
      </c>
      <c r="X40">
        <v>6.8493150684931503E-3</v>
      </c>
      <c r="Y40">
        <v>9.6860005469507522E-3</v>
      </c>
      <c r="Z40" t="s">
        <v>307</v>
      </c>
      <c r="AA40" t="s">
        <v>25</v>
      </c>
      <c r="AC40" t="s">
        <v>22</v>
      </c>
      <c r="AD40" t="s">
        <v>307</v>
      </c>
      <c r="AE40">
        <v>7.5712502051860425E-3</v>
      </c>
      <c r="AG40" t="s">
        <v>97</v>
      </c>
      <c r="AH40" t="s">
        <v>307</v>
      </c>
      <c r="AI40">
        <v>7.7040330198470786E-2</v>
      </c>
    </row>
    <row r="41" spans="9:35" x14ac:dyDescent="0.45">
      <c r="I41" t="s">
        <v>252</v>
      </c>
      <c r="J41" t="s">
        <v>308</v>
      </c>
      <c r="K41">
        <v>1.2811795978889037E-2</v>
      </c>
      <c r="L41" t="s">
        <v>254</v>
      </c>
      <c r="N41" t="s">
        <v>422</v>
      </c>
      <c r="O41" t="s">
        <v>308</v>
      </c>
      <c r="P41">
        <v>7.8732075451391336E-3</v>
      </c>
      <c r="Q41" t="s">
        <v>254</v>
      </c>
      <c r="S41" t="s">
        <v>423</v>
      </c>
      <c r="T41" t="s">
        <v>308</v>
      </c>
      <c r="U41">
        <v>7.6548170311039939E-3</v>
      </c>
      <c r="V41" t="s">
        <v>254</v>
      </c>
      <c r="X41">
        <v>6.8493150684931503E-3</v>
      </c>
      <c r="Y41">
        <v>1.3325709171369611E-2</v>
      </c>
      <c r="Z41" t="s">
        <v>308</v>
      </c>
      <c r="AA41" t="s">
        <v>25</v>
      </c>
      <c r="AC41" t="s">
        <v>22</v>
      </c>
      <c r="AD41" t="s">
        <v>308</v>
      </c>
      <c r="AE41">
        <v>7.5876233773084813E-3</v>
      </c>
      <c r="AG41" t="s">
        <v>97</v>
      </c>
      <c r="AH41" t="s">
        <v>308</v>
      </c>
      <c r="AI41">
        <v>7.4017133247418876E-2</v>
      </c>
    </row>
    <row r="42" spans="9:35" x14ac:dyDescent="0.45">
      <c r="I42" t="s">
        <v>252</v>
      </c>
      <c r="J42" t="s">
        <v>309</v>
      </c>
      <c r="K42">
        <v>4.9040794776632072E-3</v>
      </c>
      <c r="L42" t="s">
        <v>254</v>
      </c>
      <c r="N42" t="s">
        <v>422</v>
      </c>
      <c r="O42" t="s">
        <v>309</v>
      </c>
      <c r="P42">
        <v>2.3314738567736269E-2</v>
      </c>
      <c r="Q42" t="s">
        <v>254</v>
      </c>
      <c r="S42" t="s">
        <v>423</v>
      </c>
      <c r="T42" t="s">
        <v>309</v>
      </c>
      <c r="U42">
        <v>2.3608513409972137E-2</v>
      </c>
      <c r="V42" t="s">
        <v>254</v>
      </c>
      <c r="X42">
        <v>2.0547945205479451E-2</v>
      </c>
      <c r="Y42">
        <v>1.8099097531263209E-2</v>
      </c>
      <c r="Z42" t="s">
        <v>309</v>
      </c>
      <c r="AA42" t="s">
        <v>25</v>
      </c>
      <c r="AC42" t="s">
        <v>22</v>
      </c>
      <c r="AD42" t="s">
        <v>309</v>
      </c>
      <c r="AE42">
        <v>1.9725011261502445E-2</v>
      </c>
      <c r="AG42" t="s">
        <v>97</v>
      </c>
      <c r="AH42" t="s">
        <v>309</v>
      </c>
      <c r="AI42">
        <v>0.17311711242521777</v>
      </c>
    </row>
    <row r="43" spans="9:35" x14ac:dyDescent="0.45">
      <c r="I43" t="s">
        <v>252</v>
      </c>
      <c r="J43" t="s">
        <v>310</v>
      </c>
      <c r="K43">
        <v>3.9222058631166326E-3</v>
      </c>
      <c r="L43" t="s">
        <v>254</v>
      </c>
      <c r="N43" t="s">
        <v>422</v>
      </c>
      <c r="O43" t="s">
        <v>310</v>
      </c>
      <c r="P43">
        <v>2.3932727955689952E-2</v>
      </c>
      <c r="Q43" t="s">
        <v>254</v>
      </c>
      <c r="S43" t="s">
        <v>423</v>
      </c>
      <c r="T43" t="s">
        <v>310</v>
      </c>
      <c r="U43">
        <v>2.4857613349631484E-2</v>
      </c>
      <c r="V43" t="s">
        <v>254</v>
      </c>
      <c r="X43">
        <v>2.4771689497716895E-2</v>
      </c>
      <c r="Y43">
        <v>9.7827942553597048E-3</v>
      </c>
      <c r="Z43" t="s">
        <v>310</v>
      </c>
      <c r="AA43" t="s">
        <v>25</v>
      </c>
      <c r="AC43" t="s">
        <v>22</v>
      </c>
      <c r="AD43" t="s">
        <v>310</v>
      </c>
      <c r="AE43">
        <v>1.9409024398886501E-2</v>
      </c>
      <c r="AG43" t="s">
        <v>97</v>
      </c>
      <c r="AH43" t="s">
        <v>310</v>
      </c>
      <c r="AI43">
        <v>0.27974912617159808</v>
      </c>
    </row>
    <row r="44" spans="9:35" x14ac:dyDescent="0.45">
      <c r="I44" t="s">
        <v>252</v>
      </c>
      <c r="J44" t="s">
        <v>311</v>
      </c>
      <c r="K44">
        <v>5.5713094884870364E-3</v>
      </c>
      <c r="L44" t="s">
        <v>254</v>
      </c>
      <c r="N44" t="s">
        <v>422</v>
      </c>
      <c r="O44" t="s">
        <v>311</v>
      </c>
      <c r="P44">
        <v>3.3590701295483209E-3</v>
      </c>
      <c r="Q44" t="s">
        <v>254</v>
      </c>
      <c r="S44" t="s">
        <v>423</v>
      </c>
      <c r="T44" t="s">
        <v>311</v>
      </c>
      <c r="U44">
        <v>3.4001965120895573E-3</v>
      </c>
      <c r="V44" t="s">
        <v>254</v>
      </c>
      <c r="X44">
        <v>3.5388127853881279E-3</v>
      </c>
      <c r="Y44">
        <v>5.9087255218821738E-3</v>
      </c>
      <c r="Z44" t="s">
        <v>311</v>
      </c>
      <c r="AA44" t="s">
        <v>25</v>
      </c>
      <c r="AC44" t="s">
        <v>22</v>
      </c>
      <c r="AD44" t="s">
        <v>311</v>
      </c>
      <c r="AE44">
        <v>3.7242489011812797E-3</v>
      </c>
      <c r="AG44" t="s">
        <v>97</v>
      </c>
      <c r="AH44" t="s">
        <v>311</v>
      </c>
      <c r="AI44">
        <v>7.6316584002711574E-2</v>
      </c>
    </row>
    <row r="45" spans="9:35" x14ac:dyDescent="0.45">
      <c r="I45" t="s">
        <v>252</v>
      </c>
      <c r="J45" t="s">
        <v>312</v>
      </c>
      <c r="K45">
        <v>1.6295233137300507E-2</v>
      </c>
      <c r="L45" t="s">
        <v>254</v>
      </c>
      <c r="N45" t="s">
        <v>422</v>
      </c>
      <c r="O45" t="s">
        <v>312</v>
      </c>
      <c r="P45">
        <v>6.8263302317683834E-3</v>
      </c>
      <c r="Q45" t="s">
        <v>254</v>
      </c>
      <c r="S45" t="s">
        <v>423</v>
      </c>
      <c r="T45" t="s">
        <v>312</v>
      </c>
      <c r="U45">
        <v>6.6316965944845218E-3</v>
      </c>
      <c r="V45" t="s">
        <v>254</v>
      </c>
      <c r="X45">
        <v>7.0776255707762558E-3</v>
      </c>
      <c r="Y45">
        <v>9.0018148820326695E-3</v>
      </c>
      <c r="Z45" t="s">
        <v>312</v>
      </c>
      <c r="AA45" t="s">
        <v>25</v>
      </c>
      <c r="AC45" t="s">
        <v>22</v>
      </c>
      <c r="AD45" t="s">
        <v>312</v>
      </c>
      <c r="AE45">
        <v>7.6823812655839848E-3</v>
      </c>
      <c r="AG45" t="s">
        <v>97</v>
      </c>
      <c r="AH45" t="s">
        <v>312</v>
      </c>
      <c r="AI45">
        <v>7.0212854701301453E-2</v>
      </c>
    </row>
    <row r="46" spans="9:35" x14ac:dyDescent="0.45">
      <c r="I46" t="s">
        <v>252</v>
      </c>
      <c r="J46" t="s">
        <v>313</v>
      </c>
      <c r="K46">
        <v>2.9846300782884701E-2</v>
      </c>
      <c r="L46" t="s">
        <v>254</v>
      </c>
      <c r="N46" t="s">
        <v>422</v>
      </c>
      <c r="O46" t="s">
        <v>313</v>
      </c>
      <c r="P46">
        <v>9.9462914751015236E-3</v>
      </c>
      <c r="Q46" t="s">
        <v>254</v>
      </c>
      <c r="S46" t="s">
        <v>423</v>
      </c>
      <c r="T46" t="s">
        <v>313</v>
      </c>
      <c r="U46">
        <v>9.6362021595632567E-3</v>
      </c>
      <c r="V46" t="s">
        <v>254</v>
      </c>
      <c r="X46">
        <v>1.0616438356164383E-2</v>
      </c>
      <c r="Y46">
        <v>1.3143060769543132E-2</v>
      </c>
      <c r="Z46" t="s">
        <v>313</v>
      </c>
      <c r="AA46" t="s">
        <v>25</v>
      </c>
      <c r="AC46" t="s">
        <v>22</v>
      </c>
      <c r="AD46" t="s">
        <v>313</v>
      </c>
      <c r="AE46">
        <v>1.1450052443168693E-2</v>
      </c>
      <c r="AG46" t="s">
        <v>97</v>
      </c>
      <c r="AH46" t="s">
        <v>313</v>
      </c>
      <c r="AI46">
        <v>7.1588137946264396E-2</v>
      </c>
    </row>
    <row r="47" spans="9:35" x14ac:dyDescent="0.45">
      <c r="I47" t="s">
        <v>252</v>
      </c>
      <c r="J47" t="s">
        <v>314</v>
      </c>
      <c r="K47">
        <v>9.8879453029211001E-3</v>
      </c>
      <c r="L47" t="s">
        <v>254</v>
      </c>
      <c r="N47" t="s">
        <v>422</v>
      </c>
      <c r="O47" t="s">
        <v>314</v>
      </c>
      <c r="P47">
        <v>3.5621078218608434E-3</v>
      </c>
      <c r="Q47" t="s">
        <v>254</v>
      </c>
      <c r="S47" t="s">
        <v>423</v>
      </c>
      <c r="T47" t="s">
        <v>314</v>
      </c>
      <c r="U47">
        <v>3.3560104589874231E-3</v>
      </c>
      <c r="V47" t="s">
        <v>254</v>
      </c>
      <c r="X47">
        <v>3.5388127853881279E-3</v>
      </c>
      <c r="Y47">
        <v>4.6139439292610376E-3</v>
      </c>
      <c r="Z47" t="s">
        <v>314</v>
      </c>
      <c r="AA47" t="s">
        <v>25</v>
      </c>
      <c r="AC47" t="s">
        <v>22</v>
      </c>
      <c r="AD47" t="s">
        <v>314</v>
      </c>
      <c r="AE47">
        <v>3.7770122985847491E-3</v>
      </c>
      <c r="AG47" t="s">
        <v>97</v>
      </c>
      <c r="AH47" t="s">
        <v>314</v>
      </c>
      <c r="AI47">
        <v>7.4180179565778825E-2</v>
      </c>
    </row>
    <row r="48" spans="9:35" x14ac:dyDescent="0.45">
      <c r="I48" t="s">
        <v>252</v>
      </c>
      <c r="J48" t="s">
        <v>315</v>
      </c>
      <c r="K48">
        <v>1.8256244609755699E-2</v>
      </c>
      <c r="L48" t="s">
        <v>254</v>
      </c>
      <c r="N48" t="s">
        <v>422</v>
      </c>
      <c r="O48" t="s">
        <v>315</v>
      </c>
      <c r="P48">
        <v>7.3835405724859832E-3</v>
      </c>
      <c r="Q48" t="s">
        <v>254</v>
      </c>
      <c r="S48" t="s">
        <v>423</v>
      </c>
      <c r="T48" t="s">
        <v>315</v>
      </c>
      <c r="U48">
        <v>7.0099852833006944E-3</v>
      </c>
      <c r="V48" t="s">
        <v>254</v>
      </c>
      <c r="X48">
        <v>7.0776255707762558E-3</v>
      </c>
      <c r="Y48">
        <v>1.0008867231849112E-2</v>
      </c>
      <c r="Z48" t="s">
        <v>315</v>
      </c>
      <c r="AA48" t="s">
        <v>25</v>
      </c>
      <c r="AC48" t="s">
        <v>22</v>
      </c>
      <c r="AD48" t="s">
        <v>315</v>
      </c>
      <c r="AE48">
        <v>7.5090731692856365E-3</v>
      </c>
      <c r="AG48" t="s">
        <v>97</v>
      </c>
      <c r="AH48" t="s">
        <v>315</v>
      </c>
      <c r="AI48">
        <v>7.7659879303386026E-2</v>
      </c>
    </row>
    <row r="49" spans="9:35" x14ac:dyDescent="0.45">
      <c r="I49" t="s">
        <v>252</v>
      </c>
      <c r="J49" t="s">
        <v>316</v>
      </c>
      <c r="K49">
        <v>1.3627614256399663E-2</v>
      </c>
      <c r="L49" t="s">
        <v>254</v>
      </c>
      <c r="N49" t="s">
        <v>422</v>
      </c>
      <c r="O49" t="s">
        <v>316</v>
      </c>
      <c r="P49">
        <v>7.313454209609078E-3</v>
      </c>
      <c r="Q49" t="s">
        <v>254</v>
      </c>
      <c r="S49" t="s">
        <v>423</v>
      </c>
      <c r="T49" t="s">
        <v>316</v>
      </c>
      <c r="U49">
        <v>7.2960305846112052E-3</v>
      </c>
      <c r="V49" t="s">
        <v>254</v>
      </c>
      <c r="X49">
        <v>7.0776255707762558E-3</v>
      </c>
      <c r="Y49">
        <v>1.376989947708193E-2</v>
      </c>
      <c r="Z49" t="s">
        <v>316</v>
      </c>
      <c r="AA49" t="s">
        <v>25</v>
      </c>
      <c r="AC49" t="s">
        <v>22</v>
      </c>
      <c r="AD49" t="s">
        <v>316</v>
      </c>
      <c r="AE49">
        <v>7.5188029709295353E-3</v>
      </c>
      <c r="AG49" t="s">
        <v>97</v>
      </c>
      <c r="AH49" t="s">
        <v>316</v>
      </c>
      <c r="AI49">
        <v>7.6470251751308949E-2</v>
      </c>
    </row>
    <row r="50" spans="9:35" x14ac:dyDescent="0.45">
      <c r="I50" t="s">
        <v>252</v>
      </c>
      <c r="J50" t="s">
        <v>317</v>
      </c>
      <c r="K50">
        <v>6.5986614156880851E-3</v>
      </c>
      <c r="L50" t="s">
        <v>254</v>
      </c>
      <c r="N50" t="s">
        <v>422</v>
      </c>
      <c r="O50" t="s">
        <v>317</v>
      </c>
      <c r="P50">
        <v>2.1244541293275056E-2</v>
      </c>
      <c r="Q50" t="s">
        <v>254</v>
      </c>
      <c r="S50" t="s">
        <v>423</v>
      </c>
      <c r="T50" t="s">
        <v>317</v>
      </c>
      <c r="U50">
        <v>2.2025293669465699E-2</v>
      </c>
      <c r="V50" t="s">
        <v>254</v>
      </c>
      <c r="X50">
        <v>2.1232876712328767E-2</v>
      </c>
      <c r="Y50">
        <v>1.8702400782305319E-2</v>
      </c>
      <c r="Z50" t="s">
        <v>317</v>
      </c>
      <c r="AA50" t="s">
        <v>25</v>
      </c>
      <c r="AC50" t="s">
        <v>22</v>
      </c>
      <c r="AD50" t="s">
        <v>317</v>
      </c>
      <c r="AE50">
        <v>1.981698006356214E-2</v>
      </c>
      <c r="AG50" t="s">
        <v>97</v>
      </c>
      <c r="AH50" t="s">
        <v>317</v>
      </c>
      <c r="AI50">
        <v>0.16938093389350528</v>
      </c>
    </row>
    <row r="51" spans="9:35" x14ac:dyDescent="0.45">
      <c r="I51" t="s">
        <v>252</v>
      </c>
      <c r="J51" t="s">
        <v>318</v>
      </c>
      <c r="K51">
        <v>5.6150211014440498E-3</v>
      </c>
      <c r="L51" t="s">
        <v>254</v>
      </c>
      <c r="N51" t="s">
        <v>422</v>
      </c>
      <c r="O51" t="s">
        <v>318</v>
      </c>
      <c r="P51">
        <v>2.3758413380580559E-2</v>
      </c>
      <c r="Q51" t="s">
        <v>254</v>
      </c>
      <c r="S51" t="s">
        <v>423</v>
      </c>
      <c r="T51" t="s">
        <v>318</v>
      </c>
      <c r="U51">
        <v>2.5129735917864913E-2</v>
      </c>
      <c r="V51" t="s">
        <v>254</v>
      </c>
      <c r="X51">
        <v>2.3972602739726026E-2</v>
      </c>
      <c r="Y51">
        <v>9.4672202471222967E-3</v>
      </c>
      <c r="Z51" t="s">
        <v>318</v>
      </c>
      <c r="AA51" t="s">
        <v>25</v>
      </c>
      <c r="AC51" t="s">
        <v>22</v>
      </c>
      <c r="AD51" t="s">
        <v>318</v>
      </c>
      <c r="AE51">
        <v>1.7488610268034464E-2</v>
      </c>
      <c r="AG51" t="s">
        <v>97</v>
      </c>
      <c r="AH51" t="s">
        <v>318</v>
      </c>
      <c r="AI51">
        <v>0.24991961882631952</v>
      </c>
    </row>
    <row r="52" spans="9:35" x14ac:dyDescent="0.45">
      <c r="I52" t="s">
        <v>252</v>
      </c>
      <c r="J52" t="s">
        <v>319</v>
      </c>
      <c r="K52">
        <v>6.1841470682526736E-3</v>
      </c>
      <c r="L52" t="s">
        <v>254</v>
      </c>
      <c r="N52" t="s">
        <v>422</v>
      </c>
      <c r="O52" t="s">
        <v>319</v>
      </c>
      <c r="P52">
        <v>3.1241827884695363E-3</v>
      </c>
      <c r="Q52" t="s">
        <v>254</v>
      </c>
      <c r="S52" t="s">
        <v>423</v>
      </c>
      <c r="T52" t="s">
        <v>319</v>
      </c>
      <c r="U52">
        <v>3.3597758328187555E-3</v>
      </c>
      <c r="V52" t="s">
        <v>254</v>
      </c>
      <c r="X52">
        <v>3.4246575342465752E-3</v>
      </c>
      <c r="Y52">
        <v>5.7181214727892006E-3</v>
      </c>
      <c r="Z52" t="s">
        <v>319</v>
      </c>
      <c r="AA52" t="s">
        <v>25</v>
      </c>
      <c r="AC52" t="s">
        <v>22</v>
      </c>
      <c r="AD52" t="s">
        <v>319</v>
      </c>
      <c r="AE52">
        <v>3.3156576031517526E-3</v>
      </c>
      <c r="AG52" t="s">
        <v>97</v>
      </c>
      <c r="AH52" t="s">
        <v>319</v>
      </c>
      <c r="AI52">
        <v>8.5906828824655834E-2</v>
      </c>
    </row>
    <row r="53" spans="9:35" x14ac:dyDescent="0.45">
      <c r="I53" t="s">
        <v>252</v>
      </c>
      <c r="J53" t="s">
        <v>320</v>
      </c>
      <c r="K53">
        <v>1.7257027347523102E-2</v>
      </c>
      <c r="L53" t="s">
        <v>254</v>
      </c>
      <c r="N53" t="s">
        <v>422</v>
      </c>
      <c r="O53" t="s">
        <v>320</v>
      </c>
      <c r="P53">
        <v>6.1932716537798594E-3</v>
      </c>
      <c r="Q53" t="s">
        <v>254</v>
      </c>
      <c r="S53" t="s">
        <v>423</v>
      </c>
      <c r="T53" t="s">
        <v>320</v>
      </c>
      <c r="U53">
        <v>6.4362456864020257E-3</v>
      </c>
      <c r="V53" t="s">
        <v>254</v>
      </c>
      <c r="X53">
        <v>6.8493150684931503E-3</v>
      </c>
      <c r="Y53">
        <v>8.7114337568058101E-3</v>
      </c>
      <c r="Z53" t="s">
        <v>320</v>
      </c>
      <c r="AA53" t="s">
        <v>25</v>
      </c>
      <c r="AC53" t="s">
        <v>22</v>
      </c>
      <c r="AD53" t="s">
        <v>320</v>
      </c>
      <c r="AE53">
        <v>7.054458014878375E-3</v>
      </c>
      <c r="AG53" t="s">
        <v>97</v>
      </c>
      <c r="AH53" t="s">
        <v>320</v>
      </c>
      <c r="AI53">
        <v>7.949769795769468E-2</v>
      </c>
    </row>
    <row r="54" spans="9:35" x14ac:dyDescent="0.45">
      <c r="I54" t="s">
        <v>252</v>
      </c>
      <c r="J54" t="s">
        <v>321</v>
      </c>
      <c r="K54">
        <v>3.1032577269899102E-2</v>
      </c>
      <c r="L54" t="s">
        <v>254</v>
      </c>
      <c r="N54" t="s">
        <v>422</v>
      </c>
      <c r="O54" t="s">
        <v>321</v>
      </c>
      <c r="P54">
        <v>9.1473478212649451E-3</v>
      </c>
      <c r="Q54" t="s">
        <v>254</v>
      </c>
      <c r="S54" t="s">
        <v>423</v>
      </c>
      <c r="T54" t="s">
        <v>321</v>
      </c>
      <c r="U54">
        <v>9.2189883341408773E-3</v>
      </c>
      <c r="V54" t="s">
        <v>254</v>
      </c>
      <c r="X54">
        <v>1.0273972602739725E-2</v>
      </c>
      <c r="Y54">
        <v>1.2719091067299805E-2</v>
      </c>
      <c r="Z54" t="s">
        <v>321</v>
      </c>
      <c r="AA54" t="s">
        <v>25</v>
      </c>
      <c r="AC54" t="s">
        <v>22</v>
      </c>
      <c r="AD54" t="s">
        <v>321</v>
      </c>
      <c r="AE54">
        <v>1.061967671959025E-2</v>
      </c>
      <c r="AG54" t="s">
        <v>97</v>
      </c>
      <c r="AH54" t="s">
        <v>321</v>
      </c>
      <c r="AI54">
        <v>9.0232011743215157E-2</v>
      </c>
    </row>
    <row r="55" spans="9:35" x14ac:dyDescent="0.45">
      <c r="I55" t="s">
        <v>252</v>
      </c>
      <c r="J55" t="s">
        <v>322</v>
      </c>
      <c r="K55">
        <v>1.0379484394511199E-2</v>
      </c>
      <c r="L55" t="s">
        <v>254</v>
      </c>
      <c r="N55" t="s">
        <v>422</v>
      </c>
      <c r="O55" t="s">
        <v>322</v>
      </c>
      <c r="P55">
        <v>3.3384784267306532E-3</v>
      </c>
      <c r="Q55" t="s">
        <v>254</v>
      </c>
      <c r="S55" t="s">
        <v>423</v>
      </c>
      <c r="T55" t="s">
        <v>322</v>
      </c>
      <c r="U55">
        <v>3.3337340186684571E-3</v>
      </c>
      <c r="V55" t="s">
        <v>254</v>
      </c>
      <c r="X55">
        <v>3.4246575342465752E-3</v>
      </c>
      <c r="Y55">
        <v>4.4651070283171336E-3</v>
      </c>
      <c r="Z55" t="s">
        <v>322</v>
      </c>
      <c r="AA55" t="s">
        <v>25</v>
      </c>
      <c r="AC55" t="s">
        <v>22</v>
      </c>
      <c r="AD55" t="s">
        <v>322</v>
      </c>
      <c r="AE55">
        <v>3.5121893679205046E-3</v>
      </c>
      <c r="AG55" t="s">
        <v>97</v>
      </c>
      <c r="AH55" t="s">
        <v>322</v>
      </c>
      <c r="AI55">
        <v>9.4368775197642751E-2</v>
      </c>
    </row>
    <row r="56" spans="9:35" x14ac:dyDescent="0.45">
      <c r="I56" t="s">
        <v>252</v>
      </c>
      <c r="J56" t="s">
        <v>323</v>
      </c>
      <c r="K56">
        <v>1.93108739122206E-2</v>
      </c>
      <c r="L56" t="s">
        <v>254</v>
      </c>
      <c r="N56" t="s">
        <v>422</v>
      </c>
      <c r="O56" t="s">
        <v>323</v>
      </c>
      <c r="P56">
        <v>7.031500255929561E-3</v>
      </c>
      <c r="Q56" t="s">
        <v>254</v>
      </c>
      <c r="S56" t="s">
        <v>423</v>
      </c>
      <c r="T56" t="s">
        <v>323</v>
      </c>
      <c r="U56">
        <v>7.0747397713290926E-3</v>
      </c>
      <c r="V56" t="s">
        <v>254</v>
      </c>
      <c r="X56">
        <v>6.8493150684931503E-3</v>
      </c>
      <c r="Y56">
        <v>9.6860005469507522E-3</v>
      </c>
      <c r="Z56" t="s">
        <v>323</v>
      </c>
      <c r="AA56" t="s">
        <v>25</v>
      </c>
      <c r="AC56" t="s">
        <v>22</v>
      </c>
      <c r="AD56" t="s">
        <v>323</v>
      </c>
      <c r="AE56">
        <v>6.960911278074502E-3</v>
      </c>
      <c r="AG56" t="s">
        <v>97</v>
      </c>
      <c r="AH56" t="s">
        <v>323</v>
      </c>
      <c r="AI56">
        <v>9.1878563521638146E-2</v>
      </c>
    </row>
    <row r="57" spans="9:35" x14ac:dyDescent="0.45">
      <c r="I57" t="s">
        <v>252</v>
      </c>
      <c r="J57" t="s">
        <v>324</v>
      </c>
      <c r="K57">
        <v>1.5121568962202086E-2</v>
      </c>
      <c r="L57" t="s">
        <v>254</v>
      </c>
      <c r="N57" t="s">
        <v>422</v>
      </c>
      <c r="O57" t="s">
        <v>324</v>
      </c>
      <c r="P57">
        <v>7.1879336505591826E-3</v>
      </c>
      <c r="Q57" t="s">
        <v>254</v>
      </c>
      <c r="S57" t="s">
        <v>423</v>
      </c>
      <c r="T57" t="s">
        <v>324</v>
      </c>
      <c r="U57">
        <v>7.2392246503869464E-3</v>
      </c>
      <c r="V57" t="s">
        <v>254</v>
      </c>
      <c r="X57">
        <v>6.8493150684931503E-3</v>
      </c>
      <c r="Y57">
        <v>1.3325709171369611E-2</v>
      </c>
      <c r="Z57" t="s">
        <v>324</v>
      </c>
      <c r="AA57" t="s">
        <v>25</v>
      </c>
      <c r="AC57" t="s">
        <v>22</v>
      </c>
      <c r="AD57" t="s">
        <v>324</v>
      </c>
      <c r="AE57">
        <v>6.9293565468561812E-3</v>
      </c>
      <c r="AG57" t="s">
        <v>97</v>
      </c>
      <c r="AH57" t="s">
        <v>324</v>
      </c>
      <c r="AI57">
        <v>9.0870610702260324E-2</v>
      </c>
    </row>
    <row r="58" spans="9:35" x14ac:dyDescent="0.45">
      <c r="I58" t="s">
        <v>252</v>
      </c>
      <c r="J58" t="s">
        <v>325</v>
      </c>
      <c r="K58">
        <v>8.5278993784270677E-3</v>
      </c>
      <c r="L58" t="s">
        <v>254</v>
      </c>
      <c r="N58" t="s">
        <v>422</v>
      </c>
      <c r="O58" t="s">
        <v>325</v>
      </c>
      <c r="P58">
        <v>2.1214173006225495E-2</v>
      </c>
      <c r="Q58" t="s">
        <v>254</v>
      </c>
      <c r="S58" t="s">
        <v>423</v>
      </c>
      <c r="T58" t="s">
        <v>325</v>
      </c>
      <c r="U58">
        <v>2.2072502763051959E-2</v>
      </c>
      <c r="V58" t="s">
        <v>254</v>
      </c>
      <c r="X58">
        <v>2.0547945205479451E-2</v>
      </c>
      <c r="Y58">
        <v>1.8099097531263209E-2</v>
      </c>
      <c r="Z58" t="s">
        <v>325</v>
      </c>
      <c r="AA58" t="s">
        <v>25</v>
      </c>
      <c r="AC58" t="s">
        <v>22</v>
      </c>
      <c r="AD58" t="s">
        <v>325</v>
      </c>
      <c r="AE58">
        <v>1.853526384323095E-2</v>
      </c>
      <c r="AG58" t="s">
        <v>97</v>
      </c>
      <c r="AH58" t="s">
        <v>325</v>
      </c>
      <c r="AI58">
        <v>0.17560791662970909</v>
      </c>
    </row>
    <row r="59" spans="9:35" x14ac:dyDescent="0.45">
      <c r="I59" t="s">
        <v>252</v>
      </c>
      <c r="J59" t="s">
        <v>326</v>
      </c>
      <c r="K59">
        <v>5.6907262752047107E-3</v>
      </c>
      <c r="L59" t="s">
        <v>254</v>
      </c>
      <c r="N59" t="s">
        <v>422</v>
      </c>
      <c r="O59" t="s">
        <v>326</v>
      </c>
      <c r="P59">
        <v>1.8201165978808966E-2</v>
      </c>
      <c r="Q59" t="s">
        <v>254</v>
      </c>
      <c r="S59" t="s">
        <v>423</v>
      </c>
      <c r="T59" t="s">
        <v>326</v>
      </c>
      <c r="U59">
        <v>1.887990473979247E-2</v>
      </c>
      <c r="V59" t="s">
        <v>254</v>
      </c>
      <c r="X59">
        <v>2.4771689497716895E-2</v>
      </c>
      <c r="Y59">
        <v>9.7827942553597048E-3</v>
      </c>
      <c r="Z59" t="s">
        <v>326</v>
      </c>
      <c r="AA59" t="s">
        <v>25</v>
      </c>
      <c r="AC59" t="s">
        <v>22</v>
      </c>
      <c r="AD59" t="s">
        <v>326</v>
      </c>
      <c r="AE59">
        <v>1.8858161963641967E-2</v>
      </c>
      <c r="AG59" t="s">
        <v>97</v>
      </c>
      <c r="AH59" t="s">
        <v>326</v>
      </c>
      <c r="AI59">
        <v>0.24207174233774098</v>
      </c>
    </row>
    <row r="60" spans="9:35" x14ac:dyDescent="0.45">
      <c r="I60" t="s">
        <v>252</v>
      </c>
      <c r="J60" t="s">
        <v>327</v>
      </c>
      <c r="K60">
        <v>7.55060257483479E-3</v>
      </c>
      <c r="L60" t="s">
        <v>254</v>
      </c>
      <c r="N60" t="s">
        <v>422</v>
      </c>
      <c r="O60" t="s">
        <v>327</v>
      </c>
      <c r="P60">
        <v>2.1271741024613093E-3</v>
      </c>
      <c r="Q60" t="s">
        <v>254</v>
      </c>
      <c r="S60" t="s">
        <v>423</v>
      </c>
      <c r="T60" t="s">
        <v>327</v>
      </c>
      <c r="U60">
        <v>2.7065679260956034E-3</v>
      </c>
      <c r="V60" t="s">
        <v>254</v>
      </c>
      <c r="X60">
        <v>3.5388127853881279E-3</v>
      </c>
      <c r="Y60">
        <v>5.9087255218821738E-3</v>
      </c>
      <c r="Z60" t="s">
        <v>327</v>
      </c>
      <c r="AA60" t="s">
        <v>25</v>
      </c>
      <c r="AC60" t="s">
        <v>22</v>
      </c>
      <c r="AD60" t="s">
        <v>327</v>
      </c>
      <c r="AE60">
        <v>3.5128636638608918E-3</v>
      </c>
      <c r="AG60" t="s">
        <v>97</v>
      </c>
      <c r="AH60" t="s">
        <v>327</v>
      </c>
      <c r="AI60">
        <v>8.4097695100208369E-2</v>
      </c>
    </row>
    <row r="61" spans="9:35" x14ac:dyDescent="0.45">
      <c r="I61" t="s">
        <v>252</v>
      </c>
      <c r="J61" t="s">
        <v>328</v>
      </c>
      <c r="K61">
        <v>2.0721789575153613E-2</v>
      </c>
      <c r="L61" t="s">
        <v>254</v>
      </c>
      <c r="N61" t="s">
        <v>422</v>
      </c>
      <c r="O61" t="s">
        <v>328</v>
      </c>
      <c r="P61">
        <v>4.1715642512792578E-3</v>
      </c>
      <c r="Q61" t="s">
        <v>254</v>
      </c>
      <c r="S61" t="s">
        <v>423</v>
      </c>
      <c r="T61" t="s">
        <v>328</v>
      </c>
      <c r="U61">
        <v>5.4643547861619023E-3</v>
      </c>
      <c r="V61" t="s">
        <v>254</v>
      </c>
      <c r="X61">
        <v>7.0776255707762558E-3</v>
      </c>
      <c r="Y61">
        <v>9.0018148820326695E-3</v>
      </c>
      <c r="Z61" t="s">
        <v>328</v>
      </c>
      <c r="AA61" t="s">
        <v>25</v>
      </c>
      <c r="AC61" t="s">
        <v>22</v>
      </c>
      <c r="AD61" t="s">
        <v>328</v>
      </c>
      <c r="AE61">
        <v>7.4054069461412407E-3</v>
      </c>
      <c r="AG61" t="s">
        <v>97</v>
      </c>
      <c r="AH61" t="s">
        <v>328</v>
      </c>
      <c r="AI61">
        <v>8.0283624945774568E-2</v>
      </c>
    </row>
    <row r="62" spans="9:35" x14ac:dyDescent="0.45">
      <c r="I62" t="s">
        <v>252</v>
      </c>
      <c r="J62" t="s">
        <v>329</v>
      </c>
      <c r="K62">
        <v>3.6099682601023697E-2</v>
      </c>
      <c r="L62" t="s">
        <v>254</v>
      </c>
      <c r="N62" t="s">
        <v>422</v>
      </c>
      <c r="O62" t="s">
        <v>329</v>
      </c>
      <c r="P62">
        <v>6.5230661504722112E-3</v>
      </c>
      <c r="Q62" t="s">
        <v>254</v>
      </c>
      <c r="S62" t="s">
        <v>423</v>
      </c>
      <c r="T62" t="s">
        <v>329</v>
      </c>
      <c r="U62">
        <v>7.8405552467663148E-3</v>
      </c>
      <c r="V62" t="s">
        <v>254</v>
      </c>
      <c r="X62">
        <v>1.0616438356164383E-2</v>
      </c>
      <c r="Y62">
        <v>1.3143060769543132E-2</v>
      </c>
      <c r="Z62" t="s">
        <v>329</v>
      </c>
      <c r="AA62" t="s">
        <v>25</v>
      </c>
      <c r="AC62" t="s">
        <v>22</v>
      </c>
      <c r="AD62" t="s">
        <v>329</v>
      </c>
      <c r="AE62">
        <v>1.1291179002468097E-2</v>
      </c>
      <c r="AG62" t="s">
        <v>97</v>
      </c>
      <c r="AH62" t="s">
        <v>329</v>
      </c>
      <c r="AI62">
        <v>7.6367802863346324E-2</v>
      </c>
    </row>
    <row r="63" spans="9:35" x14ac:dyDescent="0.45">
      <c r="I63" t="s">
        <v>252</v>
      </c>
      <c r="J63" t="s">
        <v>330</v>
      </c>
      <c r="K63">
        <v>1.1819498630638E-2</v>
      </c>
      <c r="L63" t="s">
        <v>254</v>
      </c>
      <c r="N63" t="s">
        <v>422</v>
      </c>
      <c r="O63" t="s">
        <v>330</v>
      </c>
      <c r="P63">
        <v>2.4607224403917377E-3</v>
      </c>
      <c r="Q63" t="s">
        <v>254</v>
      </c>
      <c r="S63" t="s">
        <v>423</v>
      </c>
      <c r="T63" t="s">
        <v>330</v>
      </c>
      <c r="U63">
        <v>2.6489329002128701E-3</v>
      </c>
      <c r="V63" t="s">
        <v>254</v>
      </c>
      <c r="X63">
        <v>3.5388127853881279E-3</v>
      </c>
      <c r="Y63">
        <v>4.6139439292610376E-3</v>
      </c>
      <c r="Z63" t="s">
        <v>330</v>
      </c>
      <c r="AA63" t="s">
        <v>25</v>
      </c>
      <c r="AC63" t="s">
        <v>22</v>
      </c>
      <c r="AD63" t="s">
        <v>330</v>
      </c>
      <c r="AE63">
        <v>3.7514087376990914E-3</v>
      </c>
      <c r="AG63" t="s">
        <v>97</v>
      </c>
      <c r="AH63" t="s">
        <v>330</v>
      </c>
      <c r="AI63">
        <v>6.6606082518882115E-2</v>
      </c>
    </row>
    <row r="64" spans="9:35" x14ac:dyDescent="0.45">
      <c r="I64" t="s">
        <v>252</v>
      </c>
      <c r="J64" t="s">
        <v>331</v>
      </c>
      <c r="K64">
        <v>2.2654420268322401E-2</v>
      </c>
      <c r="L64" t="s">
        <v>254</v>
      </c>
      <c r="N64" t="s">
        <v>422</v>
      </c>
      <c r="O64" t="s">
        <v>331</v>
      </c>
      <c r="P64">
        <v>5.2701698669585344E-3</v>
      </c>
      <c r="Q64" t="s">
        <v>254</v>
      </c>
      <c r="S64" t="s">
        <v>423</v>
      </c>
      <c r="T64" t="s">
        <v>331</v>
      </c>
      <c r="U64">
        <v>5.4321792671511064E-3</v>
      </c>
      <c r="V64" t="s">
        <v>254</v>
      </c>
      <c r="X64">
        <v>7.0776255707762558E-3</v>
      </c>
      <c r="Y64">
        <v>1.0008867231849112E-2</v>
      </c>
      <c r="Z64" t="s">
        <v>331</v>
      </c>
      <c r="AA64" t="s">
        <v>25</v>
      </c>
      <c r="AC64" t="s">
        <v>22</v>
      </c>
      <c r="AD64" t="s">
        <v>331</v>
      </c>
      <c r="AE64">
        <v>7.4168321113830121E-3</v>
      </c>
      <c r="AG64" t="s">
        <v>97</v>
      </c>
      <c r="AH64" t="s">
        <v>331</v>
      </c>
      <c r="AI64">
        <v>6.1976360186815738E-2</v>
      </c>
    </row>
    <row r="65" spans="9:35" x14ac:dyDescent="0.45">
      <c r="I65" t="s">
        <v>252</v>
      </c>
      <c r="J65" t="s">
        <v>332</v>
      </c>
      <c r="K65">
        <v>1.7943417315136038E-2</v>
      </c>
      <c r="L65" t="s">
        <v>254</v>
      </c>
      <c r="N65" t="s">
        <v>422</v>
      </c>
      <c r="O65" t="s">
        <v>332</v>
      </c>
      <c r="P65">
        <v>5.7330128839986833E-3</v>
      </c>
      <c r="Q65" t="s">
        <v>254</v>
      </c>
      <c r="S65" t="s">
        <v>423</v>
      </c>
      <c r="T65" t="s">
        <v>332</v>
      </c>
      <c r="U65">
        <v>5.604131701026362E-3</v>
      </c>
      <c r="V65" t="s">
        <v>254</v>
      </c>
      <c r="X65">
        <v>7.0776255707762558E-3</v>
      </c>
      <c r="Y65">
        <v>1.376989947708193E-2</v>
      </c>
      <c r="Z65" t="s">
        <v>332</v>
      </c>
      <c r="AA65" t="s">
        <v>25</v>
      </c>
      <c r="AC65" t="s">
        <v>22</v>
      </c>
      <c r="AD65" t="s">
        <v>332</v>
      </c>
      <c r="AE65">
        <v>7.3722437930480167E-3</v>
      </c>
      <c r="AG65" t="s">
        <v>97</v>
      </c>
      <c r="AH65" t="s">
        <v>332</v>
      </c>
      <c r="AI65">
        <v>6.0412964463251617E-2</v>
      </c>
    </row>
    <row r="66" spans="9:35" x14ac:dyDescent="0.45">
      <c r="I66" t="s">
        <v>252</v>
      </c>
      <c r="J66" t="s">
        <v>333</v>
      </c>
      <c r="K66">
        <v>1.0110616542517919E-2</v>
      </c>
      <c r="L66" t="s">
        <v>254</v>
      </c>
      <c r="N66" t="s">
        <v>422</v>
      </c>
      <c r="O66" t="s">
        <v>333</v>
      </c>
      <c r="P66">
        <v>1.7772919654848611E-2</v>
      </c>
      <c r="Q66" t="s">
        <v>254</v>
      </c>
      <c r="S66" t="s">
        <v>423</v>
      </c>
      <c r="T66" t="s">
        <v>333</v>
      </c>
      <c r="U66">
        <v>1.6571575300024611E-2</v>
      </c>
      <c r="V66" t="s">
        <v>254</v>
      </c>
      <c r="X66">
        <v>2.1232876712328767E-2</v>
      </c>
      <c r="Y66">
        <v>1.8702400782305319E-2</v>
      </c>
      <c r="Z66" t="s">
        <v>333</v>
      </c>
      <c r="AA66" t="s">
        <v>25</v>
      </c>
      <c r="AC66" t="s">
        <v>22</v>
      </c>
      <c r="AD66" t="s">
        <v>333</v>
      </c>
      <c r="AE66">
        <v>1.9901975371152368E-2</v>
      </c>
      <c r="AG66" t="s">
        <v>97</v>
      </c>
      <c r="AH66" t="s">
        <v>333</v>
      </c>
      <c r="AI66">
        <v>0.13890349193737483</v>
      </c>
    </row>
    <row r="67" spans="9:35" x14ac:dyDescent="0.45">
      <c r="I67" t="s">
        <v>252</v>
      </c>
      <c r="J67" t="s">
        <v>334</v>
      </c>
      <c r="K67">
        <v>3.9604629256030279E-3</v>
      </c>
      <c r="L67" t="s">
        <v>254</v>
      </c>
      <c r="N67" t="s">
        <v>422</v>
      </c>
      <c r="O67" t="s">
        <v>334</v>
      </c>
      <c r="P67">
        <v>1.3574561492915088E-2</v>
      </c>
      <c r="Q67" t="s">
        <v>254</v>
      </c>
      <c r="S67" t="s">
        <v>423</v>
      </c>
      <c r="T67" t="s">
        <v>334</v>
      </c>
      <c r="U67">
        <v>1.3995354889387695E-2</v>
      </c>
      <c r="V67" t="s">
        <v>254</v>
      </c>
      <c r="X67">
        <v>2.4771689497716895E-2</v>
      </c>
      <c r="Y67">
        <v>9.7827942553597048E-3</v>
      </c>
      <c r="Z67" t="s">
        <v>334</v>
      </c>
      <c r="AA67" t="s">
        <v>25</v>
      </c>
      <c r="AC67" t="s">
        <v>22</v>
      </c>
      <c r="AD67" t="s">
        <v>334</v>
      </c>
      <c r="AE67">
        <v>1.8433162429690501E-2</v>
      </c>
      <c r="AG67" t="s">
        <v>97</v>
      </c>
      <c r="AH67" t="s">
        <v>334</v>
      </c>
      <c r="AI67">
        <v>0.25659329650244533</v>
      </c>
    </row>
    <row r="68" spans="9:35" x14ac:dyDescent="0.45">
      <c r="I68" t="s">
        <v>252</v>
      </c>
      <c r="J68" t="s">
        <v>335</v>
      </c>
      <c r="K68">
        <v>6.8776317850581525E-3</v>
      </c>
      <c r="L68" t="s">
        <v>254</v>
      </c>
      <c r="N68" t="s">
        <v>422</v>
      </c>
      <c r="O68" t="s">
        <v>335</v>
      </c>
      <c r="P68">
        <v>1.6838533274588538E-3</v>
      </c>
      <c r="Q68" t="s">
        <v>254</v>
      </c>
      <c r="S68" t="s">
        <v>423</v>
      </c>
      <c r="T68" t="s">
        <v>335</v>
      </c>
      <c r="U68">
        <v>1.9015683511580327E-3</v>
      </c>
      <c r="V68" t="s">
        <v>254</v>
      </c>
      <c r="X68">
        <v>3.5388127853881279E-3</v>
      </c>
      <c r="Y68">
        <v>5.9087255218821738E-3</v>
      </c>
      <c r="Z68" t="s">
        <v>335</v>
      </c>
      <c r="AA68" t="s">
        <v>25</v>
      </c>
      <c r="AC68" t="s">
        <v>22</v>
      </c>
      <c r="AD68" t="s">
        <v>335</v>
      </c>
      <c r="AE68">
        <v>3.4728415747913087E-3</v>
      </c>
      <c r="AG68" t="s">
        <v>97</v>
      </c>
      <c r="AH68" t="s">
        <v>335</v>
      </c>
      <c r="AI68">
        <v>9.6970382779109077E-2</v>
      </c>
    </row>
    <row r="69" spans="9:35" x14ac:dyDescent="0.45">
      <c r="I69" t="s">
        <v>252</v>
      </c>
      <c r="J69" t="s">
        <v>336</v>
      </c>
      <c r="K69">
        <v>1.9994356603512699E-2</v>
      </c>
      <c r="L69" t="s">
        <v>254</v>
      </c>
      <c r="N69" t="s">
        <v>422</v>
      </c>
      <c r="O69" t="s">
        <v>336</v>
      </c>
      <c r="P69">
        <v>3.2985233027799004E-3</v>
      </c>
      <c r="Q69" t="s">
        <v>254</v>
      </c>
      <c r="S69" t="s">
        <v>423</v>
      </c>
      <c r="T69" t="s">
        <v>336</v>
      </c>
      <c r="U69">
        <v>3.7733614335994652E-3</v>
      </c>
      <c r="V69" t="s">
        <v>254</v>
      </c>
      <c r="X69">
        <v>7.0776255707762558E-3</v>
      </c>
      <c r="Y69">
        <v>9.0018148820326695E-3</v>
      </c>
      <c r="Z69" t="s">
        <v>336</v>
      </c>
      <c r="AA69" t="s">
        <v>25</v>
      </c>
      <c r="AC69" t="s">
        <v>22</v>
      </c>
      <c r="AD69" t="s">
        <v>336</v>
      </c>
      <c r="AE69">
        <v>7.3733418135328143E-3</v>
      </c>
      <c r="AG69" t="s">
        <v>97</v>
      </c>
      <c r="AH69" t="s">
        <v>336</v>
      </c>
      <c r="AI69">
        <v>9.2650294275706147E-2</v>
      </c>
    </row>
    <row r="70" spans="9:35" x14ac:dyDescent="0.45">
      <c r="I70" t="s">
        <v>252</v>
      </c>
      <c r="J70" t="s">
        <v>337</v>
      </c>
      <c r="K70">
        <v>3.4748024933677998E-2</v>
      </c>
      <c r="L70" t="s">
        <v>254</v>
      </c>
      <c r="N70" t="s">
        <v>422</v>
      </c>
      <c r="O70" t="s">
        <v>337</v>
      </c>
      <c r="P70">
        <v>5.2838270010361777E-3</v>
      </c>
      <c r="Q70" t="s">
        <v>254</v>
      </c>
      <c r="S70" t="s">
        <v>423</v>
      </c>
      <c r="T70" t="s">
        <v>337</v>
      </c>
      <c r="U70">
        <v>5.4994001290012019E-3</v>
      </c>
      <c r="V70" t="s">
        <v>254</v>
      </c>
      <c r="X70">
        <v>1.0616438356164383E-2</v>
      </c>
      <c r="Y70">
        <v>1.3143060769543132E-2</v>
      </c>
      <c r="Z70" t="s">
        <v>337</v>
      </c>
      <c r="AA70" t="s">
        <v>25</v>
      </c>
      <c r="AC70" t="s">
        <v>22</v>
      </c>
      <c r="AD70" t="s">
        <v>337</v>
      </c>
      <c r="AE70">
        <v>1.1176574721149324E-2</v>
      </c>
      <c r="AG70" t="s">
        <v>97</v>
      </c>
      <c r="AH70" t="s">
        <v>337</v>
      </c>
      <c r="AI70">
        <v>9.1669570383527077E-2</v>
      </c>
    </row>
    <row r="71" spans="9:35" x14ac:dyDescent="0.45">
      <c r="I71" t="s">
        <v>252</v>
      </c>
      <c r="J71" t="s">
        <v>338</v>
      </c>
      <c r="K71">
        <v>1.1383794505874499E-2</v>
      </c>
      <c r="L71" t="s">
        <v>254</v>
      </c>
      <c r="N71" t="s">
        <v>422</v>
      </c>
      <c r="O71" t="s">
        <v>338</v>
      </c>
      <c r="P71">
        <v>2.0319429615693468E-3</v>
      </c>
      <c r="Q71" t="s">
        <v>254</v>
      </c>
      <c r="S71" t="s">
        <v>423</v>
      </c>
      <c r="T71" t="s">
        <v>338</v>
      </c>
      <c r="U71">
        <v>1.9676078253799403E-3</v>
      </c>
      <c r="V71" t="s">
        <v>254</v>
      </c>
      <c r="X71">
        <v>3.5388127853881279E-3</v>
      </c>
      <c r="Y71">
        <v>4.6139439292610376E-3</v>
      </c>
      <c r="Z71" t="s">
        <v>338</v>
      </c>
      <c r="AA71" t="s">
        <v>25</v>
      </c>
      <c r="AC71" t="s">
        <v>22</v>
      </c>
      <c r="AD71" t="s">
        <v>338</v>
      </c>
      <c r="AE71">
        <v>3.7086479843560223E-3</v>
      </c>
      <c r="AG71" t="s">
        <v>97</v>
      </c>
      <c r="AH71" t="s">
        <v>338</v>
      </c>
      <c r="AI71">
        <v>8.988583846178444E-2</v>
      </c>
    </row>
    <row r="72" spans="9:35" x14ac:dyDescent="0.45">
      <c r="I72" t="s">
        <v>252</v>
      </c>
      <c r="J72" t="s">
        <v>339</v>
      </c>
      <c r="K72">
        <v>2.2523727310652501E-2</v>
      </c>
      <c r="L72" t="s">
        <v>254</v>
      </c>
      <c r="N72" t="s">
        <v>422</v>
      </c>
      <c r="O72" t="s">
        <v>339</v>
      </c>
      <c r="P72">
        <v>4.4436542824720275E-3</v>
      </c>
      <c r="Q72" t="s">
        <v>254</v>
      </c>
      <c r="S72" t="s">
        <v>423</v>
      </c>
      <c r="T72" t="s">
        <v>339</v>
      </c>
      <c r="U72">
        <v>4.2761780886685693E-3</v>
      </c>
      <c r="V72" t="s">
        <v>254</v>
      </c>
      <c r="X72">
        <v>7.0776255707762558E-3</v>
      </c>
      <c r="Y72">
        <v>1.0008867231849112E-2</v>
      </c>
      <c r="Z72" t="s">
        <v>339</v>
      </c>
      <c r="AA72" t="s">
        <v>25</v>
      </c>
      <c r="AC72" t="s">
        <v>22</v>
      </c>
      <c r="AD72" t="s">
        <v>339</v>
      </c>
      <c r="AE72">
        <v>7.3482463409091031E-3</v>
      </c>
      <c r="AG72" t="s">
        <v>97</v>
      </c>
      <c r="AH72" t="s">
        <v>339</v>
      </c>
      <c r="AI72">
        <v>8.184768968684053E-2</v>
      </c>
    </row>
    <row r="73" spans="9:35" x14ac:dyDescent="0.45">
      <c r="I73" t="s">
        <v>252</v>
      </c>
      <c r="J73" t="s">
        <v>340</v>
      </c>
      <c r="K73">
        <v>1.8597065373365099E-2</v>
      </c>
      <c r="L73" t="s">
        <v>254</v>
      </c>
      <c r="N73" t="s">
        <v>422</v>
      </c>
      <c r="O73" t="s">
        <v>340</v>
      </c>
      <c r="P73">
        <v>4.6671668575282562E-3</v>
      </c>
      <c r="Q73" t="s">
        <v>254</v>
      </c>
      <c r="S73" t="s">
        <v>423</v>
      </c>
      <c r="T73" t="s">
        <v>340</v>
      </c>
      <c r="U73">
        <v>4.6037098020107999E-3</v>
      </c>
      <c r="V73" t="s">
        <v>254</v>
      </c>
      <c r="X73">
        <v>7.0776255707762558E-3</v>
      </c>
      <c r="Y73">
        <v>1.376989947708193E-2</v>
      </c>
      <c r="Z73" t="s">
        <v>340</v>
      </c>
      <c r="AA73" t="s">
        <v>25</v>
      </c>
      <c r="AC73" t="s">
        <v>22</v>
      </c>
      <c r="AD73" t="s">
        <v>340</v>
      </c>
      <c r="AE73">
        <v>7.3042052440069061E-3</v>
      </c>
      <c r="AG73" t="s">
        <v>97</v>
      </c>
      <c r="AH73" t="s">
        <v>340</v>
      </c>
      <c r="AI73">
        <v>7.4708839379281633E-2</v>
      </c>
    </row>
    <row r="74" spans="9:35" x14ac:dyDescent="0.45">
      <c r="I74" t="s">
        <v>252</v>
      </c>
      <c r="J74" t="s">
        <v>341</v>
      </c>
      <c r="K74">
        <v>8.9078218378577587E-3</v>
      </c>
      <c r="L74" t="s">
        <v>254</v>
      </c>
      <c r="N74" t="s">
        <v>422</v>
      </c>
      <c r="O74" t="s">
        <v>341</v>
      </c>
      <c r="P74">
        <v>1.3531520225343621E-2</v>
      </c>
      <c r="Q74" t="s">
        <v>254</v>
      </c>
      <c r="S74" t="s">
        <v>423</v>
      </c>
      <c r="T74" t="s">
        <v>341</v>
      </c>
      <c r="U74">
        <v>1.4177962118868714E-2</v>
      </c>
      <c r="V74" t="s">
        <v>254</v>
      </c>
      <c r="X74">
        <v>2.1232876712328767E-2</v>
      </c>
      <c r="Y74">
        <v>1.8702400782305319E-2</v>
      </c>
      <c r="Z74" t="s">
        <v>341</v>
      </c>
      <c r="AA74" t="s">
        <v>25</v>
      </c>
      <c r="AC74" t="s">
        <v>22</v>
      </c>
      <c r="AD74" t="s">
        <v>341</v>
      </c>
      <c r="AE74">
        <v>1.948848359824654E-2</v>
      </c>
      <c r="AG74" t="s">
        <v>97</v>
      </c>
      <c r="AH74" t="s">
        <v>341</v>
      </c>
      <c r="AI74">
        <v>0.16891288263482473</v>
      </c>
    </row>
    <row r="75" spans="9:35" x14ac:dyDescent="0.45">
      <c r="I75" t="s">
        <v>252</v>
      </c>
      <c r="J75" t="s">
        <v>366</v>
      </c>
      <c r="K75">
        <v>8.0526567009118599E-4</v>
      </c>
      <c r="L75" t="s">
        <v>254</v>
      </c>
      <c r="N75" t="s">
        <v>422</v>
      </c>
      <c r="O75" t="s">
        <v>366</v>
      </c>
      <c r="P75">
        <v>1.7096764012854013E-2</v>
      </c>
      <c r="Q75" t="s">
        <v>254</v>
      </c>
      <c r="S75" t="s">
        <v>423</v>
      </c>
      <c r="T75" t="s">
        <v>366</v>
      </c>
      <c r="U75">
        <v>1.664887154100559E-2</v>
      </c>
      <c r="V75" t="s">
        <v>254</v>
      </c>
      <c r="X75">
        <v>2.3972602739726026E-2</v>
      </c>
      <c r="Y75">
        <v>9.4672202471222967E-3</v>
      </c>
      <c r="Z75" t="s">
        <v>366</v>
      </c>
      <c r="AA75" t="s">
        <v>25</v>
      </c>
      <c r="AC75" t="s">
        <v>22</v>
      </c>
      <c r="AD75" t="s">
        <v>366</v>
      </c>
      <c r="AE75">
        <v>1.7625283182062423E-2</v>
      </c>
      <c r="AG75" t="s">
        <v>97</v>
      </c>
      <c r="AH75" t="s">
        <v>366</v>
      </c>
      <c r="AI75">
        <v>0.24424060662229929</v>
      </c>
    </row>
    <row r="76" spans="9:35" x14ac:dyDescent="0.45">
      <c r="I76" t="s">
        <v>252</v>
      </c>
      <c r="J76" t="s">
        <v>367</v>
      </c>
      <c r="K76">
        <v>4.0075690738735183E-3</v>
      </c>
      <c r="L76" t="s">
        <v>254</v>
      </c>
      <c r="N76" t="s">
        <v>422</v>
      </c>
      <c r="O76" t="s">
        <v>367</v>
      </c>
      <c r="P76">
        <v>2.1158031843195525E-3</v>
      </c>
      <c r="Q76" t="s">
        <v>254</v>
      </c>
      <c r="S76" t="s">
        <v>423</v>
      </c>
      <c r="T76" t="s">
        <v>367</v>
      </c>
      <c r="U76">
        <v>2.2852739587308278E-3</v>
      </c>
      <c r="V76" t="s">
        <v>254</v>
      </c>
      <c r="X76">
        <v>3.4246575342465752E-3</v>
      </c>
      <c r="Y76">
        <v>5.7181214727892006E-3</v>
      </c>
      <c r="Z76" t="s">
        <v>367</v>
      </c>
      <c r="AA76" t="s">
        <v>25</v>
      </c>
      <c r="AC76" t="s">
        <v>22</v>
      </c>
      <c r="AD76" t="s">
        <v>367</v>
      </c>
      <c r="AE76">
        <v>3.3594759413008257E-3</v>
      </c>
      <c r="AG76" t="s">
        <v>97</v>
      </c>
      <c r="AH76" t="s">
        <v>367</v>
      </c>
      <c r="AI76">
        <v>7.8944791523863689E-2</v>
      </c>
    </row>
    <row r="77" spans="9:35" x14ac:dyDescent="0.45">
      <c r="I77" t="s">
        <v>252</v>
      </c>
      <c r="J77" t="s">
        <v>368</v>
      </c>
      <c r="K77">
        <v>1.4449188514352628E-2</v>
      </c>
      <c r="L77" t="s">
        <v>254</v>
      </c>
      <c r="N77" t="s">
        <v>422</v>
      </c>
      <c r="O77" t="s">
        <v>368</v>
      </c>
      <c r="P77">
        <v>4.3055515398554923E-3</v>
      </c>
      <c r="Q77" t="s">
        <v>254</v>
      </c>
      <c r="S77" t="s">
        <v>423</v>
      </c>
      <c r="T77" t="s">
        <v>368</v>
      </c>
      <c r="U77">
        <v>4.6716751126476327E-3</v>
      </c>
      <c r="V77" t="s">
        <v>254</v>
      </c>
      <c r="X77">
        <v>6.8493150684931503E-3</v>
      </c>
      <c r="Y77">
        <v>8.7114337568058101E-3</v>
      </c>
      <c r="Z77" t="s">
        <v>368</v>
      </c>
      <c r="AA77" t="s">
        <v>25</v>
      </c>
      <c r="AC77" t="s">
        <v>22</v>
      </c>
      <c r="AD77" t="s">
        <v>368</v>
      </c>
      <c r="AE77">
        <v>7.1225379177277592E-3</v>
      </c>
      <c r="AG77" t="s">
        <v>97</v>
      </c>
      <c r="AH77" t="s">
        <v>368</v>
      </c>
      <c r="AI77">
        <v>6.8717630480863434E-2</v>
      </c>
    </row>
    <row r="78" spans="9:35" x14ac:dyDescent="0.45">
      <c r="I78" t="s">
        <v>252</v>
      </c>
      <c r="J78" t="s">
        <v>369</v>
      </c>
      <c r="K78">
        <v>2.67171503487021E-2</v>
      </c>
      <c r="L78" t="s">
        <v>254</v>
      </c>
      <c r="N78" t="s">
        <v>422</v>
      </c>
      <c r="O78" t="s">
        <v>369</v>
      </c>
      <c r="P78">
        <v>6.6333797052340864E-3</v>
      </c>
      <c r="Q78" t="s">
        <v>254</v>
      </c>
      <c r="S78" t="s">
        <v>423</v>
      </c>
      <c r="T78" t="s">
        <v>369</v>
      </c>
      <c r="U78">
        <v>6.8886382415368503E-3</v>
      </c>
      <c r="V78" t="s">
        <v>254</v>
      </c>
      <c r="X78">
        <v>1.0273972602739725E-2</v>
      </c>
      <c r="Y78">
        <v>1.2719091067299805E-2</v>
      </c>
      <c r="Z78" t="s">
        <v>369</v>
      </c>
      <c r="AA78" t="s">
        <v>25</v>
      </c>
      <c r="AC78" t="s">
        <v>22</v>
      </c>
      <c r="AD78" t="s">
        <v>369</v>
      </c>
      <c r="AE78">
        <v>1.0725217986374061E-2</v>
      </c>
      <c r="AG78" t="s">
        <v>97</v>
      </c>
      <c r="AH78" t="s">
        <v>369</v>
      </c>
      <c r="AI78">
        <v>8.9295755531858312E-2</v>
      </c>
    </row>
    <row r="79" spans="9:35" x14ac:dyDescent="0.45">
      <c r="I79" t="s">
        <v>252</v>
      </c>
      <c r="J79" t="s">
        <v>370</v>
      </c>
      <c r="K79">
        <v>8.7396834234005991E-3</v>
      </c>
      <c r="L79" t="s">
        <v>254</v>
      </c>
      <c r="N79" t="s">
        <v>422</v>
      </c>
      <c r="O79" t="s">
        <v>370</v>
      </c>
      <c r="P79">
        <v>2.3229637541508216E-3</v>
      </c>
      <c r="Q79" t="s">
        <v>254</v>
      </c>
      <c r="S79" t="s">
        <v>423</v>
      </c>
      <c r="T79" t="s">
        <v>370</v>
      </c>
      <c r="U79">
        <v>2.338150687510357E-3</v>
      </c>
      <c r="V79" t="s">
        <v>254</v>
      </c>
      <c r="X79">
        <v>3.4246575342465752E-3</v>
      </c>
      <c r="Y79">
        <v>4.4651070283171336E-3</v>
      </c>
      <c r="Z79" t="s">
        <v>370</v>
      </c>
      <c r="AA79" t="s">
        <v>25</v>
      </c>
      <c r="AC79" t="s">
        <v>22</v>
      </c>
      <c r="AD79" t="s">
        <v>370</v>
      </c>
      <c r="AE79">
        <v>3.5472317062688261E-3</v>
      </c>
      <c r="AG79" t="s">
        <v>97</v>
      </c>
      <c r="AH79" t="s">
        <v>370</v>
      </c>
      <c r="AI79">
        <v>9.1477834630433907E-2</v>
      </c>
    </row>
    <row r="80" spans="9:35" x14ac:dyDescent="0.45">
      <c r="I80" t="s">
        <v>252</v>
      </c>
      <c r="J80" t="s">
        <v>371</v>
      </c>
      <c r="K80">
        <v>1.7098369692464598E-2</v>
      </c>
      <c r="L80" t="s">
        <v>254</v>
      </c>
      <c r="N80" t="s">
        <v>422</v>
      </c>
      <c r="O80" t="s">
        <v>371</v>
      </c>
      <c r="P80">
        <v>4.9476803296399372E-3</v>
      </c>
      <c r="Q80" t="s">
        <v>254</v>
      </c>
      <c r="S80" t="s">
        <v>423</v>
      </c>
      <c r="T80" t="s">
        <v>371</v>
      </c>
      <c r="U80">
        <v>4.9821501050586053E-3</v>
      </c>
      <c r="V80" t="s">
        <v>254</v>
      </c>
      <c r="X80">
        <v>6.8493150684931503E-3</v>
      </c>
      <c r="Y80">
        <v>9.6860005469507522E-3</v>
      </c>
      <c r="Z80" t="s">
        <v>371</v>
      </c>
      <c r="AA80" t="s">
        <v>25</v>
      </c>
      <c r="AC80" t="s">
        <v>22</v>
      </c>
      <c r="AD80" t="s">
        <v>371</v>
      </c>
      <c r="AE80">
        <v>7.0387363252247797E-3</v>
      </c>
      <c r="AG80" t="s">
        <v>97</v>
      </c>
      <c r="AH80" t="s">
        <v>371</v>
      </c>
      <c r="AI80">
        <v>8.6148913032019214E-2</v>
      </c>
    </row>
    <row r="81" spans="9:35" x14ac:dyDescent="0.45">
      <c r="I81" t="s">
        <v>252</v>
      </c>
      <c r="J81" t="s">
        <v>372</v>
      </c>
      <c r="K81">
        <v>1.263877862384892E-2</v>
      </c>
      <c r="L81" t="s">
        <v>254</v>
      </c>
      <c r="N81" t="s">
        <v>422</v>
      </c>
      <c r="O81" t="s">
        <v>372</v>
      </c>
      <c r="P81">
        <v>5.1523201053278464E-3</v>
      </c>
      <c r="Q81" t="s">
        <v>254</v>
      </c>
      <c r="S81" t="s">
        <v>423</v>
      </c>
      <c r="T81" t="s">
        <v>372</v>
      </c>
      <c r="U81">
        <v>5.5034674220995321E-3</v>
      </c>
      <c r="V81" t="s">
        <v>254</v>
      </c>
      <c r="X81">
        <v>6.8493150684931503E-3</v>
      </c>
      <c r="Y81">
        <v>1.3325709171369611E-2</v>
      </c>
      <c r="Z81" t="s">
        <v>372</v>
      </c>
      <c r="AA81" t="s">
        <v>25</v>
      </c>
      <c r="AC81" t="s">
        <v>22</v>
      </c>
      <c r="AD81" t="s">
        <v>372</v>
      </c>
      <c r="AE81">
        <v>7.0178345121795173E-3</v>
      </c>
      <c r="AG81" t="s">
        <v>97</v>
      </c>
      <c r="AH81" t="s">
        <v>372</v>
      </c>
      <c r="AI81">
        <v>8.1678272344711811E-2</v>
      </c>
    </row>
    <row r="82" spans="9:35" x14ac:dyDescent="0.45">
      <c r="I82" t="s">
        <v>252</v>
      </c>
      <c r="J82" t="s">
        <v>373</v>
      </c>
      <c r="K82">
        <v>2.9519782437909185E-3</v>
      </c>
      <c r="L82" t="s">
        <v>254</v>
      </c>
      <c r="N82" t="s">
        <v>422</v>
      </c>
      <c r="O82" t="s">
        <v>373</v>
      </c>
      <c r="P82">
        <v>1.606788287019548E-2</v>
      </c>
      <c r="Q82" t="s">
        <v>254</v>
      </c>
      <c r="S82" t="s">
        <v>423</v>
      </c>
      <c r="T82" t="s">
        <v>373</v>
      </c>
      <c r="U82">
        <v>1.6559671137932455E-2</v>
      </c>
      <c r="V82" t="s">
        <v>254</v>
      </c>
      <c r="X82">
        <v>2.0547945205479451E-2</v>
      </c>
      <c r="Y82">
        <v>1.8099097531263209E-2</v>
      </c>
      <c r="Z82" t="s">
        <v>373</v>
      </c>
      <c r="AA82" t="s">
        <v>25</v>
      </c>
      <c r="AC82" t="s">
        <v>22</v>
      </c>
      <c r="AD82" t="s">
        <v>373</v>
      </c>
      <c r="AE82">
        <v>1.8684395284965002E-2</v>
      </c>
      <c r="AG82" t="s">
        <v>97</v>
      </c>
      <c r="AH82" t="s">
        <v>373</v>
      </c>
      <c r="AI82">
        <v>0.16999343647075293</v>
      </c>
    </row>
    <row r="83" spans="9:35" x14ac:dyDescent="0.45">
      <c r="I83" t="s">
        <v>252</v>
      </c>
      <c r="J83" t="s">
        <v>398</v>
      </c>
      <c r="K83">
        <v>3.2958281595258512E-7</v>
      </c>
      <c r="L83" t="s">
        <v>254</v>
      </c>
      <c r="N83" t="s">
        <v>422</v>
      </c>
      <c r="O83" t="s">
        <v>398</v>
      </c>
      <c r="P83">
        <v>3.0734248303117023E-2</v>
      </c>
      <c r="Q83" t="s">
        <v>254</v>
      </c>
      <c r="S83" t="s">
        <v>423</v>
      </c>
      <c r="T83" t="s">
        <v>398</v>
      </c>
      <c r="U83">
        <v>2.86731600145597E-2</v>
      </c>
      <c r="V83" t="s">
        <v>254</v>
      </c>
      <c r="X83">
        <v>2.4771689497716895E-2</v>
      </c>
      <c r="Y83">
        <v>9.7827942553597048E-3</v>
      </c>
      <c r="Z83" t="s">
        <v>398</v>
      </c>
      <c r="AA83" t="s">
        <v>25</v>
      </c>
      <c r="AC83" t="s">
        <v>22</v>
      </c>
      <c r="AD83" t="s">
        <v>398</v>
      </c>
      <c r="AE83">
        <v>1.8463570384942989E-2</v>
      </c>
      <c r="AG83" t="s">
        <v>97</v>
      </c>
      <c r="AH83" t="s">
        <v>398</v>
      </c>
      <c r="AI83">
        <v>0.26158392147292209</v>
      </c>
    </row>
    <row r="84" spans="9:35" x14ac:dyDescent="0.45">
      <c r="I84" t="s">
        <v>252</v>
      </c>
      <c r="J84" t="s">
        <v>399</v>
      </c>
      <c r="K84">
        <v>1.8984719522335222E-3</v>
      </c>
      <c r="L84" t="s">
        <v>254</v>
      </c>
      <c r="N84" t="s">
        <v>422</v>
      </c>
      <c r="O84" t="s">
        <v>399</v>
      </c>
      <c r="P84">
        <v>4.4344888697710307E-3</v>
      </c>
      <c r="Q84" t="s">
        <v>254</v>
      </c>
      <c r="S84" t="s">
        <v>423</v>
      </c>
      <c r="T84" t="s">
        <v>399</v>
      </c>
      <c r="U84">
        <v>4.1685888254161954E-3</v>
      </c>
      <c r="V84" t="s">
        <v>254</v>
      </c>
      <c r="X84">
        <v>3.5388127853881279E-3</v>
      </c>
      <c r="Y84">
        <v>5.9087255218821738E-3</v>
      </c>
      <c r="Z84" t="s">
        <v>399</v>
      </c>
      <c r="AA84" t="s">
        <v>25</v>
      </c>
      <c r="AC84" t="s">
        <v>22</v>
      </c>
      <c r="AD84" t="s">
        <v>399</v>
      </c>
      <c r="AE84">
        <v>3.5211649293716706E-3</v>
      </c>
      <c r="AG84" t="s">
        <v>97</v>
      </c>
      <c r="AH84" t="s">
        <v>399</v>
      </c>
      <c r="AI84">
        <v>7.9840231634114911E-2</v>
      </c>
    </row>
    <row r="85" spans="9:35" x14ac:dyDescent="0.45">
      <c r="I85" t="s">
        <v>252</v>
      </c>
      <c r="J85" t="s">
        <v>400</v>
      </c>
      <c r="K85">
        <v>1.0745151550953907E-2</v>
      </c>
      <c r="L85" t="s">
        <v>254</v>
      </c>
      <c r="N85" t="s">
        <v>422</v>
      </c>
      <c r="O85" t="s">
        <v>400</v>
      </c>
      <c r="P85">
        <v>8.8286100848873218E-3</v>
      </c>
      <c r="Q85" t="s">
        <v>254</v>
      </c>
      <c r="S85" t="s">
        <v>423</v>
      </c>
      <c r="T85" t="s">
        <v>400</v>
      </c>
      <c r="U85">
        <v>8.3054739636949666E-3</v>
      </c>
      <c r="V85" t="s">
        <v>254</v>
      </c>
      <c r="X85">
        <v>7.0776255707762558E-3</v>
      </c>
      <c r="Y85">
        <v>9.0018148820326695E-3</v>
      </c>
      <c r="Z85" t="s">
        <v>400</v>
      </c>
      <c r="AA85" t="s">
        <v>25</v>
      </c>
      <c r="AC85" t="s">
        <v>22</v>
      </c>
      <c r="AD85" t="s">
        <v>400</v>
      </c>
      <c r="AE85">
        <v>7.4816693988852137E-3</v>
      </c>
      <c r="AG85" t="s">
        <v>97</v>
      </c>
      <c r="AH85" t="s">
        <v>400</v>
      </c>
      <c r="AI85">
        <v>6.3218942958019442E-2</v>
      </c>
    </row>
    <row r="86" spans="9:35" x14ac:dyDescent="0.45">
      <c r="I86" t="s">
        <v>252</v>
      </c>
      <c r="J86" t="s">
        <v>401</v>
      </c>
      <c r="K86">
        <v>2.1831181533129931E-2</v>
      </c>
      <c r="L86" t="s">
        <v>254</v>
      </c>
      <c r="N86" t="s">
        <v>422</v>
      </c>
      <c r="O86" t="s">
        <v>401</v>
      </c>
      <c r="P86">
        <v>1.2791133872752417E-2</v>
      </c>
      <c r="Q86" t="s">
        <v>254</v>
      </c>
      <c r="S86" t="s">
        <v>423</v>
      </c>
      <c r="T86" t="s">
        <v>401</v>
      </c>
      <c r="U86">
        <v>1.2222527696226625E-2</v>
      </c>
      <c r="V86" t="s">
        <v>254</v>
      </c>
      <c r="X86">
        <v>1.0616438356164383E-2</v>
      </c>
      <c r="Y86">
        <v>1.3143060769543132E-2</v>
      </c>
      <c r="Z86" t="s">
        <v>401</v>
      </c>
      <c r="AA86" t="s">
        <v>25</v>
      </c>
      <c r="AC86" t="s">
        <v>22</v>
      </c>
      <c r="AD86" t="s">
        <v>401</v>
      </c>
      <c r="AE86">
        <v>1.1209668687197322E-2</v>
      </c>
      <c r="AG86" t="s">
        <v>97</v>
      </c>
      <c r="AH86" t="s">
        <v>401</v>
      </c>
      <c r="AI86">
        <v>6.548258060104617E-2</v>
      </c>
    </row>
    <row r="87" spans="9:35" x14ac:dyDescent="0.45">
      <c r="I87" t="s">
        <v>252</v>
      </c>
      <c r="J87" t="s">
        <v>402</v>
      </c>
      <c r="K87">
        <v>7.2855052323544658E-3</v>
      </c>
      <c r="L87" t="s">
        <v>254</v>
      </c>
      <c r="N87" t="s">
        <v>422</v>
      </c>
      <c r="O87" t="s">
        <v>402</v>
      </c>
      <c r="P87">
        <v>4.2589329846080748E-3</v>
      </c>
      <c r="Q87" t="s">
        <v>254</v>
      </c>
      <c r="S87" t="s">
        <v>423</v>
      </c>
      <c r="T87" t="s">
        <v>402</v>
      </c>
      <c r="U87">
        <v>4.1079596745851685E-3</v>
      </c>
      <c r="V87" t="s">
        <v>254</v>
      </c>
      <c r="X87">
        <v>3.5388127853881279E-3</v>
      </c>
      <c r="Y87">
        <v>4.6139439292610376E-3</v>
      </c>
      <c r="Z87" t="s">
        <v>402</v>
      </c>
      <c r="AA87" t="s">
        <v>25</v>
      </c>
      <c r="AC87" t="s">
        <v>22</v>
      </c>
      <c r="AD87" t="s">
        <v>402</v>
      </c>
      <c r="AE87">
        <v>3.700172822743408E-3</v>
      </c>
      <c r="AG87" t="s">
        <v>97</v>
      </c>
      <c r="AH87" t="s">
        <v>402</v>
      </c>
      <c r="AI87">
        <v>6.666821648959953E-2</v>
      </c>
    </row>
    <row r="88" spans="9:35" x14ac:dyDescent="0.45">
      <c r="I88" t="s">
        <v>252</v>
      </c>
      <c r="J88" t="s">
        <v>403</v>
      </c>
      <c r="K88">
        <v>1.3557370213634876E-2</v>
      </c>
      <c r="L88" t="s">
        <v>254</v>
      </c>
      <c r="N88" t="s">
        <v>422</v>
      </c>
      <c r="O88" t="s">
        <v>403</v>
      </c>
      <c r="P88">
        <v>8.3809070398184055E-3</v>
      </c>
      <c r="Q88" t="s">
        <v>254</v>
      </c>
      <c r="S88" t="s">
        <v>423</v>
      </c>
      <c r="T88" t="s">
        <v>403</v>
      </c>
      <c r="U88">
        <v>8.2800663842089815E-3</v>
      </c>
      <c r="V88" t="s">
        <v>254</v>
      </c>
      <c r="X88">
        <v>7.0776255707762558E-3</v>
      </c>
      <c r="Y88">
        <v>1.0008867231849112E-2</v>
      </c>
      <c r="Z88" t="s">
        <v>403</v>
      </c>
      <c r="AA88" t="s">
        <v>25</v>
      </c>
      <c r="AC88" t="s">
        <v>22</v>
      </c>
      <c r="AD88" t="s">
        <v>403</v>
      </c>
      <c r="AE88">
        <v>7.3484184228895383E-3</v>
      </c>
      <c r="AG88" t="s">
        <v>97</v>
      </c>
      <c r="AH88" t="s">
        <v>403</v>
      </c>
      <c r="AI88">
        <v>7.0312583174223064E-2</v>
      </c>
    </row>
    <row r="89" spans="9:35" x14ac:dyDescent="0.45">
      <c r="I89" t="s">
        <v>252</v>
      </c>
      <c r="J89" t="s">
        <v>404</v>
      </c>
      <c r="K89">
        <v>7.4400963199842329E-3</v>
      </c>
      <c r="L89" t="s">
        <v>254</v>
      </c>
      <c r="N89" t="s">
        <v>422</v>
      </c>
      <c r="O89" t="s">
        <v>404</v>
      </c>
      <c r="P89">
        <v>8.0235516971465456E-3</v>
      </c>
      <c r="Q89" t="s">
        <v>254</v>
      </c>
      <c r="S89" t="s">
        <v>423</v>
      </c>
      <c r="T89" t="s">
        <v>404</v>
      </c>
      <c r="U89">
        <v>8.3079167827620551E-3</v>
      </c>
      <c r="V89" t="s">
        <v>254</v>
      </c>
      <c r="X89">
        <v>7.0776255707762558E-3</v>
      </c>
      <c r="Y89">
        <v>1.376989947708193E-2</v>
      </c>
      <c r="Z89" t="s">
        <v>404</v>
      </c>
      <c r="AA89" t="s">
        <v>25</v>
      </c>
      <c r="AC89" t="s">
        <v>22</v>
      </c>
      <c r="AD89" t="s">
        <v>404</v>
      </c>
      <c r="AE89">
        <v>7.355013208287596E-3</v>
      </c>
      <c r="AG89" t="s">
        <v>97</v>
      </c>
      <c r="AH89" t="s">
        <v>404</v>
      </c>
      <c r="AI89">
        <v>7.3698867732210349E-2</v>
      </c>
    </row>
    <row r="90" spans="9:35" x14ac:dyDescent="0.45">
      <c r="I90" t="s">
        <v>252</v>
      </c>
      <c r="J90" t="s">
        <v>405</v>
      </c>
      <c r="K90">
        <v>2.0476372471086324E-5</v>
      </c>
      <c r="L90" t="s">
        <v>254</v>
      </c>
      <c r="N90" t="s">
        <v>422</v>
      </c>
      <c r="O90" t="s">
        <v>405</v>
      </c>
      <c r="P90">
        <v>2.5153016257585408E-2</v>
      </c>
      <c r="Q90" t="s">
        <v>254</v>
      </c>
      <c r="S90" t="s">
        <v>423</v>
      </c>
      <c r="T90" t="s">
        <v>405</v>
      </c>
      <c r="U90">
        <v>2.471905350643714E-2</v>
      </c>
      <c r="V90" t="s">
        <v>254</v>
      </c>
      <c r="X90">
        <v>2.1232876712328767E-2</v>
      </c>
      <c r="Y90">
        <v>1.8702400782305319E-2</v>
      </c>
      <c r="Z90" t="s">
        <v>405</v>
      </c>
      <c r="AA90" t="s">
        <v>25</v>
      </c>
      <c r="AC90" t="s">
        <v>22</v>
      </c>
      <c r="AD90" t="s">
        <v>405</v>
      </c>
      <c r="AE90">
        <v>1.9619793437954926E-2</v>
      </c>
      <c r="AG90" t="s">
        <v>97</v>
      </c>
      <c r="AH90" t="s">
        <v>405</v>
      </c>
      <c r="AI90">
        <v>0.1673241681685036</v>
      </c>
    </row>
    <row r="91" spans="9:35" x14ac:dyDescent="0.45">
      <c r="I91" t="s">
        <v>252</v>
      </c>
      <c r="J91" t="s">
        <v>406</v>
      </c>
      <c r="K91">
        <v>0</v>
      </c>
      <c r="L91" t="s">
        <v>254</v>
      </c>
      <c r="N91" t="s">
        <v>422</v>
      </c>
      <c r="O91" t="s">
        <v>406</v>
      </c>
      <c r="P91">
        <v>2.931101114839732E-2</v>
      </c>
      <c r="Q91" t="s">
        <v>254</v>
      </c>
      <c r="S91" t="s">
        <v>423</v>
      </c>
      <c r="T91" t="s">
        <v>406</v>
      </c>
      <c r="U91">
        <v>2.7847033930216165E-2</v>
      </c>
      <c r="V91" t="s">
        <v>254</v>
      </c>
      <c r="X91">
        <v>2.3972602739726026E-2</v>
      </c>
      <c r="Y91">
        <v>9.4672202471222967E-3</v>
      </c>
      <c r="Z91" t="s">
        <v>406</v>
      </c>
      <c r="AA91" t="s">
        <v>25</v>
      </c>
      <c r="AC91" t="s">
        <v>22</v>
      </c>
      <c r="AD91" t="s">
        <v>406</v>
      </c>
      <c r="AE91">
        <v>2.0052436889231126E-2</v>
      </c>
      <c r="AG91" t="s">
        <v>97</v>
      </c>
      <c r="AH91" t="s">
        <v>406</v>
      </c>
      <c r="AI91">
        <v>0.29993685127360115</v>
      </c>
    </row>
    <row r="92" spans="9:35" x14ac:dyDescent="0.45">
      <c r="I92" t="s">
        <v>252</v>
      </c>
      <c r="J92" t="s">
        <v>407</v>
      </c>
      <c r="K92">
        <v>6.9595661734516304E-5</v>
      </c>
      <c r="L92" t="s">
        <v>254</v>
      </c>
      <c r="N92" t="s">
        <v>422</v>
      </c>
      <c r="O92" t="s">
        <v>407</v>
      </c>
      <c r="P92">
        <v>4.1448967536828552E-3</v>
      </c>
      <c r="Q92" t="s">
        <v>254</v>
      </c>
      <c r="S92" t="s">
        <v>423</v>
      </c>
      <c r="T92" t="s">
        <v>407</v>
      </c>
      <c r="U92">
        <v>3.9352607163494809E-3</v>
      </c>
      <c r="V92" t="s">
        <v>254</v>
      </c>
      <c r="X92">
        <v>3.4246575342465752E-3</v>
      </c>
      <c r="Y92">
        <v>5.7181214727892006E-3</v>
      </c>
      <c r="Z92" t="s">
        <v>407</v>
      </c>
      <c r="AA92" t="s">
        <v>25</v>
      </c>
      <c r="AC92" t="s">
        <v>22</v>
      </c>
      <c r="AD92" t="s">
        <v>407</v>
      </c>
      <c r="AE92">
        <v>3.9165735287244154E-3</v>
      </c>
      <c r="AG92" t="s">
        <v>97</v>
      </c>
      <c r="AH92" t="s">
        <v>407</v>
      </c>
      <c r="AI92">
        <v>9.6641572988210633E-2</v>
      </c>
    </row>
    <row r="93" spans="9:35" x14ac:dyDescent="0.45">
      <c r="I93" t="s">
        <v>252</v>
      </c>
      <c r="J93" t="s">
        <v>408</v>
      </c>
      <c r="K93">
        <v>6.1529025516527565E-3</v>
      </c>
      <c r="L93" t="s">
        <v>254</v>
      </c>
      <c r="N93" t="s">
        <v>422</v>
      </c>
      <c r="O93" t="s">
        <v>408</v>
      </c>
      <c r="P93">
        <v>8.1377139366058445E-3</v>
      </c>
      <c r="Q93" t="s">
        <v>254</v>
      </c>
      <c r="S93" t="s">
        <v>423</v>
      </c>
      <c r="T93" t="s">
        <v>408</v>
      </c>
      <c r="U93">
        <v>7.8562759010133449E-3</v>
      </c>
      <c r="V93" t="s">
        <v>254</v>
      </c>
      <c r="X93">
        <v>6.8493150684931503E-3</v>
      </c>
      <c r="Y93">
        <v>8.7114337568058101E-3</v>
      </c>
      <c r="Z93" t="s">
        <v>408</v>
      </c>
      <c r="AA93" t="s">
        <v>25</v>
      </c>
      <c r="AC93" t="s">
        <v>22</v>
      </c>
      <c r="AD93" t="s">
        <v>408</v>
      </c>
      <c r="AE93">
        <v>8.1700769192631136E-3</v>
      </c>
      <c r="AG93" t="s">
        <v>97</v>
      </c>
      <c r="AH93" t="s">
        <v>408</v>
      </c>
      <c r="AI93">
        <v>8.8318365814044064E-2</v>
      </c>
    </row>
    <row r="94" spans="9:35" x14ac:dyDescent="0.45">
      <c r="I94" t="s">
        <v>252</v>
      </c>
      <c r="J94" t="s">
        <v>409</v>
      </c>
      <c r="K94">
        <v>1.4808228014460098E-2</v>
      </c>
      <c r="L94" t="s">
        <v>254</v>
      </c>
      <c r="N94" t="s">
        <v>422</v>
      </c>
      <c r="O94" t="s">
        <v>409</v>
      </c>
      <c r="P94">
        <v>1.2782462221910021E-2</v>
      </c>
      <c r="Q94" t="s">
        <v>254</v>
      </c>
      <c r="S94" t="s">
        <v>423</v>
      </c>
      <c r="T94" t="s">
        <v>409</v>
      </c>
      <c r="U94">
        <v>1.1336376707505036E-2</v>
      </c>
      <c r="V94" t="s">
        <v>254</v>
      </c>
      <c r="X94">
        <v>1.0273972602739725E-2</v>
      </c>
      <c r="Y94">
        <v>1.2719091067299805E-2</v>
      </c>
      <c r="Z94" t="s">
        <v>409</v>
      </c>
      <c r="AA94" t="s">
        <v>25</v>
      </c>
      <c r="AC94" t="s">
        <v>22</v>
      </c>
      <c r="AD94" t="s">
        <v>409</v>
      </c>
      <c r="AE94">
        <v>1.2282637548432982E-2</v>
      </c>
      <c r="AG94" t="s">
        <v>97</v>
      </c>
      <c r="AH94" t="s">
        <v>409</v>
      </c>
      <c r="AI94">
        <v>8.524347860116066E-2</v>
      </c>
    </row>
    <row r="95" spans="9:35" x14ac:dyDescent="0.45">
      <c r="I95" t="s">
        <v>252</v>
      </c>
      <c r="J95" t="s">
        <v>410</v>
      </c>
      <c r="K95">
        <v>5.2665416862010123E-3</v>
      </c>
      <c r="L95" t="s">
        <v>254</v>
      </c>
      <c r="N95" t="s">
        <v>422</v>
      </c>
      <c r="O95" t="s">
        <v>410</v>
      </c>
      <c r="P95">
        <v>4.4544946420195762E-3</v>
      </c>
      <c r="Q95" t="s">
        <v>254</v>
      </c>
      <c r="S95" t="s">
        <v>423</v>
      </c>
      <c r="T95" t="s">
        <v>410</v>
      </c>
      <c r="U95">
        <v>3.666573427115692E-3</v>
      </c>
      <c r="V95" t="s">
        <v>254</v>
      </c>
      <c r="X95">
        <v>3.4246575342465752E-3</v>
      </c>
      <c r="Y95">
        <v>4.4651070283171336E-3</v>
      </c>
      <c r="Z95" t="s">
        <v>410</v>
      </c>
      <c r="AA95" t="s">
        <v>25</v>
      </c>
      <c r="AC95" t="s">
        <v>22</v>
      </c>
      <c r="AD95" t="s">
        <v>410</v>
      </c>
      <c r="AE95">
        <v>4.0651825043714063E-3</v>
      </c>
      <c r="AG95" t="s">
        <v>97</v>
      </c>
      <c r="AH95" t="s">
        <v>410</v>
      </c>
      <c r="AI95">
        <v>8.3883454206900465E-2</v>
      </c>
    </row>
    <row r="96" spans="9:35" x14ac:dyDescent="0.45">
      <c r="I96" t="s">
        <v>252</v>
      </c>
      <c r="J96" t="s">
        <v>411</v>
      </c>
      <c r="K96">
        <v>9.6719817741024918E-3</v>
      </c>
      <c r="L96" t="s">
        <v>254</v>
      </c>
      <c r="N96" t="s">
        <v>422</v>
      </c>
      <c r="O96" t="s">
        <v>411</v>
      </c>
      <c r="P96">
        <v>8.8934972559307334E-3</v>
      </c>
      <c r="Q96" t="s">
        <v>254</v>
      </c>
      <c r="S96" t="s">
        <v>423</v>
      </c>
      <c r="T96" t="s">
        <v>411</v>
      </c>
      <c r="U96">
        <v>7.4513489315056712E-3</v>
      </c>
      <c r="V96" t="s">
        <v>254</v>
      </c>
      <c r="X96">
        <v>6.8493150684931503E-3</v>
      </c>
      <c r="Y96">
        <v>9.6860005469507522E-3</v>
      </c>
      <c r="Z96" t="s">
        <v>411</v>
      </c>
      <c r="AA96" t="s">
        <v>25</v>
      </c>
      <c r="AC96" t="s">
        <v>22</v>
      </c>
      <c r="AD96" t="s">
        <v>411</v>
      </c>
      <c r="AE96">
        <v>8.1181445824468363E-3</v>
      </c>
      <c r="AG96" t="s">
        <v>97</v>
      </c>
      <c r="AH96" t="s">
        <v>411</v>
      </c>
      <c r="AI96">
        <v>9.0322808135314681E-2</v>
      </c>
    </row>
    <row r="97" spans="9:35" x14ac:dyDescent="0.45">
      <c r="I97" t="s">
        <v>252</v>
      </c>
      <c r="J97" t="s">
        <v>412</v>
      </c>
      <c r="K97">
        <v>3.0328701328589868E-3</v>
      </c>
      <c r="L97" t="s">
        <v>254</v>
      </c>
      <c r="N97" t="s">
        <v>422</v>
      </c>
      <c r="O97" t="s">
        <v>412</v>
      </c>
      <c r="P97">
        <v>8.9269866837705641E-3</v>
      </c>
      <c r="Q97" t="s">
        <v>254</v>
      </c>
      <c r="S97" t="s">
        <v>423</v>
      </c>
      <c r="T97" t="s">
        <v>412</v>
      </c>
      <c r="U97">
        <v>7.6402466940948379E-3</v>
      </c>
      <c r="V97" t="s">
        <v>254</v>
      </c>
      <c r="X97">
        <v>6.8493150684931503E-3</v>
      </c>
      <c r="Y97">
        <v>1.3325709171369611E-2</v>
      </c>
      <c r="Z97" t="s">
        <v>412</v>
      </c>
      <c r="AA97" t="s">
        <v>25</v>
      </c>
      <c r="AC97" t="s">
        <v>22</v>
      </c>
      <c r="AD97" t="s">
        <v>412</v>
      </c>
      <c r="AE97">
        <v>8.2616291106577238E-3</v>
      </c>
      <c r="AG97" t="s">
        <v>97</v>
      </c>
      <c r="AH97" t="s">
        <v>412</v>
      </c>
      <c r="AI97">
        <v>8.4411488885055563E-2</v>
      </c>
    </row>
    <row r="98" spans="9:35" x14ac:dyDescent="0.45">
      <c r="I98" t="s">
        <v>252</v>
      </c>
      <c r="J98" t="s">
        <v>413</v>
      </c>
      <c r="K98">
        <v>0</v>
      </c>
      <c r="L98" t="s">
        <v>254</v>
      </c>
      <c r="N98" t="s">
        <v>422</v>
      </c>
      <c r="O98" t="s">
        <v>413</v>
      </c>
      <c r="P98">
        <v>2.5727119340730506E-2</v>
      </c>
      <c r="Q98" t="s">
        <v>254</v>
      </c>
      <c r="S98" t="s">
        <v>423</v>
      </c>
      <c r="T98" t="s">
        <v>413</v>
      </c>
      <c r="U98">
        <v>2.3947295215002884E-2</v>
      </c>
      <c r="V98" t="s">
        <v>254</v>
      </c>
      <c r="X98">
        <v>2.0547945205479451E-2</v>
      </c>
      <c r="Y98">
        <v>1.8099097531263209E-2</v>
      </c>
      <c r="Z98" t="s">
        <v>413</v>
      </c>
      <c r="AA98" t="s">
        <v>25</v>
      </c>
      <c r="AC98" t="s">
        <v>22</v>
      </c>
      <c r="AD98" t="s">
        <v>413</v>
      </c>
      <c r="AE98">
        <v>2.1459757666207505E-2</v>
      </c>
      <c r="AG98" t="s">
        <v>97</v>
      </c>
      <c r="AH98" t="s">
        <v>413</v>
      </c>
      <c r="AI98">
        <v>0.20586110636602517</v>
      </c>
    </row>
    <row r="99" spans="9:35" x14ac:dyDescent="0.45">
      <c r="I99" t="s">
        <v>252</v>
      </c>
      <c r="J99" t="s">
        <v>414</v>
      </c>
      <c r="K99">
        <v>0</v>
      </c>
      <c r="L99" t="s">
        <v>254</v>
      </c>
      <c r="N99" t="s">
        <v>422</v>
      </c>
      <c r="O99" t="s">
        <v>414</v>
      </c>
      <c r="P99">
        <v>3.1146804888227204E-2</v>
      </c>
      <c r="Q99" t="s">
        <v>254</v>
      </c>
      <c r="S99" t="s">
        <v>423</v>
      </c>
      <c r="T99" t="s">
        <v>414</v>
      </c>
      <c r="U99">
        <v>2.8793009642577382E-2</v>
      </c>
      <c r="V99" t="s">
        <v>254</v>
      </c>
      <c r="X99">
        <v>2.4771689497716895E-2</v>
      </c>
      <c r="Y99">
        <v>9.7827942553597048E-3</v>
      </c>
      <c r="Z99" t="s">
        <v>414</v>
      </c>
      <c r="AA99" t="s">
        <v>25</v>
      </c>
      <c r="AC99" t="s">
        <v>22</v>
      </c>
      <c r="AD99" t="s">
        <v>414</v>
      </c>
      <c r="AE99">
        <v>2.1425280402942632E-2</v>
      </c>
      <c r="AG99" t="s">
        <v>97</v>
      </c>
      <c r="AH99" t="s">
        <v>414</v>
      </c>
      <c r="AI99">
        <v>0.2947027221455345</v>
      </c>
    </row>
    <row r="100" spans="9:35" x14ac:dyDescent="0.45">
      <c r="I100" t="s">
        <v>252</v>
      </c>
      <c r="J100" t="s">
        <v>415</v>
      </c>
      <c r="K100">
        <v>0</v>
      </c>
      <c r="L100" t="s">
        <v>254</v>
      </c>
      <c r="N100" t="s">
        <v>422</v>
      </c>
      <c r="O100" t="s">
        <v>415</v>
      </c>
      <c r="P100">
        <v>4.31761190741473E-3</v>
      </c>
      <c r="Q100" t="s">
        <v>254</v>
      </c>
      <c r="S100" t="s">
        <v>423</v>
      </c>
      <c r="T100" t="s">
        <v>415</v>
      </c>
      <c r="U100">
        <v>4.1199438315051417E-3</v>
      </c>
      <c r="V100" t="s">
        <v>254</v>
      </c>
      <c r="X100">
        <v>3.5388127853881279E-3</v>
      </c>
      <c r="Y100">
        <v>5.9087255218821738E-3</v>
      </c>
      <c r="Z100" t="s">
        <v>415</v>
      </c>
      <c r="AA100" t="s">
        <v>25</v>
      </c>
      <c r="AC100" t="s">
        <v>22</v>
      </c>
      <c r="AD100" t="s">
        <v>415</v>
      </c>
      <c r="AE100">
        <v>4.1125234349494791E-3</v>
      </c>
      <c r="AG100" t="s">
        <v>97</v>
      </c>
      <c r="AH100" t="s">
        <v>415</v>
      </c>
      <c r="AI100">
        <v>8.4630227908339517E-2</v>
      </c>
    </row>
    <row r="101" spans="9:35" x14ac:dyDescent="0.45">
      <c r="I101" t="s">
        <v>252</v>
      </c>
      <c r="J101" t="s">
        <v>416</v>
      </c>
      <c r="K101">
        <v>6.4038723485293526E-3</v>
      </c>
      <c r="L101" t="s">
        <v>254</v>
      </c>
      <c r="N101" t="s">
        <v>422</v>
      </c>
      <c r="O101" t="s">
        <v>416</v>
      </c>
      <c r="P101">
        <v>8.5232327838381788E-3</v>
      </c>
      <c r="Q101" t="s">
        <v>254</v>
      </c>
      <c r="S101" t="s">
        <v>423</v>
      </c>
      <c r="T101" t="s">
        <v>416</v>
      </c>
      <c r="U101">
        <v>8.239040986961408E-3</v>
      </c>
      <c r="V101" t="s">
        <v>254</v>
      </c>
      <c r="X101">
        <v>7.0776255707762558E-3</v>
      </c>
      <c r="Y101">
        <v>9.0018148820326695E-3</v>
      </c>
      <c r="Z101" t="s">
        <v>416</v>
      </c>
      <c r="AA101" t="s">
        <v>25</v>
      </c>
      <c r="AC101" t="s">
        <v>22</v>
      </c>
      <c r="AD101" t="s">
        <v>416</v>
      </c>
      <c r="AE101">
        <v>8.5682569926429156E-3</v>
      </c>
      <c r="AG101" t="s">
        <v>97</v>
      </c>
      <c r="AH101" t="s">
        <v>416</v>
      </c>
      <c r="AI101">
        <v>7.9188707784562995E-2</v>
      </c>
    </row>
    <row r="102" spans="9:35" x14ac:dyDescent="0.45">
      <c r="I102" t="s">
        <v>252</v>
      </c>
      <c r="J102" t="s">
        <v>417</v>
      </c>
      <c r="K102">
        <v>1.8568084035886397E-2</v>
      </c>
      <c r="L102" t="s">
        <v>254</v>
      </c>
      <c r="N102" t="s">
        <v>422</v>
      </c>
      <c r="O102" t="s">
        <v>417</v>
      </c>
      <c r="P102">
        <v>1.243096882230536E-2</v>
      </c>
      <c r="Q102" t="s">
        <v>254</v>
      </c>
      <c r="S102" t="s">
        <v>423</v>
      </c>
      <c r="T102" t="s">
        <v>417</v>
      </c>
      <c r="U102">
        <v>1.207865958376843E-2</v>
      </c>
      <c r="V102" t="s">
        <v>254</v>
      </c>
      <c r="X102">
        <v>1.0616438356164383E-2</v>
      </c>
      <c r="Y102">
        <v>1.3143060769543132E-2</v>
      </c>
      <c r="Z102" t="s">
        <v>417</v>
      </c>
      <c r="AA102" t="s">
        <v>25</v>
      </c>
      <c r="AC102" t="s">
        <v>22</v>
      </c>
      <c r="AD102" t="s">
        <v>417</v>
      </c>
      <c r="AE102">
        <v>1.2785028667649806E-2</v>
      </c>
      <c r="AG102" t="s">
        <v>97</v>
      </c>
      <c r="AH102" t="s">
        <v>417</v>
      </c>
      <c r="AI102">
        <v>8.0668699840730218E-2</v>
      </c>
    </row>
    <row r="103" spans="9:35" x14ac:dyDescent="0.45">
      <c r="I103" t="s">
        <v>252</v>
      </c>
      <c r="J103" t="s">
        <v>418</v>
      </c>
      <c r="K103">
        <v>6.5515329450327254E-3</v>
      </c>
      <c r="L103" t="s">
        <v>254</v>
      </c>
      <c r="N103" t="s">
        <v>422</v>
      </c>
      <c r="O103" t="s">
        <v>418</v>
      </c>
      <c r="P103">
        <v>4.1898215208638848E-3</v>
      </c>
      <c r="Q103" t="s">
        <v>254</v>
      </c>
      <c r="S103" t="s">
        <v>423</v>
      </c>
      <c r="T103" t="s">
        <v>418</v>
      </c>
      <c r="U103">
        <v>3.9982360424480265E-3</v>
      </c>
      <c r="V103" t="s">
        <v>254</v>
      </c>
      <c r="X103">
        <v>3.5388127853881279E-3</v>
      </c>
      <c r="Y103">
        <v>4.6139439292610376E-3</v>
      </c>
      <c r="Z103" t="s">
        <v>418</v>
      </c>
      <c r="AA103" t="s">
        <v>25</v>
      </c>
      <c r="AC103" t="s">
        <v>22</v>
      </c>
      <c r="AD103" t="s">
        <v>418</v>
      </c>
      <c r="AE103">
        <v>4.2043748081554795E-3</v>
      </c>
      <c r="AG103" t="s">
        <v>97</v>
      </c>
      <c r="AH103" t="s">
        <v>418</v>
      </c>
      <c r="AI103">
        <v>7.6650597053711245E-2</v>
      </c>
    </row>
    <row r="104" spans="9:35" x14ac:dyDescent="0.45">
      <c r="I104" t="s">
        <v>252</v>
      </c>
      <c r="J104" t="s">
        <v>419</v>
      </c>
      <c r="K104">
        <v>1.3234551289396075E-2</v>
      </c>
      <c r="L104" t="s">
        <v>254</v>
      </c>
      <c r="N104" t="s">
        <v>422</v>
      </c>
      <c r="O104" t="s">
        <v>419</v>
      </c>
      <c r="P104">
        <v>8.4239938906834257E-3</v>
      </c>
      <c r="Q104" t="s">
        <v>254</v>
      </c>
      <c r="S104" t="s">
        <v>423</v>
      </c>
      <c r="T104" t="s">
        <v>419</v>
      </c>
      <c r="U104">
        <v>8.1432231404651167E-3</v>
      </c>
      <c r="V104" t="s">
        <v>254</v>
      </c>
      <c r="X104">
        <v>7.0776255707762558E-3</v>
      </c>
      <c r="Y104">
        <v>1.0008867231849112E-2</v>
      </c>
      <c r="Z104" t="s">
        <v>419</v>
      </c>
      <c r="AA104" t="s">
        <v>25</v>
      </c>
      <c r="AC104" t="s">
        <v>22</v>
      </c>
      <c r="AD104" t="s">
        <v>419</v>
      </c>
      <c r="AE104">
        <v>8.4036328402033542E-3</v>
      </c>
      <c r="AG104" t="s">
        <v>97</v>
      </c>
      <c r="AH104" t="s">
        <v>419</v>
      </c>
      <c r="AI104">
        <v>7.9590932437562545E-2</v>
      </c>
    </row>
    <row r="105" spans="9:35" x14ac:dyDescent="0.45">
      <c r="I105" t="s">
        <v>252</v>
      </c>
      <c r="J105" t="s">
        <v>420</v>
      </c>
      <c r="K105">
        <v>3.9746287768223278E-3</v>
      </c>
      <c r="L105" t="s">
        <v>254</v>
      </c>
      <c r="N105" t="s">
        <v>422</v>
      </c>
      <c r="O105" t="s">
        <v>420</v>
      </c>
      <c r="P105">
        <v>8.7486588963055899E-3</v>
      </c>
      <c r="Q105" t="s">
        <v>254</v>
      </c>
      <c r="S105" t="s">
        <v>423</v>
      </c>
      <c r="T105" t="s">
        <v>420</v>
      </c>
      <c r="U105">
        <v>8.3249273270211421E-3</v>
      </c>
      <c r="V105" t="s">
        <v>254</v>
      </c>
      <c r="X105">
        <v>7.0776255707762558E-3</v>
      </c>
      <c r="Y105">
        <v>1.376989947708193E-2</v>
      </c>
      <c r="Z105" t="s">
        <v>420</v>
      </c>
      <c r="AA105" t="s">
        <v>25</v>
      </c>
      <c r="AC105" t="s">
        <v>22</v>
      </c>
      <c r="AD105" t="s">
        <v>420</v>
      </c>
      <c r="AE105">
        <v>8.6302720122139603E-3</v>
      </c>
      <c r="AG105" t="s">
        <v>97</v>
      </c>
      <c r="AH105" t="s">
        <v>420</v>
      </c>
      <c r="AI105">
        <v>7.2305314486669214E-2</v>
      </c>
    </row>
    <row r="106" spans="9:35" x14ac:dyDescent="0.45">
      <c r="I106" t="s">
        <v>252</v>
      </c>
      <c r="J106" t="s">
        <v>421</v>
      </c>
      <c r="K106">
        <v>0</v>
      </c>
      <c r="L106" t="s">
        <v>254</v>
      </c>
      <c r="N106" t="s">
        <v>422</v>
      </c>
      <c r="O106" t="s">
        <v>421</v>
      </c>
      <c r="P106">
        <v>2.8229797330429289E-2</v>
      </c>
      <c r="Q106" t="s">
        <v>254</v>
      </c>
      <c r="S106" t="s">
        <v>423</v>
      </c>
      <c r="T106" t="s">
        <v>421</v>
      </c>
      <c r="U106">
        <v>2.4994685761360526E-2</v>
      </c>
      <c r="V106" t="s">
        <v>254</v>
      </c>
      <c r="X106">
        <v>2.1232876712328767E-2</v>
      </c>
      <c r="Y106">
        <v>1.8702400782305319E-2</v>
      </c>
      <c r="Z106" t="s">
        <v>421</v>
      </c>
      <c r="AA106" t="s">
        <v>25</v>
      </c>
      <c r="AC106" t="s">
        <v>22</v>
      </c>
      <c r="AD106" t="s">
        <v>421</v>
      </c>
      <c r="AE106">
        <v>2.2314284150476777E-2</v>
      </c>
      <c r="AG106" t="s">
        <v>97</v>
      </c>
      <c r="AH106" t="s">
        <v>421</v>
      </c>
      <c r="AI106">
        <v>0.19559280053890871</v>
      </c>
    </row>
    <row r="107" spans="9:35" x14ac:dyDescent="0.45">
      <c r="AC107" t="s">
        <v>19</v>
      </c>
      <c r="AD107" t="s">
        <v>253</v>
      </c>
      <c r="AE107">
        <v>2.4395598085002249E-2</v>
      </c>
    </row>
    <row r="108" spans="9:35" x14ac:dyDescent="0.45">
      <c r="AC108" t="s">
        <v>19</v>
      </c>
      <c r="AD108" t="s">
        <v>255</v>
      </c>
      <c r="AE108">
        <v>3.5730378736559833E-3</v>
      </c>
    </row>
    <row r="109" spans="9:35" x14ac:dyDescent="0.45">
      <c r="AC109" t="s">
        <v>19</v>
      </c>
      <c r="AD109" t="s">
        <v>256</v>
      </c>
      <c r="AE109">
        <v>7.1637458762023425E-3</v>
      </c>
    </row>
    <row r="110" spans="9:35" x14ac:dyDescent="0.45">
      <c r="AC110" t="s">
        <v>19</v>
      </c>
      <c r="AD110" t="s">
        <v>257</v>
      </c>
      <c r="AE110">
        <v>1.0750604014200957E-2</v>
      </c>
    </row>
    <row r="111" spans="9:35" x14ac:dyDescent="0.45">
      <c r="AC111" t="s">
        <v>19</v>
      </c>
      <c r="AD111" t="s">
        <v>258</v>
      </c>
      <c r="AE111">
        <v>3.5820028502134417E-3</v>
      </c>
    </row>
    <row r="112" spans="9:35" x14ac:dyDescent="0.45">
      <c r="AC112" t="s">
        <v>19</v>
      </c>
      <c r="AD112" t="s">
        <v>259</v>
      </c>
      <c r="AE112">
        <v>7.1643928820462645E-3</v>
      </c>
    </row>
    <row r="113" spans="29:31" x14ac:dyDescent="0.45">
      <c r="AC113" t="s">
        <v>19</v>
      </c>
      <c r="AD113" t="s">
        <v>260</v>
      </c>
      <c r="AE113">
        <v>7.1721762544827974E-3</v>
      </c>
    </row>
    <row r="114" spans="29:31" x14ac:dyDescent="0.45">
      <c r="AC114" t="s">
        <v>19</v>
      </c>
      <c r="AD114" t="s">
        <v>261</v>
      </c>
      <c r="AE114">
        <v>2.1209885462618431E-2</v>
      </c>
    </row>
    <row r="115" spans="29:31" x14ac:dyDescent="0.45">
      <c r="AC115" t="s">
        <v>19</v>
      </c>
      <c r="AD115" t="s">
        <v>286</v>
      </c>
      <c r="AE115">
        <v>2.2061060703644643E-2</v>
      </c>
    </row>
    <row r="116" spans="29:31" x14ac:dyDescent="0.45">
      <c r="AC116" t="s">
        <v>19</v>
      </c>
      <c r="AD116" t="s">
        <v>287</v>
      </c>
      <c r="AE116">
        <v>3.2296815430522137E-3</v>
      </c>
    </row>
    <row r="117" spans="29:31" x14ac:dyDescent="0.45">
      <c r="AC117" t="s">
        <v>19</v>
      </c>
      <c r="AD117" t="s">
        <v>288</v>
      </c>
      <c r="AE117">
        <v>6.4722697077987824E-3</v>
      </c>
    </row>
    <row r="118" spans="29:31" x14ac:dyDescent="0.45">
      <c r="AC118" t="s">
        <v>19</v>
      </c>
      <c r="AD118" t="s">
        <v>289</v>
      </c>
      <c r="AE118">
        <v>9.7050672491622025E-3</v>
      </c>
    </row>
    <row r="119" spans="29:31" x14ac:dyDescent="0.45">
      <c r="AC119" t="s">
        <v>19</v>
      </c>
      <c r="AD119" t="s">
        <v>290</v>
      </c>
      <c r="AE119">
        <v>3.232914301411885E-3</v>
      </c>
    </row>
    <row r="120" spans="29:31" x14ac:dyDescent="0.45">
      <c r="AC120" t="s">
        <v>19</v>
      </c>
      <c r="AD120" t="s">
        <v>291</v>
      </c>
      <c r="AE120">
        <v>6.4662581738286562E-3</v>
      </c>
    </row>
    <row r="121" spans="29:31" x14ac:dyDescent="0.45">
      <c r="AC121" t="s">
        <v>19</v>
      </c>
      <c r="AD121" t="s">
        <v>292</v>
      </c>
      <c r="AE121">
        <v>6.4751328837035901E-3</v>
      </c>
    </row>
    <row r="122" spans="29:31" x14ac:dyDescent="0.45">
      <c r="AC122" t="s">
        <v>19</v>
      </c>
      <c r="AD122" t="s">
        <v>293</v>
      </c>
      <c r="AE122">
        <v>1.9151317210927762E-2</v>
      </c>
    </row>
    <row r="123" spans="29:31" x14ac:dyDescent="0.45">
      <c r="AC123" t="s">
        <v>19</v>
      </c>
      <c r="AD123" t="s">
        <v>294</v>
      </c>
      <c r="AE123">
        <v>2.4432411551340204E-2</v>
      </c>
    </row>
    <row r="124" spans="29:31" x14ac:dyDescent="0.45">
      <c r="AC124" t="s">
        <v>19</v>
      </c>
      <c r="AD124" t="s">
        <v>295</v>
      </c>
      <c r="AE124">
        <v>3.5675608551710924E-3</v>
      </c>
    </row>
    <row r="125" spans="29:31" x14ac:dyDescent="0.45">
      <c r="AC125" t="s">
        <v>19</v>
      </c>
      <c r="AD125" t="s">
        <v>296</v>
      </c>
      <c r="AE125">
        <v>7.1577780799408084E-3</v>
      </c>
    </row>
    <row r="126" spans="29:31" x14ac:dyDescent="0.45">
      <c r="AC126" t="s">
        <v>19</v>
      </c>
      <c r="AD126" t="s">
        <v>297</v>
      </c>
      <c r="AE126">
        <v>1.0730786917340819E-2</v>
      </c>
    </row>
    <row r="127" spans="29:31" x14ac:dyDescent="0.45">
      <c r="AC127" t="s">
        <v>19</v>
      </c>
      <c r="AD127" t="s">
        <v>298</v>
      </c>
      <c r="AE127">
        <v>3.5732902347939584E-3</v>
      </c>
    </row>
    <row r="128" spans="29:31" x14ac:dyDescent="0.45">
      <c r="AC128" t="s">
        <v>19</v>
      </c>
      <c r="AD128" t="s">
        <v>299</v>
      </c>
      <c r="AE128">
        <v>7.1447781637506797E-3</v>
      </c>
    </row>
    <row r="129" spans="29:31" x14ac:dyDescent="0.45">
      <c r="AC129" t="s">
        <v>19</v>
      </c>
      <c r="AD129" t="s">
        <v>300</v>
      </c>
      <c r="AE129">
        <v>7.1547004970102151E-3</v>
      </c>
    </row>
    <row r="130" spans="29:31" x14ac:dyDescent="0.45">
      <c r="AC130" t="s">
        <v>19</v>
      </c>
      <c r="AD130" t="s">
        <v>301</v>
      </c>
      <c r="AE130">
        <v>2.1210920477999422E-2</v>
      </c>
    </row>
    <row r="131" spans="29:31" x14ac:dyDescent="0.45">
      <c r="AC131" t="s">
        <v>19</v>
      </c>
      <c r="AD131" t="s">
        <v>302</v>
      </c>
      <c r="AE131">
        <v>2.3682791462922036E-2</v>
      </c>
    </row>
    <row r="132" spans="29:31" x14ac:dyDescent="0.45">
      <c r="AC132" t="s">
        <v>19</v>
      </c>
      <c r="AD132" t="s">
        <v>303</v>
      </c>
      <c r="AE132">
        <v>3.4533939736514372E-3</v>
      </c>
    </row>
    <row r="133" spans="29:31" x14ac:dyDescent="0.45">
      <c r="AC133" t="s">
        <v>19</v>
      </c>
      <c r="AD133" t="s">
        <v>304</v>
      </c>
      <c r="AE133">
        <v>6.9207834463373653E-3</v>
      </c>
    </row>
    <row r="134" spans="29:31" x14ac:dyDescent="0.45">
      <c r="AC134" t="s">
        <v>19</v>
      </c>
      <c r="AD134" t="s">
        <v>305</v>
      </c>
      <c r="AE134">
        <v>1.0370268134606019E-2</v>
      </c>
    </row>
    <row r="135" spans="29:31" x14ac:dyDescent="0.45">
      <c r="AC135" t="s">
        <v>19</v>
      </c>
      <c r="AD135" t="s">
        <v>306</v>
      </c>
      <c r="AE135">
        <v>3.4537794521258651E-3</v>
      </c>
    </row>
    <row r="136" spans="29:31" x14ac:dyDescent="0.45">
      <c r="AC136" t="s">
        <v>19</v>
      </c>
      <c r="AD136" t="s">
        <v>307</v>
      </c>
      <c r="AE136">
        <v>6.9054458690796829E-3</v>
      </c>
    </row>
    <row r="137" spans="29:31" x14ac:dyDescent="0.45">
      <c r="AC137" t="s">
        <v>19</v>
      </c>
      <c r="AD137" t="s">
        <v>308</v>
      </c>
      <c r="AE137">
        <v>6.906657562094784E-3</v>
      </c>
    </row>
    <row r="138" spans="29:31" x14ac:dyDescent="0.45">
      <c r="AC138" t="s">
        <v>19</v>
      </c>
      <c r="AD138" t="s">
        <v>309</v>
      </c>
      <c r="AE138">
        <v>2.0495156606258523E-2</v>
      </c>
    </row>
    <row r="139" spans="29:31" x14ac:dyDescent="0.45">
      <c r="AC139" t="s">
        <v>19</v>
      </c>
      <c r="AD139" t="s">
        <v>310</v>
      </c>
      <c r="AE139">
        <v>2.445360623936129E-2</v>
      </c>
    </row>
    <row r="140" spans="29:31" x14ac:dyDescent="0.45">
      <c r="AC140" t="s">
        <v>19</v>
      </c>
      <c r="AD140" t="s">
        <v>311</v>
      </c>
      <c r="AE140">
        <v>3.5637901726707994E-3</v>
      </c>
    </row>
    <row r="141" spans="29:31" x14ac:dyDescent="0.45">
      <c r="AC141" t="s">
        <v>19</v>
      </c>
      <c r="AD141" t="s">
        <v>312</v>
      </c>
      <c r="AE141">
        <v>7.144888839786894E-3</v>
      </c>
    </row>
    <row r="142" spans="29:31" x14ac:dyDescent="0.45">
      <c r="AC142" t="s">
        <v>19</v>
      </c>
      <c r="AD142" t="s">
        <v>313</v>
      </c>
      <c r="AE142">
        <v>1.0711892468507895E-2</v>
      </c>
    </row>
    <row r="143" spans="29:31" x14ac:dyDescent="0.45">
      <c r="AC143" t="s">
        <v>19</v>
      </c>
      <c r="AD143" t="s">
        <v>314</v>
      </c>
      <c r="AE143">
        <v>3.5676949163337079E-3</v>
      </c>
    </row>
    <row r="144" spans="29:31" x14ac:dyDescent="0.45">
      <c r="AC144" t="s">
        <v>19</v>
      </c>
      <c r="AD144" t="s">
        <v>315</v>
      </c>
      <c r="AE144">
        <v>7.1320632120969851E-3</v>
      </c>
    </row>
    <row r="145" spans="29:31" x14ac:dyDescent="0.45">
      <c r="AC145" t="s">
        <v>19</v>
      </c>
      <c r="AD145" t="s">
        <v>316</v>
      </c>
      <c r="AE145">
        <v>7.1327832639355698E-3</v>
      </c>
    </row>
    <row r="146" spans="29:31" x14ac:dyDescent="0.45">
      <c r="AC146" t="s">
        <v>19</v>
      </c>
      <c r="AD146" t="s">
        <v>317</v>
      </c>
      <c r="AE146">
        <v>2.1195618960105168E-2</v>
      </c>
    </row>
    <row r="147" spans="29:31" x14ac:dyDescent="0.45">
      <c r="AC147" t="s">
        <v>19</v>
      </c>
      <c r="AD147" t="s">
        <v>318</v>
      </c>
      <c r="AE147">
        <v>2.3644233434457197E-2</v>
      </c>
    </row>
    <row r="148" spans="29:31" x14ac:dyDescent="0.45">
      <c r="AC148" t="s">
        <v>19</v>
      </c>
      <c r="AD148" t="s">
        <v>319</v>
      </c>
      <c r="AE148">
        <v>3.4382306091986425E-3</v>
      </c>
    </row>
    <row r="149" spans="29:31" x14ac:dyDescent="0.45">
      <c r="AC149" t="s">
        <v>19</v>
      </c>
      <c r="AD149" t="s">
        <v>320</v>
      </c>
      <c r="AE149">
        <v>6.9077758092234475E-3</v>
      </c>
    </row>
    <row r="150" spans="29:31" x14ac:dyDescent="0.45">
      <c r="AC150" t="s">
        <v>19</v>
      </c>
      <c r="AD150" t="s">
        <v>321</v>
      </c>
      <c r="AE150">
        <v>1.0364475133057232E-2</v>
      </c>
    </row>
    <row r="151" spans="29:31" x14ac:dyDescent="0.45">
      <c r="AC151" t="s">
        <v>19</v>
      </c>
      <c r="AD151" t="s">
        <v>322</v>
      </c>
      <c r="AE151">
        <v>3.452774899384749E-3</v>
      </c>
    </row>
    <row r="152" spans="29:31" x14ac:dyDescent="0.45">
      <c r="AC152" t="s">
        <v>19</v>
      </c>
      <c r="AD152" t="s">
        <v>323</v>
      </c>
      <c r="AE152">
        <v>6.9008529034649824E-3</v>
      </c>
    </row>
    <row r="153" spans="29:31" x14ac:dyDescent="0.45">
      <c r="AC153" t="s">
        <v>19</v>
      </c>
      <c r="AD153" t="s">
        <v>324</v>
      </c>
      <c r="AE153">
        <v>6.8985177024956943E-3</v>
      </c>
    </row>
    <row r="154" spans="29:31" x14ac:dyDescent="0.45">
      <c r="AC154" t="s">
        <v>19</v>
      </c>
      <c r="AD154" t="s">
        <v>325</v>
      </c>
      <c r="AE154">
        <v>2.052883470810786E-2</v>
      </c>
    </row>
    <row r="155" spans="29:31" x14ac:dyDescent="0.45">
      <c r="AC155" t="s">
        <v>19</v>
      </c>
      <c r="AD155" t="s">
        <v>326</v>
      </c>
      <c r="AE155">
        <v>2.4439674861368808E-2</v>
      </c>
    </row>
    <row r="156" spans="29:31" x14ac:dyDescent="0.45">
      <c r="AC156" t="s">
        <v>19</v>
      </c>
      <c r="AD156" t="s">
        <v>327</v>
      </c>
      <c r="AE156">
        <v>3.5519802367630954E-3</v>
      </c>
    </row>
    <row r="157" spans="29:31" x14ac:dyDescent="0.45">
      <c r="AC157" t="s">
        <v>19</v>
      </c>
      <c r="AD157" t="s">
        <v>328</v>
      </c>
      <c r="AE157">
        <v>7.1320585804889019E-3</v>
      </c>
    </row>
    <row r="158" spans="29:31" x14ac:dyDescent="0.45">
      <c r="AC158" t="s">
        <v>19</v>
      </c>
      <c r="AD158" t="s">
        <v>329</v>
      </c>
      <c r="AE158">
        <v>1.0711635821121786E-2</v>
      </c>
    </row>
    <row r="159" spans="29:31" x14ac:dyDescent="0.45">
      <c r="AC159" t="s">
        <v>19</v>
      </c>
      <c r="AD159" t="s">
        <v>330</v>
      </c>
      <c r="AE159">
        <v>3.569633712680596E-3</v>
      </c>
    </row>
    <row r="160" spans="29:31" x14ac:dyDescent="0.45">
      <c r="AC160" t="s">
        <v>19</v>
      </c>
      <c r="AD160" t="s">
        <v>331</v>
      </c>
      <c r="AE160">
        <v>7.1329040973390472E-3</v>
      </c>
    </row>
    <row r="161" spans="29:31" x14ac:dyDescent="0.45">
      <c r="AC161" t="s">
        <v>19</v>
      </c>
      <c r="AD161" t="s">
        <v>332</v>
      </c>
      <c r="AE161">
        <v>7.1296043486112131E-3</v>
      </c>
    </row>
    <row r="162" spans="29:31" x14ac:dyDescent="0.45">
      <c r="AC162" t="s">
        <v>19</v>
      </c>
      <c r="AD162" t="s">
        <v>333</v>
      </c>
      <c r="AE162">
        <v>2.1224910512777185E-2</v>
      </c>
    </row>
    <row r="163" spans="29:31" x14ac:dyDescent="0.45">
      <c r="AC163" t="s">
        <v>19</v>
      </c>
      <c r="AD163" t="s">
        <v>334</v>
      </c>
      <c r="AE163">
        <v>2.4431688982631854E-2</v>
      </c>
    </row>
    <row r="164" spans="29:31" x14ac:dyDescent="0.45">
      <c r="AC164" t="s">
        <v>19</v>
      </c>
      <c r="AD164" t="s">
        <v>335</v>
      </c>
      <c r="AE164">
        <v>3.5523707134948665E-3</v>
      </c>
    </row>
    <row r="165" spans="29:31" x14ac:dyDescent="0.45">
      <c r="AC165" t="s">
        <v>19</v>
      </c>
      <c r="AD165" t="s">
        <v>336</v>
      </c>
      <c r="AE165">
        <v>7.136390212703396E-3</v>
      </c>
    </row>
    <row r="166" spans="29:31" x14ac:dyDescent="0.45">
      <c r="AC166" t="s">
        <v>19</v>
      </c>
      <c r="AD166" t="s">
        <v>337</v>
      </c>
      <c r="AE166">
        <v>1.0713211464386011E-2</v>
      </c>
    </row>
    <row r="167" spans="29:31" x14ac:dyDescent="0.45">
      <c r="AC167" t="s">
        <v>19</v>
      </c>
      <c r="AD167" t="s">
        <v>338</v>
      </c>
      <c r="AE167">
        <v>3.5698215151629253E-3</v>
      </c>
    </row>
    <row r="168" spans="29:31" x14ac:dyDescent="0.45">
      <c r="AC168" t="s">
        <v>19</v>
      </c>
      <c r="AD168" t="s">
        <v>339</v>
      </c>
      <c r="AE168">
        <v>7.134533027750997E-3</v>
      </c>
    </row>
    <row r="169" spans="29:31" x14ac:dyDescent="0.45">
      <c r="AC169" t="s">
        <v>19</v>
      </c>
      <c r="AD169" t="s">
        <v>340</v>
      </c>
      <c r="AE169">
        <v>7.1312737760253859E-3</v>
      </c>
    </row>
    <row r="170" spans="29:31" x14ac:dyDescent="0.45">
      <c r="AC170" t="s">
        <v>19</v>
      </c>
      <c r="AD170" t="s">
        <v>341</v>
      </c>
      <c r="AE170">
        <v>2.1214423960711336E-2</v>
      </c>
    </row>
    <row r="171" spans="29:31" x14ac:dyDescent="0.45">
      <c r="AC171" t="s">
        <v>19</v>
      </c>
      <c r="AD171" t="s">
        <v>366</v>
      </c>
      <c r="AE171">
        <v>2.3640621820964585E-2</v>
      </c>
    </row>
    <row r="172" spans="29:31" x14ac:dyDescent="0.45">
      <c r="AC172" t="s">
        <v>19</v>
      </c>
      <c r="AD172" t="s">
        <v>367</v>
      </c>
      <c r="AE172">
        <v>3.4395125096334852E-3</v>
      </c>
    </row>
    <row r="173" spans="29:31" x14ac:dyDescent="0.45">
      <c r="AC173" t="s">
        <v>19</v>
      </c>
      <c r="AD173" t="s">
        <v>368</v>
      </c>
      <c r="AE173">
        <v>6.9088923153594927E-3</v>
      </c>
    </row>
    <row r="174" spans="29:31" x14ac:dyDescent="0.45">
      <c r="AC174" t="s">
        <v>19</v>
      </c>
      <c r="AD174" t="s">
        <v>369</v>
      </c>
      <c r="AE174">
        <v>1.0366403093144355E-2</v>
      </c>
    </row>
    <row r="175" spans="29:31" x14ac:dyDescent="0.45">
      <c r="AC175" t="s">
        <v>19</v>
      </c>
      <c r="AD175" t="s">
        <v>370</v>
      </c>
      <c r="AE175">
        <v>3.4534073338774044E-3</v>
      </c>
    </row>
    <row r="176" spans="29:31" x14ac:dyDescent="0.45">
      <c r="AC176" t="s">
        <v>19</v>
      </c>
      <c r="AD176" t="s">
        <v>371</v>
      </c>
      <c r="AE176">
        <v>6.9026905968695819E-3</v>
      </c>
    </row>
    <row r="177" spans="29:31" x14ac:dyDescent="0.45">
      <c r="AC177" t="s">
        <v>19</v>
      </c>
      <c r="AD177" t="s">
        <v>372</v>
      </c>
      <c r="AE177">
        <v>6.9011437627753388E-3</v>
      </c>
    </row>
    <row r="178" spans="29:31" x14ac:dyDescent="0.45">
      <c r="AC178" t="s">
        <v>19</v>
      </c>
      <c r="AD178" t="s">
        <v>373</v>
      </c>
      <c r="AE178">
        <v>2.0528105951306181E-2</v>
      </c>
    </row>
    <row r="179" spans="29:31" x14ac:dyDescent="0.45">
      <c r="AC179" t="s">
        <v>19</v>
      </c>
      <c r="AD179" t="s">
        <v>398</v>
      </c>
      <c r="AE179">
        <v>2.4426264456493714E-2</v>
      </c>
    </row>
    <row r="180" spans="29:31" x14ac:dyDescent="0.45">
      <c r="AC180" t="s">
        <v>19</v>
      </c>
      <c r="AD180" t="s">
        <v>399</v>
      </c>
      <c r="AE180">
        <v>3.5548504641611067E-3</v>
      </c>
    </row>
    <row r="181" spans="29:31" x14ac:dyDescent="0.45">
      <c r="AC181" t="s">
        <v>19</v>
      </c>
      <c r="AD181" t="s">
        <v>400</v>
      </c>
      <c r="AE181">
        <v>7.1422141547188333E-3</v>
      </c>
    </row>
    <row r="182" spans="29:31" x14ac:dyDescent="0.45">
      <c r="AC182" t="s">
        <v>19</v>
      </c>
      <c r="AD182" t="s">
        <v>401</v>
      </c>
      <c r="AE182">
        <v>1.0712371350290137E-2</v>
      </c>
    </row>
    <row r="183" spans="29:31" x14ac:dyDescent="0.45">
      <c r="AC183" t="s">
        <v>19</v>
      </c>
      <c r="AD183" t="s">
        <v>402</v>
      </c>
      <c r="AE183">
        <v>3.5680979040844467E-3</v>
      </c>
    </row>
    <row r="184" spans="29:31" x14ac:dyDescent="0.45">
      <c r="AC184" t="s">
        <v>19</v>
      </c>
      <c r="AD184" t="s">
        <v>403</v>
      </c>
      <c r="AE184">
        <v>7.1323529454392891E-3</v>
      </c>
    </row>
    <row r="185" spans="29:31" x14ac:dyDescent="0.45">
      <c r="AC185" t="s">
        <v>19</v>
      </c>
      <c r="AD185" t="s">
        <v>404</v>
      </c>
      <c r="AE185">
        <v>7.1328409910875702E-3</v>
      </c>
    </row>
    <row r="186" spans="29:31" x14ac:dyDescent="0.45">
      <c r="AC186" t="s">
        <v>19</v>
      </c>
      <c r="AD186" t="s">
        <v>405</v>
      </c>
      <c r="AE186">
        <v>2.1217563065022409E-2</v>
      </c>
    </row>
    <row r="187" spans="29:31" x14ac:dyDescent="0.45">
      <c r="AC187" t="s">
        <v>19</v>
      </c>
      <c r="AD187" t="s">
        <v>406</v>
      </c>
      <c r="AE187">
        <v>2.3601944688261496E-2</v>
      </c>
    </row>
    <row r="188" spans="29:31" x14ac:dyDescent="0.45">
      <c r="AC188" t="s">
        <v>19</v>
      </c>
      <c r="AD188" t="s">
        <v>407</v>
      </c>
      <c r="AE188">
        <v>3.4495549500944142E-3</v>
      </c>
    </row>
    <row r="189" spans="29:31" x14ac:dyDescent="0.45">
      <c r="AC189" t="s">
        <v>19</v>
      </c>
      <c r="AD189" t="s">
        <v>408</v>
      </c>
      <c r="AE189">
        <v>6.9240443207816407E-3</v>
      </c>
    </row>
    <row r="190" spans="29:31" x14ac:dyDescent="0.45">
      <c r="AC190" t="s">
        <v>19</v>
      </c>
      <c r="AD190" t="s">
        <v>409</v>
      </c>
      <c r="AE190">
        <v>1.0388103253298267E-2</v>
      </c>
    </row>
    <row r="191" spans="29:31" x14ac:dyDescent="0.45">
      <c r="AC191" t="s">
        <v>19</v>
      </c>
      <c r="AD191" t="s">
        <v>410</v>
      </c>
      <c r="AE191">
        <v>3.4605527247727878E-3</v>
      </c>
    </row>
    <row r="192" spans="29:31" x14ac:dyDescent="0.45">
      <c r="AC192" t="s">
        <v>19</v>
      </c>
      <c r="AD192" t="s">
        <v>411</v>
      </c>
      <c r="AE192">
        <v>6.9202010795753792E-3</v>
      </c>
    </row>
    <row r="193" spans="29:31" x14ac:dyDescent="0.45">
      <c r="AC193" t="s">
        <v>19</v>
      </c>
      <c r="AD193" t="s">
        <v>412</v>
      </c>
      <c r="AE193">
        <v>6.9308196206441536E-3</v>
      </c>
    </row>
    <row r="194" spans="29:31" x14ac:dyDescent="0.45">
      <c r="AC194" t="s">
        <v>19</v>
      </c>
      <c r="AD194" t="s">
        <v>413</v>
      </c>
      <c r="AE194">
        <v>2.054638336964636E-2</v>
      </c>
    </row>
    <row r="195" spans="29:31" x14ac:dyDescent="0.45">
      <c r="AC195" t="s">
        <v>19</v>
      </c>
      <c r="AD195" t="s">
        <v>414</v>
      </c>
      <c r="AE195">
        <v>2.4416657413212691E-2</v>
      </c>
    </row>
    <row r="196" spans="29:31" x14ac:dyDescent="0.45">
      <c r="AC196" t="s">
        <v>19</v>
      </c>
      <c r="AD196" t="s">
        <v>415</v>
      </c>
      <c r="AE196">
        <v>3.5659298573304079E-3</v>
      </c>
    </row>
    <row r="197" spans="29:31" x14ac:dyDescent="0.45">
      <c r="AC197" t="s">
        <v>19</v>
      </c>
      <c r="AD197" t="s">
        <v>416</v>
      </c>
      <c r="AE197">
        <v>7.1572589045875478E-3</v>
      </c>
    </row>
    <row r="198" spans="29:31" x14ac:dyDescent="0.45">
      <c r="AC198" t="s">
        <v>19</v>
      </c>
      <c r="AD198" t="s">
        <v>417</v>
      </c>
      <c r="AE198">
        <v>1.07309036300797E-2</v>
      </c>
    </row>
    <row r="199" spans="29:31" x14ac:dyDescent="0.45">
      <c r="AC199" t="s">
        <v>19</v>
      </c>
      <c r="AD199" t="s">
        <v>418</v>
      </c>
      <c r="AE199">
        <v>3.5727272980773136E-3</v>
      </c>
    </row>
    <row r="200" spans="29:31" x14ac:dyDescent="0.45">
      <c r="AC200" t="s">
        <v>19</v>
      </c>
      <c r="AD200" t="s">
        <v>419</v>
      </c>
      <c r="AE200">
        <v>7.1450759302600121E-3</v>
      </c>
    </row>
    <row r="201" spans="29:31" x14ac:dyDescent="0.45">
      <c r="AC201" t="s">
        <v>19</v>
      </c>
      <c r="AD201" t="s">
        <v>420</v>
      </c>
      <c r="AE201">
        <v>7.1618483125216771E-3</v>
      </c>
    </row>
    <row r="202" spans="29:31" x14ac:dyDescent="0.45">
      <c r="AC202" t="s">
        <v>19</v>
      </c>
      <c r="AD202" t="s">
        <v>421</v>
      </c>
      <c r="AE202">
        <v>2.1220864479047526E-2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A90B8-34EC-431F-9367-AE85A4112F98}">
  <dimension ref="A9:AN20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130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157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2.5550017394375114E-2</v>
      </c>
      <c r="Q11" t="s">
        <v>254</v>
      </c>
      <c r="S11" t="s">
        <v>423</v>
      </c>
      <c r="T11" t="s">
        <v>253</v>
      </c>
      <c r="U11">
        <v>2.6314698197757971E-2</v>
      </c>
      <c r="V11" t="s">
        <v>254</v>
      </c>
      <c r="X11">
        <v>2.4771689497716895E-2</v>
      </c>
      <c r="Y11">
        <v>9.7827942553597048E-3</v>
      </c>
      <c r="Z11" t="s">
        <v>253</v>
      </c>
      <c r="AA11" t="s">
        <v>25</v>
      </c>
      <c r="AC11" t="s">
        <v>22</v>
      </c>
      <c r="AD11" t="s">
        <v>253</v>
      </c>
      <c r="AE11">
        <v>2.2606998255070062E-2</v>
      </c>
      <c r="AG11" t="s">
        <v>97</v>
      </c>
      <c r="AH11" t="s">
        <v>253</v>
      </c>
      <c r="AI11">
        <v>0.29325982533716588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3.571492353764361E-3</v>
      </c>
      <c r="Q12" t="s">
        <v>254</v>
      </c>
      <c r="S12" t="s">
        <v>423</v>
      </c>
      <c r="T12" t="s">
        <v>255</v>
      </c>
      <c r="U12">
        <v>3.7559791137912564E-3</v>
      </c>
      <c r="V12" t="s">
        <v>254</v>
      </c>
      <c r="X12">
        <v>3.5388127853881279E-3</v>
      </c>
      <c r="Y12">
        <v>5.9087255218821738E-3</v>
      </c>
      <c r="Z12" t="s">
        <v>255</v>
      </c>
      <c r="AA12" t="s">
        <v>25</v>
      </c>
      <c r="AC12" t="s">
        <v>22</v>
      </c>
      <c r="AD12" t="s">
        <v>255</v>
      </c>
      <c r="AE12">
        <v>4.4180407876775827E-3</v>
      </c>
      <c r="AG12" t="s">
        <v>97</v>
      </c>
      <c r="AH12" t="s">
        <v>255</v>
      </c>
      <c r="AI12">
        <v>5.9964938978160909E-2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4.62783912320343E-3</v>
      </c>
      <c r="L13" t="s">
        <v>254</v>
      </c>
      <c r="N13" t="s">
        <v>422</v>
      </c>
      <c r="O13" t="s">
        <v>256</v>
      </c>
      <c r="P13">
        <v>7.0455228010805641E-3</v>
      </c>
      <c r="Q13" t="s">
        <v>254</v>
      </c>
      <c r="S13" t="s">
        <v>423</v>
      </c>
      <c r="T13" t="s">
        <v>256</v>
      </c>
      <c r="U13">
        <v>7.4238637563069747E-3</v>
      </c>
      <c r="V13" t="s">
        <v>254</v>
      </c>
      <c r="X13">
        <v>7.0776255707762558E-3</v>
      </c>
      <c r="Y13">
        <v>9.0018148820326695E-3</v>
      </c>
      <c r="Z13" t="s">
        <v>256</v>
      </c>
      <c r="AA13" t="s">
        <v>25</v>
      </c>
      <c r="AC13" t="s">
        <v>22</v>
      </c>
      <c r="AD13" t="s">
        <v>256</v>
      </c>
      <c r="AE13">
        <v>9.0748516748292811E-3</v>
      </c>
      <c r="AG13" t="s">
        <v>97</v>
      </c>
      <c r="AH13" t="s">
        <v>256</v>
      </c>
      <c r="AI13">
        <v>5.9891306588249815E-2</v>
      </c>
    </row>
    <row r="14" spans="1:40" x14ac:dyDescent="0.45">
      <c r="C14" t="s">
        <v>165</v>
      </c>
      <c r="E14" t="s">
        <v>246</v>
      </c>
      <c r="G14" t="s">
        <v>155</v>
      </c>
      <c r="I14" t="s">
        <v>252</v>
      </c>
      <c r="J14" t="s">
        <v>257</v>
      </c>
      <c r="K14">
        <v>1.5970968002535522E-2</v>
      </c>
      <c r="L14" t="s">
        <v>254</v>
      </c>
      <c r="N14" t="s">
        <v>422</v>
      </c>
      <c r="O14" t="s">
        <v>257</v>
      </c>
      <c r="P14">
        <v>1.0364520942325371E-2</v>
      </c>
      <c r="Q14" t="s">
        <v>254</v>
      </c>
      <c r="S14" t="s">
        <v>423</v>
      </c>
      <c r="T14" t="s">
        <v>257</v>
      </c>
      <c r="U14">
        <v>1.1034451381357873E-2</v>
      </c>
      <c r="V14" t="s">
        <v>254</v>
      </c>
      <c r="X14">
        <v>1.0616438356164383E-2</v>
      </c>
      <c r="Y14">
        <v>1.3143060769543132E-2</v>
      </c>
      <c r="Z14" t="s">
        <v>257</v>
      </c>
      <c r="AA14" t="s">
        <v>25</v>
      </c>
      <c r="AC14" t="s">
        <v>22</v>
      </c>
      <c r="AD14" t="s">
        <v>257</v>
      </c>
      <c r="AE14">
        <v>1.3679640726332236E-2</v>
      </c>
      <c r="AG14" t="s">
        <v>97</v>
      </c>
      <c r="AH14" t="s">
        <v>257</v>
      </c>
      <c r="AI14">
        <v>5.6247175012977824E-2</v>
      </c>
    </row>
    <row r="15" spans="1:40" x14ac:dyDescent="0.45">
      <c r="C15" t="s">
        <v>169</v>
      </c>
      <c r="E15" t="s">
        <v>247</v>
      </c>
      <c r="G15" t="s">
        <v>155</v>
      </c>
      <c r="I15" t="s">
        <v>252</v>
      </c>
      <c r="J15" t="s">
        <v>258</v>
      </c>
      <c r="K15">
        <v>5.454637530262727E-3</v>
      </c>
      <c r="L15" t="s">
        <v>254</v>
      </c>
      <c r="N15" t="s">
        <v>422</v>
      </c>
      <c r="O15" t="s">
        <v>258</v>
      </c>
      <c r="P15">
        <v>3.5073755161339351E-3</v>
      </c>
      <c r="Q15" t="s">
        <v>254</v>
      </c>
      <c r="S15" t="s">
        <v>423</v>
      </c>
      <c r="T15" t="s">
        <v>258</v>
      </c>
      <c r="U15">
        <v>3.7274210855800941E-3</v>
      </c>
      <c r="V15" t="s">
        <v>254</v>
      </c>
      <c r="X15">
        <v>3.5388127853881279E-3</v>
      </c>
      <c r="Y15">
        <v>4.6139439292610376E-3</v>
      </c>
      <c r="Z15" t="s">
        <v>258</v>
      </c>
      <c r="AA15" t="s">
        <v>25</v>
      </c>
      <c r="AC15" t="s">
        <v>22</v>
      </c>
      <c r="AD15" t="s">
        <v>258</v>
      </c>
      <c r="AE15">
        <v>4.5391812930857403E-3</v>
      </c>
      <c r="AG15" t="s">
        <v>97</v>
      </c>
      <c r="AH15" t="s">
        <v>258</v>
      </c>
      <c r="AI15">
        <v>6.0035937988137444E-2</v>
      </c>
    </row>
    <row r="16" spans="1:40" x14ac:dyDescent="0.45">
      <c r="C16" t="s">
        <v>171</v>
      </c>
      <c r="E16" t="s">
        <v>248</v>
      </c>
      <c r="G16" t="s">
        <v>155</v>
      </c>
      <c r="I16" t="s">
        <v>252</v>
      </c>
      <c r="J16" t="s">
        <v>259</v>
      </c>
      <c r="K16">
        <v>1.1342405156971672E-2</v>
      </c>
      <c r="L16" t="s">
        <v>254</v>
      </c>
      <c r="N16" t="s">
        <v>422</v>
      </c>
      <c r="O16" t="s">
        <v>259</v>
      </c>
      <c r="P16">
        <v>6.9493087513025171E-3</v>
      </c>
      <c r="Q16" t="s">
        <v>254</v>
      </c>
      <c r="S16" t="s">
        <v>423</v>
      </c>
      <c r="T16" t="s">
        <v>259</v>
      </c>
      <c r="U16">
        <v>7.3674033041907852E-3</v>
      </c>
      <c r="V16" t="s">
        <v>254</v>
      </c>
      <c r="X16">
        <v>7.0776255707762558E-3</v>
      </c>
      <c r="Y16">
        <v>1.0008867231849112E-2</v>
      </c>
      <c r="Z16" t="s">
        <v>259</v>
      </c>
      <c r="AA16" t="s">
        <v>25</v>
      </c>
      <c r="AC16" t="s">
        <v>22</v>
      </c>
      <c r="AD16" t="s">
        <v>259</v>
      </c>
      <c r="AE16">
        <v>9.0835944322065452E-3</v>
      </c>
      <c r="AG16" t="s">
        <v>97</v>
      </c>
      <c r="AH16" t="s">
        <v>259</v>
      </c>
      <c r="AI16">
        <v>6.308444745243813E-2</v>
      </c>
    </row>
    <row r="17" spans="3:35" x14ac:dyDescent="0.45">
      <c r="C17" t="s">
        <v>173</v>
      </c>
      <c r="E17" t="s">
        <v>249</v>
      </c>
      <c r="G17" t="s">
        <v>155</v>
      </c>
      <c r="I17" t="s">
        <v>252</v>
      </c>
      <c r="J17" t="s">
        <v>260</v>
      </c>
      <c r="K17">
        <v>4.5986949584016796E-3</v>
      </c>
      <c r="L17" t="s">
        <v>254</v>
      </c>
      <c r="N17" t="s">
        <v>422</v>
      </c>
      <c r="O17" t="s">
        <v>260</v>
      </c>
      <c r="P17">
        <v>7.0448551307419113E-3</v>
      </c>
      <c r="Q17" t="s">
        <v>254</v>
      </c>
      <c r="S17" t="s">
        <v>423</v>
      </c>
      <c r="T17" t="s">
        <v>260</v>
      </c>
      <c r="U17">
        <v>7.2244896298709121E-3</v>
      </c>
      <c r="V17" t="s">
        <v>254</v>
      </c>
      <c r="X17">
        <v>7.0776255707762558E-3</v>
      </c>
      <c r="Y17">
        <v>1.376989947708193E-2</v>
      </c>
      <c r="Z17" t="s">
        <v>260</v>
      </c>
      <c r="AA17" t="s">
        <v>25</v>
      </c>
      <c r="AC17" t="s">
        <v>22</v>
      </c>
      <c r="AD17" t="s">
        <v>260</v>
      </c>
      <c r="AE17">
        <v>9.1887683459026138E-3</v>
      </c>
      <c r="AG17" t="s">
        <v>97</v>
      </c>
      <c r="AH17" t="s">
        <v>260</v>
      </c>
      <c r="AI17">
        <v>5.3910167132447562E-2</v>
      </c>
    </row>
    <row r="18" spans="3:35" x14ac:dyDescent="0.45">
      <c r="C18" t="s">
        <v>164</v>
      </c>
      <c r="E18" t="s">
        <v>250</v>
      </c>
      <c r="G18" t="s">
        <v>155</v>
      </c>
      <c r="I18" t="s">
        <v>252</v>
      </c>
      <c r="J18" t="s">
        <v>261</v>
      </c>
      <c r="K18">
        <v>0</v>
      </c>
      <c r="L18" t="s">
        <v>254</v>
      </c>
      <c r="N18" t="s">
        <v>422</v>
      </c>
      <c r="O18" t="s">
        <v>261</v>
      </c>
      <c r="P18">
        <v>2.2397691727014665E-2</v>
      </c>
      <c r="Q18" t="s">
        <v>254</v>
      </c>
      <c r="S18" t="s">
        <v>423</v>
      </c>
      <c r="T18" t="s">
        <v>261</v>
      </c>
      <c r="U18">
        <v>2.2005210993578238E-2</v>
      </c>
      <c r="V18" t="s">
        <v>254</v>
      </c>
      <c r="X18">
        <v>2.1232876712328767E-2</v>
      </c>
      <c r="Y18">
        <v>1.8702400782305319E-2</v>
      </c>
      <c r="Z18" t="s">
        <v>261</v>
      </c>
      <c r="AA18" t="s">
        <v>25</v>
      </c>
      <c r="AC18" t="s">
        <v>22</v>
      </c>
      <c r="AD18" t="s">
        <v>261</v>
      </c>
      <c r="AE18">
        <v>2.342274434856563E-2</v>
      </c>
      <c r="AG18" t="s">
        <v>97</v>
      </c>
      <c r="AH18" t="s">
        <v>261</v>
      </c>
      <c r="AI18">
        <v>0.18937647676882352</v>
      </c>
    </row>
    <row r="19" spans="3:35" x14ac:dyDescent="0.45">
      <c r="C19" t="s">
        <v>168</v>
      </c>
      <c r="I19" t="s">
        <v>252</v>
      </c>
      <c r="J19" t="s">
        <v>286</v>
      </c>
      <c r="K19">
        <v>0</v>
      </c>
      <c r="L19" t="s">
        <v>254</v>
      </c>
      <c r="N19" t="s">
        <v>422</v>
      </c>
      <c r="O19" t="s">
        <v>286</v>
      </c>
      <c r="P19">
        <v>2.6875347164954114E-2</v>
      </c>
      <c r="Q19" t="s">
        <v>254</v>
      </c>
      <c r="S19" t="s">
        <v>423</v>
      </c>
      <c r="T19" t="s">
        <v>286</v>
      </c>
      <c r="U19">
        <v>2.7252085270587752E-2</v>
      </c>
      <c r="V19" t="s">
        <v>254</v>
      </c>
      <c r="X19">
        <v>2.2374429223744292E-2</v>
      </c>
      <c r="Y19">
        <v>8.8360722306474754E-3</v>
      </c>
      <c r="Z19" t="s">
        <v>286</v>
      </c>
      <c r="AA19" t="s">
        <v>25</v>
      </c>
      <c r="AC19" t="s">
        <v>22</v>
      </c>
      <c r="AD19" t="s">
        <v>286</v>
      </c>
      <c r="AE19">
        <v>2.1109717328878161E-2</v>
      </c>
      <c r="AG19" t="s">
        <v>97</v>
      </c>
      <c r="AH19" t="s">
        <v>286</v>
      </c>
      <c r="AI19">
        <v>0.29113480752506327</v>
      </c>
    </row>
    <row r="20" spans="3:35" x14ac:dyDescent="0.45">
      <c r="C20" t="s">
        <v>177</v>
      </c>
      <c r="I20" t="s">
        <v>252</v>
      </c>
      <c r="J20" t="s">
        <v>287</v>
      </c>
      <c r="K20">
        <v>8.3849719630973629E-5</v>
      </c>
      <c r="L20" t="s">
        <v>254</v>
      </c>
      <c r="N20" t="s">
        <v>422</v>
      </c>
      <c r="O20" t="s">
        <v>287</v>
      </c>
      <c r="P20">
        <v>3.8881604605765616E-3</v>
      </c>
      <c r="Q20" t="s">
        <v>254</v>
      </c>
      <c r="S20" t="s">
        <v>423</v>
      </c>
      <c r="T20" t="s">
        <v>287</v>
      </c>
      <c r="U20">
        <v>3.9499288171013164E-3</v>
      </c>
      <c r="V20" t="s">
        <v>254</v>
      </c>
      <c r="X20">
        <v>3.1963470319634705E-3</v>
      </c>
      <c r="Y20">
        <v>5.3369133746032542E-3</v>
      </c>
      <c r="Z20" t="s">
        <v>287</v>
      </c>
      <c r="AA20" t="s">
        <v>25</v>
      </c>
      <c r="AC20" t="s">
        <v>22</v>
      </c>
      <c r="AD20" t="s">
        <v>287</v>
      </c>
      <c r="AE20">
        <v>4.0710306204245848E-3</v>
      </c>
      <c r="AG20" t="s">
        <v>97</v>
      </c>
      <c r="AH20" t="s">
        <v>287</v>
      </c>
      <c r="AI20">
        <v>6.8359075254840862E-2</v>
      </c>
    </row>
    <row r="21" spans="3:35" x14ac:dyDescent="0.45">
      <c r="C21" t="s">
        <v>179</v>
      </c>
      <c r="I21" t="s">
        <v>252</v>
      </c>
      <c r="J21" t="s">
        <v>288</v>
      </c>
      <c r="K21">
        <v>9.6888225697236499E-3</v>
      </c>
      <c r="L21" t="s">
        <v>254</v>
      </c>
      <c r="N21" t="s">
        <v>422</v>
      </c>
      <c r="O21" t="s">
        <v>288</v>
      </c>
      <c r="P21">
        <v>7.7173957406902237E-3</v>
      </c>
      <c r="Q21" t="s">
        <v>254</v>
      </c>
      <c r="S21" t="s">
        <v>423</v>
      </c>
      <c r="T21" t="s">
        <v>288</v>
      </c>
      <c r="U21">
        <v>7.9199453590623053E-3</v>
      </c>
      <c r="V21" t="s">
        <v>254</v>
      </c>
      <c r="X21">
        <v>6.392694063926941E-3</v>
      </c>
      <c r="Y21">
        <v>8.1306715063520895E-3</v>
      </c>
      <c r="Z21" t="s">
        <v>288</v>
      </c>
      <c r="AA21" t="s">
        <v>25</v>
      </c>
      <c r="AC21" t="s">
        <v>22</v>
      </c>
      <c r="AD21" t="s">
        <v>288</v>
      </c>
      <c r="AE21">
        <v>8.316463780013111E-3</v>
      </c>
      <c r="AG21" t="s">
        <v>97</v>
      </c>
      <c r="AH21" t="s">
        <v>288</v>
      </c>
      <c r="AI21">
        <v>6.1073371955473243E-2</v>
      </c>
    </row>
    <row r="22" spans="3:35" x14ac:dyDescent="0.45">
      <c r="C22" t="s">
        <v>181</v>
      </c>
      <c r="I22" t="s">
        <v>252</v>
      </c>
      <c r="J22" t="s">
        <v>289</v>
      </c>
      <c r="K22">
        <v>2.2304673988702308E-2</v>
      </c>
      <c r="L22" t="s">
        <v>254</v>
      </c>
      <c r="N22" t="s">
        <v>422</v>
      </c>
      <c r="O22" t="s">
        <v>289</v>
      </c>
      <c r="P22">
        <v>1.1265957507804868E-2</v>
      </c>
      <c r="Q22" t="s">
        <v>254</v>
      </c>
      <c r="S22" t="s">
        <v>423</v>
      </c>
      <c r="T22" t="s">
        <v>289</v>
      </c>
      <c r="U22">
        <v>1.1517428166842628E-2</v>
      </c>
      <c r="V22" t="s">
        <v>254</v>
      </c>
      <c r="X22">
        <v>9.5890410958904115E-3</v>
      </c>
      <c r="Y22">
        <v>1.1871151662813155E-2</v>
      </c>
      <c r="Z22" t="s">
        <v>289</v>
      </c>
      <c r="AA22" t="s">
        <v>25</v>
      </c>
      <c r="AC22" t="s">
        <v>22</v>
      </c>
      <c r="AD22" t="s">
        <v>289</v>
      </c>
      <c r="AE22">
        <v>1.242959976544911E-2</v>
      </c>
      <c r="AG22" t="s">
        <v>97</v>
      </c>
      <c r="AH22" t="s">
        <v>289</v>
      </c>
      <c r="AI22">
        <v>6.0211691919535903E-2</v>
      </c>
    </row>
    <row r="23" spans="3:35" x14ac:dyDescent="0.45">
      <c r="I23" t="s">
        <v>252</v>
      </c>
      <c r="J23" t="s">
        <v>290</v>
      </c>
      <c r="K23">
        <v>6.9887246060699E-3</v>
      </c>
      <c r="L23" t="s">
        <v>254</v>
      </c>
      <c r="N23" t="s">
        <v>422</v>
      </c>
      <c r="O23" t="s">
        <v>290</v>
      </c>
      <c r="P23">
        <v>3.8316104893318524E-3</v>
      </c>
      <c r="Q23" t="s">
        <v>254</v>
      </c>
      <c r="S23" t="s">
        <v>423</v>
      </c>
      <c r="T23" t="s">
        <v>290</v>
      </c>
      <c r="U23">
        <v>3.7783683444571488E-3</v>
      </c>
      <c r="V23" t="s">
        <v>254</v>
      </c>
      <c r="X23">
        <v>3.1963470319634705E-3</v>
      </c>
      <c r="Y23">
        <v>4.167433226429324E-3</v>
      </c>
      <c r="Z23" t="s">
        <v>290</v>
      </c>
      <c r="AA23" t="s">
        <v>25</v>
      </c>
      <c r="AC23" t="s">
        <v>22</v>
      </c>
      <c r="AD23" t="s">
        <v>290</v>
      </c>
      <c r="AE23">
        <v>4.1147137219969144E-3</v>
      </c>
      <c r="AG23" t="s">
        <v>97</v>
      </c>
      <c r="AH23" t="s">
        <v>290</v>
      </c>
      <c r="AI23">
        <v>6.3744162102699953E-2</v>
      </c>
    </row>
    <row r="24" spans="3:35" x14ac:dyDescent="0.45">
      <c r="I24" t="s">
        <v>252</v>
      </c>
      <c r="J24" t="s">
        <v>291</v>
      </c>
      <c r="K24">
        <v>1.4596565439051225E-2</v>
      </c>
      <c r="L24" t="s">
        <v>254</v>
      </c>
      <c r="N24" t="s">
        <v>422</v>
      </c>
      <c r="O24" t="s">
        <v>291</v>
      </c>
      <c r="P24">
        <v>7.8099855736281556E-3</v>
      </c>
      <c r="Q24" t="s">
        <v>254</v>
      </c>
      <c r="S24" t="s">
        <v>423</v>
      </c>
      <c r="T24" t="s">
        <v>291</v>
      </c>
      <c r="U24">
        <v>7.711700152114997E-3</v>
      </c>
      <c r="V24" t="s">
        <v>254</v>
      </c>
      <c r="X24">
        <v>6.392694063926941E-3</v>
      </c>
      <c r="Y24">
        <v>9.0402671771540339E-3</v>
      </c>
      <c r="Z24" t="s">
        <v>291</v>
      </c>
      <c r="AA24" t="s">
        <v>25</v>
      </c>
      <c r="AC24" t="s">
        <v>22</v>
      </c>
      <c r="AD24" t="s">
        <v>291</v>
      </c>
      <c r="AE24">
        <v>8.2352320825566806E-3</v>
      </c>
      <c r="AG24" t="s">
        <v>97</v>
      </c>
      <c r="AH24" t="s">
        <v>291</v>
      </c>
      <c r="AI24">
        <v>6.7700113318520883E-2</v>
      </c>
    </row>
    <row r="25" spans="3:35" x14ac:dyDescent="0.45">
      <c r="I25" t="s">
        <v>252</v>
      </c>
      <c r="J25" t="s">
        <v>292</v>
      </c>
      <c r="K25">
        <v>1.0097346272973182E-2</v>
      </c>
      <c r="L25" t="s">
        <v>254</v>
      </c>
      <c r="N25" t="s">
        <v>422</v>
      </c>
      <c r="O25" t="s">
        <v>292</v>
      </c>
      <c r="P25">
        <v>7.7105231593927528E-3</v>
      </c>
      <c r="Q25" t="s">
        <v>254</v>
      </c>
      <c r="S25" t="s">
        <v>423</v>
      </c>
      <c r="T25" t="s">
        <v>292</v>
      </c>
      <c r="U25">
        <v>7.813409287946254E-3</v>
      </c>
      <c r="V25" t="s">
        <v>254</v>
      </c>
      <c r="X25">
        <v>6.392694063926941E-3</v>
      </c>
      <c r="Y25">
        <v>1.2437328559944975E-2</v>
      </c>
      <c r="Z25" t="s">
        <v>292</v>
      </c>
      <c r="AA25" t="s">
        <v>25</v>
      </c>
      <c r="AC25" t="s">
        <v>22</v>
      </c>
      <c r="AD25" t="s">
        <v>292</v>
      </c>
      <c r="AE25">
        <v>8.3551528467337901E-3</v>
      </c>
      <c r="AG25" t="s">
        <v>97</v>
      </c>
      <c r="AH25" t="s">
        <v>292</v>
      </c>
      <c r="AI25">
        <v>5.656928791866056E-2</v>
      </c>
    </row>
    <row r="26" spans="3:35" x14ac:dyDescent="0.45">
      <c r="I26" t="s">
        <v>252</v>
      </c>
      <c r="J26" t="s">
        <v>293</v>
      </c>
      <c r="K26">
        <v>3.0928607330769746E-4</v>
      </c>
      <c r="L26" t="s">
        <v>254</v>
      </c>
      <c r="N26" t="s">
        <v>422</v>
      </c>
      <c r="O26" t="s">
        <v>293</v>
      </c>
      <c r="P26">
        <v>2.3050564628395966E-2</v>
      </c>
      <c r="Q26" t="s">
        <v>254</v>
      </c>
      <c r="S26" t="s">
        <v>423</v>
      </c>
      <c r="T26" t="s">
        <v>293</v>
      </c>
      <c r="U26">
        <v>2.3574584893300582E-2</v>
      </c>
      <c r="V26" t="s">
        <v>254</v>
      </c>
      <c r="X26">
        <v>1.9178082191780823E-2</v>
      </c>
      <c r="Y26">
        <v>1.6892491029178995E-2</v>
      </c>
      <c r="Z26" t="s">
        <v>293</v>
      </c>
      <c r="AA26" t="s">
        <v>25</v>
      </c>
      <c r="AC26" t="s">
        <v>22</v>
      </c>
      <c r="AD26" t="s">
        <v>293</v>
      </c>
      <c r="AE26">
        <v>2.1361894568342289E-2</v>
      </c>
      <c r="AG26" t="s">
        <v>97</v>
      </c>
      <c r="AH26" t="s">
        <v>293</v>
      </c>
      <c r="AI26">
        <v>0.18996407529817505</v>
      </c>
    </row>
    <row r="27" spans="3:35" x14ac:dyDescent="0.45">
      <c r="I27" t="s">
        <v>252</v>
      </c>
      <c r="J27" t="s">
        <v>294</v>
      </c>
      <c r="K27">
        <v>1.6104140391799037E-5</v>
      </c>
      <c r="L27" t="s">
        <v>254</v>
      </c>
      <c r="N27" t="s">
        <v>422</v>
      </c>
      <c r="O27" t="s">
        <v>294</v>
      </c>
      <c r="P27">
        <v>2.422069263148147E-2</v>
      </c>
      <c r="Q27" t="s">
        <v>254</v>
      </c>
      <c r="S27" t="s">
        <v>423</v>
      </c>
      <c r="T27" t="s">
        <v>294</v>
      </c>
      <c r="U27">
        <v>2.5901969336789985E-2</v>
      </c>
      <c r="V27" t="s">
        <v>254</v>
      </c>
      <c r="X27">
        <v>2.4771689497716895E-2</v>
      </c>
      <c r="Y27">
        <v>9.7827942553597048E-3</v>
      </c>
      <c r="Z27" t="s">
        <v>294</v>
      </c>
      <c r="AA27" t="s">
        <v>25</v>
      </c>
      <c r="AC27" t="s">
        <v>22</v>
      </c>
      <c r="AD27" t="s">
        <v>294</v>
      </c>
      <c r="AE27">
        <v>2.1673230553283358E-2</v>
      </c>
      <c r="AG27" t="s">
        <v>97</v>
      </c>
      <c r="AH27" t="s">
        <v>294</v>
      </c>
      <c r="AI27">
        <v>0.29189958109755287</v>
      </c>
    </row>
    <row r="28" spans="3:35" x14ac:dyDescent="0.45">
      <c r="I28" t="s">
        <v>252</v>
      </c>
      <c r="J28" t="s">
        <v>295</v>
      </c>
      <c r="K28">
        <v>2.4930351960390073E-3</v>
      </c>
      <c r="L28" t="s">
        <v>254</v>
      </c>
      <c r="N28" t="s">
        <v>422</v>
      </c>
      <c r="O28" t="s">
        <v>295</v>
      </c>
      <c r="P28">
        <v>3.5730988300244175E-3</v>
      </c>
      <c r="Q28" t="s">
        <v>254</v>
      </c>
      <c r="S28" t="s">
        <v>423</v>
      </c>
      <c r="T28" t="s">
        <v>295</v>
      </c>
      <c r="U28">
        <v>3.8899664386824219E-3</v>
      </c>
      <c r="V28" t="s">
        <v>254</v>
      </c>
      <c r="X28">
        <v>3.5388127853881279E-3</v>
      </c>
      <c r="Y28">
        <v>5.9087255218821738E-3</v>
      </c>
      <c r="Z28" t="s">
        <v>295</v>
      </c>
      <c r="AA28" t="s">
        <v>25</v>
      </c>
      <c r="AC28" t="s">
        <v>22</v>
      </c>
      <c r="AD28" t="s">
        <v>295</v>
      </c>
      <c r="AE28">
        <v>4.1395725431968974E-3</v>
      </c>
      <c r="AG28" t="s">
        <v>97</v>
      </c>
      <c r="AH28" t="s">
        <v>295</v>
      </c>
      <c r="AI28">
        <v>7.1225832716647064E-2</v>
      </c>
    </row>
    <row r="29" spans="3:35" x14ac:dyDescent="0.45">
      <c r="I29" t="s">
        <v>252</v>
      </c>
      <c r="J29" t="s">
        <v>296</v>
      </c>
      <c r="K29">
        <v>1.2217569584091117E-2</v>
      </c>
      <c r="L29" t="s">
        <v>254</v>
      </c>
      <c r="N29" t="s">
        <v>422</v>
      </c>
      <c r="O29" t="s">
        <v>296</v>
      </c>
      <c r="P29">
        <v>6.9748728034219332E-3</v>
      </c>
      <c r="Q29" t="s">
        <v>254</v>
      </c>
      <c r="S29" t="s">
        <v>423</v>
      </c>
      <c r="T29" t="s">
        <v>296</v>
      </c>
      <c r="U29">
        <v>7.7357545072605522E-3</v>
      </c>
      <c r="V29" t="s">
        <v>254</v>
      </c>
      <c r="X29">
        <v>7.0776255707762558E-3</v>
      </c>
      <c r="Y29">
        <v>9.0018148820326695E-3</v>
      </c>
      <c r="Z29" t="s">
        <v>296</v>
      </c>
      <c r="AA29" t="s">
        <v>25</v>
      </c>
      <c r="AC29" t="s">
        <v>22</v>
      </c>
      <c r="AD29" t="s">
        <v>296</v>
      </c>
      <c r="AE29">
        <v>8.58529246405847E-3</v>
      </c>
      <c r="AG29" t="s">
        <v>97</v>
      </c>
      <c r="AH29" t="s">
        <v>296</v>
      </c>
      <c r="AI29">
        <v>7.2679836004472698E-2</v>
      </c>
    </row>
    <row r="30" spans="3:35" x14ac:dyDescent="0.45">
      <c r="I30" t="s">
        <v>252</v>
      </c>
      <c r="J30" t="s">
        <v>297</v>
      </c>
      <c r="K30">
        <v>2.6485135909388655E-2</v>
      </c>
      <c r="L30" t="s">
        <v>254</v>
      </c>
      <c r="N30" t="s">
        <v>422</v>
      </c>
      <c r="O30" t="s">
        <v>297</v>
      </c>
      <c r="P30">
        <v>9.9778372938310565E-3</v>
      </c>
      <c r="Q30" t="s">
        <v>254</v>
      </c>
      <c r="S30" t="s">
        <v>423</v>
      </c>
      <c r="T30" t="s">
        <v>297</v>
      </c>
      <c r="U30">
        <v>1.1131790036312329E-2</v>
      </c>
      <c r="V30" t="s">
        <v>254</v>
      </c>
      <c r="X30">
        <v>1.0616438356164383E-2</v>
      </c>
      <c r="Y30">
        <v>1.3143060769543132E-2</v>
      </c>
      <c r="Z30" t="s">
        <v>297</v>
      </c>
      <c r="AA30" t="s">
        <v>25</v>
      </c>
      <c r="AC30" t="s">
        <v>22</v>
      </c>
      <c r="AD30" t="s">
        <v>297</v>
      </c>
      <c r="AE30">
        <v>1.2798481632623615E-2</v>
      </c>
      <c r="AG30" t="s">
        <v>97</v>
      </c>
      <c r="AH30" t="s">
        <v>297</v>
      </c>
      <c r="AI30">
        <v>7.8130437900502558E-2</v>
      </c>
    </row>
    <row r="31" spans="3:35" x14ac:dyDescent="0.45">
      <c r="I31" t="s">
        <v>252</v>
      </c>
      <c r="J31" t="s">
        <v>298</v>
      </c>
      <c r="K31">
        <v>8.7555444167293581E-3</v>
      </c>
      <c r="L31" t="s">
        <v>254</v>
      </c>
      <c r="N31" t="s">
        <v>422</v>
      </c>
      <c r="O31" t="s">
        <v>298</v>
      </c>
      <c r="P31">
        <v>3.3727831130503645E-3</v>
      </c>
      <c r="Q31" t="s">
        <v>254</v>
      </c>
      <c r="S31" t="s">
        <v>423</v>
      </c>
      <c r="T31" t="s">
        <v>298</v>
      </c>
      <c r="U31">
        <v>3.7073872357237798E-3</v>
      </c>
      <c r="V31" t="s">
        <v>254</v>
      </c>
      <c r="X31">
        <v>3.5388127853881279E-3</v>
      </c>
      <c r="Y31">
        <v>4.6139439292610376E-3</v>
      </c>
      <c r="Z31" t="s">
        <v>298</v>
      </c>
      <c r="AA31" t="s">
        <v>25</v>
      </c>
      <c r="AC31" t="s">
        <v>22</v>
      </c>
      <c r="AD31" t="s">
        <v>298</v>
      </c>
      <c r="AE31">
        <v>4.2169915903902391E-3</v>
      </c>
      <c r="AG31" t="s">
        <v>97</v>
      </c>
      <c r="AH31" t="s">
        <v>298</v>
      </c>
      <c r="AI31">
        <v>8.3300670632449947E-2</v>
      </c>
    </row>
    <row r="32" spans="3:35" x14ac:dyDescent="0.45">
      <c r="I32" t="s">
        <v>252</v>
      </c>
      <c r="J32" t="s">
        <v>299</v>
      </c>
      <c r="K32">
        <v>1.7586171126462422E-2</v>
      </c>
      <c r="L32" t="s">
        <v>254</v>
      </c>
      <c r="N32" t="s">
        <v>422</v>
      </c>
      <c r="O32" t="s">
        <v>299</v>
      </c>
      <c r="P32">
        <v>6.8659250177975891E-3</v>
      </c>
      <c r="Q32" t="s">
        <v>254</v>
      </c>
      <c r="S32" t="s">
        <v>423</v>
      </c>
      <c r="T32" t="s">
        <v>299</v>
      </c>
      <c r="U32">
        <v>7.5891430150184756E-3</v>
      </c>
      <c r="V32" t="s">
        <v>254</v>
      </c>
      <c r="X32">
        <v>7.0776255707762558E-3</v>
      </c>
      <c r="Y32">
        <v>1.0008867231849112E-2</v>
      </c>
      <c r="Z32" t="s">
        <v>299</v>
      </c>
      <c r="AA32" t="s">
        <v>25</v>
      </c>
      <c r="AC32" t="s">
        <v>22</v>
      </c>
      <c r="AD32" t="s">
        <v>299</v>
      </c>
      <c r="AE32">
        <v>8.4096292699114943E-3</v>
      </c>
      <c r="AG32" t="s">
        <v>97</v>
      </c>
      <c r="AH32" t="s">
        <v>299</v>
      </c>
      <c r="AI32">
        <v>8.7356154406409425E-2</v>
      </c>
    </row>
    <row r="33" spans="9:35" x14ac:dyDescent="0.45">
      <c r="I33" t="s">
        <v>252</v>
      </c>
      <c r="J33" t="s">
        <v>300</v>
      </c>
      <c r="K33">
        <v>1.277606612294124E-2</v>
      </c>
      <c r="L33" t="s">
        <v>254</v>
      </c>
      <c r="N33" t="s">
        <v>422</v>
      </c>
      <c r="O33" t="s">
        <v>300</v>
      </c>
      <c r="P33">
        <v>7.0954673722035053E-3</v>
      </c>
      <c r="Q33" t="s">
        <v>254</v>
      </c>
      <c r="S33" t="s">
        <v>423</v>
      </c>
      <c r="T33" t="s">
        <v>300</v>
      </c>
      <c r="U33">
        <v>7.9151255246372714E-3</v>
      </c>
      <c r="V33" t="s">
        <v>254</v>
      </c>
      <c r="X33">
        <v>7.0776255707762558E-3</v>
      </c>
      <c r="Y33">
        <v>1.376989947708193E-2</v>
      </c>
      <c r="Z33" t="s">
        <v>300</v>
      </c>
      <c r="AA33" t="s">
        <v>25</v>
      </c>
      <c r="AC33" t="s">
        <v>22</v>
      </c>
      <c r="AD33" t="s">
        <v>300</v>
      </c>
      <c r="AE33">
        <v>8.5437061922753639E-3</v>
      </c>
      <c r="AG33" t="s">
        <v>97</v>
      </c>
      <c r="AH33" t="s">
        <v>300</v>
      </c>
      <c r="AI33">
        <v>7.7419278474670117E-2</v>
      </c>
    </row>
    <row r="34" spans="9:35" x14ac:dyDescent="0.45">
      <c r="I34" t="s">
        <v>252</v>
      </c>
      <c r="J34" t="s">
        <v>301</v>
      </c>
      <c r="K34">
        <v>3.0355034137326403E-3</v>
      </c>
      <c r="L34" t="s">
        <v>254</v>
      </c>
      <c r="N34" t="s">
        <v>422</v>
      </c>
      <c r="O34" t="s">
        <v>301</v>
      </c>
      <c r="P34">
        <v>2.2133431122873554E-2</v>
      </c>
      <c r="Q34" t="s">
        <v>254</v>
      </c>
      <c r="S34" t="s">
        <v>423</v>
      </c>
      <c r="T34" t="s">
        <v>301</v>
      </c>
      <c r="U34">
        <v>2.3731888608555678E-2</v>
      </c>
      <c r="V34" t="s">
        <v>254</v>
      </c>
      <c r="X34">
        <v>2.1232876712328767E-2</v>
      </c>
      <c r="Y34">
        <v>1.8702400782305319E-2</v>
      </c>
      <c r="Z34" t="s">
        <v>301</v>
      </c>
      <c r="AA34" t="s">
        <v>25</v>
      </c>
      <c r="AC34" t="s">
        <v>22</v>
      </c>
      <c r="AD34" t="s">
        <v>301</v>
      </c>
      <c r="AE34">
        <v>2.220997456358997E-2</v>
      </c>
      <c r="AG34" t="s">
        <v>97</v>
      </c>
      <c r="AH34" t="s">
        <v>301</v>
      </c>
      <c r="AI34">
        <v>0.19728339884766566</v>
      </c>
    </row>
    <row r="35" spans="9:35" x14ac:dyDescent="0.45">
      <c r="I35" t="s">
        <v>252</v>
      </c>
      <c r="J35" t="s">
        <v>302</v>
      </c>
      <c r="K35">
        <v>2.4944652964232262E-3</v>
      </c>
      <c r="L35" t="s">
        <v>254</v>
      </c>
      <c r="N35" t="s">
        <v>422</v>
      </c>
      <c r="O35" t="s">
        <v>302</v>
      </c>
      <c r="P35">
        <v>2.7681132667217855E-2</v>
      </c>
      <c r="Q35" t="s">
        <v>254</v>
      </c>
      <c r="S35" t="s">
        <v>423</v>
      </c>
      <c r="T35" t="s">
        <v>302</v>
      </c>
      <c r="U35">
        <v>2.7873206943640528E-2</v>
      </c>
      <c r="V35" t="s">
        <v>254</v>
      </c>
      <c r="X35">
        <v>2.3972602739726026E-2</v>
      </c>
      <c r="Y35">
        <v>9.4672202471222967E-3</v>
      </c>
      <c r="Z35" t="s">
        <v>302</v>
      </c>
      <c r="AA35" t="s">
        <v>25</v>
      </c>
      <c r="AC35" t="s">
        <v>22</v>
      </c>
      <c r="AD35" t="s">
        <v>302</v>
      </c>
      <c r="AE35">
        <v>1.9928596464069401E-2</v>
      </c>
      <c r="AG35" t="s">
        <v>97</v>
      </c>
      <c r="AH35" t="s">
        <v>302</v>
      </c>
      <c r="AI35">
        <v>0.27785577591947086</v>
      </c>
    </row>
    <row r="36" spans="9:35" x14ac:dyDescent="0.45">
      <c r="I36" t="s">
        <v>252</v>
      </c>
      <c r="J36" t="s">
        <v>303</v>
      </c>
      <c r="K36">
        <v>5.1159918965719819E-3</v>
      </c>
      <c r="L36" t="s">
        <v>254</v>
      </c>
      <c r="N36" t="s">
        <v>422</v>
      </c>
      <c r="O36" t="s">
        <v>303</v>
      </c>
      <c r="P36">
        <v>3.71907315514738E-3</v>
      </c>
      <c r="Q36" t="s">
        <v>254</v>
      </c>
      <c r="S36" t="s">
        <v>423</v>
      </c>
      <c r="T36" t="s">
        <v>303</v>
      </c>
      <c r="U36">
        <v>3.7231555410848502E-3</v>
      </c>
      <c r="V36" t="s">
        <v>254</v>
      </c>
      <c r="X36">
        <v>3.4246575342465752E-3</v>
      </c>
      <c r="Y36">
        <v>5.7181214727892006E-3</v>
      </c>
      <c r="Z36" t="s">
        <v>303</v>
      </c>
      <c r="AA36" t="s">
        <v>25</v>
      </c>
      <c r="AC36" t="s">
        <v>22</v>
      </c>
      <c r="AD36" t="s">
        <v>303</v>
      </c>
      <c r="AE36">
        <v>3.7946926128766649E-3</v>
      </c>
      <c r="AG36" t="s">
        <v>97</v>
      </c>
      <c r="AH36" t="s">
        <v>303</v>
      </c>
      <c r="AI36">
        <v>7.4794780557807972E-2</v>
      </c>
    </row>
    <row r="37" spans="9:35" x14ac:dyDescent="0.45">
      <c r="I37" t="s">
        <v>252</v>
      </c>
      <c r="J37" t="s">
        <v>304</v>
      </c>
      <c r="K37">
        <v>1.5772344864832602E-2</v>
      </c>
      <c r="L37" t="s">
        <v>254</v>
      </c>
      <c r="N37" t="s">
        <v>422</v>
      </c>
      <c r="O37" t="s">
        <v>304</v>
      </c>
      <c r="P37">
        <v>7.3237708627581222E-3</v>
      </c>
      <c r="Q37" t="s">
        <v>254</v>
      </c>
      <c r="S37" t="s">
        <v>423</v>
      </c>
      <c r="T37" t="s">
        <v>304</v>
      </c>
      <c r="U37">
        <v>7.2380689982444726E-3</v>
      </c>
      <c r="V37" t="s">
        <v>254</v>
      </c>
      <c r="X37">
        <v>6.8493150684931503E-3</v>
      </c>
      <c r="Y37">
        <v>8.7114337568058101E-3</v>
      </c>
      <c r="Z37" t="s">
        <v>304</v>
      </c>
      <c r="AA37" t="s">
        <v>25</v>
      </c>
      <c r="AC37" t="s">
        <v>22</v>
      </c>
      <c r="AD37" t="s">
        <v>304</v>
      </c>
      <c r="AE37">
        <v>7.7785013729748257E-3</v>
      </c>
      <c r="AG37" t="s">
        <v>97</v>
      </c>
      <c r="AH37" t="s">
        <v>304</v>
      </c>
      <c r="AI37">
        <v>7.330637502080628E-2</v>
      </c>
    </row>
    <row r="38" spans="9:35" x14ac:dyDescent="0.45">
      <c r="I38" t="s">
        <v>252</v>
      </c>
      <c r="J38" t="s">
        <v>305</v>
      </c>
      <c r="K38">
        <v>2.82518210893829E-2</v>
      </c>
      <c r="L38" t="s">
        <v>254</v>
      </c>
      <c r="N38" t="s">
        <v>422</v>
      </c>
      <c r="O38" t="s">
        <v>305</v>
      </c>
      <c r="P38">
        <v>1.0732055062834039E-2</v>
      </c>
      <c r="Q38" t="s">
        <v>254</v>
      </c>
      <c r="S38" t="s">
        <v>423</v>
      </c>
      <c r="T38" t="s">
        <v>305</v>
      </c>
      <c r="U38">
        <v>1.0485600995887521E-2</v>
      </c>
      <c r="V38" t="s">
        <v>254</v>
      </c>
      <c r="X38">
        <v>1.0273972602739725E-2</v>
      </c>
      <c r="Y38">
        <v>1.2719091067299805E-2</v>
      </c>
      <c r="Z38" t="s">
        <v>305</v>
      </c>
      <c r="AA38" t="s">
        <v>25</v>
      </c>
      <c r="AC38" t="s">
        <v>22</v>
      </c>
      <c r="AD38" t="s">
        <v>305</v>
      </c>
      <c r="AE38">
        <v>1.1520369217820046E-2</v>
      </c>
      <c r="AG38" t="s">
        <v>97</v>
      </c>
      <c r="AH38" t="s">
        <v>305</v>
      </c>
      <c r="AI38">
        <v>6.9585259375130937E-2</v>
      </c>
    </row>
    <row r="39" spans="9:35" x14ac:dyDescent="0.45">
      <c r="I39" t="s">
        <v>252</v>
      </c>
      <c r="J39" t="s">
        <v>306</v>
      </c>
      <c r="K39">
        <v>9.1413712135646995E-3</v>
      </c>
      <c r="L39" t="s">
        <v>254</v>
      </c>
      <c r="N39" t="s">
        <v>422</v>
      </c>
      <c r="O39" t="s">
        <v>306</v>
      </c>
      <c r="P39">
        <v>3.7518861291754814E-3</v>
      </c>
      <c r="Q39" t="s">
        <v>254</v>
      </c>
      <c r="S39" t="s">
        <v>423</v>
      </c>
      <c r="T39" t="s">
        <v>306</v>
      </c>
      <c r="U39">
        <v>3.5812458448567083E-3</v>
      </c>
      <c r="V39" t="s">
        <v>254</v>
      </c>
      <c r="X39">
        <v>3.4246575342465752E-3</v>
      </c>
      <c r="Y39">
        <v>4.4651070283171336E-3</v>
      </c>
      <c r="Z39" t="s">
        <v>306</v>
      </c>
      <c r="AA39" t="s">
        <v>25</v>
      </c>
      <c r="AC39" t="s">
        <v>22</v>
      </c>
      <c r="AD39" t="s">
        <v>306</v>
      </c>
      <c r="AE39">
        <v>3.799901444926237E-3</v>
      </c>
      <c r="AG39" t="s">
        <v>97</v>
      </c>
      <c r="AH39" t="s">
        <v>306</v>
      </c>
      <c r="AI39">
        <v>7.5531060198747779E-2</v>
      </c>
    </row>
    <row r="40" spans="9:35" x14ac:dyDescent="0.45">
      <c r="I40" t="s">
        <v>252</v>
      </c>
      <c r="J40" t="s">
        <v>307</v>
      </c>
      <c r="K40">
        <v>1.7140077917634298E-2</v>
      </c>
      <c r="L40" t="s">
        <v>254</v>
      </c>
      <c r="N40" t="s">
        <v>422</v>
      </c>
      <c r="O40" t="s">
        <v>307</v>
      </c>
      <c r="P40">
        <v>7.8351823959872668E-3</v>
      </c>
      <c r="Q40" t="s">
        <v>254</v>
      </c>
      <c r="S40" t="s">
        <v>423</v>
      </c>
      <c r="T40" t="s">
        <v>307</v>
      </c>
      <c r="U40">
        <v>7.4052957927088084E-3</v>
      </c>
      <c r="V40" t="s">
        <v>254</v>
      </c>
      <c r="X40">
        <v>6.8493150684931503E-3</v>
      </c>
      <c r="Y40">
        <v>9.6860005469507522E-3</v>
      </c>
      <c r="Z40" t="s">
        <v>307</v>
      </c>
      <c r="AA40" t="s">
        <v>25</v>
      </c>
      <c r="AC40" t="s">
        <v>22</v>
      </c>
      <c r="AD40" t="s">
        <v>307</v>
      </c>
      <c r="AE40">
        <v>7.5712502051860425E-3</v>
      </c>
      <c r="AG40" t="s">
        <v>97</v>
      </c>
      <c r="AH40" t="s">
        <v>307</v>
      </c>
      <c r="AI40">
        <v>7.7040330198470786E-2</v>
      </c>
    </row>
    <row r="41" spans="9:35" x14ac:dyDescent="0.45">
      <c r="I41" t="s">
        <v>252</v>
      </c>
      <c r="J41" t="s">
        <v>308</v>
      </c>
      <c r="K41">
        <v>1.2811795978889037E-2</v>
      </c>
      <c r="L41" t="s">
        <v>254</v>
      </c>
      <c r="N41" t="s">
        <v>422</v>
      </c>
      <c r="O41" t="s">
        <v>308</v>
      </c>
      <c r="P41">
        <v>7.8732075451391336E-3</v>
      </c>
      <c r="Q41" t="s">
        <v>254</v>
      </c>
      <c r="S41" t="s">
        <v>423</v>
      </c>
      <c r="T41" t="s">
        <v>308</v>
      </c>
      <c r="U41">
        <v>7.6548170311039939E-3</v>
      </c>
      <c r="V41" t="s">
        <v>254</v>
      </c>
      <c r="X41">
        <v>6.8493150684931503E-3</v>
      </c>
      <c r="Y41">
        <v>1.3325709171369611E-2</v>
      </c>
      <c r="Z41" t="s">
        <v>308</v>
      </c>
      <c r="AA41" t="s">
        <v>25</v>
      </c>
      <c r="AC41" t="s">
        <v>22</v>
      </c>
      <c r="AD41" t="s">
        <v>308</v>
      </c>
      <c r="AE41">
        <v>7.5876233773084813E-3</v>
      </c>
      <c r="AG41" t="s">
        <v>97</v>
      </c>
      <c r="AH41" t="s">
        <v>308</v>
      </c>
      <c r="AI41">
        <v>7.4017133247418876E-2</v>
      </c>
    </row>
    <row r="42" spans="9:35" x14ac:dyDescent="0.45">
      <c r="I42" t="s">
        <v>252</v>
      </c>
      <c r="J42" t="s">
        <v>309</v>
      </c>
      <c r="K42">
        <v>4.9040794776632072E-3</v>
      </c>
      <c r="L42" t="s">
        <v>254</v>
      </c>
      <c r="N42" t="s">
        <v>422</v>
      </c>
      <c r="O42" t="s">
        <v>309</v>
      </c>
      <c r="P42">
        <v>2.3314738567736269E-2</v>
      </c>
      <c r="Q42" t="s">
        <v>254</v>
      </c>
      <c r="S42" t="s">
        <v>423</v>
      </c>
      <c r="T42" t="s">
        <v>309</v>
      </c>
      <c r="U42">
        <v>2.3608513409972137E-2</v>
      </c>
      <c r="V42" t="s">
        <v>254</v>
      </c>
      <c r="X42">
        <v>2.0547945205479451E-2</v>
      </c>
      <c r="Y42">
        <v>1.8099097531263209E-2</v>
      </c>
      <c r="Z42" t="s">
        <v>309</v>
      </c>
      <c r="AA42" t="s">
        <v>25</v>
      </c>
      <c r="AC42" t="s">
        <v>22</v>
      </c>
      <c r="AD42" t="s">
        <v>309</v>
      </c>
      <c r="AE42">
        <v>1.9725011261502445E-2</v>
      </c>
      <c r="AG42" t="s">
        <v>97</v>
      </c>
      <c r="AH42" t="s">
        <v>309</v>
      </c>
      <c r="AI42">
        <v>0.17311711242521777</v>
      </c>
    </row>
    <row r="43" spans="9:35" x14ac:dyDescent="0.45">
      <c r="I43" t="s">
        <v>252</v>
      </c>
      <c r="J43" t="s">
        <v>310</v>
      </c>
      <c r="K43">
        <v>3.9222058631166326E-3</v>
      </c>
      <c r="L43" t="s">
        <v>254</v>
      </c>
      <c r="N43" t="s">
        <v>422</v>
      </c>
      <c r="O43" t="s">
        <v>310</v>
      </c>
      <c r="P43">
        <v>2.3932727955689952E-2</v>
      </c>
      <c r="Q43" t="s">
        <v>254</v>
      </c>
      <c r="S43" t="s">
        <v>423</v>
      </c>
      <c r="T43" t="s">
        <v>310</v>
      </c>
      <c r="U43">
        <v>2.4857613349631484E-2</v>
      </c>
      <c r="V43" t="s">
        <v>254</v>
      </c>
      <c r="X43">
        <v>2.4771689497716895E-2</v>
      </c>
      <c r="Y43">
        <v>9.7827942553597048E-3</v>
      </c>
      <c r="Z43" t="s">
        <v>310</v>
      </c>
      <c r="AA43" t="s">
        <v>25</v>
      </c>
      <c r="AC43" t="s">
        <v>22</v>
      </c>
      <c r="AD43" t="s">
        <v>310</v>
      </c>
      <c r="AE43">
        <v>1.9409024398886501E-2</v>
      </c>
      <c r="AG43" t="s">
        <v>97</v>
      </c>
      <c r="AH43" t="s">
        <v>310</v>
      </c>
      <c r="AI43">
        <v>0.27974912617159808</v>
      </c>
    </row>
    <row r="44" spans="9:35" x14ac:dyDescent="0.45">
      <c r="I44" t="s">
        <v>252</v>
      </c>
      <c r="J44" t="s">
        <v>311</v>
      </c>
      <c r="K44">
        <v>5.5713094884870364E-3</v>
      </c>
      <c r="L44" t="s">
        <v>254</v>
      </c>
      <c r="N44" t="s">
        <v>422</v>
      </c>
      <c r="O44" t="s">
        <v>311</v>
      </c>
      <c r="P44">
        <v>3.3590701295483209E-3</v>
      </c>
      <c r="Q44" t="s">
        <v>254</v>
      </c>
      <c r="S44" t="s">
        <v>423</v>
      </c>
      <c r="T44" t="s">
        <v>311</v>
      </c>
      <c r="U44">
        <v>3.4001965120895573E-3</v>
      </c>
      <c r="V44" t="s">
        <v>254</v>
      </c>
      <c r="X44">
        <v>3.5388127853881279E-3</v>
      </c>
      <c r="Y44">
        <v>5.9087255218821738E-3</v>
      </c>
      <c r="Z44" t="s">
        <v>311</v>
      </c>
      <c r="AA44" t="s">
        <v>25</v>
      </c>
      <c r="AC44" t="s">
        <v>22</v>
      </c>
      <c r="AD44" t="s">
        <v>311</v>
      </c>
      <c r="AE44">
        <v>3.7242489011812797E-3</v>
      </c>
      <c r="AG44" t="s">
        <v>97</v>
      </c>
      <c r="AH44" t="s">
        <v>311</v>
      </c>
      <c r="AI44">
        <v>7.6316584002711574E-2</v>
      </c>
    </row>
    <row r="45" spans="9:35" x14ac:dyDescent="0.45">
      <c r="I45" t="s">
        <v>252</v>
      </c>
      <c r="J45" t="s">
        <v>312</v>
      </c>
      <c r="K45">
        <v>1.6295233137300507E-2</v>
      </c>
      <c r="L45" t="s">
        <v>254</v>
      </c>
      <c r="N45" t="s">
        <v>422</v>
      </c>
      <c r="O45" t="s">
        <v>312</v>
      </c>
      <c r="P45">
        <v>6.8263302317683834E-3</v>
      </c>
      <c r="Q45" t="s">
        <v>254</v>
      </c>
      <c r="S45" t="s">
        <v>423</v>
      </c>
      <c r="T45" t="s">
        <v>312</v>
      </c>
      <c r="U45">
        <v>6.6316965944845218E-3</v>
      </c>
      <c r="V45" t="s">
        <v>254</v>
      </c>
      <c r="X45">
        <v>7.0776255707762558E-3</v>
      </c>
      <c r="Y45">
        <v>9.0018148820326695E-3</v>
      </c>
      <c r="Z45" t="s">
        <v>312</v>
      </c>
      <c r="AA45" t="s">
        <v>25</v>
      </c>
      <c r="AC45" t="s">
        <v>22</v>
      </c>
      <c r="AD45" t="s">
        <v>312</v>
      </c>
      <c r="AE45">
        <v>7.6823812655839848E-3</v>
      </c>
      <c r="AG45" t="s">
        <v>97</v>
      </c>
      <c r="AH45" t="s">
        <v>312</v>
      </c>
      <c r="AI45">
        <v>7.0212854701301453E-2</v>
      </c>
    </row>
    <row r="46" spans="9:35" x14ac:dyDescent="0.45">
      <c r="I46" t="s">
        <v>252</v>
      </c>
      <c r="J46" t="s">
        <v>313</v>
      </c>
      <c r="K46">
        <v>2.9846300782884701E-2</v>
      </c>
      <c r="L46" t="s">
        <v>254</v>
      </c>
      <c r="N46" t="s">
        <v>422</v>
      </c>
      <c r="O46" t="s">
        <v>313</v>
      </c>
      <c r="P46">
        <v>9.9462914751015236E-3</v>
      </c>
      <c r="Q46" t="s">
        <v>254</v>
      </c>
      <c r="S46" t="s">
        <v>423</v>
      </c>
      <c r="T46" t="s">
        <v>313</v>
      </c>
      <c r="U46">
        <v>9.6362021595632567E-3</v>
      </c>
      <c r="V46" t="s">
        <v>254</v>
      </c>
      <c r="X46">
        <v>1.0616438356164383E-2</v>
      </c>
      <c r="Y46">
        <v>1.3143060769543132E-2</v>
      </c>
      <c r="Z46" t="s">
        <v>313</v>
      </c>
      <c r="AA46" t="s">
        <v>25</v>
      </c>
      <c r="AC46" t="s">
        <v>22</v>
      </c>
      <c r="AD46" t="s">
        <v>313</v>
      </c>
      <c r="AE46">
        <v>1.1450052443168693E-2</v>
      </c>
      <c r="AG46" t="s">
        <v>97</v>
      </c>
      <c r="AH46" t="s">
        <v>313</v>
      </c>
      <c r="AI46">
        <v>7.1588137946264396E-2</v>
      </c>
    </row>
    <row r="47" spans="9:35" x14ac:dyDescent="0.45">
      <c r="I47" t="s">
        <v>252</v>
      </c>
      <c r="J47" t="s">
        <v>314</v>
      </c>
      <c r="K47">
        <v>9.8879453029211001E-3</v>
      </c>
      <c r="L47" t="s">
        <v>254</v>
      </c>
      <c r="N47" t="s">
        <v>422</v>
      </c>
      <c r="O47" t="s">
        <v>314</v>
      </c>
      <c r="P47">
        <v>3.5621078218608434E-3</v>
      </c>
      <c r="Q47" t="s">
        <v>254</v>
      </c>
      <c r="S47" t="s">
        <v>423</v>
      </c>
      <c r="T47" t="s">
        <v>314</v>
      </c>
      <c r="U47">
        <v>3.3560104589874231E-3</v>
      </c>
      <c r="V47" t="s">
        <v>254</v>
      </c>
      <c r="X47">
        <v>3.5388127853881279E-3</v>
      </c>
      <c r="Y47">
        <v>4.6139439292610376E-3</v>
      </c>
      <c r="Z47" t="s">
        <v>314</v>
      </c>
      <c r="AA47" t="s">
        <v>25</v>
      </c>
      <c r="AC47" t="s">
        <v>22</v>
      </c>
      <c r="AD47" t="s">
        <v>314</v>
      </c>
      <c r="AE47">
        <v>3.7770122985847491E-3</v>
      </c>
      <c r="AG47" t="s">
        <v>97</v>
      </c>
      <c r="AH47" t="s">
        <v>314</v>
      </c>
      <c r="AI47">
        <v>7.4180179565778825E-2</v>
      </c>
    </row>
    <row r="48" spans="9:35" x14ac:dyDescent="0.45">
      <c r="I48" t="s">
        <v>252</v>
      </c>
      <c r="J48" t="s">
        <v>315</v>
      </c>
      <c r="K48">
        <v>1.8256244609755699E-2</v>
      </c>
      <c r="L48" t="s">
        <v>254</v>
      </c>
      <c r="N48" t="s">
        <v>422</v>
      </c>
      <c r="O48" t="s">
        <v>315</v>
      </c>
      <c r="P48">
        <v>7.3835405724859832E-3</v>
      </c>
      <c r="Q48" t="s">
        <v>254</v>
      </c>
      <c r="S48" t="s">
        <v>423</v>
      </c>
      <c r="T48" t="s">
        <v>315</v>
      </c>
      <c r="U48">
        <v>7.0099852833006944E-3</v>
      </c>
      <c r="V48" t="s">
        <v>254</v>
      </c>
      <c r="X48">
        <v>7.0776255707762558E-3</v>
      </c>
      <c r="Y48">
        <v>1.0008867231849112E-2</v>
      </c>
      <c r="Z48" t="s">
        <v>315</v>
      </c>
      <c r="AA48" t="s">
        <v>25</v>
      </c>
      <c r="AC48" t="s">
        <v>22</v>
      </c>
      <c r="AD48" t="s">
        <v>315</v>
      </c>
      <c r="AE48">
        <v>7.5090731692856365E-3</v>
      </c>
      <c r="AG48" t="s">
        <v>97</v>
      </c>
      <c r="AH48" t="s">
        <v>315</v>
      </c>
      <c r="AI48">
        <v>7.7659879303386026E-2</v>
      </c>
    </row>
    <row r="49" spans="9:35" x14ac:dyDescent="0.45">
      <c r="I49" t="s">
        <v>252</v>
      </c>
      <c r="J49" t="s">
        <v>316</v>
      </c>
      <c r="K49">
        <v>1.3627614256399663E-2</v>
      </c>
      <c r="L49" t="s">
        <v>254</v>
      </c>
      <c r="N49" t="s">
        <v>422</v>
      </c>
      <c r="O49" t="s">
        <v>316</v>
      </c>
      <c r="P49">
        <v>7.313454209609078E-3</v>
      </c>
      <c r="Q49" t="s">
        <v>254</v>
      </c>
      <c r="S49" t="s">
        <v>423</v>
      </c>
      <c r="T49" t="s">
        <v>316</v>
      </c>
      <c r="U49">
        <v>7.2960305846112052E-3</v>
      </c>
      <c r="V49" t="s">
        <v>254</v>
      </c>
      <c r="X49">
        <v>7.0776255707762558E-3</v>
      </c>
      <c r="Y49">
        <v>1.376989947708193E-2</v>
      </c>
      <c r="Z49" t="s">
        <v>316</v>
      </c>
      <c r="AA49" t="s">
        <v>25</v>
      </c>
      <c r="AC49" t="s">
        <v>22</v>
      </c>
      <c r="AD49" t="s">
        <v>316</v>
      </c>
      <c r="AE49">
        <v>7.5188029709295353E-3</v>
      </c>
      <c r="AG49" t="s">
        <v>97</v>
      </c>
      <c r="AH49" t="s">
        <v>316</v>
      </c>
      <c r="AI49">
        <v>7.6470251751308949E-2</v>
      </c>
    </row>
    <row r="50" spans="9:35" x14ac:dyDescent="0.45">
      <c r="I50" t="s">
        <v>252</v>
      </c>
      <c r="J50" t="s">
        <v>317</v>
      </c>
      <c r="K50">
        <v>6.5986614156880851E-3</v>
      </c>
      <c r="L50" t="s">
        <v>254</v>
      </c>
      <c r="N50" t="s">
        <v>422</v>
      </c>
      <c r="O50" t="s">
        <v>317</v>
      </c>
      <c r="P50">
        <v>2.1244541293275056E-2</v>
      </c>
      <c r="Q50" t="s">
        <v>254</v>
      </c>
      <c r="S50" t="s">
        <v>423</v>
      </c>
      <c r="T50" t="s">
        <v>317</v>
      </c>
      <c r="U50">
        <v>2.2025293669465699E-2</v>
      </c>
      <c r="V50" t="s">
        <v>254</v>
      </c>
      <c r="X50">
        <v>2.1232876712328767E-2</v>
      </c>
      <c r="Y50">
        <v>1.8702400782305319E-2</v>
      </c>
      <c r="Z50" t="s">
        <v>317</v>
      </c>
      <c r="AA50" t="s">
        <v>25</v>
      </c>
      <c r="AC50" t="s">
        <v>22</v>
      </c>
      <c r="AD50" t="s">
        <v>317</v>
      </c>
      <c r="AE50">
        <v>1.981698006356214E-2</v>
      </c>
      <c r="AG50" t="s">
        <v>97</v>
      </c>
      <c r="AH50" t="s">
        <v>317</v>
      </c>
      <c r="AI50">
        <v>0.16938093389350528</v>
      </c>
    </row>
    <row r="51" spans="9:35" x14ac:dyDescent="0.45">
      <c r="I51" t="s">
        <v>252</v>
      </c>
      <c r="J51" t="s">
        <v>318</v>
      </c>
      <c r="K51">
        <v>5.6150211014440498E-3</v>
      </c>
      <c r="L51" t="s">
        <v>254</v>
      </c>
      <c r="N51" t="s">
        <v>422</v>
      </c>
      <c r="O51" t="s">
        <v>318</v>
      </c>
      <c r="P51">
        <v>2.3758413380580559E-2</v>
      </c>
      <c r="Q51" t="s">
        <v>254</v>
      </c>
      <c r="S51" t="s">
        <v>423</v>
      </c>
      <c r="T51" t="s">
        <v>318</v>
      </c>
      <c r="U51">
        <v>2.5129735917864913E-2</v>
      </c>
      <c r="V51" t="s">
        <v>254</v>
      </c>
      <c r="X51">
        <v>2.3972602739726026E-2</v>
      </c>
      <c r="Y51">
        <v>9.4672202471222967E-3</v>
      </c>
      <c r="Z51" t="s">
        <v>318</v>
      </c>
      <c r="AA51" t="s">
        <v>25</v>
      </c>
      <c r="AC51" t="s">
        <v>22</v>
      </c>
      <c r="AD51" t="s">
        <v>318</v>
      </c>
      <c r="AE51">
        <v>1.7488610268034464E-2</v>
      </c>
      <c r="AG51" t="s">
        <v>97</v>
      </c>
      <c r="AH51" t="s">
        <v>318</v>
      </c>
      <c r="AI51">
        <v>0.24991961882631952</v>
      </c>
    </row>
    <row r="52" spans="9:35" x14ac:dyDescent="0.45">
      <c r="I52" t="s">
        <v>252</v>
      </c>
      <c r="J52" t="s">
        <v>319</v>
      </c>
      <c r="K52">
        <v>6.1841470682526736E-3</v>
      </c>
      <c r="L52" t="s">
        <v>254</v>
      </c>
      <c r="N52" t="s">
        <v>422</v>
      </c>
      <c r="O52" t="s">
        <v>319</v>
      </c>
      <c r="P52">
        <v>3.1241827884695363E-3</v>
      </c>
      <c r="Q52" t="s">
        <v>254</v>
      </c>
      <c r="S52" t="s">
        <v>423</v>
      </c>
      <c r="T52" t="s">
        <v>319</v>
      </c>
      <c r="U52">
        <v>3.3597758328187555E-3</v>
      </c>
      <c r="V52" t="s">
        <v>254</v>
      </c>
      <c r="X52">
        <v>3.4246575342465752E-3</v>
      </c>
      <c r="Y52">
        <v>5.7181214727892006E-3</v>
      </c>
      <c r="Z52" t="s">
        <v>319</v>
      </c>
      <c r="AA52" t="s">
        <v>25</v>
      </c>
      <c r="AC52" t="s">
        <v>22</v>
      </c>
      <c r="AD52" t="s">
        <v>319</v>
      </c>
      <c r="AE52">
        <v>3.3156576031517526E-3</v>
      </c>
      <c r="AG52" t="s">
        <v>97</v>
      </c>
      <c r="AH52" t="s">
        <v>319</v>
      </c>
      <c r="AI52">
        <v>8.5906828824655834E-2</v>
      </c>
    </row>
    <row r="53" spans="9:35" x14ac:dyDescent="0.45">
      <c r="I53" t="s">
        <v>252</v>
      </c>
      <c r="J53" t="s">
        <v>320</v>
      </c>
      <c r="K53">
        <v>1.7257027347523102E-2</v>
      </c>
      <c r="L53" t="s">
        <v>254</v>
      </c>
      <c r="N53" t="s">
        <v>422</v>
      </c>
      <c r="O53" t="s">
        <v>320</v>
      </c>
      <c r="P53">
        <v>6.1932716537798594E-3</v>
      </c>
      <c r="Q53" t="s">
        <v>254</v>
      </c>
      <c r="S53" t="s">
        <v>423</v>
      </c>
      <c r="T53" t="s">
        <v>320</v>
      </c>
      <c r="U53">
        <v>6.4362456864020257E-3</v>
      </c>
      <c r="V53" t="s">
        <v>254</v>
      </c>
      <c r="X53">
        <v>6.8493150684931503E-3</v>
      </c>
      <c r="Y53">
        <v>8.7114337568058101E-3</v>
      </c>
      <c r="Z53" t="s">
        <v>320</v>
      </c>
      <c r="AA53" t="s">
        <v>25</v>
      </c>
      <c r="AC53" t="s">
        <v>22</v>
      </c>
      <c r="AD53" t="s">
        <v>320</v>
      </c>
      <c r="AE53">
        <v>7.054458014878375E-3</v>
      </c>
      <c r="AG53" t="s">
        <v>97</v>
      </c>
      <c r="AH53" t="s">
        <v>320</v>
      </c>
      <c r="AI53">
        <v>7.949769795769468E-2</v>
      </c>
    </row>
    <row r="54" spans="9:35" x14ac:dyDescent="0.45">
      <c r="I54" t="s">
        <v>252</v>
      </c>
      <c r="J54" t="s">
        <v>321</v>
      </c>
      <c r="K54">
        <v>3.1032577269899102E-2</v>
      </c>
      <c r="L54" t="s">
        <v>254</v>
      </c>
      <c r="N54" t="s">
        <v>422</v>
      </c>
      <c r="O54" t="s">
        <v>321</v>
      </c>
      <c r="P54">
        <v>9.1473478212649451E-3</v>
      </c>
      <c r="Q54" t="s">
        <v>254</v>
      </c>
      <c r="S54" t="s">
        <v>423</v>
      </c>
      <c r="T54" t="s">
        <v>321</v>
      </c>
      <c r="U54">
        <v>9.2189883341408773E-3</v>
      </c>
      <c r="V54" t="s">
        <v>254</v>
      </c>
      <c r="X54">
        <v>1.0273972602739725E-2</v>
      </c>
      <c r="Y54">
        <v>1.2719091067299805E-2</v>
      </c>
      <c r="Z54" t="s">
        <v>321</v>
      </c>
      <c r="AA54" t="s">
        <v>25</v>
      </c>
      <c r="AC54" t="s">
        <v>22</v>
      </c>
      <c r="AD54" t="s">
        <v>321</v>
      </c>
      <c r="AE54">
        <v>1.061967671959025E-2</v>
      </c>
      <c r="AG54" t="s">
        <v>97</v>
      </c>
      <c r="AH54" t="s">
        <v>321</v>
      </c>
      <c r="AI54">
        <v>9.0232011743215157E-2</v>
      </c>
    </row>
    <row r="55" spans="9:35" x14ac:dyDescent="0.45">
      <c r="I55" t="s">
        <v>252</v>
      </c>
      <c r="J55" t="s">
        <v>322</v>
      </c>
      <c r="K55">
        <v>1.0379484394511199E-2</v>
      </c>
      <c r="L55" t="s">
        <v>254</v>
      </c>
      <c r="N55" t="s">
        <v>422</v>
      </c>
      <c r="O55" t="s">
        <v>322</v>
      </c>
      <c r="P55">
        <v>3.3384784267306532E-3</v>
      </c>
      <c r="Q55" t="s">
        <v>254</v>
      </c>
      <c r="S55" t="s">
        <v>423</v>
      </c>
      <c r="T55" t="s">
        <v>322</v>
      </c>
      <c r="U55">
        <v>3.3337340186684571E-3</v>
      </c>
      <c r="V55" t="s">
        <v>254</v>
      </c>
      <c r="X55">
        <v>3.4246575342465752E-3</v>
      </c>
      <c r="Y55">
        <v>4.4651070283171336E-3</v>
      </c>
      <c r="Z55" t="s">
        <v>322</v>
      </c>
      <c r="AA55" t="s">
        <v>25</v>
      </c>
      <c r="AC55" t="s">
        <v>22</v>
      </c>
      <c r="AD55" t="s">
        <v>322</v>
      </c>
      <c r="AE55">
        <v>3.5121893679205046E-3</v>
      </c>
      <c r="AG55" t="s">
        <v>97</v>
      </c>
      <c r="AH55" t="s">
        <v>322</v>
      </c>
      <c r="AI55">
        <v>9.4368775197642751E-2</v>
      </c>
    </row>
    <row r="56" spans="9:35" x14ac:dyDescent="0.45">
      <c r="I56" t="s">
        <v>252</v>
      </c>
      <c r="J56" t="s">
        <v>323</v>
      </c>
      <c r="K56">
        <v>1.93108739122206E-2</v>
      </c>
      <c r="L56" t="s">
        <v>254</v>
      </c>
      <c r="N56" t="s">
        <v>422</v>
      </c>
      <c r="O56" t="s">
        <v>323</v>
      </c>
      <c r="P56">
        <v>7.031500255929561E-3</v>
      </c>
      <c r="Q56" t="s">
        <v>254</v>
      </c>
      <c r="S56" t="s">
        <v>423</v>
      </c>
      <c r="T56" t="s">
        <v>323</v>
      </c>
      <c r="U56">
        <v>7.0747397713290926E-3</v>
      </c>
      <c r="V56" t="s">
        <v>254</v>
      </c>
      <c r="X56">
        <v>6.8493150684931503E-3</v>
      </c>
      <c r="Y56">
        <v>9.6860005469507522E-3</v>
      </c>
      <c r="Z56" t="s">
        <v>323</v>
      </c>
      <c r="AA56" t="s">
        <v>25</v>
      </c>
      <c r="AC56" t="s">
        <v>22</v>
      </c>
      <c r="AD56" t="s">
        <v>323</v>
      </c>
      <c r="AE56">
        <v>6.960911278074502E-3</v>
      </c>
      <c r="AG56" t="s">
        <v>97</v>
      </c>
      <c r="AH56" t="s">
        <v>323</v>
      </c>
      <c r="AI56">
        <v>9.1878563521638146E-2</v>
      </c>
    </row>
    <row r="57" spans="9:35" x14ac:dyDescent="0.45">
      <c r="I57" t="s">
        <v>252</v>
      </c>
      <c r="J57" t="s">
        <v>324</v>
      </c>
      <c r="K57">
        <v>1.5121568962202086E-2</v>
      </c>
      <c r="L57" t="s">
        <v>254</v>
      </c>
      <c r="N57" t="s">
        <v>422</v>
      </c>
      <c r="O57" t="s">
        <v>324</v>
      </c>
      <c r="P57">
        <v>7.1879336505591826E-3</v>
      </c>
      <c r="Q57" t="s">
        <v>254</v>
      </c>
      <c r="S57" t="s">
        <v>423</v>
      </c>
      <c r="T57" t="s">
        <v>324</v>
      </c>
      <c r="U57">
        <v>7.2392246503869464E-3</v>
      </c>
      <c r="V57" t="s">
        <v>254</v>
      </c>
      <c r="X57">
        <v>6.8493150684931503E-3</v>
      </c>
      <c r="Y57">
        <v>1.3325709171369611E-2</v>
      </c>
      <c r="Z57" t="s">
        <v>324</v>
      </c>
      <c r="AA57" t="s">
        <v>25</v>
      </c>
      <c r="AC57" t="s">
        <v>22</v>
      </c>
      <c r="AD57" t="s">
        <v>324</v>
      </c>
      <c r="AE57">
        <v>6.9293565468561812E-3</v>
      </c>
      <c r="AG57" t="s">
        <v>97</v>
      </c>
      <c r="AH57" t="s">
        <v>324</v>
      </c>
      <c r="AI57">
        <v>9.0870610702260324E-2</v>
      </c>
    </row>
    <row r="58" spans="9:35" x14ac:dyDescent="0.45">
      <c r="I58" t="s">
        <v>252</v>
      </c>
      <c r="J58" t="s">
        <v>325</v>
      </c>
      <c r="K58">
        <v>8.5278993784270677E-3</v>
      </c>
      <c r="L58" t="s">
        <v>254</v>
      </c>
      <c r="N58" t="s">
        <v>422</v>
      </c>
      <c r="O58" t="s">
        <v>325</v>
      </c>
      <c r="P58">
        <v>2.1214173006225495E-2</v>
      </c>
      <c r="Q58" t="s">
        <v>254</v>
      </c>
      <c r="S58" t="s">
        <v>423</v>
      </c>
      <c r="T58" t="s">
        <v>325</v>
      </c>
      <c r="U58">
        <v>2.2072502763051959E-2</v>
      </c>
      <c r="V58" t="s">
        <v>254</v>
      </c>
      <c r="X58">
        <v>2.0547945205479451E-2</v>
      </c>
      <c r="Y58">
        <v>1.8099097531263209E-2</v>
      </c>
      <c r="Z58" t="s">
        <v>325</v>
      </c>
      <c r="AA58" t="s">
        <v>25</v>
      </c>
      <c r="AC58" t="s">
        <v>22</v>
      </c>
      <c r="AD58" t="s">
        <v>325</v>
      </c>
      <c r="AE58">
        <v>1.853526384323095E-2</v>
      </c>
      <c r="AG58" t="s">
        <v>97</v>
      </c>
      <c r="AH58" t="s">
        <v>325</v>
      </c>
      <c r="AI58">
        <v>0.17560791662970909</v>
      </c>
    </row>
    <row r="59" spans="9:35" x14ac:dyDescent="0.45">
      <c r="I59" t="s">
        <v>252</v>
      </c>
      <c r="J59" t="s">
        <v>326</v>
      </c>
      <c r="K59">
        <v>5.6907262752047107E-3</v>
      </c>
      <c r="L59" t="s">
        <v>254</v>
      </c>
      <c r="N59" t="s">
        <v>422</v>
      </c>
      <c r="O59" t="s">
        <v>326</v>
      </c>
      <c r="P59">
        <v>1.8201165978808966E-2</v>
      </c>
      <c r="Q59" t="s">
        <v>254</v>
      </c>
      <c r="S59" t="s">
        <v>423</v>
      </c>
      <c r="T59" t="s">
        <v>326</v>
      </c>
      <c r="U59">
        <v>1.887990473979247E-2</v>
      </c>
      <c r="V59" t="s">
        <v>254</v>
      </c>
      <c r="X59">
        <v>2.4771689497716895E-2</v>
      </c>
      <c r="Y59">
        <v>9.7827942553597048E-3</v>
      </c>
      <c r="Z59" t="s">
        <v>326</v>
      </c>
      <c r="AA59" t="s">
        <v>25</v>
      </c>
      <c r="AC59" t="s">
        <v>22</v>
      </c>
      <c r="AD59" t="s">
        <v>326</v>
      </c>
      <c r="AE59">
        <v>1.8858161963641967E-2</v>
      </c>
      <c r="AG59" t="s">
        <v>97</v>
      </c>
      <c r="AH59" t="s">
        <v>326</v>
      </c>
      <c r="AI59">
        <v>0.24207174233774098</v>
      </c>
    </row>
    <row r="60" spans="9:35" x14ac:dyDescent="0.45">
      <c r="I60" t="s">
        <v>252</v>
      </c>
      <c r="J60" t="s">
        <v>327</v>
      </c>
      <c r="K60">
        <v>7.55060257483479E-3</v>
      </c>
      <c r="L60" t="s">
        <v>254</v>
      </c>
      <c r="N60" t="s">
        <v>422</v>
      </c>
      <c r="O60" t="s">
        <v>327</v>
      </c>
      <c r="P60">
        <v>2.1271741024613093E-3</v>
      </c>
      <c r="Q60" t="s">
        <v>254</v>
      </c>
      <c r="S60" t="s">
        <v>423</v>
      </c>
      <c r="T60" t="s">
        <v>327</v>
      </c>
      <c r="U60">
        <v>2.7065679260956034E-3</v>
      </c>
      <c r="V60" t="s">
        <v>254</v>
      </c>
      <c r="X60">
        <v>3.5388127853881279E-3</v>
      </c>
      <c r="Y60">
        <v>5.9087255218821738E-3</v>
      </c>
      <c r="Z60" t="s">
        <v>327</v>
      </c>
      <c r="AA60" t="s">
        <v>25</v>
      </c>
      <c r="AC60" t="s">
        <v>22</v>
      </c>
      <c r="AD60" t="s">
        <v>327</v>
      </c>
      <c r="AE60">
        <v>3.5128636638608918E-3</v>
      </c>
      <c r="AG60" t="s">
        <v>97</v>
      </c>
      <c r="AH60" t="s">
        <v>327</v>
      </c>
      <c r="AI60">
        <v>8.4097695100208369E-2</v>
      </c>
    </row>
    <row r="61" spans="9:35" x14ac:dyDescent="0.45">
      <c r="I61" t="s">
        <v>252</v>
      </c>
      <c r="J61" t="s">
        <v>328</v>
      </c>
      <c r="K61">
        <v>2.0721789575153613E-2</v>
      </c>
      <c r="L61" t="s">
        <v>254</v>
      </c>
      <c r="N61" t="s">
        <v>422</v>
      </c>
      <c r="O61" t="s">
        <v>328</v>
      </c>
      <c r="P61">
        <v>4.1715642512792578E-3</v>
      </c>
      <c r="Q61" t="s">
        <v>254</v>
      </c>
      <c r="S61" t="s">
        <v>423</v>
      </c>
      <c r="T61" t="s">
        <v>328</v>
      </c>
      <c r="U61">
        <v>5.4643547861619023E-3</v>
      </c>
      <c r="V61" t="s">
        <v>254</v>
      </c>
      <c r="X61">
        <v>7.0776255707762558E-3</v>
      </c>
      <c r="Y61">
        <v>9.0018148820326695E-3</v>
      </c>
      <c r="Z61" t="s">
        <v>328</v>
      </c>
      <c r="AA61" t="s">
        <v>25</v>
      </c>
      <c r="AC61" t="s">
        <v>22</v>
      </c>
      <c r="AD61" t="s">
        <v>328</v>
      </c>
      <c r="AE61">
        <v>7.4054069461412407E-3</v>
      </c>
      <c r="AG61" t="s">
        <v>97</v>
      </c>
      <c r="AH61" t="s">
        <v>328</v>
      </c>
      <c r="AI61">
        <v>8.0283624945774568E-2</v>
      </c>
    </row>
    <row r="62" spans="9:35" x14ac:dyDescent="0.45">
      <c r="I62" t="s">
        <v>252</v>
      </c>
      <c r="J62" t="s">
        <v>329</v>
      </c>
      <c r="K62">
        <v>3.6099682601023697E-2</v>
      </c>
      <c r="L62" t="s">
        <v>254</v>
      </c>
      <c r="N62" t="s">
        <v>422</v>
      </c>
      <c r="O62" t="s">
        <v>329</v>
      </c>
      <c r="P62">
        <v>6.5230661504722112E-3</v>
      </c>
      <c r="Q62" t="s">
        <v>254</v>
      </c>
      <c r="S62" t="s">
        <v>423</v>
      </c>
      <c r="T62" t="s">
        <v>329</v>
      </c>
      <c r="U62">
        <v>7.8405552467663148E-3</v>
      </c>
      <c r="V62" t="s">
        <v>254</v>
      </c>
      <c r="X62">
        <v>1.0616438356164383E-2</v>
      </c>
      <c r="Y62">
        <v>1.3143060769543132E-2</v>
      </c>
      <c r="Z62" t="s">
        <v>329</v>
      </c>
      <c r="AA62" t="s">
        <v>25</v>
      </c>
      <c r="AC62" t="s">
        <v>22</v>
      </c>
      <c r="AD62" t="s">
        <v>329</v>
      </c>
      <c r="AE62">
        <v>1.1291179002468097E-2</v>
      </c>
      <c r="AG62" t="s">
        <v>97</v>
      </c>
      <c r="AH62" t="s">
        <v>329</v>
      </c>
      <c r="AI62">
        <v>7.6367802863346324E-2</v>
      </c>
    </row>
    <row r="63" spans="9:35" x14ac:dyDescent="0.45">
      <c r="I63" t="s">
        <v>252</v>
      </c>
      <c r="J63" t="s">
        <v>330</v>
      </c>
      <c r="K63">
        <v>1.1819498630638E-2</v>
      </c>
      <c r="L63" t="s">
        <v>254</v>
      </c>
      <c r="N63" t="s">
        <v>422</v>
      </c>
      <c r="O63" t="s">
        <v>330</v>
      </c>
      <c r="P63">
        <v>2.4607224403917377E-3</v>
      </c>
      <c r="Q63" t="s">
        <v>254</v>
      </c>
      <c r="S63" t="s">
        <v>423</v>
      </c>
      <c r="T63" t="s">
        <v>330</v>
      </c>
      <c r="U63">
        <v>2.6489329002128701E-3</v>
      </c>
      <c r="V63" t="s">
        <v>254</v>
      </c>
      <c r="X63">
        <v>3.5388127853881279E-3</v>
      </c>
      <c r="Y63">
        <v>4.6139439292610376E-3</v>
      </c>
      <c r="Z63" t="s">
        <v>330</v>
      </c>
      <c r="AA63" t="s">
        <v>25</v>
      </c>
      <c r="AC63" t="s">
        <v>22</v>
      </c>
      <c r="AD63" t="s">
        <v>330</v>
      </c>
      <c r="AE63">
        <v>3.7514087376990914E-3</v>
      </c>
      <c r="AG63" t="s">
        <v>97</v>
      </c>
      <c r="AH63" t="s">
        <v>330</v>
      </c>
      <c r="AI63">
        <v>6.6606082518882115E-2</v>
      </c>
    </row>
    <row r="64" spans="9:35" x14ac:dyDescent="0.45">
      <c r="I64" t="s">
        <v>252</v>
      </c>
      <c r="J64" t="s">
        <v>331</v>
      </c>
      <c r="K64">
        <v>2.2654420268322401E-2</v>
      </c>
      <c r="L64" t="s">
        <v>254</v>
      </c>
      <c r="N64" t="s">
        <v>422</v>
      </c>
      <c r="O64" t="s">
        <v>331</v>
      </c>
      <c r="P64">
        <v>5.2701698669585344E-3</v>
      </c>
      <c r="Q64" t="s">
        <v>254</v>
      </c>
      <c r="S64" t="s">
        <v>423</v>
      </c>
      <c r="T64" t="s">
        <v>331</v>
      </c>
      <c r="U64">
        <v>5.4321792671511064E-3</v>
      </c>
      <c r="V64" t="s">
        <v>254</v>
      </c>
      <c r="X64">
        <v>7.0776255707762558E-3</v>
      </c>
      <c r="Y64">
        <v>1.0008867231849112E-2</v>
      </c>
      <c r="Z64" t="s">
        <v>331</v>
      </c>
      <c r="AA64" t="s">
        <v>25</v>
      </c>
      <c r="AC64" t="s">
        <v>22</v>
      </c>
      <c r="AD64" t="s">
        <v>331</v>
      </c>
      <c r="AE64">
        <v>7.4168321113830121E-3</v>
      </c>
      <c r="AG64" t="s">
        <v>97</v>
      </c>
      <c r="AH64" t="s">
        <v>331</v>
      </c>
      <c r="AI64">
        <v>6.1976360186815738E-2</v>
      </c>
    </row>
    <row r="65" spans="9:35" x14ac:dyDescent="0.45">
      <c r="I65" t="s">
        <v>252</v>
      </c>
      <c r="J65" t="s">
        <v>332</v>
      </c>
      <c r="K65">
        <v>1.7943417315136038E-2</v>
      </c>
      <c r="L65" t="s">
        <v>254</v>
      </c>
      <c r="N65" t="s">
        <v>422</v>
      </c>
      <c r="O65" t="s">
        <v>332</v>
      </c>
      <c r="P65">
        <v>5.7330128839986833E-3</v>
      </c>
      <c r="Q65" t="s">
        <v>254</v>
      </c>
      <c r="S65" t="s">
        <v>423</v>
      </c>
      <c r="T65" t="s">
        <v>332</v>
      </c>
      <c r="U65">
        <v>5.604131701026362E-3</v>
      </c>
      <c r="V65" t="s">
        <v>254</v>
      </c>
      <c r="X65">
        <v>7.0776255707762558E-3</v>
      </c>
      <c r="Y65">
        <v>1.376989947708193E-2</v>
      </c>
      <c r="Z65" t="s">
        <v>332</v>
      </c>
      <c r="AA65" t="s">
        <v>25</v>
      </c>
      <c r="AC65" t="s">
        <v>22</v>
      </c>
      <c r="AD65" t="s">
        <v>332</v>
      </c>
      <c r="AE65">
        <v>7.3722437930480167E-3</v>
      </c>
      <c r="AG65" t="s">
        <v>97</v>
      </c>
      <c r="AH65" t="s">
        <v>332</v>
      </c>
      <c r="AI65">
        <v>6.0412964463251617E-2</v>
      </c>
    </row>
    <row r="66" spans="9:35" x14ac:dyDescent="0.45">
      <c r="I66" t="s">
        <v>252</v>
      </c>
      <c r="J66" t="s">
        <v>333</v>
      </c>
      <c r="K66">
        <v>1.0110616542517919E-2</v>
      </c>
      <c r="L66" t="s">
        <v>254</v>
      </c>
      <c r="N66" t="s">
        <v>422</v>
      </c>
      <c r="O66" t="s">
        <v>333</v>
      </c>
      <c r="P66">
        <v>1.7772919654848611E-2</v>
      </c>
      <c r="Q66" t="s">
        <v>254</v>
      </c>
      <c r="S66" t="s">
        <v>423</v>
      </c>
      <c r="T66" t="s">
        <v>333</v>
      </c>
      <c r="U66">
        <v>1.6571575300024611E-2</v>
      </c>
      <c r="V66" t="s">
        <v>254</v>
      </c>
      <c r="X66">
        <v>2.1232876712328767E-2</v>
      </c>
      <c r="Y66">
        <v>1.8702400782305319E-2</v>
      </c>
      <c r="Z66" t="s">
        <v>333</v>
      </c>
      <c r="AA66" t="s">
        <v>25</v>
      </c>
      <c r="AC66" t="s">
        <v>22</v>
      </c>
      <c r="AD66" t="s">
        <v>333</v>
      </c>
      <c r="AE66">
        <v>1.9901975371152368E-2</v>
      </c>
      <c r="AG66" t="s">
        <v>97</v>
      </c>
      <c r="AH66" t="s">
        <v>333</v>
      </c>
      <c r="AI66">
        <v>0.13890349193737483</v>
      </c>
    </row>
    <row r="67" spans="9:35" x14ac:dyDescent="0.45">
      <c r="I67" t="s">
        <v>252</v>
      </c>
      <c r="J67" t="s">
        <v>334</v>
      </c>
      <c r="K67">
        <v>3.9604629256030279E-3</v>
      </c>
      <c r="L67" t="s">
        <v>254</v>
      </c>
      <c r="N67" t="s">
        <v>422</v>
      </c>
      <c r="O67" t="s">
        <v>334</v>
      </c>
      <c r="P67">
        <v>1.3574561492915088E-2</v>
      </c>
      <c r="Q67" t="s">
        <v>254</v>
      </c>
      <c r="S67" t="s">
        <v>423</v>
      </c>
      <c r="T67" t="s">
        <v>334</v>
      </c>
      <c r="U67">
        <v>1.3995354889387695E-2</v>
      </c>
      <c r="V67" t="s">
        <v>254</v>
      </c>
      <c r="X67">
        <v>2.4771689497716895E-2</v>
      </c>
      <c r="Y67">
        <v>9.7827942553597048E-3</v>
      </c>
      <c r="Z67" t="s">
        <v>334</v>
      </c>
      <c r="AA67" t="s">
        <v>25</v>
      </c>
      <c r="AC67" t="s">
        <v>22</v>
      </c>
      <c r="AD67" t="s">
        <v>334</v>
      </c>
      <c r="AE67">
        <v>1.8433162429690501E-2</v>
      </c>
      <c r="AG67" t="s">
        <v>97</v>
      </c>
      <c r="AH67" t="s">
        <v>334</v>
      </c>
      <c r="AI67">
        <v>0.25659329650244533</v>
      </c>
    </row>
    <row r="68" spans="9:35" x14ac:dyDescent="0.45">
      <c r="I68" t="s">
        <v>252</v>
      </c>
      <c r="J68" t="s">
        <v>335</v>
      </c>
      <c r="K68">
        <v>6.8776317850581525E-3</v>
      </c>
      <c r="L68" t="s">
        <v>254</v>
      </c>
      <c r="N68" t="s">
        <v>422</v>
      </c>
      <c r="O68" t="s">
        <v>335</v>
      </c>
      <c r="P68">
        <v>1.6838533274588538E-3</v>
      </c>
      <c r="Q68" t="s">
        <v>254</v>
      </c>
      <c r="S68" t="s">
        <v>423</v>
      </c>
      <c r="T68" t="s">
        <v>335</v>
      </c>
      <c r="U68">
        <v>1.9015683511580327E-3</v>
      </c>
      <c r="V68" t="s">
        <v>254</v>
      </c>
      <c r="X68">
        <v>3.5388127853881279E-3</v>
      </c>
      <c r="Y68">
        <v>5.9087255218821738E-3</v>
      </c>
      <c r="Z68" t="s">
        <v>335</v>
      </c>
      <c r="AA68" t="s">
        <v>25</v>
      </c>
      <c r="AC68" t="s">
        <v>22</v>
      </c>
      <c r="AD68" t="s">
        <v>335</v>
      </c>
      <c r="AE68">
        <v>3.4728415747913087E-3</v>
      </c>
      <c r="AG68" t="s">
        <v>97</v>
      </c>
      <c r="AH68" t="s">
        <v>335</v>
      </c>
      <c r="AI68">
        <v>9.6970382779109077E-2</v>
      </c>
    </row>
    <row r="69" spans="9:35" x14ac:dyDescent="0.45">
      <c r="I69" t="s">
        <v>252</v>
      </c>
      <c r="J69" t="s">
        <v>336</v>
      </c>
      <c r="K69">
        <v>1.9994356603512699E-2</v>
      </c>
      <c r="L69" t="s">
        <v>254</v>
      </c>
      <c r="N69" t="s">
        <v>422</v>
      </c>
      <c r="O69" t="s">
        <v>336</v>
      </c>
      <c r="P69">
        <v>3.2985233027799004E-3</v>
      </c>
      <c r="Q69" t="s">
        <v>254</v>
      </c>
      <c r="S69" t="s">
        <v>423</v>
      </c>
      <c r="T69" t="s">
        <v>336</v>
      </c>
      <c r="U69">
        <v>3.7733614335994652E-3</v>
      </c>
      <c r="V69" t="s">
        <v>254</v>
      </c>
      <c r="X69">
        <v>7.0776255707762558E-3</v>
      </c>
      <c r="Y69">
        <v>9.0018148820326695E-3</v>
      </c>
      <c r="Z69" t="s">
        <v>336</v>
      </c>
      <c r="AA69" t="s">
        <v>25</v>
      </c>
      <c r="AC69" t="s">
        <v>22</v>
      </c>
      <c r="AD69" t="s">
        <v>336</v>
      </c>
      <c r="AE69">
        <v>7.3733418135328143E-3</v>
      </c>
      <c r="AG69" t="s">
        <v>97</v>
      </c>
      <c r="AH69" t="s">
        <v>336</v>
      </c>
      <c r="AI69">
        <v>9.2650294275706147E-2</v>
      </c>
    </row>
    <row r="70" spans="9:35" x14ac:dyDescent="0.45">
      <c r="I70" t="s">
        <v>252</v>
      </c>
      <c r="J70" t="s">
        <v>337</v>
      </c>
      <c r="K70">
        <v>3.4748024933677998E-2</v>
      </c>
      <c r="L70" t="s">
        <v>254</v>
      </c>
      <c r="N70" t="s">
        <v>422</v>
      </c>
      <c r="O70" t="s">
        <v>337</v>
      </c>
      <c r="P70">
        <v>5.2838270010361777E-3</v>
      </c>
      <c r="Q70" t="s">
        <v>254</v>
      </c>
      <c r="S70" t="s">
        <v>423</v>
      </c>
      <c r="T70" t="s">
        <v>337</v>
      </c>
      <c r="U70">
        <v>5.4994001290012019E-3</v>
      </c>
      <c r="V70" t="s">
        <v>254</v>
      </c>
      <c r="X70">
        <v>1.0616438356164383E-2</v>
      </c>
      <c r="Y70">
        <v>1.3143060769543132E-2</v>
      </c>
      <c r="Z70" t="s">
        <v>337</v>
      </c>
      <c r="AA70" t="s">
        <v>25</v>
      </c>
      <c r="AC70" t="s">
        <v>22</v>
      </c>
      <c r="AD70" t="s">
        <v>337</v>
      </c>
      <c r="AE70">
        <v>1.1176574721149324E-2</v>
      </c>
      <c r="AG70" t="s">
        <v>97</v>
      </c>
      <c r="AH70" t="s">
        <v>337</v>
      </c>
      <c r="AI70">
        <v>9.1669570383527077E-2</v>
      </c>
    </row>
    <row r="71" spans="9:35" x14ac:dyDescent="0.45">
      <c r="I71" t="s">
        <v>252</v>
      </c>
      <c r="J71" t="s">
        <v>338</v>
      </c>
      <c r="K71">
        <v>1.1383794505874499E-2</v>
      </c>
      <c r="L71" t="s">
        <v>254</v>
      </c>
      <c r="N71" t="s">
        <v>422</v>
      </c>
      <c r="O71" t="s">
        <v>338</v>
      </c>
      <c r="P71">
        <v>2.0319429615693468E-3</v>
      </c>
      <c r="Q71" t="s">
        <v>254</v>
      </c>
      <c r="S71" t="s">
        <v>423</v>
      </c>
      <c r="T71" t="s">
        <v>338</v>
      </c>
      <c r="U71">
        <v>1.9676078253799403E-3</v>
      </c>
      <c r="V71" t="s">
        <v>254</v>
      </c>
      <c r="X71">
        <v>3.5388127853881279E-3</v>
      </c>
      <c r="Y71">
        <v>4.6139439292610376E-3</v>
      </c>
      <c r="Z71" t="s">
        <v>338</v>
      </c>
      <c r="AA71" t="s">
        <v>25</v>
      </c>
      <c r="AC71" t="s">
        <v>22</v>
      </c>
      <c r="AD71" t="s">
        <v>338</v>
      </c>
      <c r="AE71">
        <v>3.7086479843560223E-3</v>
      </c>
      <c r="AG71" t="s">
        <v>97</v>
      </c>
      <c r="AH71" t="s">
        <v>338</v>
      </c>
      <c r="AI71">
        <v>8.988583846178444E-2</v>
      </c>
    </row>
    <row r="72" spans="9:35" x14ac:dyDescent="0.45">
      <c r="I72" t="s">
        <v>252</v>
      </c>
      <c r="J72" t="s">
        <v>339</v>
      </c>
      <c r="K72">
        <v>2.2523727310652501E-2</v>
      </c>
      <c r="L72" t="s">
        <v>254</v>
      </c>
      <c r="N72" t="s">
        <v>422</v>
      </c>
      <c r="O72" t="s">
        <v>339</v>
      </c>
      <c r="P72">
        <v>4.4436542824720275E-3</v>
      </c>
      <c r="Q72" t="s">
        <v>254</v>
      </c>
      <c r="S72" t="s">
        <v>423</v>
      </c>
      <c r="T72" t="s">
        <v>339</v>
      </c>
      <c r="U72">
        <v>4.2761780886685693E-3</v>
      </c>
      <c r="V72" t="s">
        <v>254</v>
      </c>
      <c r="X72">
        <v>7.0776255707762558E-3</v>
      </c>
      <c r="Y72">
        <v>1.0008867231849112E-2</v>
      </c>
      <c r="Z72" t="s">
        <v>339</v>
      </c>
      <c r="AA72" t="s">
        <v>25</v>
      </c>
      <c r="AC72" t="s">
        <v>22</v>
      </c>
      <c r="AD72" t="s">
        <v>339</v>
      </c>
      <c r="AE72">
        <v>7.3482463409091031E-3</v>
      </c>
      <c r="AG72" t="s">
        <v>97</v>
      </c>
      <c r="AH72" t="s">
        <v>339</v>
      </c>
      <c r="AI72">
        <v>8.184768968684053E-2</v>
      </c>
    </row>
    <row r="73" spans="9:35" x14ac:dyDescent="0.45">
      <c r="I73" t="s">
        <v>252</v>
      </c>
      <c r="J73" t="s">
        <v>340</v>
      </c>
      <c r="K73">
        <v>1.8597065373365099E-2</v>
      </c>
      <c r="L73" t="s">
        <v>254</v>
      </c>
      <c r="N73" t="s">
        <v>422</v>
      </c>
      <c r="O73" t="s">
        <v>340</v>
      </c>
      <c r="P73">
        <v>4.6671668575282562E-3</v>
      </c>
      <c r="Q73" t="s">
        <v>254</v>
      </c>
      <c r="S73" t="s">
        <v>423</v>
      </c>
      <c r="T73" t="s">
        <v>340</v>
      </c>
      <c r="U73">
        <v>4.6037098020107999E-3</v>
      </c>
      <c r="V73" t="s">
        <v>254</v>
      </c>
      <c r="X73">
        <v>7.0776255707762558E-3</v>
      </c>
      <c r="Y73">
        <v>1.376989947708193E-2</v>
      </c>
      <c r="Z73" t="s">
        <v>340</v>
      </c>
      <c r="AA73" t="s">
        <v>25</v>
      </c>
      <c r="AC73" t="s">
        <v>22</v>
      </c>
      <c r="AD73" t="s">
        <v>340</v>
      </c>
      <c r="AE73">
        <v>7.3042052440069061E-3</v>
      </c>
      <c r="AG73" t="s">
        <v>97</v>
      </c>
      <c r="AH73" t="s">
        <v>340</v>
      </c>
      <c r="AI73">
        <v>7.4708839379281633E-2</v>
      </c>
    </row>
    <row r="74" spans="9:35" x14ac:dyDescent="0.45">
      <c r="I74" t="s">
        <v>252</v>
      </c>
      <c r="J74" t="s">
        <v>341</v>
      </c>
      <c r="K74">
        <v>8.9078218378577587E-3</v>
      </c>
      <c r="L74" t="s">
        <v>254</v>
      </c>
      <c r="N74" t="s">
        <v>422</v>
      </c>
      <c r="O74" t="s">
        <v>341</v>
      </c>
      <c r="P74">
        <v>1.3531520225343621E-2</v>
      </c>
      <c r="Q74" t="s">
        <v>254</v>
      </c>
      <c r="S74" t="s">
        <v>423</v>
      </c>
      <c r="T74" t="s">
        <v>341</v>
      </c>
      <c r="U74">
        <v>1.4177962118868714E-2</v>
      </c>
      <c r="V74" t="s">
        <v>254</v>
      </c>
      <c r="X74">
        <v>2.1232876712328767E-2</v>
      </c>
      <c r="Y74">
        <v>1.8702400782305319E-2</v>
      </c>
      <c r="Z74" t="s">
        <v>341</v>
      </c>
      <c r="AA74" t="s">
        <v>25</v>
      </c>
      <c r="AC74" t="s">
        <v>22</v>
      </c>
      <c r="AD74" t="s">
        <v>341</v>
      </c>
      <c r="AE74">
        <v>1.948848359824654E-2</v>
      </c>
      <c r="AG74" t="s">
        <v>97</v>
      </c>
      <c r="AH74" t="s">
        <v>341</v>
      </c>
      <c r="AI74">
        <v>0.16891288263482473</v>
      </c>
    </row>
    <row r="75" spans="9:35" x14ac:dyDescent="0.45">
      <c r="I75" t="s">
        <v>252</v>
      </c>
      <c r="J75" t="s">
        <v>366</v>
      </c>
      <c r="K75">
        <v>8.0526567009118599E-4</v>
      </c>
      <c r="L75" t="s">
        <v>254</v>
      </c>
      <c r="N75" t="s">
        <v>422</v>
      </c>
      <c r="O75" t="s">
        <v>366</v>
      </c>
      <c r="P75">
        <v>1.7096764012854013E-2</v>
      </c>
      <c r="Q75" t="s">
        <v>254</v>
      </c>
      <c r="S75" t="s">
        <v>423</v>
      </c>
      <c r="T75" t="s">
        <v>366</v>
      </c>
      <c r="U75">
        <v>1.664887154100559E-2</v>
      </c>
      <c r="V75" t="s">
        <v>254</v>
      </c>
      <c r="X75">
        <v>2.3972602739726026E-2</v>
      </c>
      <c r="Y75">
        <v>9.4672202471222967E-3</v>
      </c>
      <c r="Z75" t="s">
        <v>366</v>
      </c>
      <c r="AA75" t="s">
        <v>25</v>
      </c>
      <c r="AC75" t="s">
        <v>22</v>
      </c>
      <c r="AD75" t="s">
        <v>366</v>
      </c>
      <c r="AE75">
        <v>1.7625283182062423E-2</v>
      </c>
      <c r="AG75" t="s">
        <v>97</v>
      </c>
      <c r="AH75" t="s">
        <v>366</v>
      </c>
      <c r="AI75">
        <v>0.24424060662229929</v>
      </c>
    </row>
    <row r="76" spans="9:35" x14ac:dyDescent="0.45">
      <c r="I76" t="s">
        <v>252</v>
      </c>
      <c r="J76" t="s">
        <v>367</v>
      </c>
      <c r="K76">
        <v>4.0075690738735183E-3</v>
      </c>
      <c r="L76" t="s">
        <v>254</v>
      </c>
      <c r="N76" t="s">
        <v>422</v>
      </c>
      <c r="O76" t="s">
        <v>367</v>
      </c>
      <c r="P76">
        <v>2.1158031843195525E-3</v>
      </c>
      <c r="Q76" t="s">
        <v>254</v>
      </c>
      <c r="S76" t="s">
        <v>423</v>
      </c>
      <c r="T76" t="s">
        <v>367</v>
      </c>
      <c r="U76">
        <v>2.2852739587308278E-3</v>
      </c>
      <c r="V76" t="s">
        <v>254</v>
      </c>
      <c r="X76">
        <v>3.4246575342465752E-3</v>
      </c>
      <c r="Y76">
        <v>5.7181214727892006E-3</v>
      </c>
      <c r="Z76" t="s">
        <v>367</v>
      </c>
      <c r="AA76" t="s">
        <v>25</v>
      </c>
      <c r="AC76" t="s">
        <v>22</v>
      </c>
      <c r="AD76" t="s">
        <v>367</v>
      </c>
      <c r="AE76">
        <v>3.3594759413008257E-3</v>
      </c>
      <c r="AG76" t="s">
        <v>97</v>
      </c>
      <c r="AH76" t="s">
        <v>367</v>
      </c>
      <c r="AI76">
        <v>7.8944791523863689E-2</v>
      </c>
    </row>
    <row r="77" spans="9:35" x14ac:dyDescent="0.45">
      <c r="I77" t="s">
        <v>252</v>
      </c>
      <c r="J77" t="s">
        <v>368</v>
      </c>
      <c r="K77">
        <v>1.4449188514352628E-2</v>
      </c>
      <c r="L77" t="s">
        <v>254</v>
      </c>
      <c r="N77" t="s">
        <v>422</v>
      </c>
      <c r="O77" t="s">
        <v>368</v>
      </c>
      <c r="P77">
        <v>4.3055515398554923E-3</v>
      </c>
      <c r="Q77" t="s">
        <v>254</v>
      </c>
      <c r="S77" t="s">
        <v>423</v>
      </c>
      <c r="T77" t="s">
        <v>368</v>
      </c>
      <c r="U77">
        <v>4.6716751126476327E-3</v>
      </c>
      <c r="V77" t="s">
        <v>254</v>
      </c>
      <c r="X77">
        <v>6.8493150684931503E-3</v>
      </c>
      <c r="Y77">
        <v>8.7114337568058101E-3</v>
      </c>
      <c r="Z77" t="s">
        <v>368</v>
      </c>
      <c r="AA77" t="s">
        <v>25</v>
      </c>
      <c r="AC77" t="s">
        <v>22</v>
      </c>
      <c r="AD77" t="s">
        <v>368</v>
      </c>
      <c r="AE77">
        <v>7.1225379177277592E-3</v>
      </c>
      <c r="AG77" t="s">
        <v>97</v>
      </c>
      <c r="AH77" t="s">
        <v>368</v>
      </c>
      <c r="AI77">
        <v>6.8717630480863434E-2</v>
      </c>
    </row>
    <row r="78" spans="9:35" x14ac:dyDescent="0.45">
      <c r="I78" t="s">
        <v>252</v>
      </c>
      <c r="J78" t="s">
        <v>369</v>
      </c>
      <c r="K78">
        <v>2.67171503487021E-2</v>
      </c>
      <c r="L78" t="s">
        <v>254</v>
      </c>
      <c r="N78" t="s">
        <v>422</v>
      </c>
      <c r="O78" t="s">
        <v>369</v>
      </c>
      <c r="P78">
        <v>6.6333797052340864E-3</v>
      </c>
      <c r="Q78" t="s">
        <v>254</v>
      </c>
      <c r="S78" t="s">
        <v>423</v>
      </c>
      <c r="T78" t="s">
        <v>369</v>
      </c>
      <c r="U78">
        <v>6.8886382415368503E-3</v>
      </c>
      <c r="V78" t="s">
        <v>254</v>
      </c>
      <c r="X78">
        <v>1.0273972602739725E-2</v>
      </c>
      <c r="Y78">
        <v>1.2719091067299805E-2</v>
      </c>
      <c r="Z78" t="s">
        <v>369</v>
      </c>
      <c r="AA78" t="s">
        <v>25</v>
      </c>
      <c r="AC78" t="s">
        <v>22</v>
      </c>
      <c r="AD78" t="s">
        <v>369</v>
      </c>
      <c r="AE78">
        <v>1.0725217986374061E-2</v>
      </c>
      <c r="AG78" t="s">
        <v>97</v>
      </c>
      <c r="AH78" t="s">
        <v>369</v>
      </c>
      <c r="AI78">
        <v>8.9295755531858312E-2</v>
      </c>
    </row>
    <row r="79" spans="9:35" x14ac:dyDescent="0.45">
      <c r="I79" t="s">
        <v>252</v>
      </c>
      <c r="J79" t="s">
        <v>370</v>
      </c>
      <c r="K79">
        <v>8.7396834234005991E-3</v>
      </c>
      <c r="L79" t="s">
        <v>254</v>
      </c>
      <c r="N79" t="s">
        <v>422</v>
      </c>
      <c r="O79" t="s">
        <v>370</v>
      </c>
      <c r="P79">
        <v>2.3229637541508216E-3</v>
      </c>
      <c r="Q79" t="s">
        <v>254</v>
      </c>
      <c r="S79" t="s">
        <v>423</v>
      </c>
      <c r="T79" t="s">
        <v>370</v>
      </c>
      <c r="U79">
        <v>2.338150687510357E-3</v>
      </c>
      <c r="V79" t="s">
        <v>254</v>
      </c>
      <c r="X79">
        <v>3.4246575342465752E-3</v>
      </c>
      <c r="Y79">
        <v>4.4651070283171336E-3</v>
      </c>
      <c r="Z79" t="s">
        <v>370</v>
      </c>
      <c r="AA79" t="s">
        <v>25</v>
      </c>
      <c r="AC79" t="s">
        <v>22</v>
      </c>
      <c r="AD79" t="s">
        <v>370</v>
      </c>
      <c r="AE79">
        <v>3.5472317062688261E-3</v>
      </c>
      <c r="AG79" t="s">
        <v>97</v>
      </c>
      <c r="AH79" t="s">
        <v>370</v>
      </c>
      <c r="AI79">
        <v>9.1477834630433907E-2</v>
      </c>
    </row>
    <row r="80" spans="9:35" x14ac:dyDescent="0.45">
      <c r="I80" t="s">
        <v>252</v>
      </c>
      <c r="J80" t="s">
        <v>371</v>
      </c>
      <c r="K80">
        <v>1.7098369692464598E-2</v>
      </c>
      <c r="L80" t="s">
        <v>254</v>
      </c>
      <c r="N80" t="s">
        <v>422</v>
      </c>
      <c r="O80" t="s">
        <v>371</v>
      </c>
      <c r="P80">
        <v>4.9476803296399372E-3</v>
      </c>
      <c r="Q80" t="s">
        <v>254</v>
      </c>
      <c r="S80" t="s">
        <v>423</v>
      </c>
      <c r="T80" t="s">
        <v>371</v>
      </c>
      <c r="U80">
        <v>4.9821501050586053E-3</v>
      </c>
      <c r="V80" t="s">
        <v>254</v>
      </c>
      <c r="X80">
        <v>6.8493150684931503E-3</v>
      </c>
      <c r="Y80">
        <v>9.6860005469507522E-3</v>
      </c>
      <c r="Z80" t="s">
        <v>371</v>
      </c>
      <c r="AA80" t="s">
        <v>25</v>
      </c>
      <c r="AC80" t="s">
        <v>22</v>
      </c>
      <c r="AD80" t="s">
        <v>371</v>
      </c>
      <c r="AE80">
        <v>7.0387363252247797E-3</v>
      </c>
      <c r="AG80" t="s">
        <v>97</v>
      </c>
      <c r="AH80" t="s">
        <v>371</v>
      </c>
      <c r="AI80">
        <v>8.6148913032019214E-2</v>
      </c>
    </row>
    <row r="81" spans="9:35" x14ac:dyDescent="0.45">
      <c r="I81" t="s">
        <v>252</v>
      </c>
      <c r="J81" t="s">
        <v>372</v>
      </c>
      <c r="K81">
        <v>1.263877862384892E-2</v>
      </c>
      <c r="L81" t="s">
        <v>254</v>
      </c>
      <c r="N81" t="s">
        <v>422</v>
      </c>
      <c r="O81" t="s">
        <v>372</v>
      </c>
      <c r="P81">
        <v>5.1523201053278464E-3</v>
      </c>
      <c r="Q81" t="s">
        <v>254</v>
      </c>
      <c r="S81" t="s">
        <v>423</v>
      </c>
      <c r="T81" t="s">
        <v>372</v>
      </c>
      <c r="U81">
        <v>5.5034674220995321E-3</v>
      </c>
      <c r="V81" t="s">
        <v>254</v>
      </c>
      <c r="X81">
        <v>6.8493150684931503E-3</v>
      </c>
      <c r="Y81">
        <v>1.3325709171369611E-2</v>
      </c>
      <c r="Z81" t="s">
        <v>372</v>
      </c>
      <c r="AA81" t="s">
        <v>25</v>
      </c>
      <c r="AC81" t="s">
        <v>22</v>
      </c>
      <c r="AD81" t="s">
        <v>372</v>
      </c>
      <c r="AE81">
        <v>7.0178345121795173E-3</v>
      </c>
      <c r="AG81" t="s">
        <v>97</v>
      </c>
      <c r="AH81" t="s">
        <v>372</v>
      </c>
      <c r="AI81">
        <v>8.1678272344711811E-2</v>
      </c>
    </row>
    <row r="82" spans="9:35" x14ac:dyDescent="0.45">
      <c r="I82" t="s">
        <v>252</v>
      </c>
      <c r="J82" t="s">
        <v>373</v>
      </c>
      <c r="K82">
        <v>2.9519782437909185E-3</v>
      </c>
      <c r="L82" t="s">
        <v>254</v>
      </c>
      <c r="N82" t="s">
        <v>422</v>
      </c>
      <c r="O82" t="s">
        <v>373</v>
      </c>
      <c r="P82">
        <v>1.606788287019548E-2</v>
      </c>
      <c r="Q82" t="s">
        <v>254</v>
      </c>
      <c r="S82" t="s">
        <v>423</v>
      </c>
      <c r="T82" t="s">
        <v>373</v>
      </c>
      <c r="U82">
        <v>1.6559671137932455E-2</v>
      </c>
      <c r="V82" t="s">
        <v>254</v>
      </c>
      <c r="X82">
        <v>2.0547945205479451E-2</v>
      </c>
      <c r="Y82">
        <v>1.8099097531263209E-2</v>
      </c>
      <c r="Z82" t="s">
        <v>373</v>
      </c>
      <c r="AA82" t="s">
        <v>25</v>
      </c>
      <c r="AC82" t="s">
        <v>22</v>
      </c>
      <c r="AD82" t="s">
        <v>373</v>
      </c>
      <c r="AE82">
        <v>1.8684395284965002E-2</v>
      </c>
      <c r="AG82" t="s">
        <v>97</v>
      </c>
      <c r="AH82" t="s">
        <v>373</v>
      </c>
      <c r="AI82">
        <v>0.16999343647075293</v>
      </c>
    </row>
    <row r="83" spans="9:35" x14ac:dyDescent="0.45">
      <c r="I83" t="s">
        <v>252</v>
      </c>
      <c r="J83" t="s">
        <v>398</v>
      </c>
      <c r="K83">
        <v>3.2958281595258512E-7</v>
      </c>
      <c r="L83" t="s">
        <v>254</v>
      </c>
      <c r="N83" t="s">
        <v>422</v>
      </c>
      <c r="O83" t="s">
        <v>398</v>
      </c>
      <c r="P83">
        <v>3.0734248303117023E-2</v>
      </c>
      <c r="Q83" t="s">
        <v>254</v>
      </c>
      <c r="S83" t="s">
        <v>423</v>
      </c>
      <c r="T83" t="s">
        <v>398</v>
      </c>
      <c r="U83">
        <v>2.86731600145597E-2</v>
      </c>
      <c r="V83" t="s">
        <v>254</v>
      </c>
      <c r="X83">
        <v>2.4771689497716895E-2</v>
      </c>
      <c r="Y83">
        <v>9.7827942553597048E-3</v>
      </c>
      <c r="Z83" t="s">
        <v>398</v>
      </c>
      <c r="AA83" t="s">
        <v>25</v>
      </c>
      <c r="AC83" t="s">
        <v>22</v>
      </c>
      <c r="AD83" t="s">
        <v>398</v>
      </c>
      <c r="AE83">
        <v>1.8463570384942989E-2</v>
      </c>
      <c r="AG83" t="s">
        <v>97</v>
      </c>
      <c r="AH83" t="s">
        <v>398</v>
      </c>
      <c r="AI83">
        <v>0.26158392147292209</v>
      </c>
    </row>
    <row r="84" spans="9:35" x14ac:dyDescent="0.45">
      <c r="I84" t="s">
        <v>252</v>
      </c>
      <c r="J84" t="s">
        <v>399</v>
      </c>
      <c r="K84">
        <v>1.8984719522335222E-3</v>
      </c>
      <c r="L84" t="s">
        <v>254</v>
      </c>
      <c r="N84" t="s">
        <v>422</v>
      </c>
      <c r="O84" t="s">
        <v>399</v>
      </c>
      <c r="P84">
        <v>4.4344888697710307E-3</v>
      </c>
      <c r="Q84" t="s">
        <v>254</v>
      </c>
      <c r="S84" t="s">
        <v>423</v>
      </c>
      <c r="T84" t="s">
        <v>399</v>
      </c>
      <c r="U84">
        <v>4.1685888254161954E-3</v>
      </c>
      <c r="V84" t="s">
        <v>254</v>
      </c>
      <c r="X84">
        <v>3.5388127853881279E-3</v>
      </c>
      <c r="Y84">
        <v>5.9087255218821738E-3</v>
      </c>
      <c r="Z84" t="s">
        <v>399</v>
      </c>
      <c r="AA84" t="s">
        <v>25</v>
      </c>
      <c r="AC84" t="s">
        <v>22</v>
      </c>
      <c r="AD84" t="s">
        <v>399</v>
      </c>
      <c r="AE84">
        <v>3.5211649293716706E-3</v>
      </c>
      <c r="AG84" t="s">
        <v>97</v>
      </c>
      <c r="AH84" t="s">
        <v>399</v>
      </c>
      <c r="AI84">
        <v>7.9840231634114911E-2</v>
      </c>
    </row>
    <row r="85" spans="9:35" x14ac:dyDescent="0.45">
      <c r="I85" t="s">
        <v>252</v>
      </c>
      <c r="J85" t="s">
        <v>400</v>
      </c>
      <c r="K85">
        <v>1.0745151550953907E-2</v>
      </c>
      <c r="L85" t="s">
        <v>254</v>
      </c>
      <c r="N85" t="s">
        <v>422</v>
      </c>
      <c r="O85" t="s">
        <v>400</v>
      </c>
      <c r="P85">
        <v>8.8286100848873218E-3</v>
      </c>
      <c r="Q85" t="s">
        <v>254</v>
      </c>
      <c r="S85" t="s">
        <v>423</v>
      </c>
      <c r="T85" t="s">
        <v>400</v>
      </c>
      <c r="U85">
        <v>8.3054739636949666E-3</v>
      </c>
      <c r="V85" t="s">
        <v>254</v>
      </c>
      <c r="X85">
        <v>7.0776255707762558E-3</v>
      </c>
      <c r="Y85">
        <v>9.0018148820326695E-3</v>
      </c>
      <c r="Z85" t="s">
        <v>400</v>
      </c>
      <c r="AA85" t="s">
        <v>25</v>
      </c>
      <c r="AC85" t="s">
        <v>22</v>
      </c>
      <c r="AD85" t="s">
        <v>400</v>
      </c>
      <c r="AE85">
        <v>7.4816693988852137E-3</v>
      </c>
      <c r="AG85" t="s">
        <v>97</v>
      </c>
      <c r="AH85" t="s">
        <v>400</v>
      </c>
      <c r="AI85">
        <v>6.3218942958019442E-2</v>
      </c>
    </row>
    <row r="86" spans="9:35" x14ac:dyDescent="0.45">
      <c r="I86" t="s">
        <v>252</v>
      </c>
      <c r="J86" t="s">
        <v>401</v>
      </c>
      <c r="K86">
        <v>2.1831181533129931E-2</v>
      </c>
      <c r="L86" t="s">
        <v>254</v>
      </c>
      <c r="N86" t="s">
        <v>422</v>
      </c>
      <c r="O86" t="s">
        <v>401</v>
      </c>
      <c r="P86">
        <v>1.2791133872752417E-2</v>
      </c>
      <c r="Q86" t="s">
        <v>254</v>
      </c>
      <c r="S86" t="s">
        <v>423</v>
      </c>
      <c r="T86" t="s">
        <v>401</v>
      </c>
      <c r="U86">
        <v>1.2222527696226625E-2</v>
      </c>
      <c r="V86" t="s">
        <v>254</v>
      </c>
      <c r="X86">
        <v>1.0616438356164383E-2</v>
      </c>
      <c r="Y86">
        <v>1.3143060769543132E-2</v>
      </c>
      <c r="Z86" t="s">
        <v>401</v>
      </c>
      <c r="AA86" t="s">
        <v>25</v>
      </c>
      <c r="AC86" t="s">
        <v>22</v>
      </c>
      <c r="AD86" t="s">
        <v>401</v>
      </c>
      <c r="AE86">
        <v>1.1209668687197322E-2</v>
      </c>
      <c r="AG86" t="s">
        <v>97</v>
      </c>
      <c r="AH86" t="s">
        <v>401</v>
      </c>
      <c r="AI86">
        <v>6.548258060104617E-2</v>
      </c>
    </row>
    <row r="87" spans="9:35" x14ac:dyDescent="0.45">
      <c r="I87" t="s">
        <v>252</v>
      </c>
      <c r="J87" t="s">
        <v>402</v>
      </c>
      <c r="K87">
        <v>7.2855052323544658E-3</v>
      </c>
      <c r="L87" t="s">
        <v>254</v>
      </c>
      <c r="N87" t="s">
        <v>422</v>
      </c>
      <c r="O87" t="s">
        <v>402</v>
      </c>
      <c r="P87">
        <v>4.2589329846080748E-3</v>
      </c>
      <c r="Q87" t="s">
        <v>254</v>
      </c>
      <c r="S87" t="s">
        <v>423</v>
      </c>
      <c r="T87" t="s">
        <v>402</v>
      </c>
      <c r="U87">
        <v>4.1079596745851685E-3</v>
      </c>
      <c r="V87" t="s">
        <v>254</v>
      </c>
      <c r="X87">
        <v>3.5388127853881279E-3</v>
      </c>
      <c r="Y87">
        <v>4.6139439292610376E-3</v>
      </c>
      <c r="Z87" t="s">
        <v>402</v>
      </c>
      <c r="AA87" t="s">
        <v>25</v>
      </c>
      <c r="AC87" t="s">
        <v>22</v>
      </c>
      <c r="AD87" t="s">
        <v>402</v>
      </c>
      <c r="AE87">
        <v>3.700172822743408E-3</v>
      </c>
      <c r="AG87" t="s">
        <v>97</v>
      </c>
      <c r="AH87" t="s">
        <v>402</v>
      </c>
      <c r="AI87">
        <v>6.666821648959953E-2</v>
      </c>
    </row>
    <row r="88" spans="9:35" x14ac:dyDescent="0.45">
      <c r="I88" t="s">
        <v>252</v>
      </c>
      <c r="J88" t="s">
        <v>403</v>
      </c>
      <c r="K88">
        <v>1.3557370213634876E-2</v>
      </c>
      <c r="L88" t="s">
        <v>254</v>
      </c>
      <c r="N88" t="s">
        <v>422</v>
      </c>
      <c r="O88" t="s">
        <v>403</v>
      </c>
      <c r="P88">
        <v>8.3809070398184055E-3</v>
      </c>
      <c r="Q88" t="s">
        <v>254</v>
      </c>
      <c r="S88" t="s">
        <v>423</v>
      </c>
      <c r="T88" t="s">
        <v>403</v>
      </c>
      <c r="U88">
        <v>8.2800663842089815E-3</v>
      </c>
      <c r="V88" t="s">
        <v>254</v>
      </c>
      <c r="X88">
        <v>7.0776255707762558E-3</v>
      </c>
      <c r="Y88">
        <v>1.0008867231849112E-2</v>
      </c>
      <c r="Z88" t="s">
        <v>403</v>
      </c>
      <c r="AA88" t="s">
        <v>25</v>
      </c>
      <c r="AC88" t="s">
        <v>22</v>
      </c>
      <c r="AD88" t="s">
        <v>403</v>
      </c>
      <c r="AE88">
        <v>7.3484184228895383E-3</v>
      </c>
      <c r="AG88" t="s">
        <v>97</v>
      </c>
      <c r="AH88" t="s">
        <v>403</v>
      </c>
      <c r="AI88">
        <v>7.0312583174223064E-2</v>
      </c>
    </row>
    <row r="89" spans="9:35" x14ac:dyDescent="0.45">
      <c r="I89" t="s">
        <v>252</v>
      </c>
      <c r="J89" t="s">
        <v>404</v>
      </c>
      <c r="K89">
        <v>7.4400963199842329E-3</v>
      </c>
      <c r="L89" t="s">
        <v>254</v>
      </c>
      <c r="N89" t="s">
        <v>422</v>
      </c>
      <c r="O89" t="s">
        <v>404</v>
      </c>
      <c r="P89">
        <v>8.0235516971465456E-3</v>
      </c>
      <c r="Q89" t="s">
        <v>254</v>
      </c>
      <c r="S89" t="s">
        <v>423</v>
      </c>
      <c r="T89" t="s">
        <v>404</v>
      </c>
      <c r="U89">
        <v>8.3079167827620551E-3</v>
      </c>
      <c r="V89" t="s">
        <v>254</v>
      </c>
      <c r="X89">
        <v>7.0776255707762558E-3</v>
      </c>
      <c r="Y89">
        <v>1.376989947708193E-2</v>
      </c>
      <c r="Z89" t="s">
        <v>404</v>
      </c>
      <c r="AA89" t="s">
        <v>25</v>
      </c>
      <c r="AC89" t="s">
        <v>22</v>
      </c>
      <c r="AD89" t="s">
        <v>404</v>
      </c>
      <c r="AE89">
        <v>7.355013208287596E-3</v>
      </c>
      <c r="AG89" t="s">
        <v>97</v>
      </c>
      <c r="AH89" t="s">
        <v>404</v>
      </c>
      <c r="AI89">
        <v>7.3698867732210349E-2</v>
      </c>
    </row>
    <row r="90" spans="9:35" x14ac:dyDescent="0.45">
      <c r="I90" t="s">
        <v>252</v>
      </c>
      <c r="J90" t="s">
        <v>405</v>
      </c>
      <c r="K90">
        <v>2.0476372471086324E-5</v>
      </c>
      <c r="L90" t="s">
        <v>254</v>
      </c>
      <c r="N90" t="s">
        <v>422</v>
      </c>
      <c r="O90" t="s">
        <v>405</v>
      </c>
      <c r="P90">
        <v>2.5153016257585408E-2</v>
      </c>
      <c r="Q90" t="s">
        <v>254</v>
      </c>
      <c r="S90" t="s">
        <v>423</v>
      </c>
      <c r="T90" t="s">
        <v>405</v>
      </c>
      <c r="U90">
        <v>2.471905350643714E-2</v>
      </c>
      <c r="V90" t="s">
        <v>254</v>
      </c>
      <c r="X90">
        <v>2.1232876712328767E-2</v>
      </c>
      <c r="Y90">
        <v>1.8702400782305319E-2</v>
      </c>
      <c r="Z90" t="s">
        <v>405</v>
      </c>
      <c r="AA90" t="s">
        <v>25</v>
      </c>
      <c r="AC90" t="s">
        <v>22</v>
      </c>
      <c r="AD90" t="s">
        <v>405</v>
      </c>
      <c r="AE90">
        <v>1.9619793437954926E-2</v>
      </c>
      <c r="AG90" t="s">
        <v>97</v>
      </c>
      <c r="AH90" t="s">
        <v>405</v>
      </c>
      <c r="AI90">
        <v>0.1673241681685036</v>
      </c>
    </row>
    <row r="91" spans="9:35" x14ac:dyDescent="0.45">
      <c r="I91" t="s">
        <v>252</v>
      </c>
      <c r="J91" t="s">
        <v>406</v>
      </c>
      <c r="K91">
        <v>0</v>
      </c>
      <c r="L91" t="s">
        <v>254</v>
      </c>
      <c r="N91" t="s">
        <v>422</v>
      </c>
      <c r="O91" t="s">
        <v>406</v>
      </c>
      <c r="P91">
        <v>2.931101114839732E-2</v>
      </c>
      <c r="Q91" t="s">
        <v>254</v>
      </c>
      <c r="S91" t="s">
        <v>423</v>
      </c>
      <c r="T91" t="s">
        <v>406</v>
      </c>
      <c r="U91">
        <v>2.7847033930216165E-2</v>
      </c>
      <c r="V91" t="s">
        <v>254</v>
      </c>
      <c r="X91">
        <v>2.3972602739726026E-2</v>
      </c>
      <c r="Y91">
        <v>9.4672202471222967E-3</v>
      </c>
      <c r="Z91" t="s">
        <v>406</v>
      </c>
      <c r="AA91" t="s">
        <v>25</v>
      </c>
      <c r="AC91" t="s">
        <v>22</v>
      </c>
      <c r="AD91" t="s">
        <v>406</v>
      </c>
      <c r="AE91">
        <v>2.0052436889231126E-2</v>
      </c>
      <c r="AG91" t="s">
        <v>97</v>
      </c>
      <c r="AH91" t="s">
        <v>406</v>
      </c>
      <c r="AI91">
        <v>0.29993685127360115</v>
      </c>
    </row>
    <row r="92" spans="9:35" x14ac:dyDescent="0.45">
      <c r="I92" t="s">
        <v>252</v>
      </c>
      <c r="J92" t="s">
        <v>407</v>
      </c>
      <c r="K92">
        <v>6.9595661734516304E-5</v>
      </c>
      <c r="L92" t="s">
        <v>254</v>
      </c>
      <c r="N92" t="s">
        <v>422</v>
      </c>
      <c r="O92" t="s">
        <v>407</v>
      </c>
      <c r="P92">
        <v>4.1448967536828552E-3</v>
      </c>
      <c r="Q92" t="s">
        <v>254</v>
      </c>
      <c r="S92" t="s">
        <v>423</v>
      </c>
      <c r="T92" t="s">
        <v>407</v>
      </c>
      <c r="U92">
        <v>3.9352607163494809E-3</v>
      </c>
      <c r="V92" t="s">
        <v>254</v>
      </c>
      <c r="X92">
        <v>3.4246575342465752E-3</v>
      </c>
      <c r="Y92">
        <v>5.7181214727892006E-3</v>
      </c>
      <c r="Z92" t="s">
        <v>407</v>
      </c>
      <c r="AA92" t="s">
        <v>25</v>
      </c>
      <c r="AC92" t="s">
        <v>22</v>
      </c>
      <c r="AD92" t="s">
        <v>407</v>
      </c>
      <c r="AE92">
        <v>3.9165735287244154E-3</v>
      </c>
      <c r="AG92" t="s">
        <v>97</v>
      </c>
      <c r="AH92" t="s">
        <v>407</v>
      </c>
      <c r="AI92">
        <v>9.6641572988210633E-2</v>
      </c>
    </row>
    <row r="93" spans="9:35" x14ac:dyDescent="0.45">
      <c r="I93" t="s">
        <v>252</v>
      </c>
      <c r="J93" t="s">
        <v>408</v>
      </c>
      <c r="K93">
        <v>6.1529025516527565E-3</v>
      </c>
      <c r="L93" t="s">
        <v>254</v>
      </c>
      <c r="N93" t="s">
        <v>422</v>
      </c>
      <c r="O93" t="s">
        <v>408</v>
      </c>
      <c r="P93">
        <v>8.1377139366058445E-3</v>
      </c>
      <c r="Q93" t="s">
        <v>254</v>
      </c>
      <c r="S93" t="s">
        <v>423</v>
      </c>
      <c r="T93" t="s">
        <v>408</v>
      </c>
      <c r="U93">
        <v>7.8562759010133449E-3</v>
      </c>
      <c r="V93" t="s">
        <v>254</v>
      </c>
      <c r="X93">
        <v>6.8493150684931503E-3</v>
      </c>
      <c r="Y93">
        <v>8.7114337568058101E-3</v>
      </c>
      <c r="Z93" t="s">
        <v>408</v>
      </c>
      <c r="AA93" t="s">
        <v>25</v>
      </c>
      <c r="AC93" t="s">
        <v>22</v>
      </c>
      <c r="AD93" t="s">
        <v>408</v>
      </c>
      <c r="AE93">
        <v>8.1700769192631136E-3</v>
      </c>
      <c r="AG93" t="s">
        <v>97</v>
      </c>
      <c r="AH93" t="s">
        <v>408</v>
      </c>
      <c r="AI93">
        <v>8.8318365814044064E-2</v>
      </c>
    </row>
    <row r="94" spans="9:35" x14ac:dyDescent="0.45">
      <c r="I94" t="s">
        <v>252</v>
      </c>
      <c r="J94" t="s">
        <v>409</v>
      </c>
      <c r="K94">
        <v>1.4808228014460098E-2</v>
      </c>
      <c r="L94" t="s">
        <v>254</v>
      </c>
      <c r="N94" t="s">
        <v>422</v>
      </c>
      <c r="O94" t="s">
        <v>409</v>
      </c>
      <c r="P94">
        <v>1.2782462221910021E-2</v>
      </c>
      <c r="Q94" t="s">
        <v>254</v>
      </c>
      <c r="S94" t="s">
        <v>423</v>
      </c>
      <c r="T94" t="s">
        <v>409</v>
      </c>
      <c r="U94">
        <v>1.1336376707505036E-2</v>
      </c>
      <c r="V94" t="s">
        <v>254</v>
      </c>
      <c r="X94">
        <v>1.0273972602739725E-2</v>
      </c>
      <c r="Y94">
        <v>1.2719091067299805E-2</v>
      </c>
      <c r="Z94" t="s">
        <v>409</v>
      </c>
      <c r="AA94" t="s">
        <v>25</v>
      </c>
      <c r="AC94" t="s">
        <v>22</v>
      </c>
      <c r="AD94" t="s">
        <v>409</v>
      </c>
      <c r="AE94">
        <v>1.2282637548432982E-2</v>
      </c>
      <c r="AG94" t="s">
        <v>97</v>
      </c>
      <c r="AH94" t="s">
        <v>409</v>
      </c>
      <c r="AI94">
        <v>8.524347860116066E-2</v>
      </c>
    </row>
    <row r="95" spans="9:35" x14ac:dyDescent="0.45">
      <c r="I95" t="s">
        <v>252</v>
      </c>
      <c r="J95" t="s">
        <v>410</v>
      </c>
      <c r="K95">
        <v>5.2665416862010123E-3</v>
      </c>
      <c r="L95" t="s">
        <v>254</v>
      </c>
      <c r="N95" t="s">
        <v>422</v>
      </c>
      <c r="O95" t="s">
        <v>410</v>
      </c>
      <c r="P95">
        <v>4.4544946420195762E-3</v>
      </c>
      <c r="Q95" t="s">
        <v>254</v>
      </c>
      <c r="S95" t="s">
        <v>423</v>
      </c>
      <c r="T95" t="s">
        <v>410</v>
      </c>
      <c r="U95">
        <v>3.666573427115692E-3</v>
      </c>
      <c r="V95" t="s">
        <v>254</v>
      </c>
      <c r="X95">
        <v>3.4246575342465752E-3</v>
      </c>
      <c r="Y95">
        <v>4.4651070283171336E-3</v>
      </c>
      <c r="Z95" t="s">
        <v>410</v>
      </c>
      <c r="AA95" t="s">
        <v>25</v>
      </c>
      <c r="AC95" t="s">
        <v>22</v>
      </c>
      <c r="AD95" t="s">
        <v>410</v>
      </c>
      <c r="AE95">
        <v>4.0651825043714063E-3</v>
      </c>
      <c r="AG95" t="s">
        <v>97</v>
      </c>
      <c r="AH95" t="s">
        <v>410</v>
      </c>
      <c r="AI95">
        <v>8.3883454206900465E-2</v>
      </c>
    </row>
    <row r="96" spans="9:35" x14ac:dyDescent="0.45">
      <c r="I96" t="s">
        <v>252</v>
      </c>
      <c r="J96" t="s">
        <v>411</v>
      </c>
      <c r="K96">
        <v>9.6719817741024918E-3</v>
      </c>
      <c r="L96" t="s">
        <v>254</v>
      </c>
      <c r="N96" t="s">
        <v>422</v>
      </c>
      <c r="O96" t="s">
        <v>411</v>
      </c>
      <c r="P96">
        <v>8.8934972559307334E-3</v>
      </c>
      <c r="Q96" t="s">
        <v>254</v>
      </c>
      <c r="S96" t="s">
        <v>423</v>
      </c>
      <c r="T96" t="s">
        <v>411</v>
      </c>
      <c r="U96">
        <v>7.4513489315056712E-3</v>
      </c>
      <c r="V96" t="s">
        <v>254</v>
      </c>
      <c r="X96">
        <v>6.8493150684931503E-3</v>
      </c>
      <c r="Y96">
        <v>9.6860005469507522E-3</v>
      </c>
      <c r="Z96" t="s">
        <v>411</v>
      </c>
      <c r="AA96" t="s">
        <v>25</v>
      </c>
      <c r="AC96" t="s">
        <v>22</v>
      </c>
      <c r="AD96" t="s">
        <v>411</v>
      </c>
      <c r="AE96">
        <v>8.1181445824468363E-3</v>
      </c>
      <c r="AG96" t="s">
        <v>97</v>
      </c>
      <c r="AH96" t="s">
        <v>411</v>
      </c>
      <c r="AI96">
        <v>9.0322808135314681E-2</v>
      </c>
    </row>
    <row r="97" spans="9:35" x14ac:dyDescent="0.45">
      <c r="I97" t="s">
        <v>252</v>
      </c>
      <c r="J97" t="s">
        <v>412</v>
      </c>
      <c r="K97">
        <v>3.0328701328589868E-3</v>
      </c>
      <c r="L97" t="s">
        <v>254</v>
      </c>
      <c r="N97" t="s">
        <v>422</v>
      </c>
      <c r="O97" t="s">
        <v>412</v>
      </c>
      <c r="P97">
        <v>8.9269866837705641E-3</v>
      </c>
      <c r="Q97" t="s">
        <v>254</v>
      </c>
      <c r="S97" t="s">
        <v>423</v>
      </c>
      <c r="T97" t="s">
        <v>412</v>
      </c>
      <c r="U97">
        <v>7.6402466940948379E-3</v>
      </c>
      <c r="V97" t="s">
        <v>254</v>
      </c>
      <c r="X97">
        <v>6.8493150684931503E-3</v>
      </c>
      <c r="Y97">
        <v>1.3325709171369611E-2</v>
      </c>
      <c r="Z97" t="s">
        <v>412</v>
      </c>
      <c r="AA97" t="s">
        <v>25</v>
      </c>
      <c r="AC97" t="s">
        <v>22</v>
      </c>
      <c r="AD97" t="s">
        <v>412</v>
      </c>
      <c r="AE97">
        <v>8.2616291106577238E-3</v>
      </c>
      <c r="AG97" t="s">
        <v>97</v>
      </c>
      <c r="AH97" t="s">
        <v>412</v>
      </c>
      <c r="AI97">
        <v>8.4411488885055563E-2</v>
      </c>
    </row>
    <row r="98" spans="9:35" x14ac:dyDescent="0.45">
      <c r="I98" t="s">
        <v>252</v>
      </c>
      <c r="J98" t="s">
        <v>413</v>
      </c>
      <c r="K98">
        <v>0</v>
      </c>
      <c r="L98" t="s">
        <v>254</v>
      </c>
      <c r="N98" t="s">
        <v>422</v>
      </c>
      <c r="O98" t="s">
        <v>413</v>
      </c>
      <c r="P98">
        <v>2.5727119340730506E-2</v>
      </c>
      <c r="Q98" t="s">
        <v>254</v>
      </c>
      <c r="S98" t="s">
        <v>423</v>
      </c>
      <c r="T98" t="s">
        <v>413</v>
      </c>
      <c r="U98">
        <v>2.3947295215002884E-2</v>
      </c>
      <c r="V98" t="s">
        <v>254</v>
      </c>
      <c r="X98">
        <v>2.0547945205479451E-2</v>
      </c>
      <c r="Y98">
        <v>1.8099097531263209E-2</v>
      </c>
      <c r="Z98" t="s">
        <v>413</v>
      </c>
      <c r="AA98" t="s">
        <v>25</v>
      </c>
      <c r="AC98" t="s">
        <v>22</v>
      </c>
      <c r="AD98" t="s">
        <v>413</v>
      </c>
      <c r="AE98">
        <v>2.1459757666207505E-2</v>
      </c>
      <c r="AG98" t="s">
        <v>97</v>
      </c>
      <c r="AH98" t="s">
        <v>413</v>
      </c>
      <c r="AI98">
        <v>0.20586110636602517</v>
      </c>
    </row>
    <row r="99" spans="9:35" x14ac:dyDescent="0.45">
      <c r="I99" t="s">
        <v>252</v>
      </c>
      <c r="J99" t="s">
        <v>414</v>
      </c>
      <c r="K99">
        <v>0</v>
      </c>
      <c r="L99" t="s">
        <v>254</v>
      </c>
      <c r="N99" t="s">
        <v>422</v>
      </c>
      <c r="O99" t="s">
        <v>414</v>
      </c>
      <c r="P99">
        <v>3.1146804888227204E-2</v>
      </c>
      <c r="Q99" t="s">
        <v>254</v>
      </c>
      <c r="S99" t="s">
        <v>423</v>
      </c>
      <c r="T99" t="s">
        <v>414</v>
      </c>
      <c r="U99">
        <v>2.8793009642577382E-2</v>
      </c>
      <c r="V99" t="s">
        <v>254</v>
      </c>
      <c r="X99">
        <v>2.4771689497716895E-2</v>
      </c>
      <c r="Y99">
        <v>9.7827942553597048E-3</v>
      </c>
      <c r="Z99" t="s">
        <v>414</v>
      </c>
      <c r="AA99" t="s">
        <v>25</v>
      </c>
      <c r="AC99" t="s">
        <v>22</v>
      </c>
      <c r="AD99" t="s">
        <v>414</v>
      </c>
      <c r="AE99">
        <v>2.1425280402942632E-2</v>
      </c>
      <c r="AG99" t="s">
        <v>97</v>
      </c>
      <c r="AH99" t="s">
        <v>414</v>
      </c>
      <c r="AI99">
        <v>0.2947027221455345</v>
      </c>
    </row>
    <row r="100" spans="9:35" x14ac:dyDescent="0.45">
      <c r="I100" t="s">
        <v>252</v>
      </c>
      <c r="J100" t="s">
        <v>415</v>
      </c>
      <c r="K100">
        <v>0</v>
      </c>
      <c r="L100" t="s">
        <v>254</v>
      </c>
      <c r="N100" t="s">
        <v>422</v>
      </c>
      <c r="O100" t="s">
        <v>415</v>
      </c>
      <c r="P100">
        <v>4.31761190741473E-3</v>
      </c>
      <c r="Q100" t="s">
        <v>254</v>
      </c>
      <c r="S100" t="s">
        <v>423</v>
      </c>
      <c r="T100" t="s">
        <v>415</v>
      </c>
      <c r="U100">
        <v>4.1199438315051417E-3</v>
      </c>
      <c r="V100" t="s">
        <v>254</v>
      </c>
      <c r="X100">
        <v>3.5388127853881279E-3</v>
      </c>
      <c r="Y100">
        <v>5.9087255218821738E-3</v>
      </c>
      <c r="Z100" t="s">
        <v>415</v>
      </c>
      <c r="AA100" t="s">
        <v>25</v>
      </c>
      <c r="AC100" t="s">
        <v>22</v>
      </c>
      <c r="AD100" t="s">
        <v>415</v>
      </c>
      <c r="AE100">
        <v>4.1125234349494791E-3</v>
      </c>
      <c r="AG100" t="s">
        <v>97</v>
      </c>
      <c r="AH100" t="s">
        <v>415</v>
      </c>
      <c r="AI100">
        <v>8.4630227908339517E-2</v>
      </c>
    </row>
    <row r="101" spans="9:35" x14ac:dyDescent="0.45">
      <c r="I101" t="s">
        <v>252</v>
      </c>
      <c r="J101" t="s">
        <v>416</v>
      </c>
      <c r="K101">
        <v>6.4038723485293526E-3</v>
      </c>
      <c r="L101" t="s">
        <v>254</v>
      </c>
      <c r="N101" t="s">
        <v>422</v>
      </c>
      <c r="O101" t="s">
        <v>416</v>
      </c>
      <c r="P101">
        <v>8.5232327838381788E-3</v>
      </c>
      <c r="Q101" t="s">
        <v>254</v>
      </c>
      <c r="S101" t="s">
        <v>423</v>
      </c>
      <c r="T101" t="s">
        <v>416</v>
      </c>
      <c r="U101">
        <v>8.239040986961408E-3</v>
      </c>
      <c r="V101" t="s">
        <v>254</v>
      </c>
      <c r="X101">
        <v>7.0776255707762558E-3</v>
      </c>
      <c r="Y101">
        <v>9.0018148820326695E-3</v>
      </c>
      <c r="Z101" t="s">
        <v>416</v>
      </c>
      <c r="AA101" t="s">
        <v>25</v>
      </c>
      <c r="AC101" t="s">
        <v>22</v>
      </c>
      <c r="AD101" t="s">
        <v>416</v>
      </c>
      <c r="AE101">
        <v>8.5682569926429156E-3</v>
      </c>
      <c r="AG101" t="s">
        <v>97</v>
      </c>
      <c r="AH101" t="s">
        <v>416</v>
      </c>
      <c r="AI101">
        <v>7.9188707784562995E-2</v>
      </c>
    </row>
    <row r="102" spans="9:35" x14ac:dyDescent="0.45">
      <c r="I102" t="s">
        <v>252</v>
      </c>
      <c r="J102" t="s">
        <v>417</v>
      </c>
      <c r="K102">
        <v>1.8568084035886397E-2</v>
      </c>
      <c r="L102" t="s">
        <v>254</v>
      </c>
      <c r="N102" t="s">
        <v>422</v>
      </c>
      <c r="O102" t="s">
        <v>417</v>
      </c>
      <c r="P102">
        <v>1.243096882230536E-2</v>
      </c>
      <c r="Q102" t="s">
        <v>254</v>
      </c>
      <c r="S102" t="s">
        <v>423</v>
      </c>
      <c r="T102" t="s">
        <v>417</v>
      </c>
      <c r="U102">
        <v>1.207865958376843E-2</v>
      </c>
      <c r="V102" t="s">
        <v>254</v>
      </c>
      <c r="X102">
        <v>1.0616438356164383E-2</v>
      </c>
      <c r="Y102">
        <v>1.3143060769543132E-2</v>
      </c>
      <c r="Z102" t="s">
        <v>417</v>
      </c>
      <c r="AA102" t="s">
        <v>25</v>
      </c>
      <c r="AC102" t="s">
        <v>22</v>
      </c>
      <c r="AD102" t="s">
        <v>417</v>
      </c>
      <c r="AE102">
        <v>1.2785028667649806E-2</v>
      </c>
      <c r="AG102" t="s">
        <v>97</v>
      </c>
      <c r="AH102" t="s">
        <v>417</v>
      </c>
      <c r="AI102">
        <v>8.0668699840730218E-2</v>
      </c>
    </row>
    <row r="103" spans="9:35" x14ac:dyDescent="0.45">
      <c r="I103" t="s">
        <v>252</v>
      </c>
      <c r="J103" t="s">
        <v>418</v>
      </c>
      <c r="K103">
        <v>6.5515329450327254E-3</v>
      </c>
      <c r="L103" t="s">
        <v>254</v>
      </c>
      <c r="N103" t="s">
        <v>422</v>
      </c>
      <c r="O103" t="s">
        <v>418</v>
      </c>
      <c r="P103">
        <v>4.1898215208638848E-3</v>
      </c>
      <c r="Q103" t="s">
        <v>254</v>
      </c>
      <c r="S103" t="s">
        <v>423</v>
      </c>
      <c r="T103" t="s">
        <v>418</v>
      </c>
      <c r="U103">
        <v>3.9982360424480265E-3</v>
      </c>
      <c r="V103" t="s">
        <v>254</v>
      </c>
      <c r="X103">
        <v>3.5388127853881279E-3</v>
      </c>
      <c r="Y103">
        <v>4.6139439292610376E-3</v>
      </c>
      <c r="Z103" t="s">
        <v>418</v>
      </c>
      <c r="AA103" t="s">
        <v>25</v>
      </c>
      <c r="AC103" t="s">
        <v>22</v>
      </c>
      <c r="AD103" t="s">
        <v>418</v>
      </c>
      <c r="AE103">
        <v>4.2043748081554795E-3</v>
      </c>
      <c r="AG103" t="s">
        <v>97</v>
      </c>
      <c r="AH103" t="s">
        <v>418</v>
      </c>
      <c r="AI103">
        <v>7.6650597053711245E-2</v>
      </c>
    </row>
    <row r="104" spans="9:35" x14ac:dyDescent="0.45">
      <c r="I104" t="s">
        <v>252</v>
      </c>
      <c r="J104" t="s">
        <v>419</v>
      </c>
      <c r="K104">
        <v>1.3234551289396075E-2</v>
      </c>
      <c r="L104" t="s">
        <v>254</v>
      </c>
      <c r="N104" t="s">
        <v>422</v>
      </c>
      <c r="O104" t="s">
        <v>419</v>
      </c>
      <c r="P104">
        <v>8.4239938906834257E-3</v>
      </c>
      <c r="Q104" t="s">
        <v>254</v>
      </c>
      <c r="S104" t="s">
        <v>423</v>
      </c>
      <c r="T104" t="s">
        <v>419</v>
      </c>
      <c r="U104">
        <v>8.1432231404651167E-3</v>
      </c>
      <c r="V104" t="s">
        <v>254</v>
      </c>
      <c r="X104">
        <v>7.0776255707762558E-3</v>
      </c>
      <c r="Y104">
        <v>1.0008867231849112E-2</v>
      </c>
      <c r="Z104" t="s">
        <v>419</v>
      </c>
      <c r="AA104" t="s">
        <v>25</v>
      </c>
      <c r="AC104" t="s">
        <v>22</v>
      </c>
      <c r="AD104" t="s">
        <v>419</v>
      </c>
      <c r="AE104">
        <v>8.4036328402033542E-3</v>
      </c>
      <c r="AG104" t="s">
        <v>97</v>
      </c>
      <c r="AH104" t="s">
        <v>419</v>
      </c>
      <c r="AI104">
        <v>7.9590932437562545E-2</v>
      </c>
    </row>
    <row r="105" spans="9:35" x14ac:dyDescent="0.45">
      <c r="I105" t="s">
        <v>252</v>
      </c>
      <c r="J105" t="s">
        <v>420</v>
      </c>
      <c r="K105">
        <v>3.9746287768223278E-3</v>
      </c>
      <c r="L105" t="s">
        <v>254</v>
      </c>
      <c r="N105" t="s">
        <v>422</v>
      </c>
      <c r="O105" t="s">
        <v>420</v>
      </c>
      <c r="P105">
        <v>8.7486588963055899E-3</v>
      </c>
      <c r="Q105" t="s">
        <v>254</v>
      </c>
      <c r="S105" t="s">
        <v>423</v>
      </c>
      <c r="T105" t="s">
        <v>420</v>
      </c>
      <c r="U105">
        <v>8.3249273270211421E-3</v>
      </c>
      <c r="V105" t="s">
        <v>254</v>
      </c>
      <c r="X105">
        <v>7.0776255707762558E-3</v>
      </c>
      <c r="Y105">
        <v>1.376989947708193E-2</v>
      </c>
      <c r="Z105" t="s">
        <v>420</v>
      </c>
      <c r="AA105" t="s">
        <v>25</v>
      </c>
      <c r="AC105" t="s">
        <v>22</v>
      </c>
      <c r="AD105" t="s">
        <v>420</v>
      </c>
      <c r="AE105">
        <v>8.6302720122139603E-3</v>
      </c>
      <c r="AG105" t="s">
        <v>97</v>
      </c>
      <c r="AH105" t="s">
        <v>420</v>
      </c>
      <c r="AI105">
        <v>7.2305314486669214E-2</v>
      </c>
    </row>
    <row r="106" spans="9:35" x14ac:dyDescent="0.45">
      <c r="I106" t="s">
        <v>252</v>
      </c>
      <c r="J106" t="s">
        <v>421</v>
      </c>
      <c r="K106">
        <v>0</v>
      </c>
      <c r="L106" t="s">
        <v>254</v>
      </c>
      <c r="N106" t="s">
        <v>422</v>
      </c>
      <c r="O106" t="s">
        <v>421</v>
      </c>
      <c r="P106">
        <v>2.8229797330429289E-2</v>
      </c>
      <c r="Q106" t="s">
        <v>254</v>
      </c>
      <c r="S106" t="s">
        <v>423</v>
      </c>
      <c r="T106" t="s">
        <v>421</v>
      </c>
      <c r="U106">
        <v>2.4994685761360526E-2</v>
      </c>
      <c r="V106" t="s">
        <v>254</v>
      </c>
      <c r="X106">
        <v>2.1232876712328767E-2</v>
      </c>
      <c r="Y106">
        <v>1.8702400782305319E-2</v>
      </c>
      <c r="Z106" t="s">
        <v>421</v>
      </c>
      <c r="AA106" t="s">
        <v>25</v>
      </c>
      <c r="AC106" t="s">
        <v>22</v>
      </c>
      <c r="AD106" t="s">
        <v>421</v>
      </c>
      <c r="AE106">
        <v>2.2314284150476777E-2</v>
      </c>
      <c r="AG106" t="s">
        <v>97</v>
      </c>
      <c r="AH106" t="s">
        <v>421</v>
      </c>
      <c r="AI106">
        <v>0.19559280053890871</v>
      </c>
    </row>
    <row r="107" spans="9:35" x14ac:dyDescent="0.45">
      <c r="AC107" t="s">
        <v>19</v>
      </c>
      <c r="AD107" t="s">
        <v>253</v>
      </c>
      <c r="AE107">
        <v>2.4395598085002249E-2</v>
      </c>
    </row>
    <row r="108" spans="9:35" x14ac:dyDescent="0.45">
      <c r="AC108" t="s">
        <v>19</v>
      </c>
      <c r="AD108" t="s">
        <v>255</v>
      </c>
      <c r="AE108">
        <v>3.5730378736559833E-3</v>
      </c>
    </row>
    <row r="109" spans="9:35" x14ac:dyDescent="0.45">
      <c r="AC109" t="s">
        <v>19</v>
      </c>
      <c r="AD109" t="s">
        <v>256</v>
      </c>
      <c r="AE109">
        <v>7.1637458762023425E-3</v>
      </c>
    </row>
    <row r="110" spans="9:35" x14ac:dyDescent="0.45">
      <c r="AC110" t="s">
        <v>19</v>
      </c>
      <c r="AD110" t="s">
        <v>257</v>
      </c>
      <c r="AE110">
        <v>1.0750604014200957E-2</v>
      </c>
    </row>
    <row r="111" spans="9:35" x14ac:dyDescent="0.45">
      <c r="AC111" t="s">
        <v>19</v>
      </c>
      <c r="AD111" t="s">
        <v>258</v>
      </c>
      <c r="AE111">
        <v>3.5820028502134417E-3</v>
      </c>
    </row>
    <row r="112" spans="9:35" x14ac:dyDescent="0.45">
      <c r="AC112" t="s">
        <v>19</v>
      </c>
      <c r="AD112" t="s">
        <v>259</v>
      </c>
      <c r="AE112">
        <v>7.1643928820462645E-3</v>
      </c>
    </row>
    <row r="113" spans="29:31" x14ac:dyDescent="0.45">
      <c r="AC113" t="s">
        <v>19</v>
      </c>
      <c r="AD113" t="s">
        <v>260</v>
      </c>
      <c r="AE113">
        <v>7.1721762544827974E-3</v>
      </c>
    </row>
    <row r="114" spans="29:31" x14ac:dyDescent="0.45">
      <c r="AC114" t="s">
        <v>19</v>
      </c>
      <c r="AD114" t="s">
        <v>261</v>
      </c>
      <c r="AE114">
        <v>2.1209885462618431E-2</v>
      </c>
    </row>
    <row r="115" spans="29:31" x14ac:dyDescent="0.45">
      <c r="AC115" t="s">
        <v>19</v>
      </c>
      <c r="AD115" t="s">
        <v>286</v>
      </c>
      <c r="AE115">
        <v>2.2061060703644643E-2</v>
      </c>
    </row>
    <row r="116" spans="29:31" x14ac:dyDescent="0.45">
      <c r="AC116" t="s">
        <v>19</v>
      </c>
      <c r="AD116" t="s">
        <v>287</v>
      </c>
      <c r="AE116">
        <v>3.2296815430522137E-3</v>
      </c>
    </row>
    <row r="117" spans="29:31" x14ac:dyDescent="0.45">
      <c r="AC117" t="s">
        <v>19</v>
      </c>
      <c r="AD117" t="s">
        <v>288</v>
      </c>
      <c r="AE117">
        <v>6.4722697077987824E-3</v>
      </c>
    </row>
    <row r="118" spans="29:31" x14ac:dyDescent="0.45">
      <c r="AC118" t="s">
        <v>19</v>
      </c>
      <c r="AD118" t="s">
        <v>289</v>
      </c>
      <c r="AE118">
        <v>9.7050672491622025E-3</v>
      </c>
    </row>
    <row r="119" spans="29:31" x14ac:dyDescent="0.45">
      <c r="AC119" t="s">
        <v>19</v>
      </c>
      <c r="AD119" t="s">
        <v>290</v>
      </c>
      <c r="AE119">
        <v>3.232914301411885E-3</v>
      </c>
    </row>
    <row r="120" spans="29:31" x14ac:dyDescent="0.45">
      <c r="AC120" t="s">
        <v>19</v>
      </c>
      <c r="AD120" t="s">
        <v>291</v>
      </c>
      <c r="AE120">
        <v>6.4662581738286562E-3</v>
      </c>
    </row>
    <row r="121" spans="29:31" x14ac:dyDescent="0.45">
      <c r="AC121" t="s">
        <v>19</v>
      </c>
      <c r="AD121" t="s">
        <v>292</v>
      </c>
      <c r="AE121">
        <v>6.4751328837035901E-3</v>
      </c>
    </row>
    <row r="122" spans="29:31" x14ac:dyDescent="0.45">
      <c r="AC122" t="s">
        <v>19</v>
      </c>
      <c r="AD122" t="s">
        <v>293</v>
      </c>
      <c r="AE122">
        <v>1.9151317210927762E-2</v>
      </c>
    </row>
    <row r="123" spans="29:31" x14ac:dyDescent="0.45">
      <c r="AC123" t="s">
        <v>19</v>
      </c>
      <c r="AD123" t="s">
        <v>294</v>
      </c>
      <c r="AE123">
        <v>2.4432411551340204E-2</v>
      </c>
    </row>
    <row r="124" spans="29:31" x14ac:dyDescent="0.45">
      <c r="AC124" t="s">
        <v>19</v>
      </c>
      <c r="AD124" t="s">
        <v>295</v>
      </c>
      <c r="AE124">
        <v>3.5675608551710924E-3</v>
      </c>
    </row>
    <row r="125" spans="29:31" x14ac:dyDescent="0.45">
      <c r="AC125" t="s">
        <v>19</v>
      </c>
      <c r="AD125" t="s">
        <v>296</v>
      </c>
      <c r="AE125">
        <v>7.1577780799408084E-3</v>
      </c>
    </row>
    <row r="126" spans="29:31" x14ac:dyDescent="0.45">
      <c r="AC126" t="s">
        <v>19</v>
      </c>
      <c r="AD126" t="s">
        <v>297</v>
      </c>
      <c r="AE126">
        <v>1.0730786917340819E-2</v>
      </c>
    </row>
    <row r="127" spans="29:31" x14ac:dyDescent="0.45">
      <c r="AC127" t="s">
        <v>19</v>
      </c>
      <c r="AD127" t="s">
        <v>298</v>
      </c>
      <c r="AE127">
        <v>3.5732902347939584E-3</v>
      </c>
    </row>
    <row r="128" spans="29:31" x14ac:dyDescent="0.45">
      <c r="AC128" t="s">
        <v>19</v>
      </c>
      <c r="AD128" t="s">
        <v>299</v>
      </c>
      <c r="AE128">
        <v>7.1447781637506797E-3</v>
      </c>
    </row>
    <row r="129" spans="29:31" x14ac:dyDescent="0.45">
      <c r="AC129" t="s">
        <v>19</v>
      </c>
      <c r="AD129" t="s">
        <v>300</v>
      </c>
      <c r="AE129">
        <v>7.1547004970102151E-3</v>
      </c>
    </row>
    <row r="130" spans="29:31" x14ac:dyDescent="0.45">
      <c r="AC130" t="s">
        <v>19</v>
      </c>
      <c r="AD130" t="s">
        <v>301</v>
      </c>
      <c r="AE130">
        <v>2.1210920477999422E-2</v>
      </c>
    </row>
    <row r="131" spans="29:31" x14ac:dyDescent="0.45">
      <c r="AC131" t="s">
        <v>19</v>
      </c>
      <c r="AD131" t="s">
        <v>302</v>
      </c>
      <c r="AE131">
        <v>2.3682791462922036E-2</v>
      </c>
    </row>
    <row r="132" spans="29:31" x14ac:dyDescent="0.45">
      <c r="AC132" t="s">
        <v>19</v>
      </c>
      <c r="AD132" t="s">
        <v>303</v>
      </c>
      <c r="AE132">
        <v>3.4533939736514372E-3</v>
      </c>
    </row>
    <row r="133" spans="29:31" x14ac:dyDescent="0.45">
      <c r="AC133" t="s">
        <v>19</v>
      </c>
      <c r="AD133" t="s">
        <v>304</v>
      </c>
      <c r="AE133">
        <v>6.9207834463373653E-3</v>
      </c>
    </row>
    <row r="134" spans="29:31" x14ac:dyDescent="0.45">
      <c r="AC134" t="s">
        <v>19</v>
      </c>
      <c r="AD134" t="s">
        <v>305</v>
      </c>
      <c r="AE134">
        <v>1.0370268134606019E-2</v>
      </c>
    </row>
    <row r="135" spans="29:31" x14ac:dyDescent="0.45">
      <c r="AC135" t="s">
        <v>19</v>
      </c>
      <c r="AD135" t="s">
        <v>306</v>
      </c>
      <c r="AE135">
        <v>3.4537794521258651E-3</v>
      </c>
    </row>
    <row r="136" spans="29:31" x14ac:dyDescent="0.45">
      <c r="AC136" t="s">
        <v>19</v>
      </c>
      <c r="AD136" t="s">
        <v>307</v>
      </c>
      <c r="AE136">
        <v>6.9054458690796829E-3</v>
      </c>
    </row>
    <row r="137" spans="29:31" x14ac:dyDescent="0.45">
      <c r="AC137" t="s">
        <v>19</v>
      </c>
      <c r="AD137" t="s">
        <v>308</v>
      </c>
      <c r="AE137">
        <v>6.906657562094784E-3</v>
      </c>
    </row>
    <row r="138" spans="29:31" x14ac:dyDescent="0.45">
      <c r="AC138" t="s">
        <v>19</v>
      </c>
      <c r="AD138" t="s">
        <v>309</v>
      </c>
      <c r="AE138">
        <v>2.0495156606258523E-2</v>
      </c>
    </row>
    <row r="139" spans="29:31" x14ac:dyDescent="0.45">
      <c r="AC139" t="s">
        <v>19</v>
      </c>
      <c r="AD139" t="s">
        <v>310</v>
      </c>
      <c r="AE139">
        <v>2.445360623936129E-2</v>
      </c>
    </row>
    <row r="140" spans="29:31" x14ac:dyDescent="0.45">
      <c r="AC140" t="s">
        <v>19</v>
      </c>
      <c r="AD140" t="s">
        <v>311</v>
      </c>
      <c r="AE140">
        <v>3.5637901726707994E-3</v>
      </c>
    </row>
    <row r="141" spans="29:31" x14ac:dyDescent="0.45">
      <c r="AC141" t="s">
        <v>19</v>
      </c>
      <c r="AD141" t="s">
        <v>312</v>
      </c>
      <c r="AE141">
        <v>7.144888839786894E-3</v>
      </c>
    </row>
    <row r="142" spans="29:31" x14ac:dyDescent="0.45">
      <c r="AC142" t="s">
        <v>19</v>
      </c>
      <c r="AD142" t="s">
        <v>313</v>
      </c>
      <c r="AE142">
        <v>1.0711892468507895E-2</v>
      </c>
    </row>
    <row r="143" spans="29:31" x14ac:dyDescent="0.45">
      <c r="AC143" t="s">
        <v>19</v>
      </c>
      <c r="AD143" t="s">
        <v>314</v>
      </c>
      <c r="AE143">
        <v>3.5676949163337079E-3</v>
      </c>
    </row>
    <row r="144" spans="29:31" x14ac:dyDescent="0.45">
      <c r="AC144" t="s">
        <v>19</v>
      </c>
      <c r="AD144" t="s">
        <v>315</v>
      </c>
      <c r="AE144">
        <v>7.1320632120969851E-3</v>
      </c>
    </row>
    <row r="145" spans="29:31" x14ac:dyDescent="0.45">
      <c r="AC145" t="s">
        <v>19</v>
      </c>
      <c r="AD145" t="s">
        <v>316</v>
      </c>
      <c r="AE145">
        <v>7.1327832639355698E-3</v>
      </c>
    </row>
    <row r="146" spans="29:31" x14ac:dyDescent="0.45">
      <c r="AC146" t="s">
        <v>19</v>
      </c>
      <c r="AD146" t="s">
        <v>317</v>
      </c>
      <c r="AE146">
        <v>2.1195618960105168E-2</v>
      </c>
    </row>
    <row r="147" spans="29:31" x14ac:dyDescent="0.45">
      <c r="AC147" t="s">
        <v>19</v>
      </c>
      <c r="AD147" t="s">
        <v>318</v>
      </c>
      <c r="AE147">
        <v>2.3644233434457197E-2</v>
      </c>
    </row>
    <row r="148" spans="29:31" x14ac:dyDescent="0.45">
      <c r="AC148" t="s">
        <v>19</v>
      </c>
      <c r="AD148" t="s">
        <v>319</v>
      </c>
      <c r="AE148">
        <v>3.4382306091986425E-3</v>
      </c>
    </row>
    <row r="149" spans="29:31" x14ac:dyDescent="0.45">
      <c r="AC149" t="s">
        <v>19</v>
      </c>
      <c r="AD149" t="s">
        <v>320</v>
      </c>
      <c r="AE149">
        <v>6.9077758092234475E-3</v>
      </c>
    </row>
    <row r="150" spans="29:31" x14ac:dyDescent="0.45">
      <c r="AC150" t="s">
        <v>19</v>
      </c>
      <c r="AD150" t="s">
        <v>321</v>
      </c>
      <c r="AE150">
        <v>1.0364475133057232E-2</v>
      </c>
    </row>
    <row r="151" spans="29:31" x14ac:dyDescent="0.45">
      <c r="AC151" t="s">
        <v>19</v>
      </c>
      <c r="AD151" t="s">
        <v>322</v>
      </c>
      <c r="AE151">
        <v>3.452774899384749E-3</v>
      </c>
    </row>
    <row r="152" spans="29:31" x14ac:dyDescent="0.45">
      <c r="AC152" t="s">
        <v>19</v>
      </c>
      <c r="AD152" t="s">
        <v>323</v>
      </c>
      <c r="AE152">
        <v>6.9008529034649824E-3</v>
      </c>
    </row>
    <row r="153" spans="29:31" x14ac:dyDescent="0.45">
      <c r="AC153" t="s">
        <v>19</v>
      </c>
      <c r="AD153" t="s">
        <v>324</v>
      </c>
      <c r="AE153">
        <v>6.8985177024956943E-3</v>
      </c>
    </row>
    <row r="154" spans="29:31" x14ac:dyDescent="0.45">
      <c r="AC154" t="s">
        <v>19</v>
      </c>
      <c r="AD154" t="s">
        <v>325</v>
      </c>
      <c r="AE154">
        <v>2.052883470810786E-2</v>
      </c>
    </row>
    <row r="155" spans="29:31" x14ac:dyDescent="0.45">
      <c r="AC155" t="s">
        <v>19</v>
      </c>
      <c r="AD155" t="s">
        <v>326</v>
      </c>
      <c r="AE155">
        <v>2.4439674861368808E-2</v>
      </c>
    </row>
    <row r="156" spans="29:31" x14ac:dyDescent="0.45">
      <c r="AC156" t="s">
        <v>19</v>
      </c>
      <c r="AD156" t="s">
        <v>327</v>
      </c>
      <c r="AE156">
        <v>3.5519802367630954E-3</v>
      </c>
    </row>
    <row r="157" spans="29:31" x14ac:dyDescent="0.45">
      <c r="AC157" t="s">
        <v>19</v>
      </c>
      <c r="AD157" t="s">
        <v>328</v>
      </c>
      <c r="AE157">
        <v>7.1320585804889019E-3</v>
      </c>
    </row>
    <row r="158" spans="29:31" x14ac:dyDescent="0.45">
      <c r="AC158" t="s">
        <v>19</v>
      </c>
      <c r="AD158" t="s">
        <v>329</v>
      </c>
      <c r="AE158">
        <v>1.0711635821121786E-2</v>
      </c>
    </row>
    <row r="159" spans="29:31" x14ac:dyDescent="0.45">
      <c r="AC159" t="s">
        <v>19</v>
      </c>
      <c r="AD159" t="s">
        <v>330</v>
      </c>
      <c r="AE159">
        <v>3.569633712680596E-3</v>
      </c>
    </row>
    <row r="160" spans="29:31" x14ac:dyDescent="0.45">
      <c r="AC160" t="s">
        <v>19</v>
      </c>
      <c r="AD160" t="s">
        <v>331</v>
      </c>
      <c r="AE160">
        <v>7.1329040973390472E-3</v>
      </c>
    </row>
    <row r="161" spans="29:31" x14ac:dyDescent="0.45">
      <c r="AC161" t="s">
        <v>19</v>
      </c>
      <c r="AD161" t="s">
        <v>332</v>
      </c>
      <c r="AE161">
        <v>7.1296043486112131E-3</v>
      </c>
    </row>
    <row r="162" spans="29:31" x14ac:dyDescent="0.45">
      <c r="AC162" t="s">
        <v>19</v>
      </c>
      <c r="AD162" t="s">
        <v>333</v>
      </c>
      <c r="AE162">
        <v>2.1224910512777185E-2</v>
      </c>
    </row>
    <row r="163" spans="29:31" x14ac:dyDescent="0.45">
      <c r="AC163" t="s">
        <v>19</v>
      </c>
      <c r="AD163" t="s">
        <v>334</v>
      </c>
      <c r="AE163">
        <v>2.4431688982631854E-2</v>
      </c>
    </row>
    <row r="164" spans="29:31" x14ac:dyDescent="0.45">
      <c r="AC164" t="s">
        <v>19</v>
      </c>
      <c r="AD164" t="s">
        <v>335</v>
      </c>
      <c r="AE164">
        <v>3.5523707134948665E-3</v>
      </c>
    </row>
    <row r="165" spans="29:31" x14ac:dyDescent="0.45">
      <c r="AC165" t="s">
        <v>19</v>
      </c>
      <c r="AD165" t="s">
        <v>336</v>
      </c>
      <c r="AE165">
        <v>7.136390212703396E-3</v>
      </c>
    </row>
    <row r="166" spans="29:31" x14ac:dyDescent="0.45">
      <c r="AC166" t="s">
        <v>19</v>
      </c>
      <c r="AD166" t="s">
        <v>337</v>
      </c>
      <c r="AE166">
        <v>1.0713211464386011E-2</v>
      </c>
    </row>
    <row r="167" spans="29:31" x14ac:dyDescent="0.45">
      <c r="AC167" t="s">
        <v>19</v>
      </c>
      <c r="AD167" t="s">
        <v>338</v>
      </c>
      <c r="AE167">
        <v>3.5698215151629253E-3</v>
      </c>
    </row>
    <row r="168" spans="29:31" x14ac:dyDescent="0.45">
      <c r="AC168" t="s">
        <v>19</v>
      </c>
      <c r="AD168" t="s">
        <v>339</v>
      </c>
      <c r="AE168">
        <v>7.134533027750997E-3</v>
      </c>
    </row>
    <row r="169" spans="29:31" x14ac:dyDescent="0.45">
      <c r="AC169" t="s">
        <v>19</v>
      </c>
      <c r="AD169" t="s">
        <v>340</v>
      </c>
      <c r="AE169">
        <v>7.1312737760253859E-3</v>
      </c>
    </row>
    <row r="170" spans="29:31" x14ac:dyDescent="0.45">
      <c r="AC170" t="s">
        <v>19</v>
      </c>
      <c r="AD170" t="s">
        <v>341</v>
      </c>
      <c r="AE170">
        <v>2.1214423960711336E-2</v>
      </c>
    </row>
    <row r="171" spans="29:31" x14ac:dyDescent="0.45">
      <c r="AC171" t="s">
        <v>19</v>
      </c>
      <c r="AD171" t="s">
        <v>366</v>
      </c>
      <c r="AE171">
        <v>2.3640621820964585E-2</v>
      </c>
    </row>
    <row r="172" spans="29:31" x14ac:dyDescent="0.45">
      <c r="AC172" t="s">
        <v>19</v>
      </c>
      <c r="AD172" t="s">
        <v>367</v>
      </c>
      <c r="AE172">
        <v>3.4395125096334852E-3</v>
      </c>
    </row>
    <row r="173" spans="29:31" x14ac:dyDescent="0.45">
      <c r="AC173" t="s">
        <v>19</v>
      </c>
      <c r="AD173" t="s">
        <v>368</v>
      </c>
      <c r="AE173">
        <v>6.9088923153594927E-3</v>
      </c>
    </row>
    <row r="174" spans="29:31" x14ac:dyDescent="0.45">
      <c r="AC174" t="s">
        <v>19</v>
      </c>
      <c r="AD174" t="s">
        <v>369</v>
      </c>
      <c r="AE174">
        <v>1.0366403093144355E-2</v>
      </c>
    </row>
    <row r="175" spans="29:31" x14ac:dyDescent="0.45">
      <c r="AC175" t="s">
        <v>19</v>
      </c>
      <c r="AD175" t="s">
        <v>370</v>
      </c>
      <c r="AE175">
        <v>3.4534073338774044E-3</v>
      </c>
    </row>
    <row r="176" spans="29:31" x14ac:dyDescent="0.45">
      <c r="AC176" t="s">
        <v>19</v>
      </c>
      <c r="AD176" t="s">
        <v>371</v>
      </c>
      <c r="AE176">
        <v>6.9026905968695819E-3</v>
      </c>
    </row>
    <row r="177" spans="29:31" x14ac:dyDescent="0.45">
      <c r="AC177" t="s">
        <v>19</v>
      </c>
      <c r="AD177" t="s">
        <v>372</v>
      </c>
      <c r="AE177">
        <v>6.9011437627753388E-3</v>
      </c>
    </row>
    <row r="178" spans="29:31" x14ac:dyDescent="0.45">
      <c r="AC178" t="s">
        <v>19</v>
      </c>
      <c r="AD178" t="s">
        <v>373</v>
      </c>
      <c r="AE178">
        <v>2.0528105951306181E-2</v>
      </c>
    </row>
    <row r="179" spans="29:31" x14ac:dyDescent="0.45">
      <c r="AC179" t="s">
        <v>19</v>
      </c>
      <c r="AD179" t="s">
        <v>398</v>
      </c>
      <c r="AE179">
        <v>2.4426264456493714E-2</v>
      </c>
    </row>
    <row r="180" spans="29:31" x14ac:dyDescent="0.45">
      <c r="AC180" t="s">
        <v>19</v>
      </c>
      <c r="AD180" t="s">
        <v>399</v>
      </c>
      <c r="AE180">
        <v>3.5548504641611067E-3</v>
      </c>
    </row>
    <row r="181" spans="29:31" x14ac:dyDescent="0.45">
      <c r="AC181" t="s">
        <v>19</v>
      </c>
      <c r="AD181" t="s">
        <v>400</v>
      </c>
      <c r="AE181">
        <v>7.1422141547188333E-3</v>
      </c>
    </row>
    <row r="182" spans="29:31" x14ac:dyDescent="0.45">
      <c r="AC182" t="s">
        <v>19</v>
      </c>
      <c r="AD182" t="s">
        <v>401</v>
      </c>
      <c r="AE182">
        <v>1.0712371350290137E-2</v>
      </c>
    </row>
    <row r="183" spans="29:31" x14ac:dyDescent="0.45">
      <c r="AC183" t="s">
        <v>19</v>
      </c>
      <c r="AD183" t="s">
        <v>402</v>
      </c>
      <c r="AE183">
        <v>3.5680979040844467E-3</v>
      </c>
    </row>
    <row r="184" spans="29:31" x14ac:dyDescent="0.45">
      <c r="AC184" t="s">
        <v>19</v>
      </c>
      <c r="AD184" t="s">
        <v>403</v>
      </c>
      <c r="AE184">
        <v>7.1323529454392891E-3</v>
      </c>
    </row>
    <row r="185" spans="29:31" x14ac:dyDescent="0.45">
      <c r="AC185" t="s">
        <v>19</v>
      </c>
      <c r="AD185" t="s">
        <v>404</v>
      </c>
      <c r="AE185">
        <v>7.1328409910875702E-3</v>
      </c>
    </row>
    <row r="186" spans="29:31" x14ac:dyDescent="0.45">
      <c r="AC186" t="s">
        <v>19</v>
      </c>
      <c r="AD186" t="s">
        <v>405</v>
      </c>
      <c r="AE186">
        <v>2.1217563065022409E-2</v>
      </c>
    </row>
    <row r="187" spans="29:31" x14ac:dyDescent="0.45">
      <c r="AC187" t="s">
        <v>19</v>
      </c>
      <c r="AD187" t="s">
        <v>406</v>
      </c>
      <c r="AE187">
        <v>2.3601944688261496E-2</v>
      </c>
    </row>
    <row r="188" spans="29:31" x14ac:dyDescent="0.45">
      <c r="AC188" t="s">
        <v>19</v>
      </c>
      <c r="AD188" t="s">
        <v>407</v>
      </c>
      <c r="AE188">
        <v>3.4495549500944142E-3</v>
      </c>
    </row>
    <row r="189" spans="29:31" x14ac:dyDescent="0.45">
      <c r="AC189" t="s">
        <v>19</v>
      </c>
      <c r="AD189" t="s">
        <v>408</v>
      </c>
      <c r="AE189">
        <v>6.9240443207816407E-3</v>
      </c>
    </row>
    <row r="190" spans="29:31" x14ac:dyDescent="0.45">
      <c r="AC190" t="s">
        <v>19</v>
      </c>
      <c r="AD190" t="s">
        <v>409</v>
      </c>
      <c r="AE190">
        <v>1.0388103253298267E-2</v>
      </c>
    </row>
    <row r="191" spans="29:31" x14ac:dyDescent="0.45">
      <c r="AC191" t="s">
        <v>19</v>
      </c>
      <c r="AD191" t="s">
        <v>410</v>
      </c>
      <c r="AE191">
        <v>3.4605527247727878E-3</v>
      </c>
    </row>
    <row r="192" spans="29:31" x14ac:dyDescent="0.45">
      <c r="AC192" t="s">
        <v>19</v>
      </c>
      <c r="AD192" t="s">
        <v>411</v>
      </c>
      <c r="AE192">
        <v>6.9202010795753792E-3</v>
      </c>
    </row>
    <row r="193" spans="29:31" x14ac:dyDescent="0.45">
      <c r="AC193" t="s">
        <v>19</v>
      </c>
      <c r="AD193" t="s">
        <v>412</v>
      </c>
      <c r="AE193">
        <v>6.9308196206441536E-3</v>
      </c>
    </row>
    <row r="194" spans="29:31" x14ac:dyDescent="0.45">
      <c r="AC194" t="s">
        <v>19</v>
      </c>
      <c r="AD194" t="s">
        <v>413</v>
      </c>
      <c r="AE194">
        <v>2.054638336964636E-2</v>
      </c>
    </row>
    <row r="195" spans="29:31" x14ac:dyDescent="0.45">
      <c r="AC195" t="s">
        <v>19</v>
      </c>
      <c r="AD195" t="s">
        <v>414</v>
      </c>
      <c r="AE195">
        <v>2.4416657413212691E-2</v>
      </c>
    </row>
    <row r="196" spans="29:31" x14ac:dyDescent="0.45">
      <c r="AC196" t="s">
        <v>19</v>
      </c>
      <c r="AD196" t="s">
        <v>415</v>
      </c>
      <c r="AE196">
        <v>3.5659298573304079E-3</v>
      </c>
    </row>
    <row r="197" spans="29:31" x14ac:dyDescent="0.45">
      <c r="AC197" t="s">
        <v>19</v>
      </c>
      <c r="AD197" t="s">
        <v>416</v>
      </c>
      <c r="AE197">
        <v>7.1572589045875478E-3</v>
      </c>
    </row>
    <row r="198" spans="29:31" x14ac:dyDescent="0.45">
      <c r="AC198" t="s">
        <v>19</v>
      </c>
      <c r="AD198" t="s">
        <v>417</v>
      </c>
      <c r="AE198">
        <v>1.07309036300797E-2</v>
      </c>
    </row>
    <row r="199" spans="29:31" x14ac:dyDescent="0.45">
      <c r="AC199" t="s">
        <v>19</v>
      </c>
      <c r="AD199" t="s">
        <v>418</v>
      </c>
      <c r="AE199">
        <v>3.5727272980773136E-3</v>
      </c>
    </row>
    <row r="200" spans="29:31" x14ac:dyDescent="0.45">
      <c r="AC200" t="s">
        <v>19</v>
      </c>
      <c r="AD200" t="s">
        <v>419</v>
      </c>
      <c r="AE200">
        <v>7.1450759302600121E-3</v>
      </c>
    </row>
    <row r="201" spans="29:31" x14ac:dyDescent="0.45">
      <c r="AC201" t="s">
        <v>19</v>
      </c>
      <c r="AD201" t="s">
        <v>420</v>
      </c>
      <c r="AE201">
        <v>7.1618483125216771E-3</v>
      </c>
    </row>
    <row r="202" spans="29:31" x14ac:dyDescent="0.45">
      <c r="AC202" t="s">
        <v>19</v>
      </c>
      <c r="AD202" t="s">
        <v>421</v>
      </c>
      <c r="AE202">
        <v>2.1220864479047526E-2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D0433-E6B2-4641-8850-F713E152FA8E}">
  <dimension ref="A9:AN20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157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2.5550017394375114E-2</v>
      </c>
      <c r="Q11" t="s">
        <v>254</v>
      </c>
      <c r="S11" t="s">
        <v>423</v>
      </c>
      <c r="T11" t="s">
        <v>253</v>
      </c>
      <c r="U11">
        <v>2.6314698197757971E-2</v>
      </c>
      <c r="V11" t="s">
        <v>254</v>
      </c>
      <c r="X11">
        <v>2.4771689497716895E-2</v>
      </c>
      <c r="Y11">
        <v>9.7827942553597048E-3</v>
      </c>
      <c r="Z11" t="s">
        <v>253</v>
      </c>
      <c r="AA11" t="s">
        <v>25</v>
      </c>
      <c r="AC11" t="s">
        <v>22</v>
      </c>
      <c r="AD11" t="s">
        <v>253</v>
      </c>
      <c r="AE11">
        <v>2.2606998255070062E-2</v>
      </c>
      <c r="AG11" t="s">
        <v>97</v>
      </c>
      <c r="AH11" t="s">
        <v>253</v>
      </c>
      <c r="AI11">
        <v>0.29325982533716588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3.571492353764361E-3</v>
      </c>
      <c r="Q12" t="s">
        <v>254</v>
      </c>
      <c r="S12" t="s">
        <v>423</v>
      </c>
      <c r="T12" t="s">
        <v>255</v>
      </c>
      <c r="U12">
        <v>3.7559791137912564E-3</v>
      </c>
      <c r="V12" t="s">
        <v>254</v>
      </c>
      <c r="X12">
        <v>3.5388127853881279E-3</v>
      </c>
      <c r="Y12">
        <v>5.9087255218821738E-3</v>
      </c>
      <c r="Z12" t="s">
        <v>255</v>
      </c>
      <c r="AA12" t="s">
        <v>25</v>
      </c>
      <c r="AC12" t="s">
        <v>22</v>
      </c>
      <c r="AD12" t="s">
        <v>255</v>
      </c>
      <c r="AE12">
        <v>4.4180407876775827E-3</v>
      </c>
      <c r="AG12" t="s">
        <v>97</v>
      </c>
      <c r="AH12" t="s">
        <v>255</v>
      </c>
      <c r="AI12">
        <v>5.9964938978160909E-2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4.62783912320343E-3</v>
      </c>
      <c r="L13" t="s">
        <v>254</v>
      </c>
      <c r="N13" t="s">
        <v>422</v>
      </c>
      <c r="O13" t="s">
        <v>256</v>
      </c>
      <c r="P13">
        <v>7.0455228010805641E-3</v>
      </c>
      <c r="Q13" t="s">
        <v>254</v>
      </c>
      <c r="S13" t="s">
        <v>423</v>
      </c>
      <c r="T13" t="s">
        <v>256</v>
      </c>
      <c r="U13">
        <v>7.4238637563069747E-3</v>
      </c>
      <c r="V13" t="s">
        <v>254</v>
      </c>
      <c r="X13">
        <v>7.0776255707762558E-3</v>
      </c>
      <c r="Y13">
        <v>9.0018148820326695E-3</v>
      </c>
      <c r="Z13" t="s">
        <v>256</v>
      </c>
      <c r="AA13" t="s">
        <v>25</v>
      </c>
      <c r="AC13" t="s">
        <v>22</v>
      </c>
      <c r="AD13" t="s">
        <v>256</v>
      </c>
      <c r="AE13">
        <v>9.0748516748292811E-3</v>
      </c>
      <c r="AG13" t="s">
        <v>97</v>
      </c>
      <c r="AH13" t="s">
        <v>256</v>
      </c>
      <c r="AI13">
        <v>5.9891306588249815E-2</v>
      </c>
    </row>
    <row r="14" spans="1:40" x14ac:dyDescent="0.45">
      <c r="C14" t="s">
        <v>165</v>
      </c>
      <c r="E14" t="s">
        <v>246</v>
      </c>
      <c r="G14" t="s">
        <v>155</v>
      </c>
      <c r="I14" t="s">
        <v>252</v>
      </c>
      <c r="J14" t="s">
        <v>257</v>
      </c>
      <c r="K14">
        <v>1.5970968002535522E-2</v>
      </c>
      <c r="L14" t="s">
        <v>254</v>
      </c>
      <c r="N14" t="s">
        <v>422</v>
      </c>
      <c r="O14" t="s">
        <v>257</v>
      </c>
      <c r="P14">
        <v>1.0364520942325371E-2</v>
      </c>
      <c r="Q14" t="s">
        <v>254</v>
      </c>
      <c r="S14" t="s">
        <v>423</v>
      </c>
      <c r="T14" t="s">
        <v>257</v>
      </c>
      <c r="U14">
        <v>1.1034451381357873E-2</v>
      </c>
      <c r="V14" t="s">
        <v>254</v>
      </c>
      <c r="X14">
        <v>1.0616438356164383E-2</v>
      </c>
      <c r="Y14">
        <v>1.3143060769543132E-2</v>
      </c>
      <c r="Z14" t="s">
        <v>257</v>
      </c>
      <c r="AA14" t="s">
        <v>25</v>
      </c>
      <c r="AC14" t="s">
        <v>22</v>
      </c>
      <c r="AD14" t="s">
        <v>257</v>
      </c>
      <c r="AE14">
        <v>1.3679640726332236E-2</v>
      </c>
      <c r="AG14" t="s">
        <v>97</v>
      </c>
      <c r="AH14" t="s">
        <v>257</v>
      </c>
      <c r="AI14">
        <v>5.6247175012977824E-2</v>
      </c>
    </row>
    <row r="15" spans="1:40" x14ac:dyDescent="0.45">
      <c r="C15" t="s">
        <v>169</v>
      </c>
      <c r="E15" t="s">
        <v>247</v>
      </c>
      <c r="G15" t="s">
        <v>155</v>
      </c>
      <c r="I15" t="s">
        <v>252</v>
      </c>
      <c r="J15" t="s">
        <v>258</v>
      </c>
      <c r="K15">
        <v>5.454637530262727E-3</v>
      </c>
      <c r="L15" t="s">
        <v>254</v>
      </c>
      <c r="N15" t="s">
        <v>422</v>
      </c>
      <c r="O15" t="s">
        <v>258</v>
      </c>
      <c r="P15">
        <v>3.5073755161339351E-3</v>
      </c>
      <c r="Q15" t="s">
        <v>254</v>
      </c>
      <c r="S15" t="s">
        <v>423</v>
      </c>
      <c r="T15" t="s">
        <v>258</v>
      </c>
      <c r="U15">
        <v>3.7274210855800941E-3</v>
      </c>
      <c r="V15" t="s">
        <v>254</v>
      </c>
      <c r="X15">
        <v>3.5388127853881279E-3</v>
      </c>
      <c r="Y15">
        <v>4.6139439292610376E-3</v>
      </c>
      <c r="Z15" t="s">
        <v>258</v>
      </c>
      <c r="AA15" t="s">
        <v>25</v>
      </c>
      <c r="AC15" t="s">
        <v>22</v>
      </c>
      <c r="AD15" t="s">
        <v>258</v>
      </c>
      <c r="AE15">
        <v>4.5391812930857403E-3</v>
      </c>
      <c r="AG15" t="s">
        <v>97</v>
      </c>
      <c r="AH15" t="s">
        <v>258</v>
      </c>
      <c r="AI15">
        <v>6.0035937988137444E-2</v>
      </c>
    </row>
    <row r="16" spans="1:40" x14ac:dyDescent="0.45">
      <c r="C16" t="s">
        <v>171</v>
      </c>
      <c r="E16" t="s">
        <v>248</v>
      </c>
      <c r="G16" t="s">
        <v>155</v>
      </c>
      <c r="I16" t="s">
        <v>252</v>
      </c>
      <c r="J16" t="s">
        <v>259</v>
      </c>
      <c r="K16">
        <v>1.1342405156971672E-2</v>
      </c>
      <c r="L16" t="s">
        <v>254</v>
      </c>
      <c r="N16" t="s">
        <v>422</v>
      </c>
      <c r="O16" t="s">
        <v>259</v>
      </c>
      <c r="P16">
        <v>6.9493087513025171E-3</v>
      </c>
      <c r="Q16" t="s">
        <v>254</v>
      </c>
      <c r="S16" t="s">
        <v>423</v>
      </c>
      <c r="T16" t="s">
        <v>259</v>
      </c>
      <c r="U16">
        <v>7.3674033041907852E-3</v>
      </c>
      <c r="V16" t="s">
        <v>254</v>
      </c>
      <c r="X16">
        <v>7.0776255707762558E-3</v>
      </c>
      <c r="Y16">
        <v>1.0008867231849112E-2</v>
      </c>
      <c r="Z16" t="s">
        <v>259</v>
      </c>
      <c r="AA16" t="s">
        <v>25</v>
      </c>
      <c r="AC16" t="s">
        <v>22</v>
      </c>
      <c r="AD16" t="s">
        <v>259</v>
      </c>
      <c r="AE16">
        <v>9.0835944322065452E-3</v>
      </c>
      <c r="AG16" t="s">
        <v>97</v>
      </c>
      <c r="AH16" t="s">
        <v>259</v>
      </c>
      <c r="AI16">
        <v>6.308444745243813E-2</v>
      </c>
    </row>
    <row r="17" spans="3:35" x14ac:dyDescent="0.45">
      <c r="C17" t="s">
        <v>173</v>
      </c>
      <c r="E17" t="s">
        <v>249</v>
      </c>
      <c r="G17" t="s">
        <v>155</v>
      </c>
      <c r="I17" t="s">
        <v>252</v>
      </c>
      <c r="J17" t="s">
        <v>260</v>
      </c>
      <c r="K17">
        <v>4.5986949584016796E-3</v>
      </c>
      <c r="L17" t="s">
        <v>254</v>
      </c>
      <c r="N17" t="s">
        <v>422</v>
      </c>
      <c r="O17" t="s">
        <v>260</v>
      </c>
      <c r="P17">
        <v>7.0448551307419113E-3</v>
      </c>
      <c r="Q17" t="s">
        <v>254</v>
      </c>
      <c r="S17" t="s">
        <v>423</v>
      </c>
      <c r="T17" t="s">
        <v>260</v>
      </c>
      <c r="U17">
        <v>7.2244896298709121E-3</v>
      </c>
      <c r="V17" t="s">
        <v>254</v>
      </c>
      <c r="X17">
        <v>7.0776255707762558E-3</v>
      </c>
      <c r="Y17">
        <v>1.376989947708193E-2</v>
      </c>
      <c r="Z17" t="s">
        <v>260</v>
      </c>
      <c r="AA17" t="s">
        <v>25</v>
      </c>
      <c r="AC17" t="s">
        <v>22</v>
      </c>
      <c r="AD17" t="s">
        <v>260</v>
      </c>
      <c r="AE17">
        <v>9.1887683459026138E-3</v>
      </c>
      <c r="AG17" t="s">
        <v>97</v>
      </c>
      <c r="AH17" t="s">
        <v>260</v>
      </c>
      <c r="AI17">
        <v>5.3910167132447562E-2</v>
      </c>
    </row>
    <row r="18" spans="3:35" x14ac:dyDescent="0.45">
      <c r="C18" t="s">
        <v>164</v>
      </c>
      <c r="E18" t="s">
        <v>250</v>
      </c>
      <c r="G18" t="s">
        <v>155</v>
      </c>
      <c r="I18" t="s">
        <v>252</v>
      </c>
      <c r="J18" t="s">
        <v>261</v>
      </c>
      <c r="K18">
        <v>0</v>
      </c>
      <c r="L18" t="s">
        <v>254</v>
      </c>
      <c r="N18" t="s">
        <v>422</v>
      </c>
      <c r="O18" t="s">
        <v>261</v>
      </c>
      <c r="P18">
        <v>2.2397691727014665E-2</v>
      </c>
      <c r="Q18" t="s">
        <v>254</v>
      </c>
      <c r="S18" t="s">
        <v>423</v>
      </c>
      <c r="T18" t="s">
        <v>261</v>
      </c>
      <c r="U18">
        <v>2.2005210993578238E-2</v>
      </c>
      <c r="V18" t="s">
        <v>254</v>
      </c>
      <c r="X18">
        <v>2.1232876712328767E-2</v>
      </c>
      <c r="Y18">
        <v>1.8702400782305319E-2</v>
      </c>
      <c r="Z18" t="s">
        <v>261</v>
      </c>
      <c r="AA18" t="s">
        <v>25</v>
      </c>
      <c r="AC18" t="s">
        <v>22</v>
      </c>
      <c r="AD18" t="s">
        <v>261</v>
      </c>
      <c r="AE18">
        <v>2.342274434856563E-2</v>
      </c>
      <c r="AG18" t="s">
        <v>97</v>
      </c>
      <c r="AH18" t="s">
        <v>261</v>
      </c>
      <c r="AI18">
        <v>0.18937647676882352</v>
      </c>
    </row>
    <row r="19" spans="3:35" x14ac:dyDescent="0.45">
      <c r="C19" t="s">
        <v>168</v>
      </c>
      <c r="I19" t="s">
        <v>252</v>
      </c>
      <c r="J19" t="s">
        <v>286</v>
      </c>
      <c r="K19">
        <v>0</v>
      </c>
      <c r="L19" t="s">
        <v>254</v>
      </c>
      <c r="N19" t="s">
        <v>422</v>
      </c>
      <c r="O19" t="s">
        <v>286</v>
      </c>
      <c r="P19">
        <v>2.6875347164954114E-2</v>
      </c>
      <c r="Q19" t="s">
        <v>254</v>
      </c>
      <c r="S19" t="s">
        <v>423</v>
      </c>
      <c r="T19" t="s">
        <v>286</v>
      </c>
      <c r="U19">
        <v>2.7252085270587752E-2</v>
      </c>
      <c r="V19" t="s">
        <v>254</v>
      </c>
      <c r="X19">
        <v>2.2374429223744292E-2</v>
      </c>
      <c r="Y19">
        <v>8.8360722306474754E-3</v>
      </c>
      <c r="Z19" t="s">
        <v>286</v>
      </c>
      <c r="AA19" t="s">
        <v>25</v>
      </c>
      <c r="AC19" t="s">
        <v>22</v>
      </c>
      <c r="AD19" t="s">
        <v>286</v>
      </c>
      <c r="AE19">
        <v>2.1109717328878161E-2</v>
      </c>
      <c r="AG19" t="s">
        <v>97</v>
      </c>
      <c r="AH19" t="s">
        <v>286</v>
      </c>
      <c r="AI19">
        <v>0.29113480752506327</v>
      </c>
    </row>
    <row r="20" spans="3:35" x14ac:dyDescent="0.45">
      <c r="C20" t="s">
        <v>177</v>
      </c>
      <c r="I20" t="s">
        <v>252</v>
      </c>
      <c r="J20" t="s">
        <v>287</v>
      </c>
      <c r="K20">
        <v>8.3849719630973629E-5</v>
      </c>
      <c r="L20" t="s">
        <v>254</v>
      </c>
      <c r="N20" t="s">
        <v>422</v>
      </c>
      <c r="O20" t="s">
        <v>287</v>
      </c>
      <c r="P20">
        <v>3.8881604605765616E-3</v>
      </c>
      <c r="Q20" t="s">
        <v>254</v>
      </c>
      <c r="S20" t="s">
        <v>423</v>
      </c>
      <c r="T20" t="s">
        <v>287</v>
      </c>
      <c r="U20">
        <v>3.9499288171013164E-3</v>
      </c>
      <c r="V20" t="s">
        <v>254</v>
      </c>
      <c r="X20">
        <v>3.1963470319634705E-3</v>
      </c>
      <c r="Y20">
        <v>5.3369133746032542E-3</v>
      </c>
      <c r="Z20" t="s">
        <v>287</v>
      </c>
      <c r="AA20" t="s">
        <v>25</v>
      </c>
      <c r="AC20" t="s">
        <v>22</v>
      </c>
      <c r="AD20" t="s">
        <v>287</v>
      </c>
      <c r="AE20">
        <v>4.0710306204245848E-3</v>
      </c>
      <c r="AG20" t="s">
        <v>97</v>
      </c>
      <c r="AH20" t="s">
        <v>287</v>
      </c>
      <c r="AI20">
        <v>6.8359075254840862E-2</v>
      </c>
    </row>
    <row r="21" spans="3:35" x14ac:dyDescent="0.45">
      <c r="C21" t="s">
        <v>179</v>
      </c>
      <c r="I21" t="s">
        <v>252</v>
      </c>
      <c r="J21" t="s">
        <v>288</v>
      </c>
      <c r="K21">
        <v>9.6888225697236499E-3</v>
      </c>
      <c r="L21" t="s">
        <v>254</v>
      </c>
      <c r="N21" t="s">
        <v>422</v>
      </c>
      <c r="O21" t="s">
        <v>288</v>
      </c>
      <c r="P21">
        <v>7.7173957406902237E-3</v>
      </c>
      <c r="Q21" t="s">
        <v>254</v>
      </c>
      <c r="S21" t="s">
        <v>423</v>
      </c>
      <c r="T21" t="s">
        <v>288</v>
      </c>
      <c r="U21">
        <v>7.9199453590623053E-3</v>
      </c>
      <c r="V21" t="s">
        <v>254</v>
      </c>
      <c r="X21">
        <v>6.392694063926941E-3</v>
      </c>
      <c r="Y21">
        <v>8.1306715063520895E-3</v>
      </c>
      <c r="Z21" t="s">
        <v>288</v>
      </c>
      <c r="AA21" t="s">
        <v>25</v>
      </c>
      <c r="AC21" t="s">
        <v>22</v>
      </c>
      <c r="AD21" t="s">
        <v>288</v>
      </c>
      <c r="AE21">
        <v>8.316463780013111E-3</v>
      </c>
      <c r="AG21" t="s">
        <v>97</v>
      </c>
      <c r="AH21" t="s">
        <v>288</v>
      </c>
      <c r="AI21">
        <v>6.1073371955473243E-2</v>
      </c>
    </row>
    <row r="22" spans="3:35" x14ac:dyDescent="0.45">
      <c r="C22" t="s">
        <v>181</v>
      </c>
      <c r="I22" t="s">
        <v>252</v>
      </c>
      <c r="J22" t="s">
        <v>289</v>
      </c>
      <c r="K22">
        <v>2.2304673988702308E-2</v>
      </c>
      <c r="L22" t="s">
        <v>254</v>
      </c>
      <c r="N22" t="s">
        <v>422</v>
      </c>
      <c r="O22" t="s">
        <v>289</v>
      </c>
      <c r="P22">
        <v>1.1265957507804868E-2</v>
      </c>
      <c r="Q22" t="s">
        <v>254</v>
      </c>
      <c r="S22" t="s">
        <v>423</v>
      </c>
      <c r="T22" t="s">
        <v>289</v>
      </c>
      <c r="U22">
        <v>1.1517428166842628E-2</v>
      </c>
      <c r="V22" t="s">
        <v>254</v>
      </c>
      <c r="X22">
        <v>9.5890410958904115E-3</v>
      </c>
      <c r="Y22">
        <v>1.1871151662813155E-2</v>
      </c>
      <c r="Z22" t="s">
        <v>289</v>
      </c>
      <c r="AA22" t="s">
        <v>25</v>
      </c>
      <c r="AC22" t="s">
        <v>22</v>
      </c>
      <c r="AD22" t="s">
        <v>289</v>
      </c>
      <c r="AE22">
        <v>1.242959976544911E-2</v>
      </c>
      <c r="AG22" t="s">
        <v>97</v>
      </c>
      <c r="AH22" t="s">
        <v>289</v>
      </c>
      <c r="AI22">
        <v>6.0211691919535903E-2</v>
      </c>
    </row>
    <row r="23" spans="3:35" x14ac:dyDescent="0.45">
      <c r="I23" t="s">
        <v>252</v>
      </c>
      <c r="J23" t="s">
        <v>290</v>
      </c>
      <c r="K23">
        <v>6.9887246060699E-3</v>
      </c>
      <c r="L23" t="s">
        <v>254</v>
      </c>
      <c r="N23" t="s">
        <v>422</v>
      </c>
      <c r="O23" t="s">
        <v>290</v>
      </c>
      <c r="P23">
        <v>3.8316104893318524E-3</v>
      </c>
      <c r="Q23" t="s">
        <v>254</v>
      </c>
      <c r="S23" t="s">
        <v>423</v>
      </c>
      <c r="T23" t="s">
        <v>290</v>
      </c>
      <c r="U23">
        <v>3.7783683444571488E-3</v>
      </c>
      <c r="V23" t="s">
        <v>254</v>
      </c>
      <c r="X23">
        <v>3.1963470319634705E-3</v>
      </c>
      <c r="Y23">
        <v>4.167433226429324E-3</v>
      </c>
      <c r="Z23" t="s">
        <v>290</v>
      </c>
      <c r="AA23" t="s">
        <v>25</v>
      </c>
      <c r="AC23" t="s">
        <v>22</v>
      </c>
      <c r="AD23" t="s">
        <v>290</v>
      </c>
      <c r="AE23">
        <v>4.1147137219969144E-3</v>
      </c>
      <c r="AG23" t="s">
        <v>97</v>
      </c>
      <c r="AH23" t="s">
        <v>290</v>
      </c>
      <c r="AI23">
        <v>6.3744162102699953E-2</v>
      </c>
    </row>
    <row r="24" spans="3:35" x14ac:dyDescent="0.45">
      <c r="I24" t="s">
        <v>252</v>
      </c>
      <c r="J24" t="s">
        <v>291</v>
      </c>
      <c r="K24">
        <v>1.4596565439051225E-2</v>
      </c>
      <c r="L24" t="s">
        <v>254</v>
      </c>
      <c r="N24" t="s">
        <v>422</v>
      </c>
      <c r="O24" t="s">
        <v>291</v>
      </c>
      <c r="P24">
        <v>7.8099855736281556E-3</v>
      </c>
      <c r="Q24" t="s">
        <v>254</v>
      </c>
      <c r="S24" t="s">
        <v>423</v>
      </c>
      <c r="T24" t="s">
        <v>291</v>
      </c>
      <c r="U24">
        <v>7.711700152114997E-3</v>
      </c>
      <c r="V24" t="s">
        <v>254</v>
      </c>
      <c r="X24">
        <v>6.392694063926941E-3</v>
      </c>
      <c r="Y24">
        <v>9.0402671771540339E-3</v>
      </c>
      <c r="Z24" t="s">
        <v>291</v>
      </c>
      <c r="AA24" t="s">
        <v>25</v>
      </c>
      <c r="AC24" t="s">
        <v>22</v>
      </c>
      <c r="AD24" t="s">
        <v>291</v>
      </c>
      <c r="AE24">
        <v>8.2352320825566806E-3</v>
      </c>
      <c r="AG24" t="s">
        <v>97</v>
      </c>
      <c r="AH24" t="s">
        <v>291</v>
      </c>
      <c r="AI24">
        <v>6.7700113318520883E-2</v>
      </c>
    </row>
    <row r="25" spans="3:35" x14ac:dyDescent="0.45">
      <c r="I25" t="s">
        <v>252</v>
      </c>
      <c r="J25" t="s">
        <v>292</v>
      </c>
      <c r="K25">
        <v>1.0097346272973182E-2</v>
      </c>
      <c r="L25" t="s">
        <v>254</v>
      </c>
      <c r="N25" t="s">
        <v>422</v>
      </c>
      <c r="O25" t="s">
        <v>292</v>
      </c>
      <c r="P25">
        <v>7.7105231593927528E-3</v>
      </c>
      <c r="Q25" t="s">
        <v>254</v>
      </c>
      <c r="S25" t="s">
        <v>423</v>
      </c>
      <c r="T25" t="s">
        <v>292</v>
      </c>
      <c r="U25">
        <v>7.813409287946254E-3</v>
      </c>
      <c r="V25" t="s">
        <v>254</v>
      </c>
      <c r="X25">
        <v>6.392694063926941E-3</v>
      </c>
      <c r="Y25">
        <v>1.2437328559944975E-2</v>
      </c>
      <c r="Z25" t="s">
        <v>292</v>
      </c>
      <c r="AA25" t="s">
        <v>25</v>
      </c>
      <c r="AC25" t="s">
        <v>22</v>
      </c>
      <c r="AD25" t="s">
        <v>292</v>
      </c>
      <c r="AE25">
        <v>8.3551528467337901E-3</v>
      </c>
      <c r="AG25" t="s">
        <v>97</v>
      </c>
      <c r="AH25" t="s">
        <v>292</v>
      </c>
      <c r="AI25">
        <v>5.656928791866056E-2</v>
      </c>
    </row>
    <row r="26" spans="3:35" x14ac:dyDescent="0.45">
      <c r="I26" t="s">
        <v>252</v>
      </c>
      <c r="J26" t="s">
        <v>293</v>
      </c>
      <c r="K26">
        <v>3.0928607330769746E-4</v>
      </c>
      <c r="L26" t="s">
        <v>254</v>
      </c>
      <c r="N26" t="s">
        <v>422</v>
      </c>
      <c r="O26" t="s">
        <v>293</v>
      </c>
      <c r="P26">
        <v>2.3050564628395966E-2</v>
      </c>
      <c r="Q26" t="s">
        <v>254</v>
      </c>
      <c r="S26" t="s">
        <v>423</v>
      </c>
      <c r="T26" t="s">
        <v>293</v>
      </c>
      <c r="U26">
        <v>2.3574584893300582E-2</v>
      </c>
      <c r="V26" t="s">
        <v>254</v>
      </c>
      <c r="X26">
        <v>1.9178082191780823E-2</v>
      </c>
      <c r="Y26">
        <v>1.6892491029178995E-2</v>
      </c>
      <c r="Z26" t="s">
        <v>293</v>
      </c>
      <c r="AA26" t="s">
        <v>25</v>
      </c>
      <c r="AC26" t="s">
        <v>22</v>
      </c>
      <c r="AD26" t="s">
        <v>293</v>
      </c>
      <c r="AE26">
        <v>2.1361894568342289E-2</v>
      </c>
      <c r="AG26" t="s">
        <v>97</v>
      </c>
      <c r="AH26" t="s">
        <v>293</v>
      </c>
      <c r="AI26">
        <v>0.18996407529817505</v>
      </c>
    </row>
    <row r="27" spans="3:35" x14ac:dyDescent="0.45">
      <c r="I27" t="s">
        <v>252</v>
      </c>
      <c r="J27" t="s">
        <v>294</v>
      </c>
      <c r="K27">
        <v>1.6104140391799037E-5</v>
      </c>
      <c r="L27" t="s">
        <v>254</v>
      </c>
      <c r="N27" t="s">
        <v>422</v>
      </c>
      <c r="O27" t="s">
        <v>294</v>
      </c>
      <c r="P27">
        <v>2.422069263148147E-2</v>
      </c>
      <c r="Q27" t="s">
        <v>254</v>
      </c>
      <c r="S27" t="s">
        <v>423</v>
      </c>
      <c r="T27" t="s">
        <v>294</v>
      </c>
      <c r="U27">
        <v>2.5901969336789985E-2</v>
      </c>
      <c r="V27" t="s">
        <v>254</v>
      </c>
      <c r="X27">
        <v>2.4771689497716895E-2</v>
      </c>
      <c r="Y27">
        <v>9.7827942553597048E-3</v>
      </c>
      <c r="Z27" t="s">
        <v>294</v>
      </c>
      <c r="AA27" t="s">
        <v>25</v>
      </c>
      <c r="AC27" t="s">
        <v>22</v>
      </c>
      <c r="AD27" t="s">
        <v>294</v>
      </c>
      <c r="AE27">
        <v>2.1673230553283358E-2</v>
      </c>
      <c r="AG27" t="s">
        <v>97</v>
      </c>
      <c r="AH27" t="s">
        <v>294</v>
      </c>
      <c r="AI27">
        <v>0.29189958109755287</v>
      </c>
    </row>
    <row r="28" spans="3:35" x14ac:dyDescent="0.45">
      <c r="I28" t="s">
        <v>252</v>
      </c>
      <c r="J28" t="s">
        <v>295</v>
      </c>
      <c r="K28">
        <v>2.4930351960390073E-3</v>
      </c>
      <c r="L28" t="s">
        <v>254</v>
      </c>
      <c r="N28" t="s">
        <v>422</v>
      </c>
      <c r="O28" t="s">
        <v>295</v>
      </c>
      <c r="P28">
        <v>3.5730988300244175E-3</v>
      </c>
      <c r="Q28" t="s">
        <v>254</v>
      </c>
      <c r="S28" t="s">
        <v>423</v>
      </c>
      <c r="T28" t="s">
        <v>295</v>
      </c>
      <c r="U28">
        <v>3.8899664386824219E-3</v>
      </c>
      <c r="V28" t="s">
        <v>254</v>
      </c>
      <c r="X28">
        <v>3.5388127853881279E-3</v>
      </c>
      <c r="Y28">
        <v>5.9087255218821738E-3</v>
      </c>
      <c r="Z28" t="s">
        <v>295</v>
      </c>
      <c r="AA28" t="s">
        <v>25</v>
      </c>
      <c r="AC28" t="s">
        <v>22</v>
      </c>
      <c r="AD28" t="s">
        <v>295</v>
      </c>
      <c r="AE28">
        <v>4.1395725431968974E-3</v>
      </c>
      <c r="AG28" t="s">
        <v>97</v>
      </c>
      <c r="AH28" t="s">
        <v>295</v>
      </c>
      <c r="AI28">
        <v>7.1225832716647064E-2</v>
      </c>
    </row>
    <row r="29" spans="3:35" x14ac:dyDescent="0.45">
      <c r="I29" t="s">
        <v>252</v>
      </c>
      <c r="J29" t="s">
        <v>296</v>
      </c>
      <c r="K29">
        <v>1.2217569584091117E-2</v>
      </c>
      <c r="L29" t="s">
        <v>254</v>
      </c>
      <c r="N29" t="s">
        <v>422</v>
      </c>
      <c r="O29" t="s">
        <v>296</v>
      </c>
      <c r="P29">
        <v>6.9748728034219332E-3</v>
      </c>
      <c r="Q29" t="s">
        <v>254</v>
      </c>
      <c r="S29" t="s">
        <v>423</v>
      </c>
      <c r="T29" t="s">
        <v>296</v>
      </c>
      <c r="U29">
        <v>7.7357545072605522E-3</v>
      </c>
      <c r="V29" t="s">
        <v>254</v>
      </c>
      <c r="X29">
        <v>7.0776255707762558E-3</v>
      </c>
      <c r="Y29">
        <v>9.0018148820326695E-3</v>
      </c>
      <c r="Z29" t="s">
        <v>296</v>
      </c>
      <c r="AA29" t="s">
        <v>25</v>
      </c>
      <c r="AC29" t="s">
        <v>22</v>
      </c>
      <c r="AD29" t="s">
        <v>296</v>
      </c>
      <c r="AE29">
        <v>8.58529246405847E-3</v>
      </c>
      <c r="AG29" t="s">
        <v>97</v>
      </c>
      <c r="AH29" t="s">
        <v>296</v>
      </c>
      <c r="AI29">
        <v>7.2679836004472698E-2</v>
      </c>
    </row>
    <row r="30" spans="3:35" x14ac:dyDescent="0.45">
      <c r="I30" t="s">
        <v>252</v>
      </c>
      <c r="J30" t="s">
        <v>297</v>
      </c>
      <c r="K30">
        <v>2.6485135909388655E-2</v>
      </c>
      <c r="L30" t="s">
        <v>254</v>
      </c>
      <c r="N30" t="s">
        <v>422</v>
      </c>
      <c r="O30" t="s">
        <v>297</v>
      </c>
      <c r="P30">
        <v>9.9778372938310565E-3</v>
      </c>
      <c r="Q30" t="s">
        <v>254</v>
      </c>
      <c r="S30" t="s">
        <v>423</v>
      </c>
      <c r="T30" t="s">
        <v>297</v>
      </c>
      <c r="U30">
        <v>1.1131790036312329E-2</v>
      </c>
      <c r="V30" t="s">
        <v>254</v>
      </c>
      <c r="X30">
        <v>1.0616438356164383E-2</v>
      </c>
      <c r="Y30">
        <v>1.3143060769543132E-2</v>
      </c>
      <c r="Z30" t="s">
        <v>297</v>
      </c>
      <c r="AA30" t="s">
        <v>25</v>
      </c>
      <c r="AC30" t="s">
        <v>22</v>
      </c>
      <c r="AD30" t="s">
        <v>297</v>
      </c>
      <c r="AE30">
        <v>1.2798481632623615E-2</v>
      </c>
      <c r="AG30" t="s">
        <v>97</v>
      </c>
      <c r="AH30" t="s">
        <v>297</v>
      </c>
      <c r="AI30">
        <v>7.8130437900502558E-2</v>
      </c>
    </row>
    <row r="31" spans="3:35" x14ac:dyDescent="0.45">
      <c r="I31" t="s">
        <v>252</v>
      </c>
      <c r="J31" t="s">
        <v>298</v>
      </c>
      <c r="K31">
        <v>8.7555444167293581E-3</v>
      </c>
      <c r="L31" t="s">
        <v>254</v>
      </c>
      <c r="N31" t="s">
        <v>422</v>
      </c>
      <c r="O31" t="s">
        <v>298</v>
      </c>
      <c r="P31">
        <v>3.3727831130503645E-3</v>
      </c>
      <c r="Q31" t="s">
        <v>254</v>
      </c>
      <c r="S31" t="s">
        <v>423</v>
      </c>
      <c r="T31" t="s">
        <v>298</v>
      </c>
      <c r="U31">
        <v>3.7073872357237798E-3</v>
      </c>
      <c r="V31" t="s">
        <v>254</v>
      </c>
      <c r="X31">
        <v>3.5388127853881279E-3</v>
      </c>
      <c r="Y31">
        <v>4.6139439292610376E-3</v>
      </c>
      <c r="Z31" t="s">
        <v>298</v>
      </c>
      <c r="AA31" t="s">
        <v>25</v>
      </c>
      <c r="AC31" t="s">
        <v>22</v>
      </c>
      <c r="AD31" t="s">
        <v>298</v>
      </c>
      <c r="AE31">
        <v>4.2169915903902391E-3</v>
      </c>
      <c r="AG31" t="s">
        <v>97</v>
      </c>
      <c r="AH31" t="s">
        <v>298</v>
      </c>
      <c r="AI31">
        <v>8.3300670632449947E-2</v>
      </c>
    </row>
    <row r="32" spans="3:35" x14ac:dyDescent="0.45">
      <c r="I32" t="s">
        <v>252</v>
      </c>
      <c r="J32" t="s">
        <v>299</v>
      </c>
      <c r="K32">
        <v>1.7586171126462422E-2</v>
      </c>
      <c r="L32" t="s">
        <v>254</v>
      </c>
      <c r="N32" t="s">
        <v>422</v>
      </c>
      <c r="O32" t="s">
        <v>299</v>
      </c>
      <c r="P32">
        <v>6.8659250177975891E-3</v>
      </c>
      <c r="Q32" t="s">
        <v>254</v>
      </c>
      <c r="S32" t="s">
        <v>423</v>
      </c>
      <c r="T32" t="s">
        <v>299</v>
      </c>
      <c r="U32">
        <v>7.5891430150184756E-3</v>
      </c>
      <c r="V32" t="s">
        <v>254</v>
      </c>
      <c r="X32">
        <v>7.0776255707762558E-3</v>
      </c>
      <c r="Y32">
        <v>1.0008867231849112E-2</v>
      </c>
      <c r="Z32" t="s">
        <v>299</v>
      </c>
      <c r="AA32" t="s">
        <v>25</v>
      </c>
      <c r="AC32" t="s">
        <v>22</v>
      </c>
      <c r="AD32" t="s">
        <v>299</v>
      </c>
      <c r="AE32">
        <v>8.4096292699114943E-3</v>
      </c>
      <c r="AG32" t="s">
        <v>97</v>
      </c>
      <c r="AH32" t="s">
        <v>299</v>
      </c>
      <c r="AI32">
        <v>8.7356154406409425E-2</v>
      </c>
    </row>
    <row r="33" spans="9:35" x14ac:dyDescent="0.45">
      <c r="I33" t="s">
        <v>252</v>
      </c>
      <c r="J33" t="s">
        <v>300</v>
      </c>
      <c r="K33">
        <v>1.277606612294124E-2</v>
      </c>
      <c r="L33" t="s">
        <v>254</v>
      </c>
      <c r="N33" t="s">
        <v>422</v>
      </c>
      <c r="O33" t="s">
        <v>300</v>
      </c>
      <c r="P33">
        <v>7.0954673722035053E-3</v>
      </c>
      <c r="Q33" t="s">
        <v>254</v>
      </c>
      <c r="S33" t="s">
        <v>423</v>
      </c>
      <c r="T33" t="s">
        <v>300</v>
      </c>
      <c r="U33">
        <v>7.9151255246372714E-3</v>
      </c>
      <c r="V33" t="s">
        <v>254</v>
      </c>
      <c r="X33">
        <v>7.0776255707762558E-3</v>
      </c>
      <c r="Y33">
        <v>1.376989947708193E-2</v>
      </c>
      <c r="Z33" t="s">
        <v>300</v>
      </c>
      <c r="AA33" t="s">
        <v>25</v>
      </c>
      <c r="AC33" t="s">
        <v>22</v>
      </c>
      <c r="AD33" t="s">
        <v>300</v>
      </c>
      <c r="AE33">
        <v>8.5437061922753639E-3</v>
      </c>
      <c r="AG33" t="s">
        <v>97</v>
      </c>
      <c r="AH33" t="s">
        <v>300</v>
      </c>
      <c r="AI33">
        <v>7.7419278474670117E-2</v>
      </c>
    </row>
    <row r="34" spans="9:35" x14ac:dyDescent="0.45">
      <c r="I34" t="s">
        <v>252</v>
      </c>
      <c r="J34" t="s">
        <v>301</v>
      </c>
      <c r="K34">
        <v>3.0355034137326403E-3</v>
      </c>
      <c r="L34" t="s">
        <v>254</v>
      </c>
      <c r="N34" t="s">
        <v>422</v>
      </c>
      <c r="O34" t="s">
        <v>301</v>
      </c>
      <c r="P34">
        <v>2.2133431122873554E-2</v>
      </c>
      <c r="Q34" t="s">
        <v>254</v>
      </c>
      <c r="S34" t="s">
        <v>423</v>
      </c>
      <c r="T34" t="s">
        <v>301</v>
      </c>
      <c r="U34">
        <v>2.3731888608555678E-2</v>
      </c>
      <c r="V34" t="s">
        <v>254</v>
      </c>
      <c r="X34">
        <v>2.1232876712328767E-2</v>
      </c>
      <c r="Y34">
        <v>1.8702400782305319E-2</v>
      </c>
      <c r="Z34" t="s">
        <v>301</v>
      </c>
      <c r="AA34" t="s">
        <v>25</v>
      </c>
      <c r="AC34" t="s">
        <v>22</v>
      </c>
      <c r="AD34" t="s">
        <v>301</v>
      </c>
      <c r="AE34">
        <v>2.220997456358997E-2</v>
      </c>
      <c r="AG34" t="s">
        <v>97</v>
      </c>
      <c r="AH34" t="s">
        <v>301</v>
      </c>
      <c r="AI34">
        <v>0.19728339884766566</v>
      </c>
    </row>
    <row r="35" spans="9:35" x14ac:dyDescent="0.45">
      <c r="I35" t="s">
        <v>252</v>
      </c>
      <c r="J35" t="s">
        <v>302</v>
      </c>
      <c r="K35">
        <v>2.4944652964232262E-3</v>
      </c>
      <c r="L35" t="s">
        <v>254</v>
      </c>
      <c r="N35" t="s">
        <v>422</v>
      </c>
      <c r="O35" t="s">
        <v>302</v>
      </c>
      <c r="P35">
        <v>2.7681132667217855E-2</v>
      </c>
      <c r="Q35" t="s">
        <v>254</v>
      </c>
      <c r="S35" t="s">
        <v>423</v>
      </c>
      <c r="T35" t="s">
        <v>302</v>
      </c>
      <c r="U35">
        <v>2.7873206943640528E-2</v>
      </c>
      <c r="V35" t="s">
        <v>254</v>
      </c>
      <c r="X35">
        <v>2.3972602739726026E-2</v>
      </c>
      <c r="Y35">
        <v>9.4672202471222967E-3</v>
      </c>
      <c r="Z35" t="s">
        <v>302</v>
      </c>
      <c r="AA35" t="s">
        <v>25</v>
      </c>
      <c r="AC35" t="s">
        <v>22</v>
      </c>
      <c r="AD35" t="s">
        <v>302</v>
      </c>
      <c r="AE35">
        <v>1.9928596464069401E-2</v>
      </c>
      <c r="AG35" t="s">
        <v>97</v>
      </c>
      <c r="AH35" t="s">
        <v>302</v>
      </c>
      <c r="AI35">
        <v>0.27785577591947086</v>
      </c>
    </row>
    <row r="36" spans="9:35" x14ac:dyDescent="0.45">
      <c r="I36" t="s">
        <v>252</v>
      </c>
      <c r="J36" t="s">
        <v>303</v>
      </c>
      <c r="K36">
        <v>5.1159918965719819E-3</v>
      </c>
      <c r="L36" t="s">
        <v>254</v>
      </c>
      <c r="N36" t="s">
        <v>422</v>
      </c>
      <c r="O36" t="s">
        <v>303</v>
      </c>
      <c r="P36">
        <v>3.71907315514738E-3</v>
      </c>
      <c r="Q36" t="s">
        <v>254</v>
      </c>
      <c r="S36" t="s">
        <v>423</v>
      </c>
      <c r="T36" t="s">
        <v>303</v>
      </c>
      <c r="U36">
        <v>3.7231555410848502E-3</v>
      </c>
      <c r="V36" t="s">
        <v>254</v>
      </c>
      <c r="X36">
        <v>3.4246575342465752E-3</v>
      </c>
      <c r="Y36">
        <v>5.7181214727892006E-3</v>
      </c>
      <c r="Z36" t="s">
        <v>303</v>
      </c>
      <c r="AA36" t="s">
        <v>25</v>
      </c>
      <c r="AC36" t="s">
        <v>22</v>
      </c>
      <c r="AD36" t="s">
        <v>303</v>
      </c>
      <c r="AE36">
        <v>3.7946926128766649E-3</v>
      </c>
      <c r="AG36" t="s">
        <v>97</v>
      </c>
      <c r="AH36" t="s">
        <v>303</v>
      </c>
      <c r="AI36">
        <v>7.4794780557807972E-2</v>
      </c>
    </row>
    <row r="37" spans="9:35" x14ac:dyDescent="0.45">
      <c r="I37" t="s">
        <v>252</v>
      </c>
      <c r="J37" t="s">
        <v>304</v>
      </c>
      <c r="K37">
        <v>1.5772344864832602E-2</v>
      </c>
      <c r="L37" t="s">
        <v>254</v>
      </c>
      <c r="N37" t="s">
        <v>422</v>
      </c>
      <c r="O37" t="s">
        <v>304</v>
      </c>
      <c r="P37">
        <v>7.3237708627581222E-3</v>
      </c>
      <c r="Q37" t="s">
        <v>254</v>
      </c>
      <c r="S37" t="s">
        <v>423</v>
      </c>
      <c r="T37" t="s">
        <v>304</v>
      </c>
      <c r="U37">
        <v>7.2380689982444726E-3</v>
      </c>
      <c r="V37" t="s">
        <v>254</v>
      </c>
      <c r="X37">
        <v>6.8493150684931503E-3</v>
      </c>
      <c r="Y37">
        <v>8.7114337568058101E-3</v>
      </c>
      <c r="Z37" t="s">
        <v>304</v>
      </c>
      <c r="AA37" t="s">
        <v>25</v>
      </c>
      <c r="AC37" t="s">
        <v>22</v>
      </c>
      <c r="AD37" t="s">
        <v>304</v>
      </c>
      <c r="AE37">
        <v>7.7785013729748257E-3</v>
      </c>
      <c r="AG37" t="s">
        <v>97</v>
      </c>
      <c r="AH37" t="s">
        <v>304</v>
      </c>
      <c r="AI37">
        <v>7.330637502080628E-2</v>
      </c>
    </row>
    <row r="38" spans="9:35" x14ac:dyDescent="0.45">
      <c r="I38" t="s">
        <v>252</v>
      </c>
      <c r="J38" t="s">
        <v>305</v>
      </c>
      <c r="K38">
        <v>2.82518210893829E-2</v>
      </c>
      <c r="L38" t="s">
        <v>254</v>
      </c>
      <c r="N38" t="s">
        <v>422</v>
      </c>
      <c r="O38" t="s">
        <v>305</v>
      </c>
      <c r="P38">
        <v>1.0732055062834039E-2</v>
      </c>
      <c r="Q38" t="s">
        <v>254</v>
      </c>
      <c r="S38" t="s">
        <v>423</v>
      </c>
      <c r="T38" t="s">
        <v>305</v>
      </c>
      <c r="U38">
        <v>1.0485600995887521E-2</v>
      </c>
      <c r="V38" t="s">
        <v>254</v>
      </c>
      <c r="X38">
        <v>1.0273972602739725E-2</v>
      </c>
      <c r="Y38">
        <v>1.2719091067299805E-2</v>
      </c>
      <c r="Z38" t="s">
        <v>305</v>
      </c>
      <c r="AA38" t="s">
        <v>25</v>
      </c>
      <c r="AC38" t="s">
        <v>22</v>
      </c>
      <c r="AD38" t="s">
        <v>305</v>
      </c>
      <c r="AE38">
        <v>1.1520369217820046E-2</v>
      </c>
      <c r="AG38" t="s">
        <v>97</v>
      </c>
      <c r="AH38" t="s">
        <v>305</v>
      </c>
      <c r="AI38">
        <v>6.9585259375130937E-2</v>
      </c>
    </row>
    <row r="39" spans="9:35" x14ac:dyDescent="0.45">
      <c r="I39" t="s">
        <v>252</v>
      </c>
      <c r="J39" t="s">
        <v>306</v>
      </c>
      <c r="K39">
        <v>9.1413712135646995E-3</v>
      </c>
      <c r="L39" t="s">
        <v>254</v>
      </c>
      <c r="N39" t="s">
        <v>422</v>
      </c>
      <c r="O39" t="s">
        <v>306</v>
      </c>
      <c r="P39">
        <v>3.7518861291754814E-3</v>
      </c>
      <c r="Q39" t="s">
        <v>254</v>
      </c>
      <c r="S39" t="s">
        <v>423</v>
      </c>
      <c r="T39" t="s">
        <v>306</v>
      </c>
      <c r="U39">
        <v>3.5812458448567083E-3</v>
      </c>
      <c r="V39" t="s">
        <v>254</v>
      </c>
      <c r="X39">
        <v>3.4246575342465752E-3</v>
      </c>
      <c r="Y39">
        <v>4.4651070283171336E-3</v>
      </c>
      <c r="Z39" t="s">
        <v>306</v>
      </c>
      <c r="AA39" t="s">
        <v>25</v>
      </c>
      <c r="AC39" t="s">
        <v>22</v>
      </c>
      <c r="AD39" t="s">
        <v>306</v>
      </c>
      <c r="AE39">
        <v>3.799901444926237E-3</v>
      </c>
      <c r="AG39" t="s">
        <v>97</v>
      </c>
      <c r="AH39" t="s">
        <v>306</v>
      </c>
      <c r="AI39">
        <v>7.5531060198747779E-2</v>
      </c>
    </row>
    <row r="40" spans="9:35" x14ac:dyDescent="0.45">
      <c r="I40" t="s">
        <v>252</v>
      </c>
      <c r="J40" t="s">
        <v>307</v>
      </c>
      <c r="K40">
        <v>1.7140077917634298E-2</v>
      </c>
      <c r="L40" t="s">
        <v>254</v>
      </c>
      <c r="N40" t="s">
        <v>422</v>
      </c>
      <c r="O40" t="s">
        <v>307</v>
      </c>
      <c r="P40">
        <v>7.8351823959872668E-3</v>
      </c>
      <c r="Q40" t="s">
        <v>254</v>
      </c>
      <c r="S40" t="s">
        <v>423</v>
      </c>
      <c r="T40" t="s">
        <v>307</v>
      </c>
      <c r="U40">
        <v>7.4052957927088084E-3</v>
      </c>
      <c r="V40" t="s">
        <v>254</v>
      </c>
      <c r="X40">
        <v>6.8493150684931503E-3</v>
      </c>
      <c r="Y40">
        <v>9.6860005469507522E-3</v>
      </c>
      <c r="Z40" t="s">
        <v>307</v>
      </c>
      <c r="AA40" t="s">
        <v>25</v>
      </c>
      <c r="AC40" t="s">
        <v>22</v>
      </c>
      <c r="AD40" t="s">
        <v>307</v>
      </c>
      <c r="AE40">
        <v>7.5712502051860425E-3</v>
      </c>
      <c r="AG40" t="s">
        <v>97</v>
      </c>
      <c r="AH40" t="s">
        <v>307</v>
      </c>
      <c r="AI40">
        <v>7.7040330198470786E-2</v>
      </c>
    </row>
    <row r="41" spans="9:35" x14ac:dyDescent="0.45">
      <c r="I41" t="s">
        <v>252</v>
      </c>
      <c r="J41" t="s">
        <v>308</v>
      </c>
      <c r="K41">
        <v>1.2811795978889037E-2</v>
      </c>
      <c r="L41" t="s">
        <v>254</v>
      </c>
      <c r="N41" t="s">
        <v>422</v>
      </c>
      <c r="O41" t="s">
        <v>308</v>
      </c>
      <c r="P41">
        <v>7.8732075451391336E-3</v>
      </c>
      <c r="Q41" t="s">
        <v>254</v>
      </c>
      <c r="S41" t="s">
        <v>423</v>
      </c>
      <c r="T41" t="s">
        <v>308</v>
      </c>
      <c r="U41">
        <v>7.6548170311039939E-3</v>
      </c>
      <c r="V41" t="s">
        <v>254</v>
      </c>
      <c r="X41">
        <v>6.8493150684931503E-3</v>
      </c>
      <c r="Y41">
        <v>1.3325709171369611E-2</v>
      </c>
      <c r="Z41" t="s">
        <v>308</v>
      </c>
      <c r="AA41" t="s">
        <v>25</v>
      </c>
      <c r="AC41" t="s">
        <v>22</v>
      </c>
      <c r="AD41" t="s">
        <v>308</v>
      </c>
      <c r="AE41">
        <v>7.5876233773084813E-3</v>
      </c>
      <c r="AG41" t="s">
        <v>97</v>
      </c>
      <c r="AH41" t="s">
        <v>308</v>
      </c>
      <c r="AI41">
        <v>7.4017133247418876E-2</v>
      </c>
    </row>
    <row r="42" spans="9:35" x14ac:dyDescent="0.45">
      <c r="I42" t="s">
        <v>252</v>
      </c>
      <c r="J42" t="s">
        <v>309</v>
      </c>
      <c r="K42">
        <v>4.9040794776632072E-3</v>
      </c>
      <c r="L42" t="s">
        <v>254</v>
      </c>
      <c r="N42" t="s">
        <v>422</v>
      </c>
      <c r="O42" t="s">
        <v>309</v>
      </c>
      <c r="P42">
        <v>2.3314738567736269E-2</v>
      </c>
      <c r="Q42" t="s">
        <v>254</v>
      </c>
      <c r="S42" t="s">
        <v>423</v>
      </c>
      <c r="T42" t="s">
        <v>309</v>
      </c>
      <c r="U42">
        <v>2.3608513409972137E-2</v>
      </c>
      <c r="V42" t="s">
        <v>254</v>
      </c>
      <c r="X42">
        <v>2.0547945205479451E-2</v>
      </c>
      <c r="Y42">
        <v>1.8099097531263209E-2</v>
      </c>
      <c r="Z42" t="s">
        <v>309</v>
      </c>
      <c r="AA42" t="s">
        <v>25</v>
      </c>
      <c r="AC42" t="s">
        <v>22</v>
      </c>
      <c r="AD42" t="s">
        <v>309</v>
      </c>
      <c r="AE42">
        <v>1.9725011261502445E-2</v>
      </c>
      <c r="AG42" t="s">
        <v>97</v>
      </c>
      <c r="AH42" t="s">
        <v>309</v>
      </c>
      <c r="AI42">
        <v>0.17311711242521777</v>
      </c>
    </row>
    <row r="43" spans="9:35" x14ac:dyDescent="0.45">
      <c r="I43" t="s">
        <v>252</v>
      </c>
      <c r="J43" t="s">
        <v>310</v>
      </c>
      <c r="K43">
        <v>3.9222058631166326E-3</v>
      </c>
      <c r="L43" t="s">
        <v>254</v>
      </c>
      <c r="N43" t="s">
        <v>422</v>
      </c>
      <c r="O43" t="s">
        <v>310</v>
      </c>
      <c r="P43">
        <v>2.3932727955689952E-2</v>
      </c>
      <c r="Q43" t="s">
        <v>254</v>
      </c>
      <c r="S43" t="s">
        <v>423</v>
      </c>
      <c r="T43" t="s">
        <v>310</v>
      </c>
      <c r="U43">
        <v>2.4857613349631484E-2</v>
      </c>
      <c r="V43" t="s">
        <v>254</v>
      </c>
      <c r="X43">
        <v>2.4771689497716895E-2</v>
      </c>
      <c r="Y43">
        <v>9.7827942553597048E-3</v>
      </c>
      <c r="Z43" t="s">
        <v>310</v>
      </c>
      <c r="AA43" t="s">
        <v>25</v>
      </c>
      <c r="AC43" t="s">
        <v>22</v>
      </c>
      <c r="AD43" t="s">
        <v>310</v>
      </c>
      <c r="AE43">
        <v>1.9409024398886501E-2</v>
      </c>
      <c r="AG43" t="s">
        <v>97</v>
      </c>
      <c r="AH43" t="s">
        <v>310</v>
      </c>
      <c r="AI43">
        <v>0.27974912617159808</v>
      </c>
    </row>
    <row r="44" spans="9:35" x14ac:dyDescent="0.45">
      <c r="I44" t="s">
        <v>252</v>
      </c>
      <c r="J44" t="s">
        <v>311</v>
      </c>
      <c r="K44">
        <v>5.5713094884870364E-3</v>
      </c>
      <c r="L44" t="s">
        <v>254</v>
      </c>
      <c r="N44" t="s">
        <v>422</v>
      </c>
      <c r="O44" t="s">
        <v>311</v>
      </c>
      <c r="P44">
        <v>3.3590701295483209E-3</v>
      </c>
      <c r="Q44" t="s">
        <v>254</v>
      </c>
      <c r="S44" t="s">
        <v>423</v>
      </c>
      <c r="T44" t="s">
        <v>311</v>
      </c>
      <c r="U44">
        <v>3.4001965120895573E-3</v>
      </c>
      <c r="V44" t="s">
        <v>254</v>
      </c>
      <c r="X44">
        <v>3.5388127853881279E-3</v>
      </c>
      <c r="Y44">
        <v>5.9087255218821738E-3</v>
      </c>
      <c r="Z44" t="s">
        <v>311</v>
      </c>
      <c r="AA44" t="s">
        <v>25</v>
      </c>
      <c r="AC44" t="s">
        <v>22</v>
      </c>
      <c r="AD44" t="s">
        <v>311</v>
      </c>
      <c r="AE44">
        <v>3.7242489011812797E-3</v>
      </c>
      <c r="AG44" t="s">
        <v>97</v>
      </c>
      <c r="AH44" t="s">
        <v>311</v>
      </c>
      <c r="AI44">
        <v>7.6316584002711574E-2</v>
      </c>
    </row>
    <row r="45" spans="9:35" x14ac:dyDescent="0.45">
      <c r="I45" t="s">
        <v>252</v>
      </c>
      <c r="J45" t="s">
        <v>312</v>
      </c>
      <c r="K45">
        <v>1.6295233137300507E-2</v>
      </c>
      <c r="L45" t="s">
        <v>254</v>
      </c>
      <c r="N45" t="s">
        <v>422</v>
      </c>
      <c r="O45" t="s">
        <v>312</v>
      </c>
      <c r="P45">
        <v>6.8263302317683834E-3</v>
      </c>
      <c r="Q45" t="s">
        <v>254</v>
      </c>
      <c r="S45" t="s">
        <v>423</v>
      </c>
      <c r="T45" t="s">
        <v>312</v>
      </c>
      <c r="U45">
        <v>6.6316965944845218E-3</v>
      </c>
      <c r="V45" t="s">
        <v>254</v>
      </c>
      <c r="X45">
        <v>7.0776255707762558E-3</v>
      </c>
      <c r="Y45">
        <v>9.0018148820326695E-3</v>
      </c>
      <c r="Z45" t="s">
        <v>312</v>
      </c>
      <c r="AA45" t="s">
        <v>25</v>
      </c>
      <c r="AC45" t="s">
        <v>22</v>
      </c>
      <c r="AD45" t="s">
        <v>312</v>
      </c>
      <c r="AE45">
        <v>7.6823812655839848E-3</v>
      </c>
      <c r="AG45" t="s">
        <v>97</v>
      </c>
      <c r="AH45" t="s">
        <v>312</v>
      </c>
      <c r="AI45">
        <v>7.0212854701301453E-2</v>
      </c>
    </row>
    <row r="46" spans="9:35" x14ac:dyDescent="0.45">
      <c r="I46" t="s">
        <v>252</v>
      </c>
      <c r="J46" t="s">
        <v>313</v>
      </c>
      <c r="K46">
        <v>2.9846300782884701E-2</v>
      </c>
      <c r="L46" t="s">
        <v>254</v>
      </c>
      <c r="N46" t="s">
        <v>422</v>
      </c>
      <c r="O46" t="s">
        <v>313</v>
      </c>
      <c r="P46">
        <v>9.9462914751015236E-3</v>
      </c>
      <c r="Q46" t="s">
        <v>254</v>
      </c>
      <c r="S46" t="s">
        <v>423</v>
      </c>
      <c r="T46" t="s">
        <v>313</v>
      </c>
      <c r="U46">
        <v>9.6362021595632567E-3</v>
      </c>
      <c r="V46" t="s">
        <v>254</v>
      </c>
      <c r="X46">
        <v>1.0616438356164383E-2</v>
      </c>
      <c r="Y46">
        <v>1.3143060769543132E-2</v>
      </c>
      <c r="Z46" t="s">
        <v>313</v>
      </c>
      <c r="AA46" t="s">
        <v>25</v>
      </c>
      <c r="AC46" t="s">
        <v>22</v>
      </c>
      <c r="AD46" t="s">
        <v>313</v>
      </c>
      <c r="AE46">
        <v>1.1450052443168693E-2</v>
      </c>
      <c r="AG46" t="s">
        <v>97</v>
      </c>
      <c r="AH46" t="s">
        <v>313</v>
      </c>
      <c r="AI46">
        <v>7.1588137946264396E-2</v>
      </c>
    </row>
    <row r="47" spans="9:35" x14ac:dyDescent="0.45">
      <c r="I47" t="s">
        <v>252</v>
      </c>
      <c r="J47" t="s">
        <v>314</v>
      </c>
      <c r="K47">
        <v>9.8879453029211001E-3</v>
      </c>
      <c r="L47" t="s">
        <v>254</v>
      </c>
      <c r="N47" t="s">
        <v>422</v>
      </c>
      <c r="O47" t="s">
        <v>314</v>
      </c>
      <c r="P47">
        <v>3.5621078218608434E-3</v>
      </c>
      <c r="Q47" t="s">
        <v>254</v>
      </c>
      <c r="S47" t="s">
        <v>423</v>
      </c>
      <c r="T47" t="s">
        <v>314</v>
      </c>
      <c r="U47">
        <v>3.3560104589874231E-3</v>
      </c>
      <c r="V47" t="s">
        <v>254</v>
      </c>
      <c r="X47">
        <v>3.5388127853881279E-3</v>
      </c>
      <c r="Y47">
        <v>4.6139439292610376E-3</v>
      </c>
      <c r="Z47" t="s">
        <v>314</v>
      </c>
      <c r="AA47" t="s">
        <v>25</v>
      </c>
      <c r="AC47" t="s">
        <v>22</v>
      </c>
      <c r="AD47" t="s">
        <v>314</v>
      </c>
      <c r="AE47">
        <v>3.7770122985847491E-3</v>
      </c>
      <c r="AG47" t="s">
        <v>97</v>
      </c>
      <c r="AH47" t="s">
        <v>314</v>
      </c>
      <c r="AI47">
        <v>7.4180179565778825E-2</v>
      </c>
    </row>
    <row r="48" spans="9:35" x14ac:dyDescent="0.45">
      <c r="I48" t="s">
        <v>252</v>
      </c>
      <c r="J48" t="s">
        <v>315</v>
      </c>
      <c r="K48">
        <v>1.8256244609755699E-2</v>
      </c>
      <c r="L48" t="s">
        <v>254</v>
      </c>
      <c r="N48" t="s">
        <v>422</v>
      </c>
      <c r="O48" t="s">
        <v>315</v>
      </c>
      <c r="P48">
        <v>7.3835405724859832E-3</v>
      </c>
      <c r="Q48" t="s">
        <v>254</v>
      </c>
      <c r="S48" t="s">
        <v>423</v>
      </c>
      <c r="T48" t="s">
        <v>315</v>
      </c>
      <c r="U48">
        <v>7.0099852833006944E-3</v>
      </c>
      <c r="V48" t="s">
        <v>254</v>
      </c>
      <c r="X48">
        <v>7.0776255707762558E-3</v>
      </c>
      <c r="Y48">
        <v>1.0008867231849112E-2</v>
      </c>
      <c r="Z48" t="s">
        <v>315</v>
      </c>
      <c r="AA48" t="s">
        <v>25</v>
      </c>
      <c r="AC48" t="s">
        <v>22</v>
      </c>
      <c r="AD48" t="s">
        <v>315</v>
      </c>
      <c r="AE48">
        <v>7.5090731692856365E-3</v>
      </c>
      <c r="AG48" t="s">
        <v>97</v>
      </c>
      <c r="AH48" t="s">
        <v>315</v>
      </c>
      <c r="AI48">
        <v>7.7659879303386026E-2</v>
      </c>
    </row>
    <row r="49" spans="9:35" x14ac:dyDescent="0.45">
      <c r="I49" t="s">
        <v>252</v>
      </c>
      <c r="J49" t="s">
        <v>316</v>
      </c>
      <c r="K49">
        <v>1.3627614256399663E-2</v>
      </c>
      <c r="L49" t="s">
        <v>254</v>
      </c>
      <c r="N49" t="s">
        <v>422</v>
      </c>
      <c r="O49" t="s">
        <v>316</v>
      </c>
      <c r="P49">
        <v>7.313454209609078E-3</v>
      </c>
      <c r="Q49" t="s">
        <v>254</v>
      </c>
      <c r="S49" t="s">
        <v>423</v>
      </c>
      <c r="T49" t="s">
        <v>316</v>
      </c>
      <c r="U49">
        <v>7.2960305846112052E-3</v>
      </c>
      <c r="V49" t="s">
        <v>254</v>
      </c>
      <c r="X49">
        <v>7.0776255707762558E-3</v>
      </c>
      <c r="Y49">
        <v>1.376989947708193E-2</v>
      </c>
      <c r="Z49" t="s">
        <v>316</v>
      </c>
      <c r="AA49" t="s">
        <v>25</v>
      </c>
      <c r="AC49" t="s">
        <v>22</v>
      </c>
      <c r="AD49" t="s">
        <v>316</v>
      </c>
      <c r="AE49">
        <v>7.5188029709295353E-3</v>
      </c>
      <c r="AG49" t="s">
        <v>97</v>
      </c>
      <c r="AH49" t="s">
        <v>316</v>
      </c>
      <c r="AI49">
        <v>7.6470251751308949E-2</v>
      </c>
    </row>
    <row r="50" spans="9:35" x14ac:dyDescent="0.45">
      <c r="I50" t="s">
        <v>252</v>
      </c>
      <c r="J50" t="s">
        <v>317</v>
      </c>
      <c r="K50">
        <v>6.5986614156880851E-3</v>
      </c>
      <c r="L50" t="s">
        <v>254</v>
      </c>
      <c r="N50" t="s">
        <v>422</v>
      </c>
      <c r="O50" t="s">
        <v>317</v>
      </c>
      <c r="P50">
        <v>2.1244541293275056E-2</v>
      </c>
      <c r="Q50" t="s">
        <v>254</v>
      </c>
      <c r="S50" t="s">
        <v>423</v>
      </c>
      <c r="T50" t="s">
        <v>317</v>
      </c>
      <c r="U50">
        <v>2.2025293669465699E-2</v>
      </c>
      <c r="V50" t="s">
        <v>254</v>
      </c>
      <c r="X50">
        <v>2.1232876712328767E-2</v>
      </c>
      <c r="Y50">
        <v>1.8702400782305319E-2</v>
      </c>
      <c r="Z50" t="s">
        <v>317</v>
      </c>
      <c r="AA50" t="s">
        <v>25</v>
      </c>
      <c r="AC50" t="s">
        <v>22</v>
      </c>
      <c r="AD50" t="s">
        <v>317</v>
      </c>
      <c r="AE50">
        <v>1.981698006356214E-2</v>
      </c>
      <c r="AG50" t="s">
        <v>97</v>
      </c>
      <c r="AH50" t="s">
        <v>317</v>
      </c>
      <c r="AI50">
        <v>0.16938093389350528</v>
      </c>
    </row>
    <row r="51" spans="9:35" x14ac:dyDescent="0.45">
      <c r="I51" t="s">
        <v>252</v>
      </c>
      <c r="J51" t="s">
        <v>318</v>
      </c>
      <c r="K51">
        <v>5.6150211014440498E-3</v>
      </c>
      <c r="L51" t="s">
        <v>254</v>
      </c>
      <c r="N51" t="s">
        <v>422</v>
      </c>
      <c r="O51" t="s">
        <v>318</v>
      </c>
      <c r="P51">
        <v>2.3758413380580559E-2</v>
      </c>
      <c r="Q51" t="s">
        <v>254</v>
      </c>
      <c r="S51" t="s">
        <v>423</v>
      </c>
      <c r="T51" t="s">
        <v>318</v>
      </c>
      <c r="U51">
        <v>2.5129735917864913E-2</v>
      </c>
      <c r="V51" t="s">
        <v>254</v>
      </c>
      <c r="X51">
        <v>2.3972602739726026E-2</v>
      </c>
      <c r="Y51">
        <v>9.4672202471222967E-3</v>
      </c>
      <c r="Z51" t="s">
        <v>318</v>
      </c>
      <c r="AA51" t="s">
        <v>25</v>
      </c>
      <c r="AC51" t="s">
        <v>22</v>
      </c>
      <c r="AD51" t="s">
        <v>318</v>
      </c>
      <c r="AE51">
        <v>1.7488610268034464E-2</v>
      </c>
      <c r="AG51" t="s">
        <v>97</v>
      </c>
      <c r="AH51" t="s">
        <v>318</v>
      </c>
      <c r="AI51">
        <v>0.24991961882631952</v>
      </c>
    </row>
    <row r="52" spans="9:35" x14ac:dyDescent="0.45">
      <c r="I52" t="s">
        <v>252</v>
      </c>
      <c r="J52" t="s">
        <v>319</v>
      </c>
      <c r="K52">
        <v>6.1841470682526736E-3</v>
      </c>
      <c r="L52" t="s">
        <v>254</v>
      </c>
      <c r="N52" t="s">
        <v>422</v>
      </c>
      <c r="O52" t="s">
        <v>319</v>
      </c>
      <c r="P52">
        <v>3.1241827884695363E-3</v>
      </c>
      <c r="Q52" t="s">
        <v>254</v>
      </c>
      <c r="S52" t="s">
        <v>423</v>
      </c>
      <c r="T52" t="s">
        <v>319</v>
      </c>
      <c r="U52">
        <v>3.3597758328187555E-3</v>
      </c>
      <c r="V52" t="s">
        <v>254</v>
      </c>
      <c r="X52">
        <v>3.4246575342465752E-3</v>
      </c>
      <c r="Y52">
        <v>5.7181214727892006E-3</v>
      </c>
      <c r="Z52" t="s">
        <v>319</v>
      </c>
      <c r="AA52" t="s">
        <v>25</v>
      </c>
      <c r="AC52" t="s">
        <v>22</v>
      </c>
      <c r="AD52" t="s">
        <v>319</v>
      </c>
      <c r="AE52">
        <v>3.3156576031517526E-3</v>
      </c>
      <c r="AG52" t="s">
        <v>97</v>
      </c>
      <c r="AH52" t="s">
        <v>319</v>
      </c>
      <c r="AI52">
        <v>8.5906828824655834E-2</v>
      </c>
    </row>
    <row r="53" spans="9:35" x14ac:dyDescent="0.45">
      <c r="I53" t="s">
        <v>252</v>
      </c>
      <c r="J53" t="s">
        <v>320</v>
      </c>
      <c r="K53">
        <v>1.7257027347523102E-2</v>
      </c>
      <c r="L53" t="s">
        <v>254</v>
      </c>
      <c r="N53" t="s">
        <v>422</v>
      </c>
      <c r="O53" t="s">
        <v>320</v>
      </c>
      <c r="P53">
        <v>6.1932716537798594E-3</v>
      </c>
      <c r="Q53" t="s">
        <v>254</v>
      </c>
      <c r="S53" t="s">
        <v>423</v>
      </c>
      <c r="T53" t="s">
        <v>320</v>
      </c>
      <c r="U53">
        <v>6.4362456864020257E-3</v>
      </c>
      <c r="V53" t="s">
        <v>254</v>
      </c>
      <c r="X53">
        <v>6.8493150684931503E-3</v>
      </c>
      <c r="Y53">
        <v>8.7114337568058101E-3</v>
      </c>
      <c r="Z53" t="s">
        <v>320</v>
      </c>
      <c r="AA53" t="s">
        <v>25</v>
      </c>
      <c r="AC53" t="s">
        <v>22</v>
      </c>
      <c r="AD53" t="s">
        <v>320</v>
      </c>
      <c r="AE53">
        <v>7.054458014878375E-3</v>
      </c>
      <c r="AG53" t="s">
        <v>97</v>
      </c>
      <c r="AH53" t="s">
        <v>320</v>
      </c>
      <c r="AI53">
        <v>7.949769795769468E-2</v>
      </c>
    </row>
    <row r="54" spans="9:35" x14ac:dyDescent="0.45">
      <c r="I54" t="s">
        <v>252</v>
      </c>
      <c r="J54" t="s">
        <v>321</v>
      </c>
      <c r="K54">
        <v>3.1032577269899102E-2</v>
      </c>
      <c r="L54" t="s">
        <v>254</v>
      </c>
      <c r="N54" t="s">
        <v>422</v>
      </c>
      <c r="O54" t="s">
        <v>321</v>
      </c>
      <c r="P54">
        <v>9.1473478212649451E-3</v>
      </c>
      <c r="Q54" t="s">
        <v>254</v>
      </c>
      <c r="S54" t="s">
        <v>423</v>
      </c>
      <c r="T54" t="s">
        <v>321</v>
      </c>
      <c r="U54">
        <v>9.2189883341408773E-3</v>
      </c>
      <c r="V54" t="s">
        <v>254</v>
      </c>
      <c r="X54">
        <v>1.0273972602739725E-2</v>
      </c>
      <c r="Y54">
        <v>1.2719091067299805E-2</v>
      </c>
      <c r="Z54" t="s">
        <v>321</v>
      </c>
      <c r="AA54" t="s">
        <v>25</v>
      </c>
      <c r="AC54" t="s">
        <v>22</v>
      </c>
      <c r="AD54" t="s">
        <v>321</v>
      </c>
      <c r="AE54">
        <v>1.061967671959025E-2</v>
      </c>
      <c r="AG54" t="s">
        <v>97</v>
      </c>
      <c r="AH54" t="s">
        <v>321</v>
      </c>
      <c r="AI54">
        <v>9.0232011743215157E-2</v>
      </c>
    </row>
    <row r="55" spans="9:35" x14ac:dyDescent="0.45">
      <c r="I55" t="s">
        <v>252</v>
      </c>
      <c r="J55" t="s">
        <v>322</v>
      </c>
      <c r="K55">
        <v>1.0379484394511199E-2</v>
      </c>
      <c r="L55" t="s">
        <v>254</v>
      </c>
      <c r="N55" t="s">
        <v>422</v>
      </c>
      <c r="O55" t="s">
        <v>322</v>
      </c>
      <c r="P55">
        <v>3.3384784267306532E-3</v>
      </c>
      <c r="Q55" t="s">
        <v>254</v>
      </c>
      <c r="S55" t="s">
        <v>423</v>
      </c>
      <c r="T55" t="s">
        <v>322</v>
      </c>
      <c r="U55">
        <v>3.3337340186684571E-3</v>
      </c>
      <c r="V55" t="s">
        <v>254</v>
      </c>
      <c r="X55">
        <v>3.4246575342465752E-3</v>
      </c>
      <c r="Y55">
        <v>4.4651070283171336E-3</v>
      </c>
      <c r="Z55" t="s">
        <v>322</v>
      </c>
      <c r="AA55" t="s">
        <v>25</v>
      </c>
      <c r="AC55" t="s">
        <v>22</v>
      </c>
      <c r="AD55" t="s">
        <v>322</v>
      </c>
      <c r="AE55">
        <v>3.5121893679205046E-3</v>
      </c>
      <c r="AG55" t="s">
        <v>97</v>
      </c>
      <c r="AH55" t="s">
        <v>322</v>
      </c>
      <c r="AI55">
        <v>9.4368775197642751E-2</v>
      </c>
    </row>
    <row r="56" spans="9:35" x14ac:dyDescent="0.45">
      <c r="I56" t="s">
        <v>252</v>
      </c>
      <c r="J56" t="s">
        <v>323</v>
      </c>
      <c r="K56">
        <v>1.93108739122206E-2</v>
      </c>
      <c r="L56" t="s">
        <v>254</v>
      </c>
      <c r="N56" t="s">
        <v>422</v>
      </c>
      <c r="O56" t="s">
        <v>323</v>
      </c>
      <c r="P56">
        <v>7.031500255929561E-3</v>
      </c>
      <c r="Q56" t="s">
        <v>254</v>
      </c>
      <c r="S56" t="s">
        <v>423</v>
      </c>
      <c r="T56" t="s">
        <v>323</v>
      </c>
      <c r="U56">
        <v>7.0747397713290926E-3</v>
      </c>
      <c r="V56" t="s">
        <v>254</v>
      </c>
      <c r="X56">
        <v>6.8493150684931503E-3</v>
      </c>
      <c r="Y56">
        <v>9.6860005469507522E-3</v>
      </c>
      <c r="Z56" t="s">
        <v>323</v>
      </c>
      <c r="AA56" t="s">
        <v>25</v>
      </c>
      <c r="AC56" t="s">
        <v>22</v>
      </c>
      <c r="AD56" t="s">
        <v>323</v>
      </c>
      <c r="AE56">
        <v>6.960911278074502E-3</v>
      </c>
      <c r="AG56" t="s">
        <v>97</v>
      </c>
      <c r="AH56" t="s">
        <v>323</v>
      </c>
      <c r="AI56">
        <v>9.1878563521638146E-2</v>
      </c>
    </row>
    <row r="57" spans="9:35" x14ac:dyDescent="0.45">
      <c r="I57" t="s">
        <v>252</v>
      </c>
      <c r="J57" t="s">
        <v>324</v>
      </c>
      <c r="K57">
        <v>1.5121568962202086E-2</v>
      </c>
      <c r="L57" t="s">
        <v>254</v>
      </c>
      <c r="N57" t="s">
        <v>422</v>
      </c>
      <c r="O57" t="s">
        <v>324</v>
      </c>
      <c r="P57">
        <v>7.1879336505591826E-3</v>
      </c>
      <c r="Q57" t="s">
        <v>254</v>
      </c>
      <c r="S57" t="s">
        <v>423</v>
      </c>
      <c r="T57" t="s">
        <v>324</v>
      </c>
      <c r="U57">
        <v>7.2392246503869464E-3</v>
      </c>
      <c r="V57" t="s">
        <v>254</v>
      </c>
      <c r="X57">
        <v>6.8493150684931503E-3</v>
      </c>
      <c r="Y57">
        <v>1.3325709171369611E-2</v>
      </c>
      <c r="Z57" t="s">
        <v>324</v>
      </c>
      <c r="AA57" t="s">
        <v>25</v>
      </c>
      <c r="AC57" t="s">
        <v>22</v>
      </c>
      <c r="AD57" t="s">
        <v>324</v>
      </c>
      <c r="AE57">
        <v>6.9293565468561812E-3</v>
      </c>
      <c r="AG57" t="s">
        <v>97</v>
      </c>
      <c r="AH57" t="s">
        <v>324</v>
      </c>
      <c r="AI57">
        <v>9.0870610702260324E-2</v>
      </c>
    </row>
    <row r="58" spans="9:35" x14ac:dyDescent="0.45">
      <c r="I58" t="s">
        <v>252</v>
      </c>
      <c r="J58" t="s">
        <v>325</v>
      </c>
      <c r="K58">
        <v>8.5278993784270677E-3</v>
      </c>
      <c r="L58" t="s">
        <v>254</v>
      </c>
      <c r="N58" t="s">
        <v>422</v>
      </c>
      <c r="O58" t="s">
        <v>325</v>
      </c>
      <c r="P58">
        <v>2.1214173006225495E-2</v>
      </c>
      <c r="Q58" t="s">
        <v>254</v>
      </c>
      <c r="S58" t="s">
        <v>423</v>
      </c>
      <c r="T58" t="s">
        <v>325</v>
      </c>
      <c r="U58">
        <v>2.2072502763051959E-2</v>
      </c>
      <c r="V58" t="s">
        <v>254</v>
      </c>
      <c r="X58">
        <v>2.0547945205479451E-2</v>
      </c>
      <c r="Y58">
        <v>1.8099097531263209E-2</v>
      </c>
      <c r="Z58" t="s">
        <v>325</v>
      </c>
      <c r="AA58" t="s">
        <v>25</v>
      </c>
      <c r="AC58" t="s">
        <v>22</v>
      </c>
      <c r="AD58" t="s">
        <v>325</v>
      </c>
      <c r="AE58">
        <v>1.853526384323095E-2</v>
      </c>
      <c r="AG58" t="s">
        <v>97</v>
      </c>
      <c r="AH58" t="s">
        <v>325</v>
      </c>
      <c r="AI58">
        <v>0.17560791662970909</v>
      </c>
    </row>
    <row r="59" spans="9:35" x14ac:dyDescent="0.45">
      <c r="I59" t="s">
        <v>252</v>
      </c>
      <c r="J59" t="s">
        <v>326</v>
      </c>
      <c r="K59">
        <v>5.6907262752047107E-3</v>
      </c>
      <c r="L59" t="s">
        <v>254</v>
      </c>
      <c r="N59" t="s">
        <v>422</v>
      </c>
      <c r="O59" t="s">
        <v>326</v>
      </c>
      <c r="P59">
        <v>1.8201165978808966E-2</v>
      </c>
      <c r="Q59" t="s">
        <v>254</v>
      </c>
      <c r="S59" t="s">
        <v>423</v>
      </c>
      <c r="T59" t="s">
        <v>326</v>
      </c>
      <c r="U59">
        <v>1.887990473979247E-2</v>
      </c>
      <c r="V59" t="s">
        <v>254</v>
      </c>
      <c r="X59">
        <v>2.4771689497716895E-2</v>
      </c>
      <c r="Y59">
        <v>9.7827942553597048E-3</v>
      </c>
      <c r="Z59" t="s">
        <v>326</v>
      </c>
      <c r="AA59" t="s">
        <v>25</v>
      </c>
      <c r="AC59" t="s">
        <v>22</v>
      </c>
      <c r="AD59" t="s">
        <v>326</v>
      </c>
      <c r="AE59">
        <v>1.8858161963641967E-2</v>
      </c>
      <c r="AG59" t="s">
        <v>97</v>
      </c>
      <c r="AH59" t="s">
        <v>326</v>
      </c>
      <c r="AI59">
        <v>0.24207174233774098</v>
      </c>
    </row>
    <row r="60" spans="9:35" x14ac:dyDescent="0.45">
      <c r="I60" t="s">
        <v>252</v>
      </c>
      <c r="J60" t="s">
        <v>327</v>
      </c>
      <c r="K60">
        <v>7.55060257483479E-3</v>
      </c>
      <c r="L60" t="s">
        <v>254</v>
      </c>
      <c r="N60" t="s">
        <v>422</v>
      </c>
      <c r="O60" t="s">
        <v>327</v>
      </c>
      <c r="P60">
        <v>2.1271741024613093E-3</v>
      </c>
      <c r="Q60" t="s">
        <v>254</v>
      </c>
      <c r="S60" t="s">
        <v>423</v>
      </c>
      <c r="T60" t="s">
        <v>327</v>
      </c>
      <c r="U60">
        <v>2.7065679260956034E-3</v>
      </c>
      <c r="V60" t="s">
        <v>254</v>
      </c>
      <c r="X60">
        <v>3.5388127853881279E-3</v>
      </c>
      <c r="Y60">
        <v>5.9087255218821738E-3</v>
      </c>
      <c r="Z60" t="s">
        <v>327</v>
      </c>
      <c r="AA60" t="s">
        <v>25</v>
      </c>
      <c r="AC60" t="s">
        <v>22</v>
      </c>
      <c r="AD60" t="s">
        <v>327</v>
      </c>
      <c r="AE60">
        <v>3.5128636638608918E-3</v>
      </c>
      <c r="AG60" t="s">
        <v>97</v>
      </c>
      <c r="AH60" t="s">
        <v>327</v>
      </c>
      <c r="AI60">
        <v>8.4097695100208369E-2</v>
      </c>
    </row>
    <row r="61" spans="9:35" x14ac:dyDescent="0.45">
      <c r="I61" t="s">
        <v>252</v>
      </c>
      <c r="J61" t="s">
        <v>328</v>
      </c>
      <c r="K61">
        <v>2.0721789575153613E-2</v>
      </c>
      <c r="L61" t="s">
        <v>254</v>
      </c>
      <c r="N61" t="s">
        <v>422</v>
      </c>
      <c r="O61" t="s">
        <v>328</v>
      </c>
      <c r="P61">
        <v>4.1715642512792578E-3</v>
      </c>
      <c r="Q61" t="s">
        <v>254</v>
      </c>
      <c r="S61" t="s">
        <v>423</v>
      </c>
      <c r="T61" t="s">
        <v>328</v>
      </c>
      <c r="U61">
        <v>5.4643547861619023E-3</v>
      </c>
      <c r="V61" t="s">
        <v>254</v>
      </c>
      <c r="X61">
        <v>7.0776255707762558E-3</v>
      </c>
      <c r="Y61">
        <v>9.0018148820326695E-3</v>
      </c>
      <c r="Z61" t="s">
        <v>328</v>
      </c>
      <c r="AA61" t="s">
        <v>25</v>
      </c>
      <c r="AC61" t="s">
        <v>22</v>
      </c>
      <c r="AD61" t="s">
        <v>328</v>
      </c>
      <c r="AE61">
        <v>7.4054069461412407E-3</v>
      </c>
      <c r="AG61" t="s">
        <v>97</v>
      </c>
      <c r="AH61" t="s">
        <v>328</v>
      </c>
      <c r="AI61">
        <v>8.0283624945774568E-2</v>
      </c>
    </row>
    <row r="62" spans="9:35" x14ac:dyDescent="0.45">
      <c r="I62" t="s">
        <v>252</v>
      </c>
      <c r="J62" t="s">
        <v>329</v>
      </c>
      <c r="K62">
        <v>3.6099682601023697E-2</v>
      </c>
      <c r="L62" t="s">
        <v>254</v>
      </c>
      <c r="N62" t="s">
        <v>422</v>
      </c>
      <c r="O62" t="s">
        <v>329</v>
      </c>
      <c r="P62">
        <v>6.5230661504722112E-3</v>
      </c>
      <c r="Q62" t="s">
        <v>254</v>
      </c>
      <c r="S62" t="s">
        <v>423</v>
      </c>
      <c r="T62" t="s">
        <v>329</v>
      </c>
      <c r="U62">
        <v>7.8405552467663148E-3</v>
      </c>
      <c r="V62" t="s">
        <v>254</v>
      </c>
      <c r="X62">
        <v>1.0616438356164383E-2</v>
      </c>
      <c r="Y62">
        <v>1.3143060769543132E-2</v>
      </c>
      <c r="Z62" t="s">
        <v>329</v>
      </c>
      <c r="AA62" t="s">
        <v>25</v>
      </c>
      <c r="AC62" t="s">
        <v>22</v>
      </c>
      <c r="AD62" t="s">
        <v>329</v>
      </c>
      <c r="AE62">
        <v>1.1291179002468097E-2</v>
      </c>
      <c r="AG62" t="s">
        <v>97</v>
      </c>
      <c r="AH62" t="s">
        <v>329</v>
      </c>
      <c r="AI62">
        <v>7.6367802863346324E-2</v>
      </c>
    </row>
    <row r="63" spans="9:35" x14ac:dyDescent="0.45">
      <c r="I63" t="s">
        <v>252</v>
      </c>
      <c r="J63" t="s">
        <v>330</v>
      </c>
      <c r="K63">
        <v>1.1819498630638E-2</v>
      </c>
      <c r="L63" t="s">
        <v>254</v>
      </c>
      <c r="N63" t="s">
        <v>422</v>
      </c>
      <c r="O63" t="s">
        <v>330</v>
      </c>
      <c r="P63">
        <v>2.4607224403917377E-3</v>
      </c>
      <c r="Q63" t="s">
        <v>254</v>
      </c>
      <c r="S63" t="s">
        <v>423</v>
      </c>
      <c r="T63" t="s">
        <v>330</v>
      </c>
      <c r="U63">
        <v>2.6489329002128701E-3</v>
      </c>
      <c r="V63" t="s">
        <v>254</v>
      </c>
      <c r="X63">
        <v>3.5388127853881279E-3</v>
      </c>
      <c r="Y63">
        <v>4.6139439292610376E-3</v>
      </c>
      <c r="Z63" t="s">
        <v>330</v>
      </c>
      <c r="AA63" t="s">
        <v>25</v>
      </c>
      <c r="AC63" t="s">
        <v>22</v>
      </c>
      <c r="AD63" t="s">
        <v>330</v>
      </c>
      <c r="AE63">
        <v>3.7514087376990914E-3</v>
      </c>
      <c r="AG63" t="s">
        <v>97</v>
      </c>
      <c r="AH63" t="s">
        <v>330</v>
      </c>
      <c r="AI63">
        <v>6.6606082518882115E-2</v>
      </c>
    </row>
    <row r="64" spans="9:35" x14ac:dyDescent="0.45">
      <c r="I64" t="s">
        <v>252</v>
      </c>
      <c r="J64" t="s">
        <v>331</v>
      </c>
      <c r="K64">
        <v>2.2654420268322401E-2</v>
      </c>
      <c r="L64" t="s">
        <v>254</v>
      </c>
      <c r="N64" t="s">
        <v>422</v>
      </c>
      <c r="O64" t="s">
        <v>331</v>
      </c>
      <c r="P64">
        <v>5.2701698669585344E-3</v>
      </c>
      <c r="Q64" t="s">
        <v>254</v>
      </c>
      <c r="S64" t="s">
        <v>423</v>
      </c>
      <c r="T64" t="s">
        <v>331</v>
      </c>
      <c r="U64">
        <v>5.4321792671511064E-3</v>
      </c>
      <c r="V64" t="s">
        <v>254</v>
      </c>
      <c r="X64">
        <v>7.0776255707762558E-3</v>
      </c>
      <c r="Y64">
        <v>1.0008867231849112E-2</v>
      </c>
      <c r="Z64" t="s">
        <v>331</v>
      </c>
      <c r="AA64" t="s">
        <v>25</v>
      </c>
      <c r="AC64" t="s">
        <v>22</v>
      </c>
      <c r="AD64" t="s">
        <v>331</v>
      </c>
      <c r="AE64">
        <v>7.4168321113830121E-3</v>
      </c>
      <c r="AG64" t="s">
        <v>97</v>
      </c>
      <c r="AH64" t="s">
        <v>331</v>
      </c>
      <c r="AI64">
        <v>6.1976360186815738E-2</v>
      </c>
    </row>
    <row r="65" spans="9:35" x14ac:dyDescent="0.45">
      <c r="I65" t="s">
        <v>252</v>
      </c>
      <c r="J65" t="s">
        <v>332</v>
      </c>
      <c r="K65">
        <v>1.7943417315136038E-2</v>
      </c>
      <c r="L65" t="s">
        <v>254</v>
      </c>
      <c r="N65" t="s">
        <v>422</v>
      </c>
      <c r="O65" t="s">
        <v>332</v>
      </c>
      <c r="P65">
        <v>5.7330128839986833E-3</v>
      </c>
      <c r="Q65" t="s">
        <v>254</v>
      </c>
      <c r="S65" t="s">
        <v>423</v>
      </c>
      <c r="T65" t="s">
        <v>332</v>
      </c>
      <c r="U65">
        <v>5.604131701026362E-3</v>
      </c>
      <c r="V65" t="s">
        <v>254</v>
      </c>
      <c r="X65">
        <v>7.0776255707762558E-3</v>
      </c>
      <c r="Y65">
        <v>1.376989947708193E-2</v>
      </c>
      <c r="Z65" t="s">
        <v>332</v>
      </c>
      <c r="AA65" t="s">
        <v>25</v>
      </c>
      <c r="AC65" t="s">
        <v>22</v>
      </c>
      <c r="AD65" t="s">
        <v>332</v>
      </c>
      <c r="AE65">
        <v>7.3722437930480167E-3</v>
      </c>
      <c r="AG65" t="s">
        <v>97</v>
      </c>
      <c r="AH65" t="s">
        <v>332</v>
      </c>
      <c r="AI65">
        <v>6.0412964463251617E-2</v>
      </c>
    </row>
    <row r="66" spans="9:35" x14ac:dyDescent="0.45">
      <c r="I66" t="s">
        <v>252</v>
      </c>
      <c r="J66" t="s">
        <v>333</v>
      </c>
      <c r="K66">
        <v>1.0110616542517919E-2</v>
      </c>
      <c r="L66" t="s">
        <v>254</v>
      </c>
      <c r="N66" t="s">
        <v>422</v>
      </c>
      <c r="O66" t="s">
        <v>333</v>
      </c>
      <c r="P66">
        <v>1.7772919654848611E-2</v>
      </c>
      <c r="Q66" t="s">
        <v>254</v>
      </c>
      <c r="S66" t="s">
        <v>423</v>
      </c>
      <c r="T66" t="s">
        <v>333</v>
      </c>
      <c r="U66">
        <v>1.6571575300024611E-2</v>
      </c>
      <c r="V66" t="s">
        <v>254</v>
      </c>
      <c r="X66">
        <v>2.1232876712328767E-2</v>
      </c>
      <c r="Y66">
        <v>1.8702400782305319E-2</v>
      </c>
      <c r="Z66" t="s">
        <v>333</v>
      </c>
      <c r="AA66" t="s">
        <v>25</v>
      </c>
      <c r="AC66" t="s">
        <v>22</v>
      </c>
      <c r="AD66" t="s">
        <v>333</v>
      </c>
      <c r="AE66">
        <v>1.9901975371152368E-2</v>
      </c>
      <c r="AG66" t="s">
        <v>97</v>
      </c>
      <c r="AH66" t="s">
        <v>333</v>
      </c>
      <c r="AI66">
        <v>0.13890349193737483</v>
      </c>
    </row>
    <row r="67" spans="9:35" x14ac:dyDescent="0.45">
      <c r="I67" t="s">
        <v>252</v>
      </c>
      <c r="J67" t="s">
        <v>334</v>
      </c>
      <c r="K67">
        <v>3.9604629256030279E-3</v>
      </c>
      <c r="L67" t="s">
        <v>254</v>
      </c>
      <c r="N67" t="s">
        <v>422</v>
      </c>
      <c r="O67" t="s">
        <v>334</v>
      </c>
      <c r="P67">
        <v>1.3574561492915088E-2</v>
      </c>
      <c r="Q67" t="s">
        <v>254</v>
      </c>
      <c r="S67" t="s">
        <v>423</v>
      </c>
      <c r="T67" t="s">
        <v>334</v>
      </c>
      <c r="U67">
        <v>1.3995354889387695E-2</v>
      </c>
      <c r="V67" t="s">
        <v>254</v>
      </c>
      <c r="X67">
        <v>2.4771689497716895E-2</v>
      </c>
      <c r="Y67">
        <v>9.7827942553597048E-3</v>
      </c>
      <c r="Z67" t="s">
        <v>334</v>
      </c>
      <c r="AA67" t="s">
        <v>25</v>
      </c>
      <c r="AC67" t="s">
        <v>22</v>
      </c>
      <c r="AD67" t="s">
        <v>334</v>
      </c>
      <c r="AE67">
        <v>1.8433162429690501E-2</v>
      </c>
      <c r="AG67" t="s">
        <v>97</v>
      </c>
      <c r="AH67" t="s">
        <v>334</v>
      </c>
      <c r="AI67">
        <v>0.25659329650244533</v>
      </c>
    </row>
    <row r="68" spans="9:35" x14ac:dyDescent="0.45">
      <c r="I68" t="s">
        <v>252</v>
      </c>
      <c r="J68" t="s">
        <v>335</v>
      </c>
      <c r="K68">
        <v>6.8776317850581525E-3</v>
      </c>
      <c r="L68" t="s">
        <v>254</v>
      </c>
      <c r="N68" t="s">
        <v>422</v>
      </c>
      <c r="O68" t="s">
        <v>335</v>
      </c>
      <c r="P68">
        <v>1.6838533274588538E-3</v>
      </c>
      <c r="Q68" t="s">
        <v>254</v>
      </c>
      <c r="S68" t="s">
        <v>423</v>
      </c>
      <c r="T68" t="s">
        <v>335</v>
      </c>
      <c r="U68">
        <v>1.9015683511580327E-3</v>
      </c>
      <c r="V68" t="s">
        <v>254</v>
      </c>
      <c r="X68">
        <v>3.5388127853881279E-3</v>
      </c>
      <c r="Y68">
        <v>5.9087255218821738E-3</v>
      </c>
      <c r="Z68" t="s">
        <v>335</v>
      </c>
      <c r="AA68" t="s">
        <v>25</v>
      </c>
      <c r="AC68" t="s">
        <v>22</v>
      </c>
      <c r="AD68" t="s">
        <v>335</v>
      </c>
      <c r="AE68">
        <v>3.4728415747913087E-3</v>
      </c>
      <c r="AG68" t="s">
        <v>97</v>
      </c>
      <c r="AH68" t="s">
        <v>335</v>
      </c>
      <c r="AI68">
        <v>9.6970382779109077E-2</v>
      </c>
    </row>
    <row r="69" spans="9:35" x14ac:dyDescent="0.45">
      <c r="I69" t="s">
        <v>252</v>
      </c>
      <c r="J69" t="s">
        <v>336</v>
      </c>
      <c r="K69">
        <v>1.9994356603512699E-2</v>
      </c>
      <c r="L69" t="s">
        <v>254</v>
      </c>
      <c r="N69" t="s">
        <v>422</v>
      </c>
      <c r="O69" t="s">
        <v>336</v>
      </c>
      <c r="P69">
        <v>3.2985233027799004E-3</v>
      </c>
      <c r="Q69" t="s">
        <v>254</v>
      </c>
      <c r="S69" t="s">
        <v>423</v>
      </c>
      <c r="T69" t="s">
        <v>336</v>
      </c>
      <c r="U69">
        <v>3.7733614335994652E-3</v>
      </c>
      <c r="V69" t="s">
        <v>254</v>
      </c>
      <c r="X69">
        <v>7.0776255707762558E-3</v>
      </c>
      <c r="Y69">
        <v>9.0018148820326695E-3</v>
      </c>
      <c r="Z69" t="s">
        <v>336</v>
      </c>
      <c r="AA69" t="s">
        <v>25</v>
      </c>
      <c r="AC69" t="s">
        <v>22</v>
      </c>
      <c r="AD69" t="s">
        <v>336</v>
      </c>
      <c r="AE69">
        <v>7.3733418135328143E-3</v>
      </c>
      <c r="AG69" t="s">
        <v>97</v>
      </c>
      <c r="AH69" t="s">
        <v>336</v>
      </c>
      <c r="AI69">
        <v>9.2650294275706147E-2</v>
      </c>
    </row>
    <row r="70" spans="9:35" x14ac:dyDescent="0.45">
      <c r="I70" t="s">
        <v>252</v>
      </c>
      <c r="J70" t="s">
        <v>337</v>
      </c>
      <c r="K70">
        <v>3.4748024933677998E-2</v>
      </c>
      <c r="L70" t="s">
        <v>254</v>
      </c>
      <c r="N70" t="s">
        <v>422</v>
      </c>
      <c r="O70" t="s">
        <v>337</v>
      </c>
      <c r="P70">
        <v>5.2838270010361777E-3</v>
      </c>
      <c r="Q70" t="s">
        <v>254</v>
      </c>
      <c r="S70" t="s">
        <v>423</v>
      </c>
      <c r="T70" t="s">
        <v>337</v>
      </c>
      <c r="U70">
        <v>5.4994001290012019E-3</v>
      </c>
      <c r="V70" t="s">
        <v>254</v>
      </c>
      <c r="X70">
        <v>1.0616438356164383E-2</v>
      </c>
      <c r="Y70">
        <v>1.3143060769543132E-2</v>
      </c>
      <c r="Z70" t="s">
        <v>337</v>
      </c>
      <c r="AA70" t="s">
        <v>25</v>
      </c>
      <c r="AC70" t="s">
        <v>22</v>
      </c>
      <c r="AD70" t="s">
        <v>337</v>
      </c>
      <c r="AE70">
        <v>1.1176574721149324E-2</v>
      </c>
      <c r="AG70" t="s">
        <v>97</v>
      </c>
      <c r="AH70" t="s">
        <v>337</v>
      </c>
      <c r="AI70">
        <v>9.1669570383527077E-2</v>
      </c>
    </row>
    <row r="71" spans="9:35" x14ac:dyDescent="0.45">
      <c r="I71" t="s">
        <v>252</v>
      </c>
      <c r="J71" t="s">
        <v>338</v>
      </c>
      <c r="K71">
        <v>1.1383794505874499E-2</v>
      </c>
      <c r="L71" t="s">
        <v>254</v>
      </c>
      <c r="N71" t="s">
        <v>422</v>
      </c>
      <c r="O71" t="s">
        <v>338</v>
      </c>
      <c r="P71">
        <v>2.0319429615693468E-3</v>
      </c>
      <c r="Q71" t="s">
        <v>254</v>
      </c>
      <c r="S71" t="s">
        <v>423</v>
      </c>
      <c r="T71" t="s">
        <v>338</v>
      </c>
      <c r="U71">
        <v>1.9676078253799403E-3</v>
      </c>
      <c r="V71" t="s">
        <v>254</v>
      </c>
      <c r="X71">
        <v>3.5388127853881279E-3</v>
      </c>
      <c r="Y71">
        <v>4.6139439292610376E-3</v>
      </c>
      <c r="Z71" t="s">
        <v>338</v>
      </c>
      <c r="AA71" t="s">
        <v>25</v>
      </c>
      <c r="AC71" t="s">
        <v>22</v>
      </c>
      <c r="AD71" t="s">
        <v>338</v>
      </c>
      <c r="AE71">
        <v>3.7086479843560223E-3</v>
      </c>
      <c r="AG71" t="s">
        <v>97</v>
      </c>
      <c r="AH71" t="s">
        <v>338</v>
      </c>
      <c r="AI71">
        <v>8.988583846178444E-2</v>
      </c>
    </row>
    <row r="72" spans="9:35" x14ac:dyDescent="0.45">
      <c r="I72" t="s">
        <v>252</v>
      </c>
      <c r="J72" t="s">
        <v>339</v>
      </c>
      <c r="K72">
        <v>2.2523727310652501E-2</v>
      </c>
      <c r="L72" t="s">
        <v>254</v>
      </c>
      <c r="N72" t="s">
        <v>422</v>
      </c>
      <c r="O72" t="s">
        <v>339</v>
      </c>
      <c r="P72">
        <v>4.4436542824720275E-3</v>
      </c>
      <c r="Q72" t="s">
        <v>254</v>
      </c>
      <c r="S72" t="s">
        <v>423</v>
      </c>
      <c r="T72" t="s">
        <v>339</v>
      </c>
      <c r="U72">
        <v>4.2761780886685693E-3</v>
      </c>
      <c r="V72" t="s">
        <v>254</v>
      </c>
      <c r="X72">
        <v>7.0776255707762558E-3</v>
      </c>
      <c r="Y72">
        <v>1.0008867231849112E-2</v>
      </c>
      <c r="Z72" t="s">
        <v>339</v>
      </c>
      <c r="AA72" t="s">
        <v>25</v>
      </c>
      <c r="AC72" t="s">
        <v>22</v>
      </c>
      <c r="AD72" t="s">
        <v>339</v>
      </c>
      <c r="AE72">
        <v>7.3482463409091031E-3</v>
      </c>
      <c r="AG72" t="s">
        <v>97</v>
      </c>
      <c r="AH72" t="s">
        <v>339</v>
      </c>
      <c r="AI72">
        <v>8.184768968684053E-2</v>
      </c>
    </row>
    <row r="73" spans="9:35" x14ac:dyDescent="0.45">
      <c r="I73" t="s">
        <v>252</v>
      </c>
      <c r="J73" t="s">
        <v>340</v>
      </c>
      <c r="K73">
        <v>1.8597065373365099E-2</v>
      </c>
      <c r="L73" t="s">
        <v>254</v>
      </c>
      <c r="N73" t="s">
        <v>422</v>
      </c>
      <c r="O73" t="s">
        <v>340</v>
      </c>
      <c r="P73">
        <v>4.6671668575282562E-3</v>
      </c>
      <c r="Q73" t="s">
        <v>254</v>
      </c>
      <c r="S73" t="s">
        <v>423</v>
      </c>
      <c r="T73" t="s">
        <v>340</v>
      </c>
      <c r="U73">
        <v>4.6037098020107999E-3</v>
      </c>
      <c r="V73" t="s">
        <v>254</v>
      </c>
      <c r="X73">
        <v>7.0776255707762558E-3</v>
      </c>
      <c r="Y73">
        <v>1.376989947708193E-2</v>
      </c>
      <c r="Z73" t="s">
        <v>340</v>
      </c>
      <c r="AA73" t="s">
        <v>25</v>
      </c>
      <c r="AC73" t="s">
        <v>22</v>
      </c>
      <c r="AD73" t="s">
        <v>340</v>
      </c>
      <c r="AE73">
        <v>7.3042052440069061E-3</v>
      </c>
      <c r="AG73" t="s">
        <v>97</v>
      </c>
      <c r="AH73" t="s">
        <v>340</v>
      </c>
      <c r="AI73">
        <v>7.4708839379281633E-2</v>
      </c>
    </row>
    <row r="74" spans="9:35" x14ac:dyDescent="0.45">
      <c r="I74" t="s">
        <v>252</v>
      </c>
      <c r="J74" t="s">
        <v>341</v>
      </c>
      <c r="K74">
        <v>8.9078218378577587E-3</v>
      </c>
      <c r="L74" t="s">
        <v>254</v>
      </c>
      <c r="N74" t="s">
        <v>422</v>
      </c>
      <c r="O74" t="s">
        <v>341</v>
      </c>
      <c r="P74">
        <v>1.3531520225343621E-2</v>
      </c>
      <c r="Q74" t="s">
        <v>254</v>
      </c>
      <c r="S74" t="s">
        <v>423</v>
      </c>
      <c r="T74" t="s">
        <v>341</v>
      </c>
      <c r="U74">
        <v>1.4177962118868714E-2</v>
      </c>
      <c r="V74" t="s">
        <v>254</v>
      </c>
      <c r="X74">
        <v>2.1232876712328767E-2</v>
      </c>
      <c r="Y74">
        <v>1.8702400782305319E-2</v>
      </c>
      <c r="Z74" t="s">
        <v>341</v>
      </c>
      <c r="AA74" t="s">
        <v>25</v>
      </c>
      <c r="AC74" t="s">
        <v>22</v>
      </c>
      <c r="AD74" t="s">
        <v>341</v>
      </c>
      <c r="AE74">
        <v>1.948848359824654E-2</v>
      </c>
      <c r="AG74" t="s">
        <v>97</v>
      </c>
      <c r="AH74" t="s">
        <v>341</v>
      </c>
      <c r="AI74">
        <v>0.16891288263482473</v>
      </c>
    </row>
    <row r="75" spans="9:35" x14ac:dyDescent="0.45">
      <c r="I75" t="s">
        <v>252</v>
      </c>
      <c r="J75" t="s">
        <v>366</v>
      </c>
      <c r="K75">
        <v>8.0526567009118599E-4</v>
      </c>
      <c r="L75" t="s">
        <v>254</v>
      </c>
      <c r="N75" t="s">
        <v>422</v>
      </c>
      <c r="O75" t="s">
        <v>366</v>
      </c>
      <c r="P75">
        <v>1.7096764012854013E-2</v>
      </c>
      <c r="Q75" t="s">
        <v>254</v>
      </c>
      <c r="S75" t="s">
        <v>423</v>
      </c>
      <c r="T75" t="s">
        <v>366</v>
      </c>
      <c r="U75">
        <v>1.664887154100559E-2</v>
      </c>
      <c r="V75" t="s">
        <v>254</v>
      </c>
      <c r="X75">
        <v>2.3972602739726026E-2</v>
      </c>
      <c r="Y75">
        <v>9.4672202471222967E-3</v>
      </c>
      <c r="Z75" t="s">
        <v>366</v>
      </c>
      <c r="AA75" t="s">
        <v>25</v>
      </c>
      <c r="AC75" t="s">
        <v>22</v>
      </c>
      <c r="AD75" t="s">
        <v>366</v>
      </c>
      <c r="AE75">
        <v>1.7625283182062423E-2</v>
      </c>
      <c r="AG75" t="s">
        <v>97</v>
      </c>
      <c r="AH75" t="s">
        <v>366</v>
      </c>
      <c r="AI75">
        <v>0.24424060662229929</v>
      </c>
    </row>
    <row r="76" spans="9:35" x14ac:dyDescent="0.45">
      <c r="I76" t="s">
        <v>252</v>
      </c>
      <c r="J76" t="s">
        <v>367</v>
      </c>
      <c r="K76">
        <v>4.0075690738735183E-3</v>
      </c>
      <c r="L76" t="s">
        <v>254</v>
      </c>
      <c r="N76" t="s">
        <v>422</v>
      </c>
      <c r="O76" t="s">
        <v>367</v>
      </c>
      <c r="P76">
        <v>2.1158031843195525E-3</v>
      </c>
      <c r="Q76" t="s">
        <v>254</v>
      </c>
      <c r="S76" t="s">
        <v>423</v>
      </c>
      <c r="T76" t="s">
        <v>367</v>
      </c>
      <c r="U76">
        <v>2.2852739587308278E-3</v>
      </c>
      <c r="V76" t="s">
        <v>254</v>
      </c>
      <c r="X76">
        <v>3.4246575342465752E-3</v>
      </c>
      <c r="Y76">
        <v>5.7181214727892006E-3</v>
      </c>
      <c r="Z76" t="s">
        <v>367</v>
      </c>
      <c r="AA76" t="s">
        <v>25</v>
      </c>
      <c r="AC76" t="s">
        <v>22</v>
      </c>
      <c r="AD76" t="s">
        <v>367</v>
      </c>
      <c r="AE76">
        <v>3.3594759413008257E-3</v>
      </c>
      <c r="AG76" t="s">
        <v>97</v>
      </c>
      <c r="AH76" t="s">
        <v>367</v>
      </c>
      <c r="AI76">
        <v>7.8944791523863689E-2</v>
      </c>
    </row>
    <row r="77" spans="9:35" x14ac:dyDescent="0.45">
      <c r="I77" t="s">
        <v>252</v>
      </c>
      <c r="J77" t="s">
        <v>368</v>
      </c>
      <c r="K77">
        <v>1.4449188514352628E-2</v>
      </c>
      <c r="L77" t="s">
        <v>254</v>
      </c>
      <c r="N77" t="s">
        <v>422</v>
      </c>
      <c r="O77" t="s">
        <v>368</v>
      </c>
      <c r="P77">
        <v>4.3055515398554923E-3</v>
      </c>
      <c r="Q77" t="s">
        <v>254</v>
      </c>
      <c r="S77" t="s">
        <v>423</v>
      </c>
      <c r="T77" t="s">
        <v>368</v>
      </c>
      <c r="U77">
        <v>4.6716751126476327E-3</v>
      </c>
      <c r="V77" t="s">
        <v>254</v>
      </c>
      <c r="X77">
        <v>6.8493150684931503E-3</v>
      </c>
      <c r="Y77">
        <v>8.7114337568058101E-3</v>
      </c>
      <c r="Z77" t="s">
        <v>368</v>
      </c>
      <c r="AA77" t="s">
        <v>25</v>
      </c>
      <c r="AC77" t="s">
        <v>22</v>
      </c>
      <c r="AD77" t="s">
        <v>368</v>
      </c>
      <c r="AE77">
        <v>7.1225379177277592E-3</v>
      </c>
      <c r="AG77" t="s">
        <v>97</v>
      </c>
      <c r="AH77" t="s">
        <v>368</v>
      </c>
      <c r="AI77">
        <v>6.8717630480863434E-2</v>
      </c>
    </row>
    <row r="78" spans="9:35" x14ac:dyDescent="0.45">
      <c r="I78" t="s">
        <v>252</v>
      </c>
      <c r="J78" t="s">
        <v>369</v>
      </c>
      <c r="K78">
        <v>2.67171503487021E-2</v>
      </c>
      <c r="L78" t="s">
        <v>254</v>
      </c>
      <c r="N78" t="s">
        <v>422</v>
      </c>
      <c r="O78" t="s">
        <v>369</v>
      </c>
      <c r="P78">
        <v>6.6333797052340864E-3</v>
      </c>
      <c r="Q78" t="s">
        <v>254</v>
      </c>
      <c r="S78" t="s">
        <v>423</v>
      </c>
      <c r="T78" t="s">
        <v>369</v>
      </c>
      <c r="U78">
        <v>6.8886382415368503E-3</v>
      </c>
      <c r="V78" t="s">
        <v>254</v>
      </c>
      <c r="X78">
        <v>1.0273972602739725E-2</v>
      </c>
      <c r="Y78">
        <v>1.2719091067299805E-2</v>
      </c>
      <c r="Z78" t="s">
        <v>369</v>
      </c>
      <c r="AA78" t="s">
        <v>25</v>
      </c>
      <c r="AC78" t="s">
        <v>22</v>
      </c>
      <c r="AD78" t="s">
        <v>369</v>
      </c>
      <c r="AE78">
        <v>1.0725217986374061E-2</v>
      </c>
      <c r="AG78" t="s">
        <v>97</v>
      </c>
      <c r="AH78" t="s">
        <v>369</v>
      </c>
      <c r="AI78">
        <v>8.9295755531858312E-2</v>
      </c>
    </row>
    <row r="79" spans="9:35" x14ac:dyDescent="0.45">
      <c r="I79" t="s">
        <v>252</v>
      </c>
      <c r="J79" t="s">
        <v>370</v>
      </c>
      <c r="K79">
        <v>8.7396834234005991E-3</v>
      </c>
      <c r="L79" t="s">
        <v>254</v>
      </c>
      <c r="N79" t="s">
        <v>422</v>
      </c>
      <c r="O79" t="s">
        <v>370</v>
      </c>
      <c r="P79">
        <v>2.3229637541508216E-3</v>
      </c>
      <c r="Q79" t="s">
        <v>254</v>
      </c>
      <c r="S79" t="s">
        <v>423</v>
      </c>
      <c r="T79" t="s">
        <v>370</v>
      </c>
      <c r="U79">
        <v>2.338150687510357E-3</v>
      </c>
      <c r="V79" t="s">
        <v>254</v>
      </c>
      <c r="X79">
        <v>3.4246575342465752E-3</v>
      </c>
      <c r="Y79">
        <v>4.4651070283171336E-3</v>
      </c>
      <c r="Z79" t="s">
        <v>370</v>
      </c>
      <c r="AA79" t="s">
        <v>25</v>
      </c>
      <c r="AC79" t="s">
        <v>22</v>
      </c>
      <c r="AD79" t="s">
        <v>370</v>
      </c>
      <c r="AE79">
        <v>3.5472317062688261E-3</v>
      </c>
      <c r="AG79" t="s">
        <v>97</v>
      </c>
      <c r="AH79" t="s">
        <v>370</v>
      </c>
      <c r="AI79">
        <v>9.1477834630433907E-2</v>
      </c>
    </row>
    <row r="80" spans="9:35" x14ac:dyDescent="0.45">
      <c r="I80" t="s">
        <v>252</v>
      </c>
      <c r="J80" t="s">
        <v>371</v>
      </c>
      <c r="K80">
        <v>1.7098369692464598E-2</v>
      </c>
      <c r="L80" t="s">
        <v>254</v>
      </c>
      <c r="N80" t="s">
        <v>422</v>
      </c>
      <c r="O80" t="s">
        <v>371</v>
      </c>
      <c r="P80">
        <v>4.9476803296399372E-3</v>
      </c>
      <c r="Q80" t="s">
        <v>254</v>
      </c>
      <c r="S80" t="s">
        <v>423</v>
      </c>
      <c r="T80" t="s">
        <v>371</v>
      </c>
      <c r="U80">
        <v>4.9821501050586053E-3</v>
      </c>
      <c r="V80" t="s">
        <v>254</v>
      </c>
      <c r="X80">
        <v>6.8493150684931503E-3</v>
      </c>
      <c r="Y80">
        <v>9.6860005469507522E-3</v>
      </c>
      <c r="Z80" t="s">
        <v>371</v>
      </c>
      <c r="AA80" t="s">
        <v>25</v>
      </c>
      <c r="AC80" t="s">
        <v>22</v>
      </c>
      <c r="AD80" t="s">
        <v>371</v>
      </c>
      <c r="AE80">
        <v>7.0387363252247797E-3</v>
      </c>
      <c r="AG80" t="s">
        <v>97</v>
      </c>
      <c r="AH80" t="s">
        <v>371</v>
      </c>
      <c r="AI80">
        <v>8.6148913032019214E-2</v>
      </c>
    </row>
    <row r="81" spans="9:35" x14ac:dyDescent="0.45">
      <c r="I81" t="s">
        <v>252</v>
      </c>
      <c r="J81" t="s">
        <v>372</v>
      </c>
      <c r="K81">
        <v>1.263877862384892E-2</v>
      </c>
      <c r="L81" t="s">
        <v>254</v>
      </c>
      <c r="N81" t="s">
        <v>422</v>
      </c>
      <c r="O81" t="s">
        <v>372</v>
      </c>
      <c r="P81">
        <v>5.1523201053278464E-3</v>
      </c>
      <c r="Q81" t="s">
        <v>254</v>
      </c>
      <c r="S81" t="s">
        <v>423</v>
      </c>
      <c r="T81" t="s">
        <v>372</v>
      </c>
      <c r="U81">
        <v>5.5034674220995321E-3</v>
      </c>
      <c r="V81" t="s">
        <v>254</v>
      </c>
      <c r="X81">
        <v>6.8493150684931503E-3</v>
      </c>
      <c r="Y81">
        <v>1.3325709171369611E-2</v>
      </c>
      <c r="Z81" t="s">
        <v>372</v>
      </c>
      <c r="AA81" t="s">
        <v>25</v>
      </c>
      <c r="AC81" t="s">
        <v>22</v>
      </c>
      <c r="AD81" t="s">
        <v>372</v>
      </c>
      <c r="AE81">
        <v>7.0178345121795173E-3</v>
      </c>
      <c r="AG81" t="s">
        <v>97</v>
      </c>
      <c r="AH81" t="s">
        <v>372</v>
      </c>
      <c r="AI81">
        <v>8.1678272344711811E-2</v>
      </c>
    </row>
    <row r="82" spans="9:35" x14ac:dyDescent="0.45">
      <c r="I82" t="s">
        <v>252</v>
      </c>
      <c r="J82" t="s">
        <v>373</v>
      </c>
      <c r="K82">
        <v>2.9519782437909185E-3</v>
      </c>
      <c r="L82" t="s">
        <v>254</v>
      </c>
      <c r="N82" t="s">
        <v>422</v>
      </c>
      <c r="O82" t="s">
        <v>373</v>
      </c>
      <c r="P82">
        <v>1.606788287019548E-2</v>
      </c>
      <c r="Q82" t="s">
        <v>254</v>
      </c>
      <c r="S82" t="s">
        <v>423</v>
      </c>
      <c r="T82" t="s">
        <v>373</v>
      </c>
      <c r="U82">
        <v>1.6559671137932455E-2</v>
      </c>
      <c r="V82" t="s">
        <v>254</v>
      </c>
      <c r="X82">
        <v>2.0547945205479451E-2</v>
      </c>
      <c r="Y82">
        <v>1.8099097531263209E-2</v>
      </c>
      <c r="Z82" t="s">
        <v>373</v>
      </c>
      <c r="AA82" t="s">
        <v>25</v>
      </c>
      <c r="AC82" t="s">
        <v>22</v>
      </c>
      <c r="AD82" t="s">
        <v>373</v>
      </c>
      <c r="AE82">
        <v>1.8684395284965002E-2</v>
      </c>
      <c r="AG82" t="s">
        <v>97</v>
      </c>
      <c r="AH82" t="s">
        <v>373</v>
      </c>
      <c r="AI82">
        <v>0.16999343647075293</v>
      </c>
    </row>
    <row r="83" spans="9:35" x14ac:dyDescent="0.45">
      <c r="I83" t="s">
        <v>252</v>
      </c>
      <c r="J83" t="s">
        <v>398</v>
      </c>
      <c r="K83">
        <v>3.2958281595258512E-7</v>
      </c>
      <c r="L83" t="s">
        <v>254</v>
      </c>
      <c r="N83" t="s">
        <v>422</v>
      </c>
      <c r="O83" t="s">
        <v>398</v>
      </c>
      <c r="P83">
        <v>3.0734248303117023E-2</v>
      </c>
      <c r="Q83" t="s">
        <v>254</v>
      </c>
      <c r="S83" t="s">
        <v>423</v>
      </c>
      <c r="T83" t="s">
        <v>398</v>
      </c>
      <c r="U83">
        <v>2.86731600145597E-2</v>
      </c>
      <c r="V83" t="s">
        <v>254</v>
      </c>
      <c r="X83">
        <v>2.4771689497716895E-2</v>
      </c>
      <c r="Y83">
        <v>9.7827942553597048E-3</v>
      </c>
      <c r="Z83" t="s">
        <v>398</v>
      </c>
      <c r="AA83" t="s">
        <v>25</v>
      </c>
      <c r="AC83" t="s">
        <v>22</v>
      </c>
      <c r="AD83" t="s">
        <v>398</v>
      </c>
      <c r="AE83">
        <v>1.8463570384942989E-2</v>
      </c>
      <c r="AG83" t="s">
        <v>97</v>
      </c>
      <c r="AH83" t="s">
        <v>398</v>
      </c>
      <c r="AI83">
        <v>0.26158392147292209</v>
      </c>
    </row>
    <row r="84" spans="9:35" x14ac:dyDescent="0.45">
      <c r="I84" t="s">
        <v>252</v>
      </c>
      <c r="J84" t="s">
        <v>399</v>
      </c>
      <c r="K84">
        <v>1.8984719522335222E-3</v>
      </c>
      <c r="L84" t="s">
        <v>254</v>
      </c>
      <c r="N84" t="s">
        <v>422</v>
      </c>
      <c r="O84" t="s">
        <v>399</v>
      </c>
      <c r="P84">
        <v>4.4344888697710307E-3</v>
      </c>
      <c r="Q84" t="s">
        <v>254</v>
      </c>
      <c r="S84" t="s">
        <v>423</v>
      </c>
      <c r="T84" t="s">
        <v>399</v>
      </c>
      <c r="U84">
        <v>4.1685888254161954E-3</v>
      </c>
      <c r="V84" t="s">
        <v>254</v>
      </c>
      <c r="X84">
        <v>3.5388127853881279E-3</v>
      </c>
      <c r="Y84">
        <v>5.9087255218821738E-3</v>
      </c>
      <c r="Z84" t="s">
        <v>399</v>
      </c>
      <c r="AA84" t="s">
        <v>25</v>
      </c>
      <c r="AC84" t="s">
        <v>22</v>
      </c>
      <c r="AD84" t="s">
        <v>399</v>
      </c>
      <c r="AE84">
        <v>3.5211649293716706E-3</v>
      </c>
      <c r="AG84" t="s">
        <v>97</v>
      </c>
      <c r="AH84" t="s">
        <v>399</v>
      </c>
      <c r="AI84">
        <v>7.9840231634114911E-2</v>
      </c>
    </row>
    <row r="85" spans="9:35" x14ac:dyDescent="0.45">
      <c r="I85" t="s">
        <v>252</v>
      </c>
      <c r="J85" t="s">
        <v>400</v>
      </c>
      <c r="K85">
        <v>1.0745151550953907E-2</v>
      </c>
      <c r="L85" t="s">
        <v>254</v>
      </c>
      <c r="N85" t="s">
        <v>422</v>
      </c>
      <c r="O85" t="s">
        <v>400</v>
      </c>
      <c r="P85">
        <v>8.8286100848873218E-3</v>
      </c>
      <c r="Q85" t="s">
        <v>254</v>
      </c>
      <c r="S85" t="s">
        <v>423</v>
      </c>
      <c r="T85" t="s">
        <v>400</v>
      </c>
      <c r="U85">
        <v>8.3054739636949666E-3</v>
      </c>
      <c r="V85" t="s">
        <v>254</v>
      </c>
      <c r="X85">
        <v>7.0776255707762558E-3</v>
      </c>
      <c r="Y85">
        <v>9.0018148820326695E-3</v>
      </c>
      <c r="Z85" t="s">
        <v>400</v>
      </c>
      <c r="AA85" t="s">
        <v>25</v>
      </c>
      <c r="AC85" t="s">
        <v>22</v>
      </c>
      <c r="AD85" t="s">
        <v>400</v>
      </c>
      <c r="AE85">
        <v>7.4816693988852137E-3</v>
      </c>
      <c r="AG85" t="s">
        <v>97</v>
      </c>
      <c r="AH85" t="s">
        <v>400</v>
      </c>
      <c r="AI85">
        <v>6.3218942958019442E-2</v>
      </c>
    </row>
    <row r="86" spans="9:35" x14ac:dyDescent="0.45">
      <c r="I86" t="s">
        <v>252</v>
      </c>
      <c r="J86" t="s">
        <v>401</v>
      </c>
      <c r="K86">
        <v>2.1831181533129931E-2</v>
      </c>
      <c r="L86" t="s">
        <v>254</v>
      </c>
      <c r="N86" t="s">
        <v>422</v>
      </c>
      <c r="O86" t="s">
        <v>401</v>
      </c>
      <c r="P86">
        <v>1.2791133872752417E-2</v>
      </c>
      <c r="Q86" t="s">
        <v>254</v>
      </c>
      <c r="S86" t="s">
        <v>423</v>
      </c>
      <c r="T86" t="s">
        <v>401</v>
      </c>
      <c r="U86">
        <v>1.2222527696226625E-2</v>
      </c>
      <c r="V86" t="s">
        <v>254</v>
      </c>
      <c r="X86">
        <v>1.0616438356164383E-2</v>
      </c>
      <c r="Y86">
        <v>1.3143060769543132E-2</v>
      </c>
      <c r="Z86" t="s">
        <v>401</v>
      </c>
      <c r="AA86" t="s">
        <v>25</v>
      </c>
      <c r="AC86" t="s">
        <v>22</v>
      </c>
      <c r="AD86" t="s">
        <v>401</v>
      </c>
      <c r="AE86">
        <v>1.1209668687197322E-2</v>
      </c>
      <c r="AG86" t="s">
        <v>97</v>
      </c>
      <c r="AH86" t="s">
        <v>401</v>
      </c>
      <c r="AI86">
        <v>6.548258060104617E-2</v>
      </c>
    </row>
    <row r="87" spans="9:35" x14ac:dyDescent="0.45">
      <c r="I87" t="s">
        <v>252</v>
      </c>
      <c r="J87" t="s">
        <v>402</v>
      </c>
      <c r="K87">
        <v>7.2855052323544658E-3</v>
      </c>
      <c r="L87" t="s">
        <v>254</v>
      </c>
      <c r="N87" t="s">
        <v>422</v>
      </c>
      <c r="O87" t="s">
        <v>402</v>
      </c>
      <c r="P87">
        <v>4.2589329846080748E-3</v>
      </c>
      <c r="Q87" t="s">
        <v>254</v>
      </c>
      <c r="S87" t="s">
        <v>423</v>
      </c>
      <c r="T87" t="s">
        <v>402</v>
      </c>
      <c r="U87">
        <v>4.1079596745851685E-3</v>
      </c>
      <c r="V87" t="s">
        <v>254</v>
      </c>
      <c r="X87">
        <v>3.5388127853881279E-3</v>
      </c>
      <c r="Y87">
        <v>4.6139439292610376E-3</v>
      </c>
      <c r="Z87" t="s">
        <v>402</v>
      </c>
      <c r="AA87" t="s">
        <v>25</v>
      </c>
      <c r="AC87" t="s">
        <v>22</v>
      </c>
      <c r="AD87" t="s">
        <v>402</v>
      </c>
      <c r="AE87">
        <v>3.700172822743408E-3</v>
      </c>
      <c r="AG87" t="s">
        <v>97</v>
      </c>
      <c r="AH87" t="s">
        <v>402</v>
      </c>
      <c r="AI87">
        <v>6.666821648959953E-2</v>
      </c>
    </row>
    <row r="88" spans="9:35" x14ac:dyDescent="0.45">
      <c r="I88" t="s">
        <v>252</v>
      </c>
      <c r="J88" t="s">
        <v>403</v>
      </c>
      <c r="K88">
        <v>1.3557370213634876E-2</v>
      </c>
      <c r="L88" t="s">
        <v>254</v>
      </c>
      <c r="N88" t="s">
        <v>422</v>
      </c>
      <c r="O88" t="s">
        <v>403</v>
      </c>
      <c r="P88">
        <v>8.3809070398184055E-3</v>
      </c>
      <c r="Q88" t="s">
        <v>254</v>
      </c>
      <c r="S88" t="s">
        <v>423</v>
      </c>
      <c r="T88" t="s">
        <v>403</v>
      </c>
      <c r="U88">
        <v>8.2800663842089815E-3</v>
      </c>
      <c r="V88" t="s">
        <v>254</v>
      </c>
      <c r="X88">
        <v>7.0776255707762558E-3</v>
      </c>
      <c r="Y88">
        <v>1.0008867231849112E-2</v>
      </c>
      <c r="Z88" t="s">
        <v>403</v>
      </c>
      <c r="AA88" t="s">
        <v>25</v>
      </c>
      <c r="AC88" t="s">
        <v>22</v>
      </c>
      <c r="AD88" t="s">
        <v>403</v>
      </c>
      <c r="AE88">
        <v>7.3484184228895383E-3</v>
      </c>
      <c r="AG88" t="s">
        <v>97</v>
      </c>
      <c r="AH88" t="s">
        <v>403</v>
      </c>
      <c r="AI88">
        <v>7.0312583174223064E-2</v>
      </c>
    </row>
    <row r="89" spans="9:35" x14ac:dyDescent="0.45">
      <c r="I89" t="s">
        <v>252</v>
      </c>
      <c r="J89" t="s">
        <v>404</v>
      </c>
      <c r="K89">
        <v>7.4400963199842329E-3</v>
      </c>
      <c r="L89" t="s">
        <v>254</v>
      </c>
      <c r="N89" t="s">
        <v>422</v>
      </c>
      <c r="O89" t="s">
        <v>404</v>
      </c>
      <c r="P89">
        <v>8.0235516971465456E-3</v>
      </c>
      <c r="Q89" t="s">
        <v>254</v>
      </c>
      <c r="S89" t="s">
        <v>423</v>
      </c>
      <c r="T89" t="s">
        <v>404</v>
      </c>
      <c r="U89">
        <v>8.3079167827620551E-3</v>
      </c>
      <c r="V89" t="s">
        <v>254</v>
      </c>
      <c r="X89">
        <v>7.0776255707762558E-3</v>
      </c>
      <c r="Y89">
        <v>1.376989947708193E-2</v>
      </c>
      <c r="Z89" t="s">
        <v>404</v>
      </c>
      <c r="AA89" t="s">
        <v>25</v>
      </c>
      <c r="AC89" t="s">
        <v>22</v>
      </c>
      <c r="AD89" t="s">
        <v>404</v>
      </c>
      <c r="AE89">
        <v>7.355013208287596E-3</v>
      </c>
      <c r="AG89" t="s">
        <v>97</v>
      </c>
      <c r="AH89" t="s">
        <v>404</v>
      </c>
      <c r="AI89">
        <v>7.3698867732210349E-2</v>
      </c>
    </row>
    <row r="90" spans="9:35" x14ac:dyDescent="0.45">
      <c r="I90" t="s">
        <v>252</v>
      </c>
      <c r="J90" t="s">
        <v>405</v>
      </c>
      <c r="K90">
        <v>2.0476372471086324E-5</v>
      </c>
      <c r="L90" t="s">
        <v>254</v>
      </c>
      <c r="N90" t="s">
        <v>422</v>
      </c>
      <c r="O90" t="s">
        <v>405</v>
      </c>
      <c r="P90">
        <v>2.5153016257585408E-2</v>
      </c>
      <c r="Q90" t="s">
        <v>254</v>
      </c>
      <c r="S90" t="s">
        <v>423</v>
      </c>
      <c r="T90" t="s">
        <v>405</v>
      </c>
      <c r="U90">
        <v>2.471905350643714E-2</v>
      </c>
      <c r="V90" t="s">
        <v>254</v>
      </c>
      <c r="X90">
        <v>2.1232876712328767E-2</v>
      </c>
      <c r="Y90">
        <v>1.8702400782305319E-2</v>
      </c>
      <c r="Z90" t="s">
        <v>405</v>
      </c>
      <c r="AA90" t="s">
        <v>25</v>
      </c>
      <c r="AC90" t="s">
        <v>22</v>
      </c>
      <c r="AD90" t="s">
        <v>405</v>
      </c>
      <c r="AE90">
        <v>1.9619793437954926E-2</v>
      </c>
      <c r="AG90" t="s">
        <v>97</v>
      </c>
      <c r="AH90" t="s">
        <v>405</v>
      </c>
      <c r="AI90">
        <v>0.1673241681685036</v>
      </c>
    </row>
    <row r="91" spans="9:35" x14ac:dyDescent="0.45">
      <c r="I91" t="s">
        <v>252</v>
      </c>
      <c r="J91" t="s">
        <v>406</v>
      </c>
      <c r="K91">
        <v>0</v>
      </c>
      <c r="L91" t="s">
        <v>254</v>
      </c>
      <c r="N91" t="s">
        <v>422</v>
      </c>
      <c r="O91" t="s">
        <v>406</v>
      </c>
      <c r="P91">
        <v>2.931101114839732E-2</v>
      </c>
      <c r="Q91" t="s">
        <v>254</v>
      </c>
      <c r="S91" t="s">
        <v>423</v>
      </c>
      <c r="T91" t="s">
        <v>406</v>
      </c>
      <c r="U91">
        <v>2.7847033930216165E-2</v>
      </c>
      <c r="V91" t="s">
        <v>254</v>
      </c>
      <c r="X91">
        <v>2.3972602739726026E-2</v>
      </c>
      <c r="Y91">
        <v>9.4672202471222967E-3</v>
      </c>
      <c r="Z91" t="s">
        <v>406</v>
      </c>
      <c r="AA91" t="s">
        <v>25</v>
      </c>
      <c r="AC91" t="s">
        <v>22</v>
      </c>
      <c r="AD91" t="s">
        <v>406</v>
      </c>
      <c r="AE91">
        <v>2.0052436889231126E-2</v>
      </c>
      <c r="AG91" t="s">
        <v>97</v>
      </c>
      <c r="AH91" t="s">
        <v>406</v>
      </c>
      <c r="AI91">
        <v>0.29993685127360115</v>
      </c>
    </row>
    <row r="92" spans="9:35" x14ac:dyDescent="0.45">
      <c r="I92" t="s">
        <v>252</v>
      </c>
      <c r="J92" t="s">
        <v>407</v>
      </c>
      <c r="K92">
        <v>6.9595661734516304E-5</v>
      </c>
      <c r="L92" t="s">
        <v>254</v>
      </c>
      <c r="N92" t="s">
        <v>422</v>
      </c>
      <c r="O92" t="s">
        <v>407</v>
      </c>
      <c r="P92">
        <v>4.1448967536828552E-3</v>
      </c>
      <c r="Q92" t="s">
        <v>254</v>
      </c>
      <c r="S92" t="s">
        <v>423</v>
      </c>
      <c r="T92" t="s">
        <v>407</v>
      </c>
      <c r="U92">
        <v>3.9352607163494809E-3</v>
      </c>
      <c r="V92" t="s">
        <v>254</v>
      </c>
      <c r="X92">
        <v>3.4246575342465752E-3</v>
      </c>
      <c r="Y92">
        <v>5.7181214727892006E-3</v>
      </c>
      <c r="Z92" t="s">
        <v>407</v>
      </c>
      <c r="AA92" t="s">
        <v>25</v>
      </c>
      <c r="AC92" t="s">
        <v>22</v>
      </c>
      <c r="AD92" t="s">
        <v>407</v>
      </c>
      <c r="AE92">
        <v>3.9165735287244154E-3</v>
      </c>
      <c r="AG92" t="s">
        <v>97</v>
      </c>
      <c r="AH92" t="s">
        <v>407</v>
      </c>
      <c r="AI92">
        <v>9.6641572988210633E-2</v>
      </c>
    </row>
    <row r="93" spans="9:35" x14ac:dyDescent="0.45">
      <c r="I93" t="s">
        <v>252</v>
      </c>
      <c r="J93" t="s">
        <v>408</v>
      </c>
      <c r="K93">
        <v>6.1529025516527565E-3</v>
      </c>
      <c r="L93" t="s">
        <v>254</v>
      </c>
      <c r="N93" t="s">
        <v>422</v>
      </c>
      <c r="O93" t="s">
        <v>408</v>
      </c>
      <c r="P93">
        <v>8.1377139366058445E-3</v>
      </c>
      <c r="Q93" t="s">
        <v>254</v>
      </c>
      <c r="S93" t="s">
        <v>423</v>
      </c>
      <c r="T93" t="s">
        <v>408</v>
      </c>
      <c r="U93">
        <v>7.8562759010133449E-3</v>
      </c>
      <c r="V93" t="s">
        <v>254</v>
      </c>
      <c r="X93">
        <v>6.8493150684931503E-3</v>
      </c>
      <c r="Y93">
        <v>8.7114337568058101E-3</v>
      </c>
      <c r="Z93" t="s">
        <v>408</v>
      </c>
      <c r="AA93" t="s">
        <v>25</v>
      </c>
      <c r="AC93" t="s">
        <v>22</v>
      </c>
      <c r="AD93" t="s">
        <v>408</v>
      </c>
      <c r="AE93">
        <v>8.1700769192631136E-3</v>
      </c>
      <c r="AG93" t="s">
        <v>97</v>
      </c>
      <c r="AH93" t="s">
        <v>408</v>
      </c>
      <c r="AI93">
        <v>8.8318365814044064E-2</v>
      </c>
    </row>
    <row r="94" spans="9:35" x14ac:dyDescent="0.45">
      <c r="I94" t="s">
        <v>252</v>
      </c>
      <c r="J94" t="s">
        <v>409</v>
      </c>
      <c r="K94">
        <v>1.4808228014460098E-2</v>
      </c>
      <c r="L94" t="s">
        <v>254</v>
      </c>
      <c r="N94" t="s">
        <v>422</v>
      </c>
      <c r="O94" t="s">
        <v>409</v>
      </c>
      <c r="P94">
        <v>1.2782462221910021E-2</v>
      </c>
      <c r="Q94" t="s">
        <v>254</v>
      </c>
      <c r="S94" t="s">
        <v>423</v>
      </c>
      <c r="T94" t="s">
        <v>409</v>
      </c>
      <c r="U94">
        <v>1.1336376707505036E-2</v>
      </c>
      <c r="V94" t="s">
        <v>254</v>
      </c>
      <c r="X94">
        <v>1.0273972602739725E-2</v>
      </c>
      <c r="Y94">
        <v>1.2719091067299805E-2</v>
      </c>
      <c r="Z94" t="s">
        <v>409</v>
      </c>
      <c r="AA94" t="s">
        <v>25</v>
      </c>
      <c r="AC94" t="s">
        <v>22</v>
      </c>
      <c r="AD94" t="s">
        <v>409</v>
      </c>
      <c r="AE94">
        <v>1.2282637548432982E-2</v>
      </c>
      <c r="AG94" t="s">
        <v>97</v>
      </c>
      <c r="AH94" t="s">
        <v>409</v>
      </c>
      <c r="AI94">
        <v>8.524347860116066E-2</v>
      </c>
    </row>
    <row r="95" spans="9:35" x14ac:dyDescent="0.45">
      <c r="I95" t="s">
        <v>252</v>
      </c>
      <c r="J95" t="s">
        <v>410</v>
      </c>
      <c r="K95">
        <v>5.2665416862010123E-3</v>
      </c>
      <c r="L95" t="s">
        <v>254</v>
      </c>
      <c r="N95" t="s">
        <v>422</v>
      </c>
      <c r="O95" t="s">
        <v>410</v>
      </c>
      <c r="P95">
        <v>4.4544946420195762E-3</v>
      </c>
      <c r="Q95" t="s">
        <v>254</v>
      </c>
      <c r="S95" t="s">
        <v>423</v>
      </c>
      <c r="T95" t="s">
        <v>410</v>
      </c>
      <c r="U95">
        <v>3.666573427115692E-3</v>
      </c>
      <c r="V95" t="s">
        <v>254</v>
      </c>
      <c r="X95">
        <v>3.4246575342465752E-3</v>
      </c>
      <c r="Y95">
        <v>4.4651070283171336E-3</v>
      </c>
      <c r="Z95" t="s">
        <v>410</v>
      </c>
      <c r="AA95" t="s">
        <v>25</v>
      </c>
      <c r="AC95" t="s">
        <v>22</v>
      </c>
      <c r="AD95" t="s">
        <v>410</v>
      </c>
      <c r="AE95">
        <v>4.0651825043714063E-3</v>
      </c>
      <c r="AG95" t="s">
        <v>97</v>
      </c>
      <c r="AH95" t="s">
        <v>410</v>
      </c>
      <c r="AI95">
        <v>8.3883454206900465E-2</v>
      </c>
    </row>
    <row r="96" spans="9:35" x14ac:dyDescent="0.45">
      <c r="I96" t="s">
        <v>252</v>
      </c>
      <c r="J96" t="s">
        <v>411</v>
      </c>
      <c r="K96">
        <v>9.6719817741024918E-3</v>
      </c>
      <c r="L96" t="s">
        <v>254</v>
      </c>
      <c r="N96" t="s">
        <v>422</v>
      </c>
      <c r="O96" t="s">
        <v>411</v>
      </c>
      <c r="P96">
        <v>8.8934972559307334E-3</v>
      </c>
      <c r="Q96" t="s">
        <v>254</v>
      </c>
      <c r="S96" t="s">
        <v>423</v>
      </c>
      <c r="T96" t="s">
        <v>411</v>
      </c>
      <c r="U96">
        <v>7.4513489315056712E-3</v>
      </c>
      <c r="V96" t="s">
        <v>254</v>
      </c>
      <c r="X96">
        <v>6.8493150684931503E-3</v>
      </c>
      <c r="Y96">
        <v>9.6860005469507522E-3</v>
      </c>
      <c r="Z96" t="s">
        <v>411</v>
      </c>
      <c r="AA96" t="s">
        <v>25</v>
      </c>
      <c r="AC96" t="s">
        <v>22</v>
      </c>
      <c r="AD96" t="s">
        <v>411</v>
      </c>
      <c r="AE96">
        <v>8.1181445824468363E-3</v>
      </c>
      <c r="AG96" t="s">
        <v>97</v>
      </c>
      <c r="AH96" t="s">
        <v>411</v>
      </c>
      <c r="AI96">
        <v>9.0322808135314681E-2</v>
      </c>
    </row>
    <row r="97" spans="9:35" x14ac:dyDescent="0.45">
      <c r="I97" t="s">
        <v>252</v>
      </c>
      <c r="J97" t="s">
        <v>412</v>
      </c>
      <c r="K97">
        <v>3.0328701328589868E-3</v>
      </c>
      <c r="L97" t="s">
        <v>254</v>
      </c>
      <c r="N97" t="s">
        <v>422</v>
      </c>
      <c r="O97" t="s">
        <v>412</v>
      </c>
      <c r="P97">
        <v>8.9269866837705641E-3</v>
      </c>
      <c r="Q97" t="s">
        <v>254</v>
      </c>
      <c r="S97" t="s">
        <v>423</v>
      </c>
      <c r="T97" t="s">
        <v>412</v>
      </c>
      <c r="U97">
        <v>7.6402466940948379E-3</v>
      </c>
      <c r="V97" t="s">
        <v>254</v>
      </c>
      <c r="X97">
        <v>6.8493150684931503E-3</v>
      </c>
      <c r="Y97">
        <v>1.3325709171369611E-2</v>
      </c>
      <c r="Z97" t="s">
        <v>412</v>
      </c>
      <c r="AA97" t="s">
        <v>25</v>
      </c>
      <c r="AC97" t="s">
        <v>22</v>
      </c>
      <c r="AD97" t="s">
        <v>412</v>
      </c>
      <c r="AE97">
        <v>8.2616291106577238E-3</v>
      </c>
      <c r="AG97" t="s">
        <v>97</v>
      </c>
      <c r="AH97" t="s">
        <v>412</v>
      </c>
      <c r="AI97">
        <v>8.4411488885055563E-2</v>
      </c>
    </row>
    <row r="98" spans="9:35" x14ac:dyDescent="0.45">
      <c r="I98" t="s">
        <v>252</v>
      </c>
      <c r="J98" t="s">
        <v>413</v>
      </c>
      <c r="K98">
        <v>0</v>
      </c>
      <c r="L98" t="s">
        <v>254</v>
      </c>
      <c r="N98" t="s">
        <v>422</v>
      </c>
      <c r="O98" t="s">
        <v>413</v>
      </c>
      <c r="P98">
        <v>2.5727119340730506E-2</v>
      </c>
      <c r="Q98" t="s">
        <v>254</v>
      </c>
      <c r="S98" t="s">
        <v>423</v>
      </c>
      <c r="T98" t="s">
        <v>413</v>
      </c>
      <c r="U98">
        <v>2.3947295215002884E-2</v>
      </c>
      <c r="V98" t="s">
        <v>254</v>
      </c>
      <c r="X98">
        <v>2.0547945205479451E-2</v>
      </c>
      <c r="Y98">
        <v>1.8099097531263209E-2</v>
      </c>
      <c r="Z98" t="s">
        <v>413</v>
      </c>
      <c r="AA98" t="s">
        <v>25</v>
      </c>
      <c r="AC98" t="s">
        <v>22</v>
      </c>
      <c r="AD98" t="s">
        <v>413</v>
      </c>
      <c r="AE98">
        <v>2.1459757666207505E-2</v>
      </c>
      <c r="AG98" t="s">
        <v>97</v>
      </c>
      <c r="AH98" t="s">
        <v>413</v>
      </c>
      <c r="AI98">
        <v>0.20586110636602517</v>
      </c>
    </row>
    <row r="99" spans="9:35" x14ac:dyDescent="0.45">
      <c r="I99" t="s">
        <v>252</v>
      </c>
      <c r="J99" t="s">
        <v>414</v>
      </c>
      <c r="K99">
        <v>0</v>
      </c>
      <c r="L99" t="s">
        <v>254</v>
      </c>
      <c r="N99" t="s">
        <v>422</v>
      </c>
      <c r="O99" t="s">
        <v>414</v>
      </c>
      <c r="P99">
        <v>3.1146804888227204E-2</v>
      </c>
      <c r="Q99" t="s">
        <v>254</v>
      </c>
      <c r="S99" t="s">
        <v>423</v>
      </c>
      <c r="T99" t="s">
        <v>414</v>
      </c>
      <c r="U99">
        <v>2.8793009642577382E-2</v>
      </c>
      <c r="V99" t="s">
        <v>254</v>
      </c>
      <c r="X99">
        <v>2.4771689497716895E-2</v>
      </c>
      <c r="Y99">
        <v>9.7827942553597048E-3</v>
      </c>
      <c r="Z99" t="s">
        <v>414</v>
      </c>
      <c r="AA99" t="s">
        <v>25</v>
      </c>
      <c r="AC99" t="s">
        <v>22</v>
      </c>
      <c r="AD99" t="s">
        <v>414</v>
      </c>
      <c r="AE99">
        <v>2.1425280402942632E-2</v>
      </c>
      <c r="AG99" t="s">
        <v>97</v>
      </c>
      <c r="AH99" t="s">
        <v>414</v>
      </c>
      <c r="AI99">
        <v>0.2947027221455345</v>
      </c>
    </row>
    <row r="100" spans="9:35" x14ac:dyDescent="0.45">
      <c r="I100" t="s">
        <v>252</v>
      </c>
      <c r="J100" t="s">
        <v>415</v>
      </c>
      <c r="K100">
        <v>0</v>
      </c>
      <c r="L100" t="s">
        <v>254</v>
      </c>
      <c r="N100" t="s">
        <v>422</v>
      </c>
      <c r="O100" t="s">
        <v>415</v>
      </c>
      <c r="P100">
        <v>4.31761190741473E-3</v>
      </c>
      <c r="Q100" t="s">
        <v>254</v>
      </c>
      <c r="S100" t="s">
        <v>423</v>
      </c>
      <c r="T100" t="s">
        <v>415</v>
      </c>
      <c r="U100">
        <v>4.1199438315051417E-3</v>
      </c>
      <c r="V100" t="s">
        <v>254</v>
      </c>
      <c r="X100">
        <v>3.5388127853881279E-3</v>
      </c>
      <c r="Y100">
        <v>5.9087255218821738E-3</v>
      </c>
      <c r="Z100" t="s">
        <v>415</v>
      </c>
      <c r="AA100" t="s">
        <v>25</v>
      </c>
      <c r="AC100" t="s">
        <v>22</v>
      </c>
      <c r="AD100" t="s">
        <v>415</v>
      </c>
      <c r="AE100">
        <v>4.1125234349494791E-3</v>
      </c>
      <c r="AG100" t="s">
        <v>97</v>
      </c>
      <c r="AH100" t="s">
        <v>415</v>
      </c>
      <c r="AI100">
        <v>8.4630227908339517E-2</v>
      </c>
    </row>
    <row r="101" spans="9:35" x14ac:dyDescent="0.45">
      <c r="I101" t="s">
        <v>252</v>
      </c>
      <c r="J101" t="s">
        <v>416</v>
      </c>
      <c r="K101">
        <v>6.4038723485293526E-3</v>
      </c>
      <c r="L101" t="s">
        <v>254</v>
      </c>
      <c r="N101" t="s">
        <v>422</v>
      </c>
      <c r="O101" t="s">
        <v>416</v>
      </c>
      <c r="P101">
        <v>8.5232327838381788E-3</v>
      </c>
      <c r="Q101" t="s">
        <v>254</v>
      </c>
      <c r="S101" t="s">
        <v>423</v>
      </c>
      <c r="T101" t="s">
        <v>416</v>
      </c>
      <c r="U101">
        <v>8.239040986961408E-3</v>
      </c>
      <c r="V101" t="s">
        <v>254</v>
      </c>
      <c r="X101">
        <v>7.0776255707762558E-3</v>
      </c>
      <c r="Y101">
        <v>9.0018148820326695E-3</v>
      </c>
      <c r="Z101" t="s">
        <v>416</v>
      </c>
      <c r="AA101" t="s">
        <v>25</v>
      </c>
      <c r="AC101" t="s">
        <v>22</v>
      </c>
      <c r="AD101" t="s">
        <v>416</v>
      </c>
      <c r="AE101">
        <v>8.5682569926429156E-3</v>
      </c>
      <c r="AG101" t="s">
        <v>97</v>
      </c>
      <c r="AH101" t="s">
        <v>416</v>
      </c>
      <c r="AI101">
        <v>7.9188707784562995E-2</v>
      </c>
    </row>
    <row r="102" spans="9:35" x14ac:dyDescent="0.45">
      <c r="I102" t="s">
        <v>252</v>
      </c>
      <c r="J102" t="s">
        <v>417</v>
      </c>
      <c r="K102">
        <v>1.8568084035886397E-2</v>
      </c>
      <c r="L102" t="s">
        <v>254</v>
      </c>
      <c r="N102" t="s">
        <v>422</v>
      </c>
      <c r="O102" t="s">
        <v>417</v>
      </c>
      <c r="P102">
        <v>1.243096882230536E-2</v>
      </c>
      <c r="Q102" t="s">
        <v>254</v>
      </c>
      <c r="S102" t="s">
        <v>423</v>
      </c>
      <c r="T102" t="s">
        <v>417</v>
      </c>
      <c r="U102">
        <v>1.207865958376843E-2</v>
      </c>
      <c r="V102" t="s">
        <v>254</v>
      </c>
      <c r="X102">
        <v>1.0616438356164383E-2</v>
      </c>
      <c r="Y102">
        <v>1.3143060769543132E-2</v>
      </c>
      <c r="Z102" t="s">
        <v>417</v>
      </c>
      <c r="AA102" t="s">
        <v>25</v>
      </c>
      <c r="AC102" t="s">
        <v>22</v>
      </c>
      <c r="AD102" t="s">
        <v>417</v>
      </c>
      <c r="AE102">
        <v>1.2785028667649806E-2</v>
      </c>
      <c r="AG102" t="s">
        <v>97</v>
      </c>
      <c r="AH102" t="s">
        <v>417</v>
      </c>
      <c r="AI102">
        <v>8.0668699840730218E-2</v>
      </c>
    </row>
    <row r="103" spans="9:35" x14ac:dyDescent="0.45">
      <c r="I103" t="s">
        <v>252</v>
      </c>
      <c r="J103" t="s">
        <v>418</v>
      </c>
      <c r="K103">
        <v>6.5515329450327254E-3</v>
      </c>
      <c r="L103" t="s">
        <v>254</v>
      </c>
      <c r="N103" t="s">
        <v>422</v>
      </c>
      <c r="O103" t="s">
        <v>418</v>
      </c>
      <c r="P103">
        <v>4.1898215208638848E-3</v>
      </c>
      <c r="Q103" t="s">
        <v>254</v>
      </c>
      <c r="S103" t="s">
        <v>423</v>
      </c>
      <c r="T103" t="s">
        <v>418</v>
      </c>
      <c r="U103">
        <v>3.9982360424480265E-3</v>
      </c>
      <c r="V103" t="s">
        <v>254</v>
      </c>
      <c r="X103">
        <v>3.5388127853881279E-3</v>
      </c>
      <c r="Y103">
        <v>4.6139439292610376E-3</v>
      </c>
      <c r="Z103" t="s">
        <v>418</v>
      </c>
      <c r="AA103" t="s">
        <v>25</v>
      </c>
      <c r="AC103" t="s">
        <v>22</v>
      </c>
      <c r="AD103" t="s">
        <v>418</v>
      </c>
      <c r="AE103">
        <v>4.2043748081554795E-3</v>
      </c>
      <c r="AG103" t="s">
        <v>97</v>
      </c>
      <c r="AH103" t="s">
        <v>418</v>
      </c>
      <c r="AI103">
        <v>7.6650597053711245E-2</v>
      </c>
    </row>
    <row r="104" spans="9:35" x14ac:dyDescent="0.45">
      <c r="I104" t="s">
        <v>252</v>
      </c>
      <c r="J104" t="s">
        <v>419</v>
      </c>
      <c r="K104">
        <v>1.3234551289396075E-2</v>
      </c>
      <c r="L104" t="s">
        <v>254</v>
      </c>
      <c r="N104" t="s">
        <v>422</v>
      </c>
      <c r="O104" t="s">
        <v>419</v>
      </c>
      <c r="P104">
        <v>8.4239938906834257E-3</v>
      </c>
      <c r="Q104" t="s">
        <v>254</v>
      </c>
      <c r="S104" t="s">
        <v>423</v>
      </c>
      <c r="T104" t="s">
        <v>419</v>
      </c>
      <c r="U104">
        <v>8.1432231404651167E-3</v>
      </c>
      <c r="V104" t="s">
        <v>254</v>
      </c>
      <c r="X104">
        <v>7.0776255707762558E-3</v>
      </c>
      <c r="Y104">
        <v>1.0008867231849112E-2</v>
      </c>
      <c r="Z104" t="s">
        <v>419</v>
      </c>
      <c r="AA104" t="s">
        <v>25</v>
      </c>
      <c r="AC104" t="s">
        <v>22</v>
      </c>
      <c r="AD104" t="s">
        <v>419</v>
      </c>
      <c r="AE104">
        <v>8.4036328402033542E-3</v>
      </c>
      <c r="AG104" t="s">
        <v>97</v>
      </c>
      <c r="AH104" t="s">
        <v>419</v>
      </c>
      <c r="AI104">
        <v>7.9590932437562545E-2</v>
      </c>
    </row>
    <row r="105" spans="9:35" x14ac:dyDescent="0.45">
      <c r="I105" t="s">
        <v>252</v>
      </c>
      <c r="J105" t="s">
        <v>420</v>
      </c>
      <c r="K105">
        <v>3.9746287768223278E-3</v>
      </c>
      <c r="L105" t="s">
        <v>254</v>
      </c>
      <c r="N105" t="s">
        <v>422</v>
      </c>
      <c r="O105" t="s">
        <v>420</v>
      </c>
      <c r="P105">
        <v>8.7486588963055899E-3</v>
      </c>
      <c r="Q105" t="s">
        <v>254</v>
      </c>
      <c r="S105" t="s">
        <v>423</v>
      </c>
      <c r="T105" t="s">
        <v>420</v>
      </c>
      <c r="U105">
        <v>8.3249273270211421E-3</v>
      </c>
      <c r="V105" t="s">
        <v>254</v>
      </c>
      <c r="X105">
        <v>7.0776255707762558E-3</v>
      </c>
      <c r="Y105">
        <v>1.376989947708193E-2</v>
      </c>
      <c r="Z105" t="s">
        <v>420</v>
      </c>
      <c r="AA105" t="s">
        <v>25</v>
      </c>
      <c r="AC105" t="s">
        <v>22</v>
      </c>
      <c r="AD105" t="s">
        <v>420</v>
      </c>
      <c r="AE105">
        <v>8.6302720122139603E-3</v>
      </c>
      <c r="AG105" t="s">
        <v>97</v>
      </c>
      <c r="AH105" t="s">
        <v>420</v>
      </c>
      <c r="AI105">
        <v>7.2305314486669214E-2</v>
      </c>
    </row>
    <row r="106" spans="9:35" x14ac:dyDescent="0.45">
      <c r="I106" t="s">
        <v>252</v>
      </c>
      <c r="J106" t="s">
        <v>421</v>
      </c>
      <c r="K106">
        <v>0</v>
      </c>
      <c r="L106" t="s">
        <v>254</v>
      </c>
      <c r="N106" t="s">
        <v>422</v>
      </c>
      <c r="O106" t="s">
        <v>421</v>
      </c>
      <c r="P106">
        <v>2.8229797330429289E-2</v>
      </c>
      <c r="Q106" t="s">
        <v>254</v>
      </c>
      <c r="S106" t="s">
        <v>423</v>
      </c>
      <c r="T106" t="s">
        <v>421</v>
      </c>
      <c r="U106">
        <v>2.4994685761360526E-2</v>
      </c>
      <c r="V106" t="s">
        <v>254</v>
      </c>
      <c r="X106">
        <v>2.1232876712328767E-2</v>
      </c>
      <c r="Y106">
        <v>1.8702400782305319E-2</v>
      </c>
      <c r="Z106" t="s">
        <v>421</v>
      </c>
      <c r="AA106" t="s">
        <v>25</v>
      </c>
      <c r="AC106" t="s">
        <v>22</v>
      </c>
      <c r="AD106" t="s">
        <v>421</v>
      </c>
      <c r="AE106">
        <v>2.2314284150476777E-2</v>
      </c>
      <c r="AG106" t="s">
        <v>97</v>
      </c>
      <c r="AH106" t="s">
        <v>421</v>
      </c>
      <c r="AI106">
        <v>0.19559280053890871</v>
      </c>
    </row>
    <row r="107" spans="9:35" x14ac:dyDescent="0.45">
      <c r="AC107" t="s">
        <v>19</v>
      </c>
      <c r="AD107" t="s">
        <v>253</v>
      </c>
      <c r="AE107">
        <v>2.4395598085002249E-2</v>
      </c>
    </row>
    <row r="108" spans="9:35" x14ac:dyDescent="0.45">
      <c r="AC108" t="s">
        <v>19</v>
      </c>
      <c r="AD108" t="s">
        <v>255</v>
      </c>
      <c r="AE108">
        <v>3.5730378736559833E-3</v>
      </c>
    </row>
    <row r="109" spans="9:35" x14ac:dyDescent="0.45">
      <c r="AC109" t="s">
        <v>19</v>
      </c>
      <c r="AD109" t="s">
        <v>256</v>
      </c>
      <c r="AE109">
        <v>7.1637458762023425E-3</v>
      </c>
    </row>
    <row r="110" spans="9:35" x14ac:dyDescent="0.45">
      <c r="AC110" t="s">
        <v>19</v>
      </c>
      <c r="AD110" t="s">
        <v>257</v>
      </c>
      <c r="AE110">
        <v>1.0750604014200957E-2</v>
      </c>
    </row>
    <row r="111" spans="9:35" x14ac:dyDescent="0.45">
      <c r="AC111" t="s">
        <v>19</v>
      </c>
      <c r="AD111" t="s">
        <v>258</v>
      </c>
      <c r="AE111">
        <v>3.5820028502134417E-3</v>
      </c>
    </row>
    <row r="112" spans="9:35" x14ac:dyDescent="0.45">
      <c r="AC112" t="s">
        <v>19</v>
      </c>
      <c r="AD112" t="s">
        <v>259</v>
      </c>
      <c r="AE112">
        <v>7.1643928820462645E-3</v>
      </c>
    </row>
    <row r="113" spans="29:31" x14ac:dyDescent="0.45">
      <c r="AC113" t="s">
        <v>19</v>
      </c>
      <c r="AD113" t="s">
        <v>260</v>
      </c>
      <c r="AE113">
        <v>7.1721762544827974E-3</v>
      </c>
    </row>
    <row r="114" spans="29:31" x14ac:dyDescent="0.45">
      <c r="AC114" t="s">
        <v>19</v>
      </c>
      <c r="AD114" t="s">
        <v>261</v>
      </c>
      <c r="AE114">
        <v>2.1209885462618431E-2</v>
      </c>
    </row>
    <row r="115" spans="29:31" x14ac:dyDescent="0.45">
      <c r="AC115" t="s">
        <v>19</v>
      </c>
      <c r="AD115" t="s">
        <v>286</v>
      </c>
      <c r="AE115">
        <v>2.2061060703644643E-2</v>
      </c>
    </row>
    <row r="116" spans="29:31" x14ac:dyDescent="0.45">
      <c r="AC116" t="s">
        <v>19</v>
      </c>
      <c r="AD116" t="s">
        <v>287</v>
      </c>
      <c r="AE116">
        <v>3.2296815430522137E-3</v>
      </c>
    </row>
    <row r="117" spans="29:31" x14ac:dyDescent="0.45">
      <c r="AC117" t="s">
        <v>19</v>
      </c>
      <c r="AD117" t="s">
        <v>288</v>
      </c>
      <c r="AE117">
        <v>6.4722697077987824E-3</v>
      </c>
    </row>
    <row r="118" spans="29:31" x14ac:dyDescent="0.45">
      <c r="AC118" t="s">
        <v>19</v>
      </c>
      <c r="AD118" t="s">
        <v>289</v>
      </c>
      <c r="AE118">
        <v>9.7050672491622025E-3</v>
      </c>
    </row>
    <row r="119" spans="29:31" x14ac:dyDescent="0.45">
      <c r="AC119" t="s">
        <v>19</v>
      </c>
      <c r="AD119" t="s">
        <v>290</v>
      </c>
      <c r="AE119">
        <v>3.232914301411885E-3</v>
      </c>
    </row>
    <row r="120" spans="29:31" x14ac:dyDescent="0.45">
      <c r="AC120" t="s">
        <v>19</v>
      </c>
      <c r="AD120" t="s">
        <v>291</v>
      </c>
      <c r="AE120">
        <v>6.4662581738286562E-3</v>
      </c>
    </row>
    <row r="121" spans="29:31" x14ac:dyDescent="0.45">
      <c r="AC121" t="s">
        <v>19</v>
      </c>
      <c r="AD121" t="s">
        <v>292</v>
      </c>
      <c r="AE121">
        <v>6.4751328837035901E-3</v>
      </c>
    </row>
    <row r="122" spans="29:31" x14ac:dyDescent="0.45">
      <c r="AC122" t="s">
        <v>19</v>
      </c>
      <c r="AD122" t="s">
        <v>293</v>
      </c>
      <c r="AE122">
        <v>1.9151317210927762E-2</v>
      </c>
    </row>
    <row r="123" spans="29:31" x14ac:dyDescent="0.45">
      <c r="AC123" t="s">
        <v>19</v>
      </c>
      <c r="AD123" t="s">
        <v>294</v>
      </c>
      <c r="AE123">
        <v>2.4432411551340204E-2</v>
      </c>
    </row>
    <row r="124" spans="29:31" x14ac:dyDescent="0.45">
      <c r="AC124" t="s">
        <v>19</v>
      </c>
      <c r="AD124" t="s">
        <v>295</v>
      </c>
      <c r="AE124">
        <v>3.5675608551710924E-3</v>
      </c>
    </row>
    <row r="125" spans="29:31" x14ac:dyDescent="0.45">
      <c r="AC125" t="s">
        <v>19</v>
      </c>
      <c r="AD125" t="s">
        <v>296</v>
      </c>
      <c r="AE125">
        <v>7.1577780799408084E-3</v>
      </c>
    </row>
    <row r="126" spans="29:31" x14ac:dyDescent="0.45">
      <c r="AC126" t="s">
        <v>19</v>
      </c>
      <c r="AD126" t="s">
        <v>297</v>
      </c>
      <c r="AE126">
        <v>1.0730786917340819E-2</v>
      </c>
    </row>
    <row r="127" spans="29:31" x14ac:dyDescent="0.45">
      <c r="AC127" t="s">
        <v>19</v>
      </c>
      <c r="AD127" t="s">
        <v>298</v>
      </c>
      <c r="AE127">
        <v>3.5732902347939584E-3</v>
      </c>
    </row>
    <row r="128" spans="29:31" x14ac:dyDescent="0.45">
      <c r="AC128" t="s">
        <v>19</v>
      </c>
      <c r="AD128" t="s">
        <v>299</v>
      </c>
      <c r="AE128">
        <v>7.1447781637506797E-3</v>
      </c>
    </row>
    <row r="129" spans="29:31" x14ac:dyDescent="0.45">
      <c r="AC129" t="s">
        <v>19</v>
      </c>
      <c r="AD129" t="s">
        <v>300</v>
      </c>
      <c r="AE129">
        <v>7.1547004970102151E-3</v>
      </c>
    </row>
    <row r="130" spans="29:31" x14ac:dyDescent="0.45">
      <c r="AC130" t="s">
        <v>19</v>
      </c>
      <c r="AD130" t="s">
        <v>301</v>
      </c>
      <c r="AE130">
        <v>2.1210920477999422E-2</v>
      </c>
    </row>
    <row r="131" spans="29:31" x14ac:dyDescent="0.45">
      <c r="AC131" t="s">
        <v>19</v>
      </c>
      <c r="AD131" t="s">
        <v>302</v>
      </c>
      <c r="AE131">
        <v>2.3682791462922036E-2</v>
      </c>
    </row>
    <row r="132" spans="29:31" x14ac:dyDescent="0.45">
      <c r="AC132" t="s">
        <v>19</v>
      </c>
      <c r="AD132" t="s">
        <v>303</v>
      </c>
      <c r="AE132">
        <v>3.4533939736514372E-3</v>
      </c>
    </row>
    <row r="133" spans="29:31" x14ac:dyDescent="0.45">
      <c r="AC133" t="s">
        <v>19</v>
      </c>
      <c r="AD133" t="s">
        <v>304</v>
      </c>
      <c r="AE133">
        <v>6.9207834463373653E-3</v>
      </c>
    </row>
    <row r="134" spans="29:31" x14ac:dyDescent="0.45">
      <c r="AC134" t="s">
        <v>19</v>
      </c>
      <c r="AD134" t="s">
        <v>305</v>
      </c>
      <c r="AE134">
        <v>1.0370268134606019E-2</v>
      </c>
    </row>
    <row r="135" spans="29:31" x14ac:dyDescent="0.45">
      <c r="AC135" t="s">
        <v>19</v>
      </c>
      <c r="AD135" t="s">
        <v>306</v>
      </c>
      <c r="AE135">
        <v>3.4537794521258651E-3</v>
      </c>
    </row>
    <row r="136" spans="29:31" x14ac:dyDescent="0.45">
      <c r="AC136" t="s">
        <v>19</v>
      </c>
      <c r="AD136" t="s">
        <v>307</v>
      </c>
      <c r="AE136">
        <v>6.9054458690796829E-3</v>
      </c>
    </row>
    <row r="137" spans="29:31" x14ac:dyDescent="0.45">
      <c r="AC137" t="s">
        <v>19</v>
      </c>
      <c r="AD137" t="s">
        <v>308</v>
      </c>
      <c r="AE137">
        <v>6.906657562094784E-3</v>
      </c>
    </row>
    <row r="138" spans="29:31" x14ac:dyDescent="0.45">
      <c r="AC138" t="s">
        <v>19</v>
      </c>
      <c r="AD138" t="s">
        <v>309</v>
      </c>
      <c r="AE138">
        <v>2.0495156606258523E-2</v>
      </c>
    </row>
    <row r="139" spans="29:31" x14ac:dyDescent="0.45">
      <c r="AC139" t="s">
        <v>19</v>
      </c>
      <c r="AD139" t="s">
        <v>310</v>
      </c>
      <c r="AE139">
        <v>2.445360623936129E-2</v>
      </c>
    </row>
    <row r="140" spans="29:31" x14ac:dyDescent="0.45">
      <c r="AC140" t="s">
        <v>19</v>
      </c>
      <c r="AD140" t="s">
        <v>311</v>
      </c>
      <c r="AE140">
        <v>3.5637901726707994E-3</v>
      </c>
    </row>
    <row r="141" spans="29:31" x14ac:dyDescent="0.45">
      <c r="AC141" t="s">
        <v>19</v>
      </c>
      <c r="AD141" t="s">
        <v>312</v>
      </c>
      <c r="AE141">
        <v>7.144888839786894E-3</v>
      </c>
    </row>
    <row r="142" spans="29:31" x14ac:dyDescent="0.45">
      <c r="AC142" t="s">
        <v>19</v>
      </c>
      <c r="AD142" t="s">
        <v>313</v>
      </c>
      <c r="AE142">
        <v>1.0711892468507895E-2</v>
      </c>
    </row>
    <row r="143" spans="29:31" x14ac:dyDescent="0.45">
      <c r="AC143" t="s">
        <v>19</v>
      </c>
      <c r="AD143" t="s">
        <v>314</v>
      </c>
      <c r="AE143">
        <v>3.5676949163337079E-3</v>
      </c>
    </row>
    <row r="144" spans="29:31" x14ac:dyDescent="0.45">
      <c r="AC144" t="s">
        <v>19</v>
      </c>
      <c r="AD144" t="s">
        <v>315</v>
      </c>
      <c r="AE144">
        <v>7.1320632120969851E-3</v>
      </c>
    </row>
    <row r="145" spans="29:31" x14ac:dyDescent="0.45">
      <c r="AC145" t="s">
        <v>19</v>
      </c>
      <c r="AD145" t="s">
        <v>316</v>
      </c>
      <c r="AE145">
        <v>7.1327832639355698E-3</v>
      </c>
    </row>
    <row r="146" spans="29:31" x14ac:dyDescent="0.45">
      <c r="AC146" t="s">
        <v>19</v>
      </c>
      <c r="AD146" t="s">
        <v>317</v>
      </c>
      <c r="AE146">
        <v>2.1195618960105168E-2</v>
      </c>
    </row>
    <row r="147" spans="29:31" x14ac:dyDescent="0.45">
      <c r="AC147" t="s">
        <v>19</v>
      </c>
      <c r="AD147" t="s">
        <v>318</v>
      </c>
      <c r="AE147">
        <v>2.3644233434457197E-2</v>
      </c>
    </row>
    <row r="148" spans="29:31" x14ac:dyDescent="0.45">
      <c r="AC148" t="s">
        <v>19</v>
      </c>
      <c r="AD148" t="s">
        <v>319</v>
      </c>
      <c r="AE148">
        <v>3.4382306091986425E-3</v>
      </c>
    </row>
    <row r="149" spans="29:31" x14ac:dyDescent="0.45">
      <c r="AC149" t="s">
        <v>19</v>
      </c>
      <c r="AD149" t="s">
        <v>320</v>
      </c>
      <c r="AE149">
        <v>6.9077758092234475E-3</v>
      </c>
    </row>
    <row r="150" spans="29:31" x14ac:dyDescent="0.45">
      <c r="AC150" t="s">
        <v>19</v>
      </c>
      <c r="AD150" t="s">
        <v>321</v>
      </c>
      <c r="AE150">
        <v>1.0364475133057232E-2</v>
      </c>
    </row>
    <row r="151" spans="29:31" x14ac:dyDescent="0.45">
      <c r="AC151" t="s">
        <v>19</v>
      </c>
      <c r="AD151" t="s">
        <v>322</v>
      </c>
      <c r="AE151">
        <v>3.452774899384749E-3</v>
      </c>
    </row>
    <row r="152" spans="29:31" x14ac:dyDescent="0.45">
      <c r="AC152" t="s">
        <v>19</v>
      </c>
      <c r="AD152" t="s">
        <v>323</v>
      </c>
      <c r="AE152">
        <v>6.9008529034649824E-3</v>
      </c>
    </row>
    <row r="153" spans="29:31" x14ac:dyDescent="0.45">
      <c r="AC153" t="s">
        <v>19</v>
      </c>
      <c r="AD153" t="s">
        <v>324</v>
      </c>
      <c r="AE153">
        <v>6.8985177024956943E-3</v>
      </c>
    </row>
    <row r="154" spans="29:31" x14ac:dyDescent="0.45">
      <c r="AC154" t="s">
        <v>19</v>
      </c>
      <c r="AD154" t="s">
        <v>325</v>
      </c>
      <c r="AE154">
        <v>2.052883470810786E-2</v>
      </c>
    </row>
    <row r="155" spans="29:31" x14ac:dyDescent="0.45">
      <c r="AC155" t="s">
        <v>19</v>
      </c>
      <c r="AD155" t="s">
        <v>326</v>
      </c>
      <c r="AE155">
        <v>2.4439674861368808E-2</v>
      </c>
    </row>
    <row r="156" spans="29:31" x14ac:dyDescent="0.45">
      <c r="AC156" t="s">
        <v>19</v>
      </c>
      <c r="AD156" t="s">
        <v>327</v>
      </c>
      <c r="AE156">
        <v>3.5519802367630954E-3</v>
      </c>
    </row>
    <row r="157" spans="29:31" x14ac:dyDescent="0.45">
      <c r="AC157" t="s">
        <v>19</v>
      </c>
      <c r="AD157" t="s">
        <v>328</v>
      </c>
      <c r="AE157">
        <v>7.1320585804889019E-3</v>
      </c>
    </row>
    <row r="158" spans="29:31" x14ac:dyDescent="0.45">
      <c r="AC158" t="s">
        <v>19</v>
      </c>
      <c r="AD158" t="s">
        <v>329</v>
      </c>
      <c r="AE158">
        <v>1.0711635821121786E-2</v>
      </c>
    </row>
    <row r="159" spans="29:31" x14ac:dyDescent="0.45">
      <c r="AC159" t="s">
        <v>19</v>
      </c>
      <c r="AD159" t="s">
        <v>330</v>
      </c>
      <c r="AE159">
        <v>3.569633712680596E-3</v>
      </c>
    </row>
    <row r="160" spans="29:31" x14ac:dyDescent="0.45">
      <c r="AC160" t="s">
        <v>19</v>
      </c>
      <c r="AD160" t="s">
        <v>331</v>
      </c>
      <c r="AE160">
        <v>7.1329040973390472E-3</v>
      </c>
    </row>
    <row r="161" spans="29:31" x14ac:dyDescent="0.45">
      <c r="AC161" t="s">
        <v>19</v>
      </c>
      <c r="AD161" t="s">
        <v>332</v>
      </c>
      <c r="AE161">
        <v>7.1296043486112131E-3</v>
      </c>
    </row>
    <row r="162" spans="29:31" x14ac:dyDescent="0.45">
      <c r="AC162" t="s">
        <v>19</v>
      </c>
      <c r="AD162" t="s">
        <v>333</v>
      </c>
      <c r="AE162">
        <v>2.1224910512777185E-2</v>
      </c>
    </row>
    <row r="163" spans="29:31" x14ac:dyDescent="0.45">
      <c r="AC163" t="s">
        <v>19</v>
      </c>
      <c r="AD163" t="s">
        <v>334</v>
      </c>
      <c r="AE163">
        <v>2.4431688982631854E-2</v>
      </c>
    </row>
    <row r="164" spans="29:31" x14ac:dyDescent="0.45">
      <c r="AC164" t="s">
        <v>19</v>
      </c>
      <c r="AD164" t="s">
        <v>335</v>
      </c>
      <c r="AE164">
        <v>3.5523707134948665E-3</v>
      </c>
    </row>
    <row r="165" spans="29:31" x14ac:dyDescent="0.45">
      <c r="AC165" t="s">
        <v>19</v>
      </c>
      <c r="AD165" t="s">
        <v>336</v>
      </c>
      <c r="AE165">
        <v>7.136390212703396E-3</v>
      </c>
    </row>
    <row r="166" spans="29:31" x14ac:dyDescent="0.45">
      <c r="AC166" t="s">
        <v>19</v>
      </c>
      <c r="AD166" t="s">
        <v>337</v>
      </c>
      <c r="AE166">
        <v>1.0713211464386011E-2</v>
      </c>
    </row>
    <row r="167" spans="29:31" x14ac:dyDescent="0.45">
      <c r="AC167" t="s">
        <v>19</v>
      </c>
      <c r="AD167" t="s">
        <v>338</v>
      </c>
      <c r="AE167">
        <v>3.5698215151629253E-3</v>
      </c>
    </row>
    <row r="168" spans="29:31" x14ac:dyDescent="0.45">
      <c r="AC168" t="s">
        <v>19</v>
      </c>
      <c r="AD168" t="s">
        <v>339</v>
      </c>
      <c r="AE168">
        <v>7.134533027750997E-3</v>
      </c>
    </row>
    <row r="169" spans="29:31" x14ac:dyDescent="0.45">
      <c r="AC169" t="s">
        <v>19</v>
      </c>
      <c r="AD169" t="s">
        <v>340</v>
      </c>
      <c r="AE169">
        <v>7.1312737760253859E-3</v>
      </c>
    </row>
    <row r="170" spans="29:31" x14ac:dyDescent="0.45">
      <c r="AC170" t="s">
        <v>19</v>
      </c>
      <c r="AD170" t="s">
        <v>341</v>
      </c>
      <c r="AE170">
        <v>2.1214423960711336E-2</v>
      </c>
    </row>
    <row r="171" spans="29:31" x14ac:dyDescent="0.45">
      <c r="AC171" t="s">
        <v>19</v>
      </c>
      <c r="AD171" t="s">
        <v>366</v>
      </c>
      <c r="AE171">
        <v>2.3640621820964585E-2</v>
      </c>
    </row>
    <row r="172" spans="29:31" x14ac:dyDescent="0.45">
      <c r="AC172" t="s">
        <v>19</v>
      </c>
      <c r="AD172" t="s">
        <v>367</v>
      </c>
      <c r="AE172">
        <v>3.4395125096334852E-3</v>
      </c>
    </row>
    <row r="173" spans="29:31" x14ac:dyDescent="0.45">
      <c r="AC173" t="s">
        <v>19</v>
      </c>
      <c r="AD173" t="s">
        <v>368</v>
      </c>
      <c r="AE173">
        <v>6.9088923153594927E-3</v>
      </c>
    </row>
    <row r="174" spans="29:31" x14ac:dyDescent="0.45">
      <c r="AC174" t="s">
        <v>19</v>
      </c>
      <c r="AD174" t="s">
        <v>369</v>
      </c>
      <c r="AE174">
        <v>1.0366403093144355E-2</v>
      </c>
    </row>
    <row r="175" spans="29:31" x14ac:dyDescent="0.45">
      <c r="AC175" t="s">
        <v>19</v>
      </c>
      <c r="AD175" t="s">
        <v>370</v>
      </c>
      <c r="AE175">
        <v>3.4534073338774044E-3</v>
      </c>
    </row>
    <row r="176" spans="29:31" x14ac:dyDescent="0.45">
      <c r="AC176" t="s">
        <v>19</v>
      </c>
      <c r="AD176" t="s">
        <v>371</v>
      </c>
      <c r="AE176">
        <v>6.9026905968695819E-3</v>
      </c>
    </row>
    <row r="177" spans="29:31" x14ac:dyDescent="0.45">
      <c r="AC177" t="s">
        <v>19</v>
      </c>
      <c r="AD177" t="s">
        <v>372</v>
      </c>
      <c r="AE177">
        <v>6.9011437627753388E-3</v>
      </c>
    </row>
    <row r="178" spans="29:31" x14ac:dyDescent="0.45">
      <c r="AC178" t="s">
        <v>19</v>
      </c>
      <c r="AD178" t="s">
        <v>373</v>
      </c>
      <c r="AE178">
        <v>2.0528105951306181E-2</v>
      </c>
    </row>
    <row r="179" spans="29:31" x14ac:dyDescent="0.45">
      <c r="AC179" t="s">
        <v>19</v>
      </c>
      <c r="AD179" t="s">
        <v>398</v>
      </c>
      <c r="AE179">
        <v>2.4426264456493714E-2</v>
      </c>
    </row>
    <row r="180" spans="29:31" x14ac:dyDescent="0.45">
      <c r="AC180" t="s">
        <v>19</v>
      </c>
      <c r="AD180" t="s">
        <v>399</v>
      </c>
      <c r="AE180">
        <v>3.5548504641611067E-3</v>
      </c>
    </row>
    <row r="181" spans="29:31" x14ac:dyDescent="0.45">
      <c r="AC181" t="s">
        <v>19</v>
      </c>
      <c r="AD181" t="s">
        <v>400</v>
      </c>
      <c r="AE181">
        <v>7.1422141547188333E-3</v>
      </c>
    </row>
    <row r="182" spans="29:31" x14ac:dyDescent="0.45">
      <c r="AC182" t="s">
        <v>19</v>
      </c>
      <c r="AD182" t="s">
        <v>401</v>
      </c>
      <c r="AE182">
        <v>1.0712371350290137E-2</v>
      </c>
    </row>
    <row r="183" spans="29:31" x14ac:dyDescent="0.45">
      <c r="AC183" t="s">
        <v>19</v>
      </c>
      <c r="AD183" t="s">
        <v>402</v>
      </c>
      <c r="AE183">
        <v>3.5680979040844467E-3</v>
      </c>
    </row>
    <row r="184" spans="29:31" x14ac:dyDescent="0.45">
      <c r="AC184" t="s">
        <v>19</v>
      </c>
      <c r="AD184" t="s">
        <v>403</v>
      </c>
      <c r="AE184">
        <v>7.1323529454392891E-3</v>
      </c>
    </row>
    <row r="185" spans="29:31" x14ac:dyDescent="0.45">
      <c r="AC185" t="s">
        <v>19</v>
      </c>
      <c r="AD185" t="s">
        <v>404</v>
      </c>
      <c r="AE185">
        <v>7.1328409910875702E-3</v>
      </c>
    </row>
    <row r="186" spans="29:31" x14ac:dyDescent="0.45">
      <c r="AC186" t="s">
        <v>19</v>
      </c>
      <c r="AD186" t="s">
        <v>405</v>
      </c>
      <c r="AE186">
        <v>2.1217563065022409E-2</v>
      </c>
    </row>
    <row r="187" spans="29:31" x14ac:dyDescent="0.45">
      <c r="AC187" t="s">
        <v>19</v>
      </c>
      <c r="AD187" t="s">
        <v>406</v>
      </c>
      <c r="AE187">
        <v>2.3601944688261496E-2</v>
      </c>
    </row>
    <row r="188" spans="29:31" x14ac:dyDescent="0.45">
      <c r="AC188" t="s">
        <v>19</v>
      </c>
      <c r="AD188" t="s">
        <v>407</v>
      </c>
      <c r="AE188">
        <v>3.4495549500944142E-3</v>
      </c>
    </row>
    <row r="189" spans="29:31" x14ac:dyDescent="0.45">
      <c r="AC189" t="s">
        <v>19</v>
      </c>
      <c r="AD189" t="s">
        <v>408</v>
      </c>
      <c r="AE189">
        <v>6.9240443207816407E-3</v>
      </c>
    </row>
    <row r="190" spans="29:31" x14ac:dyDescent="0.45">
      <c r="AC190" t="s">
        <v>19</v>
      </c>
      <c r="AD190" t="s">
        <v>409</v>
      </c>
      <c r="AE190">
        <v>1.0388103253298267E-2</v>
      </c>
    </row>
    <row r="191" spans="29:31" x14ac:dyDescent="0.45">
      <c r="AC191" t="s">
        <v>19</v>
      </c>
      <c r="AD191" t="s">
        <v>410</v>
      </c>
      <c r="AE191">
        <v>3.4605527247727878E-3</v>
      </c>
    </row>
    <row r="192" spans="29:31" x14ac:dyDescent="0.45">
      <c r="AC192" t="s">
        <v>19</v>
      </c>
      <c r="AD192" t="s">
        <v>411</v>
      </c>
      <c r="AE192">
        <v>6.9202010795753792E-3</v>
      </c>
    </row>
    <row r="193" spans="29:31" x14ac:dyDescent="0.45">
      <c r="AC193" t="s">
        <v>19</v>
      </c>
      <c r="AD193" t="s">
        <v>412</v>
      </c>
      <c r="AE193">
        <v>6.9308196206441536E-3</v>
      </c>
    </row>
    <row r="194" spans="29:31" x14ac:dyDescent="0.45">
      <c r="AC194" t="s">
        <v>19</v>
      </c>
      <c r="AD194" t="s">
        <v>413</v>
      </c>
      <c r="AE194">
        <v>2.054638336964636E-2</v>
      </c>
    </row>
    <row r="195" spans="29:31" x14ac:dyDescent="0.45">
      <c r="AC195" t="s">
        <v>19</v>
      </c>
      <c r="AD195" t="s">
        <v>414</v>
      </c>
      <c r="AE195">
        <v>2.4416657413212691E-2</v>
      </c>
    </row>
    <row r="196" spans="29:31" x14ac:dyDescent="0.45">
      <c r="AC196" t="s">
        <v>19</v>
      </c>
      <c r="AD196" t="s">
        <v>415</v>
      </c>
      <c r="AE196">
        <v>3.5659298573304079E-3</v>
      </c>
    </row>
    <row r="197" spans="29:31" x14ac:dyDescent="0.45">
      <c r="AC197" t="s">
        <v>19</v>
      </c>
      <c r="AD197" t="s">
        <v>416</v>
      </c>
      <c r="AE197">
        <v>7.1572589045875478E-3</v>
      </c>
    </row>
    <row r="198" spans="29:31" x14ac:dyDescent="0.45">
      <c r="AC198" t="s">
        <v>19</v>
      </c>
      <c r="AD198" t="s">
        <v>417</v>
      </c>
      <c r="AE198">
        <v>1.07309036300797E-2</v>
      </c>
    </row>
    <row r="199" spans="29:31" x14ac:dyDescent="0.45">
      <c r="AC199" t="s">
        <v>19</v>
      </c>
      <c r="AD199" t="s">
        <v>418</v>
      </c>
      <c r="AE199">
        <v>3.5727272980773136E-3</v>
      </c>
    </row>
    <row r="200" spans="29:31" x14ac:dyDescent="0.45">
      <c r="AC200" t="s">
        <v>19</v>
      </c>
      <c r="AD200" t="s">
        <v>419</v>
      </c>
      <c r="AE200">
        <v>7.1450759302600121E-3</v>
      </c>
    </row>
    <row r="201" spans="29:31" x14ac:dyDescent="0.45">
      <c r="AC201" t="s">
        <v>19</v>
      </c>
      <c r="AD201" t="s">
        <v>420</v>
      </c>
      <c r="AE201">
        <v>7.1618483125216771E-3</v>
      </c>
    </row>
    <row r="202" spans="29:31" x14ac:dyDescent="0.45">
      <c r="AC202" t="s">
        <v>19</v>
      </c>
      <c r="AD202" t="s">
        <v>421</v>
      </c>
      <c r="AE202">
        <v>2.1220864479047526E-2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0D07F-3B7B-4918-AFDD-F9538A7C65E9}">
  <dimension ref="A9:AN1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107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ok</v>
      </c>
      <c r="C11" t="s">
        <v>2269</v>
      </c>
      <c r="D11" t="s">
        <v>155</v>
      </c>
      <c r="E11" t="s">
        <v>2270</v>
      </c>
      <c r="F11" t="s">
        <v>2269</v>
      </c>
      <c r="G11" t="s">
        <v>155</v>
      </c>
      <c r="I11" t="s">
        <v>252</v>
      </c>
      <c r="J11" t="s">
        <v>2271</v>
      </c>
      <c r="K11">
        <v>0.99999999999981759</v>
      </c>
      <c r="L11" t="s">
        <v>254</v>
      </c>
      <c r="N11" t="s">
        <v>422</v>
      </c>
      <c r="O11" t="s">
        <v>2271</v>
      </c>
      <c r="P11">
        <v>0.9999999999997724</v>
      </c>
      <c r="Q11" t="s">
        <v>254</v>
      </c>
      <c r="S11" t="s">
        <v>423</v>
      </c>
      <c r="T11" t="s">
        <v>2271</v>
      </c>
      <c r="U11">
        <v>0.99999999999975209</v>
      </c>
      <c r="V11" t="s">
        <v>254</v>
      </c>
      <c r="X11">
        <v>1</v>
      </c>
      <c r="Y11">
        <v>1.0000000000000002</v>
      </c>
      <c r="Z11" t="s">
        <v>2271</v>
      </c>
      <c r="AA11" t="s">
        <v>25</v>
      </c>
      <c r="AC11" t="s">
        <v>22</v>
      </c>
      <c r="AD11" t="s">
        <v>2271</v>
      </c>
      <c r="AE11">
        <v>1</v>
      </c>
      <c r="AG11" t="s">
        <v>97</v>
      </c>
      <c r="AH11" t="s">
        <v>2271</v>
      </c>
      <c r="AI11">
        <v>0.29445329440615131</v>
      </c>
    </row>
    <row r="12" spans="1:40" x14ac:dyDescent="0.45">
      <c r="AC12" t="s">
        <v>19</v>
      </c>
      <c r="AD12" t="s">
        <v>2271</v>
      </c>
      <c r="AE12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8AA8-69F8-4A2C-B0BC-9C0C646C65C2}">
  <dimension ref="A9:AN34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132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2272</v>
      </c>
      <c r="D11" t="s">
        <v>155</v>
      </c>
      <c r="E11" t="s">
        <v>426</v>
      </c>
      <c r="F11" t="s">
        <v>2273</v>
      </c>
      <c r="G11" t="s">
        <v>155</v>
      </c>
      <c r="I11" t="s">
        <v>252</v>
      </c>
      <c r="J11" t="s">
        <v>2278</v>
      </c>
      <c r="K11">
        <v>0.17796127459391609</v>
      </c>
      <c r="L11" t="s">
        <v>254</v>
      </c>
      <c r="N11" t="s">
        <v>422</v>
      </c>
      <c r="O11" t="s">
        <v>2278</v>
      </c>
      <c r="P11">
        <v>0.11928061970125944</v>
      </c>
      <c r="Q11" t="s">
        <v>254</v>
      </c>
      <c r="S11" t="s">
        <v>423</v>
      </c>
      <c r="T11" t="s">
        <v>2278</v>
      </c>
      <c r="U11">
        <v>0.11349159764121942</v>
      </c>
      <c r="V11" t="s">
        <v>254</v>
      </c>
      <c r="X11">
        <v>0.11426940639269406</v>
      </c>
      <c r="Y11">
        <v>0.16087081189037786</v>
      </c>
      <c r="Z11" t="s">
        <v>2278</v>
      </c>
      <c r="AA11" t="s">
        <v>25</v>
      </c>
      <c r="AC11" t="s">
        <v>22</v>
      </c>
      <c r="AD11" t="s">
        <v>2278</v>
      </c>
      <c r="AE11">
        <v>0.12285801794156356</v>
      </c>
      <c r="AG11" t="s">
        <v>97</v>
      </c>
      <c r="AH11" t="s">
        <v>2278</v>
      </c>
      <c r="AI11">
        <v>0.18062486149590451</v>
      </c>
    </row>
    <row r="12" spans="1:40" x14ac:dyDescent="0.45">
      <c r="C12" t="s">
        <v>2274</v>
      </c>
      <c r="E12" t="s">
        <v>428</v>
      </c>
      <c r="G12" t="s">
        <v>155</v>
      </c>
      <c r="I12" t="s">
        <v>252</v>
      </c>
      <c r="J12" t="s">
        <v>2279</v>
      </c>
      <c r="K12">
        <v>1.8927709293579739E-5</v>
      </c>
      <c r="L12" t="s">
        <v>254</v>
      </c>
      <c r="N12" t="s">
        <v>422</v>
      </c>
      <c r="O12" t="s">
        <v>2279</v>
      </c>
      <c r="P12">
        <v>0.12221159590746647</v>
      </c>
      <c r="Q12" t="s">
        <v>254</v>
      </c>
      <c r="S12" t="s">
        <v>423</v>
      </c>
      <c r="T12" t="s">
        <v>2279</v>
      </c>
      <c r="U12">
        <v>0.11711489412403714</v>
      </c>
      <c r="V12" t="s">
        <v>254</v>
      </c>
      <c r="X12">
        <v>0.11426940639269406</v>
      </c>
      <c r="Y12">
        <v>5.2547713165767528E-2</v>
      </c>
      <c r="Z12" t="s">
        <v>2279</v>
      </c>
      <c r="AA12" t="s">
        <v>25</v>
      </c>
      <c r="AC12" t="s">
        <v>22</v>
      </c>
      <c r="AD12" t="s">
        <v>2279</v>
      </c>
      <c r="AE12">
        <v>9.4646157614714024E-2</v>
      </c>
      <c r="AG12" t="s">
        <v>97</v>
      </c>
      <c r="AH12" t="s">
        <v>2279</v>
      </c>
      <c r="AI12">
        <v>0.37486998473977029</v>
      </c>
    </row>
    <row r="13" spans="1:40" x14ac:dyDescent="0.45">
      <c r="C13" t="s">
        <v>2275</v>
      </c>
      <c r="E13" t="s">
        <v>2276</v>
      </c>
      <c r="G13" t="s">
        <v>155</v>
      </c>
      <c r="I13" t="s">
        <v>252</v>
      </c>
      <c r="J13" t="s">
        <v>2280</v>
      </c>
      <c r="K13">
        <v>1.1208483865902638E-2</v>
      </c>
      <c r="L13" t="s">
        <v>254</v>
      </c>
      <c r="N13" t="s">
        <v>422</v>
      </c>
      <c r="O13" t="s">
        <v>2280</v>
      </c>
      <c r="P13">
        <v>2.2133200985584963E-2</v>
      </c>
      <c r="Q13" t="s">
        <v>254</v>
      </c>
      <c r="S13" t="s">
        <v>423</v>
      </c>
      <c r="T13" t="s">
        <v>2280</v>
      </c>
      <c r="U13">
        <v>2.1736564811959236E-2</v>
      </c>
      <c r="V13" t="s">
        <v>254</v>
      </c>
      <c r="X13">
        <v>2.0776255707762557E-2</v>
      </c>
      <c r="Y13">
        <v>3.5896543437005365E-2</v>
      </c>
      <c r="Z13" t="s">
        <v>2280</v>
      </c>
      <c r="AA13" t="s">
        <v>25</v>
      </c>
      <c r="AC13" t="s">
        <v>22</v>
      </c>
      <c r="AD13" t="s">
        <v>2280</v>
      </c>
      <c r="AE13">
        <v>2.2642447341433385E-2</v>
      </c>
      <c r="AG13" t="s">
        <v>97</v>
      </c>
      <c r="AH13" t="s">
        <v>2280</v>
      </c>
      <c r="AI13">
        <v>0.17026706220816723</v>
      </c>
    </row>
    <row r="14" spans="1:40" x14ac:dyDescent="0.45">
      <c r="C14" t="s">
        <v>2277</v>
      </c>
      <c r="I14" t="s">
        <v>252</v>
      </c>
      <c r="J14" t="s">
        <v>2281</v>
      </c>
      <c r="K14">
        <v>0.25054567538721967</v>
      </c>
      <c r="L14" t="s">
        <v>254</v>
      </c>
      <c r="N14" t="s">
        <v>422</v>
      </c>
      <c r="O14" t="s">
        <v>2281</v>
      </c>
      <c r="P14">
        <v>0.11715903268254171</v>
      </c>
      <c r="Q14" t="s">
        <v>254</v>
      </c>
      <c r="S14" t="s">
        <v>423</v>
      </c>
      <c r="T14" t="s">
        <v>2281</v>
      </c>
      <c r="U14">
        <v>0.11899643560356912</v>
      </c>
      <c r="V14" t="s">
        <v>254</v>
      </c>
      <c r="X14">
        <v>0.11552511415525114</v>
      </c>
      <c r="Y14">
        <v>0.16263862301005233</v>
      </c>
      <c r="Z14" t="s">
        <v>2281</v>
      </c>
      <c r="AA14" t="s">
        <v>25</v>
      </c>
      <c r="AC14" t="s">
        <v>22</v>
      </c>
      <c r="AD14" t="s">
        <v>2281</v>
      </c>
      <c r="AE14">
        <v>0.1295602745113329</v>
      </c>
      <c r="AG14" t="s">
        <v>97</v>
      </c>
      <c r="AH14" t="s">
        <v>2281</v>
      </c>
      <c r="AI14">
        <v>0.13850892502286993</v>
      </c>
    </row>
    <row r="15" spans="1:40" x14ac:dyDescent="0.45">
      <c r="I15" t="s">
        <v>252</v>
      </c>
      <c r="J15" t="s">
        <v>2282</v>
      </c>
      <c r="K15">
        <v>3.9200603171240991E-3</v>
      </c>
      <c r="L15" t="s">
        <v>254</v>
      </c>
      <c r="N15" t="s">
        <v>422</v>
      </c>
      <c r="O15" t="s">
        <v>2282</v>
      </c>
      <c r="P15">
        <v>0.12075249822377261</v>
      </c>
      <c r="Q15" t="s">
        <v>254</v>
      </c>
      <c r="S15" t="s">
        <v>423</v>
      </c>
      <c r="T15" t="s">
        <v>2282</v>
      </c>
      <c r="U15">
        <v>0.12523822309264465</v>
      </c>
      <c r="V15" t="s">
        <v>254</v>
      </c>
      <c r="X15">
        <v>0.11552511415525114</v>
      </c>
      <c r="Y15">
        <v>5.3125160563193538E-2</v>
      </c>
      <c r="Z15" t="s">
        <v>2282</v>
      </c>
      <c r="AA15" t="s">
        <v>25</v>
      </c>
      <c r="AC15" t="s">
        <v>22</v>
      </c>
      <c r="AD15" t="s">
        <v>2282</v>
      </c>
      <c r="AE15">
        <v>9.992815465495708E-2</v>
      </c>
      <c r="AG15" t="s">
        <v>97</v>
      </c>
      <c r="AH15" t="s">
        <v>2282</v>
      </c>
      <c r="AI15">
        <v>0.32683982861262351</v>
      </c>
    </row>
    <row r="16" spans="1:40" x14ac:dyDescent="0.45">
      <c r="I16" t="s">
        <v>252</v>
      </c>
      <c r="J16" t="s">
        <v>2283</v>
      </c>
      <c r="K16">
        <v>2.8536856796947868E-2</v>
      </c>
      <c r="L16" t="s">
        <v>254</v>
      </c>
      <c r="N16" t="s">
        <v>422</v>
      </c>
      <c r="O16" t="s">
        <v>2283</v>
      </c>
      <c r="P16">
        <v>2.2101687353704238E-2</v>
      </c>
      <c r="Q16" t="s">
        <v>254</v>
      </c>
      <c r="S16" t="s">
        <v>423</v>
      </c>
      <c r="T16" t="s">
        <v>2283</v>
      </c>
      <c r="U16">
        <v>2.3151299176399576E-2</v>
      </c>
      <c r="V16" t="s">
        <v>254</v>
      </c>
      <c r="X16">
        <v>2.1004566210045664E-2</v>
      </c>
      <c r="Y16">
        <v>3.6291010947302131E-2</v>
      </c>
      <c r="Z16" t="s">
        <v>2283</v>
      </c>
      <c r="AA16" t="s">
        <v>25</v>
      </c>
      <c r="AC16" t="s">
        <v>22</v>
      </c>
      <c r="AD16" t="s">
        <v>2283</v>
      </c>
      <c r="AE16">
        <v>2.3681971110886095E-2</v>
      </c>
      <c r="AG16" t="s">
        <v>97</v>
      </c>
      <c r="AH16" t="s">
        <v>2283</v>
      </c>
      <c r="AI16">
        <v>0.13433044728019139</v>
      </c>
    </row>
    <row r="17" spans="9:35" x14ac:dyDescent="0.45">
      <c r="I17" t="s">
        <v>252</v>
      </c>
      <c r="J17" t="s">
        <v>2284</v>
      </c>
      <c r="K17">
        <v>0.31928859198409776</v>
      </c>
      <c r="L17" t="s">
        <v>254</v>
      </c>
      <c r="N17" t="s">
        <v>422</v>
      </c>
      <c r="O17" t="s">
        <v>2284</v>
      </c>
      <c r="P17">
        <v>8.2208730461522328E-2</v>
      </c>
      <c r="Q17" t="s">
        <v>254</v>
      </c>
      <c r="S17" t="s">
        <v>423</v>
      </c>
      <c r="T17" t="s">
        <v>2284</v>
      </c>
      <c r="U17">
        <v>8.7618110436031779E-2</v>
      </c>
      <c r="V17" t="s">
        <v>254</v>
      </c>
      <c r="X17">
        <v>0.11552511415525114</v>
      </c>
      <c r="Y17">
        <v>0.16263862301005233</v>
      </c>
      <c r="Z17" t="s">
        <v>2284</v>
      </c>
      <c r="AA17" t="s">
        <v>25</v>
      </c>
      <c r="AC17" t="s">
        <v>22</v>
      </c>
      <c r="AD17" t="s">
        <v>2284</v>
      </c>
      <c r="AE17">
        <v>0.11826445313581688</v>
      </c>
      <c r="AG17" t="s">
        <v>97</v>
      </c>
      <c r="AH17" t="s">
        <v>2284</v>
      </c>
      <c r="AI17">
        <v>0.11468727728699712</v>
      </c>
    </row>
    <row r="18" spans="9:35" x14ac:dyDescent="0.45">
      <c r="I18" t="s">
        <v>252</v>
      </c>
      <c r="J18" t="s">
        <v>2285</v>
      </c>
      <c r="K18">
        <v>1.2629812825561226E-2</v>
      </c>
      <c r="L18" t="s">
        <v>254</v>
      </c>
      <c r="N18" t="s">
        <v>422</v>
      </c>
      <c r="O18" t="s">
        <v>2285</v>
      </c>
      <c r="P18">
        <v>9.2190641570238277E-2</v>
      </c>
      <c r="Q18" t="s">
        <v>254</v>
      </c>
      <c r="S18" t="s">
        <v>423</v>
      </c>
      <c r="T18" t="s">
        <v>2285</v>
      </c>
      <c r="U18">
        <v>9.3964177337904894E-2</v>
      </c>
      <c r="V18" t="s">
        <v>254</v>
      </c>
      <c r="X18">
        <v>0.11552511415525114</v>
      </c>
      <c r="Y18">
        <v>5.3125160563193538E-2</v>
      </c>
      <c r="Z18" t="s">
        <v>2285</v>
      </c>
      <c r="AA18" t="s">
        <v>25</v>
      </c>
      <c r="AC18" t="s">
        <v>22</v>
      </c>
      <c r="AD18" t="s">
        <v>2285</v>
      </c>
      <c r="AE18">
        <v>9.2456705332473424E-2</v>
      </c>
      <c r="AG18" t="s">
        <v>97</v>
      </c>
      <c r="AH18" t="s">
        <v>2285</v>
      </c>
      <c r="AI18">
        <v>0.26720983538349086</v>
      </c>
    </row>
    <row r="19" spans="9:35" x14ac:dyDescent="0.45">
      <c r="I19" t="s">
        <v>252</v>
      </c>
      <c r="J19" t="s">
        <v>2286</v>
      </c>
      <c r="K19">
        <v>4.1093833683253825E-2</v>
      </c>
      <c r="L19" t="s">
        <v>254</v>
      </c>
      <c r="N19" t="s">
        <v>422</v>
      </c>
      <c r="O19" t="s">
        <v>2286</v>
      </c>
      <c r="P19">
        <v>1.7370773732101774E-2</v>
      </c>
      <c r="Q19" t="s">
        <v>254</v>
      </c>
      <c r="S19" t="s">
        <v>423</v>
      </c>
      <c r="T19" t="s">
        <v>2286</v>
      </c>
      <c r="U19">
        <v>1.7626003706032012E-2</v>
      </c>
      <c r="V19" t="s">
        <v>254</v>
      </c>
      <c r="X19">
        <v>2.1004566210045664E-2</v>
      </c>
      <c r="Y19">
        <v>3.6291010947302131E-2</v>
      </c>
      <c r="Z19" t="s">
        <v>2286</v>
      </c>
      <c r="AA19" t="s">
        <v>25</v>
      </c>
      <c r="AC19" t="s">
        <v>22</v>
      </c>
      <c r="AD19" t="s">
        <v>2286</v>
      </c>
      <c r="AE19">
        <v>2.1510540469523869E-2</v>
      </c>
      <c r="AG19" t="s">
        <v>97</v>
      </c>
      <c r="AH19" t="s">
        <v>2286</v>
      </c>
      <c r="AI19">
        <v>8.1367763595647347E-2</v>
      </c>
    </row>
    <row r="20" spans="9:35" x14ac:dyDescent="0.45">
      <c r="I20" t="s">
        <v>252</v>
      </c>
      <c r="J20" t="s">
        <v>2287</v>
      </c>
      <c r="K20">
        <v>0.14940911682376787</v>
      </c>
      <c r="L20" t="s">
        <v>254</v>
      </c>
      <c r="N20" t="s">
        <v>422</v>
      </c>
      <c r="O20" t="s">
        <v>2287</v>
      </c>
      <c r="P20">
        <v>0.12734231173692107</v>
      </c>
      <c r="Q20" t="s">
        <v>254</v>
      </c>
      <c r="S20" t="s">
        <v>423</v>
      </c>
      <c r="T20" t="s">
        <v>2287</v>
      </c>
      <c r="U20">
        <v>0.1281804745897869</v>
      </c>
      <c r="V20" t="s">
        <v>254</v>
      </c>
      <c r="X20">
        <v>0.11301369863013698</v>
      </c>
      <c r="Y20">
        <v>0.15910300077070333</v>
      </c>
      <c r="Z20" t="s">
        <v>2287</v>
      </c>
      <c r="AA20" t="s">
        <v>25</v>
      </c>
      <c r="AC20" t="s">
        <v>22</v>
      </c>
      <c r="AD20" t="s">
        <v>2287</v>
      </c>
      <c r="AE20">
        <v>0.1408893023665127</v>
      </c>
      <c r="AG20" t="s">
        <v>97</v>
      </c>
      <c r="AH20" t="s">
        <v>2287</v>
      </c>
      <c r="AI20">
        <v>9.6605764125655247E-2</v>
      </c>
    </row>
    <row r="21" spans="9:35" x14ac:dyDescent="0.45">
      <c r="I21" t="s">
        <v>252</v>
      </c>
      <c r="J21" t="s">
        <v>2288</v>
      </c>
      <c r="K21">
        <v>0</v>
      </c>
      <c r="L21" t="s">
        <v>254</v>
      </c>
      <c r="N21" t="s">
        <v>422</v>
      </c>
      <c r="O21" t="s">
        <v>2288</v>
      </c>
      <c r="P21">
        <v>0.13328809860292404</v>
      </c>
      <c r="Q21" t="s">
        <v>254</v>
      </c>
      <c r="S21" t="s">
        <v>423</v>
      </c>
      <c r="T21" t="s">
        <v>2288</v>
      </c>
      <c r="U21">
        <v>0.12941800085107738</v>
      </c>
      <c r="V21" t="s">
        <v>254</v>
      </c>
      <c r="X21">
        <v>0.11301369863013698</v>
      </c>
      <c r="Y21">
        <v>5.197026576834151E-2</v>
      </c>
      <c r="Z21" t="s">
        <v>2288</v>
      </c>
      <c r="AA21" t="s">
        <v>25</v>
      </c>
      <c r="AC21" t="s">
        <v>22</v>
      </c>
      <c r="AD21" t="s">
        <v>2288</v>
      </c>
      <c r="AE21">
        <v>0.10732750357371448</v>
      </c>
      <c r="AG21" t="s">
        <v>97</v>
      </c>
      <c r="AH21" t="s">
        <v>2288</v>
      </c>
      <c r="AI21">
        <v>0.29633510543754848</v>
      </c>
    </row>
    <row r="22" spans="9:35" x14ac:dyDescent="0.45">
      <c r="I22" t="s">
        <v>252</v>
      </c>
      <c r="J22" t="s">
        <v>2289</v>
      </c>
      <c r="K22">
        <v>5.387366012732972E-3</v>
      </c>
      <c r="L22" t="s">
        <v>254</v>
      </c>
      <c r="N22" t="s">
        <v>422</v>
      </c>
      <c r="O22" t="s">
        <v>2289</v>
      </c>
      <c r="P22">
        <v>2.396080904173549E-2</v>
      </c>
      <c r="Q22" t="s">
        <v>254</v>
      </c>
      <c r="S22" t="s">
        <v>423</v>
      </c>
      <c r="T22" t="s">
        <v>2289</v>
      </c>
      <c r="U22">
        <v>2.3464218629089956E-2</v>
      </c>
      <c r="V22" t="s">
        <v>254</v>
      </c>
      <c r="X22">
        <v>2.0547945205479451E-2</v>
      </c>
      <c r="Y22">
        <v>3.5502075926708607E-2</v>
      </c>
      <c r="Z22" t="s">
        <v>2289</v>
      </c>
      <c r="AA22" t="s">
        <v>25</v>
      </c>
      <c r="AC22" t="s">
        <v>22</v>
      </c>
      <c r="AD22" t="s">
        <v>2289</v>
      </c>
      <c r="AE22">
        <v>2.6234471947071552E-2</v>
      </c>
      <c r="AG22" t="s">
        <v>97</v>
      </c>
      <c r="AH22" t="s">
        <v>2289</v>
      </c>
      <c r="AI22">
        <v>7.5669479279854457E-2</v>
      </c>
    </row>
    <row r="23" spans="9:35" x14ac:dyDescent="0.45">
      <c r="AC23" t="s">
        <v>19</v>
      </c>
      <c r="AD23" t="s">
        <v>2278</v>
      </c>
      <c r="AE23">
        <v>0.11518567751670379</v>
      </c>
    </row>
    <row r="24" spans="9:35" x14ac:dyDescent="0.45">
      <c r="AC24" t="s">
        <v>19</v>
      </c>
      <c r="AD24" t="s">
        <v>2279</v>
      </c>
      <c r="AE24">
        <v>0.11309786497522276</v>
      </c>
    </row>
    <row r="25" spans="9:35" x14ac:dyDescent="0.45">
      <c r="AC25" t="s">
        <v>19</v>
      </c>
      <c r="AD25" t="s">
        <v>2280</v>
      </c>
      <c r="AE25">
        <v>2.0965394230375887E-2</v>
      </c>
    </row>
    <row r="26" spans="9:35" x14ac:dyDescent="0.45">
      <c r="AC26" t="s">
        <v>19</v>
      </c>
      <c r="AD26" t="s">
        <v>2281</v>
      </c>
      <c r="AE26">
        <v>0.116529631182251</v>
      </c>
    </row>
    <row r="27" spans="9:35" x14ac:dyDescent="0.45">
      <c r="AC27" t="s">
        <v>19</v>
      </c>
      <c r="AD27" t="s">
        <v>2282</v>
      </c>
      <c r="AE27">
        <v>0.11433671264550593</v>
      </c>
    </row>
    <row r="28" spans="9:35" x14ac:dyDescent="0.45">
      <c r="AC28" t="s">
        <v>19</v>
      </c>
      <c r="AD28" t="s">
        <v>2283</v>
      </c>
      <c r="AE28">
        <v>2.119649752946428E-2</v>
      </c>
    </row>
    <row r="29" spans="9:35" x14ac:dyDescent="0.45">
      <c r="AC29" t="s">
        <v>19</v>
      </c>
      <c r="AD29" t="s">
        <v>2284</v>
      </c>
      <c r="AE29">
        <v>0.11633468099558857</v>
      </c>
    </row>
    <row r="30" spans="9:35" x14ac:dyDescent="0.45">
      <c r="AC30" t="s">
        <v>19</v>
      </c>
      <c r="AD30" t="s">
        <v>2285</v>
      </c>
      <c r="AE30">
        <v>0.11442478427460133</v>
      </c>
    </row>
    <row r="31" spans="9:35" x14ac:dyDescent="0.45">
      <c r="AC31" t="s">
        <v>19</v>
      </c>
      <c r="AD31" t="s">
        <v>2286</v>
      </c>
      <c r="AE31">
        <v>2.1152345753217318E-2</v>
      </c>
    </row>
    <row r="32" spans="9:35" x14ac:dyDescent="0.45">
      <c r="AC32" t="s">
        <v>19</v>
      </c>
      <c r="AD32" t="s">
        <v>2287</v>
      </c>
      <c r="AE32">
        <v>0.11422326304829208</v>
      </c>
    </row>
    <row r="33" spans="29:31" x14ac:dyDescent="0.45">
      <c r="AC33" t="s">
        <v>19</v>
      </c>
      <c r="AD33" t="s">
        <v>2288</v>
      </c>
      <c r="AE33">
        <v>0.11173952948295962</v>
      </c>
    </row>
    <row r="34" spans="29:31" x14ac:dyDescent="0.45">
      <c r="AC34" t="s">
        <v>19</v>
      </c>
      <c r="AD34" t="s">
        <v>2289</v>
      </c>
      <c r="AE34">
        <v>2.0813618365817386E-2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Veda</vt:lpstr>
      <vt:lpstr>fuel_prices</vt:lpstr>
      <vt:lpstr>iea_data</vt:lpstr>
      <vt:lpstr>ar6_r10</vt:lpstr>
      <vt:lpstr>ev_charging_uc</vt:lpstr>
      <vt:lpstr>s1p1v1_d</vt:lpstr>
      <vt:lpstr>s3p3v3_d</vt:lpstr>
      <vt:lpstr>s5p5v5_d</vt:lpstr>
      <vt:lpstr>s2_w</vt:lpstr>
      <vt:lpstr>s2_w_p2_d</vt:lpstr>
      <vt:lpstr>ts_012</vt:lpstr>
      <vt:lpstr>ts_024</vt:lpstr>
      <vt:lpstr>ts_048</vt:lpstr>
      <vt:lpstr>ts_064</vt:lpstr>
      <vt:lpstr>ts_096P50</vt:lpstr>
      <vt:lpstr>ts_096P10</vt:lpstr>
      <vt:lpstr>ts_096P90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2025-09-12T20:22:01Z</dcterms:modified>
</cp:coreProperties>
</file>