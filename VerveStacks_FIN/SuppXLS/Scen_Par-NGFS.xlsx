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\SuppXLS\"/>
    </mc:Choice>
  </mc:AlternateContent>
  <xr:revisionPtr revIDLastSave="0" documentId="8_{4E9BF831-4D41-4A53-9EFD-44B2F8D392F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<sst xmlns="http://schemas.openxmlformats.org/spreadsheetml/2006/main" count="58781" uniqueCount="95">
  <si>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</si>
  <si>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</si>
  <si>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</si>
  <si>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</si>
  <si>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</si>
  <si>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</si>
  <si>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</si>
  <si>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</si>
  <si>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</si>
  <si>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</si>
  <si>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</si>
  <si>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</si>
  <si>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</si>
  <si>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</si>
  <si>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</si>
  <si>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</si>
  <si>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</si>
  <si>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</si>
  <si>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</si>
  <si>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</si>
  <si>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</si>
  <si>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</si>
  <si>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</si>
  <si>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</si>
  <si>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</si>
  <si>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</si>
  <si>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</si>
  <si>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</si>
  <si>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</si>
  <si>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</si>
  <si>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</si>
  <si>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</si>
  <si>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</si>
  <si>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</si>
  <si>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</si>
  <si>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</si>
  <si>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</si>
  <si>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</si>
  <si>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</si>
  <si>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</si>
  <si>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</si>
  <si>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</si>
  <si>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</si>
  <si>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</si>
  <si>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</si>
  <si>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</si>
  <si>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</si>
  <si>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</si>
  <si>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</si>
  <si>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</si>
  <si>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</si>
  <si>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</si>
  <si>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</si>
  <si>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</si>
  <si>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</si>
  <si>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</si>
  <si>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</si>
  <si>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</si>
  <si>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</si>
  <si>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</si>
  <si>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</si>
  <si>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</si>
  <si>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</si>
  <si>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</si>
  <si>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</si>
  <si>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</si>
  <si>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</si>
  <si>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</si>
  <si>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</si>
  <si>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</si>
  <si>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</si>
  <si>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</si>
  <si>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</si>
  <si>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</si>
  <si>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</si>
  <si>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</si>
  <si>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</si>
  <si>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</si>
  <si>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</si>
  <si>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</si>
  <si>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</si>
  <si>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</si>
  <si>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</si>
  <si>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</si>
  <si>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FIN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</si>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</sst>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85.670000000000016</c:v>
                </c:pt>
                <c:pt idx="1">
                  <c:v>93.892542153047998</c:v>
                </c:pt>
                <c:pt idx="2">
                  <c:v>97.767692931258111</c:v>
                </c:pt>
                <c:pt idx="3">
                  <c:v>100.30945849546046</c:v>
                </c:pt>
                <c:pt idx="4">
                  <c:v>100.65669422827497</c:v>
                </c:pt>
                <c:pt idx="5">
                  <c:v>99.753881322957199</c:v>
                </c:pt>
                <c:pt idx="6">
                  <c:v>99.878886186770444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9.009999999999998</c:v>
                </c:pt>
                <c:pt idx="1">
                  <c:v>6.6458218044615087</c:v>
                </c:pt>
                <c:pt idx="2">
                  <c:v>2.4097043313254338</c:v>
                </c:pt>
                <c:pt idx="3">
                  <c:v>4.0440727256680118</c:v>
                </c:pt>
                <c:pt idx="4">
                  <c:v>6.9597334568963598</c:v>
                </c:pt>
                <c:pt idx="5">
                  <c:v>10.035829085854239</c:v>
                </c:pt>
                <c:pt idx="6">
                  <c:v>8.1615041592197848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85.670000000000016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85.670000000000016</v>
      </c>
      <c r="S12" s="8">
        <f t="shared" ref="S12:X12" si="0">SUM(S17:S20)</f>
        <v>93.892542153047998</v>
      </c>
      <c r="T12" s="8">
        <f t="shared" si="0"/>
        <v>97.767692931258111</v>
      </c>
      <c r="U12" s="8">
        <f t="shared" si="0"/>
        <v>100.30945849546046</v>
      </c>
      <c r="V12" s="8">
        <f t="shared" si="0"/>
        <v>100.65669422827497</v>
      </c>
      <c r="W12" s="8">
        <f t="shared" si="0"/>
        <v>99.753881322957199</v>
      </c>
      <c r="X12" s="8">
        <f t="shared" si="0"/>
        <v>99.878886186770444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1.1999999999999999E-3</v>
      </c>
      <c r="H16" s="10">
        <f>SUMIFS(ngfs_median!$J$2:$J$17119,ngfs_median!$B$2:$B$17119,Veda!$C$5,ngfs_median!$H$2:$H$17119,Veda!$Q16,ngfs_median!$I$2:$I$17119,Veda!H$15)</f>
        <v>5.0000000000000001E-3</v>
      </c>
      <c r="I16" s="10">
        <f>SUMIFS(ngfs_median!$J$2:$J$17119,ngfs_median!$B$2:$B$17119,Veda!$C$5,ngfs_median!$H$2:$H$17119,Veda!$Q16,ngfs_median!$I$2:$I$17119,Veda!I$15)</f>
        <v>9.0000000000000011E-3</v>
      </c>
      <c r="J16" s="10">
        <f>SUMIFS(ngfs_median!$J$2:$J$17119,ngfs_median!$B$2:$B$17119,Veda!$C$5,ngfs_median!$H$2:$H$17119,Veda!$Q16,ngfs_median!$I$2:$I$17119,Veda!J$15)</f>
        <v>1.1349999999999999E-2</v>
      </c>
      <c r="K16" s="10">
        <f>SUMIFS(ngfs_median!$J$2:$J$17119,ngfs_median!$B$2:$B$17119,Veda!$C$5,ngfs_median!$H$2:$H$17119,Veda!$Q16,ngfs_median!$I$2:$I$17119,Veda!K$15)</f>
        <v>1.2150000000000001E-2</v>
      </c>
      <c r="L16" s="10">
        <f>SUMIFS(ngfs_median!$J$2:$J$17119,ngfs_median!$B$2:$B$17119,Veda!$C$5,ngfs_median!$H$2:$H$17119,Veda!$Q16,ngfs_median!$I$2:$I$17119,Veda!L$15)</f>
        <v>1.26E-2</v>
      </c>
      <c r="M16" s="10">
        <f>SUMIFS(ngfs_median!$J$2:$J$17119,ngfs_median!$B$2:$B$17119,Veda!$C$5,ngfs_median!$H$2:$H$17119,Veda!$Q16,ngfs_median!$I$2:$I$17119,Veda!M$15)</f>
        <v>1.5349999999999999E-2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1.1111111111111114</v>
      </c>
      <c r="U16" s="6">
        <f t="shared" si="2"/>
        <v>1.7638888888888886</v>
      </c>
      <c r="V16" s="6">
        <f t="shared" si="2"/>
        <v>1.9861111111111114</v>
      </c>
      <c r="W16" s="6">
        <f t="shared" si="2"/>
        <v>2.1111111111111112</v>
      </c>
      <c r="X16" s="6">
        <f t="shared" si="2"/>
        <v>2.8749999999999996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3.8E-3</v>
      </c>
      <c r="H17" s="10">
        <f>SUMIFS(ngfs_median!$J$2:$J$17119,ngfs_median!$B$2:$B$17119,Veda!$C$5,ngfs_median!$H$2:$H$17119,Veda!$Q17,ngfs_median!$I$2:$I$17119,Veda!H$15)</f>
        <v>6.0000000000000001E-3</v>
      </c>
      <c r="I17" s="10">
        <f>SUMIFS(ngfs_median!$J$2:$J$17119,ngfs_median!$B$2:$B$17119,Veda!$C$5,ngfs_median!$H$2:$H$17119,Veda!$Q17,ngfs_median!$I$2:$I$17119,Veda!I$15)</f>
        <v>8.7999999999999988E-3</v>
      </c>
      <c r="J17" s="10">
        <f>SUMIFS(ngfs_median!$J$2:$J$17119,ngfs_median!$B$2:$B$17119,Veda!$C$5,ngfs_median!$H$2:$H$17119,Veda!$Q17,ngfs_median!$I$2:$I$17119,Veda!J$15)</f>
        <v>1.1650000000000001E-2</v>
      </c>
      <c r="K17" s="10">
        <f>SUMIFS(ngfs_median!$J$2:$J$17119,ngfs_median!$B$2:$B$17119,Veda!$C$5,ngfs_median!$H$2:$H$17119,Veda!$Q17,ngfs_median!$I$2:$I$17119,Veda!K$15)</f>
        <v>1.35E-2</v>
      </c>
      <c r="L17" s="10">
        <f>SUMIFS(ngfs_median!$J$2:$J$17119,ngfs_median!$B$2:$B$17119,Veda!$C$5,ngfs_median!$H$2:$H$17119,Veda!$Q17,ngfs_median!$I$2:$I$17119,Veda!L$15)</f>
        <v>1.6250000000000001E-2</v>
      </c>
      <c r="M17" s="10">
        <f>SUMIFS(ngfs_median!$J$2:$J$17119,ngfs_median!$B$2:$B$17119,Veda!$C$5,ngfs_median!$H$2:$H$17119,Veda!$Q17,ngfs_median!$I$2:$I$17119,Veda!M$15)</f>
        <v>1.915E-2</v>
      </c>
      <c r="Q17" s="12" t="s">
        <v>10</v>
      </c>
      <c r="R17" s="6">
        <f>$Q$10*G17/SUM($G$17:$G$19)</f>
        <v>1.055596627756161</v>
      </c>
      <c r="S17" s="6">
        <f>R17</f>
        <v>1.055596627756161</v>
      </c>
      <c r="T17" s="6">
        <f t="shared" ref="T17:X17" si="3">S17</f>
        <v>1.055596627756161</v>
      </c>
      <c r="U17" s="6">
        <f t="shared" si="3"/>
        <v>1.055596627756161</v>
      </c>
      <c r="V17" s="6">
        <f t="shared" si="3"/>
        <v>1.055596627756161</v>
      </c>
      <c r="W17" s="6">
        <f t="shared" si="3"/>
        <v>1.055596627756161</v>
      </c>
      <c r="X17" s="6">
        <f t="shared" si="3"/>
        <v>1.055596627756161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0.16075</v>
      </c>
      <c r="H18" s="10">
        <f>SUMIFS(ngfs_median!$J$2:$J$17119,ngfs_median!$B$2:$B$17119,Veda!$C$5,ngfs_median!$H$2:$H$17119,Veda!$Q18,ngfs_median!$I$2:$I$17119,Veda!H$15)</f>
        <v>0.17549999999999999</v>
      </c>
      <c r="I18" s="10">
        <f>SUMIFS(ngfs_median!$J$2:$J$17119,ngfs_median!$B$2:$B$17119,Veda!$C$5,ngfs_median!$H$2:$H$17119,Veda!$Q18,ngfs_median!$I$2:$I$17119,Veda!I$15)</f>
        <v>0.1832</v>
      </c>
      <c r="J18" s="10">
        <f>SUMIFS(ngfs_median!$J$2:$J$17119,ngfs_median!$B$2:$B$17119,Veda!$C$5,ngfs_median!$H$2:$H$17119,Veda!$Q18,ngfs_median!$I$2:$I$17119,Veda!J$15)</f>
        <v>0.18840000000000001</v>
      </c>
      <c r="K18" s="10">
        <f>SUMIFS(ngfs_median!$J$2:$J$17119,ngfs_median!$B$2:$B$17119,Veda!$C$5,ngfs_median!$H$2:$H$17119,Veda!$Q18,ngfs_median!$I$2:$I$17119,Veda!K$15)</f>
        <v>0.18940000000000001</v>
      </c>
      <c r="L18" s="10">
        <f>SUMIFS(ngfs_median!$J$2:$J$17119,ngfs_median!$B$2:$B$17119,Veda!$C$5,ngfs_median!$H$2:$H$17119,Veda!$Q18,ngfs_median!$I$2:$I$17119,Veda!L$15)</f>
        <v>0.1885</v>
      </c>
      <c r="M18" s="10">
        <f>SUMIFS(ngfs_median!$J$2:$J$17119,ngfs_median!$B$2:$B$17119,Veda!$C$5,ngfs_median!$H$2:$H$17119,Veda!$Q18,ngfs_median!$I$2:$I$17119,Veda!M$15)</f>
        <v>0.18820000000000001</v>
      </c>
      <c r="Q18" s="12" t="s">
        <v>12</v>
      </c>
      <c r="R18" s="6">
        <f>$Q$10*G18/SUM($G$17:$G$19)</f>
        <v>44.654515239948125</v>
      </c>
      <c r="S18" s="6">
        <f t="shared" ref="S18:X19" si="4">R18*H18/G18</f>
        <v>48.751896887159539</v>
      </c>
      <c r="T18" s="6">
        <f t="shared" si="4"/>
        <v>50.890869001297027</v>
      </c>
      <c r="U18" s="6">
        <f t="shared" si="4"/>
        <v>52.335369649805465</v>
      </c>
      <c r="V18" s="6">
        <f t="shared" si="4"/>
        <v>52.613158236057082</v>
      </c>
      <c r="W18" s="6">
        <f t="shared" si="4"/>
        <v>52.363148508430619</v>
      </c>
      <c r="X18" s="6">
        <f t="shared" si="4"/>
        <v>52.279811932555134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0.14385000000000001</v>
      </c>
      <c r="H19" s="10">
        <f>SUMIFS(ngfs_median!$J$2:$J$17119,ngfs_median!$B$2:$B$17119,Veda!$C$5,ngfs_median!$H$2:$H$17119,Veda!$Q19,ngfs_median!$I$2:$I$17119,Veda!H$15)</f>
        <v>0.1565</v>
      </c>
      <c r="I19" s="10">
        <f>SUMIFS(ngfs_median!$J$2:$J$17119,ngfs_median!$B$2:$B$17119,Veda!$C$5,ngfs_median!$H$2:$H$17119,Veda!$Q19,ngfs_median!$I$2:$I$17119,Veda!I$15)</f>
        <v>0.15994999999999998</v>
      </c>
      <c r="J19" s="10">
        <f>SUMIFS(ngfs_median!$J$2:$J$17119,ngfs_median!$B$2:$B$17119,Veda!$C$5,ngfs_median!$H$2:$H$17119,Veda!$Q19,ngfs_median!$I$2:$I$17119,Veda!J$15)</f>
        <v>0.16105</v>
      </c>
      <c r="K19" s="10">
        <f>SUMIFS(ngfs_median!$J$2:$J$17119,ngfs_median!$B$2:$B$17119,Veda!$C$5,ngfs_median!$H$2:$H$17119,Veda!$Q19,ngfs_median!$I$2:$I$17119,Veda!K$15)</f>
        <v>0.15945000000000001</v>
      </c>
      <c r="L19" s="10">
        <f>SUMIFS(ngfs_median!$J$2:$J$17119,ngfs_median!$B$2:$B$17119,Veda!$C$5,ngfs_median!$H$2:$H$17119,Veda!$Q19,ngfs_median!$I$2:$I$17119,Veda!L$15)</f>
        <v>0.15434999999999999</v>
      </c>
      <c r="M19" s="10">
        <f>SUMIFS(ngfs_median!$J$2:$J$17119,ngfs_median!$B$2:$B$17119,Veda!$C$5,ngfs_median!$H$2:$H$17119,Veda!$Q19,ngfs_median!$I$2:$I$17119,Veda!M$15)</f>
        <v>0.1522</v>
      </c>
      <c r="Q19" s="12" t="s">
        <v>13</v>
      </c>
      <c r="R19" s="6">
        <f>$Q$10*G19/SUM($G$17:$G$19)</f>
        <v>39.959888132295731</v>
      </c>
      <c r="S19" s="6">
        <f t="shared" si="4"/>
        <v>43.473913748378735</v>
      </c>
      <c r="T19" s="6">
        <f t="shared" si="4"/>
        <v>44.432284370946824</v>
      </c>
      <c r="U19" s="6">
        <f t="shared" si="4"/>
        <v>44.73785181582361</v>
      </c>
      <c r="V19" s="6">
        <f t="shared" si="4"/>
        <v>44.293390077821016</v>
      </c>
      <c r="W19" s="6">
        <f t="shared" si="4"/>
        <v>42.87666828793774</v>
      </c>
      <c r="X19" s="6">
        <f t="shared" si="4"/>
        <v>42.279422827496759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0.61113488975356711</v>
      </c>
      <c r="T20" s="6">
        <f t="shared" si="5"/>
        <v>1.3889429312581061</v>
      </c>
      <c r="U20" s="6">
        <f t="shared" si="5"/>
        <v>2.1806404020752277</v>
      </c>
      <c r="V20" s="6">
        <f t="shared" si="5"/>
        <v>2.6945492866407266</v>
      </c>
      <c r="W20" s="6">
        <f t="shared" si="5"/>
        <v>3.4584678988326853</v>
      </c>
      <c r="X20" s="6">
        <f t="shared" si="5"/>
        <v>4.2640547989623876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9.009999999999998</v>
      </c>
      <c r="D22" s="12" t="s">
        <v>79</v>
      </c>
      <c r="G22" s="8">
        <f>G35/$G$35*$B22</f>
        <v>9.009999999999998</v>
      </c>
      <c r="H22" s="8">
        <f t="shared" ref="H22:M22" si="6">H35/$G$35*$B22</f>
        <v>6.6458218044615087</v>
      </c>
      <c r="I22" s="8">
        <f t="shared" si="6"/>
        <v>2.4097043313254338</v>
      </c>
      <c r="J22" s="8">
        <f t="shared" si="6"/>
        <v>4.0440727256680118</v>
      </c>
      <c r="K22" s="8">
        <f t="shared" si="6"/>
        <v>6.9597334568963598</v>
      </c>
      <c r="L22" s="8">
        <f t="shared" si="6"/>
        <v>10.035829085854239</v>
      </c>
      <c r="M22" s="8">
        <f t="shared" si="6"/>
        <v>8.1615041592197848</v>
      </c>
      <c r="Q22" t="s">
        <v>64</v>
      </c>
      <c r="T22" s="8">
        <f>I35*1000</f>
        <v>1212.0999999999999</v>
      </c>
      <c r="U22" s="8">
        <f>J35*1000</f>
        <v>2034.1999999999998</v>
      </c>
      <c r="V22" s="8">
        <f>K35*1000</f>
        <v>3500.7999999999997</v>
      </c>
      <c r="W22" s="8">
        <f>L35*1000</f>
        <v>5048.1000000000004</v>
      </c>
      <c r="X22" s="8">
        <f>M35*1000</f>
        <v>4105.2999999999993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19.399999999999999</v>
      </c>
      <c r="S26" s="3">
        <f>AVERAGEIFS(historical_data_long!$D$3:$D$9999,historical_data_long!$B$3:$B$9999,"&gt;2017",historical_data_long!$A$3:$A$9999,$O26)</f>
        <v>20.283333333333331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6.9</v>
      </c>
      <c r="S27" s="3">
        <f>AVERAGEIFS(historical_data_long!$D$3:$D$9999,historical_data_long!$B$3:$B$9999,"&gt;2017",historical_data_long!$A$3:$A$9999,$O27)</f>
        <v>5.7833333333333323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4.5320999999999998</v>
      </c>
      <c r="H35" s="11">
        <f>SUMIFS(ngfs_median!$J$2:$J$17119,ngfs_median!$B$2:$B$17119,Veda!$C$5,ngfs_median!$D$2:$D$17119,Veda!$D22,ngfs_median!$I$2:$I$17119,Veda!H$15)</f>
        <v>3.3429000000000006</v>
      </c>
      <c r="I35" s="11">
        <f>SUMIFS(ngfs_median!$J$2:$J$17119,ngfs_median!$B$2:$B$17119,Veda!$C$5,ngfs_median!$D$2:$D$17119,Veda!$D22,ngfs_median!$I$2:$I$17119,Veda!I$15)</f>
        <v>1.2121</v>
      </c>
      <c r="J35" s="11">
        <f>SUMIFS(ngfs_median!$J$2:$J$17119,ngfs_median!$B$2:$B$17119,Veda!$C$5,ngfs_median!$D$2:$D$17119,Veda!$D22,ngfs_median!$I$2:$I$17119,Veda!J$15)</f>
        <v>2.0341999999999998</v>
      </c>
      <c r="K35" s="11">
        <f>SUMIFS(ngfs_median!$J$2:$J$17119,ngfs_median!$B$2:$B$17119,Veda!$C$5,ngfs_median!$D$2:$D$17119,Veda!$D22,ngfs_median!$I$2:$I$17119,Veda!K$15)</f>
        <v>3.5007999999999999</v>
      </c>
      <c r="L35" s="11">
        <f>SUMIFS(ngfs_median!$J$2:$J$17119,ngfs_median!$B$2:$B$17119,Veda!$C$5,ngfs_median!$D$2:$D$17119,Veda!$D22,ngfs_median!$I$2:$I$17119,Veda!L$15)</f>
        <v>5.0481000000000007</v>
      </c>
      <c r="M35" s="11">
        <f>SUMIFS(ngfs_median!$J$2:$J$17119,ngfs_median!$B$2:$B$17119,Veda!$C$5,ngfs_median!$D$2:$D$17119,Veda!$D22,ngfs_median!$I$2:$I$17119,Veda!M$15)</f>
        <v>4.1052999999999997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1.55</v>
      </c>
      <c r="T37">
        <v>3.2</v>
      </c>
      <c r="U37">
        <v>4</v>
      </c>
      <c r="V37" t="s">
        <v>94</v>
      </c>
    </row>
    <row r="38" spans="7:22" x14ac:dyDescent="0.45">
      <c r="Q38" t="s">
        <v>39</v>
      </c>
      <c r="R38" t="s">
        <v>93</v>
      </c>
      <c r="S38">
        <v>1.016</v>
      </c>
      <c r="T38">
        <v>1.016</v>
      </c>
      <c r="U38">
        <v>1.716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8.64</v>
      </c>
    </row>
    <row r="3" spans="1:4" x14ac:dyDescent="0.45">
      <c r="A3" t="s">
        <v>34</v>
      </c>
      <c r="B3">
        <v>2000</v>
      </c>
      <c r="C3" t="s">
        <v>74</v>
      </c>
      <c r="D3">
        <v>8.49</v>
      </c>
    </row>
    <row r="4" spans="1:4" x14ac:dyDescent="0.45">
      <c r="A4" t="s">
        <v>36</v>
      </c>
      <c r="B4">
        <v>2000</v>
      </c>
      <c r="C4" t="s">
        <v>74</v>
      </c>
      <c r="D4">
        <v>10.130000000000001</v>
      </c>
    </row>
    <row r="5" spans="1:4" x14ac:dyDescent="0.45">
      <c r="A5" t="s">
        <v>56</v>
      </c>
      <c r="B5">
        <v>2000</v>
      </c>
      <c r="C5" t="s">
        <v>74</v>
      </c>
      <c r="D5">
        <v>14.66</v>
      </c>
    </row>
    <row r="6" spans="1:4" x14ac:dyDescent="0.45">
      <c r="A6" t="s">
        <v>57</v>
      </c>
      <c r="B6">
        <v>2000</v>
      </c>
      <c r="C6" t="s">
        <v>74</v>
      </c>
      <c r="D6">
        <v>22.48</v>
      </c>
    </row>
    <row r="7" spans="1:4" x14ac:dyDescent="0.45">
      <c r="A7" t="s">
        <v>38</v>
      </c>
      <c r="B7">
        <v>2000</v>
      </c>
      <c r="C7" t="s">
        <v>74</v>
      </c>
      <c r="D7">
        <v>5.49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0.08</v>
      </c>
    </row>
    <row r="11" spans="1:4" x14ac:dyDescent="0.45">
      <c r="A11" t="s">
        <v>32</v>
      </c>
      <c r="B11">
        <v>2001</v>
      </c>
      <c r="C11" t="s">
        <v>74</v>
      </c>
      <c r="D11">
        <v>8.27</v>
      </c>
    </row>
    <row r="12" spans="1:4" x14ac:dyDescent="0.45">
      <c r="A12" t="s">
        <v>34</v>
      </c>
      <c r="B12">
        <v>2001</v>
      </c>
      <c r="C12" t="s">
        <v>74</v>
      </c>
      <c r="D12">
        <v>10.61</v>
      </c>
    </row>
    <row r="13" spans="1:4" x14ac:dyDescent="0.45">
      <c r="A13" t="s">
        <v>36</v>
      </c>
      <c r="B13">
        <v>2001</v>
      </c>
      <c r="C13" t="s">
        <v>74</v>
      </c>
      <c r="D13">
        <v>11.69</v>
      </c>
    </row>
    <row r="14" spans="1:4" x14ac:dyDescent="0.45">
      <c r="A14" t="s">
        <v>56</v>
      </c>
      <c r="B14">
        <v>2001</v>
      </c>
      <c r="C14" t="s">
        <v>74</v>
      </c>
      <c r="D14">
        <v>13.2</v>
      </c>
    </row>
    <row r="15" spans="1:4" x14ac:dyDescent="0.45">
      <c r="A15" t="s">
        <v>57</v>
      </c>
      <c r="B15">
        <v>2001</v>
      </c>
      <c r="C15" t="s">
        <v>74</v>
      </c>
      <c r="D15">
        <v>22.77</v>
      </c>
    </row>
    <row r="16" spans="1:4" x14ac:dyDescent="0.45">
      <c r="A16" t="s">
        <v>38</v>
      </c>
      <c r="B16">
        <v>2001</v>
      </c>
      <c r="C16" t="s">
        <v>74</v>
      </c>
      <c r="D16">
        <v>7.84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7.0000000000000007E-2</v>
      </c>
    </row>
    <row r="20" spans="1:4" x14ac:dyDescent="0.45">
      <c r="A20" t="s">
        <v>32</v>
      </c>
      <c r="B20">
        <v>2002</v>
      </c>
      <c r="C20" t="s">
        <v>74</v>
      </c>
      <c r="D20">
        <v>8.99</v>
      </c>
    </row>
    <row r="21" spans="1:4" x14ac:dyDescent="0.45">
      <c r="A21" t="s">
        <v>34</v>
      </c>
      <c r="B21">
        <v>2002</v>
      </c>
      <c r="C21" t="s">
        <v>74</v>
      </c>
      <c r="D21">
        <v>12.71</v>
      </c>
    </row>
    <row r="22" spans="1:4" x14ac:dyDescent="0.45">
      <c r="A22" t="s">
        <v>36</v>
      </c>
      <c r="B22">
        <v>2002</v>
      </c>
      <c r="C22" t="s">
        <v>74</v>
      </c>
      <c r="D22">
        <v>11.63</v>
      </c>
    </row>
    <row r="23" spans="1:4" x14ac:dyDescent="0.45">
      <c r="A23" t="s">
        <v>56</v>
      </c>
      <c r="B23">
        <v>2002</v>
      </c>
      <c r="C23" t="s">
        <v>74</v>
      </c>
      <c r="D23">
        <v>10.78</v>
      </c>
    </row>
    <row r="24" spans="1:4" x14ac:dyDescent="0.45">
      <c r="A24" t="s">
        <v>57</v>
      </c>
      <c r="B24">
        <v>2002</v>
      </c>
      <c r="C24" t="s">
        <v>74</v>
      </c>
      <c r="D24">
        <v>22.3</v>
      </c>
    </row>
    <row r="25" spans="1:4" x14ac:dyDescent="0.45">
      <c r="A25" t="s">
        <v>38</v>
      </c>
      <c r="B25">
        <v>2002</v>
      </c>
      <c r="C25" t="s">
        <v>74</v>
      </c>
      <c r="D25">
        <v>8.4499999999999993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0.06</v>
      </c>
    </row>
    <row r="29" spans="1:4" x14ac:dyDescent="0.45">
      <c r="A29" t="s">
        <v>32</v>
      </c>
      <c r="B29">
        <v>2003</v>
      </c>
      <c r="C29" t="s">
        <v>74</v>
      </c>
      <c r="D29">
        <v>9.3800000000000008</v>
      </c>
    </row>
    <row r="30" spans="1:4" x14ac:dyDescent="0.45">
      <c r="A30" t="s">
        <v>34</v>
      </c>
      <c r="B30">
        <v>2003</v>
      </c>
      <c r="C30" t="s">
        <v>74</v>
      </c>
      <c r="D30">
        <v>19.25</v>
      </c>
    </row>
    <row r="31" spans="1:4" x14ac:dyDescent="0.45">
      <c r="A31" t="s">
        <v>36</v>
      </c>
      <c r="B31">
        <v>2003</v>
      </c>
      <c r="C31" t="s">
        <v>74</v>
      </c>
      <c r="D31">
        <v>13.85</v>
      </c>
    </row>
    <row r="32" spans="1:4" x14ac:dyDescent="0.45">
      <c r="A32" t="s">
        <v>56</v>
      </c>
      <c r="B32">
        <v>2003</v>
      </c>
      <c r="C32" t="s">
        <v>74</v>
      </c>
      <c r="D32">
        <v>9.59</v>
      </c>
    </row>
    <row r="33" spans="1:4" x14ac:dyDescent="0.45">
      <c r="A33" t="s">
        <v>57</v>
      </c>
      <c r="B33">
        <v>2003</v>
      </c>
      <c r="C33" t="s">
        <v>74</v>
      </c>
      <c r="D33">
        <v>22.73</v>
      </c>
    </row>
    <row r="34" spans="1:4" x14ac:dyDescent="0.45">
      <c r="A34" t="s">
        <v>38</v>
      </c>
      <c r="B34">
        <v>2003</v>
      </c>
      <c r="C34" t="s">
        <v>74</v>
      </c>
      <c r="D34">
        <v>9.39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0.09</v>
      </c>
    </row>
    <row r="38" spans="1:4" x14ac:dyDescent="0.45">
      <c r="A38" t="s">
        <v>32</v>
      </c>
      <c r="B38">
        <v>2004</v>
      </c>
      <c r="C38" t="s">
        <v>74</v>
      </c>
      <c r="D38">
        <v>10.44</v>
      </c>
    </row>
    <row r="39" spans="1:4" x14ac:dyDescent="0.45">
      <c r="A39" t="s">
        <v>34</v>
      </c>
      <c r="B39">
        <v>2004</v>
      </c>
      <c r="C39" t="s">
        <v>74</v>
      </c>
      <c r="D39">
        <v>16.5</v>
      </c>
    </row>
    <row r="40" spans="1:4" x14ac:dyDescent="0.45">
      <c r="A40" t="s">
        <v>36</v>
      </c>
      <c r="B40">
        <v>2004</v>
      </c>
      <c r="C40" t="s">
        <v>74</v>
      </c>
      <c r="D40">
        <v>12.75</v>
      </c>
    </row>
    <row r="41" spans="1:4" x14ac:dyDescent="0.45">
      <c r="A41" t="s">
        <v>56</v>
      </c>
      <c r="B41">
        <v>2004</v>
      </c>
      <c r="C41" t="s">
        <v>74</v>
      </c>
      <c r="D41">
        <v>15.07</v>
      </c>
    </row>
    <row r="42" spans="1:4" x14ac:dyDescent="0.45">
      <c r="A42" t="s">
        <v>57</v>
      </c>
      <c r="B42">
        <v>2004</v>
      </c>
      <c r="C42" t="s">
        <v>74</v>
      </c>
      <c r="D42">
        <v>22.72</v>
      </c>
    </row>
    <row r="43" spans="1:4" x14ac:dyDescent="0.45">
      <c r="A43" t="s">
        <v>38</v>
      </c>
      <c r="B43">
        <v>2004</v>
      </c>
      <c r="C43" t="s">
        <v>74</v>
      </c>
      <c r="D43">
        <v>8.24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0.12</v>
      </c>
    </row>
    <row r="47" spans="1:4" x14ac:dyDescent="0.45">
      <c r="A47" t="s">
        <v>32</v>
      </c>
      <c r="B47">
        <v>2005</v>
      </c>
      <c r="C47" t="s">
        <v>74</v>
      </c>
      <c r="D47">
        <v>9.51</v>
      </c>
    </row>
    <row r="48" spans="1:4" x14ac:dyDescent="0.45">
      <c r="A48" t="s">
        <v>34</v>
      </c>
      <c r="B48">
        <v>2005</v>
      </c>
      <c r="C48" t="s">
        <v>74</v>
      </c>
      <c r="D48">
        <v>6.5</v>
      </c>
    </row>
    <row r="49" spans="1:4" x14ac:dyDescent="0.45">
      <c r="A49" t="s">
        <v>36</v>
      </c>
      <c r="B49">
        <v>2005</v>
      </c>
      <c r="C49" t="s">
        <v>74</v>
      </c>
      <c r="D49">
        <v>11.23</v>
      </c>
    </row>
    <row r="50" spans="1:4" x14ac:dyDescent="0.45">
      <c r="A50" t="s">
        <v>56</v>
      </c>
      <c r="B50">
        <v>2005</v>
      </c>
      <c r="C50" t="s">
        <v>74</v>
      </c>
      <c r="D50">
        <v>13.78</v>
      </c>
    </row>
    <row r="51" spans="1:4" x14ac:dyDescent="0.45">
      <c r="A51" t="s">
        <v>57</v>
      </c>
      <c r="B51">
        <v>2005</v>
      </c>
      <c r="C51" t="s">
        <v>74</v>
      </c>
      <c r="D51">
        <v>23.27</v>
      </c>
    </row>
    <row r="52" spans="1:4" x14ac:dyDescent="0.45">
      <c r="A52" t="s">
        <v>38</v>
      </c>
      <c r="B52">
        <v>2005</v>
      </c>
      <c r="C52" t="s">
        <v>74</v>
      </c>
      <c r="D52">
        <v>6.1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0.17</v>
      </c>
    </row>
    <row r="56" spans="1:4" x14ac:dyDescent="0.45">
      <c r="A56" t="s">
        <v>32</v>
      </c>
      <c r="B56">
        <v>2006</v>
      </c>
      <c r="C56" t="s">
        <v>74</v>
      </c>
      <c r="D56">
        <v>10.81</v>
      </c>
    </row>
    <row r="57" spans="1:4" x14ac:dyDescent="0.45">
      <c r="A57" t="s">
        <v>34</v>
      </c>
      <c r="B57">
        <v>2006</v>
      </c>
      <c r="C57" t="s">
        <v>74</v>
      </c>
      <c r="D57">
        <v>16.329999999999998</v>
      </c>
    </row>
    <row r="58" spans="1:4" x14ac:dyDescent="0.45">
      <c r="A58" t="s">
        <v>36</v>
      </c>
      <c r="B58">
        <v>2006</v>
      </c>
      <c r="C58" t="s">
        <v>74</v>
      </c>
      <c r="D58">
        <v>12.32</v>
      </c>
    </row>
    <row r="59" spans="1:4" x14ac:dyDescent="0.45">
      <c r="A59" t="s">
        <v>56</v>
      </c>
      <c r="B59">
        <v>2006</v>
      </c>
      <c r="C59" t="s">
        <v>74</v>
      </c>
      <c r="D59">
        <v>11.49</v>
      </c>
    </row>
    <row r="60" spans="1:4" x14ac:dyDescent="0.45">
      <c r="A60" t="s">
        <v>57</v>
      </c>
      <c r="B60">
        <v>2006</v>
      </c>
      <c r="C60" t="s">
        <v>74</v>
      </c>
      <c r="D60">
        <v>22.91</v>
      </c>
    </row>
    <row r="61" spans="1:4" x14ac:dyDescent="0.45">
      <c r="A61" t="s">
        <v>38</v>
      </c>
      <c r="B61">
        <v>2006</v>
      </c>
      <c r="C61" t="s">
        <v>74</v>
      </c>
      <c r="D61">
        <v>8.27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0.16</v>
      </c>
    </row>
    <row r="65" spans="1:4" x14ac:dyDescent="0.45">
      <c r="A65" t="s">
        <v>32</v>
      </c>
      <c r="B65">
        <v>2007</v>
      </c>
      <c r="C65" t="s">
        <v>74</v>
      </c>
      <c r="D65">
        <v>9.9499999999999993</v>
      </c>
    </row>
    <row r="66" spans="1:4" x14ac:dyDescent="0.45">
      <c r="A66" t="s">
        <v>34</v>
      </c>
      <c r="B66">
        <v>2007</v>
      </c>
      <c r="C66" t="s">
        <v>74</v>
      </c>
      <c r="D66">
        <v>13.89</v>
      </c>
    </row>
    <row r="67" spans="1:4" x14ac:dyDescent="0.45">
      <c r="A67" t="s">
        <v>36</v>
      </c>
      <c r="B67">
        <v>2007</v>
      </c>
      <c r="C67" t="s">
        <v>74</v>
      </c>
      <c r="D67">
        <v>10.56</v>
      </c>
    </row>
    <row r="68" spans="1:4" x14ac:dyDescent="0.45">
      <c r="A68" t="s">
        <v>56</v>
      </c>
      <c r="B68">
        <v>2007</v>
      </c>
      <c r="C68" t="s">
        <v>74</v>
      </c>
      <c r="D68">
        <v>14.18</v>
      </c>
    </row>
    <row r="69" spans="1:4" x14ac:dyDescent="0.45">
      <c r="A69" t="s">
        <v>57</v>
      </c>
      <c r="B69">
        <v>2007</v>
      </c>
      <c r="C69" t="s">
        <v>74</v>
      </c>
      <c r="D69">
        <v>23.42</v>
      </c>
    </row>
    <row r="70" spans="1:4" x14ac:dyDescent="0.45">
      <c r="A70" t="s">
        <v>38</v>
      </c>
      <c r="B70">
        <v>2007</v>
      </c>
      <c r="C70" t="s">
        <v>74</v>
      </c>
      <c r="D70">
        <v>8.98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0.19</v>
      </c>
    </row>
    <row r="74" spans="1:4" x14ac:dyDescent="0.45">
      <c r="A74" t="s">
        <v>32</v>
      </c>
      <c r="B74">
        <v>2008</v>
      </c>
      <c r="C74" t="s">
        <v>74</v>
      </c>
      <c r="D74">
        <v>10.4</v>
      </c>
    </row>
    <row r="75" spans="1:4" x14ac:dyDescent="0.45">
      <c r="A75" t="s">
        <v>34</v>
      </c>
      <c r="B75">
        <v>2008</v>
      </c>
      <c r="C75" t="s">
        <v>74</v>
      </c>
      <c r="D75">
        <v>8.5</v>
      </c>
    </row>
    <row r="76" spans="1:4" x14ac:dyDescent="0.45">
      <c r="A76" t="s">
        <v>36</v>
      </c>
      <c r="B76">
        <v>2008</v>
      </c>
      <c r="C76" t="s">
        <v>74</v>
      </c>
      <c r="D76">
        <v>11.03</v>
      </c>
    </row>
    <row r="77" spans="1:4" x14ac:dyDescent="0.45">
      <c r="A77" t="s">
        <v>56</v>
      </c>
      <c r="B77">
        <v>2008</v>
      </c>
      <c r="C77" t="s">
        <v>74</v>
      </c>
      <c r="D77">
        <v>17.11</v>
      </c>
    </row>
    <row r="78" spans="1:4" x14ac:dyDescent="0.45">
      <c r="A78" t="s">
        <v>57</v>
      </c>
      <c r="B78">
        <v>2008</v>
      </c>
      <c r="C78" t="s">
        <v>74</v>
      </c>
      <c r="D78">
        <v>22.96</v>
      </c>
    </row>
    <row r="79" spans="1:4" x14ac:dyDescent="0.45">
      <c r="A79" t="s">
        <v>38</v>
      </c>
      <c r="B79">
        <v>2008</v>
      </c>
      <c r="C79" t="s">
        <v>74</v>
      </c>
      <c r="D79">
        <v>7.09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0.26</v>
      </c>
    </row>
    <row r="83" spans="1:4" x14ac:dyDescent="0.45">
      <c r="A83" t="s">
        <v>32</v>
      </c>
      <c r="B83">
        <v>2009</v>
      </c>
      <c r="C83" t="s">
        <v>74</v>
      </c>
      <c r="D83">
        <v>8.73</v>
      </c>
    </row>
    <row r="84" spans="1:4" x14ac:dyDescent="0.45">
      <c r="A84" t="s">
        <v>34</v>
      </c>
      <c r="B84">
        <v>2009</v>
      </c>
      <c r="C84" t="s">
        <v>74</v>
      </c>
      <c r="D84">
        <v>11.13</v>
      </c>
    </row>
    <row r="85" spans="1:4" x14ac:dyDescent="0.45">
      <c r="A85" t="s">
        <v>36</v>
      </c>
      <c r="B85">
        <v>2009</v>
      </c>
      <c r="C85" t="s">
        <v>74</v>
      </c>
      <c r="D85">
        <v>9.82</v>
      </c>
    </row>
    <row r="86" spans="1:4" x14ac:dyDescent="0.45">
      <c r="A86" t="s">
        <v>56</v>
      </c>
      <c r="B86">
        <v>2009</v>
      </c>
      <c r="C86" t="s">
        <v>74</v>
      </c>
      <c r="D86">
        <v>12.69</v>
      </c>
    </row>
    <row r="87" spans="1:4" x14ac:dyDescent="0.45">
      <c r="A87" t="s">
        <v>57</v>
      </c>
      <c r="B87">
        <v>2009</v>
      </c>
      <c r="C87" t="s">
        <v>74</v>
      </c>
      <c r="D87">
        <v>23.53</v>
      </c>
    </row>
    <row r="88" spans="1:4" x14ac:dyDescent="0.45">
      <c r="A88" t="s">
        <v>38</v>
      </c>
      <c r="B88">
        <v>2009</v>
      </c>
      <c r="C88" t="s">
        <v>74</v>
      </c>
      <c r="D88">
        <v>5.88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0.28000000000000003</v>
      </c>
    </row>
    <row r="92" spans="1:4" x14ac:dyDescent="0.45">
      <c r="A92" t="s">
        <v>32</v>
      </c>
      <c r="B92">
        <v>2010</v>
      </c>
      <c r="C92" t="s">
        <v>74</v>
      </c>
      <c r="D92">
        <v>10.97</v>
      </c>
    </row>
    <row r="93" spans="1:4" x14ac:dyDescent="0.45">
      <c r="A93" t="s">
        <v>34</v>
      </c>
      <c r="B93">
        <v>2010</v>
      </c>
      <c r="C93" t="s">
        <v>74</v>
      </c>
      <c r="D93">
        <v>14.54</v>
      </c>
    </row>
    <row r="94" spans="1:4" x14ac:dyDescent="0.45">
      <c r="A94" t="s">
        <v>36</v>
      </c>
      <c r="B94">
        <v>2010</v>
      </c>
      <c r="C94" t="s">
        <v>74</v>
      </c>
      <c r="D94">
        <v>11.26</v>
      </c>
    </row>
    <row r="95" spans="1:4" x14ac:dyDescent="0.45">
      <c r="A95" t="s">
        <v>56</v>
      </c>
      <c r="B95">
        <v>2010</v>
      </c>
      <c r="C95" t="s">
        <v>74</v>
      </c>
      <c r="D95">
        <v>12.92</v>
      </c>
    </row>
    <row r="96" spans="1:4" x14ac:dyDescent="0.45">
      <c r="A96" t="s">
        <v>57</v>
      </c>
      <c r="B96">
        <v>2010</v>
      </c>
      <c r="C96" t="s">
        <v>74</v>
      </c>
      <c r="D96">
        <v>22.8</v>
      </c>
    </row>
    <row r="97" spans="1:4" x14ac:dyDescent="0.45">
      <c r="A97" t="s">
        <v>38</v>
      </c>
      <c r="B97">
        <v>2010</v>
      </c>
      <c r="C97" t="s">
        <v>74</v>
      </c>
      <c r="D97">
        <v>7.86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0.28999999999999998</v>
      </c>
    </row>
    <row r="101" spans="1:4" x14ac:dyDescent="0.45">
      <c r="A101" t="s">
        <v>32</v>
      </c>
      <c r="B101">
        <v>2011</v>
      </c>
      <c r="C101" t="s">
        <v>74</v>
      </c>
      <c r="D101">
        <v>11.24</v>
      </c>
    </row>
    <row r="102" spans="1:4" x14ac:dyDescent="0.45">
      <c r="A102" t="s">
        <v>34</v>
      </c>
      <c r="B102">
        <v>2011</v>
      </c>
      <c r="C102" t="s">
        <v>74</v>
      </c>
      <c r="D102">
        <v>9.7799999999999994</v>
      </c>
    </row>
    <row r="103" spans="1:4" x14ac:dyDescent="0.45">
      <c r="A103" t="s">
        <v>36</v>
      </c>
      <c r="B103">
        <v>2011</v>
      </c>
      <c r="C103" t="s">
        <v>74</v>
      </c>
      <c r="D103">
        <v>9.4499999999999993</v>
      </c>
    </row>
    <row r="104" spans="1:4" x14ac:dyDescent="0.45">
      <c r="A104" t="s">
        <v>56</v>
      </c>
      <c r="B104">
        <v>2011</v>
      </c>
      <c r="C104" t="s">
        <v>74</v>
      </c>
      <c r="D104">
        <v>12.45</v>
      </c>
    </row>
    <row r="105" spans="1:4" x14ac:dyDescent="0.45">
      <c r="A105" t="s">
        <v>57</v>
      </c>
      <c r="B105">
        <v>2011</v>
      </c>
      <c r="C105" t="s">
        <v>74</v>
      </c>
      <c r="D105">
        <v>23.19</v>
      </c>
    </row>
    <row r="106" spans="1:4" x14ac:dyDescent="0.45">
      <c r="A106" t="s">
        <v>38</v>
      </c>
      <c r="B106">
        <v>2011</v>
      </c>
      <c r="C106" t="s">
        <v>74</v>
      </c>
      <c r="D106">
        <v>6.9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0.01</v>
      </c>
    </row>
    <row r="109" spans="1:4" x14ac:dyDescent="0.45">
      <c r="A109" t="s">
        <v>91</v>
      </c>
      <c r="B109">
        <v>2011</v>
      </c>
      <c r="C109" t="s">
        <v>74</v>
      </c>
      <c r="D109">
        <v>0.48</v>
      </c>
    </row>
    <row r="110" spans="1:4" x14ac:dyDescent="0.45">
      <c r="A110" t="s">
        <v>32</v>
      </c>
      <c r="B110">
        <v>2012</v>
      </c>
      <c r="C110" t="s">
        <v>74</v>
      </c>
      <c r="D110">
        <v>11.2</v>
      </c>
    </row>
    <row r="111" spans="1:4" x14ac:dyDescent="0.45">
      <c r="A111" t="s">
        <v>34</v>
      </c>
      <c r="B111">
        <v>2012</v>
      </c>
      <c r="C111" t="s">
        <v>74</v>
      </c>
      <c r="D111">
        <v>7.1</v>
      </c>
    </row>
    <row r="112" spans="1:4" x14ac:dyDescent="0.45">
      <c r="A112" t="s">
        <v>36</v>
      </c>
      <c r="B112">
        <v>2012</v>
      </c>
      <c r="C112" t="s">
        <v>74</v>
      </c>
      <c r="D112">
        <v>6.73</v>
      </c>
    </row>
    <row r="113" spans="1:4" x14ac:dyDescent="0.45">
      <c r="A113" t="s">
        <v>56</v>
      </c>
      <c r="B113">
        <v>2012</v>
      </c>
      <c r="C113" t="s">
        <v>74</v>
      </c>
      <c r="D113">
        <v>16.86</v>
      </c>
    </row>
    <row r="114" spans="1:4" x14ac:dyDescent="0.45">
      <c r="A114" t="s">
        <v>57</v>
      </c>
      <c r="B114">
        <v>2012</v>
      </c>
      <c r="C114" t="s">
        <v>74</v>
      </c>
      <c r="D114">
        <v>22.99</v>
      </c>
    </row>
    <row r="115" spans="1:4" x14ac:dyDescent="0.45">
      <c r="A115" t="s">
        <v>38</v>
      </c>
      <c r="B115">
        <v>2012</v>
      </c>
      <c r="C115" t="s">
        <v>74</v>
      </c>
      <c r="D115">
        <v>5.03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0.01</v>
      </c>
    </row>
    <row r="118" spans="1:4" x14ac:dyDescent="0.45">
      <c r="A118" t="s">
        <v>91</v>
      </c>
      <c r="B118">
        <v>2012</v>
      </c>
      <c r="C118" t="s">
        <v>74</v>
      </c>
      <c r="D118">
        <v>0.49</v>
      </c>
    </row>
    <row r="119" spans="1:4" x14ac:dyDescent="0.45">
      <c r="A119" t="s">
        <v>32</v>
      </c>
      <c r="B119">
        <v>2013</v>
      </c>
      <c r="C119" t="s">
        <v>74</v>
      </c>
      <c r="D119">
        <v>12.01</v>
      </c>
    </row>
    <row r="120" spans="1:4" x14ac:dyDescent="0.45">
      <c r="A120" t="s">
        <v>34</v>
      </c>
      <c r="B120">
        <v>2013</v>
      </c>
      <c r="C120" t="s">
        <v>74</v>
      </c>
      <c r="D120">
        <v>10.69</v>
      </c>
    </row>
    <row r="121" spans="1:4" x14ac:dyDescent="0.45">
      <c r="A121" t="s">
        <v>36</v>
      </c>
      <c r="B121">
        <v>2013</v>
      </c>
      <c r="C121" t="s">
        <v>74</v>
      </c>
      <c r="D121">
        <v>6.79</v>
      </c>
    </row>
    <row r="122" spans="1:4" x14ac:dyDescent="0.45">
      <c r="A122" t="s">
        <v>56</v>
      </c>
      <c r="B122">
        <v>2013</v>
      </c>
      <c r="C122" t="s">
        <v>74</v>
      </c>
      <c r="D122">
        <v>12.84</v>
      </c>
    </row>
    <row r="123" spans="1:4" x14ac:dyDescent="0.45">
      <c r="A123" t="s">
        <v>57</v>
      </c>
      <c r="B123">
        <v>2013</v>
      </c>
      <c r="C123" t="s">
        <v>74</v>
      </c>
      <c r="D123">
        <v>23.61</v>
      </c>
    </row>
    <row r="124" spans="1:4" x14ac:dyDescent="0.45">
      <c r="A124" t="s">
        <v>38</v>
      </c>
      <c r="B124">
        <v>2013</v>
      </c>
      <c r="C124" t="s">
        <v>74</v>
      </c>
      <c r="D124">
        <v>4.54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0.01</v>
      </c>
    </row>
    <row r="127" spans="1:4" x14ac:dyDescent="0.45">
      <c r="A127" t="s">
        <v>91</v>
      </c>
      <c r="B127">
        <v>2013</v>
      </c>
      <c r="C127" t="s">
        <v>74</v>
      </c>
      <c r="D127">
        <v>0.77</v>
      </c>
    </row>
    <row r="128" spans="1:4" x14ac:dyDescent="0.45">
      <c r="A128" t="s">
        <v>32</v>
      </c>
      <c r="B128">
        <v>2014</v>
      </c>
      <c r="C128" t="s">
        <v>74</v>
      </c>
      <c r="D128">
        <v>11.76</v>
      </c>
    </row>
    <row r="129" spans="1:4" x14ac:dyDescent="0.45">
      <c r="A129" t="s">
        <v>34</v>
      </c>
      <c r="B129">
        <v>2014</v>
      </c>
      <c r="C129" t="s">
        <v>74</v>
      </c>
      <c r="D129">
        <v>7.92</v>
      </c>
    </row>
    <row r="130" spans="1:4" x14ac:dyDescent="0.45">
      <c r="A130" t="s">
        <v>36</v>
      </c>
      <c r="B130">
        <v>2014</v>
      </c>
      <c r="C130" t="s">
        <v>74</v>
      </c>
      <c r="D130">
        <v>5.52</v>
      </c>
    </row>
    <row r="131" spans="1:4" x14ac:dyDescent="0.45">
      <c r="A131" t="s">
        <v>56</v>
      </c>
      <c r="B131">
        <v>2014</v>
      </c>
      <c r="C131" t="s">
        <v>74</v>
      </c>
      <c r="D131">
        <v>13.4</v>
      </c>
    </row>
    <row r="132" spans="1:4" x14ac:dyDescent="0.45">
      <c r="A132" t="s">
        <v>57</v>
      </c>
      <c r="B132">
        <v>2014</v>
      </c>
      <c r="C132" t="s">
        <v>74</v>
      </c>
      <c r="D132">
        <v>23.58</v>
      </c>
    </row>
    <row r="133" spans="1:4" x14ac:dyDescent="0.45">
      <c r="A133" t="s">
        <v>38</v>
      </c>
      <c r="B133">
        <v>2014</v>
      </c>
      <c r="C133" t="s">
        <v>74</v>
      </c>
      <c r="D133">
        <v>4.8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0.01</v>
      </c>
    </row>
    <row r="136" spans="1:4" x14ac:dyDescent="0.45">
      <c r="A136" t="s">
        <v>91</v>
      </c>
      <c r="B136">
        <v>2014</v>
      </c>
      <c r="C136" t="s">
        <v>74</v>
      </c>
      <c r="D136">
        <v>1.1100000000000001</v>
      </c>
    </row>
    <row r="137" spans="1:4" x14ac:dyDescent="0.45">
      <c r="A137" t="s">
        <v>32</v>
      </c>
      <c r="B137">
        <v>2015</v>
      </c>
      <c r="C137" t="s">
        <v>74</v>
      </c>
      <c r="D137">
        <v>11.42</v>
      </c>
    </row>
    <row r="138" spans="1:4" x14ac:dyDescent="0.45">
      <c r="A138" t="s">
        <v>34</v>
      </c>
      <c r="B138">
        <v>2015</v>
      </c>
      <c r="C138" t="s">
        <v>74</v>
      </c>
      <c r="D138">
        <v>5.12</v>
      </c>
    </row>
    <row r="139" spans="1:4" x14ac:dyDescent="0.45">
      <c r="A139" t="s">
        <v>36</v>
      </c>
      <c r="B139">
        <v>2015</v>
      </c>
      <c r="C139" t="s">
        <v>74</v>
      </c>
      <c r="D139">
        <v>5.2</v>
      </c>
    </row>
    <row r="140" spans="1:4" x14ac:dyDescent="0.45">
      <c r="A140" t="s">
        <v>56</v>
      </c>
      <c r="B140">
        <v>2015</v>
      </c>
      <c r="C140" t="s">
        <v>74</v>
      </c>
      <c r="D140">
        <v>16.77</v>
      </c>
    </row>
    <row r="141" spans="1:4" x14ac:dyDescent="0.45">
      <c r="A141" t="s">
        <v>57</v>
      </c>
      <c r="B141">
        <v>2015</v>
      </c>
      <c r="C141" t="s">
        <v>74</v>
      </c>
      <c r="D141">
        <v>23.25</v>
      </c>
    </row>
    <row r="142" spans="1:4" x14ac:dyDescent="0.45">
      <c r="A142" t="s">
        <v>38</v>
      </c>
      <c r="B142">
        <v>2015</v>
      </c>
      <c r="C142" t="s">
        <v>74</v>
      </c>
      <c r="D142">
        <v>4.51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0.01</v>
      </c>
    </row>
    <row r="145" spans="1:4" x14ac:dyDescent="0.45">
      <c r="A145" t="s">
        <v>91</v>
      </c>
      <c r="B145">
        <v>2015</v>
      </c>
      <c r="C145" t="s">
        <v>74</v>
      </c>
      <c r="D145">
        <v>2.33</v>
      </c>
    </row>
    <row r="146" spans="1:4" x14ac:dyDescent="0.45">
      <c r="A146" t="s">
        <v>32</v>
      </c>
      <c r="B146">
        <v>2016</v>
      </c>
      <c r="C146" t="s">
        <v>74</v>
      </c>
      <c r="D146">
        <v>11.52</v>
      </c>
    </row>
    <row r="147" spans="1:4" x14ac:dyDescent="0.45">
      <c r="A147" t="s">
        <v>34</v>
      </c>
      <c r="B147">
        <v>2016</v>
      </c>
      <c r="C147" t="s">
        <v>74</v>
      </c>
      <c r="D147">
        <v>6.97</v>
      </c>
    </row>
    <row r="148" spans="1:4" x14ac:dyDescent="0.45">
      <c r="A148" t="s">
        <v>36</v>
      </c>
      <c r="B148">
        <v>2016</v>
      </c>
      <c r="C148" t="s">
        <v>74</v>
      </c>
      <c r="D148">
        <v>3.74</v>
      </c>
    </row>
    <row r="149" spans="1:4" x14ac:dyDescent="0.45">
      <c r="A149" t="s">
        <v>56</v>
      </c>
      <c r="B149">
        <v>2016</v>
      </c>
      <c r="C149" t="s">
        <v>74</v>
      </c>
      <c r="D149">
        <v>15.8</v>
      </c>
    </row>
    <row r="150" spans="1:4" x14ac:dyDescent="0.45">
      <c r="A150" t="s">
        <v>57</v>
      </c>
      <c r="B150">
        <v>2016</v>
      </c>
      <c r="C150" t="s">
        <v>74</v>
      </c>
      <c r="D150">
        <v>23.2</v>
      </c>
    </row>
    <row r="151" spans="1:4" x14ac:dyDescent="0.45">
      <c r="A151" t="s">
        <v>38</v>
      </c>
      <c r="B151">
        <v>2016</v>
      </c>
      <c r="C151" t="s">
        <v>74</v>
      </c>
      <c r="D151">
        <v>4.43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0.02</v>
      </c>
    </row>
    <row r="154" spans="1:4" x14ac:dyDescent="0.45">
      <c r="A154" t="s">
        <v>91</v>
      </c>
      <c r="B154">
        <v>2016</v>
      </c>
      <c r="C154" t="s">
        <v>74</v>
      </c>
      <c r="D154">
        <v>3.07</v>
      </c>
    </row>
    <row r="155" spans="1:4" x14ac:dyDescent="0.45">
      <c r="A155" t="s">
        <v>32</v>
      </c>
      <c r="B155">
        <v>2017</v>
      </c>
      <c r="C155" t="s">
        <v>74</v>
      </c>
      <c r="D155">
        <v>11.86</v>
      </c>
    </row>
    <row r="156" spans="1:4" x14ac:dyDescent="0.45">
      <c r="A156" t="s">
        <v>34</v>
      </c>
      <c r="B156">
        <v>2017</v>
      </c>
      <c r="C156" t="s">
        <v>74</v>
      </c>
      <c r="D156">
        <v>5.86</v>
      </c>
    </row>
    <row r="157" spans="1:4" x14ac:dyDescent="0.45">
      <c r="A157" t="s">
        <v>36</v>
      </c>
      <c r="B157">
        <v>2017</v>
      </c>
      <c r="C157" t="s">
        <v>74</v>
      </c>
      <c r="D157">
        <v>3.3</v>
      </c>
    </row>
    <row r="158" spans="1:4" x14ac:dyDescent="0.45">
      <c r="A158" t="s">
        <v>56</v>
      </c>
      <c r="B158">
        <v>2017</v>
      </c>
      <c r="C158" t="s">
        <v>74</v>
      </c>
      <c r="D158">
        <v>14.77</v>
      </c>
    </row>
    <row r="159" spans="1:4" x14ac:dyDescent="0.45">
      <c r="A159" t="s">
        <v>57</v>
      </c>
      <c r="B159">
        <v>2017</v>
      </c>
      <c r="C159" t="s">
        <v>74</v>
      </c>
      <c r="D159">
        <v>22.48</v>
      </c>
    </row>
    <row r="160" spans="1:4" x14ac:dyDescent="0.45">
      <c r="A160" t="s">
        <v>38</v>
      </c>
      <c r="B160">
        <v>2017</v>
      </c>
      <c r="C160" t="s">
        <v>74</v>
      </c>
      <c r="D160">
        <v>4.41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0.05</v>
      </c>
    </row>
    <row r="163" spans="1:4" x14ac:dyDescent="0.45">
      <c r="A163" t="s">
        <v>91</v>
      </c>
      <c r="B163">
        <v>2017</v>
      </c>
      <c r="C163" t="s">
        <v>74</v>
      </c>
      <c r="D163">
        <v>4.79</v>
      </c>
    </row>
    <row r="164" spans="1:4" x14ac:dyDescent="0.45">
      <c r="A164" t="s">
        <v>32</v>
      </c>
      <c r="B164">
        <v>2018</v>
      </c>
      <c r="C164" t="s">
        <v>74</v>
      </c>
      <c r="D164">
        <v>12.91</v>
      </c>
    </row>
    <row r="165" spans="1:4" x14ac:dyDescent="0.45">
      <c r="A165" t="s">
        <v>34</v>
      </c>
      <c r="B165">
        <v>2018</v>
      </c>
      <c r="C165" t="s">
        <v>74</v>
      </c>
      <c r="D165">
        <v>5.79</v>
      </c>
    </row>
    <row r="166" spans="1:4" x14ac:dyDescent="0.45">
      <c r="A166" t="s">
        <v>36</v>
      </c>
      <c r="B166">
        <v>2018</v>
      </c>
      <c r="C166" t="s">
        <v>74</v>
      </c>
      <c r="D166">
        <v>4.2</v>
      </c>
    </row>
    <row r="167" spans="1:4" x14ac:dyDescent="0.45">
      <c r="A167" t="s">
        <v>56</v>
      </c>
      <c r="B167">
        <v>2018</v>
      </c>
      <c r="C167" t="s">
        <v>74</v>
      </c>
      <c r="D167">
        <v>13.3</v>
      </c>
    </row>
    <row r="168" spans="1:4" x14ac:dyDescent="0.45">
      <c r="A168" t="s">
        <v>57</v>
      </c>
      <c r="B168">
        <v>2018</v>
      </c>
      <c r="C168" t="s">
        <v>74</v>
      </c>
      <c r="D168">
        <v>22.79</v>
      </c>
    </row>
    <row r="169" spans="1:4" x14ac:dyDescent="0.45">
      <c r="A169" t="s">
        <v>38</v>
      </c>
      <c r="B169">
        <v>2018</v>
      </c>
      <c r="C169" t="s">
        <v>74</v>
      </c>
      <c r="D169">
        <v>5.31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0.09</v>
      </c>
    </row>
    <row r="172" spans="1:4" x14ac:dyDescent="0.45">
      <c r="A172" t="s">
        <v>91</v>
      </c>
      <c r="B172">
        <v>2018</v>
      </c>
      <c r="C172" t="s">
        <v>74</v>
      </c>
      <c r="D172">
        <v>5.84</v>
      </c>
    </row>
    <row r="173" spans="1:4" x14ac:dyDescent="0.45">
      <c r="A173" t="s">
        <v>32</v>
      </c>
      <c r="B173">
        <v>2019</v>
      </c>
      <c r="C173" t="s">
        <v>74</v>
      </c>
      <c r="D173">
        <v>13.29</v>
      </c>
    </row>
    <row r="174" spans="1:4" x14ac:dyDescent="0.45">
      <c r="A174" t="s">
        <v>34</v>
      </c>
      <c r="B174">
        <v>2019</v>
      </c>
      <c r="C174" t="s">
        <v>74</v>
      </c>
      <c r="D174">
        <v>4.3600000000000003</v>
      </c>
    </row>
    <row r="175" spans="1:4" x14ac:dyDescent="0.45">
      <c r="A175" t="s">
        <v>36</v>
      </c>
      <c r="B175">
        <v>2019</v>
      </c>
      <c r="C175" t="s">
        <v>74</v>
      </c>
      <c r="D175">
        <v>3.85</v>
      </c>
    </row>
    <row r="176" spans="1:4" x14ac:dyDescent="0.45">
      <c r="A176" t="s">
        <v>56</v>
      </c>
      <c r="B176">
        <v>2019</v>
      </c>
      <c r="C176" t="s">
        <v>74</v>
      </c>
      <c r="D176">
        <v>12.42</v>
      </c>
    </row>
    <row r="177" spans="1:4" x14ac:dyDescent="0.45">
      <c r="A177" t="s">
        <v>57</v>
      </c>
      <c r="B177">
        <v>2019</v>
      </c>
      <c r="C177" t="s">
        <v>74</v>
      </c>
      <c r="D177">
        <v>23.87</v>
      </c>
    </row>
    <row r="178" spans="1:4" x14ac:dyDescent="0.45">
      <c r="A178" t="s">
        <v>38</v>
      </c>
      <c r="B178">
        <v>2019</v>
      </c>
      <c r="C178" t="s">
        <v>74</v>
      </c>
      <c r="D178">
        <v>4.6500000000000004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0.15</v>
      </c>
    </row>
    <row r="181" spans="1:4" x14ac:dyDescent="0.45">
      <c r="A181" t="s">
        <v>91</v>
      </c>
      <c r="B181">
        <v>2019</v>
      </c>
      <c r="C181" t="s">
        <v>74</v>
      </c>
      <c r="D181">
        <v>6.02</v>
      </c>
    </row>
    <row r="182" spans="1:4" x14ac:dyDescent="0.45">
      <c r="A182" t="s">
        <v>32</v>
      </c>
      <c r="B182">
        <v>2020</v>
      </c>
      <c r="C182" t="s">
        <v>74</v>
      </c>
      <c r="D182">
        <v>11.57</v>
      </c>
    </row>
    <row r="183" spans="1:4" x14ac:dyDescent="0.45">
      <c r="A183" t="s">
        <v>34</v>
      </c>
      <c r="B183">
        <v>2020</v>
      </c>
      <c r="C183" t="s">
        <v>74</v>
      </c>
      <c r="D183">
        <v>2.44</v>
      </c>
    </row>
    <row r="184" spans="1:4" x14ac:dyDescent="0.45">
      <c r="A184" t="s">
        <v>36</v>
      </c>
      <c r="B184">
        <v>2020</v>
      </c>
      <c r="C184" t="s">
        <v>74</v>
      </c>
      <c r="D184">
        <v>3.99</v>
      </c>
    </row>
    <row r="185" spans="1:4" x14ac:dyDescent="0.45">
      <c r="A185" t="s">
        <v>56</v>
      </c>
      <c r="B185">
        <v>2020</v>
      </c>
      <c r="C185" t="s">
        <v>74</v>
      </c>
      <c r="D185">
        <v>15.88</v>
      </c>
    </row>
    <row r="186" spans="1:4" x14ac:dyDescent="0.45">
      <c r="A186" t="s">
        <v>57</v>
      </c>
      <c r="B186">
        <v>2020</v>
      </c>
      <c r="C186" t="s">
        <v>74</v>
      </c>
      <c r="D186">
        <v>23.29</v>
      </c>
    </row>
    <row r="187" spans="1:4" x14ac:dyDescent="0.45">
      <c r="A187" t="s">
        <v>38</v>
      </c>
      <c r="B187">
        <v>2020</v>
      </c>
      <c r="C187" t="s">
        <v>74</v>
      </c>
      <c r="D187">
        <v>3.59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0.22</v>
      </c>
    </row>
    <row r="190" spans="1:4" x14ac:dyDescent="0.45">
      <c r="A190" t="s">
        <v>91</v>
      </c>
      <c r="B190">
        <v>2020</v>
      </c>
      <c r="C190" t="s">
        <v>74</v>
      </c>
      <c r="D190">
        <v>8.26</v>
      </c>
    </row>
    <row r="191" spans="1:4" x14ac:dyDescent="0.45">
      <c r="A191" t="s">
        <v>32</v>
      </c>
      <c r="B191">
        <v>2021</v>
      </c>
      <c r="C191" t="s">
        <v>74</v>
      </c>
      <c r="D191">
        <v>13.58</v>
      </c>
    </row>
    <row r="192" spans="1:4" x14ac:dyDescent="0.45">
      <c r="A192" t="s">
        <v>34</v>
      </c>
      <c r="B192">
        <v>2021</v>
      </c>
      <c r="C192" t="s">
        <v>74</v>
      </c>
      <c r="D192">
        <v>2.67</v>
      </c>
    </row>
    <row r="193" spans="1:4" x14ac:dyDescent="0.45">
      <c r="A193" t="s">
        <v>36</v>
      </c>
      <c r="B193">
        <v>2021</v>
      </c>
      <c r="C193" t="s">
        <v>74</v>
      </c>
      <c r="D193">
        <v>3.83</v>
      </c>
    </row>
    <row r="194" spans="1:4" x14ac:dyDescent="0.45">
      <c r="A194" t="s">
        <v>56</v>
      </c>
      <c r="B194">
        <v>2021</v>
      </c>
      <c r="C194" t="s">
        <v>74</v>
      </c>
      <c r="D194">
        <v>15.79</v>
      </c>
    </row>
    <row r="195" spans="1:4" x14ac:dyDescent="0.45">
      <c r="A195" t="s">
        <v>57</v>
      </c>
      <c r="B195">
        <v>2021</v>
      </c>
      <c r="C195" t="s">
        <v>74</v>
      </c>
      <c r="D195">
        <v>23.6</v>
      </c>
    </row>
    <row r="196" spans="1:4" x14ac:dyDescent="0.45">
      <c r="A196" t="s">
        <v>38</v>
      </c>
      <c r="B196">
        <v>2021</v>
      </c>
      <c r="C196" t="s">
        <v>74</v>
      </c>
      <c r="D196">
        <v>3.83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0.3</v>
      </c>
    </row>
    <row r="199" spans="1:4" x14ac:dyDescent="0.45">
      <c r="A199" t="s">
        <v>91</v>
      </c>
      <c r="B199">
        <v>2021</v>
      </c>
      <c r="C199" t="s">
        <v>74</v>
      </c>
      <c r="D199">
        <v>8.51</v>
      </c>
    </row>
    <row r="200" spans="1:4" x14ac:dyDescent="0.45">
      <c r="A200" t="s">
        <v>32</v>
      </c>
      <c r="B200">
        <v>2022</v>
      </c>
      <c r="C200" t="s">
        <v>74</v>
      </c>
      <c r="D200">
        <v>12.76</v>
      </c>
    </row>
    <row r="201" spans="1:4" x14ac:dyDescent="0.45">
      <c r="A201" t="s">
        <v>34</v>
      </c>
      <c r="B201">
        <v>2022</v>
      </c>
      <c r="C201" t="s">
        <v>74</v>
      </c>
      <c r="D201">
        <v>3.44</v>
      </c>
    </row>
    <row r="202" spans="1:4" x14ac:dyDescent="0.45">
      <c r="A202" t="s">
        <v>36</v>
      </c>
      <c r="B202">
        <v>2022</v>
      </c>
      <c r="C202" t="s">
        <v>74</v>
      </c>
      <c r="D202">
        <v>0.96</v>
      </c>
    </row>
    <row r="203" spans="1:4" x14ac:dyDescent="0.45">
      <c r="A203" t="s">
        <v>56</v>
      </c>
      <c r="B203">
        <v>2022</v>
      </c>
      <c r="C203" t="s">
        <v>74</v>
      </c>
      <c r="D203">
        <v>13.49</v>
      </c>
    </row>
    <row r="204" spans="1:4" x14ac:dyDescent="0.45">
      <c r="A204" t="s">
        <v>57</v>
      </c>
      <c r="B204">
        <v>2022</v>
      </c>
      <c r="C204" t="s">
        <v>74</v>
      </c>
      <c r="D204">
        <v>25.34</v>
      </c>
    </row>
    <row r="205" spans="1:4" x14ac:dyDescent="0.45">
      <c r="A205" t="s">
        <v>38</v>
      </c>
      <c r="B205">
        <v>2022</v>
      </c>
      <c r="C205" t="s">
        <v>74</v>
      </c>
      <c r="D205">
        <v>3.77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0.39</v>
      </c>
    </row>
    <row r="208" spans="1:4" x14ac:dyDescent="0.45">
      <c r="A208" t="s">
        <v>91</v>
      </c>
      <c r="B208">
        <v>2022</v>
      </c>
      <c r="C208" t="s">
        <v>74</v>
      </c>
      <c r="D208">
        <v>11.72</v>
      </c>
    </row>
    <row r="209" spans="1:4" x14ac:dyDescent="0.45">
      <c r="A209" t="s">
        <v>32</v>
      </c>
      <c r="B209">
        <v>2023</v>
      </c>
      <c r="C209" t="s">
        <v>74</v>
      </c>
      <c r="D209">
        <v>11.04</v>
      </c>
    </row>
    <row r="210" spans="1:4" x14ac:dyDescent="0.45">
      <c r="A210" t="s">
        <v>34</v>
      </c>
      <c r="B210">
        <v>2023</v>
      </c>
      <c r="C210" t="s">
        <v>74</v>
      </c>
      <c r="D210">
        <v>1.58</v>
      </c>
    </row>
    <row r="211" spans="1:4" x14ac:dyDescent="0.45">
      <c r="A211" t="s">
        <v>36</v>
      </c>
      <c r="B211">
        <v>2023</v>
      </c>
      <c r="C211" t="s">
        <v>74</v>
      </c>
      <c r="D211">
        <v>0.54</v>
      </c>
    </row>
    <row r="212" spans="1:4" x14ac:dyDescent="0.45">
      <c r="A212" t="s">
        <v>56</v>
      </c>
      <c r="B212">
        <v>2023</v>
      </c>
      <c r="C212" t="s">
        <v>74</v>
      </c>
      <c r="D212">
        <v>15.17</v>
      </c>
    </row>
    <row r="213" spans="1:4" x14ac:dyDescent="0.45">
      <c r="A213" t="s">
        <v>57</v>
      </c>
      <c r="B213">
        <v>2023</v>
      </c>
      <c r="C213" t="s">
        <v>74</v>
      </c>
      <c r="D213">
        <v>33.92</v>
      </c>
    </row>
    <row r="214" spans="1:4" x14ac:dyDescent="0.45">
      <c r="A214" t="s">
        <v>38</v>
      </c>
      <c r="B214">
        <v>2023</v>
      </c>
      <c r="C214" t="s">
        <v>74</v>
      </c>
      <c r="D214">
        <v>2.35</v>
      </c>
    </row>
    <row r="215" spans="1:4" x14ac:dyDescent="0.45">
      <c r="A215" t="s">
        <v>32</v>
      </c>
      <c r="B215">
        <v>2023</v>
      </c>
      <c r="C215" t="s">
        <v>74</v>
      </c>
      <c r="D215">
        <v>0</v>
      </c>
    </row>
    <row r="216" spans="1:4" x14ac:dyDescent="0.45">
      <c r="A216" t="s">
        <v>58</v>
      </c>
      <c r="B216">
        <v>2023</v>
      </c>
      <c r="C216" t="s">
        <v>74</v>
      </c>
      <c r="D216">
        <v>0.65</v>
      </c>
    </row>
    <row r="217" spans="1:4" x14ac:dyDescent="0.45">
      <c r="A217" t="s">
        <v>91</v>
      </c>
      <c r="B217">
        <v>2023</v>
      </c>
      <c r="C217" t="s">
        <v>74</v>
      </c>
      <c r="D217">
        <v>14.63</v>
      </c>
    </row>
    <row r="218" spans="1:4" x14ac:dyDescent="0.45">
      <c r="A218" t="s">
        <v>32</v>
      </c>
      <c r="B218">
        <v>2000</v>
      </c>
      <c r="C218" t="s">
        <v>75</v>
      </c>
      <c r="D218">
        <v>1.51</v>
      </c>
    </row>
    <row r="219" spans="1:4" x14ac:dyDescent="0.45">
      <c r="A219" t="s">
        <v>34</v>
      </c>
      <c r="B219">
        <v>2000</v>
      </c>
      <c r="C219" t="s">
        <v>75</v>
      </c>
      <c r="D219">
        <v>3.72</v>
      </c>
    </row>
    <row r="220" spans="1:4" x14ac:dyDescent="0.45">
      <c r="A220" t="s">
        <v>36</v>
      </c>
      <c r="B220">
        <v>2000</v>
      </c>
      <c r="C220" t="s">
        <v>75</v>
      </c>
      <c r="D220">
        <v>1.77</v>
      </c>
    </row>
    <row r="221" spans="1:4" x14ac:dyDescent="0.45">
      <c r="A221" t="s">
        <v>56</v>
      </c>
      <c r="B221">
        <v>2000</v>
      </c>
      <c r="C221" t="s">
        <v>75</v>
      </c>
      <c r="D221">
        <v>2.88</v>
      </c>
    </row>
    <row r="222" spans="1:4" x14ac:dyDescent="0.45">
      <c r="A222" t="s">
        <v>57</v>
      </c>
      <c r="B222">
        <v>2000</v>
      </c>
      <c r="C222" t="s">
        <v>75</v>
      </c>
      <c r="D222">
        <v>2.64</v>
      </c>
    </row>
    <row r="223" spans="1:4" x14ac:dyDescent="0.45">
      <c r="A223" t="s">
        <v>38</v>
      </c>
      <c r="B223">
        <v>2000</v>
      </c>
      <c r="C223" t="s">
        <v>75</v>
      </c>
      <c r="D223">
        <v>0.93</v>
      </c>
    </row>
    <row r="224" spans="1:4" x14ac:dyDescent="0.45">
      <c r="A224" t="s">
        <v>32</v>
      </c>
      <c r="B224">
        <v>2000</v>
      </c>
      <c r="C224" t="s">
        <v>75</v>
      </c>
      <c r="D224">
        <v>0.03</v>
      </c>
    </row>
    <row r="225" spans="1:4" x14ac:dyDescent="0.45">
      <c r="A225" t="s">
        <v>58</v>
      </c>
      <c r="B225">
        <v>2000</v>
      </c>
      <c r="C225" t="s">
        <v>75</v>
      </c>
      <c r="D225">
        <v>0</v>
      </c>
    </row>
    <row r="226" spans="1:4" x14ac:dyDescent="0.45">
      <c r="A226" t="s">
        <v>91</v>
      </c>
      <c r="B226">
        <v>2000</v>
      </c>
      <c r="C226" t="s">
        <v>75</v>
      </c>
      <c r="D226">
        <v>0.04</v>
      </c>
    </row>
    <row r="227" spans="1:4" x14ac:dyDescent="0.45">
      <c r="A227" t="s">
        <v>32</v>
      </c>
      <c r="B227">
        <v>2001</v>
      </c>
      <c r="C227" t="s">
        <v>75</v>
      </c>
      <c r="D227">
        <v>1.61</v>
      </c>
    </row>
    <row r="228" spans="1:4" x14ac:dyDescent="0.45">
      <c r="A228" t="s">
        <v>34</v>
      </c>
      <c r="B228">
        <v>2001</v>
      </c>
      <c r="C228" t="s">
        <v>75</v>
      </c>
      <c r="D228">
        <v>3.72</v>
      </c>
    </row>
    <row r="229" spans="1:4" x14ac:dyDescent="0.45">
      <c r="A229" t="s">
        <v>36</v>
      </c>
      <c r="B229">
        <v>2001</v>
      </c>
      <c r="C229" t="s">
        <v>75</v>
      </c>
      <c r="D229">
        <v>1.77</v>
      </c>
    </row>
    <row r="230" spans="1:4" x14ac:dyDescent="0.45">
      <c r="A230" t="s">
        <v>56</v>
      </c>
      <c r="B230">
        <v>2001</v>
      </c>
      <c r="C230" t="s">
        <v>75</v>
      </c>
      <c r="D230">
        <v>2.93</v>
      </c>
    </row>
    <row r="231" spans="1:4" x14ac:dyDescent="0.45">
      <c r="A231" t="s">
        <v>57</v>
      </c>
      <c r="B231">
        <v>2001</v>
      </c>
      <c r="C231" t="s">
        <v>75</v>
      </c>
      <c r="D231">
        <v>2.64</v>
      </c>
    </row>
    <row r="232" spans="1:4" x14ac:dyDescent="0.45">
      <c r="A232" t="s">
        <v>38</v>
      </c>
      <c r="B232">
        <v>2001</v>
      </c>
      <c r="C232" t="s">
        <v>75</v>
      </c>
      <c r="D232">
        <v>0.93</v>
      </c>
    </row>
    <row r="233" spans="1:4" x14ac:dyDescent="0.45">
      <c r="A233" t="s">
        <v>32</v>
      </c>
      <c r="B233">
        <v>2001</v>
      </c>
      <c r="C233" t="s">
        <v>75</v>
      </c>
      <c r="D233">
        <v>0.04</v>
      </c>
    </row>
    <row r="234" spans="1:4" x14ac:dyDescent="0.45">
      <c r="A234" t="s">
        <v>58</v>
      </c>
      <c r="B234">
        <v>2001</v>
      </c>
      <c r="C234" t="s">
        <v>75</v>
      </c>
      <c r="D234">
        <v>0</v>
      </c>
    </row>
    <row r="235" spans="1:4" x14ac:dyDescent="0.45">
      <c r="A235" t="s">
        <v>91</v>
      </c>
      <c r="B235">
        <v>2001</v>
      </c>
      <c r="C235" t="s">
        <v>75</v>
      </c>
      <c r="D235">
        <v>0.04</v>
      </c>
    </row>
    <row r="236" spans="1:4" x14ac:dyDescent="0.45">
      <c r="A236" t="s">
        <v>32</v>
      </c>
      <c r="B236">
        <v>2002</v>
      </c>
      <c r="C236" t="s">
        <v>75</v>
      </c>
      <c r="D236">
        <v>1.61</v>
      </c>
    </row>
    <row r="237" spans="1:4" x14ac:dyDescent="0.45">
      <c r="A237" t="s">
        <v>34</v>
      </c>
      <c r="B237">
        <v>2002</v>
      </c>
      <c r="C237" t="s">
        <v>75</v>
      </c>
      <c r="D237">
        <v>3.72</v>
      </c>
    </row>
    <row r="238" spans="1:4" x14ac:dyDescent="0.45">
      <c r="A238" t="s">
        <v>36</v>
      </c>
      <c r="B238">
        <v>2002</v>
      </c>
      <c r="C238" t="s">
        <v>75</v>
      </c>
      <c r="D238">
        <v>1.77</v>
      </c>
    </row>
    <row r="239" spans="1:4" x14ac:dyDescent="0.45">
      <c r="A239" t="s">
        <v>56</v>
      </c>
      <c r="B239">
        <v>2002</v>
      </c>
      <c r="C239" t="s">
        <v>75</v>
      </c>
      <c r="D239">
        <v>2.96</v>
      </c>
    </row>
    <row r="240" spans="1:4" x14ac:dyDescent="0.45">
      <c r="A240" t="s">
        <v>57</v>
      </c>
      <c r="B240">
        <v>2002</v>
      </c>
      <c r="C240" t="s">
        <v>75</v>
      </c>
      <c r="D240">
        <v>2.67</v>
      </c>
    </row>
    <row r="241" spans="1:4" x14ac:dyDescent="0.45">
      <c r="A241" t="s">
        <v>38</v>
      </c>
      <c r="B241">
        <v>2002</v>
      </c>
      <c r="C241" t="s">
        <v>75</v>
      </c>
      <c r="D241">
        <v>0.93</v>
      </c>
    </row>
    <row r="242" spans="1:4" x14ac:dyDescent="0.45">
      <c r="A242" t="s">
        <v>32</v>
      </c>
      <c r="B242">
        <v>2002</v>
      </c>
      <c r="C242" t="s">
        <v>75</v>
      </c>
      <c r="D242">
        <v>0.04</v>
      </c>
    </row>
    <row r="243" spans="1:4" x14ac:dyDescent="0.45">
      <c r="A243" t="s">
        <v>58</v>
      </c>
      <c r="B243">
        <v>2002</v>
      </c>
      <c r="C243" t="s">
        <v>75</v>
      </c>
      <c r="D243">
        <v>0</v>
      </c>
    </row>
    <row r="244" spans="1:4" x14ac:dyDescent="0.45">
      <c r="A244" t="s">
        <v>91</v>
      </c>
      <c r="B244">
        <v>2002</v>
      </c>
      <c r="C244" t="s">
        <v>75</v>
      </c>
      <c r="D244">
        <v>0.04</v>
      </c>
    </row>
    <row r="245" spans="1:4" x14ac:dyDescent="0.45">
      <c r="A245" t="s">
        <v>32</v>
      </c>
      <c r="B245">
        <v>2003</v>
      </c>
      <c r="C245" t="s">
        <v>75</v>
      </c>
      <c r="D245">
        <v>1.71</v>
      </c>
    </row>
    <row r="246" spans="1:4" x14ac:dyDescent="0.45">
      <c r="A246" t="s">
        <v>34</v>
      </c>
      <c r="B246">
        <v>2003</v>
      </c>
      <c r="C246" t="s">
        <v>75</v>
      </c>
      <c r="D246">
        <v>3.69</v>
      </c>
    </row>
    <row r="247" spans="1:4" x14ac:dyDescent="0.45">
      <c r="A247" t="s">
        <v>36</v>
      </c>
      <c r="B247">
        <v>2003</v>
      </c>
      <c r="C247" t="s">
        <v>75</v>
      </c>
      <c r="D247">
        <v>1.77</v>
      </c>
    </row>
    <row r="248" spans="1:4" x14ac:dyDescent="0.45">
      <c r="A248" t="s">
        <v>56</v>
      </c>
      <c r="B248">
        <v>2003</v>
      </c>
      <c r="C248" t="s">
        <v>75</v>
      </c>
      <c r="D248">
        <v>2.97</v>
      </c>
    </row>
    <row r="249" spans="1:4" x14ac:dyDescent="0.45">
      <c r="A249" t="s">
        <v>57</v>
      </c>
      <c r="B249">
        <v>2003</v>
      </c>
      <c r="C249" t="s">
        <v>75</v>
      </c>
      <c r="D249">
        <v>2.67</v>
      </c>
    </row>
    <row r="250" spans="1:4" x14ac:dyDescent="0.45">
      <c r="A250" t="s">
        <v>38</v>
      </c>
      <c r="B250">
        <v>2003</v>
      </c>
      <c r="C250" t="s">
        <v>75</v>
      </c>
      <c r="D250">
        <v>0.93</v>
      </c>
    </row>
    <row r="251" spans="1:4" x14ac:dyDescent="0.45">
      <c r="A251" t="s">
        <v>32</v>
      </c>
      <c r="B251">
        <v>2003</v>
      </c>
      <c r="C251" t="s">
        <v>75</v>
      </c>
      <c r="D251">
        <v>0.05</v>
      </c>
    </row>
    <row r="252" spans="1:4" x14ac:dyDescent="0.45">
      <c r="A252" t="s">
        <v>58</v>
      </c>
      <c r="B252">
        <v>2003</v>
      </c>
      <c r="C252" t="s">
        <v>75</v>
      </c>
      <c r="D252">
        <v>0</v>
      </c>
    </row>
    <row r="253" spans="1:4" x14ac:dyDescent="0.45">
      <c r="A253" t="s">
        <v>91</v>
      </c>
      <c r="B253">
        <v>2003</v>
      </c>
      <c r="C253" t="s">
        <v>75</v>
      </c>
      <c r="D253">
        <v>0.05</v>
      </c>
    </row>
    <row r="254" spans="1:4" x14ac:dyDescent="0.45">
      <c r="A254" t="s">
        <v>32</v>
      </c>
      <c r="B254">
        <v>2004</v>
      </c>
      <c r="C254" t="s">
        <v>75</v>
      </c>
      <c r="D254">
        <v>1.71</v>
      </c>
    </row>
    <row r="255" spans="1:4" x14ac:dyDescent="0.45">
      <c r="A255" t="s">
        <v>34</v>
      </c>
      <c r="B255">
        <v>2004</v>
      </c>
      <c r="C255" t="s">
        <v>75</v>
      </c>
      <c r="D255">
        <v>3.69</v>
      </c>
    </row>
    <row r="256" spans="1:4" x14ac:dyDescent="0.45">
      <c r="A256" t="s">
        <v>36</v>
      </c>
      <c r="B256">
        <v>2004</v>
      </c>
      <c r="C256" t="s">
        <v>75</v>
      </c>
      <c r="D256">
        <v>1.77</v>
      </c>
    </row>
    <row r="257" spans="1:4" x14ac:dyDescent="0.45">
      <c r="A257" t="s">
        <v>56</v>
      </c>
      <c r="B257">
        <v>2004</v>
      </c>
      <c r="C257" t="s">
        <v>75</v>
      </c>
      <c r="D257">
        <v>3</v>
      </c>
    </row>
    <row r="258" spans="1:4" x14ac:dyDescent="0.45">
      <c r="A258" t="s">
        <v>57</v>
      </c>
      <c r="B258">
        <v>2004</v>
      </c>
      <c r="C258" t="s">
        <v>75</v>
      </c>
      <c r="D258">
        <v>2.67</v>
      </c>
    </row>
    <row r="259" spans="1:4" x14ac:dyDescent="0.45">
      <c r="A259" t="s">
        <v>38</v>
      </c>
      <c r="B259">
        <v>2004</v>
      </c>
      <c r="C259" t="s">
        <v>75</v>
      </c>
      <c r="D259">
        <v>0.93</v>
      </c>
    </row>
    <row r="260" spans="1:4" x14ac:dyDescent="0.45">
      <c r="A260" t="s">
        <v>32</v>
      </c>
      <c r="B260">
        <v>2004</v>
      </c>
      <c r="C260" t="s">
        <v>75</v>
      </c>
      <c r="D260">
        <v>0.06</v>
      </c>
    </row>
    <row r="261" spans="1:4" x14ac:dyDescent="0.45">
      <c r="A261" t="s">
        <v>58</v>
      </c>
      <c r="B261">
        <v>2004</v>
      </c>
      <c r="C261" t="s">
        <v>75</v>
      </c>
      <c r="D261">
        <v>0</v>
      </c>
    </row>
    <row r="262" spans="1:4" x14ac:dyDescent="0.45">
      <c r="A262" t="s">
        <v>91</v>
      </c>
      <c r="B262">
        <v>2004</v>
      </c>
      <c r="C262" t="s">
        <v>75</v>
      </c>
      <c r="D262">
        <v>0.08</v>
      </c>
    </row>
    <row r="263" spans="1:4" x14ac:dyDescent="0.45">
      <c r="A263" t="s">
        <v>32</v>
      </c>
      <c r="B263">
        <v>2005</v>
      </c>
      <c r="C263" t="s">
        <v>75</v>
      </c>
      <c r="D263">
        <v>1.73</v>
      </c>
    </row>
    <row r="264" spans="1:4" x14ac:dyDescent="0.45">
      <c r="A264" t="s">
        <v>34</v>
      </c>
      <c r="B264">
        <v>2005</v>
      </c>
      <c r="C264" t="s">
        <v>75</v>
      </c>
      <c r="D264">
        <v>3.69</v>
      </c>
    </row>
    <row r="265" spans="1:4" x14ac:dyDescent="0.45">
      <c r="A265" t="s">
        <v>36</v>
      </c>
      <c r="B265">
        <v>2005</v>
      </c>
      <c r="C265" t="s">
        <v>75</v>
      </c>
      <c r="D265">
        <v>1.77</v>
      </c>
    </row>
    <row r="266" spans="1:4" x14ac:dyDescent="0.45">
      <c r="A266" t="s">
        <v>56</v>
      </c>
      <c r="B266">
        <v>2005</v>
      </c>
      <c r="C266" t="s">
        <v>75</v>
      </c>
      <c r="D266">
        <v>3.04</v>
      </c>
    </row>
    <row r="267" spans="1:4" x14ac:dyDescent="0.45">
      <c r="A267" t="s">
        <v>57</v>
      </c>
      <c r="B267">
        <v>2005</v>
      </c>
      <c r="C267" t="s">
        <v>75</v>
      </c>
      <c r="D267">
        <v>2.67</v>
      </c>
    </row>
    <row r="268" spans="1:4" x14ac:dyDescent="0.45">
      <c r="A268" t="s">
        <v>38</v>
      </c>
      <c r="B268">
        <v>2005</v>
      </c>
      <c r="C268" t="s">
        <v>75</v>
      </c>
      <c r="D268">
        <v>0.93</v>
      </c>
    </row>
    <row r="269" spans="1:4" x14ac:dyDescent="0.45">
      <c r="A269" t="s">
        <v>32</v>
      </c>
      <c r="B269">
        <v>2005</v>
      </c>
      <c r="C269" t="s">
        <v>75</v>
      </c>
      <c r="D269">
        <v>0.08</v>
      </c>
    </row>
    <row r="270" spans="1:4" x14ac:dyDescent="0.45">
      <c r="A270" t="s">
        <v>58</v>
      </c>
      <c r="B270">
        <v>2005</v>
      </c>
      <c r="C270" t="s">
        <v>75</v>
      </c>
      <c r="D270">
        <v>0</v>
      </c>
    </row>
    <row r="271" spans="1:4" x14ac:dyDescent="0.45">
      <c r="A271" t="s">
        <v>91</v>
      </c>
      <c r="B271">
        <v>2005</v>
      </c>
      <c r="C271" t="s">
        <v>75</v>
      </c>
      <c r="D271">
        <v>0.08</v>
      </c>
    </row>
    <row r="272" spans="1:4" x14ac:dyDescent="0.45">
      <c r="A272" t="s">
        <v>32</v>
      </c>
      <c r="B272">
        <v>2006</v>
      </c>
      <c r="C272" t="s">
        <v>75</v>
      </c>
      <c r="D272">
        <v>1.74</v>
      </c>
    </row>
    <row r="273" spans="1:4" x14ac:dyDescent="0.45">
      <c r="A273" t="s">
        <v>34</v>
      </c>
      <c r="B273">
        <v>2006</v>
      </c>
      <c r="C273" t="s">
        <v>75</v>
      </c>
      <c r="D273">
        <v>3.61</v>
      </c>
    </row>
    <row r="274" spans="1:4" x14ac:dyDescent="0.45">
      <c r="A274" t="s">
        <v>36</v>
      </c>
      <c r="B274">
        <v>2006</v>
      </c>
      <c r="C274" t="s">
        <v>75</v>
      </c>
      <c r="D274">
        <v>1.77</v>
      </c>
    </row>
    <row r="275" spans="1:4" x14ac:dyDescent="0.45">
      <c r="A275" t="s">
        <v>56</v>
      </c>
      <c r="B275">
        <v>2006</v>
      </c>
      <c r="C275" t="s">
        <v>75</v>
      </c>
      <c r="D275">
        <v>3.06</v>
      </c>
    </row>
    <row r="276" spans="1:4" x14ac:dyDescent="0.45">
      <c r="A276" t="s">
        <v>57</v>
      </c>
      <c r="B276">
        <v>2006</v>
      </c>
      <c r="C276" t="s">
        <v>75</v>
      </c>
      <c r="D276">
        <v>2.67</v>
      </c>
    </row>
    <row r="277" spans="1:4" x14ac:dyDescent="0.45">
      <c r="A277" t="s">
        <v>38</v>
      </c>
      <c r="B277">
        <v>2006</v>
      </c>
      <c r="C277" t="s">
        <v>75</v>
      </c>
      <c r="D277">
        <v>0.93</v>
      </c>
    </row>
    <row r="278" spans="1:4" x14ac:dyDescent="0.45">
      <c r="A278" t="s">
        <v>32</v>
      </c>
      <c r="B278">
        <v>2006</v>
      </c>
      <c r="C278" t="s">
        <v>75</v>
      </c>
      <c r="D278">
        <v>0.06</v>
      </c>
    </row>
    <row r="279" spans="1:4" x14ac:dyDescent="0.45">
      <c r="A279" t="s">
        <v>58</v>
      </c>
      <c r="B279">
        <v>2006</v>
      </c>
      <c r="C279" t="s">
        <v>75</v>
      </c>
      <c r="D279">
        <v>0</v>
      </c>
    </row>
    <row r="280" spans="1:4" x14ac:dyDescent="0.45">
      <c r="A280" t="s">
        <v>91</v>
      </c>
      <c r="B280">
        <v>2006</v>
      </c>
      <c r="C280" t="s">
        <v>75</v>
      </c>
      <c r="D280">
        <v>0.09</v>
      </c>
    </row>
    <row r="281" spans="1:4" x14ac:dyDescent="0.45">
      <c r="A281" t="s">
        <v>32</v>
      </c>
      <c r="B281">
        <v>2007</v>
      </c>
      <c r="C281" t="s">
        <v>75</v>
      </c>
      <c r="D281">
        <v>1.77</v>
      </c>
    </row>
    <row r="282" spans="1:4" x14ac:dyDescent="0.45">
      <c r="A282" t="s">
        <v>34</v>
      </c>
      <c r="B282">
        <v>2007</v>
      </c>
      <c r="C282" t="s">
        <v>75</v>
      </c>
      <c r="D282">
        <v>3.61</v>
      </c>
    </row>
    <row r="283" spans="1:4" x14ac:dyDescent="0.45">
      <c r="A283" t="s">
        <v>36</v>
      </c>
      <c r="B283">
        <v>2007</v>
      </c>
      <c r="C283" t="s">
        <v>75</v>
      </c>
      <c r="D283">
        <v>1.77</v>
      </c>
    </row>
    <row r="284" spans="1:4" x14ac:dyDescent="0.45">
      <c r="A284" t="s">
        <v>56</v>
      </c>
      <c r="B284">
        <v>2007</v>
      </c>
      <c r="C284" t="s">
        <v>75</v>
      </c>
      <c r="D284">
        <v>3.1</v>
      </c>
    </row>
    <row r="285" spans="1:4" x14ac:dyDescent="0.45">
      <c r="A285" t="s">
        <v>57</v>
      </c>
      <c r="B285">
        <v>2007</v>
      </c>
      <c r="C285" t="s">
        <v>75</v>
      </c>
      <c r="D285">
        <v>2.67</v>
      </c>
    </row>
    <row r="286" spans="1:4" x14ac:dyDescent="0.45">
      <c r="A286" t="s">
        <v>38</v>
      </c>
      <c r="B286">
        <v>2007</v>
      </c>
      <c r="C286" t="s">
        <v>75</v>
      </c>
      <c r="D286">
        <v>0.93</v>
      </c>
    </row>
    <row r="287" spans="1:4" x14ac:dyDescent="0.45">
      <c r="A287" t="s">
        <v>32</v>
      </c>
      <c r="B287">
        <v>2007</v>
      </c>
      <c r="C287" t="s">
        <v>75</v>
      </c>
      <c r="D287">
        <v>0.08</v>
      </c>
    </row>
    <row r="288" spans="1:4" x14ac:dyDescent="0.45">
      <c r="A288" t="s">
        <v>58</v>
      </c>
      <c r="B288">
        <v>2007</v>
      </c>
      <c r="C288" t="s">
        <v>75</v>
      </c>
      <c r="D288">
        <v>0</v>
      </c>
    </row>
    <row r="289" spans="1:4" x14ac:dyDescent="0.45">
      <c r="A289" t="s">
        <v>91</v>
      </c>
      <c r="B289">
        <v>2007</v>
      </c>
      <c r="C289" t="s">
        <v>75</v>
      </c>
      <c r="D289">
        <v>0.11</v>
      </c>
    </row>
    <row r="290" spans="1:4" x14ac:dyDescent="0.45">
      <c r="A290" t="s">
        <v>32</v>
      </c>
      <c r="B290">
        <v>2008</v>
      </c>
      <c r="C290" t="s">
        <v>75</v>
      </c>
      <c r="D290">
        <v>1.77</v>
      </c>
    </row>
    <row r="291" spans="1:4" x14ac:dyDescent="0.45">
      <c r="A291" t="s">
        <v>34</v>
      </c>
      <c r="B291">
        <v>2008</v>
      </c>
      <c r="C291" t="s">
        <v>75</v>
      </c>
      <c r="D291">
        <v>3.61</v>
      </c>
    </row>
    <row r="292" spans="1:4" x14ac:dyDescent="0.45">
      <c r="A292" t="s">
        <v>36</v>
      </c>
      <c r="B292">
        <v>2008</v>
      </c>
      <c r="C292" t="s">
        <v>75</v>
      </c>
      <c r="D292">
        <v>1.77</v>
      </c>
    </row>
    <row r="293" spans="1:4" x14ac:dyDescent="0.45">
      <c r="A293" t="s">
        <v>56</v>
      </c>
      <c r="B293">
        <v>2008</v>
      </c>
      <c r="C293" t="s">
        <v>75</v>
      </c>
      <c r="D293">
        <v>3.01</v>
      </c>
    </row>
    <row r="294" spans="1:4" x14ac:dyDescent="0.45">
      <c r="A294" t="s">
        <v>57</v>
      </c>
      <c r="B294">
        <v>2008</v>
      </c>
      <c r="C294" t="s">
        <v>75</v>
      </c>
      <c r="D294">
        <v>2.72</v>
      </c>
    </row>
    <row r="295" spans="1:4" x14ac:dyDescent="0.45">
      <c r="A295" t="s">
        <v>38</v>
      </c>
      <c r="B295">
        <v>2008</v>
      </c>
      <c r="C295" t="s">
        <v>75</v>
      </c>
      <c r="D295">
        <v>0.93</v>
      </c>
    </row>
    <row r="296" spans="1:4" x14ac:dyDescent="0.45">
      <c r="A296" t="s">
        <v>32</v>
      </c>
      <c r="B296">
        <v>2008</v>
      </c>
      <c r="C296" t="s">
        <v>75</v>
      </c>
      <c r="D296">
        <v>0.08</v>
      </c>
    </row>
    <row r="297" spans="1:4" x14ac:dyDescent="0.45">
      <c r="A297" t="s">
        <v>58</v>
      </c>
      <c r="B297">
        <v>2008</v>
      </c>
      <c r="C297" t="s">
        <v>75</v>
      </c>
      <c r="D297">
        <v>0.01</v>
      </c>
    </row>
    <row r="298" spans="1:4" x14ac:dyDescent="0.45">
      <c r="A298" t="s">
        <v>91</v>
      </c>
      <c r="B298">
        <v>2008</v>
      </c>
      <c r="C298" t="s">
        <v>75</v>
      </c>
      <c r="D298">
        <v>0.14000000000000001</v>
      </c>
    </row>
    <row r="299" spans="1:4" x14ac:dyDescent="0.45">
      <c r="A299" t="s">
        <v>32</v>
      </c>
      <c r="B299">
        <v>2009</v>
      </c>
      <c r="C299" t="s">
        <v>75</v>
      </c>
      <c r="D299">
        <v>1.67</v>
      </c>
    </row>
    <row r="300" spans="1:4" x14ac:dyDescent="0.45">
      <c r="A300" t="s">
        <v>34</v>
      </c>
      <c r="B300">
        <v>2009</v>
      </c>
      <c r="C300" t="s">
        <v>75</v>
      </c>
      <c r="D300">
        <v>3.61</v>
      </c>
    </row>
    <row r="301" spans="1:4" x14ac:dyDescent="0.45">
      <c r="A301" t="s">
        <v>36</v>
      </c>
      <c r="B301">
        <v>2009</v>
      </c>
      <c r="C301" t="s">
        <v>75</v>
      </c>
      <c r="D301">
        <v>2.0499999999999998</v>
      </c>
    </row>
    <row r="302" spans="1:4" x14ac:dyDescent="0.45">
      <c r="A302" t="s">
        <v>56</v>
      </c>
      <c r="B302">
        <v>2009</v>
      </c>
      <c r="C302" t="s">
        <v>75</v>
      </c>
      <c r="D302">
        <v>3.03</v>
      </c>
    </row>
    <row r="303" spans="1:4" x14ac:dyDescent="0.45">
      <c r="A303" t="s">
        <v>57</v>
      </c>
      <c r="B303">
        <v>2009</v>
      </c>
      <c r="C303" t="s">
        <v>75</v>
      </c>
      <c r="D303">
        <v>2.72</v>
      </c>
    </row>
    <row r="304" spans="1:4" x14ac:dyDescent="0.45">
      <c r="A304" t="s">
        <v>38</v>
      </c>
      <c r="B304">
        <v>2009</v>
      </c>
      <c r="C304" t="s">
        <v>75</v>
      </c>
      <c r="D304">
        <v>0.93</v>
      </c>
    </row>
    <row r="305" spans="1:4" x14ac:dyDescent="0.45">
      <c r="A305" t="s">
        <v>32</v>
      </c>
      <c r="B305">
        <v>2009</v>
      </c>
      <c r="C305" t="s">
        <v>75</v>
      </c>
      <c r="D305">
        <v>0.08</v>
      </c>
    </row>
    <row r="306" spans="1:4" x14ac:dyDescent="0.45">
      <c r="A306" t="s">
        <v>58</v>
      </c>
      <c r="B306">
        <v>2009</v>
      </c>
      <c r="C306" t="s">
        <v>75</v>
      </c>
      <c r="D306">
        <v>0.01</v>
      </c>
    </row>
    <row r="307" spans="1:4" x14ac:dyDescent="0.45">
      <c r="A307" t="s">
        <v>91</v>
      </c>
      <c r="B307">
        <v>2009</v>
      </c>
      <c r="C307" t="s">
        <v>75</v>
      </c>
      <c r="D307">
        <v>0.15</v>
      </c>
    </row>
    <row r="308" spans="1:4" x14ac:dyDescent="0.45">
      <c r="A308" t="s">
        <v>32</v>
      </c>
      <c r="B308">
        <v>2010</v>
      </c>
      <c r="C308" t="s">
        <v>75</v>
      </c>
      <c r="D308">
        <v>1.68</v>
      </c>
    </row>
    <row r="309" spans="1:4" x14ac:dyDescent="0.45">
      <c r="A309" t="s">
        <v>34</v>
      </c>
      <c r="B309">
        <v>2010</v>
      </c>
      <c r="C309" t="s">
        <v>75</v>
      </c>
      <c r="D309">
        <v>3.61</v>
      </c>
    </row>
    <row r="310" spans="1:4" x14ac:dyDescent="0.45">
      <c r="A310" t="s">
        <v>36</v>
      </c>
      <c r="B310">
        <v>2010</v>
      </c>
      <c r="C310" t="s">
        <v>75</v>
      </c>
      <c r="D310">
        <v>2.0499999999999998</v>
      </c>
    </row>
    <row r="311" spans="1:4" x14ac:dyDescent="0.45">
      <c r="A311" t="s">
        <v>56</v>
      </c>
      <c r="B311">
        <v>2010</v>
      </c>
      <c r="C311" t="s">
        <v>75</v>
      </c>
      <c r="D311">
        <v>3.04</v>
      </c>
    </row>
    <row r="312" spans="1:4" x14ac:dyDescent="0.45">
      <c r="A312" t="s">
        <v>57</v>
      </c>
      <c r="B312">
        <v>2010</v>
      </c>
      <c r="C312" t="s">
        <v>75</v>
      </c>
      <c r="D312">
        <v>2.72</v>
      </c>
    </row>
    <row r="313" spans="1:4" x14ac:dyDescent="0.45">
      <c r="A313" t="s">
        <v>38</v>
      </c>
      <c r="B313">
        <v>2010</v>
      </c>
      <c r="C313" t="s">
        <v>75</v>
      </c>
      <c r="D313">
        <v>0.93</v>
      </c>
    </row>
    <row r="314" spans="1:4" x14ac:dyDescent="0.45">
      <c r="A314" t="s">
        <v>32</v>
      </c>
      <c r="B314">
        <v>2010</v>
      </c>
      <c r="C314" t="s">
        <v>75</v>
      </c>
      <c r="D314">
        <v>0.09</v>
      </c>
    </row>
    <row r="315" spans="1:4" x14ac:dyDescent="0.45">
      <c r="A315" t="s">
        <v>58</v>
      </c>
      <c r="B315">
        <v>2010</v>
      </c>
      <c r="C315" t="s">
        <v>75</v>
      </c>
      <c r="D315">
        <v>0.01</v>
      </c>
    </row>
    <row r="316" spans="1:4" x14ac:dyDescent="0.45">
      <c r="A316" t="s">
        <v>91</v>
      </c>
      <c r="B316">
        <v>2010</v>
      </c>
      <c r="C316" t="s">
        <v>75</v>
      </c>
      <c r="D316">
        <v>0.2</v>
      </c>
    </row>
    <row r="317" spans="1:4" x14ac:dyDescent="0.45">
      <c r="A317" t="s">
        <v>32</v>
      </c>
      <c r="B317">
        <v>2011</v>
      </c>
      <c r="C317" t="s">
        <v>75</v>
      </c>
      <c r="D317">
        <v>1.8</v>
      </c>
    </row>
    <row r="318" spans="1:4" x14ac:dyDescent="0.45">
      <c r="A318" t="s">
        <v>34</v>
      </c>
      <c r="B318">
        <v>2011</v>
      </c>
      <c r="C318" t="s">
        <v>75</v>
      </c>
      <c r="D318">
        <v>3.61</v>
      </c>
    </row>
    <row r="319" spans="1:4" x14ac:dyDescent="0.45">
      <c r="A319" t="s">
        <v>36</v>
      </c>
      <c r="B319">
        <v>2011</v>
      </c>
      <c r="C319" t="s">
        <v>75</v>
      </c>
      <c r="D319">
        <v>2.0499999999999998</v>
      </c>
    </row>
    <row r="320" spans="1:4" x14ac:dyDescent="0.45">
      <c r="A320" t="s">
        <v>56</v>
      </c>
      <c r="B320">
        <v>2011</v>
      </c>
      <c r="C320" t="s">
        <v>75</v>
      </c>
      <c r="D320">
        <v>3.08</v>
      </c>
    </row>
    <row r="321" spans="1:4" x14ac:dyDescent="0.45">
      <c r="A321" t="s">
        <v>57</v>
      </c>
      <c r="B321">
        <v>2011</v>
      </c>
      <c r="C321" t="s">
        <v>75</v>
      </c>
      <c r="D321">
        <v>2.72</v>
      </c>
    </row>
    <row r="322" spans="1:4" x14ac:dyDescent="0.45">
      <c r="A322" t="s">
        <v>38</v>
      </c>
      <c r="B322">
        <v>2011</v>
      </c>
      <c r="C322" t="s">
        <v>75</v>
      </c>
      <c r="D322">
        <v>0.93</v>
      </c>
    </row>
    <row r="323" spans="1:4" x14ac:dyDescent="0.45">
      <c r="A323" t="s">
        <v>32</v>
      </c>
      <c r="B323">
        <v>2011</v>
      </c>
      <c r="C323" t="s">
        <v>75</v>
      </c>
      <c r="D323">
        <v>0.08</v>
      </c>
    </row>
    <row r="324" spans="1:4" x14ac:dyDescent="0.45">
      <c r="A324" t="s">
        <v>58</v>
      </c>
      <c r="B324">
        <v>2011</v>
      </c>
      <c r="C324" t="s">
        <v>75</v>
      </c>
      <c r="D324">
        <v>0.01</v>
      </c>
    </row>
    <row r="325" spans="1:4" x14ac:dyDescent="0.45">
      <c r="A325" t="s">
        <v>91</v>
      </c>
      <c r="B325">
        <v>2011</v>
      </c>
      <c r="C325" t="s">
        <v>75</v>
      </c>
      <c r="D325">
        <v>0.2</v>
      </c>
    </row>
    <row r="326" spans="1:4" x14ac:dyDescent="0.45">
      <c r="A326" t="s">
        <v>32</v>
      </c>
      <c r="B326">
        <v>2012</v>
      </c>
      <c r="C326" t="s">
        <v>75</v>
      </c>
      <c r="D326">
        <v>1.77</v>
      </c>
    </row>
    <row r="327" spans="1:4" x14ac:dyDescent="0.45">
      <c r="A327" t="s">
        <v>34</v>
      </c>
      <c r="B327">
        <v>2012</v>
      </c>
      <c r="C327" t="s">
        <v>75</v>
      </c>
      <c r="D327">
        <v>3.61</v>
      </c>
    </row>
    <row r="328" spans="1:4" x14ac:dyDescent="0.45">
      <c r="A328" t="s">
        <v>36</v>
      </c>
      <c r="B328">
        <v>2012</v>
      </c>
      <c r="C328" t="s">
        <v>75</v>
      </c>
      <c r="D328">
        <v>2.0499999999999998</v>
      </c>
    </row>
    <row r="329" spans="1:4" x14ac:dyDescent="0.45">
      <c r="A329" t="s">
        <v>56</v>
      </c>
      <c r="B329">
        <v>2012</v>
      </c>
      <c r="C329" t="s">
        <v>75</v>
      </c>
      <c r="D329">
        <v>3.08</v>
      </c>
    </row>
    <row r="330" spans="1:4" x14ac:dyDescent="0.45">
      <c r="A330" t="s">
        <v>57</v>
      </c>
      <c r="B330">
        <v>2012</v>
      </c>
      <c r="C330" t="s">
        <v>75</v>
      </c>
      <c r="D330">
        <v>2.73</v>
      </c>
    </row>
    <row r="331" spans="1:4" x14ac:dyDescent="0.45">
      <c r="A331" t="s">
        <v>38</v>
      </c>
      <c r="B331">
        <v>2012</v>
      </c>
      <c r="C331" t="s">
        <v>75</v>
      </c>
      <c r="D331">
        <v>0.93</v>
      </c>
    </row>
    <row r="332" spans="1:4" x14ac:dyDescent="0.45">
      <c r="A332" t="s">
        <v>32</v>
      </c>
      <c r="B332">
        <v>2012</v>
      </c>
      <c r="C332" t="s">
        <v>75</v>
      </c>
      <c r="D332">
        <v>0.09</v>
      </c>
    </row>
    <row r="333" spans="1:4" x14ac:dyDescent="0.45">
      <c r="A333" t="s">
        <v>58</v>
      </c>
      <c r="B333">
        <v>2012</v>
      </c>
      <c r="C333" t="s">
        <v>75</v>
      </c>
      <c r="D333">
        <v>0.01</v>
      </c>
    </row>
    <row r="334" spans="1:4" x14ac:dyDescent="0.45">
      <c r="A334" t="s">
        <v>91</v>
      </c>
      <c r="B334">
        <v>2012</v>
      </c>
      <c r="C334" t="s">
        <v>75</v>
      </c>
      <c r="D334">
        <v>0.26</v>
      </c>
    </row>
    <row r="335" spans="1:4" x14ac:dyDescent="0.45">
      <c r="A335" t="s">
        <v>32</v>
      </c>
      <c r="B335">
        <v>2013</v>
      </c>
      <c r="C335" t="s">
        <v>75</v>
      </c>
      <c r="D335">
        <v>1.84</v>
      </c>
    </row>
    <row r="336" spans="1:4" x14ac:dyDescent="0.45">
      <c r="A336" t="s">
        <v>34</v>
      </c>
      <c r="B336">
        <v>2013</v>
      </c>
      <c r="C336" t="s">
        <v>75</v>
      </c>
      <c r="D336">
        <v>3.53</v>
      </c>
    </row>
    <row r="337" spans="1:4" x14ac:dyDescent="0.45">
      <c r="A337" t="s">
        <v>36</v>
      </c>
      <c r="B337">
        <v>2013</v>
      </c>
      <c r="C337" t="s">
        <v>75</v>
      </c>
      <c r="D337">
        <v>2.0499999999999998</v>
      </c>
    </row>
    <row r="338" spans="1:4" x14ac:dyDescent="0.45">
      <c r="A338" t="s">
        <v>56</v>
      </c>
      <c r="B338">
        <v>2013</v>
      </c>
      <c r="C338" t="s">
        <v>75</v>
      </c>
      <c r="D338">
        <v>3.11</v>
      </c>
    </row>
    <row r="339" spans="1:4" x14ac:dyDescent="0.45">
      <c r="A339" t="s">
        <v>57</v>
      </c>
      <c r="B339">
        <v>2013</v>
      </c>
      <c r="C339" t="s">
        <v>75</v>
      </c>
      <c r="D339">
        <v>2.75</v>
      </c>
    </row>
    <row r="340" spans="1:4" x14ac:dyDescent="0.45">
      <c r="A340" t="s">
        <v>38</v>
      </c>
      <c r="B340">
        <v>2013</v>
      </c>
      <c r="C340" t="s">
        <v>75</v>
      </c>
      <c r="D340">
        <v>1.24</v>
      </c>
    </row>
    <row r="341" spans="1:4" x14ac:dyDescent="0.45">
      <c r="A341" t="s">
        <v>32</v>
      </c>
      <c r="B341">
        <v>2013</v>
      </c>
      <c r="C341" t="s">
        <v>75</v>
      </c>
      <c r="D341">
        <v>0.11</v>
      </c>
    </row>
    <row r="342" spans="1:4" x14ac:dyDescent="0.45">
      <c r="A342" t="s">
        <v>58</v>
      </c>
      <c r="B342">
        <v>2013</v>
      </c>
      <c r="C342" t="s">
        <v>75</v>
      </c>
      <c r="D342">
        <v>0.01</v>
      </c>
    </row>
    <row r="343" spans="1:4" x14ac:dyDescent="0.45">
      <c r="A343" t="s">
        <v>91</v>
      </c>
      <c r="B343">
        <v>2013</v>
      </c>
      <c r="C343" t="s">
        <v>75</v>
      </c>
      <c r="D343">
        <v>0.45</v>
      </c>
    </row>
    <row r="344" spans="1:4" x14ac:dyDescent="0.45">
      <c r="A344" t="s">
        <v>32</v>
      </c>
      <c r="B344">
        <v>2014</v>
      </c>
      <c r="C344" t="s">
        <v>75</v>
      </c>
      <c r="D344">
        <v>1.85</v>
      </c>
    </row>
    <row r="345" spans="1:4" x14ac:dyDescent="0.45">
      <c r="A345" t="s">
        <v>34</v>
      </c>
      <c r="B345">
        <v>2014</v>
      </c>
      <c r="C345" t="s">
        <v>75</v>
      </c>
      <c r="D345">
        <v>2.5299999999999998</v>
      </c>
    </row>
    <row r="346" spans="1:4" x14ac:dyDescent="0.45">
      <c r="A346" t="s">
        <v>36</v>
      </c>
      <c r="B346">
        <v>2014</v>
      </c>
      <c r="C346" t="s">
        <v>75</v>
      </c>
      <c r="D346">
        <v>2.0499999999999998</v>
      </c>
    </row>
    <row r="347" spans="1:4" x14ac:dyDescent="0.45">
      <c r="A347" t="s">
        <v>56</v>
      </c>
      <c r="B347">
        <v>2014</v>
      </c>
      <c r="C347" t="s">
        <v>75</v>
      </c>
      <c r="D347">
        <v>3.13</v>
      </c>
    </row>
    <row r="348" spans="1:4" x14ac:dyDescent="0.45">
      <c r="A348" t="s">
        <v>57</v>
      </c>
      <c r="B348">
        <v>2014</v>
      </c>
      <c r="C348" t="s">
        <v>75</v>
      </c>
      <c r="D348">
        <v>2.75</v>
      </c>
    </row>
    <row r="349" spans="1:4" x14ac:dyDescent="0.45">
      <c r="A349" t="s">
        <v>38</v>
      </c>
      <c r="B349">
        <v>2014</v>
      </c>
      <c r="C349" t="s">
        <v>75</v>
      </c>
      <c r="D349">
        <v>1.24</v>
      </c>
    </row>
    <row r="350" spans="1:4" x14ac:dyDescent="0.45">
      <c r="A350" t="s">
        <v>32</v>
      </c>
      <c r="B350">
        <v>2014</v>
      </c>
      <c r="C350" t="s">
        <v>75</v>
      </c>
      <c r="D350">
        <v>0.13</v>
      </c>
    </row>
    <row r="351" spans="1:4" x14ac:dyDescent="0.45">
      <c r="A351" t="s">
        <v>58</v>
      </c>
      <c r="B351">
        <v>2014</v>
      </c>
      <c r="C351" t="s">
        <v>75</v>
      </c>
      <c r="D351">
        <v>0.01</v>
      </c>
    </row>
    <row r="352" spans="1:4" x14ac:dyDescent="0.45">
      <c r="A352" t="s">
        <v>91</v>
      </c>
      <c r="B352">
        <v>2014</v>
      </c>
      <c r="C352" t="s">
        <v>75</v>
      </c>
      <c r="D352">
        <v>0.63</v>
      </c>
    </row>
    <row r="353" spans="1:4" x14ac:dyDescent="0.45">
      <c r="A353" t="s">
        <v>32</v>
      </c>
      <c r="B353">
        <v>2015</v>
      </c>
      <c r="C353" t="s">
        <v>75</v>
      </c>
      <c r="D353">
        <v>1.85</v>
      </c>
    </row>
    <row r="354" spans="1:4" x14ac:dyDescent="0.45">
      <c r="A354" t="s">
        <v>34</v>
      </c>
      <c r="B354">
        <v>2015</v>
      </c>
      <c r="C354" t="s">
        <v>75</v>
      </c>
      <c r="D354">
        <v>2.5299999999999998</v>
      </c>
    </row>
    <row r="355" spans="1:4" x14ac:dyDescent="0.45">
      <c r="A355" t="s">
        <v>36</v>
      </c>
      <c r="B355">
        <v>2015</v>
      </c>
      <c r="C355" t="s">
        <v>75</v>
      </c>
      <c r="D355">
        <v>2.0499999999999998</v>
      </c>
    </row>
    <row r="356" spans="1:4" x14ac:dyDescent="0.45">
      <c r="A356" t="s">
        <v>56</v>
      </c>
      <c r="B356">
        <v>2015</v>
      </c>
      <c r="C356" t="s">
        <v>75</v>
      </c>
      <c r="D356">
        <v>3.13</v>
      </c>
    </row>
    <row r="357" spans="1:4" x14ac:dyDescent="0.45">
      <c r="A357" t="s">
        <v>57</v>
      </c>
      <c r="B357">
        <v>2015</v>
      </c>
      <c r="C357" t="s">
        <v>75</v>
      </c>
      <c r="D357">
        <v>2.75</v>
      </c>
    </row>
    <row r="358" spans="1:4" x14ac:dyDescent="0.45">
      <c r="A358" t="s">
        <v>38</v>
      </c>
      <c r="B358">
        <v>2015</v>
      </c>
      <c r="C358" t="s">
        <v>75</v>
      </c>
      <c r="D358">
        <v>1.24</v>
      </c>
    </row>
    <row r="359" spans="1:4" x14ac:dyDescent="0.45">
      <c r="A359" t="s">
        <v>32</v>
      </c>
      <c r="B359">
        <v>2015</v>
      </c>
      <c r="C359" t="s">
        <v>75</v>
      </c>
      <c r="D359">
        <v>0.13</v>
      </c>
    </row>
    <row r="360" spans="1:4" x14ac:dyDescent="0.45">
      <c r="A360" t="s">
        <v>58</v>
      </c>
      <c r="B360">
        <v>2015</v>
      </c>
      <c r="C360" t="s">
        <v>75</v>
      </c>
      <c r="D360">
        <v>0.02</v>
      </c>
    </row>
    <row r="361" spans="1:4" x14ac:dyDescent="0.45">
      <c r="A361" t="s">
        <v>91</v>
      </c>
      <c r="B361">
        <v>2015</v>
      </c>
      <c r="C361" t="s">
        <v>75</v>
      </c>
      <c r="D361">
        <v>1</v>
      </c>
    </row>
    <row r="362" spans="1:4" x14ac:dyDescent="0.45">
      <c r="A362" t="s">
        <v>32</v>
      </c>
      <c r="B362">
        <v>2016</v>
      </c>
      <c r="C362" t="s">
        <v>75</v>
      </c>
      <c r="D362">
        <v>1.86</v>
      </c>
    </row>
    <row r="363" spans="1:4" x14ac:dyDescent="0.45">
      <c r="A363" t="s">
        <v>34</v>
      </c>
      <c r="B363">
        <v>2016</v>
      </c>
      <c r="C363" t="s">
        <v>75</v>
      </c>
      <c r="D363">
        <v>2.5299999999999998</v>
      </c>
    </row>
    <row r="364" spans="1:4" x14ac:dyDescent="0.45">
      <c r="A364" t="s">
        <v>36</v>
      </c>
      <c r="B364">
        <v>2016</v>
      </c>
      <c r="C364" t="s">
        <v>75</v>
      </c>
      <c r="D364">
        <v>2.17</v>
      </c>
    </row>
    <row r="365" spans="1:4" x14ac:dyDescent="0.45">
      <c r="A365" t="s">
        <v>56</v>
      </c>
      <c r="B365">
        <v>2016</v>
      </c>
      <c r="C365" t="s">
        <v>75</v>
      </c>
      <c r="D365">
        <v>3.13</v>
      </c>
    </row>
    <row r="366" spans="1:4" x14ac:dyDescent="0.45">
      <c r="A366" t="s">
        <v>57</v>
      </c>
      <c r="B366">
        <v>2016</v>
      </c>
      <c r="C366" t="s">
        <v>75</v>
      </c>
      <c r="D366">
        <v>2.76</v>
      </c>
    </row>
    <row r="367" spans="1:4" x14ac:dyDescent="0.45">
      <c r="A367" t="s">
        <v>38</v>
      </c>
      <c r="B367">
        <v>2016</v>
      </c>
      <c r="C367" t="s">
        <v>75</v>
      </c>
      <c r="D367">
        <v>1.24</v>
      </c>
    </row>
    <row r="368" spans="1:4" x14ac:dyDescent="0.45">
      <c r="A368" t="s">
        <v>32</v>
      </c>
      <c r="B368">
        <v>2016</v>
      </c>
      <c r="C368" t="s">
        <v>75</v>
      </c>
      <c r="D368">
        <v>0.15</v>
      </c>
    </row>
    <row r="369" spans="1:4" x14ac:dyDescent="0.45">
      <c r="A369" t="s">
        <v>58</v>
      </c>
      <c r="B369">
        <v>2016</v>
      </c>
      <c r="C369" t="s">
        <v>75</v>
      </c>
      <c r="D369">
        <v>0.04</v>
      </c>
    </row>
    <row r="370" spans="1:4" x14ac:dyDescent="0.45">
      <c r="A370" t="s">
        <v>91</v>
      </c>
      <c r="B370">
        <v>2016</v>
      </c>
      <c r="C370" t="s">
        <v>75</v>
      </c>
      <c r="D370">
        <v>1.56</v>
      </c>
    </row>
    <row r="371" spans="1:4" x14ac:dyDescent="0.45">
      <c r="A371" t="s">
        <v>32</v>
      </c>
      <c r="B371">
        <v>2017</v>
      </c>
      <c r="C371" t="s">
        <v>75</v>
      </c>
      <c r="D371">
        <v>2.08</v>
      </c>
    </row>
    <row r="372" spans="1:4" x14ac:dyDescent="0.45">
      <c r="A372" t="s">
        <v>34</v>
      </c>
      <c r="B372">
        <v>2017</v>
      </c>
      <c r="C372" t="s">
        <v>75</v>
      </c>
      <c r="D372">
        <v>2.06</v>
      </c>
    </row>
    <row r="373" spans="1:4" x14ac:dyDescent="0.45">
      <c r="A373" t="s">
        <v>36</v>
      </c>
      <c r="B373">
        <v>2017</v>
      </c>
      <c r="C373" t="s">
        <v>75</v>
      </c>
      <c r="D373">
        <v>2.17</v>
      </c>
    </row>
    <row r="374" spans="1:4" x14ac:dyDescent="0.45">
      <c r="A374" t="s">
        <v>56</v>
      </c>
      <c r="B374">
        <v>2017</v>
      </c>
      <c r="C374" t="s">
        <v>75</v>
      </c>
      <c r="D374">
        <v>3.16</v>
      </c>
    </row>
    <row r="375" spans="1:4" x14ac:dyDescent="0.45">
      <c r="A375" t="s">
        <v>57</v>
      </c>
      <c r="B375">
        <v>2017</v>
      </c>
      <c r="C375" t="s">
        <v>75</v>
      </c>
      <c r="D375">
        <v>2.78</v>
      </c>
    </row>
    <row r="376" spans="1:4" x14ac:dyDescent="0.45">
      <c r="A376" t="s">
        <v>38</v>
      </c>
      <c r="B376">
        <v>2017</v>
      </c>
      <c r="C376" t="s">
        <v>75</v>
      </c>
      <c r="D376">
        <v>1.24</v>
      </c>
    </row>
    <row r="377" spans="1:4" x14ac:dyDescent="0.45">
      <c r="A377" t="s">
        <v>32</v>
      </c>
      <c r="B377">
        <v>2017</v>
      </c>
      <c r="C377" t="s">
        <v>75</v>
      </c>
      <c r="D377">
        <v>0.15</v>
      </c>
    </row>
    <row r="378" spans="1:4" x14ac:dyDescent="0.45">
      <c r="A378" t="s">
        <v>58</v>
      </c>
      <c r="B378">
        <v>2017</v>
      </c>
      <c r="C378" t="s">
        <v>75</v>
      </c>
      <c r="D378">
        <v>0.08</v>
      </c>
    </row>
    <row r="379" spans="1:4" x14ac:dyDescent="0.45">
      <c r="A379" t="s">
        <v>91</v>
      </c>
      <c r="B379">
        <v>2017</v>
      </c>
      <c r="C379" t="s">
        <v>75</v>
      </c>
      <c r="D379">
        <v>2.04</v>
      </c>
    </row>
    <row r="380" spans="1:4" x14ac:dyDescent="0.45">
      <c r="A380" t="s">
        <v>32</v>
      </c>
      <c r="B380">
        <v>2018</v>
      </c>
      <c r="C380" t="s">
        <v>75</v>
      </c>
      <c r="D380">
        <v>2.08</v>
      </c>
    </row>
    <row r="381" spans="1:4" x14ac:dyDescent="0.45">
      <c r="A381" t="s">
        <v>34</v>
      </c>
      <c r="B381">
        <v>2018</v>
      </c>
      <c r="C381" t="s">
        <v>75</v>
      </c>
      <c r="D381">
        <v>2.06</v>
      </c>
    </row>
    <row r="382" spans="1:4" x14ac:dyDescent="0.45">
      <c r="A382" t="s">
        <v>36</v>
      </c>
      <c r="B382">
        <v>2018</v>
      </c>
      <c r="C382" t="s">
        <v>75</v>
      </c>
      <c r="D382">
        <v>2.2200000000000002</v>
      </c>
    </row>
    <row r="383" spans="1:4" x14ac:dyDescent="0.45">
      <c r="A383" t="s">
        <v>56</v>
      </c>
      <c r="B383">
        <v>2018</v>
      </c>
      <c r="C383" t="s">
        <v>75</v>
      </c>
      <c r="D383">
        <v>3.15</v>
      </c>
    </row>
    <row r="384" spans="1:4" x14ac:dyDescent="0.45">
      <c r="A384" t="s">
        <v>57</v>
      </c>
      <c r="B384">
        <v>2018</v>
      </c>
      <c r="C384" t="s">
        <v>75</v>
      </c>
      <c r="D384">
        <v>2.78</v>
      </c>
    </row>
    <row r="385" spans="1:4" x14ac:dyDescent="0.45">
      <c r="A385" t="s">
        <v>38</v>
      </c>
      <c r="B385">
        <v>2018</v>
      </c>
      <c r="C385" t="s">
        <v>75</v>
      </c>
      <c r="D385">
        <v>1.24</v>
      </c>
    </row>
    <row r="386" spans="1:4" x14ac:dyDescent="0.45">
      <c r="A386" t="s">
        <v>32</v>
      </c>
      <c r="B386">
        <v>2018</v>
      </c>
      <c r="C386" t="s">
        <v>75</v>
      </c>
      <c r="D386">
        <v>0.15</v>
      </c>
    </row>
    <row r="387" spans="1:4" x14ac:dyDescent="0.45">
      <c r="A387" t="s">
        <v>58</v>
      </c>
      <c r="B387">
        <v>2018</v>
      </c>
      <c r="C387" t="s">
        <v>75</v>
      </c>
      <c r="D387">
        <v>0.14000000000000001</v>
      </c>
    </row>
    <row r="388" spans="1:4" x14ac:dyDescent="0.45">
      <c r="A388" t="s">
        <v>91</v>
      </c>
      <c r="B388">
        <v>2018</v>
      </c>
      <c r="C388" t="s">
        <v>75</v>
      </c>
      <c r="D388">
        <v>2.04</v>
      </c>
    </row>
    <row r="389" spans="1:4" x14ac:dyDescent="0.45">
      <c r="A389" t="s">
        <v>32</v>
      </c>
      <c r="B389">
        <v>2019</v>
      </c>
      <c r="C389" t="s">
        <v>75</v>
      </c>
      <c r="D389">
        <v>2.08</v>
      </c>
    </row>
    <row r="390" spans="1:4" x14ac:dyDescent="0.45">
      <c r="A390" t="s">
        <v>34</v>
      </c>
      <c r="B390">
        <v>2019</v>
      </c>
      <c r="C390" t="s">
        <v>75</v>
      </c>
      <c r="D390">
        <v>1.92</v>
      </c>
    </row>
    <row r="391" spans="1:4" x14ac:dyDescent="0.45">
      <c r="A391" t="s">
        <v>36</v>
      </c>
      <c r="B391">
        <v>2019</v>
      </c>
      <c r="C391" t="s">
        <v>75</v>
      </c>
      <c r="D391">
        <v>2.2200000000000002</v>
      </c>
    </row>
    <row r="392" spans="1:4" x14ac:dyDescent="0.45">
      <c r="A392" t="s">
        <v>56</v>
      </c>
      <c r="B392">
        <v>2019</v>
      </c>
      <c r="C392" t="s">
        <v>75</v>
      </c>
      <c r="D392">
        <v>3.16</v>
      </c>
    </row>
    <row r="393" spans="1:4" x14ac:dyDescent="0.45">
      <c r="A393" t="s">
        <v>57</v>
      </c>
      <c r="B393">
        <v>2019</v>
      </c>
      <c r="C393" t="s">
        <v>75</v>
      </c>
      <c r="D393">
        <v>2.79</v>
      </c>
    </row>
    <row r="394" spans="1:4" x14ac:dyDescent="0.45">
      <c r="A394" t="s">
        <v>38</v>
      </c>
      <c r="B394">
        <v>2019</v>
      </c>
      <c r="C394" t="s">
        <v>75</v>
      </c>
      <c r="D394">
        <v>1.24</v>
      </c>
    </row>
    <row r="395" spans="1:4" x14ac:dyDescent="0.45">
      <c r="A395" t="s">
        <v>32</v>
      </c>
      <c r="B395">
        <v>2019</v>
      </c>
      <c r="C395" t="s">
        <v>75</v>
      </c>
      <c r="D395">
        <v>0.15</v>
      </c>
    </row>
    <row r="396" spans="1:4" x14ac:dyDescent="0.45">
      <c r="A396" t="s">
        <v>58</v>
      </c>
      <c r="B396">
        <v>2019</v>
      </c>
      <c r="C396" t="s">
        <v>75</v>
      </c>
      <c r="D396">
        <v>0.22</v>
      </c>
    </row>
    <row r="397" spans="1:4" x14ac:dyDescent="0.45">
      <c r="A397" t="s">
        <v>91</v>
      </c>
      <c r="B397">
        <v>2019</v>
      </c>
      <c r="C397" t="s">
        <v>75</v>
      </c>
      <c r="D397">
        <v>2.2799999999999998</v>
      </c>
    </row>
    <row r="398" spans="1:4" x14ac:dyDescent="0.45">
      <c r="A398" t="s">
        <v>32</v>
      </c>
      <c r="B398">
        <v>2020</v>
      </c>
      <c r="C398" t="s">
        <v>75</v>
      </c>
      <c r="D398">
        <v>2.56</v>
      </c>
    </row>
    <row r="399" spans="1:4" x14ac:dyDescent="0.45">
      <c r="A399" t="s">
        <v>34</v>
      </c>
      <c r="B399">
        <v>2020</v>
      </c>
      <c r="C399" t="s">
        <v>75</v>
      </c>
      <c r="D399">
        <v>1.59</v>
      </c>
    </row>
    <row r="400" spans="1:4" x14ac:dyDescent="0.45">
      <c r="A400" t="s">
        <v>36</v>
      </c>
      <c r="B400">
        <v>2020</v>
      </c>
      <c r="C400" t="s">
        <v>75</v>
      </c>
      <c r="D400">
        <v>2.2200000000000002</v>
      </c>
    </row>
    <row r="401" spans="1:4" x14ac:dyDescent="0.45">
      <c r="A401" t="s">
        <v>56</v>
      </c>
      <c r="B401">
        <v>2020</v>
      </c>
      <c r="C401" t="s">
        <v>75</v>
      </c>
      <c r="D401">
        <v>3.16</v>
      </c>
    </row>
    <row r="402" spans="1:4" x14ac:dyDescent="0.45">
      <c r="A402" t="s">
        <v>57</v>
      </c>
      <c r="B402">
        <v>2020</v>
      </c>
      <c r="C402" t="s">
        <v>75</v>
      </c>
      <c r="D402">
        <v>2.79</v>
      </c>
    </row>
    <row r="403" spans="1:4" x14ac:dyDescent="0.45">
      <c r="A403" t="s">
        <v>38</v>
      </c>
      <c r="B403">
        <v>2020</v>
      </c>
      <c r="C403" t="s">
        <v>75</v>
      </c>
      <c r="D403">
        <v>1.24</v>
      </c>
    </row>
    <row r="404" spans="1:4" x14ac:dyDescent="0.45">
      <c r="A404" t="s">
        <v>32</v>
      </c>
      <c r="B404">
        <v>2020</v>
      </c>
      <c r="C404" t="s">
        <v>75</v>
      </c>
      <c r="D404">
        <v>0.15</v>
      </c>
    </row>
    <row r="405" spans="1:4" x14ac:dyDescent="0.45">
      <c r="A405" t="s">
        <v>58</v>
      </c>
      <c r="B405">
        <v>2020</v>
      </c>
      <c r="C405" t="s">
        <v>75</v>
      </c>
      <c r="D405">
        <v>0.32</v>
      </c>
    </row>
    <row r="406" spans="1:4" x14ac:dyDescent="0.45">
      <c r="A406" t="s">
        <v>91</v>
      </c>
      <c r="B406">
        <v>2020</v>
      </c>
      <c r="C406" t="s">
        <v>75</v>
      </c>
      <c r="D406">
        <v>2.59</v>
      </c>
    </row>
    <row r="407" spans="1:4" x14ac:dyDescent="0.45">
      <c r="A407" t="s">
        <v>32</v>
      </c>
      <c r="B407">
        <v>2021</v>
      </c>
      <c r="C407" t="s">
        <v>75</v>
      </c>
      <c r="D407">
        <v>2.5099999999999998</v>
      </c>
    </row>
    <row r="408" spans="1:4" x14ac:dyDescent="0.45">
      <c r="A408" t="s">
        <v>34</v>
      </c>
      <c r="B408">
        <v>2021</v>
      </c>
      <c r="C408" t="s">
        <v>75</v>
      </c>
      <c r="D408">
        <v>1.59</v>
      </c>
    </row>
    <row r="409" spans="1:4" x14ac:dyDescent="0.45">
      <c r="A409" t="s">
        <v>36</v>
      </c>
      <c r="B409">
        <v>2021</v>
      </c>
      <c r="C409" t="s">
        <v>75</v>
      </c>
      <c r="D409">
        <v>2.2200000000000002</v>
      </c>
    </row>
    <row r="410" spans="1:4" x14ac:dyDescent="0.45">
      <c r="A410" t="s">
        <v>56</v>
      </c>
      <c r="B410">
        <v>2021</v>
      </c>
      <c r="C410" t="s">
        <v>75</v>
      </c>
      <c r="D410">
        <v>3.17</v>
      </c>
    </row>
    <row r="411" spans="1:4" x14ac:dyDescent="0.45">
      <c r="A411" t="s">
        <v>57</v>
      </c>
      <c r="B411">
        <v>2021</v>
      </c>
      <c r="C411" t="s">
        <v>75</v>
      </c>
      <c r="D411">
        <v>2.79</v>
      </c>
    </row>
    <row r="412" spans="1:4" x14ac:dyDescent="0.45">
      <c r="A412" t="s">
        <v>38</v>
      </c>
      <c r="B412">
        <v>2021</v>
      </c>
      <c r="C412" t="s">
        <v>75</v>
      </c>
      <c r="D412">
        <v>1.24</v>
      </c>
    </row>
    <row r="413" spans="1:4" x14ac:dyDescent="0.45">
      <c r="A413" t="s">
        <v>32</v>
      </c>
      <c r="B413">
        <v>2021</v>
      </c>
      <c r="C413" t="s">
        <v>75</v>
      </c>
      <c r="D413">
        <v>0.2</v>
      </c>
    </row>
    <row r="414" spans="1:4" x14ac:dyDescent="0.45">
      <c r="A414" t="s">
        <v>58</v>
      </c>
      <c r="B414">
        <v>2021</v>
      </c>
      <c r="C414" t="s">
        <v>75</v>
      </c>
      <c r="D414">
        <v>0.43</v>
      </c>
    </row>
    <row r="415" spans="1:4" x14ac:dyDescent="0.45">
      <c r="A415" t="s">
        <v>91</v>
      </c>
      <c r="B415">
        <v>2021</v>
      </c>
      <c r="C415" t="s">
        <v>75</v>
      </c>
      <c r="D415">
        <v>3.26</v>
      </c>
    </row>
    <row r="416" spans="1:4" x14ac:dyDescent="0.45">
      <c r="A416" t="s">
        <v>32</v>
      </c>
      <c r="B416">
        <v>2022</v>
      </c>
      <c r="C416" t="s">
        <v>75</v>
      </c>
      <c r="D416">
        <v>2.95</v>
      </c>
    </row>
    <row r="417" spans="1:4" x14ac:dyDescent="0.45">
      <c r="A417" t="s">
        <v>34</v>
      </c>
      <c r="B417">
        <v>2022</v>
      </c>
      <c r="C417" t="s">
        <v>75</v>
      </c>
      <c r="D417">
        <v>1.59</v>
      </c>
    </row>
    <row r="418" spans="1:4" x14ac:dyDescent="0.45">
      <c r="A418" t="s">
        <v>36</v>
      </c>
      <c r="B418">
        <v>2022</v>
      </c>
      <c r="C418" t="s">
        <v>75</v>
      </c>
      <c r="D418">
        <v>2.16</v>
      </c>
    </row>
    <row r="419" spans="1:4" x14ac:dyDescent="0.45">
      <c r="A419" t="s">
        <v>56</v>
      </c>
      <c r="B419">
        <v>2022</v>
      </c>
      <c r="C419" t="s">
        <v>75</v>
      </c>
      <c r="D419">
        <v>3.17</v>
      </c>
    </row>
    <row r="420" spans="1:4" x14ac:dyDescent="0.45">
      <c r="A420" t="s">
        <v>57</v>
      </c>
      <c r="B420">
        <v>2022</v>
      </c>
      <c r="C420" t="s">
        <v>75</v>
      </c>
      <c r="D420">
        <v>2.79</v>
      </c>
    </row>
    <row r="421" spans="1:4" x14ac:dyDescent="0.45">
      <c r="A421" t="s">
        <v>38</v>
      </c>
      <c r="B421">
        <v>2022</v>
      </c>
      <c r="C421" t="s">
        <v>75</v>
      </c>
      <c r="D421">
        <v>1.24</v>
      </c>
    </row>
    <row r="422" spans="1:4" x14ac:dyDescent="0.45">
      <c r="A422" t="s">
        <v>32</v>
      </c>
      <c r="B422">
        <v>2022</v>
      </c>
      <c r="C422" t="s">
        <v>75</v>
      </c>
      <c r="D422">
        <v>0.25</v>
      </c>
    </row>
    <row r="423" spans="1:4" x14ac:dyDescent="0.45">
      <c r="A423" t="s">
        <v>58</v>
      </c>
      <c r="B423">
        <v>2022</v>
      </c>
      <c r="C423" t="s">
        <v>75</v>
      </c>
      <c r="D423">
        <v>0.66</v>
      </c>
    </row>
    <row r="424" spans="1:4" x14ac:dyDescent="0.45">
      <c r="A424" t="s">
        <v>91</v>
      </c>
      <c r="B424">
        <v>2022</v>
      </c>
      <c r="C424" t="s">
        <v>75</v>
      </c>
      <c r="D424">
        <v>5.68</v>
      </c>
    </row>
    <row r="425" spans="1:4" x14ac:dyDescent="0.45">
      <c r="A425" t="s">
        <v>32</v>
      </c>
      <c r="B425">
        <v>2023</v>
      </c>
      <c r="C425" t="s">
        <v>75</v>
      </c>
      <c r="D425">
        <v>2.81</v>
      </c>
    </row>
    <row r="426" spans="1:4" x14ac:dyDescent="0.45">
      <c r="A426" t="s">
        <v>34</v>
      </c>
      <c r="B426">
        <v>2023</v>
      </c>
      <c r="C426" t="s">
        <v>75</v>
      </c>
      <c r="D426">
        <v>1.37</v>
      </c>
    </row>
    <row r="427" spans="1:4" x14ac:dyDescent="0.45">
      <c r="A427" t="s">
        <v>36</v>
      </c>
      <c r="B427">
        <v>2023</v>
      </c>
      <c r="C427" t="s">
        <v>75</v>
      </c>
      <c r="D427">
        <v>2.16</v>
      </c>
    </row>
    <row r="428" spans="1:4" x14ac:dyDescent="0.45">
      <c r="A428" t="s">
        <v>56</v>
      </c>
      <c r="B428">
        <v>2023</v>
      </c>
      <c r="C428" t="s">
        <v>75</v>
      </c>
      <c r="D428">
        <v>3.18</v>
      </c>
    </row>
    <row r="429" spans="1:4" x14ac:dyDescent="0.45">
      <c r="A429" t="s">
        <v>57</v>
      </c>
      <c r="B429">
        <v>2023</v>
      </c>
      <c r="C429" t="s">
        <v>75</v>
      </c>
      <c r="D429">
        <v>4.3899999999999997</v>
      </c>
    </row>
    <row r="430" spans="1:4" x14ac:dyDescent="0.45">
      <c r="A430" t="s">
        <v>38</v>
      </c>
      <c r="B430">
        <v>2023</v>
      </c>
      <c r="C430" t="s">
        <v>75</v>
      </c>
      <c r="D430">
        <v>1.24</v>
      </c>
    </row>
    <row r="431" spans="1:4" x14ac:dyDescent="0.45">
      <c r="A431" t="s">
        <v>32</v>
      </c>
      <c r="B431">
        <v>2023</v>
      </c>
      <c r="C431" t="s">
        <v>75</v>
      </c>
      <c r="D431">
        <v>0.25</v>
      </c>
    </row>
    <row r="432" spans="1:4" x14ac:dyDescent="0.45">
      <c r="A432" t="s">
        <v>58</v>
      </c>
      <c r="B432">
        <v>2023</v>
      </c>
      <c r="C432" t="s">
        <v>75</v>
      </c>
      <c r="D432">
        <v>0.9</v>
      </c>
    </row>
    <row r="433" spans="1:4" x14ac:dyDescent="0.45">
      <c r="A433" t="s">
        <v>91</v>
      </c>
      <c r="B433">
        <v>2023</v>
      </c>
      <c r="C433" t="s">
        <v>75</v>
      </c>
      <c r="D433">
        <v>6.96</v>
      </c>
    </row>
    <row r="434" spans="1:4" x14ac:dyDescent="0.45">
      <c r="A434" t="s">
        <v>32</v>
      </c>
      <c r="B434">
        <v>2000</v>
      </c>
      <c r="C434" t="s">
        <v>76</v>
      </c>
      <c r="D434">
        <v>1.87</v>
      </c>
    </row>
    <row r="435" spans="1:4" x14ac:dyDescent="0.45">
      <c r="A435" t="s">
        <v>34</v>
      </c>
      <c r="B435">
        <v>2000</v>
      </c>
      <c r="C435" t="s">
        <v>76</v>
      </c>
      <c r="D435">
        <v>8.08</v>
      </c>
    </row>
    <row r="436" spans="1:4" x14ac:dyDescent="0.45">
      <c r="A436" t="s">
        <v>36</v>
      </c>
      <c r="B436">
        <v>2000</v>
      </c>
      <c r="C436" t="s">
        <v>76</v>
      </c>
      <c r="D436">
        <v>3.24</v>
      </c>
    </row>
    <row r="437" spans="1:4" x14ac:dyDescent="0.45">
      <c r="A437" t="s">
        <v>56</v>
      </c>
      <c r="B437">
        <v>2000</v>
      </c>
      <c r="C437" t="s">
        <v>76</v>
      </c>
      <c r="D437">
        <v>0.35</v>
      </c>
    </row>
    <row r="438" spans="1:4" x14ac:dyDescent="0.45">
      <c r="A438" t="s">
        <v>57</v>
      </c>
      <c r="B438">
        <v>2000</v>
      </c>
      <c r="C438" t="s">
        <v>76</v>
      </c>
      <c r="D438">
        <v>0.11</v>
      </c>
    </row>
    <row r="439" spans="1:4" x14ac:dyDescent="0.45">
      <c r="A439" t="s">
        <v>38</v>
      </c>
      <c r="B439">
        <v>2000</v>
      </c>
      <c r="C439" t="s">
        <v>76</v>
      </c>
      <c r="D439">
        <v>3.61</v>
      </c>
    </row>
    <row r="440" spans="1:4" x14ac:dyDescent="0.45">
      <c r="A440" t="s">
        <v>32</v>
      </c>
      <c r="B440">
        <v>2000</v>
      </c>
      <c r="C440" t="s">
        <v>76</v>
      </c>
      <c r="D440">
        <v>0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</v>
      </c>
    </row>
    <row r="443" spans="1:4" x14ac:dyDescent="0.45">
      <c r="A443" t="s">
        <v>32</v>
      </c>
      <c r="B443">
        <v>2001</v>
      </c>
      <c r="C443" t="s">
        <v>76</v>
      </c>
      <c r="D443">
        <v>1.79</v>
      </c>
    </row>
    <row r="444" spans="1:4" x14ac:dyDescent="0.45">
      <c r="A444" t="s">
        <v>34</v>
      </c>
      <c r="B444">
        <v>2001</v>
      </c>
      <c r="C444" t="s">
        <v>76</v>
      </c>
      <c r="D444">
        <v>10.1</v>
      </c>
    </row>
    <row r="445" spans="1:4" x14ac:dyDescent="0.45">
      <c r="A445" t="s">
        <v>36</v>
      </c>
      <c r="B445">
        <v>2001</v>
      </c>
      <c r="C445" t="s">
        <v>76</v>
      </c>
      <c r="D445">
        <v>3.73</v>
      </c>
    </row>
    <row r="446" spans="1:4" x14ac:dyDescent="0.45">
      <c r="A446" t="s">
        <v>56</v>
      </c>
      <c r="B446">
        <v>2001</v>
      </c>
      <c r="C446" t="s">
        <v>76</v>
      </c>
      <c r="D446">
        <v>0.31</v>
      </c>
    </row>
    <row r="447" spans="1:4" x14ac:dyDescent="0.45">
      <c r="A447" t="s">
        <v>57</v>
      </c>
      <c r="B447">
        <v>2001</v>
      </c>
      <c r="C447" t="s">
        <v>76</v>
      </c>
      <c r="D447">
        <v>0.11</v>
      </c>
    </row>
    <row r="448" spans="1:4" x14ac:dyDescent="0.45">
      <c r="A448" t="s">
        <v>38</v>
      </c>
      <c r="B448">
        <v>2001</v>
      </c>
      <c r="C448" t="s">
        <v>76</v>
      </c>
      <c r="D448">
        <v>5.16</v>
      </c>
    </row>
    <row r="449" spans="1:4" x14ac:dyDescent="0.45">
      <c r="A449" t="s">
        <v>32</v>
      </c>
      <c r="B449">
        <v>2001</v>
      </c>
      <c r="C449" t="s">
        <v>76</v>
      </c>
      <c r="D449">
        <v>0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</v>
      </c>
    </row>
    <row r="452" spans="1:4" x14ac:dyDescent="0.45">
      <c r="A452" t="s">
        <v>32</v>
      </c>
      <c r="B452">
        <v>2002</v>
      </c>
      <c r="C452" t="s">
        <v>76</v>
      </c>
      <c r="D452">
        <v>1.94</v>
      </c>
    </row>
    <row r="453" spans="1:4" x14ac:dyDescent="0.45">
      <c r="A453" t="s">
        <v>34</v>
      </c>
      <c r="B453">
        <v>2002</v>
      </c>
      <c r="C453" t="s">
        <v>76</v>
      </c>
      <c r="D453">
        <v>12.1</v>
      </c>
    </row>
    <row r="454" spans="1:4" x14ac:dyDescent="0.45">
      <c r="A454" t="s">
        <v>36</v>
      </c>
      <c r="B454">
        <v>2002</v>
      </c>
      <c r="C454" t="s">
        <v>76</v>
      </c>
      <c r="D454">
        <v>3.71</v>
      </c>
    </row>
    <row r="455" spans="1:4" x14ac:dyDescent="0.45">
      <c r="A455" t="s">
        <v>56</v>
      </c>
      <c r="B455">
        <v>2002</v>
      </c>
      <c r="C455" t="s">
        <v>76</v>
      </c>
      <c r="D455">
        <v>0.26</v>
      </c>
    </row>
    <row r="456" spans="1:4" x14ac:dyDescent="0.45">
      <c r="A456" t="s">
        <v>57</v>
      </c>
      <c r="B456">
        <v>2002</v>
      </c>
      <c r="C456" t="s">
        <v>76</v>
      </c>
      <c r="D456">
        <v>0.11</v>
      </c>
    </row>
    <row r="457" spans="1:4" x14ac:dyDescent="0.45">
      <c r="A457" t="s">
        <v>38</v>
      </c>
      <c r="B457">
        <v>2002</v>
      </c>
      <c r="C457" t="s">
        <v>76</v>
      </c>
      <c r="D457">
        <v>5.56</v>
      </c>
    </row>
    <row r="458" spans="1:4" x14ac:dyDescent="0.45">
      <c r="A458" t="s">
        <v>32</v>
      </c>
      <c r="B458">
        <v>2002</v>
      </c>
      <c r="C458" t="s">
        <v>76</v>
      </c>
      <c r="D458">
        <v>0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</v>
      </c>
    </row>
    <row r="461" spans="1:4" x14ac:dyDescent="0.45">
      <c r="A461" t="s">
        <v>32</v>
      </c>
      <c r="B461">
        <v>2003</v>
      </c>
      <c r="C461" t="s">
        <v>76</v>
      </c>
      <c r="D461">
        <v>2.0299999999999998</v>
      </c>
    </row>
    <row r="462" spans="1:4" x14ac:dyDescent="0.45">
      <c r="A462" t="s">
        <v>34</v>
      </c>
      <c r="B462">
        <v>2003</v>
      </c>
      <c r="C462" t="s">
        <v>76</v>
      </c>
      <c r="D462">
        <v>18.32</v>
      </c>
    </row>
    <row r="463" spans="1:4" x14ac:dyDescent="0.45">
      <c r="A463" t="s">
        <v>36</v>
      </c>
      <c r="B463">
        <v>2003</v>
      </c>
      <c r="C463" t="s">
        <v>76</v>
      </c>
      <c r="D463">
        <v>4.42</v>
      </c>
    </row>
    <row r="464" spans="1:4" x14ac:dyDescent="0.45">
      <c r="A464" t="s">
        <v>56</v>
      </c>
      <c r="B464">
        <v>2003</v>
      </c>
      <c r="C464" t="s">
        <v>76</v>
      </c>
      <c r="D464">
        <v>0.23</v>
      </c>
    </row>
    <row r="465" spans="1:4" x14ac:dyDescent="0.45">
      <c r="A465" t="s">
        <v>57</v>
      </c>
      <c r="B465">
        <v>2003</v>
      </c>
      <c r="C465" t="s">
        <v>76</v>
      </c>
      <c r="D465">
        <v>0.11</v>
      </c>
    </row>
    <row r="466" spans="1:4" x14ac:dyDescent="0.45">
      <c r="A466" t="s">
        <v>38</v>
      </c>
      <c r="B466">
        <v>2003</v>
      </c>
      <c r="C466" t="s">
        <v>76</v>
      </c>
      <c r="D466">
        <v>6.18</v>
      </c>
    </row>
    <row r="467" spans="1:4" x14ac:dyDescent="0.45">
      <c r="A467" t="s">
        <v>32</v>
      </c>
      <c r="B467">
        <v>2003</v>
      </c>
      <c r="C467" t="s">
        <v>76</v>
      </c>
      <c r="D467">
        <v>0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</v>
      </c>
    </row>
    <row r="470" spans="1:4" x14ac:dyDescent="0.45">
      <c r="A470" t="s">
        <v>32</v>
      </c>
      <c r="B470">
        <v>2004</v>
      </c>
      <c r="C470" t="s">
        <v>76</v>
      </c>
      <c r="D470">
        <v>2.2599999999999998</v>
      </c>
    </row>
    <row r="471" spans="1:4" x14ac:dyDescent="0.45">
      <c r="A471" t="s">
        <v>34</v>
      </c>
      <c r="B471">
        <v>2004</v>
      </c>
      <c r="C471" t="s">
        <v>76</v>
      </c>
      <c r="D471">
        <v>15.7</v>
      </c>
    </row>
    <row r="472" spans="1:4" x14ac:dyDescent="0.45">
      <c r="A472" t="s">
        <v>36</v>
      </c>
      <c r="B472">
        <v>2004</v>
      </c>
      <c r="C472" t="s">
        <v>76</v>
      </c>
      <c r="D472">
        <v>4.07</v>
      </c>
    </row>
    <row r="473" spans="1:4" x14ac:dyDescent="0.45">
      <c r="A473" t="s">
        <v>56</v>
      </c>
      <c r="B473">
        <v>2004</v>
      </c>
      <c r="C473" t="s">
        <v>76</v>
      </c>
      <c r="D473">
        <v>0.36</v>
      </c>
    </row>
    <row r="474" spans="1:4" x14ac:dyDescent="0.45">
      <c r="A474" t="s">
        <v>57</v>
      </c>
      <c r="B474">
        <v>2004</v>
      </c>
      <c r="C474" t="s">
        <v>76</v>
      </c>
      <c r="D474">
        <v>0.11</v>
      </c>
    </row>
    <row r="475" spans="1:4" x14ac:dyDescent="0.45">
      <c r="A475" t="s">
        <v>38</v>
      </c>
      <c r="B475">
        <v>2004</v>
      </c>
      <c r="C475" t="s">
        <v>76</v>
      </c>
      <c r="D475">
        <v>5.42</v>
      </c>
    </row>
    <row r="476" spans="1:4" x14ac:dyDescent="0.45">
      <c r="A476" t="s">
        <v>32</v>
      </c>
      <c r="B476">
        <v>2004</v>
      </c>
      <c r="C476" t="s">
        <v>76</v>
      </c>
      <c r="D476">
        <v>0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</v>
      </c>
    </row>
    <row r="479" spans="1:4" x14ac:dyDescent="0.45">
      <c r="A479" t="s">
        <v>32</v>
      </c>
      <c r="B479">
        <v>2005</v>
      </c>
      <c r="C479" t="s">
        <v>76</v>
      </c>
      <c r="D479">
        <v>2.06</v>
      </c>
    </row>
    <row r="480" spans="1:4" x14ac:dyDescent="0.45">
      <c r="A480" t="s">
        <v>34</v>
      </c>
      <c r="B480">
        <v>2005</v>
      </c>
      <c r="C480" t="s">
        <v>76</v>
      </c>
      <c r="D480">
        <v>6.18</v>
      </c>
    </row>
    <row r="481" spans="1:4" x14ac:dyDescent="0.45">
      <c r="A481" t="s">
        <v>36</v>
      </c>
      <c r="B481">
        <v>2005</v>
      </c>
      <c r="C481" t="s">
        <v>76</v>
      </c>
      <c r="D481">
        <v>3.59</v>
      </c>
    </row>
    <row r="482" spans="1:4" x14ac:dyDescent="0.45">
      <c r="A482" t="s">
        <v>56</v>
      </c>
      <c r="B482">
        <v>2005</v>
      </c>
      <c r="C482" t="s">
        <v>76</v>
      </c>
      <c r="D482">
        <v>0.33</v>
      </c>
    </row>
    <row r="483" spans="1:4" x14ac:dyDescent="0.45">
      <c r="A483" t="s">
        <v>57</v>
      </c>
      <c r="B483">
        <v>2005</v>
      </c>
      <c r="C483" t="s">
        <v>76</v>
      </c>
      <c r="D483">
        <v>0.11</v>
      </c>
    </row>
    <row r="484" spans="1:4" x14ac:dyDescent="0.45">
      <c r="A484" t="s">
        <v>38</v>
      </c>
      <c r="B484">
        <v>2005</v>
      </c>
      <c r="C484" t="s">
        <v>76</v>
      </c>
      <c r="D484">
        <v>4.01</v>
      </c>
    </row>
    <row r="485" spans="1:4" x14ac:dyDescent="0.45">
      <c r="A485" t="s">
        <v>32</v>
      </c>
      <c r="B485">
        <v>2005</v>
      </c>
      <c r="C485" t="s">
        <v>76</v>
      </c>
      <c r="D485">
        <v>0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</v>
      </c>
    </row>
    <row r="488" spans="1:4" x14ac:dyDescent="0.45">
      <c r="A488" t="s">
        <v>32</v>
      </c>
      <c r="B488">
        <v>2006</v>
      </c>
      <c r="C488" t="s">
        <v>76</v>
      </c>
      <c r="D488">
        <v>2.34</v>
      </c>
    </row>
    <row r="489" spans="1:4" x14ac:dyDescent="0.45">
      <c r="A489" t="s">
        <v>34</v>
      </c>
      <c r="B489">
        <v>2006</v>
      </c>
      <c r="C489" t="s">
        <v>76</v>
      </c>
      <c r="D489">
        <v>15.53</v>
      </c>
    </row>
    <row r="490" spans="1:4" x14ac:dyDescent="0.45">
      <c r="A490" t="s">
        <v>36</v>
      </c>
      <c r="B490">
        <v>2006</v>
      </c>
      <c r="C490" t="s">
        <v>76</v>
      </c>
      <c r="D490">
        <v>3.93</v>
      </c>
    </row>
    <row r="491" spans="1:4" x14ac:dyDescent="0.45">
      <c r="A491" t="s">
        <v>56</v>
      </c>
      <c r="B491">
        <v>2006</v>
      </c>
      <c r="C491" t="s">
        <v>76</v>
      </c>
      <c r="D491">
        <v>0.27</v>
      </c>
    </row>
    <row r="492" spans="1:4" x14ac:dyDescent="0.45">
      <c r="A492" t="s">
        <v>57</v>
      </c>
      <c r="B492">
        <v>2006</v>
      </c>
      <c r="C492" t="s">
        <v>76</v>
      </c>
      <c r="D492">
        <v>0.11</v>
      </c>
    </row>
    <row r="493" spans="1:4" x14ac:dyDescent="0.45">
      <c r="A493" t="s">
        <v>38</v>
      </c>
      <c r="B493">
        <v>2006</v>
      </c>
      <c r="C493" t="s">
        <v>76</v>
      </c>
      <c r="D493">
        <v>5.44</v>
      </c>
    </row>
    <row r="494" spans="1:4" x14ac:dyDescent="0.45">
      <c r="A494" t="s">
        <v>32</v>
      </c>
      <c r="B494">
        <v>2006</v>
      </c>
      <c r="C494" t="s">
        <v>76</v>
      </c>
      <c r="D494">
        <v>0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</v>
      </c>
    </row>
    <row r="497" spans="1:4" x14ac:dyDescent="0.45">
      <c r="A497" t="s">
        <v>32</v>
      </c>
      <c r="B497">
        <v>2007</v>
      </c>
      <c r="C497" t="s">
        <v>76</v>
      </c>
      <c r="D497">
        <v>2.15</v>
      </c>
    </row>
    <row r="498" spans="1:4" x14ac:dyDescent="0.45">
      <c r="A498" t="s">
        <v>34</v>
      </c>
      <c r="B498">
        <v>2007</v>
      </c>
      <c r="C498" t="s">
        <v>76</v>
      </c>
      <c r="D498">
        <v>13.2</v>
      </c>
    </row>
    <row r="499" spans="1:4" x14ac:dyDescent="0.45">
      <c r="A499" t="s">
        <v>36</v>
      </c>
      <c r="B499">
        <v>2007</v>
      </c>
      <c r="C499" t="s">
        <v>76</v>
      </c>
      <c r="D499">
        <v>3.37</v>
      </c>
    </row>
    <row r="500" spans="1:4" x14ac:dyDescent="0.45">
      <c r="A500" t="s">
        <v>56</v>
      </c>
      <c r="B500">
        <v>2007</v>
      </c>
      <c r="C500" t="s">
        <v>76</v>
      </c>
      <c r="D500">
        <v>0.34</v>
      </c>
    </row>
    <row r="501" spans="1:4" x14ac:dyDescent="0.45">
      <c r="A501" t="s">
        <v>57</v>
      </c>
      <c r="B501">
        <v>2007</v>
      </c>
      <c r="C501" t="s">
        <v>76</v>
      </c>
      <c r="D501">
        <v>0.11</v>
      </c>
    </row>
    <row r="502" spans="1:4" x14ac:dyDescent="0.45">
      <c r="A502" t="s">
        <v>38</v>
      </c>
      <c r="B502">
        <v>2007</v>
      </c>
      <c r="C502" t="s">
        <v>76</v>
      </c>
      <c r="D502">
        <v>5.91</v>
      </c>
    </row>
    <row r="503" spans="1:4" x14ac:dyDescent="0.45">
      <c r="A503" t="s">
        <v>32</v>
      </c>
      <c r="B503">
        <v>2007</v>
      </c>
      <c r="C503" t="s">
        <v>76</v>
      </c>
      <c r="D503">
        <v>0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</v>
      </c>
    </row>
    <row r="506" spans="1:4" x14ac:dyDescent="0.45">
      <c r="A506" t="s">
        <v>32</v>
      </c>
      <c r="B506">
        <v>2008</v>
      </c>
      <c r="C506" t="s">
        <v>76</v>
      </c>
      <c r="D506">
        <v>2.25</v>
      </c>
    </row>
    <row r="507" spans="1:4" x14ac:dyDescent="0.45">
      <c r="A507" t="s">
        <v>34</v>
      </c>
      <c r="B507">
        <v>2008</v>
      </c>
      <c r="C507" t="s">
        <v>76</v>
      </c>
      <c r="D507">
        <v>8.08</v>
      </c>
    </row>
    <row r="508" spans="1:4" x14ac:dyDescent="0.45">
      <c r="A508" t="s">
        <v>36</v>
      </c>
      <c r="B508">
        <v>2008</v>
      </c>
      <c r="C508" t="s">
        <v>76</v>
      </c>
      <c r="D508">
        <v>3.52</v>
      </c>
    </row>
    <row r="509" spans="1:4" x14ac:dyDescent="0.45">
      <c r="A509" t="s">
        <v>56</v>
      </c>
      <c r="B509">
        <v>2008</v>
      </c>
      <c r="C509" t="s">
        <v>76</v>
      </c>
      <c r="D509">
        <v>0.41</v>
      </c>
    </row>
    <row r="510" spans="1:4" x14ac:dyDescent="0.45">
      <c r="A510" t="s">
        <v>57</v>
      </c>
      <c r="B510">
        <v>2008</v>
      </c>
      <c r="C510" t="s">
        <v>76</v>
      </c>
      <c r="D510">
        <v>0.11</v>
      </c>
    </row>
    <row r="511" spans="1:4" x14ac:dyDescent="0.45">
      <c r="A511" t="s">
        <v>38</v>
      </c>
      <c r="B511">
        <v>2008</v>
      </c>
      <c r="C511" t="s">
        <v>76</v>
      </c>
      <c r="D511">
        <v>4.67</v>
      </c>
    </row>
    <row r="512" spans="1:4" x14ac:dyDescent="0.45">
      <c r="A512" t="s">
        <v>32</v>
      </c>
      <c r="B512">
        <v>2008</v>
      </c>
      <c r="C512" t="s">
        <v>76</v>
      </c>
      <c r="D512">
        <v>0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0</v>
      </c>
    </row>
    <row r="515" spans="1:4" x14ac:dyDescent="0.45">
      <c r="A515" t="s">
        <v>32</v>
      </c>
      <c r="B515">
        <v>2009</v>
      </c>
      <c r="C515" t="s">
        <v>76</v>
      </c>
      <c r="D515">
        <v>1.89</v>
      </c>
    </row>
    <row r="516" spans="1:4" x14ac:dyDescent="0.45">
      <c r="A516" t="s">
        <v>34</v>
      </c>
      <c r="B516">
        <v>2009</v>
      </c>
      <c r="C516" t="s">
        <v>76</v>
      </c>
      <c r="D516">
        <v>10.58</v>
      </c>
    </row>
    <row r="517" spans="1:4" x14ac:dyDescent="0.45">
      <c r="A517" t="s">
        <v>36</v>
      </c>
      <c r="B517">
        <v>2009</v>
      </c>
      <c r="C517" t="s">
        <v>76</v>
      </c>
      <c r="D517">
        <v>3.14</v>
      </c>
    </row>
    <row r="518" spans="1:4" x14ac:dyDescent="0.45">
      <c r="A518" t="s">
        <v>56</v>
      </c>
      <c r="B518">
        <v>2009</v>
      </c>
      <c r="C518" t="s">
        <v>76</v>
      </c>
      <c r="D518">
        <v>0.3</v>
      </c>
    </row>
    <row r="519" spans="1:4" x14ac:dyDescent="0.45">
      <c r="A519" t="s">
        <v>57</v>
      </c>
      <c r="B519">
        <v>2009</v>
      </c>
      <c r="C519" t="s">
        <v>76</v>
      </c>
      <c r="D519">
        <v>0.11</v>
      </c>
    </row>
    <row r="520" spans="1:4" x14ac:dyDescent="0.45">
      <c r="A520" t="s">
        <v>38</v>
      </c>
      <c r="B520">
        <v>2009</v>
      </c>
      <c r="C520" t="s">
        <v>76</v>
      </c>
      <c r="D520">
        <v>3.87</v>
      </c>
    </row>
    <row r="521" spans="1:4" x14ac:dyDescent="0.45">
      <c r="A521" t="s">
        <v>32</v>
      </c>
      <c r="B521">
        <v>2009</v>
      </c>
      <c r="C521" t="s">
        <v>76</v>
      </c>
      <c r="D521">
        <v>0</v>
      </c>
    </row>
    <row r="522" spans="1:4" x14ac:dyDescent="0.45">
      <c r="A522" t="s">
        <v>58</v>
      </c>
      <c r="B522">
        <v>2009</v>
      </c>
      <c r="C522" t="s">
        <v>76</v>
      </c>
      <c r="D522">
        <v>0</v>
      </c>
    </row>
    <row r="523" spans="1:4" x14ac:dyDescent="0.45">
      <c r="A523" t="s">
        <v>91</v>
      </c>
      <c r="B523">
        <v>2009</v>
      </c>
      <c r="C523" t="s">
        <v>76</v>
      </c>
      <c r="D523">
        <v>0</v>
      </c>
    </row>
    <row r="524" spans="1:4" x14ac:dyDescent="0.45">
      <c r="A524" t="s">
        <v>32</v>
      </c>
      <c r="B524">
        <v>2010</v>
      </c>
      <c r="C524" t="s">
        <v>76</v>
      </c>
      <c r="D524">
        <v>2.37</v>
      </c>
    </row>
    <row r="525" spans="1:4" x14ac:dyDescent="0.45">
      <c r="A525" t="s">
        <v>34</v>
      </c>
      <c r="B525">
        <v>2010</v>
      </c>
      <c r="C525" t="s">
        <v>76</v>
      </c>
      <c r="D525">
        <v>13.82</v>
      </c>
    </row>
    <row r="526" spans="1:4" x14ac:dyDescent="0.45">
      <c r="A526" t="s">
        <v>36</v>
      </c>
      <c r="B526">
        <v>2010</v>
      </c>
      <c r="C526" t="s">
        <v>76</v>
      </c>
      <c r="D526">
        <v>3.6</v>
      </c>
    </row>
    <row r="527" spans="1:4" x14ac:dyDescent="0.45">
      <c r="A527" t="s">
        <v>56</v>
      </c>
      <c r="B527">
        <v>2010</v>
      </c>
      <c r="C527" t="s">
        <v>76</v>
      </c>
      <c r="D527">
        <v>0.31</v>
      </c>
    </row>
    <row r="528" spans="1:4" x14ac:dyDescent="0.45">
      <c r="A528" t="s">
        <v>57</v>
      </c>
      <c r="B528">
        <v>2010</v>
      </c>
      <c r="C528" t="s">
        <v>76</v>
      </c>
      <c r="D528">
        <v>0.11</v>
      </c>
    </row>
    <row r="529" spans="1:4" x14ac:dyDescent="0.45">
      <c r="A529" t="s">
        <v>38</v>
      </c>
      <c r="B529">
        <v>2010</v>
      </c>
      <c r="C529" t="s">
        <v>76</v>
      </c>
      <c r="D529">
        <v>5.17</v>
      </c>
    </row>
    <row r="530" spans="1:4" x14ac:dyDescent="0.45">
      <c r="A530" t="s">
        <v>32</v>
      </c>
      <c r="B530">
        <v>2010</v>
      </c>
      <c r="C530" t="s">
        <v>76</v>
      </c>
      <c r="D530">
        <v>0</v>
      </c>
    </row>
    <row r="531" spans="1:4" x14ac:dyDescent="0.45">
      <c r="A531" t="s">
        <v>58</v>
      </c>
      <c r="B531">
        <v>2010</v>
      </c>
      <c r="C531" t="s">
        <v>76</v>
      </c>
      <c r="D531">
        <v>0</v>
      </c>
    </row>
    <row r="532" spans="1:4" x14ac:dyDescent="0.45">
      <c r="A532" t="s">
        <v>91</v>
      </c>
      <c r="B532">
        <v>2010</v>
      </c>
      <c r="C532" t="s">
        <v>76</v>
      </c>
      <c r="D532">
        <v>0</v>
      </c>
    </row>
    <row r="533" spans="1:4" x14ac:dyDescent="0.45">
      <c r="A533" t="s">
        <v>32</v>
      </c>
      <c r="B533">
        <v>2011</v>
      </c>
      <c r="C533" t="s">
        <v>76</v>
      </c>
      <c r="D533">
        <v>2.4300000000000002</v>
      </c>
    </row>
    <row r="534" spans="1:4" x14ac:dyDescent="0.45">
      <c r="A534" t="s">
        <v>34</v>
      </c>
      <c r="B534">
        <v>2011</v>
      </c>
      <c r="C534" t="s">
        <v>76</v>
      </c>
      <c r="D534">
        <v>9.3000000000000007</v>
      </c>
    </row>
    <row r="535" spans="1:4" x14ac:dyDescent="0.45">
      <c r="A535" t="s">
        <v>36</v>
      </c>
      <c r="B535">
        <v>2011</v>
      </c>
      <c r="C535" t="s">
        <v>76</v>
      </c>
      <c r="D535">
        <v>3.02</v>
      </c>
    </row>
    <row r="536" spans="1:4" x14ac:dyDescent="0.45">
      <c r="A536" t="s">
        <v>56</v>
      </c>
      <c r="B536">
        <v>2011</v>
      </c>
      <c r="C536" t="s">
        <v>76</v>
      </c>
      <c r="D536">
        <v>0.3</v>
      </c>
    </row>
    <row r="537" spans="1:4" x14ac:dyDescent="0.45">
      <c r="A537" t="s">
        <v>57</v>
      </c>
      <c r="B537">
        <v>2011</v>
      </c>
      <c r="C537" t="s">
        <v>76</v>
      </c>
      <c r="D537">
        <v>0.11</v>
      </c>
    </row>
    <row r="538" spans="1:4" x14ac:dyDescent="0.45">
      <c r="A538" t="s">
        <v>38</v>
      </c>
      <c r="B538">
        <v>2011</v>
      </c>
      <c r="C538" t="s">
        <v>76</v>
      </c>
      <c r="D538">
        <v>4.54</v>
      </c>
    </row>
    <row r="539" spans="1:4" x14ac:dyDescent="0.45">
      <c r="A539" t="s">
        <v>32</v>
      </c>
      <c r="B539">
        <v>2011</v>
      </c>
      <c r="C539" t="s">
        <v>76</v>
      </c>
      <c r="D539">
        <v>0</v>
      </c>
    </row>
    <row r="540" spans="1:4" x14ac:dyDescent="0.45">
      <c r="A540" t="s">
        <v>58</v>
      </c>
      <c r="B540">
        <v>2011</v>
      </c>
      <c r="C540" t="s">
        <v>76</v>
      </c>
      <c r="D540">
        <v>0</v>
      </c>
    </row>
    <row r="541" spans="1:4" x14ac:dyDescent="0.45">
      <c r="A541" t="s">
        <v>91</v>
      </c>
      <c r="B541">
        <v>2011</v>
      </c>
      <c r="C541" t="s">
        <v>76</v>
      </c>
      <c r="D541">
        <v>0.01</v>
      </c>
    </row>
    <row r="542" spans="1:4" x14ac:dyDescent="0.45">
      <c r="A542" t="s">
        <v>32</v>
      </c>
      <c r="B542">
        <v>2012</v>
      </c>
      <c r="C542" t="s">
        <v>76</v>
      </c>
      <c r="D542">
        <v>2.42</v>
      </c>
    </row>
    <row r="543" spans="1:4" x14ac:dyDescent="0.45">
      <c r="A543" t="s">
        <v>34</v>
      </c>
      <c r="B543">
        <v>2012</v>
      </c>
      <c r="C543" t="s">
        <v>76</v>
      </c>
      <c r="D543">
        <v>6.75</v>
      </c>
    </row>
    <row r="544" spans="1:4" x14ac:dyDescent="0.45">
      <c r="A544" t="s">
        <v>36</v>
      </c>
      <c r="B544">
        <v>2012</v>
      </c>
      <c r="C544" t="s">
        <v>76</v>
      </c>
      <c r="D544">
        <v>2.15</v>
      </c>
    </row>
    <row r="545" spans="1:4" x14ac:dyDescent="0.45">
      <c r="A545" t="s">
        <v>56</v>
      </c>
      <c r="B545">
        <v>2012</v>
      </c>
      <c r="C545" t="s">
        <v>76</v>
      </c>
      <c r="D545">
        <v>0.4</v>
      </c>
    </row>
    <row r="546" spans="1:4" x14ac:dyDescent="0.45">
      <c r="A546" t="s">
        <v>57</v>
      </c>
      <c r="B546">
        <v>2012</v>
      </c>
      <c r="C546" t="s">
        <v>76</v>
      </c>
      <c r="D546">
        <v>0.11</v>
      </c>
    </row>
    <row r="547" spans="1:4" x14ac:dyDescent="0.45">
      <c r="A547" t="s">
        <v>38</v>
      </c>
      <c r="B547">
        <v>2012</v>
      </c>
      <c r="C547" t="s">
        <v>76</v>
      </c>
      <c r="D547">
        <v>3.31</v>
      </c>
    </row>
    <row r="548" spans="1:4" x14ac:dyDescent="0.45">
      <c r="A548" t="s">
        <v>32</v>
      </c>
      <c r="B548">
        <v>2012</v>
      </c>
      <c r="C548" t="s">
        <v>76</v>
      </c>
      <c r="D548">
        <v>0</v>
      </c>
    </row>
    <row r="549" spans="1:4" x14ac:dyDescent="0.45">
      <c r="A549" t="s">
        <v>58</v>
      </c>
      <c r="B549">
        <v>2012</v>
      </c>
      <c r="C549" t="s">
        <v>76</v>
      </c>
      <c r="D549">
        <v>0</v>
      </c>
    </row>
    <row r="550" spans="1:4" x14ac:dyDescent="0.45">
      <c r="A550" t="s">
        <v>91</v>
      </c>
      <c r="B550">
        <v>2012</v>
      </c>
      <c r="C550" t="s">
        <v>76</v>
      </c>
      <c r="D550">
        <v>0.01</v>
      </c>
    </row>
    <row r="551" spans="1:4" x14ac:dyDescent="0.45">
      <c r="A551" t="s">
        <v>32</v>
      </c>
      <c r="B551">
        <v>2013</v>
      </c>
      <c r="C551" t="s">
        <v>76</v>
      </c>
      <c r="D551">
        <v>2.6</v>
      </c>
    </row>
    <row r="552" spans="1:4" x14ac:dyDescent="0.45">
      <c r="A552" t="s">
        <v>34</v>
      </c>
      <c r="B552">
        <v>2013</v>
      </c>
      <c r="C552" t="s">
        <v>76</v>
      </c>
      <c r="D552">
        <v>10.16</v>
      </c>
    </row>
    <row r="553" spans="1:4" x14ac:dyDescent="0.45">
      <c r="A553" t="s">
        <v>36</v>
      </c>
      <c r="B553">
        <v>2013</v>
      </c>
      <c r="C553" t="s">
        <v>76</v>
      </c>
      <c r="D553">
        <v>2.17</v>
      </c>
    </row>
    <row r="554" spans="1:4" x14ac:dyDescent="0.45">
      <c r="A554" t="s">
        <v>56</v>
      </c>
      <c r="B554">
        <v>2013</v>
      </c>
      <c r="C554" t="s">
        <v>76</v>
      </c>
      <c r="D554">
        <v>0.31</v>
      </c>
    </row>
    <row r="555" spans="1:4" x14ac:dyDescent="0.45">
      <c r="A555" t="s">
        <v>57</v>
      </c>
      <c r="B555">
        <v>2013</v>
      </c>
      <c r="C555" t="s">
        <v>76</v>
      </c>
      <c r="D555">
        <v>0.11</v>
      </c>
    </row>
    <row r="556" spans="1:4" x14ac:dyDescent="0.45">
      <c r="A556" t="s">
        <v>38</v>
      </c>
      <c r="B556">
        <v>2013</v>
      </c>
      <c r="C556" t="s">
        <v>76</v>
      </c>
      <c r="D556">
        <v>2.99</v>
      </c>
    </row>
    <row r="557" spans="1:4" x14ac:dyDescent="0.45">
      <c r="A557" t="s">
        <v>32</v>
      </c>
      <c r="B557">
        <v>2013</v>
      </c>
      <c r="C557" t="s">
        <v>76</v>
      </c>
      <c r="D557">
        <v>0</v>
      </c>
    </row>
    <row r="558" spans="1:4" x14ac:dyDescent="0.45">
      <c r="A558" t="s">
        <v>58</v>
      </c>
      <c r="B558">
        <v>2013</v>
      </c>
      <c r="C558" t="s">
        <v>76</v>
      </c>
      <c r="D558">
        <v>0</v>
      </c>
    </row>
    <row r="559" spans="1:4" x14ac:dyDescent="0.45">
      <c r="A559" t="s">
        <v>91</v>
      </c>
      <c r="B559">
        <v>2013</v>
      </c>
      <c r="C559" t="s">
        <v>76</v>
      </c>
      <c r="D559">
        <v>0.01</v>
      </c>
    </row>
    <row r="560" spans="1:4" x14ac:dyDescent="0.45">
      <c r="A560" t="s">
        <v>32</v>
      </c>
      <c r="B560">
        <v>2014</v>
      </c>
      <c r="C560" t="s">
        <v>76</v>
      </c>
      <c r="D560">
        <v>2.54</v>
      </c>
    </row>
    <row r="561" spans="1:4" x14ac:dyDescent="0.45">
      <c r="A561" t="s">
        <v>34</v>
      </c>
      <c r="B561">
        <v>2014</v>
      </c>
      <c r="C561" t="s">
        <v>76</v>
      </c>
      <c r="D561">
        <v>7.51</v>
      </c>
    </row>
    <row r="562" spans="1:4" x14ac:dyDescent="0.45">
      <c r="A562" t="s">
        <v>36</v>
      </c>
      <c r="B562">
        <v>2014</v>
      </c>
      <c r="C562" t="s">
        <v>76</v>
      </c>
      <c r="D562">
        <v>1.76</v>
      </c>
    </row>
    <row r="563" spans="1:4" x14ac:dyDescent="0.45">
      <c r="A563" t="s">
        <v>56</v>
      </c>
      <c r="B563">
        <v>2014</v>
      </c>
      <c r="C563" t="s">
        <v>76</v>
      </c>
      <c r="D563">
        <v>0.32</v>
      </c>
    </row>
    <row r="564" spans="1:4" x14ac:dyDescent="0.45">
      <c r="A564" t="s">
        <v>57</v>
      </c>
      <c r="B564">
        <v>2014</v>
      </c>
      <c r="C564" t="s">
        <v>76</v>
      </c>
      <c r="D564">
        <v>0.11</v>
      </c>
    </row>
    <row r="565" spans="1:4" x14ac:dyDescent="0.45">
      <c r="A565" t="s">
        <v>38</v>
      </c>
      <c r="B565">
        <v>2014</v>
      </c>
      <c r="C565" t="s">
        <v>76</v>
      </c>
      <c r="D565">
        <v>3.16</v>
      </c>
    </row>
    <row r="566" spans="1:4" x14ac:dyDescent="0.45">
      <c r="A566" t="s">
        <v>32</v>
      </c>
      <c r="B566">
        <v>2014</v>
      </c>
      <c r="C566" t="s">
        <v>76</v>
      </c>
      <c r="D566">
        <v>0</v>
      </c>
    </row>
    <row r="567" spans="1:4" x14ac:dyDescent="0.45">
      <c r="A567" t="s">
        <v>58</v>
      </c>
      <c r="B567">
        <v>2014</v>
      </c>
      <c r="C567" t="s">
        <v>76</v>
      </c>
      <c r="D567">
        <v>0</v>
      </c>
    </row>
    <row r="568" spans="1:4" x14ac:dyDescent="0.45">
      <c r="A568" t="s">
        <v>91</v>
      </c>
      <c r="B568">
        <v>2014</v>
      </c>
      <c r="C568" t="s">
        <v>76</v>
      </c>
      <c r="D568">
        <v>0.01</v>
      </c>
    </row>
    <row r="569" spans="1:4" x14ac:dyDescent="0.45">
      <c r="A569" t="s">
        <v>32</v>
      </c>
      <c r="B569">
        <v>2015</v>
      </c>
      <c r="C569" t="s">
        <v>76</v>
      </c>
      <c r="D569">
        <v>2.4700000000000002</v>
      </c>
    </row>
    <row r="570" spans="1:4" x14ac:dyDescent="0.45">
      <c r="A570" t="s">
        <v>34</v>
      </c>
      <c r="B570">
        <v>2015</v>
      </c>
      <c r="C570" t="s">
        <v>76</v>
      </c>
      <c r="D570">
        <v>4.84</v>
      </c>
    </row>
    <row r="571" spans="1:4" x14ac:dyDescent="0.45">
      <c r="A571" t="s">
        <v>36</v>
      </c>
      <c r="B571">
        <v>2015</v>
      </c>
      <c r="C571" t="s">
        <v>76</v>
      </c>
      <c r="D571">
        <v>1.66</v>
      </c>
    </row>
    <row r="572" spans="1:4" x14ac:dyDescent="0.45">
      <c r="A572" t="s">
        <v>56</v>
      </c>
      <c r="B572">
        <v>2015</v>
      </c>
      <c r="C572" t="s">
        <v>76</v>
      </c>
      <c r="D572">
        <v>0.4</v>
      </c>
    </row>
    <row r="573" spans="1:4" x14ac:dyDescent="0.45">
      <c r="A573" t="s">
        <v>57</v>
      </c>
      <c r="B573">
        <v>2015</v>
      </c>
      <c r="C573" t="s">
        <v>76</v>
      </c>
      <c r="D573">
        <v>0.11</v>
      </c>
    </row>
    <row r="574" spans="1:4" x14ac:dyDescent="0.45">
      <c r="A574" t="s">
        <v>38</v>
      </c>
      <c r="B574">
        <v>2015</v>
      </c>
      <c r="C574" t="s">
        <v>76</v>
      </c>
      <c r="D574">
        <v>2.97</v>
      </c>
    </row>
    <row r="575" spans="1:4" x14ac:dyDescent="0.45">
      <c r="A575" t="s">
        <v>32</v>
      </c>
      <c r="B575">
        <v>2015</v>
      </c>
      <c r="C575" t="s">
        <v>76</v>
      </c>
      <c r="D575">
        <v>0</v>
      </c>
    </row>
    <row r="576" spans="1:4" x14ac:dyDescent="0.45">
      <c r="A576" t="s">
        <v>58</v>
      </c>
      <c r="B576">
        <v>2015</v>
      </c>
      <c r="C576" t="s">
        <v>76</v>
      </c>
      <c r="D576">
        <v>0</v>
      </c>
    </row>
    <row r="577" spans="1:4" x14ac:dyDescent="0.45">
      <c r="A577" t="s">
        <v>91</v>
      </c>
      <c r="B577">
        <v>2015</v>
      </c>
      <c r="C577" t="s">
        <v>76</v>
      </c>
      <c r="D577">
        <v>0.03</v>
      </c>
    </row>
    <row r="578" spans="1:4" x14ac:dyDescent="0.45">
      <c r="A578" t="s">
        <v>32</v>
      </c>
      <c r="B578">
        <v>2016</v>
      </c>
      <c r="C578" t="s">
        <v>76</v>
      </c>
      <c r="D578">
        <v>2.4900000000000002</v>
      </c>
    </row>
    <row r="579" spans="1:4" x14ac:dyDescent="0.45">
      <c r="A579" t="s">
        <v>34</v>
      </c>
      <c r="B579">
        <v>2016</v>
      </c>
      <c r="C579" t="s">
        <v>76</v>
      </c>
      <c r="D579">
        <v>6.59</v>
      </c>
    </row>
    <row r="580" spans="1:4" x14ac:dyDescent="0.45">
      <c r="A580" t="s">
        <v>36</v>
      </c>
      <c r="B580">
        <v>2016</v>
      </c>
      <c r="C580" t="s">
        <v>76</v>
      </c>
      <c r="D580">
        <v>1.19</v>
      </c>
    </row>
    <row r="581" spans="1:4" x14ac:dyDescent="0.45">
      <c r="A581" t="s">
        <v>56</v>
      </c>
      <c r="B581">
        <v>2016</v>
      </c>
      <c r="C581" t="s">
        <v>76</v>
      </c>
      <c r="D581">
        <v>0.38</v>
      </c>
    </row>
    <row r="582" spans="1:4" x14ac:dyDescent="0.45">
      <c r="A582" t="s">
        <v>57</v>
      </c>
      <c r="B582">
        <v>2016</v>
      </c>
      <c r="C582" t="s">
        <v>76</v>
      </c>
      <c r="D582">
        <v>0.11</v>
      </c>
    </row>
    <row r="583" spans="1:4" x14ac:dyDescent="0.45">
      <c r="A583" t="s">
        <v>38</v>
      </c>
      <c r="B583">
        <v>2016</v>
      </c>
      <c r="C583" t="s">
        <v>76</v>
      </c>
      <c r="D583">
        <v>2.91</v>
      </c>
    </row>
    <row r="584" spans="1:4" x14ac:dyDescent="0.45">
      <c r="A584" t="s">
        <v>32</v>
      </c>
      <c r="B584">
        <v>2016</v>
      </c>
      <c r="C584" t="s">
        <v>76</v>
      </c>
      <c r="D584">
        <v>0</v>
      </c>
    </row>
    <row r="585" spans="1:4" x14ac:dyDescent="0.45">
      <c r="A585" t="s">
        <v>58</v>
      </c>
      <c r="B585">
        <v>2016</v>
      </c>
      <c r="C585" t="s">
        <v>76</v>
      </c>
      <c r="D585">
        <v>0</v>
      </c>
    </row>
    <row r="586" spans="1:4" x14ac:dyDescent="0.45">
      <c r="A586" t="s">
        <v>91</v>
      </c>
      <c r="B586">
        <v>2016</v>
      </c>
      <c r="C586" t="s">
        <v>76</v>
      </c>
      <c r="D586">
        <v>0.04</v>
      </c>
    </row>
    <row r="587" spans="1:4" x14ac:dyDescent="0.45">
      <c r="A587" t="s">
        <v>32</v>
      </c>
      <c r="B587">
        <v>2017</v>
      </c>
      <c r="C587" t="s">
        <v>76</v>
      </c>
      <c r="D587">
        <v>2.56</v>
      </c>
    </row>
    <row r="588" spans="1:4" x14ac:dyDescent="0.45">
      <c r="A588" t="s">
        <v>34</v>
      </c>
      <c r="B588">
        <v>2017</v>
      </c>
      <c r="C588" t="s">
        <v>76</v>
      </c>
      <c r="D588">
        <v>5.52</v>
      </c>
    </row>
    <row r="589" spans="1:4" x14ac:dyDescent="0.45">
      <c r="A589" t="s">
        <v>36</v>
      </c>
      <c r="B589">
        <v>2017</v>
      </c>
      <c r="C589" t="s">
        <v>76</v>
      </c>
      <c r="D589">
        <v>1.05</v>
      </c>
    </row>
    <row r="590" spans="1:4" x14ac:dyDescent="0.45">
      <c r="A590" t="s">
        <v>56</v>
      </c>
      <c r="B590">
        <v>2017</v>
      </c>
      <c r="C590" t="s">
        <v>76</v>
      </c>
      <c r="D590">
        <v>0.35</v>
      </c>
    </row>
    <row r="591" spans="1:4" x14ac:dyDescent="0.45">
      <c r="A591" t="s">
        <v>57</v>
      </c>
      <c r="B591">
        <v>2017</v>
      </c>
      <c r="C591" t="s">
        <v>76</v>
      </c>
      <c r="D591">
        <v>0.11</v>
      </c>
    </row>
    <row r="592" spans="1:4" x14ac:dyDescent="0.45">
      <c r="A592" t="s">
        <v>38</v>
      </c>
      <c r="B592">
        <v>2017</v>
      </c>
      <c r="C592" t="s">
        <v>76</v>
      </c>
      <c r="D592">
        <v>2.9</v>
      </c>
    </row>
    <row r="593" spans="1:4" x14ac:dyDescent="0.45">
      <c r="A593" t="s">
        <v>32</v>
      </c>
      <c r="B593">
        <v>2017</v>
      </c>
      <c r="C593" t="s">
        <v>76</v>
      </c>
      <c r="D593">
        <v>0</v>
      </c>
    </row>
    <row r="594" spans="1:4" x14ac:dyDescent="0.45">
      <c r="A594" t="s">
        <v>58</v>
      </c>
      <c r="B594">
        <v>2017</v>
      </c>
      <c r="C594" t="s">
        <v>76</v>
      </c>
      <c r="D594">
        <v>0</v>
      </c>
    </row>
    <row r="595" spans="1:4" x14ac:dyDescent="0.45">
      <c r="A595" t="s">
        <v>91</v>
      </c>
      <c r="B595">
        <v>2017</v>
      </c>
      <c r="C595" t="s">
        <v>76</v>
      </c>
      <c r="D595">
        <v>0.06</v>
      </c>
    </row>
    <row r="596" spans="1:4" x14ac:dyDescent="0.45">
      <c r="A596" t="s">
        <v>32</v>
      </c>
      <c r="B596">
        <v>2018</v>
      </c>
      <c r="C596" t="s">
        <v>76</v>
      </c>
      <c r="D596">
        <v>2.79</v>
      </c>
    </row>
    <row r="597" spans="1:4" x14ac:dyDescent="0.45">
      <c r="A597" t="s">
        <v>34</v>
      </c>
      <c r="B597">
        <v>2018</v>
      </c>
      <c r="C597" t="s">
        <v>76</v>
      </c>
      <c r="D597">
        <v>5.43</v>
      </c>
    </row>
    <row r="598" spans="1:4" x14ac:dyDescent="0.45">
      <c r="A598" t="s">
        <v>36</v>
      </c>
      <c r="B598">
        <v>2018</v>
      </c>
      <c r="C598" t="s">
        <v>76</v>
      </c>
      <c r="D598">
        <v>1.34</v>
      </c>
    </row>
    <row r="599" spans="1:4" x14ac:dyDescent="0.45">
      <c r="A599" t="s">
        <v>56</v>
      </c>
      <c r="B599">
        <v>2018</v>
      </c>
      <c r="C599" t="s">
        <v>76</v>
      </c>
      <c r="D599">
        <v>0.32</v>
      </c>
    </row>
    <row r="600" spans="1:4" x14ac:dyDescent="0.45">
      <c r="A600" t="s">
        <v>57</v>
      </c>
      <c r="B600">
        <v>2018</v>
      </c>
      <c r="C600" t="s">
        <v>76</v>
      </c>
      <c r="D600">
        <v>0.11</v>
      </c>
    </row>
    <row r="601" spans="1:4" x14ac:dyDescent="0.45">
      <c r="A601" t="s">
        <v>38</v>
      </c>
      <c r="B601">
        <v>2018</v>
      </c>
      <c r="C601" t="s">
        <v>76</v>
      </c>
      <c r="D601">
        <v>3.49</v>
      </c>
    </row>
    <row r="602" spans="1:4" x14ac:dyDescent="0.45">
      <c r="A602" t="s">
        <v>32</v>
      </c>
      <c r="B602">
        <v>2018</v>
      </c>
      <c r="C602" t="s">
        <v>76</v>
      </c>
      <c r="D602">
        <v>0</v>
      </c>
    </row>
    <row r="603" spans="1:4" x14ac:dyDescent="0.45">
      <c r="A603" t="s">
        <v>58</v>
      </c>
      <c r="B603">
        <v>2018</v>
      </c>
      <c r="C603" t="s">
        <v>76</v>
      </c>
      <c r="D603">
        <v>0</v>
      </c>
    </row>
    <row r="604" spans="1:4" x14ac:dyDescent="0.45">
      <c r="A604" t="s">
        <v>91</v>
      </c>
      <c r="B604">
        <v>2018</v>
      </c>
      <c r="C604" t="s">
        <v>76</v>
      </c>
      <c r="D604">
        <v>7.0000000000000007E-2</v>
      </c>
    </row>
    <row r="605" spans="1:4" x14ac:dyDescent="0.45">
      <c r="A605" t="s">
        <v>32</v>
      </c>
      <c r="B605">
        <v>2019</v>
      </c>
      <c r="C605" t="s">
        <v>76</v>
      </c>
      <c r="D605">
        <v>2.87</v>
      </c>
    </row>
    <row r="606" spans="1:4" x14ac:dyDescent="0.45">
      <c r="A606" t="s">
        <v>34</v>
      </c>
      <c r="B606">
        <v>2019</v>
      </c>
      <c r="C606" t="s">
        <v>76</v>
      </c>
      <c r="D606">
        <v>4.08</v>
      </c>
    </row>
    <row r="607" spans="1:4" x14ac:dyDescent="0.45">
      <c r="A607" t="s">
        <v>36</v>
      </c>
      <c r="B607">
        <v>2019</v>
      </c>
      <c r="C607" t="s">
        <v>76</v>
      </c>
      <c r="D607">
        <v>1.23</v>
      </c>
    </row>
    <row r="608" spans="1:4" x14ac:dyDescent="0.45">
      <c r="A608" t="s">
        <v>56</v>
      </c>
      <c r="B608">
        <v>2019</v>
      </c>
      <c r="C608" t="s">
        <v>76</v>
      </c>
      <c r="D608">
        <v>0.3</v>
      </c>
    </row>
    <row r="609" spans="1:4" x14ac:dyDescent="0.45">
      <c r="A609" t="s">
        <v>57</v>
      </c>
      <c r="B609">
        <v>2019</v>
      </c>
      <c r="C609" t="s">
        <v>76</v>
      </c>
      <c r="D609">
        <v>0.12</v>
      </c>
    </row>
    <row r="610" spans="1:4" x14ac:dyDescent="0.45">
      <c r="A610" t="s">
        <v>38</v>
      </c>
      <c r="B610">
        <v>2019</v>
      </c>
      <c r="C610" t="s">
        <v>76</v>
      </c>
      <c r="D610">
        <v>3.06</v>
      </c>
    </row>
    <row r="611" spans="1:4" x14ac:dyDescent="0.45">
      <c r="A611" t="s">
        <v>32</v>
      </c>
      <c r="B611">
        <v>2019</v>
      </c>
      <c r="C611" t="s">
        <v>76</v>
      </c>
      <c r="D611">
        <v>0</v>
      </c>
    </row>
    <row r="612" spans="1:4" x14ac:dyDescent="0.45">
      <c r="A612" t="s">
        <v>58</v>
      </c>
      <c r="B612">
        <v>2019</v>
      </c>
      <c r="C612" t="s">
        <v>76</v>
      </c>
      <c r="D612">
        <v>0.01</v>
      </c>
    </row>
    <row r="613" spans="1:4" x14ac:dyDescent="0.45">
      <c r="A613" t="s">
        <v>91</v>
      </c>
      <c r="B613">
        <v>2019</v>
      </c>
      <c r="C613" t="s">
        <v>76</v>
      </c>
      <c r="D613">
        <v>7.0000000000000007E-2</v>
      </c>
    </row>
    <row r="614" spans="1:4" x14ac:dyDescent="0.45">
      <c r="A614" t="s">
        <v>32</v>
      </c>
      <c r="B614">
        <v>2020</v>
      </c>
      <c r="C614" t="s">
        <v>76</v>
      </c>
      <c r="D614">
        <v>2.5</v>
      </c>
    </row>
    <row r="615" spans="1:4" x14ac:dyDescent="0.45">
      <c r="A615" t="s">
        <v>34</v>
      </c>
      <c r="B615">
        <v>2020</v>
      </c>
      <c r="C615" t="s">
        <v>76</v>
      </c>
      <c r="D615">
        <v>2.2799999999999998</v>
      </c>
    </row>
    <row r="616" spans="1:4" x14ac:dyDescent="0.45">
      <c r="A616" t="s">
        <v>36</v>
      </c>
      <c r="B616">
        <v>2020</v>
      </c>
      <c r="C616" t="s">
        <v>76</v>
      </c>
      <c r="D616">
        <v>1.27</v>
      </c>
    </row>
    <row r="617" spans="1:4" x14ac:dyDescent="0.45">
      <c r="A617" t="s">
        <v>56</v>
      </c>
      <c r="B617">
        <v>2020</v>
      </c>
      <c r="C617" t="s">
        <v>76</v>
      </c>
      <c r="D617">
        <v>0.38</v>
      </c>
    </row>
    <row r="618" spans="1:4" x14ac:dyDescent="0.45">
      <c r="A618" t="s">
        <v>57</v>
      </c>
      <c r="B618">
        <v>2020</v>
      </c>
      <c r="C618" t="s">
        <v>76</v>
      </c>
      <c r="D618">
        <v>0.11</v>
      </c>
    </row>
    <row r="619" spans="1:4" x14ac:dyDescent="0.45">
      <c r="A619" t="s">
        <v>38</v>
      </c>
      <c r="B619">
        <v>2020</v>
      </c>
      <c r="C619" t="s">
        <v>76</v>
      </c>
      <c r="D619">
        <v>2.36</v>
      </c>
    </row>
    <row r="620" spans="1:4" x14ac:dyDescent="0.45">
      <c r="A620" t="s">
        <v>32</v>
      </c>
      <c r="B620">
        <v>2020</v>
      </c>
      <c r="C620" t="s">
        <v>76</v>
      </c>
      <c r="D620">
        <v>0</v>
      </c>
    </row>
    <row r="621" spans="1:4" x14ac:dyDescent="0.45">
      <c r="A621" t="s">
        <v>58</v>
      </c>
      <c r="B621">
        <v>2020</v>
      </c>
      <c r="C621" t="s">
        <v>76</v>
      </c>
      <c r="D621">
        <v>0.01</v>
      </c>
    </row>
    <row r="622" spans="1:4" x14ac:dyDescent="0.45">
      <c r="A622" t="s">
        <v>91</v>
      </c>
      <c r="B622">
        <v>2020</v>
      </c>
      <c r="C622" t="s">
        <v>76</v>
      </c>
      <c r="D622">
        <v>0.1</v>
      </c>
    </row>
    <row r="623" spans="1:4" x14ac:dyDescent="0.45">
      <c r="A623" t="s">
        <v>32</v>
      </c>
      <c r="B623">
        <v>2021</v>
      </c>
      <c r="C623" t="s">
        <v>76</v>
      </c>
      <c r="D623">
        <v>2.94</v>
      </c>
    </row>
    <row r="624" spans="1:4" x14ac:dyDescent="0.45">
      <c r="A624" t="s">
        <v>34</v>
      </c>
      <c r="B624">
        <v>2021</v>
      </c>
      <c r="C624" t="s">
        <v>76</v>
      </c>
      <c r="D624">
        <v>2.4900000000000002</v>
      </c>
    </row>
    <row r="625" spans="1:4" x14ac:dyDescent="0.45">
      <c r="A625" t="s">
        <v>36</v>
      </c>
      <c r="B625">
        <v>2021</v>
      </c>
      <c r="C625" t="s">
        <v>76</v>
      </c>
      <c r="D625">
        <v>1.22</v>
      </c>
    </row>
    <row r="626" spans="1:4" x14ac:dyDescent="0.45">
      <c r="A626" t="s">
        <v>56</v>
      </c>
      <c r="B626">
        <v>2021</v>
      </c>
      <c r="C626" t="s">
        <v>76</v>
      </c>
      <c r="D626">
        <v>0.38</v>
      </c>
    </row>
    <row r="627" spans="1:4" x14ac:dyDescent="0.45">
      <c r="A627" t="s">
        <v>57</v>
      </c>
      <c r="B627">
        <v>2021</v>
      </c>
      <c r="C627" t="s">
        <v>76</v>
      </c>
      <c r="D627">
        <v>0.11</v>
      </c>
    </row>
    <row r="628" spans="1:4" x14ac:dyDescent="0.45">
      <c r="A628" t="s">
        <v>38</v>
      </c>
      <c r="B628">
        <v>2021</v>
      </c>
      <c r="C628" t="s">
        <v>76</v>
      </c>
      <c r="D628">
        <v>2.52</v>
      </c>
    </row>
    <row r="629" spans="1:4" x14ac:dyDescent="0.45">
      <c r="A629" t="s">
        <v>32</v>
      </c>
      <c r="B629">
        <v>2021</v>
      </c>
      <c r="C629" t="s">
        <v>76</v>
      </c>
      <c r="D629">
        <v>0</v>
      </c>
    </row>
    <row r="630" spans="1:4" x14ac:dyDescent="0.45">
      <c r="A630" t="s">
        <v>58</v>
      </c>
      <c r="B630">
        <v>2021</v>
      </c>
      <c r="C630" t="s">
        <v>76</v>
      </c>
      <c r="D630">
        <v>0.01</v>
      </c>
    </row>
    <row r="631" spans="1:4" x14ac:dyDescent="0.45">
      <c r="A631" t="s">
        <v>91</v>
      </c>
      <c r="B631">
        <v>2021</v>
      </c>
      <c r="C631" t="s">
        <v>76</v>
      </c>
      <c r="D631">
        <v>0.1</v>
      </c>
    </row>
    <row r="632" spans="1:4" x14ac:dyDescent="0.45">
      <c r="A632" t="s">
        <v>32</v>
      </c>
      <c r="B632">
        <v>2022</v>
      </c>
      <c r="C632" t="s">
        <v>76</v>
      </c>
      <c r="D632">
        <v>2.76</v>
      </c>
    </row>
    <row r="633" spans="1:4" x14ac:dyDescent="0.45">
      <c r="A633" t="s">
        <v>34</v>
      </c>
      <c r="B633">
        <v>2022</v>
      </c>
      <c r="C633" t="s">
        <v>76</v>
      </c>
      <c r="D633">
        <v>3.21</v>
      </c>
    </row>
    <row r="634" spans="1:4" x14ac:dyDescent="0.45">
      <c r="A634" t="s">
        <v>36</v>
      </c>
      <c r="B634">
        <v>2022</v>
      </c>
      <c r="C634" t="s">
        <v>76</v>
      </c>
      <c r="D634">
        <v>0.31</v>
      </c>
    </row>
    <row r="635" spans="1:4" x14ac:dyDescent="0.45">
      <c r="A635" t="s">
        <v>56</v>
      </c>
      <c r="B635">
        <v>2022</v>
      </c>
      <c r="C635" t="s">
        <v>76</v>
      </c>
      <c r="D635">
        <v>0.32</v>
      </c>
    </row>
    <row r="636" spans="1:4" x14ac:dyDescent="0.45">
      <c r="A636" t="s">
        <v>57</v>
      </c>
      <c r="B636">
        <v>2022</v>
      </c>
      <c r="C636" t="s">
        <v>76</v>
      </c>
      <c r="D636">
        <v>0.12</v>
      </c>
    </row>
    <row r="637" spans="1:4" x14ac:dyDescent="0.45">
      <c r="A637" t="s">
        <v>38</v>
      </c>
      <c r="B637">
        <v>2022</v>
      </c>
      <c r="C637" t="s">
        <v>76</v>
      </c>
      <c r="D637">
        <v>2.48</v>
      </c>
    </row>
    <row r="638" spans="1:4" x14ac:dyDescent="0.45">
      <c r="A638" t="s">
        <v>32</v>
      </c>
      <c r="B638">
        <v>2022</v>
      </c>
      <c r="C638" t="s">
        <v>76</v>
      </c>
      <c r="D638">
        <v>0</v>
      </c>
    </row>
    <row r="639" spans="1:4" x14ac:dyDescent="0.45">
      <c r="A639" t="s">
        <v>58</v>
      </c>
      <c r="B639">
        <v>2022</v>
      </c>
      <c r="C639" t="s">
        <v>76</v>
      </c>
      <c r="D639">
        <v>0.02</v>
      </c>
    </row>
    <row r="640" spans="1:4" x14ac:dyDescent="0.45">
      <c r="A640" t="s">
        <v>91</v>
      </c>
      <c r="B640">
        <v>2022</v>
      </c>
      <c r="C640" t="s">
        <v>76</v>
      </c>
      <c r="D640">
        <v>0.14000000000000001</v>
      </c>
    </row>
    <row r="641" spans="1:4" x14ac:dyDescent="0.45">
      <c r="A641" t="s">
        <v>32</v>
      </c>
      <c r="B641">
        <v>2023</v>
      </c>
      <c r="C641" t="s">
        <v>76</v>
      </c>
      <c r="D641">
        <v>2.39</v>
      </c>
    </row>
    <row r="642" spans="1:4" x14ac:dyDescent="0.45">
      <c r="A642" t="s">
        <v>34</v>
      </c>
      <c r="B642">
        <v>2023</v>
      </c>
      <c r="C642" t="s">
        <v>76</v>
      </c>
      <c r="D642">
        <v>1.48</v>
      </c>
    </row>
    <row r="643" spans="1:4" x14ac:dyDescent="0.45">
      <c r="A643" t="s">
        <v>36</v>
      </c>
      <c r="B643">
        <v>2023</v>
      </c>
      <c r="C643" t="s">
        <v>76</v>
      </c>
      <c r="D643">
        <v>0.17</v>
      </c>
    </row>
    <row r="644" spans="1:4" x14ac:dyDescent="0.45">
      <c r="A644" t="s">
        <v>56</v>
      </c>
      <c r="B644">
        <v>2023</v>
      </c>
      <c r="C644" t="s">
        <v>76</v>
      </c>
      <c r="D644">
        <v>0.36</v>
      </c>
    </row>
    <row r="645" spans="1:4" x14ac:dyDescent="0.45">
      <c r="A645" t="s">
        <v>57</v>
      </c>
      <c r="B645">
        <v>2023</v>
      </c>
      <c r="C645" t="s">
        <v>76</v>
      </c>
      <c r="D645">
        <v>0.16</v>
      </c>
    </row>
    <row r="646" spans="1:4" x14ac:dyDescent="0.45">
      <c r="A646" t="s">
        <v>38</v>
      </c>
      <c r="B646">
        <v>2023</v>
      </c>
      <c r="C646" t="s">
        <v>76</v>
      </c>
      <c r="D646">
        <v>1.55</v>
      </c>
    </row>
    <row r="647" spans="1:4" x14ac:dyDescent="0.45">
      <c r="A647" t="s">
        <v>32</v>
      </c>
      <c r="B647">
        <v>2023</v>
      </c>
      <c r="C647" t="s">
        <v>76</v>
      </c>
      <c r="D647">
        <v>0</v>
      </c>
    </row>
    <row r="648" spans="1:4" x14ac:dyDescent="0.45">
      <c r="A648" t="s">
        <v>58</v>
      </c>
      <c r="B648">
        <v>2023</v>
      </c>
      <c r="C648" t="s">
        <v>76</v>
      </c>
      <c r="D648">
        <v>0.03</v>
      </c>
    </row>
    <row r="649" spans="1:4" x14ac:dyDescent="0.45">
      <c r="A649" t="s">
        <v>91</v>
      </c>
      <c r="B649">
        <v>2023</v>
      </c>
      <c r="C649" t="s">
        <v>76</v>
      </c>
      <c r="D649">
        <v>0.18</v>
      </c>
    </row>
    <row r="650" spans="1:4" x14ac:dyDescent="0.45">
      <c r="A650" t="s">
        <v>59</v>
      </c>
      <c r="B650">
        <v>2000</v>
      </c>
      <c r="C650" t="s">
        <v>74</v>
      </c>
      <c r="D650">
        <v>0.3</v>
      </c>
    </row>
    <row r="651" spans="1:4" x14ac:dyDescent="0.45">
      <c r="A651" t="s">
        <v>60</v>
      </c>
      <c r="B651">
        <v>2000</v>
      </c>
      <c r="C651" t="s">
        <v>74</v>
      </c>
      <c r="D651">
        <v>12.2</v>
      </c>
    </row>
    <row r="652" spans="1:4" x14ac:dyDescent="0.45">
      <c r="A652" t="s">
        <v>59</v>
      </c>
      <c r="B652">
        <v>2001</v>
      </c>
      <c r="C652" t="s">
        <v>74</v>
      </c>
      <c r="D652">
        <v>1.8</v>
      </c>
    </row>
    <row r="653" spans="1:4" x14ac:dyDescent="0.45">
      <c r="A653" t="s">
        <v>60</v>
      </c>
      <c r="B653">
        <v>2001</v>
      </c>
      <c r="C653" t="s">
        <v>74</v>
      </c>
      <c r="D653">
        <v>11.8</v>
      </c>
    </row>
    <row r="654" spans="1:4" x14ac:dyDescent="0.45">
      <c r="A654" t="s">
        <v>59</v>
      </c>
      <c r="B654">
        <v>2002</v>
      </c>
      <c r="C654" t="s">
        <v>74</v>
      </c>
      <c r="D654">
        <v>1.5</v>
      </c>
    </row>
    <row r="655" spans="1:4" x14ac:dyDescent="0.45">
      <c r="A655" t="s">
        <v>60</v>
      </c>
      <c r="B655">
        <v>2002</v>
      </c>
      <c r="C655" t="s">
        <v>74</v>
      </c>
      <c r="D655">
        <v>13.5</v>
      </c>
    </row>
    <row r="656" spans="1:4" x14ac:dyDescent="0.45">
      <c r="A656" t="s">
        <v>59</v>
      </c>
      <c r="B656">
        <v>2003</v>
      </c>
      <c r="C656" t="s">
        <v>74</v>
      </c>
      <c r="D656">
        <v>7</v>
      </c>
    </row>
    <row r="657" spans="1:4" x14ac:dyDescent="0.45">
      <c r="A657" t="s">
        <v>60</v>
      </c>
      <c r="B657">
        <v>2003</v>
      </c>
      <c r="C657" t="s">
        <v>74</v>
      </c>
      <c r="D657">
        <v>11.9</v>
      </c>
    </row>
    <row r="658" spans="1:4" x14ac:dyDescent="0.45">
      <c r="A658" t="s">
        <v>59</v>
      </c>
      <c r="B658">
        <v>2004</v>
      </c>
      <c r="C658" t="s">
        <v>74</v>
      </c>
      <c r="D658">
        <v>6.8</v>
      </c>
    </row>
    <row r="659" spans="1:4" x14ac:dyDescent="0.45">
      <c r="A659" t="s">
        <v>60</v>
      </c>
      <c r="B659">
        <v>2004</v>
      </c>
      <c r="C659" t="s">
        <v>74</v>
      </c>
      <c r="D659">
        <v>11.7</v>
      </c>
    </row>
    <row r="660" spans="1:4" x14ac:dyDescent="0.45">
      <c r="A660" t="s">
        <v>59</v>
      </c>
      <c r="B660">
        <v>2005</v>
      </c>
      <c r="C660" t="s">
        <v>74</v>
      </c>
      <c r="D660">
        <v>0.9</v>
      </c>
    </row>
    <row r="661" spans="1:4" x14ac:dyDescent="0.45">
      <c r="A661" t="s">
        <v>60</v>
      </c>
      <c r="B661">
        <v>2005</v>
      </c>
      <c r="C661" t="s">
        <v>74</v>
      </c>
      <c r="D661">
        <v>17.899999999999999</v>
      </c>
    </row>
    <row r="662" spans="1:4" x14ac:dyDescent="0.45">
      <c r="A662" t="s">
        <v>59</v>
      </c>
      <c r="B662">
        <v>2006</v>
      </c>
      <c r="C662" t="s">
        <v>74</v>
      </c>
      <c r="D662">
        <v>2.7</v>
      </c>
    </row>
    <row r="663" spans="1:4" x14ac:dyDescent="0.45">
      <c r="A663" t="s">
        <v>60</v>
      </c>
      <c r="B663">
        <v>2006</v>
      </c>
      <c r="C663" t="s">
        <v>74</v>
      </c>
      <c r="D663">
        <v>14.1</v>
      </c>
    </row>
    <row r="664" spans="1:4" x14ac:dyDescent="0.45">
      <c r="A664" t="s">
        <v>59</v>
      </c>
      <c r="B664">
        <v>2007</v>
      </c>
      <c r="C664" t="s">
        <v>74</v>
      </c>
      <c r="D664">
        <v>2.9</v>
      </c>
    </row>
    <row r="665" spans="1:4" x14ac:dyDescent="0.45">
      <c r="A665" t="s">
        <v>60</v>
      </c>
      <c r="B665">
        <v>2007</v>
      </c>
      <c r="C665" t="s">
        <v>74</v>
      </c>
      <c r="D665">
        <v>15.4</v>
      </c>
    </row>
    <row r="666" spans="1:4" x14ac:dyDescent="0.45">
      <c r="A666" t="s">
        <v>59</v>
      </c>
      <c r="B666">
        <v>2008</v>
      </c>
      <c r="C666" t="s">
        <v>74</v>
      </c>
      <c r="D666">
        <v>3.3</v>
      </c>
    </row>
    <row r="667" spans="1:4" x14ac:dyDescent="0.45">
      <c r="A667" t="s">
        <v>60</v>
      </c>
      <c r="B667">
        <v>2008</v>
      </c>
      <c r="C667" t="s">
        <v>74</v>
      </c>
      <c r="D667">
        <v>16.100000000000001</v>
      </c>
    </row>
    <row r="668" spans="1:4" x14ac:dyDescent="0.45">
      <c r="A668" t="s">
        <v>59</v>
      </c>
      <c r="B668">
        <v>2009</v>
      </c>
      <c r="C668" t="s">
        <v>74</v>
      </c>
      <c r="D668">
        <v>3.4</v>
      </c>
    </row>
    <row r="669" spans="1:4" x14ac:dyDescent="0.45">
      <c r="A669" t="s">
        <v>60</v>
      </c>
      <c r="B669">
        <v>2009</v>
      </c>
      <c r="C669" t="s">
        <v>74</v>
      </c>
      <c r="D669">
        <v>15.5</v>
      </c>
    </row>
    <row r="670" spans="1:4" x14ac:dyDescent="0.45">
      <c r="A670" t="s">
        <v>59</v>
      </c>
      <c r="B670">
        <v>2010</v>
      </c>
      <c r="C670" t="s">
        <v>74</v>
      </c>
      <c r="D670">
        <v>5.2</v>
      </c>
    </row>
    <row r="671" spans="1:4" x14ac:dyDescent="0.45">
      <c r="A671" t="s">
        <v>60</v>
      </c>
      <c r="B671">
        <v>2010</v>
      </c>
      <c r="C671" t="s">
        <v>74</v>
      </c>
      <c r="D671">
        <v>15.7</v>
      </c>
    </row>
    <row r="672" spans="1:4" x14ac:dyDescent="0.45">
      <c r="A672" t="s">
        <v>59</v>
      </c>
      <c r="B672">
        <v>2011</v>
      </c>
      <c r="C672" t="s">
        <v>74</v>
      </c>
      <c r="D672">
        <v>3.8</v>
      </c>
    </row>
    <row r="673" spans="1:4" x14ac:dyDescent="0.45">
      <c r="A673" t="s">
        <v>60</v>
      </c>
      <c r="B673">
        <v>2011</v>
      </c>
      <c r="C673" t="s">
        <v>74</v>
      </c>
      <c r="D673">
        <v>17.7</v>
      </c>
    </row>
    <row r="674" spans="1:4" x14ac:dyDescent="0.45">
      <c r="A674" t="s">
        <v>59</v>
      </c>
      <c r="B674">
        <v>2012</v>
      </c>
      <c r="C674" t="s">
        <v>74</v>
      </c>
      <c r="D674">
        <v>1.6</v>
      </c>
    </row>
    <row r="675" spans="1:4" x14ac:dyDescent="0.45">
      <c r="A675" t="s">
        <v>60</v>
      </c>
      <c r="B675">
        <v>2012</v>
      </c>
      <c r="C675" t="s">
        <v>74</v>
      </c>
      <c r="D675">
        <v>19.100000000000001</v>
      </c>
    </row>
    <row r="676" spans="1:4" x14ac:dyDescent="0.45">
      <c r="A676" t="s">
        <v>59</v>
      </c>
      <c r="B676">
        <v>2013</v>
      </c>
      <c r="C676" t="s">
        <v>74</v>
      </c>
      <c r="D676">
        <v>1.9</v>
      </c>
    </row>
    <row r="677" spans="1:4" x14ac:dyDescent="0.45">
      <c r="A677" t="s">
        <v>60</v>
      </c>
      <c r="B677">
        <v>2013</v>
      </c>
      <c r="C677" t="s">
        <v>74</v>
      </c>
      <c r="D677">
        <v>17.600000000000001</v>
      </c>
    </row>
    <row r="678" spans="1:4" x14ac:dyDescent="0.45">
      <c r="A678" t="s">
        <v>59</v>
      </c>
      <c r="B678">
        <v>2014</v>
      </c>
      <c r="C678" t="s">
        <v>74</v>
      </c>
      <c r="D678">
        <v>3.7</v>
      </c>
    </row>
    <row r="679" spans="1:4" x14ac:dyDescent="0.45">
      <c r="A679" t="s">
        <v>60</v>
      </c>
      <c r="B679">
        <v>2014</v>
      </c>
      <c r="C679" t="s">
        <v>74</v>
      </c>
      <c r="D679">
        <v>21.6</v>
      </c>
    </row>
    <row r="680" spans="1:4" x14ac:dyDescent="0.45">
      <c r="A680" t="s">
        <v>59</v>
      </c>
      <c r="B680">
        <v>2015</v>
      </c>
      <c r="C680" t="s">
        <v>74</v>
      </c>
      <c r="D680">
        <v>5.0999999999999996</v>
      </c>
    </row>
    <row r="681" spans="1:4" x14ac:dyDescent="0.45">
      <c r="A681" t="s">
        <v>60</v>
      </c>
      <c r="B681">
        <v>2015</v>
      </c>
      <c r="C681" t="s">
        <v>74</v>
      </c>
      <c r="D681">
        <v>21.5</v>
      </c>
    </row>
    <row r="682" spans="1:4" x14ac:dyDescent="0.45">
      <c r="A682" t="s">
        <v>59</v>
      </c>
      <c r="B682">
        <v>2016</v>
      </c>
      <c r="C682" t="s">
        <v>74</v>
      </c>
      <c r="D682">
        <v>3.2</v>
      </c>
    </row>
    <row r="683" spans="1:4" x14ac:dyDescent="0.45">
      <c r="A683" t="s">
        <v>60</v>
      </c>
      <c r="B683">
        <v>2016</v>
      </c>
      <c r="C683" t="s">
        <v>74</v>
      </c>
      <c r="D683">
        <v>22.1</v>
      </c>
    </row>
    <row r="684" spans="1:4" x14ac:dyDescent="0.45">
      <c r="A684" t="s">
        <v>59</v>
      </c>
      <c r="B684">
        <v>2017</v>
      </c>
      <c r="C684" t="s">
        <v>74</v>
      </c>
      <c r="D684">
        <v>1.8</v>
      </c>
    </row>
    <row r="685" spans="1:4" x14ac:dyDescent="0.45">
      <c r="A685" t="s">
        <v>60</v>
      </c>
      <c r="B685">
        <v>2017</v>
      </c>
      <c r="C685" t="s">
        <v>74</v>
      </c>
      <c r="D685">
        <v>22.2</v>
      </c>
    </row>
    <row r="686" spans="1:4" x14ac:dyDescent="0.45">
      <c r="A686" t="s">
        <v>59</v>
      </c>
      <c r="B686">
        <v>2018</v>
      </c>
      <c r="C686" t="s">
        <v>74</v>
      </c>
      <c r="D686">
        <v>2.6</v>
      </c>
    </row>
    <row r="687" spans="1:4" x14ac:dyDescent="0.45">
      <c r="A687" t="s">
        <v>60</v>
      </c>
      <c r="B687">
        <v>2018</v>
      </c>
      <c r="C687" t="s">
        <v>74</v>
      </c>
      <c r="D687">
        <v>22.5</v>
      </c>
    </row>
    <row r="688" spans="1:4" x14ac:dyDescent="0.45">
      <c r="A688" t="s">
        <v>59</v>
      </c>
      <c r="B688">
        <v>2019</v>
      </c>
      <c r="C688" t="s">
        <v>74</v>
      </c>
      <c r="D688">
        <v>3.9</v>
      </c>
    </row>
    <row r="689" spans="1:4" x14ac:dyDescent="0.45">
      <c r="A689" t="s">
        <v>60</v>
      </c>
      <c r="B689">
        <v>2019</v>
      </c>
      <c r="C689" t="s">
        <v>74</v>
      </c>
      <c r="D689">
        <v>23.9</v>
      </c>
    </row>
    <row r="690" spans="1:4" x14ac:dyDescent="0.45">
      <c r="A690" t="s">
        <v>59</v>
      </c>
      <c r="B690">
        <v>2020</v>
      </c>
      <c r="C690" t="s">
        <v>74</v>
      </c>
      <c r="D690">
        <v>6.7</v>
      </c>
    </row>
    <row r="691" spans="1:4" x14ac:dyDescent="0.45">
      <c r="A691" t="s">
        <v>60</v>
      </c>
      <c r="B691">
        <v>2020</v>
      </c>
      <c r="C691" t="s">
        <v>74</v>
      </c>
      <c r="D691">
        <v>21.8</v>
      </c>
    </row>
    <row r="692" spans="1:4" x14ac:dyDescent="0.45">
      <c r="A692" t="s">
        <v>59</v>
      </c>
      <c r="B692">
        <v>2021</v>
      </c>
      <c r="C692" t="s">
        <v>74</v>
      </c>
      <c r="D692">
        <v>6.7</v>
      </c>
    </row>
    <row r="693" spans="1:4" x14ac:dyDescent="0.45">
      <c r="A693" t="s">
        <v>60</v>
      </c>
      <c r="B693">
        <v>2021</v>
      </c>
      <c r="C693" t="s">
        <v>74</v>
      </c>
      <c r="D693">
        <v>24.5</v>
      </c>
    </row>
    <row r="694" spans="1:4" x14ac:dyDescent="0.45">
      <c r="A694" t="s">
        <v>59</v>
      </c>
      <c r="B694">
        <v>2022</v>
      </c>
      <c r="C694" t="s">
        <v>74</v>
      </c>
      <c r="D694">
        <v>6.9</v>
      </c>
    </row>
    <row r="695" spans="1:4" x14ac:dyDescent="0.45">
      <c r="A695" t="s">
        <v>60</v>
      </c>
      <c r="B695">
        <v>2022</v>
      </c>
      <c r="C695" t="s">
        <v>74</v>
      </c>
      <c r="D695">
        <v>19.399999999999999</v>
      </c>
    </row>
    <row r="696" spans="1:4" x14ac:dyDescent="0.45">
      <c r="A696" t="s">
        <v>59</v>
      </c>
      <c r="B696">
        <v>2023</v>
      </c>
      <c r="C696" t="s">
        <v>74</v>
      </c>
      <c r="D696">
        <v>7.9</v>
      </c>
    </row>
    <row r="697" spans="1:4" x14ac:dyDescent="0.45">
      <c r="A697" t="s">
        <v>60</v>
      </c>
      <c r="B697">
        <v>2023</v>
      </c>
      <c r="C697" t="s">
        <v>74</v>
      </c>
      <c r="D697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2.9985999999999997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1.3160000000000001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8.4599999999999995E-2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7.5200000000000003E-2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4.7E-2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3.0926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1.3724000000000001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8.4599999999999995E-2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0.26319999999999999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0.11279999999999998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3.7600000000000001E-2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1.8800000000000001E-2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3.1302000000000003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1.3817999999999999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6.5799999999999997E-2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3.7600000000000001E-2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9.4000000000000004E-3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3.008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1.3535999999999999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7.5200000000000003E-2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2.8199999999999996E-2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1.8800000000000001E-2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3.149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1.3253999999999999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8.4599999999999995E-2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2.8199999999999996E-2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1.8800000000000001E-2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3.0362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1.3253999999999999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8.4599999999999995E-2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5.6399999999999992E-2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2.8199999999999996E-2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3.0173999999999999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1.3253999999999999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6.5799999999999997E-2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1.8800000000000001E-2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9.4000000000000004E-3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0.8909999999999999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1.5234999999999999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1.5894999999999999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1.76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2.1780000000000004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2.4144999999999999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2.2989999999999999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0.90750000000000008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1.9635000000000002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1.1274999999999999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1.7709999999999999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3.3879999999999999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5.0105000000000004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4.0865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0.91300000000000003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1.9855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1.1274999999999999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1.21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1.2705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1.4080000000000001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1.0834999999999999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0.8909999999999999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1.9524999999999999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1.133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1.21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1.2429999999999999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1.133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0.87450000000000006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0.91849999999999998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1.5455000000000001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0.91849999999999998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7.1499999999999994E-2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8.2500000000000004E-2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0.253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0.45650000000000002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0.8909999999999999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1.54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1.5620000000000001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1.5455000000000001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2.0734999999999997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2.1065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2.4584999999999999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0.89649999999999996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1.5234999999999999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0.51700000000000002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3.2999999999999995E-2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7.6999999999999999E-2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8.2500000000000004E-2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2.2000000000000002E-2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0.52500000000000002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0.53200000000000003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7.0000000000000001E-3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0.54599999999999993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7.0000000000000001E-3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0.53900000000000003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7.0000000000000001E-3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0.53900000000000003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0.53900000000000003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0.52500000000000002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0.14935000000000001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0.98580000000000001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2.2422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3.4881500000000001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3.9431000000000003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4.0402000000000005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3.6466000000000003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3.2578499999999999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2.8283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2.4411499999999999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2.3022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2.1728000000000001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2.2640500000000001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2.3611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2.3605999999999998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2.37235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0.10275000000000001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9.9000000000000005E-2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8.879999999999999E-2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7.5750000000000012E-2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4.2049999999999997E-2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3.4950000000000002E-2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3.0300000000000001E-2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2.5350000000000001E-2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1.7000000000000001E-2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9.1000000000000004E-3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4.45E-3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0.1026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9.8400000000000001E-2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0.4617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4.34605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9.8250999999999991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10.719000000000001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10.65545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9.7588000000000008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9.0612500000000011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8.3175999999999988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7.1007499999999997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5.9382999999999999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4.5930999999999997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3.3809500000000003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3.1336500000000003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2.9816500000000001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0.10265000000000001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9.8650000000000002E-2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0.26515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1.02535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1.7132999999999998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2.1304499999999997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2.1920000000000002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2.1187499999999999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1.9544999999999999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1.8062499999999999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1.5093000000000001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1.2296499999999999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1.25935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1.29135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1.3548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1.41995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0.19545000000000001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2.6964000000000001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4.6078999999999999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5.9382000000000001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6.3989500000000001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5.8748000000000005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5.7190000000000003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5.1366999999999994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4.8465000000000007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4.5677000000000003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4.5299999999999994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4.4965999999999999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4.5201500000000001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4.5466999999999995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4.49925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4.4500999999999999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0.18564999999999998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1.2483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2.45255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3.5109500000000002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3.4204999999999997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3.2875000000000001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2.7881499999999999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2.5259999999999998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2.2031499999999999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1.8906000000000001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1.4376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1.0062500000000001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0.99219999999999997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0.98070000000000002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1.1552500000000001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1.3289499999999999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0.18585000000000002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5.2461500000000001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10.413399999999999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13.447150000000001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12.901899999999999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11.2592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10.1752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8.8199499999999986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7.1401500000000002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5.5234000000000005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4.4028499999999999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3.7571500000000002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3.8601000000000001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3.9834499999999995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4.0524000000000004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4.1701999999999995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19.953099999999999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-1.61585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-9.7753000000000014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-17.06345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-24.027900000000002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-26.020800000000001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-26.119949999999999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-23.0442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-19.971299999999999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-18.689399999999999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-17.435200000000002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-16.141549999999999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-14.8367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-15.029299999999999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-15.22395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-9.6550499999999992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-4.0960999999999999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19.911200000000001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-2.9392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-9.5434999999999999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-13.242599999999999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-15.60915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-14.606349999999999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-18.94905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-20.824100000000001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-21.489899999999999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-21.770099999999999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-21.97165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-25.097349999999999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-28.026150000000001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-26.775749999999999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-25.429500000000001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-18.004649999999998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-10.248049999999999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19.958449999999999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-0.29915000000000003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-4.0794500000000005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-12.22405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-30.064299999999999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-38.534649999999999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-39.440600000000003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-35.414199999999994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-30.384650000000001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-28.4161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-26.289549999999998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-23.534750000000003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-20.832949999999997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-19.491399999999999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-18.274100000000001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-12.31475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-6.4673499999999997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20.082450000000001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-1.5314000000000001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-6.6974499999999999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-13.342449999999999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-27.79935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-33.686250000000001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-36.762450000000001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-33.52355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-30.0167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-27.5687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-25.1248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-26.781749999999999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-28.399650000000001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-27.375149999999998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-26.3672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-18.01315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-9.644400000000001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19.582650000000001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-2.8181500000000002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-19.603899999999999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-24.56945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-26.684150000000002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-27.155099999999997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-24.323349999999998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-23.35295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-21.3339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-13.71805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-6.1489500000000001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-13.26675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-20.398699999999998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-16.182949999999998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-11.972750000000001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-15.0907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-18.197800000000001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19.999299999999998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-3.2583500000000001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-13.784949999999998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-21.793099999999999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-29.193950000000001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-32.799999999999997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-35.014749999999999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-30.870100000000001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-27.654199999999999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-25.245550000000001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-22.768050000000002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-24.146149999999999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-25.531649999999999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-24.305900000000001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-23.062899999999999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-14.85985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-6.6009000000000002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19.93065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-2.5880999999999998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-18.113250000000001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-27.932499999999997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-34.403949999999995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-32.584199999999996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-28.275700000000001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-25.554200000000002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-22.936800000000002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-14.1309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-5.3387500000000001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-11.442599999999999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-17.989699999999999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-13.834099999999999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-9.7054000000000009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-12.803599999999999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-15.954049999999999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33.551400000000001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25.688299999999998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20.759250000000002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14.118399999999999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7.8975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3.6833999999999998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1.151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0.18345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-1.19255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-1.32925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-1.4923000000000002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-1.6019000000000001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-1.7014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-1.8212999999999999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-1.9460500000000001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-2.0145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-2.0939999999999999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33.476749999999996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26.4224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25.8461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23.383899999999997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22.695999999999998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25.492000000000001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22.965499999999999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19.858699999999999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17.869399999999999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16.232250000000001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14.66785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13.036899999999999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11.6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10.025700000000001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8.5416999999999987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7.4029500000000006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6.5939999999999994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33.573650000000001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26.198799999999999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25.795450000000002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20.2042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3.9239499999999996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-6.0129000000000001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-8.7459500000000006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-8.8124000000000002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-8.5747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-8.30945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-7.8845500000000008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-6.7295999999999996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-5.6254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-4.3528000000000002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-3.2020499999999998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-2.9849000000000001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-2.8782000000000001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33.668949999999995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26.396549999999998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25.854849999999999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23.2302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10.568449999999999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5.7080500000000001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3.0044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2.0586000000000002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1.0671999999999999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0.58935000000000004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0.10910000000000002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-5.6350000000000011E-2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-0.18009999999999998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-0.45215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-0.74249999999999994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-0.92764999999999997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-1.0992500000000001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33.198250000000002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24.810299999999998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12.288350000000001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5.0457000000000001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-2.5300000000000003E-2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-3.3219000000000003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-3.6829999999999998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-3.5087000000000002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-3.20635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-3.1071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-3.04765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-3.1880999999999999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-3.33975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-3.4426500000000004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-3.5506500000000001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-3.65245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-3.74275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33.578800000000001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25.41865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19.266350000000003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13.2181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7.7203499999999998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4.5846499999999999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2.7432499999999997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2.7790499999999998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1.5297499999999999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1.0068999999999999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0.5544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0.60854999999999992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0.65815000000000001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0.51794999999999991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0.39265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6.7299999999999999E-2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-0.2039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33.56185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24.911299999999997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13.14395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1.1566999999999998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-8.5149000000000008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-10.274249999999999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-10.014050000000001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-8.9144499999999987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-8.1254500000000007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-6.6824500000000002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-5.2492999999999999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-4.1955499999999999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-3.58175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-3.7202000000000002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-3.8872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-3.9963499999999996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-4.1582500000000007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0.14319999999999999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0.15645000000000001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0.16170000000000001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0.16955000000000001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0.17099999999999999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0.16819999999999999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0.16144999999999998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0.15465000000000001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0.14349999999999999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0.13605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0.12814999999999999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0.1207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0.11305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0.1056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9.8000000000000004E-2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9.0249999999999997E-2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8.2050000000000012E-2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0.14385000000000001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0.1565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0.15994999999999998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0.16105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0.15945000000000001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0.15434999999999999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0.1522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0.15184999999999998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0.14465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0.13835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0.13184999999999999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0.125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0.1176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0.10915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0.10105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9.325E-2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8.4100000000000008E-2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0.14465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0.15684999999999999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0.15765000000000001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0.16134999999999999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0.16799999999999998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0.16454999999999997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0.15989999999999999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0.14745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0.13750000000000001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0.13125000000000001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0.12444999999999999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0.11824999999999999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0.11174999999999999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0.10439999999999999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9.665E-2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8.879999999999999E-2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8.0750000000000002E-2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0.1439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0.15625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0.15939999999999999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0.16070000000000001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0.16470000000000001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0.16220000000000001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0.15444999999999998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0.15015000000000001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0.14174999999999999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0.13539999999999999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0.12840000000000001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0.12165000000000001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0.11445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0.10669999999999999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9.8500000000000004E-2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9.01E-2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8.165E-2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0.14244999999999999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0.14379999999999998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0.12785000000000002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0.11774999999999999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0.10894999999999999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9.8599999999999993E-2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9.3149999999999997E-2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8.7599999999999997E-2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7.7800000000000008E-2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7.3400000000000007E-2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6.8899999999999989E-2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6.4500000000000002E-2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6.0149999999999995E-2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5.6399999999999999E-2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5.2849999999999994E-2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4.9049999999999996E-2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4.5249999999999999E-2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0.14219999999999999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0.15634999999999999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0.16155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0.1663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0.16804999999999998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0.16535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0.1585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0.15339999999999998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0.14510000000000001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0.13865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0.13170000000000001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0.12504999999999999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0.1173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0.109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0.10059999999999999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9.2100000000000001E-2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8.3449999999999996E-2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0.13885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0.15179999999999999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0.15300000000000002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0.16005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0.15970000000000001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0.1502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0.14124999999999999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0.13319999999999999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0.12355000000000001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0.11605000000000001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0.10815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0.1003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9.2249999999999999E-2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8.4349999999999994E-2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7.6600000000000001E-2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6.8099999999999994E-2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5.9549999999999992E-2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0.16315000000000002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0.17709999999999998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0.18740000000000001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0.20434999999999998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0.2077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0.20835000000000001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0.20305000000000001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0.19395000000000001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0.19290000000000002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0.19105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0.18905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0.19190000000000002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0.19364999999999999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0.19495000000000001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0.19569999999999999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0.19669999999999999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0.19695000000000001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0.16075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0.17549999999999999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0.1832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0.18840000000000001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0.18940000000000001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0.1885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0.18820000000000001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0.18535000000000001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0.18704999999999999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0.18859999999999999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0.1895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0.19470000000000001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0.19819999999999999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0.19900000000000001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0.1991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0.19924999999999998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0.19845000000000002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0.1636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0.17575000000000002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0.18140000000000001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0.19545000000000001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0.19669999999999999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0.20465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0.20474999999999999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0.1888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0.18369999999999997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0.18275000000000002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0.18164999999999998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0.18490000000000001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0.18725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0.188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0.188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0.18975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0.19095000000000001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0.16399999999999998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0.1772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0.18495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0.19690000000000002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0.2072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0.2074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0.19855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0.18990000000000001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0.1903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0.18905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0.18740000000000001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0.19045000000000001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0.19219999999999998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0.19409999999999999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0.19524999999999998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0.19564999999999999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0.19550000000000001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0.16270000000000001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0.1812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0.1938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0.1978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0.18720000000000001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0.1827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0.18090000000000001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0.18780000000000002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0.18314999999999998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0.18165000000000001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0.18009999999999998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0.18235000000000001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0.18375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0.18409999999999999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0.18385000000000001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0.18390000000000001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0.1832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0.16159999999999999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0.17655000000000001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0.18695000000000001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0.20390000000000003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0.20650000000000002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0.2056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0.19985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0.19290000000000002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0.1948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0.19369999999999998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0.19225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0.19535000000000002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0.1971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0.1986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0.19919999999999999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0.19919999999999999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0.19864999999999999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0.16189999999999999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0.17660000000000001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0.18875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0.2041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0.19805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0.19400000000000001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0.18160000000000001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0.1706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0.16950000000000001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0.16504999999999997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0.16059999999999999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0.16094999999999998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0.16055000000000003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0.16065000000000002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0.1603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0.15944999999999998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0.15820000000000001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3.5999999999999999E-3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5.8999999999999999E-3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9.5999999999999992E-3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1.43E-2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1.7649999999999999E-2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2.1350000000000001E-2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2.4500000000000001E-2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2.7999999999999997E-2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3.1199999999999999E-2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3.3950000000000001E-2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3.6400000000000002E-2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3.9099999999999996E-2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4.1950000000000001E-2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4.4749999999999998E-2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4.7549999999999995E-2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0.05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5.2049999999999999E-2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3.8E-3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6.0000000000000001E-3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8.7999999999999988E-3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1.1650000000000001E-2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1.35E-2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1.6250000000000001E-2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1.915E-2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2.265E-2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2.5950000000000001E-2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2.9049999999999999E-2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3.1949999999999999E-2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3.49E-2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3.7699999999999997E-2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4.0099999999999997E-2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4.2299999999999997E-2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4.4350000000000001E-2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4.6249999999999999E-2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3.8E-3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5.7999999999999996E-3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8.5499999999999986E-3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1.21E-2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1.29E-2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1.54E-2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1.83E-2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2.1299999999999999E-2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2.4050000000000002E-2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2.665E-2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2.9100000000000001E-2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3.1800000000000002E-2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3.4599999999999999E-2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3.7250000000000005E-2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3.9750000000000001E-2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4.215E-2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4.4350000000000001E-2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3.5999999999999999E-3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5.7000000000000002E-3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8.5500000000000003E-3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1.1900000000000001E-2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1.3350000000000001E-2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1.55E-2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1.8200000000000001E-2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2.155E-2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2.4649999999999998E-2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2.7349999999999999E-2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2.98E-2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3.2750000000000001E-2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3.56E-2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3.8350000000000002E-2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4.095E-2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4.3200000000000002E-2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4.5249999999999999E-2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3.5999999999999999E-3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5.4999999999999997E-3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9.5499999999999995E-3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1.3600000000000001E-2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1.515E-2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1.6750000000000001E-2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1.8200000000000001E-2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2.1299999999999999E-2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2.3900000000000001E-2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2.6099999999999998E-2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2.7949999999999999E-2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2.9899999999999999E-2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3.2000000000000001E-2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3.4000000000000002E-2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3.5949999999999996E-2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3.78E-2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3.9399999999999998E-2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3.5999999999999999E-3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5.8999999999999999E-3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8.8999999999999999E-3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1.2150000000000001E-2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1.32E-2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1.5850000000000003E-2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1.8499999999999999E-2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2.18E-2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2.5349999999999998E-2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2.8200000000000003E-2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3.09E-2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3.39E-2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3.6850000000000001E-2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3.9400000000000004E-2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4.1849999999999998E-2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4.41E-2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4.6100000000000002E-2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3.5999999999999999E-3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6.1500000000000001E-3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1.0149999999999999E-2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1.635E-2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1.975E-2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2.375E-2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2.6700000000000002E-2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2.8049999999999999E-2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3.125E-2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3.39E-2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3.6299999999999999E-2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3.8900000000000004E-2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4.1550000000000004E-2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4.4149999999999995E-2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4.6600000000000003E-2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4.845E-2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4.9950000000000001E-2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5.5214499999999997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5.7596500000000006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6.8430499999999999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5.7637999999999998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5.3145500000000006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9.3986999999999998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5.7637999999999998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5.3145500000000006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6.7579000000000002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5.2363499999999998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7.54115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5.91425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2.1930000000000001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1.6815500000000001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1.4066000000000001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1.3738000000000001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1.5704500000000001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2.2243500000000003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2.2640500000000001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2.3101000000000003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2.37805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2.2243500000000003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2.2640500000000001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1.8371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2.2243500000000003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2.2640500000000001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2.2448999999999999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1.7654000000000001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1.82115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2.1814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2.3414999999999999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1.6132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1.1793999999999998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1.2764500000000001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2.1197999999999997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2.0793499999999998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2.0613000000000001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1.9228499999999999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1.8263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1.9153500000000001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1.7513000000000001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1.4137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4.5418000000000003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5.2363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5.0498499999999993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4.7785500000000001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4.8227500000000001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4.6227999999999998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4.9910999999999994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5.2395999999999994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5.4906499999999996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5.6541999999999994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4.6227999999999998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5.7273500000000004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5.2990500000000003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4.6289499999999997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4.6227999999999998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5.0059500000000003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4.9135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5.3256499999999996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5.0952500000000001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4.3525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4.6133500000000005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4.16275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4.2876500000000002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4.73515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5.0349500000000003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5.3595000000000006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5.3207000000000004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5.7446000000000002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4.9245999999999999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89.96575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91.722499999999997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80.866849999999999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94.775350000000003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109.4058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127.68880000000001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138.68365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231.57419999999999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276.86974999999995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322.16525000000001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329.49990000000003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336.83455000000004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339.76205000000004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342.68944999999997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348.86220000000003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355.03494999999998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82.284700000000001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95.1999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85.915099999999995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88.236950000000007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98.972450000000009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109.85804999999999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118.9221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132.76395000000002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202.08070000000001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247.37195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292.66325000000001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289.27425000000005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285.88525000000004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283.90915000000001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281.93314999999996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274.43950000000001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266.94579999999996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82.284700000000001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95.1999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85.915099999999995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67.341350000000006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120.63204999999999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160.59660000000002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161.64535000000001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174.55090000000001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296.1721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359.3349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422.49770000000001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431.72564999999997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440.95359999999999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441.67345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442.39335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450.49324999999999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458.59320000000002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82.284700000000001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95.1999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85.915099999999995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70.272050000000007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99.064899999999994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125.70115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127.8946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139.0829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220.98079999999999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277.65129999999999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334.3218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336.99554999999998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339.66935000000001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332.01355000000001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324.35770000000002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338.12104999999997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351.88430000000005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82.284700000000001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42.180800000000005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79.161200000000008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85.023949999999999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98.771500000000003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92.769149999999996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123.6588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138.9537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209.56855000000002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259.17174999999997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308.77499999999998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299.42885000000001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290.08265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283.4889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276.89509999999996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304.50725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332.11930000000001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82.284700000000001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90.086849999999998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91.933149999999998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84.959299999999999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101.9907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119.41069999999999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134.60120000000001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143.03975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231.95824999999999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275.41724999999997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318.87615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305.05365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291.23109999999997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276.61815000000001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262.00514999999996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277.25805000000003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292.51094999999998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82.284700000000001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82.312600000000003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93.561599999999999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105.96599999999999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133.94040000000001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142.2116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146.59960000000001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175.14765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294.91550000000001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396.57960000000003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498.24369999999999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516.12689999999998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534.01009999999997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540.76405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547.51790000000005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571.23070000000007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594.94344999999998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1.9800000000000002E-2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4.0000000000000002E-4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0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0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0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0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0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0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0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1.95E-2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4.0000000000000002E-4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2.9999999999999997E-4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2.0000000000000001E-4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1E-4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0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0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0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1E-4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1.9999999999999998E-4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6.4999999999999997E-4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1.15E-3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1.8E-3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2.5000000000000001E-3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2.5000000000000001E-3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2.5000000000000001E-3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0.02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4.0000000000000002E-4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2.9999999999999997E-4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1E-4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0.02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4.0000000000000002E-4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2.9999999999999997E-4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1E-4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0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0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1.95E-2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2.9999999999999997E-4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0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1.9800000000000002E-2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2.9999999999999997E-4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0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1.9800000000000002E-2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4.0000000000000002E-4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0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1.7899999999999999E-2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1.4200000000000001E-2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1E-3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5.9999999999999995E-4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2.0000000000000001E-4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2.0000000000000001E-4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1E-4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1.5000000000000001E-4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1E-4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5.0000000000000002E-5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0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0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0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0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1.7600000000000001E-2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1.6E-2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8.5000000000000006E-3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1.1999999999999999E-3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8.9999999999999998E-4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2.0000000000000001E-4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2.9999999999999997E-4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2.9999999999999997E-4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4.0000000000000002E-4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4.0000000000000002E-4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5.0000000000000001E-4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5.4999999999999992E-4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5.9999999999999995E-4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5.9999999999999995E-4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5.0000000000000001E-4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5.0000000000000001E-4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4.0000000000000002E-4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1.7999999999999999E-2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1.6E-2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8.3000000000000001E-3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1E-3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1E-4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1E-4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0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0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0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0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0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1.7899999999999999E-2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1.6E-2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8.6E-3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1.1000000000000001E-3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2.0000000000000001E-4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2.0000000000000001E-4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2.0000000000000001E-4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2.0000000000000001E-4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2.0000000000000001E-4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1E-4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1.5000000000000001E-4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5.0000000000000002E-5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0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0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0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0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1.7899999999999999E-2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1.2699999999999999E-2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2.9999999999999997E-4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1E-4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1E-4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0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0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1.77E-2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1.38E-2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6.9999999999999999E-4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4.0000000000000002E-4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2.0000000000000001E-4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2.0000000000000001E-4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2.0000000000000001E-4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1.5000000000000001E-4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1E-4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1E-4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1.7999999999999999E-2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1.2699999999999999E-2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5.0000000000000001E-4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1E-4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0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0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1E-4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1E-4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0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1E-4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1E-4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0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1E-4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1E-4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1E-4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1E-4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1E-4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1E-4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1E-4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1E-4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1E-4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1E-4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1.1999999999999999E-3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5.0000000000000001E-3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9.049999999999999E-3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1.3000000000000001E-2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1.685E-2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2.4E-2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3.1399999999999997E-2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3.7599999999999995E-2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4.4150000000000002E-2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4.1499999999999995E-2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3.8099999999999995E-2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3.5549999999999998E-2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3.3000000000000002E-2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3.2350000000000004E-2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3.1799999999999995E-2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3.1899999999999998E-2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3.2149999999999998E-2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1.1999999999999999E-3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5.0000000000000001E-3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9.0000000000000011E-3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1.1349999999999999E-2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1.2150000000000001E-2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1.26E-2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1.5349999999999999E-2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1.44E-2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2.215E-2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2.6349999999999998E-2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2.955E-2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3.465E-2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3.875E-2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4.3050000000000005E-2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4.6399999999999997E-2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4.6899999999999997E-2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4.7549999999999995E-2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1.1999999999999999E-3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5.0000000000000001E-3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8.8999999999999999E-3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1.125E-2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1.6500000000000001E-2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3.585E-2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5.595E-2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6.7000000000000004E-2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7.5249999999999997E-2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7.0449999999999999E-2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6.4750000000000002E-2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5.7599999999999998E-2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5.0600000000000006E-2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4.3999999999999997E-2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3.7500000000000006E-2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3.5549999999999998E-2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3.4750000000000003E-2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1.1999999999999999E-3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5.0000000000000001E-3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9.0000000000000011E-3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1.065E-2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1.3350000000000001E-2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2.12E-2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3.0300000000000001E-2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3.6150000000000002E-2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4.2950000000000002E-2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4.165E-2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3.9599999999999996E-2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3.8250000000000006E-2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3.6549999999999999E-2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3.6799999999999999E-2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3.7199999999999997E-2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3.6999999999999998E-2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3.6900000000000002E-2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1.1999999999999999E-3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3.8500000000000001E-3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6.6E-3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8.8999999999999999E-3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1.1950000000000001E-2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1.2500000000000001E-2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1.2200000000000001E-2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1.2449999999999999E-2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1.5599999999999999E-2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1.6049999999999998E-2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1.6E-2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1.5349999999999999E-2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1.4749999999999999E-2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1.4800000000000001E-2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1.49E-2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1.55E-2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1.6050000000000002E-2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1.1999999999999999E-3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4.7999999999999996E-3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8.9999999999999993E-3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1.265E-2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1.8799999999999997E-2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2.9049999999999999E-2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3.8449999999999998E-2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4.2849999999999999E-2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4.9100000000000005E-2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4.6949999999999999E-2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4.3999999999999997E-2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4.2499999999999996E-2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4.0800000000000003E-2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4.1349999999999998E-2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4.1999999999999996E-2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4.1700000000000001E-2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4.1399999999999999E-2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1.1999999999999999E-3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4.7999999999999996E-3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1.26E-2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2.53E-2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4.1150000000000006E-2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5.3400000000000003E-2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5.7849999999999999E-2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5.7499999999999996E-2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5.525E-2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4.7850000000000004E-2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3.9199999999999999E-2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3.3850000000000005E-2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3.1800000000000002E-2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3.2599999999999997E-2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3.3600000000000005E-2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3.3500000000000002E-2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3.3850000000000005E-2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0.88219999999999998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1.6645000000000001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2.2054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3.2256999999999998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4.9345999999999997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0.14419999999999999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0.14829999999999999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0.15559999999999999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0.1583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0.1696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0.16270000000000001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0.15459999999999999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0.1789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0.2044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0.23469999999999999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0.23119999999999999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0.2344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0.24529999999999999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0.25490000000000002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4.8999999999999998E-3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4.4000000000000003E-3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8.6E-3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1.44E-2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2.69E-2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3.7600000000000001E-2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4.6600000000000003E-2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2.0000000000000001E-4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1.1999999999999999E-3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3.3999999999999998E-3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6.6E-3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2.9985999999999997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1.3160000000000001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8.4599999999999995E-2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7.5200000000000003E-2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4.7E-2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0.8909999999999999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1.5234999999999999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1.5894999999999999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1.76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2.1780000000000004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2.4144999999999999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2.2989999999999999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0.52500000000000002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22.502099999999999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2.1189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-10.380100000000001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-12.971299999999999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-16.4116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-16.993200000000002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-18.1249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36.639099999999999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30.823799999999999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23.667999999999999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22.2089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19.819600000000001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16.982199999999999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13.8653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0.14899999999999999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0.15629999999999999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0.1593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0.1643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0.1643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0.15129999999999999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0.14380000000000001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0.17299999999999999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0.19520000000000001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0.22450000000000001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0.22869999999999999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0.22500000000000001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0.22559999999999999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0.23089999999999999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6.3E-3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5.4000000000000003E-3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8.5000000000000006E-3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9.2999999999999992E-3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8.8999999999999999E-3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1.0999999999999999E-2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1.7299999999999999E-2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3.0926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1.3724000000000001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8.4599999999999995E-2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0.26319999999999999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0.11279999999999998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3.7600000000000001E-2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1.8800000000000001E-2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0.90750000000000008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1.9635000000000002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1.1274999999999999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1.7709999999999999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3.3879999999999999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5.0105000000000004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4.0865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0.53200000000000003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7.0000000000000001E-3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23.166799999999999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1.8531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-10.9611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-9.0897000000000006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-7.7614000000000001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-5.2286999999999999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-7.5149999999999997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37.2806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32.848399999999998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27.3154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31.831800000000001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35.302999999999997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40.028199999999998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39.837400000000002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1.1898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2.1093000000000002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2.7907000000000002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3.3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0.15129999999999999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0.16009999999999999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0.1648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0.17610000000000001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0.1961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0.18529999999999999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0.17249999999999999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0.17469999999999999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0.1981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0.2293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0.23619999999999999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0.245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0.26050000000000001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0.28220000000000001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6.3E-3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5.4000000000000003E-3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8.3999999999999995E-3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1.26E-2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2.4199999999999999E-2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3.56E-2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4.8899999999999999E-2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1.1000000000000001E-3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2.5000000000000001E-3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5.4000000000000003E-3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0.01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3.1302000000000003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1.3817999999999999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6.5799999999999997E-2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3.7600000000000001E-2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9.4000000000000004E-3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0.91300000000000003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1.9855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1.1274999999999999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1.21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1.2705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1.4080000000000001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1.0834999999999999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0.54599999999999993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7.0000000000000001E-3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23.319900000000001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4.8708999999999998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-5.1147999999999998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-11.348800000000001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-16.839300000000001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-19.1919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-21.060300000000002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37.419199999999996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32.943399999999997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27.334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22.494199999999999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18.173100000000002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13.8781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9.99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1.7547999999999999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2.1402000000000001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2.8599000000000001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3.9672999999999998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0.1467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0.15759999999999999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0.16089999999999999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0.16289999999999999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0.1741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0.16719999999999999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0.1527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0.18029999999999999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0.2051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0.23830000000000001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0.23230000000000001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0.23250000000000001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0.2336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0.22989999999999999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4.8999999999999998E-3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4.5999999999999999E-3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7.6E-3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1.2999999999999999E-2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2.0400000000000001E-2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3.3300000000000003E-2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4.48E-2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1.1999999999999999E-3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2.7000000000000001E-3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5.0000000000000001E-3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8.5000000000000006E-3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3.008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1.3535999999999999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7.5200000000000003E-2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2.8199999999999996E-2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1.8800000000000001E-2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0.8909999999999999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1.9524999999999999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1.133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1.21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1.2429999999999999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1.133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0.87450000000000006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0.53900000000000003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7.0000000000000001E-3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22.7392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3.2404999999999999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-8.0969999999999995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-14.3902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-21.382100000000001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-27.447099999999999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-33.265900000000002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36.861800000000002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32.748699999999999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27.2286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23.821400000000001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19.384499999999999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14.1557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9.3927999999999994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1.6598999999999999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2.0569000000000002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2.5882999999999998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3.2437999999999998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4.0690999999999997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0.14199999999999999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0.1414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0.1464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0.1467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0.13919999999999999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0.1157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9.7900000000000001E-2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0.1744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0.19650000000000001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0.18179999999999999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0.153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0.12820000000000001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0.13339999999999999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0.13469999999999999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5.1000000000000004E-3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4.4999999999999997E-3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8.3999999999999995E-3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1.6E-2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2.8899999999999999E-2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4.19E-2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5.3900000000000003E-2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3.8999999999999998E-3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8.8000000000000005E-3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1.35E-2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1.4E-2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1.6E-2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3.149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1.3253999999999999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8.4599999999999995E-2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2.8199999999999996E-2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1.8800000000000001E-2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0.91849999999999998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1.5455000000000001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0.91849999999999998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7.1499999999999994E-2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8.2500000000000004E-2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0.253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0.45650000000000002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0.53900000000000003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23.4877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3.9285999999999999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-13.4285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-16.6526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-18.504000000000001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-21.1372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-20.461300000000001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37.650100000000002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32.716099999999997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20.844200000000001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14.943099999999999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10.382999999999999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5.2450999999999999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2.6326999999999998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1.1153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1.3069999999999999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1.9298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2.4601000000000002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0.14860000000000001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0.153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0.15090000000000001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0.15709999999999999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0.1608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0.14990000000000001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0.1489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0.1782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0.20399999999999999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0.22470000000000001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0.22700000000000001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0.22770000000000001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0.22969999999999999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0.2303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5.3E-3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4.7999999999999996E-3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5.8999999999999999E-3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1.09E-2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1.7600000000000001E-2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3.1099999999999999E-2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4.6600000000000003E-2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2.9999999999999997E-4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5.9999999999999995E-4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8.0000000000000004E-4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6.9999999999999999E-4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3.0362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1.3253999999999999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8.4599999999999995E-2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5.6399999999999992E-2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2.8199999999999996E-2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0.8909999999999999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1.54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1.5620000000000001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1.5455000000000001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2.0734999999999997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2.1065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2.4584999999999999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0.53900000000000003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22.802900000000001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1.1585000000000001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-8.5693999999999999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-13.0274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-16.113199999999999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-19.325500000000002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-22.771899999999999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36.931600000000003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31.300599999999999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27.668099999999999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25.890599999999999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25.385200000000001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22.9772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20.189699999999998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3.0011000000000001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3.6364999999999998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3.2894999999999999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4.2554999999999996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4.3307000000000002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0.13900000000000001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0.1401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0.14699999999999999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0.16600000000000001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0.16850000000000001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0.1583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0.1522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0.1762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0.1988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0.2036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0.2165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0.23100000000000001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0.24199999999999999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0.2462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5.0000000000000001E-3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4.4999999999999997E-3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7.4000000000000003E-3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1.6500000000000001E-2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2.5999999999999999E-2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3.5200000000000002E-2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4.2999999999999997E-2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3.0999999999999999E-3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7.0000000000000001E-3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1.18E-2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1.9599999999999999E-2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2.4799999999999999E-2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3.0173999999999999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1.3253999999999999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6.5799999999999997E-2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1.8800000000000001E-2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9.4000000000000004E-3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0.89649999999999996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1.5234999999999999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0.51700000000000002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3.2999999999999995E-2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7.6999999999999999E-2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8.2500000000000004E-2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2.2000000000000002E-2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0.52500000000000002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22.405999999999999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1.9745999999999999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-16.751300000000001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-19.290800000000001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-19.488900000000001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-19.782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-18.958500000000001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36.577199999999998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30.740500000000001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17.790299999999998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12.7248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9.5919000000000008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6.4118000000000004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4.0986000000000002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0.10929999999999999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1.0138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2.2343999999999999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3.4472999999999998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3.9752000000000001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3.8791000000000002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3.6436000000000002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3.2431999999999999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2.8107000000000002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2.4232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2.2921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2.1695000000000002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2.2797999999999998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2.3967000000000001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2.3893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2.3942000000000001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0.1431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0.1565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0.16200000000000001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0.1691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0.16969999999999999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0.16719999999999999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0.16039999999999999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0.1537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0.14249999999999999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0.13500000000000001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0.12690000000000001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0.11940000000000001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0.1118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0.1043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9.6699999999999994E-2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8.8700000000000001E-2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8.0600000000000005E-2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0.16309999999999999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0.17699999999999999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0.18779999999999999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0.20419999999999999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0.20649999999999999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0.2064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0.2009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0.19289999999999999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0.19209999999999999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0.19009999999999999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0.18779999999999999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0.19059999999999999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0.19220000000000001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0.19339999999999999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0.19409999999999999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0.1948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0.19470000000000001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3.5999999999999999E-3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6.0000000000000001E-3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9.5999999999999992E-3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1.4200000000000001E-2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1.7399999999999999E-2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2.1100000000000001E-2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2.4199999999999999E-2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2.7799999999999998E-2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3.1E-2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3.3700000000000001E-2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3.5999999999999997E-2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3.8699999999999998E-2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4.1500000000000002E-2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4.4299999999999999E-2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4.7E-2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4.9299999999999997E-2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5.1299999999999998E-2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1.1999999999999999E-3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5.0000000000000001E-3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9.1000000000000004E-3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1.32E-2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1.7399999999999999E-2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2.4199999999999999E-2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3.15E-2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3.7499999999999999E-2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4.3900000000000002E-2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4.1399999999999999E-2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3.8199999999999998E-2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3.56E-2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3.3000000000000002E-2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3.2300000000000002E-2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3.1699999999999999E-2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3.1899999999999998E-2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3.2199999999999999E-2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1.9800000000000002E-2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2.9999999999999997E-4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1.78E-2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1.29E-2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8.9999999999999998E-4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5.9999999999999995E-4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2.0000000000000001E-4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2.0000000000000001E-4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1E-4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1E-4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19.8948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-1.5976999999999999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-9.7994000000000003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-17.057600000000001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-24.043600000000001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-25.938700000000001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-26.166799999999999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-22.847200000000001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-19.809000000000001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-18.507000000000001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-17.238800000000001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-16.012899999999998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-14.7722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-15.0182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-15.265700000000001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-9.6881000000000004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-4.1185999999999998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33.491700000000002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25.531199999999998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20.275300000000001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13.938700000000001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7.8368000000000002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3.6631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1.0301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0.30149999999999999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-1.0887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-1.2141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-1.3722000000000001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-1.5244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-1.6632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-1.8129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-1.9672000000000001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-2.0301999999999998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-2.1036999999999999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9.7699999999999995E-2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9.0800000000000006E-2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8.0799999999999997E-2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7.0000000000000007E-2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3.8899999999999997E-2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3.2500000000000001E-2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2.8199999999999999E-2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2.3300000000000001E-2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1.55E-2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8.0999999999999996E-3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4.0000000000000001E-3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0.1434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0.15670000000000001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0.16059999999999999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0.1605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0.15870000000000001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0.1573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0.15540000000000001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0.1517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0.1449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0.13880000000000001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0.1323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0.125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0.1171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0.1087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0.10050000000000001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9.2600000000000002E-2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8.3199999999999996E-2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0.161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0.17549999999999999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0.1827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0.1875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0.18779999999999999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0.18720000000000001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0.18679999999999999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0.1845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0.1867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0.18790000000000001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0.1883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0.19270000000000001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0.19539999999999999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0.19620000000000001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0.1963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0.1961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0.1951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3.5999999999999999E-3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6.0000000000000001E-3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8.8999999999999999E-3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1.2E-2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1.35E-2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1.6199999999999999E-2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1.9099999999999999E-2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2.2599999999999999E-2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2.5999999999999999E-2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2.9100000000000001E-2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3.2000000000000001E-2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3.4799999999999998E-2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3.7400000000000003E-2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3.9699999999999999E-2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4.1799999999999997E-2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4.3700000000000003E-2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4.5499999999999999E-2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1.1999999999999999E-3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4.8999999999999998E-3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8.8999999999999999E-3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1.12E-2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1.2E-2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1.2500000000000001E-2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1.52E-2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1.43E-2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2.1399999999999999E-2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2.5100000000000001E-2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2.8000000000000001E-2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3.2899999999999999E-2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3.6900000000000002E-2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4.1200000000000001E-2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4.4699999999999997E-2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4.5400000000000003E-2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4.6199999999999998E-2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1.95E-2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4.0000000000000002E-4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2.9999999999999997E-4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2.0000000000000001E-4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4.0000000000000002E-4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6.9999999999999999E-4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1.1000000000000001E-3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1.6000000000000001E-3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1.6000000000000001E-3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1.6000000000000001E-3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1.7600000000000001E-2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1.5599999999999999E-2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8.0000000000000002E-3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1.1999999999999999E-3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8.0000000000000004E-4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2.0000000000000001E-4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2.9999999999999997E-4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2.9999999999999997E-4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4.0000000000000002E-4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4.0000000000000002E-4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5.0000000000000001E-4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5.0000000000000001E-4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5.9999999999999995E-4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5.9999999999999995E-4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5.0000000000000001E-4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5.0000000000000001E-4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4.0000000000000002E-4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1E-4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19.877199999999998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-3.0855999999999999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-9.4609000000000005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-13.4923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-16.701799999999999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-15.8348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-20.134399999999999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-21.219899999999999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-21.952300000000001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-22.104500000000002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-22.189800000000002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-25.097999999999999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-27.8795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-26.622599999999998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-25.269100000000002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-17.9575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-10.297800000000001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33.444400000000002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26.2866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25.581900000000001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23.134599999999999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21.6295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24.303599999999999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21.841000000000001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19.476500000000001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17.4145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15.9063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14.459199999999999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13.043100000000001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11.7524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10.1822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8.7035999999999998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7.4535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6.5511999999999997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9.7799999999999998E-2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9.06E-2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0.4481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4.7153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10.046200000000001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10.9734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10.729100000000001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9.8325999999999993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9.1989999999999998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8.5086999999999993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7.3228999999999997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6.1845999999999997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4.7403000000000004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3.4460000000000002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3.1741999999999999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3.0363000000000002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0.1429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0.15359999999999999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0.1555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0.15890000000000001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0.16339999999999999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0.1583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0.15310000000000001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0.14699999999999999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0.13700000000000001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0.13070000000000001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0.12379999999999999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0.1177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0.11119999999999999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0.1037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9.5699999999999993E-2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8.7999999999999995E-2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0.08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0.1636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0.1744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0.18049999999999999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0.1908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0.19170000000000001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0.1981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0.19639999999999999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0.1875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0.18229999999999999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0.18110000000000001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0.17979999999999999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0.183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0.18529999999999999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0.1857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0.18529999999999999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0.18720000000000001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0.1885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3.5999999999999999E-3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5.7999999999999996E-3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8.6999999999999994E-3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1.21E-2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1.29E-2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1.5299999999999999E-2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1.8100000000000002E-2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2.12E-2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2.3900000000000001E-2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2.6499999999999999E-2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2.8899999999999999E-2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3.1600000000000003E-2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3.44E-2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3.6900000000000002E-2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3.9199999999999999E-2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4.1599999999999998E-2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4.3700000000000003E-2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1.1999999999999999E-3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4.8999999999999998E-3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8.8000000000000005E-3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1.12E-2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1.6400000000000001E-2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3.5700000000000003E-2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5.5599999999999997E-2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6.6500000000000004E-2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7.4999999999999997E-2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7.0599999999999996E-2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6.5299999999999997E-2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5.8200000000000002E-2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5.1200000000000002E-2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4.4299999999999999E-2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3.7600000000000001E-2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3.5499999999999997E-2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3.5000000000000003E-2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0.02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4.0000000000000002E-4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2.9999999999999997E-4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1.7999999999999999E-2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1.5599999999999999E-2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7.9000000000000008E-3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1E-3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0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1E-4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19.953499999999998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-0.36770000000000003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-3.8599000000000001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-12.4063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-30.902699999999999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-39.136600000000001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-39.578600000000002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-35.669899999999998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-30.770199999999999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-28.843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-26.732199999999999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-23.964300000000001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-21.253599999999999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-19.802700000000002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-18.487500000000001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-12.4961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-6.6502999999999997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33.5685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26.135000000000002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25.438600000000001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20.111899999999999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3.3815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-6.1688999999999998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-8.4502000000000006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-8.6849000000000007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-8.6478999999999999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-8.4529999999999994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-8.0730000000000004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-6.9387999999999996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-5.8597999999999999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-4.4964000000000004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-3.2663000000000002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-3.0333000000000001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-2.9445000000000001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9.8000000000000004E-2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9.0999999999999998E-2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0.1865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0.73729999999999996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1.7588999999999999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2.2033999999999998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2.3176999999999999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2.2448000000000001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2.0880000000000001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1.9443999999999999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1.6924999999999999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1.4538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1.4370000000000001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1.4212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1.4571000000000001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1.4971000000000001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0.14280000000000001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0.15490000000000001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0.15790000000000001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0.15590000000000001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0.15939999999999999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0.1552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0.15359999999999999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0.1497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0.14099999999999999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0.13439999999999999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0.12740000000000001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0.1205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0.1129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0.105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9.7100000000000006E-2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8.8700000000000001E-2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8.0299999999999996E-2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0.16309999999999999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0.1757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0.183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0.1948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0.2029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0.2019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0.19500000000000001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0.1895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0.1893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0.18770000000000001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0.1857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0.18820000000000001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0.1893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0.19089999999999999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0.19189999999999999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0.19209999999999999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0.1918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3.5999999999999999E-3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5.7999999999999996E-3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8.8000000000000005E-3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1.1900000000000001E-2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1.3100000000000001E-2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1.4999999999999999E-2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1.7899999999999999E-2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2.1299999999999999E-2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2.4400000000000002E-2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2.7E-2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2.9399999999999999E-2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3.2199999999999999E-2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3.4799999999999998E-2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3.7400000000000003E-2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3.9899999999999998E-2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4.2200000000000001E-2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4.4200000000000003E-2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1.1999999999999999E-3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4.8999999999999998E-3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8.8999999999999999E-3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1.0500000000000001E-2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1.38E-2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2.29E-2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3.1199999999999999E-2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3.6299999999999999E-2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4.2500000000000003E-2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4.1099999999999998E-2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3.8899999999999997E-2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3.7400000000000003E-2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3.56E-2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3.5499999999999997E-2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3.5499999999999997E-2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3.5499999999999997E-2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3.5499999999999997E-2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1.9800000000000002E-2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4.0000000000000002E-4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2.9999999999999997E-4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1.7899999999999999E-2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1.5699999999999999E-2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8.0000000000000002E-3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1.1000000000000001E-3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2.0000000000000001E-4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2.0000000000000001E-4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2.0000000000000001E-4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2.0000000000000001E-4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2.0000000000000001E-4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1E-4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2.0000000000000001E-4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0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1E-4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20.003399999999999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-1.6414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-6.5217000000000001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-12.1416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-29.063199999999998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-34.133099999999999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-36.782600000000002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-33.597000000000001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-30.1221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-27.734999999999999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-25.354199999999999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-27.256499999999999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-29.088000000000001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-28.050599999999999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-26.990200000000002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-18.603899999999999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-10.2224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33.5991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26.2912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25.6387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24.333200000000001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9.4565999999999999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5.2390999999999996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2.8540999999999999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1.8442000000000001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0.8397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0.33879999999999999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-0.16669999999999999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-0.50970000000000004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-0.77969999999999995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-0.95150000000000001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-1.1008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-1.2262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-1.3576999999999999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0.19670000000000001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2.6996000000000002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4.6638000000000002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6.0366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6.7102000000000004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6.3705999999999996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6.0795000000000003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5.6429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5.3185000000000002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5.0145999999999997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4.9425999999999997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4.8766999999999996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4.8455000000000004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4.8183999999999996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4.6170999999999998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4.4124999999999996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0.1429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0.1462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0.128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0.1176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0.1084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9.7900000000000001E-2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9.2399999999999996E-2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8.7099999999999997E-2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7.8E-2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7.3400000000000007E-2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6.8699999999999997E-2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6.4199999999999993E-2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5.9799999999999999E-2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5.6099999999999997E-2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5.2499999999999998E-2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4.8599999999999997E-2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4.4600000000000001E-2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0.16259999999999999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0.18110000000000001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0.19989999999999999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0.2056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0.19570000000000001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0.1923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0.19270000000000001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0.18740000000000001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0.183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0.18110000000000001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0.1792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0.18129999999999999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0.18240000000000001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0.18279999999999999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0.18260000000000001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0.18240000000000001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0.18149999999999999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3.5999999999999999E-3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5.4999999999999997E-3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9.5999999999999992E-3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1.29E-2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1.3899999999999999E-2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1.5599999999999999E-2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1.7100000000000001E-2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2.1399999999999999E-2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2.4E-2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2.6200000000000001E-2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2.81E-2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0.03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3.2099999999999997E-2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3.4000000000000002E-2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3.5900000000000001E-2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3.78E-2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3.9399999999999998E-2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1.1999999999999999E-3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3.8E-3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6.6E-3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8.8999999999999999E-3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1.2E-2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1.2500000000000001E-2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1.12E-2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1.11E-2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1.34E-2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1.41E-2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1.44E-2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1.3899999999999999E-2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1.34E-2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1.37E-2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1.4E-2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1.5299999999999999E-2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1.6500000000000001E-2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1.95E-2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2.9999999999999997E-4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1.7899999999999999E-2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1.24E-2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2.9999999999999997E-4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0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1E-4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1E-4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19.571300000000001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-2.7343999999999999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-19.4621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-24.494599999999998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-26.7864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-27.454999999999998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-24.709299999999999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-23.4467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-21.5761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-13.9617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-6.3997999999999999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-13.6469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-20.906400000000001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-16.751999999999999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-12.610200000000001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-15.5944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-18.5688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33.186300000000003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24.748100000000001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12.2539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5.0456000000000003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-3.2500000000000001E-2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-3.4108000000000001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-3.9247000000000001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-3.6095999999999999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-3.4201999999999999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-3.2515000000000001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-3.129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-3.3167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-3.5139999999999998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-3.5748000000000002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-3.6467000000000001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-3.6745999999999999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-3.69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0.1867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1.2406999999999999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2.4323999999999999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3.4859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3.3936999999999999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3.2863000000000002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2.7780999999999998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2.5074999999999998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2.1880000000000002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1.8782000000000001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1.4616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1.0650999999999999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1.0721000000000001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1.0819000000000001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1.2689999999999999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1.4543999999999999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0.14219999999999999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0.15629999999999999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0.1615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0.16619999999999999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0.16769999999999999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0.16489999999999999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0.15809999999999999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0.15279999999999999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0.14430000000000001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0.1376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0.13070000000000001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0.124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0.1158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0.1075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9.9199999999999997E-2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9.0700000000000003E-2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8.2100000000000006E-2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0.16159999999999999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0.17630000000000001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0.18629999999999999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0.20269999999999999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0.20480000000000001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0.2036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0.19750000000000001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0.1915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0.19320000000000001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0.1918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0.19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0.19270000000000001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0.19389999999999999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0.1951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0.19539999999999999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0.19500000000000001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0.19409999999999999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3.5999999999999999E-3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5.8999999999999999E-3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8.9999999999999993E-3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1.2200000000000001E-2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1.32E-2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1.5800000000000002E-2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1.84E-2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2.1700000000000001E-2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2.52E-2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2.8000000000000001E-2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3.0700000000000002E-2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3.3599999999999998E-2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3.6400000000000002E-2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3.8800000000000001E-2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4.1200000000000001E-2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4.3400000000000001E-2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4.53E-2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1.1999999999999999E-3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4.7999999999999996E-3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8.9999999999999993E-3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1.2699999999999999E-2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1.9099999999999999E-2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2.9000000000000001E-2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3.8300000000000001E-2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4.2599999999999999E-2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4.87E-2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4.65E-2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4.3499999999999997E-2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4.2000000000000003E-2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4.0300000000000002E-2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4.0800000000000003E-2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4.1399999999999999E-2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4.1099999999999998E-2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4.07E-2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1.9800000000000002E-2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2.9999999999999997E-4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1.77E-2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1.34E-2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6.9999999999999999E-4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4.0000000000000002E-4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2.0000000000000001E-4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2.0000000000000001E-4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2.0000000000000001E-4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1E-4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1E-4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1E-4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19.9679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-3.3689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-13.8348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-21.840599999999998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-29.241900000000001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-32.912199999999999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-35.140799999999999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-31.2288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-27.9711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-25.514700000000001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-23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-24.373899999999999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-25.756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-24.545500000000001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-23.320799999999998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-15.1296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-6.8813000000000004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33.549300000000002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25.4146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19.321000000000002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13.275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7.7637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4.5663999999999998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2.7183999999999999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2.5286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1.3302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0.85389999999999999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0.4365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0.49409999999999998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0.54669999999999996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0.38929999999999998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0.2432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-9.0499999999999997E-2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-0.36899999999999999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0.18759999999999999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5.2816000000000001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10.493600000000001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13.8832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13.7944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12.1915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10.7621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9.3783999999999992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7.6218000000000004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5.9180999999999999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4.6390000000000002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3.8508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3.9636999999999998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4.0999999999999996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4.1611000000000002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4.2755000000000001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0.1431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0.15920000000000001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0.1641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0.16830000000000001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0.1681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0.16189999999999999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0.15310000000000001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0.1459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0.13750000000000001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0.13120000000000001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0.1244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0.1176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0.1105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0.10349999999999999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9.6500000000000002E-2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8.8700000000000001E-2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8.0699999999999994E-2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0.1638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0.17960000000000001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0.19400000000000001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0.21079999999999999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0.2056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0.20349999999999999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0.19220000000000001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0.18229999999999999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0.18310000000000001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0.18029999999999999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0.17749999999999999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0.1797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0.18110000000000001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0.18340000000000001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0.1852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0.18659999999999999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0.18759999999999999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3.5999999999999999E-3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6.0000000000000001E-3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9.7000000000000003E-3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1.43E-2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1.66E-2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2.01E-2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2.2700000000000001E-2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2.5999999999999999E-2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2.92E-2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3.1800000000000002E-2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3.4200000000000001E-2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3.6799999999999999E-2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3.95E-2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4.2299999999999997E-2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4.5100000000000001E-2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4.7399999999999998E-2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4.9500000000000002E-2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1.1999999999999999E-3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4.7999999999999996E-3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1.26E-2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2.53E-2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4.1300000000000003E-2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5.4100000000000002E-2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6.0199999999999997E-2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5.96E-2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5.7599999999999998E-2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4.99E-2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4.0899999999999999E-2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3.4700000000000002E-2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3.1800000000000002E-2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3.2599999999999997E-2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3.3700000000000001E-2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3.3599999999999998E-2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3.4000000000000002E-2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1.9800000000000002E-2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2.9999999999999997E-4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1.7999999999999999E-2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1.23E-2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5.0000000000000001E-4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0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1E-4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19.951499999999999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-2.4260000000000002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-17.768699999999999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-27.872699999999998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-34.493299999999998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-32.988599999999998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-28.440999999999999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-25.752600000000001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-23.352900000000002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-14.4725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-5.5827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-11.5024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-17.888400000000001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-13.728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-9.6000999999999994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-12.680099999999999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-15.818099999999999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33.564700000000002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24.888500000000001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13.294700000000001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1.2404999999999999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-8.7156000000000002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-10.991899999999999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-10.4909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-9.1821999999999999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-8.6112000000000002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-7.1059000000000001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-5.5880000000000001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-4.3716999999999997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-3.6181000000000001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-3.7627000000000002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-3.9401999999999999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-4.0393999999999997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-4.1958000000000002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0.18940000000000001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0.95779999999999998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2.25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3.5289999999999999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3.911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3.8613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3.6496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3.2725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2.8458999999999999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2.4590999999999998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2.3123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2.1760999999999999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2.2483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2.3254999999999999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2.3319000000000001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2.3504999999999998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0.14299999999999999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0.15640000000000001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0.16139999999999999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0.17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0.17230000000000001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0.16919999999999999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0.16250000000000001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0.15559999999999999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0.14449999999999999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0.1371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0.12939999999999999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0.122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0.1143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0.1069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9.9299999999999999E-2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9.1800000000000007E-2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8.3500000000000005E-2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0.16320000000000001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0.1769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0.18640000000000001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0.2036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0.20730000000000001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0.20760000000000001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0.2026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0.19500000000000001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0.19370000000000001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0.192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0.1903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0.19320000000000001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0.1951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0.19650000000000001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0.1973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0.1986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0.19919999999999999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3.5999999999999999E-3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5.8999999999999999E-3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9.5999999999999992E-3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1.43E-2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1.7600000000000001E-2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2.1299999999999999E-2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2.4500000000000001E-2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2.8199999999999999E-2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3.1399999999999997E-2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3.4200000000000001E-2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3.6799999999999999E-2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3.95E-2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4.24E-2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4.5199999999999997E-2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4.8099999999999997E-2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5.0700000000000002E-2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5.28E-2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1.1999999999999999E-3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5.0000000000000001E-3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8.9999999999999993E-3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1.2800000000000001E-2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1.6500000000000001E-2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2.3800000000000002E-2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3.1300000000000001E-2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3.7699999999999997E-2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4.4400000000000002E-2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4.1599999999999998E-2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3.7999999999999999E-2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3.5499999999999997E-2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3.3000000000000002E-2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3.2399999999999998E-2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3.1899999999999998E-2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3.1899999999999998E-2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3.2099999999999997E-2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1.9800000000000002E-2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4.0000000000000002E-4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0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1.7899999999999999E-2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1.4200000000000001E-2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1E-3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5.9999999999999995E-4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2.0000000000000001E-4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2.0000000000000001E-4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2.0000000000000001E-4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2.0000000000000001E-4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1E-4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19.9453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-1.7504999999999999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-9.7512000000000008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-17.377600000000001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-24.186599999999999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-26.168700000000001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-26.145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-23.241199999999999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-20.133600000000001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-18.8718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-17.631599999999999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-16.270199999999999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-14.901199999999999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-15.0404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-15.1822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-9.6219999999999999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-4.0735999999999999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33.542299999999997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25.640499999999999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20.557700000000001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14.125299999999999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7.9581999999999997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3.7037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1.2719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6.54E-2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-1.2964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-1.4443999999999999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-1.6124000000000001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-1.6794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-1.7396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-1.8297000000000001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-1.9249000000000001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-1.9987999999999999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-2.0842999999999998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0.10780000000000001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0.1072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9.6799999999999997E-2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8.1500000000000003E-2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4.5199999999999997E-2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3.7400000000000003E-2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3.2399999999999998E-2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2.7400000000000001E-2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1.8499999999999999E-2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1.01E-2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4.8999999999999998E-3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0.14280000000000001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0.15640000000000001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0.16139999999999999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0.16159999999999999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0.16020000000000001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0.15920000000000001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0.15659999999999999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0.152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0.1444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0.13789999999999999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0.13139999999999999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0.125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0.1181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0.1096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0.1016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9.3899999999999997E-2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8.5000000000000006E-2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0.1605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0.17549999999999999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0.1837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0.1893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0.19020000000000001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0.18959999999999999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0.18920000000000001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0.1862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0.18740000000000001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0.1893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0.19070000000000001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0.19670000000000001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0.20100000000000001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0.20180000000000001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0.2019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0.2024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0.20180000000000001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3.5999999999999999E-3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6.0000000000000001E-3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8.9999999999999993E-3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1.2E-2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1.35E-2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1.6400000000000001E-2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1.9199999999999998E-2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2.2700000000000001E-2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2.5899999999999999E-2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2.9000000000000001E-2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3.1899999999999998E-2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3.5000000000000003E-2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3.7999999999999999E-2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4.0500000000000001E-2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4.2799999999999998E-2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4.4999999999999998E-2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4.7E-2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1.1999999999999999E-3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5.1000000000000004E-3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9.1000000000000004E-3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1.15E-2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1.23E-2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1.2699999999999999E-2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1.55E-2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1.4500000000000001E-2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2.29E-2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2.76E-2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3.1099999999999999E-2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3.6400000000000002E-2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4.0599999999999997E-2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4.4900000000000002E-2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4.8099999999999997E-2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4.8399999999999999E-2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4.8899999999999999E-2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1.9699999999999999E-2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4.0000000000000002E-4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2.9999999999999997E-4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2.0000000000000001E-4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2.9999999999999997E-4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8.9999999999999998E-4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1.6000000000000001E-3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2.5000000000000001E-3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3.3999999999999998E-3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3.3999999999999998E-3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3.3999999999999998E-3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1.7600000000000001E-2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1.6E-2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8.6999999999999994E-3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1.1999999999999999E-3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8.9999999999999998E-4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2.0000000000000001E-4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2.9999999999999997E-4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2.9999999999999997E-4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4.0000000000000002E-4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4.0000000000000002E-4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5.0000000000000001E-4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5.9999999999999995E-4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5.9999999999999995E-4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5.9999999999999995E-4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5.0000000000000001E-4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5.0000000000000001E-4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4.0000000000000002E-4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1E-4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19.9452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-2.7928000000000002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-9.6260999999999992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-13.8682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-16.354500000000002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-15.650399999999999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-19.590199999999999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-20.4283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-21.0275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-21.435700000000001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-21.753499999999999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-25.096699999999998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-28.172799999999999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-26.928899999999999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-25.5899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-18.0518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-10.1983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33.509099999999997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26.558199999999999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25.3932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22.737100000000002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21.9437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24.450800000000001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22.348600000000001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20.2409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18.324300000000001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16.558199999999999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14.8765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13.0307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11.4476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9.8691999999999993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8.3797999999999995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7.3524000000000003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6.6368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0.1074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0.1062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0.46579999999999999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4.5484999999999998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10.0457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10.897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10.581799999999999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9.6850000000000005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8.9235000000000007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8.1265000000000001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6.8785999999999996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5.6920000000000002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4.4459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3.3159000000000001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3.0931000000000002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2.927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0.1429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0.1535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0.1555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0.159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0.16389999999999999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0.15939999999999999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0.15409999999999999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0.1479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0.13800000000000001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0.1318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0.12509999999999999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0.1188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0.1123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0.1051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9.7600000000000006E-2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8.9599999999999999E-2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8.1500000000000003E-2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0.1636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0.17430000000000001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0.18060000000000001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0.19139999999999999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0.1925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0.1993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0.1988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0.19009999999999999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0.18509999999999999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0.18440000000000001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0.1835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0.18679999999999999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0.18920000000000001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0.1903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0.19070000000000001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0.1923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0.19339999999999999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3.5999999999999999E-3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5.7999999999999996E-3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8.6999999999999994E-3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1.21E-2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1.29E-2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1.55E-2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1.8499999999999999E-2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2.1399999999999999E-2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2.4199999999999999E-2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2.6800000000000001E-2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2.93E-2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3.2000000000000001E-2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3.4799999999999998E-2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3.7600000000000001E-2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4.0300000000000002E-2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4.2700000000000002E-2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4.4999999999999998E-2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1.1999999999999999E-3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5.1000000000000004E-3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8.9999999999999993E-3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1.1299999999999999E-2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1.66E-2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3.5999999999999997E-2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5.6300000000000003E-2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6.7500000000000004E-2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7.5499999999999998E-2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7.0300000000000001E-2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6.4199999999999993E-2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5.7000000000000002E-2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0.05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4.3700000000000003E-2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3.7400000000000003E-2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3.56E-2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3.4500000000000003E-2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0.02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4.0000000000000002E-4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2.9999999999999997E-4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1.7999999999999999E-2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1.6E-2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8.6E-3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1.1000000000000001E-3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0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1E-4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19.9634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-0.2306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-4.2990000000000004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-12.776400000000001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-30.378399999999999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-38.755200000000002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-39.5837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-35.158499999999997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-29.999099999999999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-27.9892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-25.846900000000002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-23.1052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-20.412299999999998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-19.180099999999999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-18.060700000000001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-12.1334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-6.2843999999999998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33.578800000000001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26.262599999999999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24.995699999999999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19.752700000000001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3.7155999999999998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-6.1284000000000001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-9.1347000000000005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-8.9398999999999997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-8.5015000000000001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-8.1659000000000006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-7.6961000000000004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-6.5204000000000004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-5.391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-4.2092000000000001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-3.1377999999999999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-2.9365000000000001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-2.8119000000000001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0.10730000000000001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0.10630000000000001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0.2447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0.8236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1.6677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2.0575000000000001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2.0663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1.9926999999999999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1.821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1.6680999999999999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1.3261000000000001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1.0055000000000001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1.0817000000000001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1.1615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1.2524999999999999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1.3428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0.14219999999999999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0.15429999999999999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0.15759999999999999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0.1585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0.1598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0.15720000000000001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0.15529999999999999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0.15060000000000001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0.14249999999999999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0.13639999999999999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0.12939999999999999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0.12280000000000001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0.11600000000000001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0.1084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9.9900000000000003E-2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9.1499999999999998E-2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8.3000000000000004E-2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0.16220000000000001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0.17469999999999999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0.18210000000000001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0.19189999999999999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0.20250000000000001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0.20280000000000001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0.19500000000000001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0.1903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0.1913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0.19040000000000001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0.18909999999999999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0.19270000000000001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0.1951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0.1973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0.1986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0.19919999999999999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0.19919999999999999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3.5999999999999999E-3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5.7999999999999996E-3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8.8000000000000005E-3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1.1900000000000001E-2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1.3599999999999999E-2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1.6E-2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1.8499999999999999E-2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2.18E-2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2.4899999999999999E-2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2.7699999999999999E-2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3.0200000000000001E-2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3.3300000000000003E-2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3.6400000000000002E-2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3.9300000000000002E-2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4.2000000000000003E-2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4.4200000000000003E-2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4.6300000000000001E-2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1.1999999999999999E-3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5.1000000000000004E-3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9.1000000000000004E-3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1.0800000000000001E-2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1.2999999999999999E-2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1.95E-2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2.9399999999999999E-2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3.5999999999999997E-2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4.3400000000000001E-2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4.2200000000000001E-2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4.0300000000000002E-2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3.9100000000000003E-2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3.7499999999999999E-2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3.8100000000000002E-2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3.8899999999999997E-2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3.85E-2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3.8300000000000001E-2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0.02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4.0000000000000002E-4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2.9999999999999997E-4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1.7899999999999999E-2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1.6E-2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8.6E-3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1.1999999999999999E-3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2.0000000000000001E-4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2.0000000000000001E-4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2.0000000000000001E-4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2.0000000000000001E-4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2.0000000000000001E-4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1E-4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20.085100000000001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-1.4214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-6.8731999999999998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-13.1004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-27.829499999999999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-33.478000000000002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-36.7423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-33.450099999999999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-29.911300000000001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-27.4024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-24.895399999999999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-26.306999999999999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-27.711300000000001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-26.6997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-25.744199999999999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-17.4224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-9.0663999999999998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33.678899999999999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26.501899999999999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25.283799999999999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22.638999999999999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10.392899999999999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5.9192999999999998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3.1547000000000001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2.2730000000000001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1.2947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0.83989999999999998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0.38490000000000002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0.39700000000000002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0.41949999999999998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4.7199999999999999E-2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-0.38419999999999999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-0.62909999999999999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-0.84079999999999999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0.1971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2.7633000000000001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4.7169999999999996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6.0254000000000003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6.5358000000000001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5.9832999999999998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5.3585000000000003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4.6304999999999996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4.3745000000000003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4.1208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4.1173999999999999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4.1165000000000003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4.1947999999999999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4.2750000000000004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4.3814000000000002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4.4877000000000002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0.1431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0.1464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0.12770000000000001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0.1179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0.1095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9.9299999999999999E-2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9.3899999999999997E-2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8.8099999999999998E-2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7.7600000000000002E-2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7.3400000000000007E-2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6.9099999999999995E-2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6.4799999999999996E-2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6.0499999999999998E-2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5.67E-2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5.3199999999999997E-2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4.9500000000000002E-2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4.5900000000000003E-2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0.1628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0.18129999999999999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0.19980000000000001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0.20610000000000001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0.19700000000000001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0.19489999999999999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0.19550000000000001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0.18820000000000001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0.18329999999999999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0.1822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0.18099999999999999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0.18340000000000001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0.18509999999999999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0.18540000000000001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0.18509999999999999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0.18540000000000001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0.18490000000000001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3.5999999999999999E-3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5.4999999999999997E-3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9.4999999999999998E-3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1.29E-2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1.4E-2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1.54E-2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1.6299999999999999E-2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2.12E-2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2.3800000000000002E-2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2.5999999999999999E-2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2.7799999999999998E-2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2.98E-2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3.1899999999999998E-2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3.4000000000000002E-2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3.5999999999999997E-2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3.78E-2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3.9399999999999998E-2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1.1999999999999999E-3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4.0000000000000001E-3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6.7999999999999996E-3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8.9999999999999993E-3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1.1900000000000001E-2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1.2500000000000001E-2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1.2500000000000001E-2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1.38E-2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1.78E-2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1.7999999999999999E-2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1.7600000000000001E-2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1.6799999999999999E-2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1.61E-2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1.5900000000000001E-2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1.5800000000000002E-2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1.5699999999999999E-2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1.5599999999999999E-2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1.9599999999999999E-2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2.9999999999999997E-4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1.7899999999999999E-2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1.2699999999999999E-2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2.9999999999999997E-4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1E-4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1E-4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1E-4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19.594000000000001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-2.9018999999999999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-19.745699999999999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-24.644300000000001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-26.581900000000001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-27.0352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-24.339700000000001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-23.2592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-21.091699999999999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-13.474399999999999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-5.8981000000000003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-12.8866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-19.890999999999998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-15.613899999999999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-11.3353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-14.587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-17.826799999999999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33.2102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24.872499999999999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12.322800000000001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5.0457999999999998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-1.8100000000000002E-2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-3.3231000000000002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-3.6065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-3.4077999999999999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-2.9925000000000002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-2.9626999999999999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-2.9662999999999999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-3.0594999999999999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-3.1655000000000002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-3.3105000000000002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-3.4546000000000001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-3.6303000000000001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-3.7955000000000001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0.18459999999999999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1.2559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2.4727000000000001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3.536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3.4472999999999998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3.2887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2.7982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2.5445000000000002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2.2183000000000002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1.903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1.4136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0.94740000000000002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0.9123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0.87949999999999995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1.0415000000000001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1.2035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0.14219999999999999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0.15640000000000001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0.16159999999999999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0.16639999999999999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0.16839999999999999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0.1658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0.15890000000000001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0.154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0.1459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0.13969999999999999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0.13270000000000001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0.12609999999999999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0.1188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0.1105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0.10199999999999999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9.35E-2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8.48E-2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0.1615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0.17630000000000001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0.18609999999999999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0.20300000000000001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0.20569999999999999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0.20499999999999999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0.19950000000000001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0.1943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0.19639999999999999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0.1956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0.19450000000000001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0.19800000000000001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0.20030000000000001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0.2021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0.20300000000000001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0.2034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0.20319999999999999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3.5999999999999999E-3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5.8999999999999999E-3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8.8999999999999999E-3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1.21E-2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1.32E-2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1.5800000000000002E-2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1.8499999999999999E-2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2.1899999999999999E-2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2.5499999999999998E-2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2.8400000000000002E-2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3.1099999999999999E-2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3.4200000000000001E-2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3.73E-2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0.04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4.2500000000000003E-2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4.48E-2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4.6899999999999997E-2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1.1999999999999999E-3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4.7999999999999996E-3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8.9999999999999993E-3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1.26E-2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1.8499999999999999E-2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2.9100000000000001E-2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3.8600000000000002E-2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4.3099999999999999E-2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4.9500000000000002E-2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4.7399999999999998E-2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4.4499999999999998E-2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4.2999999999999997E-2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4.1300000000000003E-2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4.19E-2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4.2599999999999999E-2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4.2299999999999997E-2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4.2099999999999999E-2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1.9699999999999999E-2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2.9999999999999997E-4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1.77E-2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1.38E-2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6.9999999999999999E-4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4.0000000000000002E-4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2.0000000000000001E-4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2.0000000000000001E-4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2.0000000000000001E-4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2.0000000000000001E-4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1E-4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1E-4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1E-4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19.988499999999998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-3.1909000000000001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-13.735099999999999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-21.7456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-29.146000000000001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-32.687800000000003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-34.8887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-30.511399999999998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-27.337299999999999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-24.976400000000002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-22.536100000000001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-23.918399999999998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-25.307300000000001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-24.066299999999998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-22.805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-14.5901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-6.3205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33.567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25.39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19.2117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13.161199999999999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7.6769999999999996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4.6029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2.7681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3.0295000000000001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1.7293000000000001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1.1598999999999999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0.67230000000000001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0.72299999999999998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0.76959999999999995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0.64659999999999995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0.54210000000000003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0.22509999999999999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-3.8800000000000001E-2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0.186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5.2107000000000001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10.3332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13.239699999999999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12.5916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10.98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9.5883000000000003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8.2614999999999998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6.6585000000000001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5.1287000000000003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4.1666999999999996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3.6635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3.7565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3.8668999999999998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3.9437000000000002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4.0648999999999997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0.13869999999999999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0.15160000000000001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0.15310000000000001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0.15409999999999999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0.15129999999999999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0.14169999999999999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0.13020000000000001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0.1205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0.1096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0.1009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9.1899999999999996E-2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8.3000000000000004E-2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7.3999999999999996E-2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6.5199999999999994E-2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5.67E-2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4.7500000000000001E-2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3.8399999999999997E-2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0.16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0.17299999999999999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0.1835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0.19739999999999999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0.19009999999999999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0.1832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0.1709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0.15890000000000001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0.15590000000000001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0.14979999999999999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0.14369999999999999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0.14219999999999999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0.14000000000000001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0.13789999999999999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0.13539999999999999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0.1323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0.1288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3.5999999999999999E-3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6.3E-3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1.06E-2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1.6299999999999999E-2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1.9699999999999999E-2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2.3699999999999999E-2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2.6700000000000002E-2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3.0099999999999998E-2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3.3300000000000003E-2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3.5999999999999997E-2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3.8399999999999997E-2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4.1000000000000002E-2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4.36E-2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4.5999999999999999E-2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4.8099999999999997E-2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4.9500000000000002E-2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5.04E-2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1.1999999999999999E-3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4.8999999999999998E-3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1.26E-2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2.53E-2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4.1000000000000002E-2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5.2999999999999999E-2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5.7299999999999997E-2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5.5399999999999998E-2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5.2900000000000003E-2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4.58E-2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3.7499999999999999E-2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3.3000000000000002E-2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3.1800000000000002E-2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3.2599999999999997E-2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3.3500000000000002E-2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3.3399999999999999E-2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3.3700000000000001E-2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1.9800000000000002E-2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4.0000000000000002E-4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1.7999999999999999E-2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1.2699999999999999E-2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5.9999999999999995E-4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0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1E-4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19.904499999999999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-2.7502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-18.457799999999999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-27.9923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-34.314599999999999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-32.1798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-28.110399999999998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-25.355799999999999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-22.520700000000001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-13.789300000000001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-5.0948000000000002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-11.3828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-18.091000000000001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-13.940200000000001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-9.8107000000000006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-12.927099999999999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-16.09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33.553699999999999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24.902799999999999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12.9932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1.0729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-8.3141999999999996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-9.9422999999999995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-9.9290000000000003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-8.6466999999999992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-7.6397000000000004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-6.2590000000000003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-4.9105999999999996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-4.0194000000000001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-3.5453999999999999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-3.6777000000000002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-3.8342000000000001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-3.9533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-4.1207000000000003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0.19020000000000001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1.0523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2.5461999999999998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3.9329000000000001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4.3197000000000001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4.2012999999999998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0.14330000000000001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0.15709999999999999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0.16239999999999999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0.1714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0.1734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0.1699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0.16309999999999999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0.16300000000000001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0.1772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0.187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0.20449999999999999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0.20810000000000001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0.20910000000000001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0.20349999999999999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3.5999999999999999E-3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5.8999999999999999E-3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9.5999999999999992E-3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1.43E-2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1.77E-2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2.1399999999999999E-2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2.4500000000000001E-2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1.1999999999999999E-3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5.0000000000000001E-3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9.1000000000000004E-3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1.32E-2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1.72E-2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2.4400000000000002E-2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3.2000000000000001E-2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1.9800000000000002E-2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4.0000000000000002E-4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0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1.7899999999999999E-2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1.4800000000000001E-2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1.2999999999999999E-3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6.9999999999999999E-4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2.0000000000000001E-4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2.0000000000000001E-4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1E-4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19.960899999999999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-1.6339999999999999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-9.2878000000000007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-17.069299999999998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-24.0122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-26.102900000000002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-26.094899999999999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33.560499999999998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25.7361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20.960799999999999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14.111499999999999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7.7320000000000002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3.3169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0.85870000000000002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0.125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0.12239999999999999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0.10970000000000001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8.9599999999999999E-2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4.5900000000000003E-2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4.3299999999999998E-2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0.14430000000000001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0.15659999999999999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0.15490000000000001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0.1552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0.15290000000000001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0.15140000000000001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0.14899999999999999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0.15890000000000001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0.1741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0.17799999999999999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0.18529999999999999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0.18859999999999999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0.18740000000000001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0.18720000000000001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4.0000000000000001E-3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6.6E-3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8.6999999999999994E-3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1.1299999999999999E-2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1.35E-2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1.6299999999999999E-2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1.9199999999999998E-2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1.1999999999999999E-3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5.1000000000000004E-3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9.1000000000000004E-3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1.15E-2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1.24E-2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1.2699999999999999E-2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1.61E-2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1.9400000000000001E-2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4.0000000000000002E-4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2.0000000000000001E-4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2.0000000000000001E-4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1.7500000000000002E-2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1.61E-2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8.5000000000000006E-3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1.2999999999999999E-3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8.9999999999999998E-4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2.0000000000000001E-4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2.9999999999999997E-4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1E-4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19.7394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-3.4438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-8.9403000000000006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-12.992900000000001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-14.863799999999999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-13.5623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-18.3079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33.304400000000001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25.9541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26.110299999999999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23.633199999999999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23.4483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26.533200000000001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23.5824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0.1258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0.1237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0.45760000000000001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4.1436000000000002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9.6044999999999998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10.541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0.1464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0.16009999999999999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0.1598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0.16370000000000001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0.1721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0.16969999999999999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0.16569999999999999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0.16059999999999999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0.17710000000000001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0.1822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0.19950000000000001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0.2009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0.21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0.2107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4.0000000000000001E-3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6.4999999999999997E-3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8.3000000000000001E-3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1.14E-2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1.18E-2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1.43E-2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1.7100000000000001E-2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1.1999999999999999E-3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5.1999999999999998E-3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9.1999999999999998E-3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1.14E-2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1.7000000000000001E-2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3.6600000000000001E-2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5.7599999999999998E-2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1.9400000000000001E-2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4.0000000000000002E-4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1E-4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1.7500000000000002E-2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1.6E-2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8.3000000000000001E-3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8.9999999999999998E-4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0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1E-4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19.7514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-0.53300000000000003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-3.0586000000000002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-12.0418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-29.7502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-38.314100000000003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-39.302599999999998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33.2988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25.941199999999998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26.1523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20.296500000000002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4.1322999999999999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-5.8974000000000002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-9.0417000000000005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0.12690000000000001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0.1229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0.28560000000000002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1.2271000000000001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1.6324000000000001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1.9245000000000001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0.14499999999999999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0.159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0.16309999999999999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0.16639999999999999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0.1696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0.16769999999999999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0.1666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0.16489999999999999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0.1787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0.18690000000000001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0.19900000000000001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0.21149999999999999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0.21199999999999999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0.2021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3.5000000000000001E-3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5.5999999999999999E-3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8.3000000000000001E-3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1.11E-2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1.24E-2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1.46E-2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1.6899999999999998E-2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1.1999999999999999E-3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5.1999999999999998E-3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9.1000000000000004E-3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1.11E-2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1.37E-2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2.3800000000000002E-2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3.5999999999999997E-2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0.02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4.0000000000000002E-4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1E-4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1.7999999999999999E-2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1.61E-2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8.6E-3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1E-3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2.0000000000000001E-4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2.0000000000000001E-4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2.0000000000000001E-4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1E-4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20.079799999999999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-1.7724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-6.0232000000000001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-13.5845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-27.769200000000001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-33.894500000000001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-37.765700000000002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33.658999999999999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26.1189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26.071000000000002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22.257899999999999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10.744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5.4968000000000004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2.0396000000000001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0.19420000000000001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2.6932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4.5519999999999996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5.851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6.2621000000000002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5.7663000000000002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0.13819999999999999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0.13900000000000001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0.1182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0.1061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9.5799999999999996E-2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8.4500000000000006E-2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7.6899999999999996E-2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0.15859999999999999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0.17419999999999999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0.18779999999999999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0.19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0.1787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0.1731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0.1691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3.5999999999999999E-3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5.7999999999999996E-3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1.0200000000000001E-2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1.43E-2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1.6299999999999999E-2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1.7899999999999999E-2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1.9300000000000001E-2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1.1999999999999999E-3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3.8999999999999998E-3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6.6E-3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8.8999999999999999E-3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1.17E-2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1.21E-2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1.1900000000000001E-2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1.95E-2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4.0000000000000002E-4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1.7899999999999999E-2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1.32E-2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5.0000000000000001E-4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2.0000000000000001E-4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0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1E-4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19.501799999999999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-3.0110999999999999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-19.8416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-24.741399999999999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-26.8569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-27.274999999999999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-24.306999999999999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33.1569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24.6113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12.0242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4.9336000000000002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-8.5300000000000001E-2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-3.3207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-3.7595000000000001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0.1867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1.508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2.8982000000000001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4.0514000000000001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3.8953000000000002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3.7012999999999998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0.14219999999999999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0.15679999999999999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0.16250000000000001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0.16800000000000001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0.16950000000000001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0.16600000000000001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0.15890000000000001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0.16159999999999999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0.17680000000000001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0.18759999999999999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0.20480000000000001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0.20730000000000001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0.20619999999999999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0.20019999999999999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3.5999999999999999E-3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5.8999999999999999E-3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8.8999999999999999E-3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1.2200000000000001E-2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1.32E-2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1.5900000000000001E-2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1.8499999999999999E-2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1.1999999999999999E-3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4.8999999999999998E-3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9.1000000000000004E-3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1.29E-2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1.9300000000000001E-2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3.0300000000000001E-2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4.0099999999999997E-2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1.9800000000000002E-2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2.9999999999999997E-4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1.77E-2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1.41E-2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6.9999999999999999E-4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2.9999999999999997E-4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2.0000000000000001E-4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2.0000000000000001E-4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1E-4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20.010100000000001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-3.3258000000000001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-13.9968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-22.3157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-29.9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-33.3474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-35.469700000000003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33.590600000000002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25.422699999999999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19.142499999999998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12.7982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7.0899000000000001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4.1032000000000002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2.3365999999999998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0.1857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5.2865000000000002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10.596399999999999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13.6546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13.212199999999999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11.538399999999999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0.13869999999999999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0.152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0.15290000000000001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0.15379999999999999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0.15129999999999999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0.1421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0.1303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0.16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0.1736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0.1835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0.1973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0.1905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0.1845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0.17100000000000001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3.5999999999999999E-3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6.3E-3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1.06E-2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1.6400000000000001E-2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1.9800000000000002E-2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2.3800000000000002E-2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2.6700000000000002E-2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1.1999999999999999E-3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4.7999999999999996E-3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1.26E-2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2.5700000000000001E-2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4.1700000000000001E-2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5.3800000000000001E-2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5.8400000000000001E-2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1.9900000000000001E-2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4.0000000000000002E-4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1.7999999999999999E-2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1.2999999999999999E-2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5.0000000000000001E-4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0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1E-4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19.909800000000001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-2.7585999999999999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-18.657699999999998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-28.5366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-34.855699999999999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-33.027500000000003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-28.4909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33.558999999999997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24.919799999999999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12.896000000000001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0.72360000000000002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-8.718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-10.606199999999999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-10.0991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2025-09-13T03:37:53Z</dcterms:modified>
</cp:coreProperties>
</file>