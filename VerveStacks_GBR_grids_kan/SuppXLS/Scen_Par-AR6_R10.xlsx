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13_ncr:1_{99E7C3C5-0099-465E-B764-49298C150C1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Z23" i="1"/>
  <c r="Y23" i="1"/>
  <c r="U23" i="1"/>
  <c r="X23" i="1"/>
  <c r="T23" i="1"/>
  <c r="V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<sst xmlns="http://schemas.openxmlformats.org/spreadsheetml/2006/main" count="1717" uniqueCount="126">
  <si>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</si>
  <si>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</si>
  <si>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</si>
  <si>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</si>
  <si>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</si>
  <si>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</si>
  <si>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</si>
  <si>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</si>
  <si>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</si>
  <si>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</si>
  <si>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</si>
  <si>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</si>
  <si>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</si>
  <si>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</si>
  <si>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</si>
  <si>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</si>
  <si>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</si>
  <si>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</si>
  <si>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</si>
  <si>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</si>
  <si>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</si>
  <si>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</si>
  <si>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</si>
  <si>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</si>
  <si>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</si>
  <si>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</si>
  <si>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</si>
  <si>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</si>
  <si>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</si>
  <si>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</si>
  <si>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</si>
  <si>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</si>
  <si>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</si>
  <si>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</si>
  <si>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</si>
  <si>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</si>
  <si>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</si>
  <si>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</si>
  <si>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</si>
  <si>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</si>
  <si>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</si>
  <si>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</si>
  <si>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</si>
  <si>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</si>
  <si>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</si>
  <si>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</si>
  <si>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</si>
  <si>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</si>
  <si>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</si>
  <si>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</si>
  <si>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</si>
  <si>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</si>
  <si>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</si>
  <si>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</si>
  <si>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</si>
  <si>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</si>
  <si>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</si>
  <si>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</si>
  <si>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</si>
  <si>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</si>
  <si>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</si>
  <si>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</si>
  <si>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</si>
  <si>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</si>
  <si>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</si>
  <si>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</si>
  <si>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</si>
  <si>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</si>
  <si>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</si>
  <si>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</si>
  <si>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</si>
  <si>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</si>
  <si>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</si>
  <si>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</si>
  <si>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</si>
  <si>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</si>
  <si>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</si>
  <si>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</si>
  <si>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</si>
  <si>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</si>
  <si>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</si>
  <si>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</si>
  <si>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</si>
  <si>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</si>
  <si>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</si>
  <si>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</si>
  <si>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</si>
  <si>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</si>
  <si>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</si>
  <si>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</si>
  <si>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</si>
  <si>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</si>
  <si>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</si>
  <si>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</si>
  <si>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</si>
  <si>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</si>
  <si>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</si>
  <si>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</si>
  <si>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</si>
  <si>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</si>
  <si>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</si>
  <si>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</si>
  <si>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</si>
  <si>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</si>
  <si>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</si>
  <si>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</si>
  <si>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</si>
  <si>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</si>
  <si>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</si>
  <si>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</si>
  <si>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</si>
  <si>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</si>
  <si>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</si>
  <si>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</si>
  <si>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</si>
  <si>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</si>
  <si>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</si>
  <si>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</si>
  <si>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</si>
  <si>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</si>
  <si>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</si>
  <si>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</si>
  <si>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</si>
  <si>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</si>
  <si>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GBR</t>
  </si>
  <si>
    <t>NBP gas hub, Drax biomass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</si>
</sst>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316.74999999999994</c:v>
                </c:pt>
                <c:pt idx="1">
                  <c:v>332.58749999999998</c:v>
                </c:pt>
                <c:pt idx="2">
                  <c:v>370.59749999999991</c:v>
                </c:pt>
                <c:pt idx="3">
                  <c:v>408.60749999999996</c:v>
                </c:pt>
                <c:pt idx="4">
                  <c:v>449.78499999999991</c:v>
                </c:pt>
                <c:pt idx="5">
                  <c:v>503.63249999999994</c:v>
                </c:pt>
                <c:pt idx="6">
                  <c:v>547.97749999999985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316.74999999999994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316.74999999999994</v>
      </c>
      <c r="U14" s="8">
        <f t="shared" ref="U14:Z14" si="4">$S$11*J14</f>
        <v>332.58749999999998</v>
      </c>
      <c r="V14" s="8">
        <f t="shared" si="4"/>
        <v>370.59749999999991</v>
      </c>
      <c r="W14" s="8">
        <f t="shared" si="4"/>
        <v>408.60749999999996</v>
      </c>
      <c r="X14" s="8">
        <f t="shared" si="4"/>
        <v>449.78499999999991</v>
      </c>
      <c r="Y14" s="8">
        <f t="shared" si="4"/>
        <v>503.63249999999994</v>
      </c>
      <c r="Z14" s="8">
        <f t="shared" si="4"/>
        <v>547.97749999999985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117.19749999999998</v>
      </c>
      <c r="U19" s="6">
        <f t="shared" si="7"/>
        <v>116.40562499999999</v>
      </c>
      <c r="V19" s="6">
        <f t="shared" si="7"/>
        <v>126.00314999999998</v>
      </c>
      <c r="W19" s="6">
        <f t="shared" si="7"/>
        <v>134.840475</v>
      </c>
      <c r="X19" s="6">
        <f t="shared" si="7"/>
        <v>134.93549999999996</v>
      </c>
      <c r="Y19" s="6">
        <f t="shared" si="7"/>
        <v>146.05342499999998</v>
      </c>
      <c r="Z19" s="6">
        <f t="shared" si="7"/>
        <v>164.39324999999994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186.88249999999996</v>
      </c>
      <c r="U20" s="6">
        <f t="shared" si="7"/>
        <v>196.22662499999998</v>
      </c>
      <c r="V20" s="6">
        <f t="shared" si="7"/>
        <v>218.65252499999994</v>
      </c>
      <c r="W20" s="6">
        <f t="shared" si="7"/>
        <v>236.99234999999996</v>
      </c>
      <c r="X20" s="6">
        <f t="shared" si="7"/>
        <v>260.87529999999992</v>
      </c>
      <c r="Y20" s="6">
        <f t="shared" si="7"/>
        <v>282.0342</v>
      </c>
      <c r="Z20" s="6">
        <f t="shared" si="7"/>
        <v>295.90784999999994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9.5024999999999977</v>
      </c>
      <c r="U21" s="6">
        <f t="shared" ref="U21:Z21" si="8">T21</f>
        <v>9.5024999999999977</v>
      </c>
      <c r="V21" s="6">
        <f t="shared" si="8"/>
        <v>9.5024999999999977</v>
      </c>
      <c r="W21" s="6">
        <f t="shared" si="8"/>
        <v>9.5024999999999977</v>
      </c>
      <c r="X21" s="6">
        <f t="shared" si="8"/>
        <v>9.5024999999999977</v>
      </c>
      <c r="Y21" s="6">
        <f t="shared" si="8"/>
        <v>9.5024999999999977</v>
      </c>
      <c r="Z21" s="6">
        <f t="shared" si="8"/>
        <v>9.5024999999999977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3.1675000000000182</v>
      </c>
      <c r="U22" s="6">
        <f t="shared" si="9"/>
        <v>10.45274999999998</v>
      </c>
      <c r="V22" s="6">
        <f t="shared" si="9"/>
        <v>16.439324999999997</v>
      </c>
      <c r="W22" s="6">
        <f t="shared" si="9"/>
        <v>27.272175000000004</v>
      </c>
      <c r="X22" s="6">
        <f t="shared" si="9"/>
        <v>44.471700000000055</v>
      </c>
      <c r="Y22" s="6">
        <f t="shared" si="9"/>
        <v>66.042374999999936</v>
      </c>
      <c r="Z22" s="6">
        <f t="shared" si="9"/>
        <v>78.173899999999946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15.45</v>
      </c>
      <c r="S28" t="s">
        <v>31</v>
      </c>
      <c r="T28" s="3">
        <f>Q28</f>
        <v>15.45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-20.79</v>
      </c>
      <c r="S29" t="s">
        <v>34</v>
      </c>
      <c r="T29" s="3">
        <f>-1*Q29</f>
        <v>20.79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30</v>
      </c>
      <c r="O48">
        <f>VLOOKUP($H$14,$AK$9:$AM$15,3,FALSE)*I48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27.4</v>
      </c>
      <c r="C11">
        <v>39.4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170.61</v>
      </c>
      <c r="D11">
        <v>206.68</v>
      </c>
      <c r="E11">
        <v>2.7</v>
      </c>
      <c r="F11">
        <v>0</v>
      </c>
      <c r="G11">
        <v>14.31</v>
      </c>
      <c r="H11">
        <v>-0.13</v>
      </c>
      <c r="I11">
        <v>374.38</v>
      </c>
      <c r="J11">
        <v>0</v>
      </c>
      <c r="K11">
        <v>28.364000000000001</v>
      </c>
    </row>
    <row r="12" spans="1:11" x14ac:dyDescent="0.45">
      <c r="A12" t="s">
        <v>124</v>
      </c>
      <c r="B12">
        <v>2001</v>
      </c>
      <c r="C12">
        <v>168.83</v>
      </c>
      <c r="D12">
        <v>212.56</v>
      </c>
      <c r="E12">
        <v>2.7</v>
      </c>
      <c r="F12">
        <v>0</v>
      </c>
      <c r="G12">
        <v>10.66</v>
      </c>
      <c r="H12">
        <v>-0.26</v>
      </c>
      <c r="I12">
        <v>382.37</v>
      </c>
      <c r="J12">
        <v>0</v>
      </c>
      <c r="K12">
        <v>26.457999999999998</v>
      </c>
    </row>
    <row r="13" spans="1:11" x14ac:dyDescent="0.45">
      <c r="A13" t="s">
        <v>124</v>
      </c>
      <c r="B13">
        <v>2002</v>
      </c>
      <c r="C13">
        <v>169.5</v>
      </c>
      <c r="D13">
        <v>212.3</v>
      </c>
      <c r="E13">
        <v>2.7</v>
      </c>
      <c r="F13">
        <v>0</v>
      </c>
      <c r="G13">
        <v>9.18</v>
      </c>
      <c r="H13">
        <v>-0.77</v>
      </c>
      <c r="I13">
        <v>384.6</v>
      </c>
      <c r="J13">
        <v>0</v>
      </c>
      <c r="K13">
        <v>24.24</v>
      </c>
    </row>
    <row r="14" spans="1:11" x14ac:dyDescent="0.45">
      <c r="A14" t="s">
        <v>124</v>
      </c>
      <c r="B14">
        <v>2003</v>
      </c>
      <c r="C14">
        <v>167.48</v>
      </c>
      <c r="D14">
        <v>218.73</v>
      </c>
      <c r="E14">
        <v>2.7</v>
      </c>
      <c r="F14">
        <v>0</v>
      </c>
      <c r="G14">
        <v>5.12</v>
      </c>
      <c r="H14">
        <v>-2.96</v>
      </c>
      <c r="I14">
        <v>395.46</v>
      </c>
      <c r="J14">
        <v>0</v>
      </c>
      <c r="K14">
        <v>21.053999999999998</v>
      </c>
    </row>
    <row r="15" spans="1:11" x14ac:dyDescent="0.45">
      <c r="A15" t="s">
        <v>124</v>
      </c>
      <c r="B15">
        <v>2004</v>
      </c>
      <c r="C15">
        <v>168.49</v>
      </c>
      <c r="D15">
        <v>223.42</v>
      </c>
      <c r="E15">
        <v>4.04</v>
      </c>
      <c r="F15">
        <v>0.02</v>
      </c>
      <c r="G15">
        <v>9.7799999999999994</v>
      </c>
      <c r="H15">
        <v>-2.29</v>
      </c>
      <c r="I15">
        <v>391.28</v>
      </c>
      <c r="J15">
        <v>0</v>
      </c>
      <c r="K15">
        <v>14.625999999999999</v>
      </c>
    </row>
    <row r="16" spans="1:11" x14ac:dyDescent="0.45">
      <c r="A16" t="s">
        <v>124</v>
      </c>
      <c r="B16">
        <v>2005</v>
      </c>
      <c r="C16">
        <v>168.44</v>
      </c>
      <c r="D16">
        <v>228.59</v>
      </c>
      <c r="E16">
        <v>4.04</v>
      </c>
      <c r="F16">
        <v>0.02</v>
      </c>
      <c r="G16">
        <v>11.16</v>
      </c>
      <c r="H16">
        <v>-2.84</v>
      </c>
      <c r="I16">
        <v>395.43</v>
      </c>
      <c r="J16">
        <v>0</v>
      </c>
      <c r="K16">
        <v>14.747</v>
      </c>
    </row>
    <row r="17" spans="1:11" x14ac:dyDescent="0.45">
      <c r="A17" t="s">
        <v>124</v>
      </c>
      <c r="B17">
        <v>2006</v>
      </c>
      <c r="C17">
        <v>167.75</v>
      </c>
      <c r="D17">
        <v>226.33</v>
      </c>
      <c r="E17">
        <v>3.98</v>
      </c>
      <c r="F17">
        <v>0.02</v>
      </c>
      <c r="G17">
        <v>10.28</v>
      </c>
      <c r="H17">
        <v>-2.76</v>
      </c>
      <c r="I17">
        <v>393.43</v>
      </c>
      <c r="J17">
        <v>0</v>
      </c>
      <c r="K17">
        <v>14.477</v>
      </c>
    </row>
    <row r="18" spans="1:11" x14ac:dyDescent="0.45">
      <c r="A18" t="s">
        <v>124</v>
      </c>
      <c r="B18">
        <v>2007</v>
      </c>
      <c r="C18">
        <v>166.07</v>
      </c>
      <c r="D18">
        <v>224.9</v>
      </c>
      <c r="E18">
        <v>3.94</v>
      </c>
      <c r="F18">
        <v>0.02</v>
      </c>
      <c r="G18">
        <v>8.61</v>
      </c>
      <c r="H18">
        <v>-3.4</v>
      </c>
      <c r="I18">
        <v>392.97</v>
      </c>
      <c r="J18">
        <v>0</v>
      </c>
      <c r="K18">
        <v>15.561</v>
      </c>
    </row>
    <row r="19" spans="1:11" x14ac:dyDescent="0.45">
      <c r="A19" t="s">
        <v>124</v>
      </c>
      <c r="B19">
        <v>2008</v>
      </c>
      <c r="C19">
        <v>164.47</v>
      </c>
      <c r="D19">
        <v>223.73</v>
      </c>
      <c r="E19">
        <v>3.92</v>
      </c>
      <c r="F19">
        <v>0.02</v>
      </c>
      <c r="G19">
        <v>12.29</v>
      </c>
      <c r="H19">
        <v>-1.27</v>
      </c>
      <c r="I19">
        <v>384.78</v>
      </c>
      <c r="J19">
        <v>0</v>
      </c>
      <c r="K19">
        <v>17.044</v>
      </c>
    </row>
    <row r="20" spans="1:11" x14ac:dyDescent="0.45">
      <c r="A20" t="s">
        <v>124</v>
      </c>
      <c r="B20">
        <v>2009</v>
      </c>
      <c r="C20">
        <v>151.13999999999999</v>
      </c>
      <c r="D20">
        <v>217.97</v>
      </c>
      <c r="E20">
        <v>4.0199999999999996</v>
      </c>
      <c r="F20">
        <v>0.02</v>
      </c>
      <c r="G20">
        <v>6.61</v>
      </c>
      <c r="H20">
        <v>-3.75</v>
      </c>
      <c r="I20">
        <v>373.13</v>
      </c>
      <c r="J20">
        <v>0</v>
      </c>
      <c r="K20">
        <v>14.03</v>
      </c>
    </row>
    <row r="21" spans="1:11" x14ac:dyDescent="0.45">
      <c r="A21" t="s">
        <v>124</v>
      </c>
      <c r="B21">
        <v>2010</v>
      </c>
      <c r="C21">
        <v>155.33000000000001</v>
      </c>
      <c r="D21">
        <v>219.23</v>
      </c>
      <c r="E21">
        <v>4.07</v>
      </c>
      <c r="F21">
        <v>0.02</v>
      </c>
      <c r="G21">
        <v>7.14</v>
      </c>
      <c r="H21">
        <v>-4.4800000000000004</v>
      </c>
      <c r="I21">
        <v>379.64</v>
      </c>
      <c r="J21">
        <v>0</v>
      </c>
      <c r="K21">
        <v>14.728</v>
      </c>
    </row>
    <row r="22" spans="1:11" x14ac:dyDescent="0.45">
      <c r="A22" t="s">
        <v>124</v>
      </c>
      <c r="B22">
        <v>2011</v>
      </c>
      <c r="C22">
        <v>153.38999999999999</v>
      </c>
      <c r="D22">
        <v>210.26</v>
      </c>
      <c r="E22">
        <v>4.21</v>
      </c>
      <c r="F22">
        <v>0.02</v>
      </c>
      <c r="G22">
        <v>8.69</v>
      </c>
      <c r="H22">
        <v>-2.4700000000000002</v>
      </c>
      <c r="I22">
        <v>365.05</v>
      </c>
      <c r="J22">
        <v>0</v>
      </c>
      <c r="K22">
        <v>14.026</v>
      </c>
    </row>
    <row r="23" spans="1:11" x14ac:dyDescent="0.45">
      <c r="A23" t="s">
        <v>124</v>
      </c>
      <c r="B23">
        <v>2012</v>
      </c>
      <c r="C23">
        <v>150.66</v>
      </c>
      <c r="D23">
        <v>214.37</v>
      </c>
      <c r="E23">
        <v>4.4800000000000004</v>
      </c>
      <c r="F23">
        <v>0.03</v>
      </c>
      <c r="G23">
        <v>13.77</v>
      </c>
      <c r="H23">
        <v>-1.91</v>
      </c>
      <c r="I23">
        <v>361.09</v>
      </c>
      <c r="J23">
        <v>0</v>
      </c>
      <c r="K23">
        <v>14.045</v>
      </c>
    </row>
    <row r="24" spans="1:11" x14ac:dyDescent="0.45">
      <c r="A24" t="s">
        <v>124</v>
      </c>
      <c r="B24">
        <v>2013</v>
      </c>
      <c r="C24">
        <v>148.07</v>
      </c>
      <c r="D24">
        <v>213.97</v>
      </c>
      <c r="E24">
        <v>4.3499999999999996</v>
      </c>
      <c r="F24">
        <v>0.03</v>
      </c>
      <c r="G24">
        <v>17.53</v>
      </c>
      <c r="H24">
        <v>-3.1</v>
      </c>
      <c r="I24">
        <v>355.29</v>
      </c>
      <c r="J24">
        <v>0</v>
      </c>
      <c r="K24">
        <v>13.866</v>
      </c>
    </row>
    <row r="25" spans="1:11" x14ac:dyDescent="0.45">
      <c r="A25" t="s">
        <v>124</v>
      </c>
      <c r="B25">
        <v>2014</v>
      </c>
      <c r="C25">
        <v>143.33000000000001</v>
      </c>
      <c r="D25">
        <v>204.32</v>
      </c>
      <c r="E25">
        <v>4.5</v>
      </c>
      <c r="F25">
        <v>7.0000000000000007E-2</v>
      </c>
      <c r="G25">
        <v>23.24</v>
      </c>
      <c r="H25">
        <v>-2.72</v>
      </c>
      <c r="I25">
        <v>334.83</v>
      </c>
      <c r="J25">
        <v>0</v>
      </c>
      <c r="K25">
        <v>13.43</v>
      </c>
    </row>
    <row r="26" spans="1:11" x14ac:dyDescent="0.45">
      <c r="A26" t="s">
        <v>124</v>
      </c>
      <c r="B26">
        <v>2015</v>
      </c>
      <c r="C26">
        <v>143.54</v>
      </c>
      <c r="D26">
        <v>205</v>
      </c>
      <c r="E26">
        <v>4.5199999999999996</v>
      </c>
      <c r="F26">
        <v>0.1</v>
      </c>
      <c r="G26">
        <v>22.96</v>
      </c>
      <c r="H26">
        <v>-1.86</v>
      </c>
      <c r="I26">
        <v>335.3</v>
      </c>
      <c r="J26">
        <v>0</v>
      </c>
      <c r="K26">
        <v>14.38</v>
      </c>
    </row>
    <row r="27" spans="1:11" x14ac:dyDescent="0.45">
      <c r="A27" t="s">
        <v>124</v>
      </c>
      <c r="B27">
        <v>2016</v>
      </c>
      <c r="C27">
        <v>138.74</v>
      </c>
      <c r="D27">
        <v>204.95</v>
      </c>
      <c r="E27">
        <v>4.6900000000000004</v>
      </c>
      <c r="F27">
        <v>0.13</v>
      </c>
      <c r="G27">
        <v>20.02</v>
      </c>
      <c r="H27">
        <v>-2.27</v>
      </c>
      <c r="I27">
        <v>334.29</v>
      </c>
      <c r="J27">
        <v>0</v>
      </c>
      <c r="K27">
        <v>14.413</v>
      </c>
    </row>
    <row r="28" spans="1:11" x14ac:dyDescent="0.45">
      <c r="A28" t="s">
        <v>124</v>
      </c>
      <c r="B28">
        <v>2017</v>
      </c>
      <c r="C28">
        <v>139.43</v>
      </c>
      <c r="D28">
        <v>201.42</v>
      </c>
      <c r="E28">
        <v>4.83</v>
      </c>
      <c r="F28">
        <v>0.18</v>
      </c>
      <c r="G28">
        <v>18.170000000000002</v>
      </c>
      <c r="H28">
        <v>-3.41</v>
      </c>
      <c r="I28">
        <v>334.56</v>
      </c>
      <c r="J28">
        <v>0</v>
      </c>
      <c r="K28">
        <v>14.779</v>
      </c>
    </row>
    <row r="29" spans="1:11" x14ac:dyDescent="0.45">
      <c r="A29" t="s">
        <v>124</v>
      </c>
      <c r="B29">
        <v>2018</v>
      </c>
      <c r="C29">
        <v>137.06</v>
      </c>
      <c r="D29">
        <v>201.42</v>
      </c>
      <c r="E29">
        <v>5.05</v>
      </c>
      <c r="F29">
        <v>0.61</v>
      </c>
      <c r="G29">
        <v>21.33</v>
      </c>
      <c r="H29">
        <v>-2.2200000000000002</v>
      </c>
      <c r="I29">
        <v>329.99</v>
      </c>
      <c r="J29">
        <v>0</v>
      </c>
      <c r="K29">
        <v>14.939</v>
      </c>
    </row>
    <row r="30" spans="1:11" x14ac:dyDescent="0.45">
      <c r="A30" t="s">
        <v>124</v>
      </c>
      <c r="B30">
        <v>2019</v>
      </c>
      <c r="C30">
        <v>136.38999999999999</v>
      </c>
      <c r="D30">
        <v>197.71</v>
      </c>
      <c r="E30">
        <v>5.29</v>
      </c>
      <c r="F30">
        <v>0.85</v>
      </c>
      <c r="G30">
        <v>24.56</v>
      </c>
      <c r="H30">
        <v>-3.39</v>
      </c>
      <c r="I30">
        <v>321.63</v>
      </c>
      <c r="J30">
        <v>0</v>
      </c>
      <c r="K30">
        <v>14.43</v>
      </c>
    </row>
    <row r="31" spans="1:11" x14ac:dyDescent="0.45">
      <c r="A31" t="s">
        <v>124</v>
      </c>
      <c r="B31">
        <v>2020</v>
      </c>
      <c r="C31">
        <v>127.84</v>
      </c>
      <c r="D31">
        <v>190.95</v>
      </c>
      <c r="E31">
        <v>4.8499999999999996</v>
      </c>
      <c r="F31">
        <v>1.1299999999999999</v>
      </c>
      <c r="G31">
        <v>22.39</v>
      </c>
      <c r="H31">
        <v>-4.4800000000000004</v>
      </c>
      <c r="I31">
        <v>308.93</v>
      </c>
      <c r="J31">
        <v>0</v>
      </c>
      <c r="K31">
        <v>14.536</v>
      </c>
    </row>
    <row r="32" spans="1:11" x14ac:dyDescent="0.45">
      <c r="A32" t="s">
        <v>124</v>
      </c>
      <c r="B32">
        <v>2021</v>
      </c>
      <c r="C32">
        <v>128.25</v>
      </c>
      <c r="D32">
        <v>190.44</v>
      </c>
      <c r="E32">
        <v>4.74</v>
      </c>
      <c r="F32">
        <v>2.36</v>
      </c>
      <c r="G32">
        <v>28.74</v>
      </c>
      <c r="H32">
        <v>-4.17</v>
      </c>
      <c r="I32">
        <v>305.92</v>
      </c>
      <c r="J32">
        <v>0</v>
      </c>
      <c r="K32">
        <v>14.542999999999999</v>
      </c>
    </row>
    <row r="33" spans="1:11" x14ac:dyDescent="0.45">
      <c r="A33" t="s">
        <v>124</v>
      </c>
      <c r="B33">
        <v>2022</v>
      </c>
      <c r="C33">
        <v>124.91</v>
      </c>
      <c r="D33">
        <v>179.25</v>
      </c>
      <c r="E33">
        <v>4.74</v>
      </c>
      <c r="F33">
        <v>3.7</v>
      </c>
      <c r="G33">
        <v>15.45</v>
      </c>
      <c r="H33">
        <v>-20.79</v>
      </c>
      <c r="I33">
        <v>322.08999999999997</v>
      </c>
      <c r="J33">
        <v>0</v>
      </c>
      <c r="K33">
        <v>14.189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2026-06-25T14:19:55Z</dcterms:modified>
</cp:coreProperties>
</file>