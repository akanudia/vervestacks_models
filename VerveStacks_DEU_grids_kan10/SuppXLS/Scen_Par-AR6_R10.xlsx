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10\SuppXLS\"/>
    </mc:Choice>
  </mc:AlternateContent>
  <xr:revisionPtr revIDLastSave="0" documentId="8_{331F413B-57D9-4251-992F-B3B47F939287}" xr6:coauthVersionLast="47" xr6:coauthVersionMax="47" xr10:uidLastSave="{00000000-0000-0000-0000-000000000000}"/>
  <bookViews>
    <workbookView xWindow="368" yWindow="368" windowWidth="21599" windowHeight="12682" firstSheet="11" activeTab="11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s1_d" sheetId="10" r:id="rId9"/>
    <sheet name="s1v1_d" sheetId="11" r:id="rId10"/>
    <sheet name="ts_annual" sheetId="12" r:id="rId11"/>
    <sheet name="ts_12t" sheetId="13" r:id="rId12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3" l="1"/>
  <c r="AG9" i="13"/>
  <c r="AC9" i="13"/>
  <c r="A10" i="6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33" i="1" l="1"/>
  <c r="B28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B67" i="1"/>
  <c r="E38" i="1"/>
  <c r="B33" i="1"/>
  <c r="E5" i="1"/>
  <c r="O48" i="1" s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B68" i="1"/>
  <c r="AJ64" i="1"/>
  <c r="D59" i="1"/>
  <c r="B59" i="1" s="1"/>
  <c r="AJ69" i="1" l="1"/>
  <c r="D64" i="1"/>
  <c r="B64" i="1" s="1"/>
  <c r="AJ65" i="1"/>
  <c r="D60" i="1"/>
  <c r="B60" i="1" s="1"/>
  <c r="AJ70" i="1" l="1"/>
  <c r="D65" i="1"/>
  <c r="B65" i="1" s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<sst xmlns="http://schemas.openxmlformats.org/spreadsheetml/2006/main" count="51258" uniqueCount="411">
  <si>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</si>
  <si>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</si>
  <si>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</si>
  <si>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</si>
  <si>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</si>
  <si>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</si>
  <si>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</si>
  <si>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</si>
  <si>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</si>
  <si>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</si>
  <si>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</si>
  <si>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</si>
  <si>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</si>
  <si>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</si>
  <si>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</si>
  <si>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</si>
  <si>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</si>
  <si>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</si>
  <si>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</si>
  <si>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</si>
  <si>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</si>
  <si>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</si>
  <si>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</si>
  <si>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</si>
  <si>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</si>
  <si>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</si>
  <si>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</si>
  <si>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</si>
  <si>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</si>
  <si>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</si>
  <si>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</si>
  <si>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</si>
  <si>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</si>
  <si>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</si>
  <si>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</si>
  <si>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</si>
  <si>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</si>
  <si>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</si>
  <si>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</si>
  <si>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</si>
  <si>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</si>
  <si>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</si>
  <si>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</si>
  <si>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</si>
  <si>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</si>
  <si>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</si>
  <si>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</si>
  <si>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</si>
  <si>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</si>
  <si>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</si>
  <si>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</si>
  <si>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</si>
  <si>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</si>
  <si>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</si>
  <si>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</si>
  <si>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</si>
  <si>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</si>
  <si>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</si>
  <si>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</si>
  <si>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VERVESTACKS - the open USE platform · Powered by data · Shaped by vision · Guided by intuition · Fueled by passion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</si>
  <si>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</si>
  <si>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</si>
  <si>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</si>
  <si>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</si>
  <si>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</si>
  <si>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</si>
  <si>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</si>
  <si>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</si>
  <si>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</si>
  <si>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</si>
  <si>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</si>
  <si>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</si>
  <si>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</si>
  <si>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</si>
  <si>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</si>
  <si>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AUS</t>
  </si>
  <si>
    <t>R10PAC_OECD</t>
  </si>
  <si>
    <t xml:space="preserve"> LNG exporter, agricultural residues 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</si>
  <si>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</si>
  <si>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</si>
  <si>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</si>
  <si>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</si>
  <si>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</si>
  <si>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</si>
  <si>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</si>
  <si>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</si>
  <si>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</si>
  <si>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</si>
  <si>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</si>
  <si>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</si>
  <si>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</si>
  <si>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</si>
  <si>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</si>
  <si>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</si>
  <si>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</si>
  <si>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</si>
  <si>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</si>
  <si>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</si>
  <si>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</si>
  <si>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</si>
  <si>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</si>
  <si>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</si>
  <si>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</si>
  <si>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</si>
  <si>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</si>
  <si>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</si>
  <si>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</si>
  <si>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</si>
  <si>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</si>
  <si>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1-55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</si>
  <si>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</si>
  <si>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</si>
  <si>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</si>
  <si>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</si>
  <si>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</si>
  <si>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</si>
  <si>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</si>
  <si>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</si>
  <si>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</si>
  <si>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</si>
  <si>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</si>
  <si>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</si>
  <si>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</si>
  <si>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</si>
  <si>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</si>
  <si>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</si>
  <si>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h48</t>
  </si>
  <si>
    <t>j12</t>
  </si>
  <si>
    <t>k12</t>
  </si>
  <si>
    <t>kAnn</t>
  </si>
  <si>
    <t>~TFM_INS-TS: attribute=flo_cost;pset_pn=-IMP*Z</t>
  </si>
  <si>
    <t>bio price multiplier</t>
  </si>
  <si>
    <t>s1v1_d</t>
  </si>
  <si>
    <t>ts_030</t>
  </si>
  <si>
    <t>i30</t>
  </si>
  <si>
    <t>ts_048P10</t>
  </si>
  <si>
    <t>h48P10</t>
  </si>
  <si>
    <t>ts_048P90</t>
  </si>
  <si>
    <t>h48P90</t>
  </si>
  <si>
    <t>s1_d</t>
  </si>
  <si>
    <t>g1d72</t>
  </si>
  <si>
    <t>f2d96</t>
  </si>
  <si>
    <t>ts_096</t>
  </si>
  <si>
    <t>e96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</si>
  <si>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</si>
  <si>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</si>
  <si>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</si>
  <si>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</si>
  <si>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</si>
  <si>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</si>
  <si>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</si>
  <si>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</si>
  <si>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</si>
  <si>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</si>
  <si>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</si>
  <si>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</si>
  <si>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</si>
  <si>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</si>
  <si>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</si>
  <si>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elc_spv_DEU_001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</si>
  <si>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</si>
  <si>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</si>
  <si>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</si>
  <si>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</si>
  <si>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</si>
  <si>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</si>
  <si>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</si>
  <si>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</si>
  <si>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</si>
  <si>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</si>
  <si>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</si>
  <si>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</si>
  <si>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</si>
  <si>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elc_spv_DEU_002</t>
  </si>
  <si>
    <t>elc_spv_DEU_003</t>
  </si>
  <si>
    <t>elc_spv_DEU_004</t>
  </si>
  <si>
    <t>elc_spv_DEU_005</t>
  </si>
  <si>
    <t>elc_spv_DEU_006</t>
  </si>
  <si>
    <t>elc_spv_DEU_007</t>
  </si>
  <si>
    <t>elc_spv_DEU_008</t>
  </si>
  <si>
    <t>elc_spv_DEU_009</t>
  </si>
  <si>
    <t>elc_spv_DEU_010</t>
  </si>
  <si>
    <t>elc_spv_DEU_011</t>
  </si>
  <si>
    <t>elc_spv_DEU_012</t>
  </si>
  <si>
    <t>elc_spv_DEU_013</t>
  </si>
  <si>
    <t>elc_spv_DEU_014</t>
  </si>
  <si>
    <t>elc_spv_DEU_015</t>
  </si>
  <si>
    <t>elc_spv_DEU_016</t>
  </si>
  <si>
    <t>elc_spv_DEU_017</t>
  </si>
  <si>
    <t>elc_spv_DEU_018</t>
  </si>
  <si>
    <t>elc_spv_DEU_019</t>
  </si>
  <si>
    <t>elc_spv_DEU_020</t>
  </si>
  <si>
    <t>elc_spv_DEU_021</t>
  </si>
  <si>
    <t>elc_spv_DEU_022</t>
  </si>
  <si>
    <t>elc_spv_DEU_023</t>
  </si>
  <si>
    <t>elc_won_DEU_001</t>
  </si>
  <si>
    <t>elc_won_DEU_002</t>
  </si>
  <si>
    <t>elc_won_DEU_003</t>
  </si>
  <si>
    <t>elc_won_DEU_004</t>
  </si>
  <si>
    <t>elc_won_DEU_005</t>
  </si>
  <si>
    <t>elc_won_DEU_006</t>
  </si>
  <si>
    <t>elc_won_DEU_007</t>
  </si>
  <si>
    <t>elc_won_DEU_008</t>
  </si>
  <si>
    <t>elc_won_DEU_009</t>
  </si>
  <si>
    <t>elc_won_DEU_010</t>
  </si>
  <si>
    <t>elc_won_DEU_011</t>
  </si>
  <si>
    <t>elc_won_DEU_012</t>
  </si>
  <si>
    <t>elc_won_DEU_013</t>
  </si>
  <si>
    <t>elc_won_DEU_014</t>
  </si>
  <si>
    <t>elc_won_DEU_015</t>
  </si>
  <si>
    <t>elc_won_DEU_016</t>
  </si>
  <si>
    <t>elc_won_DEU_017</t>
  </si>
  <si>
    <t>elc_won_DEU_018</t>
  </si>
  <si>
    <t>elc_won_DEU_019</t>
  </si>
  <si>
    <t>elc_won_DEU_020</t>
  </si>
  <si>
    <t>elc_won_DEU_021</t>
  </si>
  <si>
    <t>elc_won_DEU_022</t>
  </si>
  <si>
    <t>elc_wof_DEU_001</t>
  </si>
  <si>
    <t>elc_wof_DEU_002</t>
  </si>
  <si>
    <t>elc_wof_DEU_003</t>
  </si>
  <si>
    <t>elc_wof_DEU_004</t>
  </si>
  <si>
    <t>elc_wof_DEU_005</t>
  </si>
  <si>
    <t>elc_wof_DEU_006</t>
  </si>
  <si>
    <t>elc_wof_DEU_007</t>
  </si>
  <si>
    <t>elc_wof_DEU_008</t>
  </si>
  <si>
    <t>elc_wof_DEU_009</t>
  </si>
  <si>
    <t>elc_wof_DEU_010</t>
  </si>
  <si>
    <t>g_yrfr</t>
  </si>
  <si>
    <t>day_night</t>
  </si>
  <si>
    <t>D</t>
  </si>
  <si>
    <t>S01aH01,S04aH01,S02aH02,S02aH01,S03aH01,S01aH02,S03aH02,S04aH02</t>
  </si>
  <si>
    <t>N</t>
  </si>
  <si>
    <t>S02aH03,S03aH03,S04aH03,S01aH03</t>
  </si>
  <si>
    <t>com_pkflx</t>
  </si>
  <si>
    <t>ncap_afs</t>
  </si>
  <si>
    <t>pset_ci</t>
  </si>
  <si>
    <t>hydro</t>
  </si>
  <si>
    <t>S01,S02,S03,S04,S05,S06</t>
  </si>
  <si>
    <t>H04</t>
  </si>
  <si>
    <t>S05</t>
  </si>
  <si>
    <t>H05</t>
  </si>
  <si>
    <t>S06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</si>
  <si>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</si>
  <si>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</si>
  <si>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</si>
  <si>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</si>
  <si>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</si>
  <si>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</si>
  <si>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</si>
  <si>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</si>
  <si>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</si>
  <si>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</si>
  <si>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</si>
  <si>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</si>
  <si>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</si>
  <si>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</si>
  <si>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</si>
  <si>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</si>
  <si>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</si>
  <si>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</si>
  <si>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S04aH02,S04aH03,S03aH02,S01aH04,S01aH03,S05aH02,S05aH03,S06aH04,S05aH04,S06aH02,S06aH03,S03aH04,S03aH03,S01aH02,S04aH04,S02aH04,S02aH03,S02aH02</t>
  </si>
  <si>
    <t>S02aH01,S02aH05,S05aH01,S04aH05,S06aH01,S01aH05,S06aH05,S03aH05,S05aH05,S01aH01,S04aH01,S03aH01</t>
  </si>
  <si>
    <t>S01,S02,S03,S04,S05,S06,S07,S08</t>
  </si>
  <si>
    <t>H06</t>
  </si>
  <si>
    <t>S07</t>
  </si>
  <si>
    <t>S08</t>
  </si>
  <si>
    <t>S01aH06</t>
  </si>
  <si>
    <t>S02aH06</t>
  </si>
  <si>
    <t>S03aH06</t>
  </si>
  <si>
    <t>S04aH06</t>
  </si>
  <si>
    <t>S05aH06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</si>
  <si>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</si>
  <si>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</si>
  <si>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</si>
  <si>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</si>
  <si>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</si>
  <si>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</si>
  <si>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</si>
  <si>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</si>
  <si>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</si>
  <si>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</si>
  <si>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</si>
  <si>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</si>
  <si>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</si>
  <si>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S05aH04,S06aH02,S06aH03,S03aH05,S05aH05,S06aH04,S08aH04,S02aH04,S02aH05,S04aH03,S07aH04,S08aH03,S08aH02,S02aH03,S07aH03,S03aH04,S08aH05,S01aH05,S06aH05,S02aH02,S03aH02,S07aH05,S01aH02,S04aH04,S04aH05,S04aH02,S03aH03,S01aH04,S07aH02,S01aH03,S05aH02,S05aH03</t>
  </si>
  <si>
    <t>S01aH06,S07aH01,S08aH06,S02aH06,S02aH01,S05aH06,S06aH01,S01aH01,S04aH01,S04aH06,S05aH01,S07aH06,S03aH01,S03aH06,S06aH06,S08aH01</t>
  </si>
  <si>
    <t>0217h01</t>
  </si>
  <si>
    <t>b</t>
  </si>
  <si>
    <t>0217h02</t>
  </si>
  <si>
    <t>0217h03</t>
  </si>
  <si>
    <t>0217h04</t>
  </si>
  <si>
    <t>0217h05</t>
  </si>
  <si>
    <t>0217h06</t>
  </si>
  <si>
    <t>0217h07</t>
  </si>
  <si>
    <t>0217h08</t>
  </si>
  <si>
    <t>0217h09</t>
  </si>
  <si>
    <t>0217h10</t>
  </si>
  <si>
    <t>0217h11</t>
  </si>
  <si>
    <t>0217h12</t>
  </si>
  <si>
    <t>0217h13</t>
  </si>
  <si>
    <t>0217h14</t>
  </si>
  <si>
    <t>0217h15</t>
  </si>
  <si>
    <t>0217h16</t>
  </si>
  <si>
    <t>0217h17</t>
  </si>
  <si>
    <t>0217h18</t>
  </si>
  <si>
    <t>0217h19</t>
  </si>
  <si>
    <t>0217h20</t>
  </si>
  <si>
    <t>0217h21</t>
  </si>
  <si>
    <t>0217h22</t>
  </si>
  <si>
    <t>0217h23</t>
  </si>
  <si>
    <t>0217h24</t>
  </si>
  <si>
    <t>S01b0217h01</t>
  </si>
  <si>
    <t>S01b0217h02</t>
  </si>
  <si>
    <t>S01b0217h03</t>
  </si>
  <si>
    <t>S01b0217h04</t>
  </si>
  <si>
    <t>S01b0217h05</t>
  </si>
  <si>
    <t>S01b0217h06</t>
  </si>
  <si>
    <t>S01b0217h07</t>
  </si>
  <si>
    <t>S01b0217h08</t>
  </si>
  <si>
    <t>S01b0217h09</t>
  </si>
  <si>
    <t>S01b0217h10</t>
  </si>
  <si>
    <t>S01b0217h11</t>
  </si>
  <si>
    <t>S01b0217h12</t>
  </si>
  <si>
    <t>S01b0217h13</t>
  </si>
  <si>
    <t>S01b0217h14</t>
  </si>
  <si>
    <t>S01b0217h15</t>
  </si>
  <si>
    <t>S01b0217h16</t>
  </si>
  <si>
    <t>S01b0217h17</t>
  </si>
  <si>
    <t>S01b0217h18</t>
  </si>
  <si>
    <t>S01b0217h19</t>
  </si>
  <si>
    <t>S01b0217h20</t>
  </si>
  <si>
    <t>S01b0217h21</t>
  </si>
  <si>
    <t>S01b0217h22</t>
  </si>
  <si>
    <t>S01b0217h23</t>
  </si>
  <si>
    <t>S01b0217h24</t>
  </si>
  <si>
    <t>S01b0217h17,S03aH02,S07aH05,S01b0217h11,S02aH03,S07aH03,S01b0217h08,S01b0217h12,S04aH02,S01aH04,S07aH02,S01b0217h15,S03aH04,S08aH05,S01b0217h18,S08aH02,S01aH03,S05aH02,S05aH03,S05aH04,S06aH02,S06aH03,S01b0217h07,S03aH05,S05aH05,S06aH04,S08aH04,S01aH05,S01b0217h14,S06aH05,S03aH03,S04aH05,S01b0217h16,S02aH02,S02aH04,S02aH05,S01b0217h09,S04aH03,S07aH04,S08aH03,S01aH02,S01b0217h10,S01b0217h13,S04aH04</t>
  </si>
  <si>
    <t>S01aH01,S01b0217h04,S04aH01,S04aH06,S01b0217h24,S08aH01,S01b0217h19,S01b0217h21,S01b0217h22,S05aH01,S07aH06,S01b0217h05,S06aH01,S01b0217h02,S01aH06,S07aH01,S08aH06,S01b0217h23,S01b0217h06,S06aH06,S01b0217h03,S03aH01,S01b0217h20,S02aH06,S01b0217h01,S02aH01,S05aH06,S03aH06</t>
  </si>
  <si>
    <t>c</t>
  </si>
  <si>
    <t>0821h01</t>
  </si>
  <si>
    <t>0821h02</t>
  </si>
  <si>
    <t>0821h03</t>
  </si>
  <si>
    <t>0821h04</t>
  </si>
  <si>
    <t>0821h05</t>
  </si>
  <si>
    <t>0821h06</t>
  </si>
  <si>
    <t>0821h07</t>
  </si>
  <si>
    <t>0821h08</t>
  </si>
  <si>
    <t>0821h09</t>
  </si>
  <si>
    <t>0821h10</t>
  </si>
  <si>
    <t>0821h11</t>
  </si>
  <si>
    <t>0821h12</t>
  </si>
  <si>
    <t>0821h13</t>
  </si>
  <si>
    <t>0821h14</t>
  </si>
  <si>
    <t>0821h15</t>
  </si>
  <si>
    <t>0821h16</t>
  </si>
  <si>
    <t>0821h17</t>
  </si>
  <si>
    <t>0821h18</t>
  </si>
  <si>
    <t>0821h19</t>
  </si>
  <si>
    <t>0821h20</t>
  </si>
  <si>
    <t>0821h21</t>
  </si>
  <si>
    <t>0821h22</t>
  </si>
  <si>
    <t>0821h23</t>
  </si>
  <si>
    <t>0821h24</t>
  </si>
  <si>
    <t>S04c0821h01</t>
  </si>
  <si>
    <t>S04c0821h02</t>
  </si>
  <si>
    <t>S04c0821h03</t>
  </si>
  <si>
    <t>S04c0821h04</t>
  </si>
  <si>
    <t>S04c0821h05</t>
  </si>
  <si>
    <t>S04c0821h06</t>
  </si>
  <si>
    <t>S04c0821h07</t>
  </si>
  <si>
    <t>S04c0821h08</t>
  </si>
  <si>
    <t>S04c0821h09</t>
  </si>
  <si>
    <t>S04c0821h10</t>
  </si>
  <si>
    <t>S04c0821h11</t>
  </si>
  <si>
    <t>S04c0821h12</t>
  </si>
  <si>
    <t>S04c0821h13</t>
  </si>
  <si>
    <t>S04c0821h14</t>
  </si>
  <si>
    <t>S04c0821h15</t>
  </si>
  <si>
    <t>S04c0821h16</t>
  </si>
  <si>
    <t>S04c0821h17</t>
  </si>
  <si>
    <t>S04c0821h18</t>
  </si>
  <si>
    <t>S04c0821h19</t>
  </si>
  <si>
    <t>S04c0821h20</t>
  </si>
  <si>
    <t>S04c0821h21</t>
  </si>
  <si>
    <t>S04c0821h22</t>
  </si>
  <si>
    <t>S04c0821h23</t>
  </si>
  <si>
    <t>S04c0821h24</t>
  </si>
  <si>
    <t>S01b0217h07,S03aH05,S05aH05,S06aH04,S08aH04,S01aH04,S07aH02,S01aH03,S04c0821h07,S04c0821h10,S04c0821h13,S04c0821h18,S05aH02,S05aH03,S01b0217h18,S08aH02,S01aH02,S01b0217h10,S01b0217h13,S04aH04,S01b0217h15,S03aH04,S08aH05,S01b0217h17,S03aH02,S04c0821h15,S04c0821h17,S07aH05,S01b0217h11,S02aH03,S04c0821h09,S07aH03,S01b0217h09,S04aH03,S07aH04,S08aH03,S04aH05,S04c0821h12,S05aH04,S06aH02,S06aH03,S01b0217h16,S02aH02,S04c0821h14,S01aH05,S01b0217h14,S04c0821h11,S06aH05,S03aH03,S04c0821h08,S02aH04,S02aH05,S01b0217h08,S01b0217h12,S04aH02,S04c0821h16</t>
  </si>
  <si>
    <t>S01b0217h23,S04c0821h02,S04c0821h20,S08aH01,S01b0217h02,S04c0821h24,S01b0217h05,S06aH01,S03aH06,S01b0217h19,S01b0217h21,S01b0217h22,S04c0821h01,S05aH01,S07aH06,S04c0821h22,S01aH01,S01b0217h04,S04aH01,S04aH06,S04c0821h19,S01b0217h01,S02aH01,S05aH06,S01b0217h03,S04c0821h03,S04c0821h06,S01aH06,S04c0821h04,S04c0821h23,S07aH01,S08aH06,S03aH01,S04c0821h21,S01b0217h06,S06aH06,S01b0217h20,S02aH06,S01b0217h24,S04c0821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</si>
  <si>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</si>
  <si>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</si>
  <si>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</si>
  <si>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</si>
  <si>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</si>
  <si>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</si>
  <si>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</si>
  <si>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</si>
  <si>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</si>
  <si>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</si>
  <si>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</si>
  <si>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</si>
  <si>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</si>
  <si>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</si>
  <si>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</si>
  <si>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</si>
  <si>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</si>
  <si>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</si>
  <si>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</si>
  <si>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</si>
  <si>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</si>
  <si>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RaP,SaD,FaD,WaD,RaD,WaP,FaP,SaP</t>
  </si>
  <si>
    <t>WaP,SaN,WaN,FaP,SaP,RaP,FaN,RaN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</si>
</sst>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"/>
    <numFmt numFmtId="166" formatCode="0.00000"/>
    <numFmt numFmtId="167" formatCode="0.00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3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1" fillId="0" borderId="0" xfId="0" applyFont="1"/>
    <xf numFmtId="0" fontId="12" fillId="6" borderId="6" xfId="0" applyFont="1" applyFill="1" applyBorder="1"/>
    <xf numFmtId="0" fontId="9" fillId="7" borderId="5" xfId="0" applyFont="1" applyFill="1" applyBorder="1"/>
    <xf numFmtId="165" fontId="9" fillId="7" borderId="5" xfId="0" applyNumberFormat="1" applyFont="1" applyFill="1" applyBorder="1"/>
    <xf numFmtId="164" fontId="9" fillId="7" borderId="5" xfId="0" applyNumberFormat="1" applyFont="1" applyFill="1" applyBorder="1"/>
    <xf numFmtId="2" fontId="9" fillId="7" borderId="5" xfId="0" applyNumberFormat="1" applyFont="1" applyFill="1" applyBorder="1"/>
    <xf numFmtId="167" fontId="9" fillId="7" borderId="5" xfId="0" applyNumberFormat="1" applyFont="1" applyFill="1" applyBorder="1"/>
    <xf numFmtId="166" fontId="9" fillId="7" borderId="5" xfId="0" applyNumberFormat="1" applyFont="1" applyFill="1" applyBorder="1"/>
    <xf numFmtId="0" fontId="9" fillId="0" borderId="5" xfId="0" applyFont="1" applyBorder="1"/>
    <xf numFmtId="165" fontId="9" fillId="0" borderId="5" xfId="0" applyNumberFormat="1" applyFont="1" applyBorder="1"/>
    <xf numFmtId="164" fontId="9" fillId="0" borderId="5" xfId="0" applyNumberFormat="1" applyFont="1" applyBorder="1"/>
    <xf numFmtId="2" fontId="9" fillId="0" borderId="5" xfId="0" applyNumberFormat="1" applyFont="1" applyBorder="1"/>
    <xf numFmtId="167" fontId="9" fillId="0" borderId="5" xfId="0" applyNumberFormat="1" applyFont="1" applyBorder="1"/>
    <xf numFmtId="166" fontId="9" fillId="0" borderId="5" xfId="0" applyNumberFormat="1" applyFont="1" applyBorder="1"/>
    <xf numFmtId="0" fontId="8" fillId="4" borderId="4" xfId="7"/>
    <xf numFmtId="0" fontId="4" fillId="0" borderId="2" xfId="8"/>
    <xf numFmtId="0" fontId="5" fillId="0" borderId="3" xfId="9"/>
    <xf numFmtId="0" fontId="0" fillId="8" borderId="0" xfId="0" applyFill="1"/>
    <xf numFmtId="0" fontId="13" fillId="0" borderId="0" xfId="0" applyFont="1"/>
    <xf numFmtId="0" fontId="0" fillId="0" borderId="0" xfId="0" quotePrefix="1"/>
    <xf numFmtId="0" fontId="0" fillId="9" borderId="0" xfId="0" applyFill="1"/>
    <xf numFmtId="0" fontId="10" fillId="5" borderId="5" xfId="0" applyFont="1" applyFill="1" applyBorder="1" applyAlignment="1">
      <alignment horizontal="left" vertical="center"/>
    </xf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270.82</c:v>
                </c:pt>
                <c:pt idx="1">
                  <c:v>268.11180000000002</c:v>
                </c:pt>
                <c:pt idx="2">
                  <c:v>270.82</c:v>
                </c:pt>
                <c:pt idx="3">
                  <c:v>273.52819999999997</c:v>
                </c:pt>
                <c:pt idx="4">
                  <c:v>306.02659999999997</c:v>
                </c:pt>
                <c:pt idx="5">
                  <c:v>324.98399999999998</c:v>
                </c:pt>
                <c:pt idx="6">
                  <c:v>360.19060000000002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31" t="s">
        <v>109</v>
      </c>
    </row>
    <row r="2" spans="1:39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30" t="s">
        <v>117</v>
      </c>
    </row>
    <row r="8" spans="1:39" ht="14.65" thickBot="1" x14ac:dyDescent="0.5">
      <c r="A8" s="4" t="s">
        <v>122</v>
      </c>
      <c r="B8" s="4" t="s">
        <v>118</v>
      </c>
      <c r="C8" s="4" t="s">
        <v>119</v>
      </c>
      <c r="D8" s="4" t="s">
        <v>120</v>
      </c>
      <c r="E8" s="4" t="s">
        <v>121</v>
      </c>
      <c r="AM8" s="2" t="s">
        <v>131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32" t="s">
        <v>0</v>
      </c>
      <c r="G9" t="s">
        <v>1</v>
      </c>
      <c r="AG9">
        <v>1</v>
      </c>
      <c r="AH9" t="s">
        <v>107</v>
      </c>
      <c r="AI9" t="s">
        <v>129</v>
      </c>
      <c r="AJ9" s="10">
        <v>1</v>
      </c>
      <c r="AK9" t="s">
        <v>0</v>
      </c>
      <c r="AL9" t="s">
        <v>110</v>
      </c>
      <c r="AM9" s="26">
        <v>5</v>
      </c>
    </row>
    <row r="10" spans="1:39" x14ac:dyDescent="0.45">
      <c r="A10">
        <v>5</v>
      </c>
      <c r="B10" t="str">
        <f t="shared" ref="B10:B68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32" t="s">
        <v>2</v>
      </c>
      <c r="G10" t="s">
        <v>3</v>
      </c>
      <c r="S10" t="s">
        <v>4</v>
      </c>
      <c r="AG10">
        <v>2</v>
      </c>
      <c r="AH10" t="s">
        <v>125</v>
      </c>
      <c r="AI10" t="s">
        <v>128</v>
      </c>
      <c r="AJ10" s="10">
        <v>1</v>
      </c>
      <c r="AK10" t="s">
        <v>2</v>
      </c>
      <c r="AL10" t="s">
        <v>112</v>
      </c>
      <c r="AM10" s="26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68" si="2">C10+1</f>
        <v>3</v>
      </c>
      <c r="D11" t="str">
        <f t="shared" si="1"/>
        <v>ts_annual</v>
      </c>
      <c r="E11" s="32" t="s">
        <v>5</v>
      </c>
      <c r="G11" t="s">
        <v>6</v>
      </c>
      <c r="S11" s="1">
        <v>2022</v>
      </c>
      <c r="AG11">
        <v>3</v>
      </c>
      <c r="AH11" t="s">
        <v>123</v>
      </c>
      <c r="AI11" t="s">
        <v>127</v>
      </c>
      <c r="AJ11" s="10">
        <v>1</v>
      </c>
      <c r="AK11" t="s">
        <v>5</v>
      </c>
      <c r="AL11" t="s">
        <v>113</v>
      </c>
      <c r="AM11" s="26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32" t="s">
        <v>7</v>
      </c>
      <c r="G12" t="s">
        <v>8</v>
      </c>
      <c r="S12" s="3">
        <f>SUMIFS(iea_data!I3:I9999,iea_data!$B$3:$B$9999,Veda!$S$11)+T28-T29</f>
        <v>270.82</v>
      </c>
      <c r="T12" s="2" t="s">
        <v>57</v>
      </c>
      <c r="AG12">
        <v>4</v>
      </c>
      <c r="AH12" t="s">
        <v>133</v>
      </c>
      <c r="AI12" t="s">
        <v>134</v>
      </c>
      <c r="AJ12" s="10">
        <v>1</v>
      </c>
      <c r="AK12" t="s">
        <v>7</v>
      </c>
      <c r="AL12" t="s">
        <v>114</v>
      </c>
      <c r="AM12" s="26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32" t="s">
        <v>9</v>
      </c>
      <c r="G13" t="s">
        <v>10</v>
      </c>
      <c r="AG13">
        <v>5</v>
      </c>
      <c r="AH13" t="s">
        <v>124</v>
      </c>
      <c r="AI13" t="s">
        <v>126</v>
      </c>
      <c r="AJ13" s="10">
        <v>1</v>
      </c>
      <c r="AK13" t="s">
        <v>9</v>
      </c>
      <c r="AL13" t="s">
        <v>115</v>
      </c>
      <c r="AM13" s="26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270.82</v>
      </c>
      <c r="U14" s="8">
        <f t="shared" ref="U14:Z14" si="3">$S$12*J15</f>
        <v>268.11180000000002</v>
      </c>
      <c r="V14" s="8">
        <f t="shared" si="3"/>
        <v>270.82</v>
      </c>
      <c r="W14" s="8">
        <f t="shared" si="3"/>
        <v>273.52819999999997</v>
      </c>
      <c r="X14" s="8">
        <f t="shared" si="3"/>
        <v>306.02659999999997</v>
      </c>
      <c r="Y14" s="8">
        <f t="shared" si="3"/>
        <v>324.98399999999998</v>
      </c>
      <c r="Z14" s="8">
        <f t="shared" si="3"/>
        <v>360.19060000000002</v>
      </c>
      <c r="AG14">
        <v>6</v>
      </c>
      <c r="AH14" t="s">
        <v>135</v>
      </c>
      <c r="AI14" t="s">
        <v>136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6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137</v>
      </c>
      <c r="AI15" t="s">
        <v>138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139</v>
      </c>
      <c r="AI16" t="s">
        <v>140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141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2.7352819999999998</v>
      </c>
      <c r="X18" s="6">
        <f t="shared" si="7"/>
        <v>3.0602659999999999</v>
      </c>
      <c r="Y18" s="6">
        <f t="shared" si="7"/>
        <v>6.4996799999999997</v>
      </c>
      <c r="Z18" s="6">
        <f t="shared" si="7"/>
        <v>10.805718000000001</v>
      </c>
      <c r="AA18" t="s">
        <v>17</v>
      </c>
      <c r="AC18" s="2"/>
      <c r="AG18">
        <v>10</v>
      </c>
      <c r="AH18" t="s">
        <v>142</v>
      </c>
      <c r="AI18" t="s">
        <v>143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92.078800000000001</v>
      </c>
      <c r="U19" s="6">
        <f t="shared" si="7"/>
        <v>80.433540000000008</v>
      </c>
      <c r="V19" s="6">
        <f t="shared" si="7"/>
        <v>78.53779999999999</v>
      </c>
      <c r="W19" s="6">
        <f t="shared" si="7"/>
        <v>73.852614000000003</v>
      </c>
      <c r="X19" s="6">
        <f t="shared" si="7"/>
        <v>85.687448000000003</v>
      </c>
      <c r="Y19" s="6">
        <f t="shared" si="7"/>
        <v>94.245359999999991</v>
      </c>
      <c r="Z19" s="6">
        <f t="shared" si="7"/>
        <v>104.455274</v>
      </c>
      <c r="AA19" t="s">
        <v>17</v>
      </c>
      <c r="AG19">
        <v>11</v>
      </c>
      <c r="AH19" t="s">
        <v>105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173.32480000000001</v>
      </c>
      <c r="U20" s="6">
        <f t="shared" si="7"/>
        <v>179.63490600000003</v>
      </c>
      <c r="V20" s="6">
        <f t="shared" si="7"/>
        <v>181.4494</v>
      </c>
      <c r="W20" s="6">
        <f t="shared" si="7"/>
        <v>177.79333</v>
      </c>
      <c r="X20" s="6">
        <f t="shared" si="7"/>
        <v>189.73649199999997</v>
      </c>
      <c r="Y20" s="6">
        <f t="shared" si="7"/>
        <v>191.74055999999999</v>
      </c>
      <c r="Z20" s="6">
        <f t="shared" si="7"/>
        <v>208.91054800000001</v>
      </c>
      <c r="AA20" t="s">
        <v>17</v>
      </c>
      <c r="AG20">
        <v>12</v>
      </c>
      <c r="AH20" t="s">
        <v>106</v>
      </c>
      <c r="AI20" t="s">
        <v>116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5.4164000000000003</v>
      </c>
      <c r="U21" s="6">
        <f t="shared" ref="U21:Z21" si="8">T21</f>
        <v>5.4164000000000003</v>
      </c>
      <c r="V21" s="6">
        <f t="shared" si="8"/>
        <v>5.4164000000000003</v>
      </c>
      <c r="W21" s="6">
        <f t="shared" si="8"/>
        <v>5.4164000000000003</v>
      </c>
      <c r="X21" s="6">
        <f t="shared" si="8"/>
        <v>5.4164000000000003</v>
      </c>
      <c r="Y21" s="6">
        <f t="shared" si="8"/>
        <v>5.4164000000000003</v>
      </c>
      <c r="Z21" s="6">
        <f t="shared" si="8"/>
        <v>5.4164000000000003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2.6269539999999552</v>
      </c>
      <c r="V22" s="6">
        <f t="shared" si="9"/>
        <v>5.4164000000000101</v>
      </c>
      <c r="W22" s="6">
        <f t="shared" si="9"/>
        <v>16.465855999999974</v>
      </c>
      <c r="X22" s="6">
        <f t="shared" si="9"/>
        <v>25.186260000000004</v>
      </c>
      <c r="Y22" s="6">
        <f t="shared" si="9"/>
        <v>33.581680000000006</v>
      </c>
      <c r="Z22" s="6">
        <f t="shared" si="9"/>
        <v>41.408378000000027</v>
      </c>
      <c r="AA22" t="s">
        <v>17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OS.i30</v>
      </c>
      <c r="C24">
        <f t="shared" si="2"/>
        <v>16</v>
      </c>
      <c r="D24" t="str">
        <f t="shared" si="1"/>
        <v>ts_030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OS.i30</v>
      </c>
      <c r="C25">
        <f t="shared" si="2"/>
        <v>17</v>
      </c>
      <c r="D25" t="str">
        <f t="shared" si="1"/>
        <v>ts_030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(67%).i30</v>
      </c>
      <c r="C26">
        <f t="shared" si="2"/>
        <v>18</v>
      </c>
      <c r="D26" t="str">
        <f t="shared" si="1"/>
        <v>ts_030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(50%).i30</v>
      </c>
      <c r="C27">
        <f t="shared" si="2"/>
        <v>19</v>
      </c>
      <c r="D27" t="str">
        <f t="shared" si="1"/>
        <v>ts_030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deg.i30</v>
      </c>
      <c r="C28">
        <f t="shared" si="2"/>
        <v>20</v>
      </c>
      <c r="D28" t="str">
        <f t="shared" si="1"/>
        <v>ts_030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OS.h48P10</v>
      </c>
      <c r="C34">
        <f t="shared" si="2"/>
        <v>26</v>
      </c>
      <c r="D34" t="str">
        <f t="shared" si="1"/>
        <v>ts_048P10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OS.h48P10</v>
      </c>
      <c r="C35">
        <f t="shared" si="2"/>
        <v>27</v>
      </c>
      <c r="D35" t="str">
        <f t="shared" si="1"/>
        <v>ts_048P10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(67%).h48P10</v>
      </c>
      <c r="C36">
        <f t="shared" si="2"/>
        <v>28</v>
      </c>
      <c r="D36" t="str">
        <f t="shared" si="1"/>
        <v>ts_048P10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(50%).h48P10</v>
      </c>
      <c r="C37">
        <f t="shared" si="2"/>
        <v>29</v>
      </c>
      <c r="D37" t="str">
        <f t="shared" si="1"/>
        <v>ts_048P10</v>
      </c>
      <c r="E37" t="str">
        <f t="shared" si="4"/>
        <v>C4</v>
      </c>
      <c r="G37" t="s">
        <v>78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deg.h48P10</v>
      </c>
      <c r="C38">
        <f t="shared" si="2"/>
        <v>30</v>
      </c>
      <c r="D38" t="str">
        <f t="shared" si="1"/>
        <v>ts_048P10</v>
      </c>
      <c r="E38" t="str">
        <f t="shared" si="4"/>
        <v>C7</v>
      </c>
      <c r="G38" t="s">
        <v>79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OS.h48P90</v>
      </c>
      <c r="C39">
        <f t="shared" si="2"/>
        <v>31</v>
      </c>
      <c r="D39" t="str">
        <f t="shared" si="1"/>
        <v>ts_048P90</v>
      </c>
      <c r="E39" t="str">
        <f t="shared" si="4"/>
        <v>C1</v>
      </c>
      <c r="G39" t="s">
        <v>80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OS.h48P90</v>
      </c>
      <c r="C40">
        <f t="shared" si="2"/>
        <v>32</v>
      </c>
      <c r="D40" t="str">
        <f t="shared" si="1"/>
        <v>ts_048P90</v>
      </c>
      <c r="E40" t="str">
        <f t="shared" si="4"/>
        <v>C2</v>
      </c>
      <c r="G40" t="s">
        <v>81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(67%).h48P90</v>
      </c>
      <c r="C41">
        <f t="shared" si="2"/>
        <v>33</v>
      </c>
      <c r="D41" t="str">
        <f t="shared" si="1"/>
        <v>ts_048P90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(50%).h48P90</v>
      </c>
      <c r="C42">
        <f t="shared" si="2"/>
        <v>34</v>
      </c>
      <c r="D42" t="str">
        <f t="shared" si="1"/>
        <v>ts_048P90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deg.h48P90</v>
      </c>
      <c r="C43">
        <f t="shared" si="2"/>
        <v>35</v>
      </c>
      <c r="D43" t="str">
        <f t="shared" si="1"/>
        <v>ts_048P90</v>
      </c>
      <c r="E43" t="str">
        <f t="shared" si="4"/>
        <v>C7</v>
      </c>
      <c r="G43" t="s">
        <v>130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OS.g1d72</v>
      </c>
      <c r="C44">
        <f t="shared" si="2"/>
        <v>36</v>
      </c>
      <c r="D44" t="str">
        <f t="shared" si="1"/>
        <v>s1_d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86</v>
      </c>
      <c r="S44" t="s">
        <v>87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OS.g1d72</v>
      </c>
      <c r="C45">
        <f t="shared" si="2"/>
        <v>37</v>
      </c>
      <c r="D45" t="str">
        <f t="shared" si="1"/>
        <v>s1_d</v>
      </c>
      <c r="E45" t="str">
        <f t="shared" si="4"/>
        <v>C2</v>
      </c>
      <c r="G45" t="s">
        <v>82</v>
      </c>
      <c r="H45" t="str">
        <f>G45</f>
        <v>Gas</v>
      </c>
      <c r="I45">
        <f t="shared" ref="I45:O48" si="12">AVERAGE($R45:$S45)*I37</f>
        <v>20.55</v>
      </c>
      <c r="J45">
        <f t="shared" si="12"/>
        <v>21.166500000000003</v>
      </c>
      <c r="K45">
        <f t="shared" si="12"/>
        <v>23.221499999999999</v>
      </c>
      <c r="L45">
        <f t="shared" si="12"/>
        <v>23.837999999999997</v>
      </c>
      <c r="M45">
        <f t="shared" si="12"/>
        <v>24.454499999999999</v>
      </c>
      <c r="N45">
        <f t="shared" si="12"/>
        <v>26.098500000000001</v>
      </c>
      <c r="O45">
        <f t="shared" si="12"/>
        <v>26.920500000000001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(67%).g1d72</v>
      </c>
      <c r="C46">
        <f t="shared" si="2"/>
        <v>38</v>
      </c>
      <c r="D46" t="str">
        <f t="shared" si="1"/>
        <v>s1_d</v>
      </c>
      <c r="E46" t="str">
        <f t="shared" si="4"/>
        <v>C3</v>
      </c>
      <c r="G46" t="s">
        <v>83</v>
      </c>
      <c r="H46" t="str">
        <f t="shared" ref="H46:H48" si="13">G46</f>
        <v>Coal</v>
      </c>
      <c r="I46">
        <f t="shared" si="12"/>
        <v>10.649999999999999</v>
      </c>
      <c r="J46">
        <f t="shared" si="12"/>
        <v>10.969499999999998</v>
      </c>
      <c r="K46">
        <f t="shared" si="12"/>
        <v>11.608499999999999</v>
      </c>
      <c r="L46">
        <f t="shared" si="12"/>
        <v>12.566999999999998</v>
      </c>
      <c r="M46">
        <f t="shared" si="12"/>
        <v>13.525499999999999</v>
      </c>
      <c r="N46">
        <f t="shared" si="12"/>
        <v>14.3775</v>
      </c>
      <c r="O46">
        <f t="shared" si="12"/>
        <v>15.016499999999997</v>
      </c>
      <c r="R46">
        <f>HLOOKUP($G46&amp;"_"&amp;R$44,fuel_prices!$B$10:$I$11,2,FALSE)</f>
        <v>9.1</v>
      </c>
      <c r="S46">
        <f>HLOOKUP($G46&amp;"_"&amp;S$44,fuel_prices!$B$10:$I$11,2,FALSE)</f>
        <v>12.2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(50%).g1d72</v>
      </c>
      <c r="C47">
        <f t="shared" si="2"/>
        <v>39</v>
      </c>
      <c r="D47" t="str">
        <f t="shared" si="1"/>
        <v>s1_d</v>
      </c>
      <c r="E47" t="str">
        <f t="shared" si="4"/>
        <v>C4</v>
      </c>
      <c r="G47" t="s">
        <v>84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deg.g1d72</v>
      </c>
      <c r="C48">
        <f t="shared" si="2"/>
        <v>40</v>
      </c>
      <c r="D48" t="str">
        <f t="shared" si="1"/>
        <v>s1_d</v>
      </c>
      <c r="E48" t="str">
        <f t="shared" si="4"/>
        <v>C7</v>
      </c>
      <c r="G48" t="s">
        <v>85</v>
      </c>
      <c r="H48" t="str">
        <f t="shared" si="13"/>
        <v>Bioenergy</v>
      </c>
      <c r="I48">
        <f t="shared" si="12"/>
        <v>24</v>
      </c>
      <c r="O48">
        <f>VLOOKUP($E$5,$AK$9:$AM$15,3,FALSE)*I48</f>
        <v>72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OS.f2d96</v>
      </c>
      <c r="C49">
        <f t="shared" si="2"/>
        <v>41</v>
      </c>
      <c r="D49" t="str">
        <f t="shared" si="1"/>
        <v>s1v1_d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OS.f2d96</v>
      </c>
      <c r="C50">
        <f t="shared" si="2"/>
        <v>42</v>
      </c>
      <c r="D50" t="str">
        <f t="shared" si="1"/>
        <v>s1v1_d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(67%).f2d96</v>
      </c>
      <c r="C51">
        <f t="shared" si="2"/>
        <v>43</v>
      </c>
      <c r="D51" t="str">
        <f t="shared" si="1"/>
        <v>s1v1_d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(50%).f2d96</v>
      </c>
      <c r="C52">
        <f t="shared" si="2"/>
        <v>44</v>
      </c>
      <c r="D52" t="str">
        <f t="shared" si="1"/>
        <v>s1v1_d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deg.f2d96</v>
      </c>
      <c r="C53">
        <f t="shared" si="2"/>
        <v>45</v>
      </c>
      <c r="D53" t="str">
        <f t="shared" si="1"/>
        <v>s1v1_d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OS.e96</v>
      </c>
      <c r="C54">
        <f t="shared" si="2"/>
        <v>46</v>
      </c>
      <c r="D54" t="str">
        <f t="shared" si="1"/>
        <v>ts_096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OS.e96</v>
      </c>
      <c r="C55">
        <f t="shared" si="2"/>
        <v>47</v>
      </c>
      <c r="D55" t="str">
        <f t="shared" si="1"/>
        <v>ts_096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(67%).e96</v>
      </c>
      <c r="C56">
        <f t="shared" si="2"/>
        <v>48</v>
      </c>
      <c r="D56" t="str">
        <f t="shared" si="1"/>
        <v>ts_096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(50%).e96</v>
      </c>
      <c r="C57">
        <f t="shared" si="2"/>
        <v>49</v>
      </c>
      <c r="D57" t="str">
        <f t="shared" si="1"/>
        <v>ts_096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deg.e96</v>
      </c>
      <c r="C58">
        <f t="shared" si="2"/>
        <v>50</v>
      </c>
      <c r="D58" t="str">
        <f t="shared" si="1"/>
        <v>ts_096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s1p1v1_d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s1p1v1_d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s1p1v1_d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s1p1v1_d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s1p1v1_d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6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J69" s="10">
        <f t="shared" si="5"/>
        <v>13</v>
      </c>
    </row>
    <row r="70" spans="1:36" x14ac:dyDescent="0.45">
      <c r="AJ70" s="10">
        <f t="shared" si="5"/>
        <v>13</v>
      </c>
    </row>
    <row r="71" spans="1:36" x14ac:dyDescent="0.45">
      <c r="AJ71" s="10">
        <f t="shared" si="5"/>
        <v>13</v>
      </c>
    </row>
    <row r="72" spans="1:36" x14ac:dyDescent="0.45">
      <c r="AJ72" s="10">
        <f t="shared" si="5"/>
        <v>13</v>
      </c>
    </row>
    <row r="73" spans="1:36" x14ac:dyDescent="0.45">
      <c r="AJ73" s="10">
        <f t="shared" si="5"/>
        <v>13</v>
      </c>
    </row>
    <row r="74" spans="1:36" x14ac:dyDescent="0.45">
      <c r="AJ74" s="10">
        <f t="shared" si="5"/>
        <v>14</v>
      </c>
    </row>
    <row r="75" spans="1:36" x14ac:dyDescent="0.45">
      <c r="AJ75" s="10">
        <f t="shared" si="5"/>
        <v>14</v>
      </c>
    </row>
    <row r="76" spans="1:36" x14ac:dyDescent="0.45">
      <c r="AJ76" s="10">
        <f t="shared" si="5"/>
        <v>14</v>
      </c>
    </row>
    <row r="77" spans="1:36" x14ac:dyDescent="0.45">
      <c r="AJ77" s="10">
        <f t="shared" si="5"/>
        <v>14</v>
      </c>
    </row>
    <row r="78" spans="1:36" x14ac:dyDescent="0.45"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>
      <c r="A1" s="33" t="s">
        <v>59</v>
      </c>
      <c r="B1" s="33"/>
      <c r="C1" s="33"/>
      <c r="D1" s="33"/>
      <c r="E1" s="33"/>
      <c r="F1" s="33"/>
      <c r="G1" s="33"/>
      <c r="H1" s="33"/>
    </row>
    <row r="9" spans="1:10" ht="14.65" thickBot="1" x14ac:dyDescent="0.5">
      <c r="A9" s="12" t="s">
        <v>61</v>
      </c>
    </row>
    <row r="10" spans="1:10" ht="15.75" thickBot="1" x14ac:dyDescent="0.6">
      <c r="A10" s="13" t="s">
        <v>36</v>
      </c>
      <c r="B10" s="13" t="s">
        <v>62</v>
      </c>
      <c r="C10" s="13" t="s">
        <v>63</v>
      </c>
      <c r="D10" s="13" t="s">
        <v>64</v>
      </c>
      <c r="E10" s="13" t="s">
        <v>65</v>
      </c>
      <c r="F10" s="13" t="s">
        <v>66</v>
      </c>
      <c r="G10" s="13" t="s">
        <v>67</v>
      </c>
      <c r="H10" s="13" t="s">
        <v>68</v>
      </c>
      <c r="I10" s="13" t="s">
        <v>69</v>
      </c>
      <c r="J10" s="13" t="s">
        <v>70</v>
      </c>
    </row>
    <row r="11" spans="1:10" x14ac:dyDescent="0.45">
      <c r="A11" s="14" t="s">
        <v>75</v>
      </c>
      <c r="B11" s="16">
        <v>17.100000000000001</v>
      </c>
      <c r="C11" s="16">
        <v>24</v>
      </c>
      <c r="D11" s="17">
        <v>9.1</v>
      </c>
      <c r="E11" s="16">
        <v>12.2</v>
      </c>
      <c r="F11" s="16">
        <v>48</v>
      </c>
      <c r="G11" s="16">
        <v>58</v>
      </c>
      <c r="H11" s="16">
        <v>20</v>
      </c>
      <c r="I11" s="16">
        <v>28</v>
      </c>
      <c r="J11" s="14" t="s">
        <v>77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>
      <c r="A1" s="33" t="s">
        <v>59</v>
      </c>
      <c r="B1" s="33"/>
      <c r="C1" s="33"/>
      <c r="D1" s="33"/>
      <c r="E1" s="33"/>
      <c r="F1" s="33"/>
      <c r="G1" s="33"/>
      <c r="H1" s="33"/>
    </row>
    <row r="9" spans="1:9" ht="14.65" thickBot="1" x14ac:dyDescent="0.5">
      <c r="A9" s="12" t="s">
        <v>58</v>
      </c>
    </row>
    <row r="10" spans="1:9" ht="15.75" thickBot="1" x14ac:dyDescent="0.6">
      <c r="A10" s="13" t="s">
        <v>36</v>
      </c>
      <c r="B10" s="13" t="s">
        <v>37</v>
      </c>
      <c r="C10" s="13" t="s">
        <v>38</v>
      </c>
      <c r="D10" s="13" t="s">
        <v>39</v>
      </c>
      <c r="E10" s="13" t="s">
        <v>40</v>
      </c>
      <c r="F10" s="13" t="s">
        <v>41</v>
      </c>
      <c r="G10" s="13" t="s">
        <v>42</v>
      </c>
      <c r="H10" s="13" t="s">
        <v>43</v>
      </c>
      <c r="I10" s="13" t="s">
        <v>44</v>
      </c>
    </row>
    <row r="11" spans="1:9" x14ac:dyDescent="0.45">
      <c r="A11" s="14" t="s">
        <v>75</v>
      </c>
      <c r="B11" s="15">
        <v>2000</v>
      </c>
      <c r="C11" s="16">
        <v>113.87</v>
      </c>
      <c r="D11" s="16">
        <v>93.39</v>
      </c>
      <c r="E11" s="17">
        <v>1.95</v>
      </c>
      <c r="F11" s="18">
        <v>0</v>
      </c>
      <c r="G11" s="19">
        <v>0</v>
      </c>
      <c r="H11" s="19">
        <v>0</v>
      </c>
      <c r="I11" s="16">
        <v>209.86</v>
      </c>
    </row>
    <row r="12" spans="1:9" x14ac:dyDescent="0.45">
      <c r="A12" s="20" t="s">
        <v>75</v>
      </c>
      <c r="B12" s="21">
        <v>2001</v>
      </c>
      <c r="C12" s="22">
        <v>128</v>
      </c>
      <c r="D12" s="22">
        <v>93.56</v>
      </c>
      <c r="E12" s="23">
        <v>2.0299999999999998</v>
      </c>
      <c r="F12" s="24">
        <v>0</v>
      </c>
      <c r="G12" s="25">
        <v>0</v>
      </c>
      <c r="H12" s="25">
        <v>0</v>
      </c>
      <c r="I12" s="22">
        <v>224.26</v>
      </c>
    </row>
    <row r="13" spans="1:9" x14ac:dyDescent="0.45">
      <c r="A13" s="14" t="s">
        <v>75</v>
      </c>
      <c r="B13" s="15">
        <v>2002</v>
      </c>
      <c r="C13" s="16">
        <v>123.86</v>
      </c>
      <c r="D13" s="16">
        <v>101.24</v>
      </c>
      <c r="E13" s="17">
        <v>2.02</v>
      </c>
      <c r="F13" s="18">
        <v>0</v>
      </c>
      <c r="G13" s="19">
        <v>0</v>
      </c>
      <c r="H13" s="19">
        <v>0</v>
      </c>
      <c r="I13" s="16">
        <v>227.38</v>
      </c>
    </row>
    <row r="14" spans="1:9" x14ac:dyDescent="0.45">
      <c r="A14" s="20" t="s">
        <v>75</v>
      </c>
      <c r="B14" s="21">
        <v>2003</v>
      </c>
      <c r="C14" s="22">
        <v>107.49</v>
      </c>
      <c r="D14" s="22">
        <v>109.42</v>
      </c>
      <c r="E14" s="23">
        <v>2.25</v>
      </c>
      <c r="F14" s="24">
        <v>0</v>
      </c>
      <c r="G14" s="25">
        <v>0</v>
      </c>
      <c r="H14" s="25">
        <v>0</v>
      </c>
      <c r="I14" s="22">
        <v>220.59</v>
      </c>
    </row>
    <row r="15" spans="1:9" x14ac:dyDescent="0.45">
      <c r="A15" s="14" t="s">
        <v>75</v>
      </c>
      <c r="B15" s="15">
        <v>2004</v>
      </c>
      <c r="C15" s="16">
        <v>111.72</v>
      </c>
      <c r="D15" s="16">
        <v>112.72</v>
      </c>
      <c r="E15" s="17">
        <v>2.37</v>
      </c>
      <c r="F15" s="18">
        <v>0</v>
      </c>
      <c r="G15" s="19">
        <v>0</v>
      </c>
      <c r="H15" s="19">
        <v>0</v>
      </c>
      <c r="I15" s="16">
        <v>228.21</v>
      </c>
    </row>
    <row r="16" spans="1:9" x14ac:dyDescent="0.45">
      <c r="A16" s="20" t="s">
        <v>75</v>
      </c>
      <c r="B16" s="21">
        <v>2005</v>
      </c>
      <c r="C16" s="22">
        <v>112.64</v>
      </c>
      <c r="D16" s="22">
        <v>111.71</v>
      </c>
      <c r="E16" s="23">
        <v>2.2999999999999998</v>
      </c>
      <c r="F16" s="24">
        <v>0</v>
      </c>
      <c r="G16" s="25">
        <v>0</v>
      </c>
      <c r="H16" s="25">
        <v>0</v>
      </c>
      <c r="I16" s="22">
        <v>228.35</v>
      </c>
    </row>
    <row r="17" spans="1:9" x14ac:dyDescent="0.45">
      <c r="A17" s="14" t="s">
        <v>75</v>
      </c>
      <c r="B17" s="15">
        <v>2006</v>
      </c>
      <c r="C17" s="16">
        <v>115.3</v>
      </c>
      <c r="D17" s="16">
        <v>113.28</v>
      </c>
      <c r="E17" s="17">
        <v>2.37</v>
      </c>
      <c r="F17" s="18">
        <v>0</v>
      </c>
      <c r="G17" s="19">
        <v>0</v>
      </c>
      <c r="H17" s="19">
        <v>0</v>
      </c>
      <c r="I17" s="16">
        <v>232.73</v>
      </c>
    </row>
    <row r="18" spans="1:9" x14ac:dyDescent="0.45">
      <c r="A18" s="20" t="s">
        <v>75</v>
      </c>
      <c r="B18" s="21">
        <v>2007</v>
      </c>
      <c r="C18" s="22">
        <v>119.46</v>
      </c>
      <c r="D18" s="22">
        <v>118.79</v>
      </c>
      <c r="E18" s="23">
        <v>2.4700000000000002</v>
      </c>
      <c r="F18" s="24">
        <v>0</v>
      </c>
      <c r="G18" s="25">
        <v>0</v>
      </c>
      <c r="H18" s="25">
        <v>0</v>
      </c>
      <c r="I18" s="22">
        <v>242.98</v>
      </c>
    </row>
    <row r="19" spans="1:9" x14ac:dyDescent="0.45">
      <c r="A19" s="14" t="s">
        <v>75</v>
      </c>
      <c r="B19" s="15">
        <v>2008</v>
      </c>
      <c r="C19" s="16">
        <v>118.09</v>
      </c>
      <c r="D19" s="16">
        <v>120.12</v>
      </c>
      <c r="E19" s="17">
        <v>2.56</v>
      </c>
      <c r="F19" s="18">
        <v>0</v>
      </c>
      <c r="G19" s="19">
        <v>0</v>
      </c>
      <c r="H19" s="19">
        <v>0</v>
      </c>
      <c r="I19" s="16">
        <v>243.07</v>
      </c>
    </row>
    <row r="20" spans="1:9" x14ac:dyDescent="0.45">
      <c r="A20" s="20" t="s">
        <v>75</v>
      </c>
      <c r="B20" s="21">
        <v>2009</v>
      </c>
      <c r="C20" s="22">
        <v>119.83</v>
      </c>
      <c r="D20" s="22">
        <v>123.53</v>
      </c>
      <c r="E20" s="23">
        <v>2.65</v>
      </c>
      <c r="F20" s="24">
        <v>0</v>
      </c>
      <c r="G20" s="25">
        <v>0</v>
      </c>
      <c r="H20" s="25">
        <v>0</v>
      </c>
      <c r="I20" s="22">
        <v>248.1</v>
      </c>
    </row>
    <row r="21" spans="1:9" x14ac:dyDescent="0.45">
      <c r="A21" s="14" t="s">
        <v>75</v>
      </c>
      <c r="B21" s="15">
        <v>2010</v>
      </c>
      <c r="C21" s="16">
        <v>124.32</v>
      </c>
      <c r="D21" s="16">
        <v>124.09</v>
      </c>
      <c r="E21" s="17">
        <v>2.09</v>
      </c>
      <c r="F21" s="18">
        <v>0</v>
      </c>
      <c r="G21" s="19">
        <v>0</v>
      </c>
      <c r="H21" s="19">
        <v>0</v>
      </c>
      <c r="I21" s="16">
        <v>252.61</v>
      </c>
    </row>
    <row r="22" spans="1:9" x14ac:dyDescent="0.45">
      <c r="A22" s="20" t="s">
        <v>75</v>
      </c>
      <c r="B22" s="21">
        <v>2011</v>
      </c>
      <c r="C22" s="22">
        <v>122.48</v>
      </c>
      <c r="D22" s="22">
        <v>126.22</v>
      </c>
      <c r="E22" s="23">
        <v>2.15</v>
      </c>
      <c r="F22" s="24">
        <v>0</v>
      </c>
      <c r="G22" s="25">
        <v>0</v>
      </c>
      <c r="H22" s="25">
        <v>0</v>
      </c>
      <c r="I22" s="22">
        <v>253.71</v>
      </c>
    </row>
    <row r="23" spans="1:9" x14ac:dyDescent="0.45">
      <c r="A23" s="14" t="s">
        <v>75</v>
      </c>
      <c r="B23" s="15">
        <v>2012</v>
      </c>
      <c r="C23" s="16">
        <v>120.39</v>
      </c>
      <c r="D23" s="16">
        <v>124.76</v>
      </c>
      <c r="E23" s="17">
        <v>2.2200000000000002</v>
      </c>
      <c r="F23" s="18">
        <v>0</v>
      </c>
      <c r="G23" s="19">
        <v>0</v>
      </c>
      <c r="H23" s="19">
        <v>0</v>
      </c>
      <c r="I23" s="16">
        <v>250.83</v>
      </c>
    </row>
    <row r="24" spans="1:9" x14ac:dyDescent="0.45">
      <c r="A24" s="20" t="s">
        <v>75</v>
      </c>
      <c r="B24" s="21">
        <v>2013</v>
      </c>
      <c r="C24" s="22">
        <v>118.37</v>
      </c>
      <c r="D24" s="22">
        <v>125.76</v>
      </c>
      <c r="E24" s="23">
        <v>2.4900000000000002</v>
      </c>
      <c r="F24" s="24">
        <v>0</v>
      </c>
      <c r="G24" s="25">
        <v>0</v>
      </c>
      <c r="H24" s="25">
        <v>0</v>
      </c>
      <c r="I24" s="22">
        <v>249.22</v>
      </c>
    </row>
    <row r="25" spans="1:9" x14ac:dyDescent="0.45">
      <c r="A25" s="14" t="s">
        <v>75</v>
      </c>
      <c r="B25" s="15">
        <v>2014</v>
      </c>
      <c r="C25" s="16">
        <v>118.42</v>
      </c>
      <c r="D25" s="16">
        <v>123.8</v>
      </c>
      <c r="E25" s="17">
        <v>2.5299999999999998</v>
      </c>
      <c r="F25" s="18">
        <v>0</v>
      </c>
      <c r="G25" s="19">
        <v>0</v>
      </c>
      <c r="H25" s="19">
        <v>0</v>
      </c>
      <c r="I25" s="16">
        <v>247.37</v>
      </c>
    </row>
    <row r="26" spans="1:9" x14ac:dyDescent="0.45">
      <c r="A26" s="20" t="s">
        <v>75</v>
      </c>
      <c r="B26" s="21">
        <v>2015</v>
      </c>
      <c r="C26" s="22">
        <v>113.57</v>
      </c>
      <c r="D26" s="22">
        <v>128.86000000000001</v>
      </c>
      <c r="E26" s="23">
        <v>3.18</v>
      </c>
      <c r="F26" s="24">
        <v>0.01</v>
      </c>
      <c r="G26" s="25">
        <v>0</v>
      </c>
      <c r="H26" s="25">
        <v>0</v>
      </c>
      <c r="I26" s="22">
        <v>251.29</v>
      </c>
    </row>
    <row r="27" spans="1:9" x14ac:dyDescent="0.45">
      <c r="A27" s="14" t="s">
        <v>75</v>
      </c>
      <c r="B27" s="15">
        <v>2016</v>
      </c>
      <c r="C27" s="16">
        <v>117.31</v>
      </c>
      <c r="D27" s="16">
        <v>129.29</v>
      </c>
      <c r="E27" s="17">
        <v>3.44</v>
      </c>
      <c r="F27" s="18">
        <v>0.01</v>
      </c>
      <c r="G27" s="19">
        <v>0</v>
      </c>
      <c r="H27" s="19">
        <v>0</v>
      </c>
      <c r="I27" s="16">
        <v>256.27</v>
      </c>
    </row>
    <row r="28" spans="1:9" x14ac:dyDescent="0.45">
      <c r="A28" s="20" t="s">
        <v>75</v>
      </c>
      <c r="B28" s="21">
        <v>2017</v>
      </c>
      <c r="C28" s="22">
        <v>117.29</v>
      </c>
      <c r="D28" s="22">
        <v>130.21</v>
      </c>
      <c r="E28" s="23">
        <v>3.25</v>
      </c>
      <c r="F28" s="24">
        <v>0.01</v>
      </c>
      <c r="G28" s="25">
        <v>0</v>
      </c>
      <c r="H28" s="25">
        <v>0</v>
      </c>
      <c r="I28" s="22">
        <v>257.77</v>
      </c>
    </row>
    <row r="29" spans="1:9" x14ac:dyDescent="0.45">
      <c r="A29" s="14" t="s">
        <v>75</v>
      </c>
      <c r="B29" s="15">
        <v>2018</v>
      </c>
      <c r="C29" s="16">
        <v>118.22</v>
      </c>
      <c r="D29" s="16">
        <v>131.25</v>
      </c>
      <c r="E29" s="17">
        <v>3.23</v>
      </c>
      <c r="F29" s="18">
        <v>0.02</v>
      </c>
      <c r="G29" s="19">
        <v>0</v>
      </c>
      <c r="H29" s="19">
        <v>0</v>
      </c>
      <c r="I29" s="16">
        <v>260.77999999999997</v>
      </c>
    </row>
    <row r="30" spans="1:9" x14ac:dyDescent="0.45">
      <c r="A30" s="20" t="s">
        <v>75</v>
      </c>
      <c r="B30" s="21">
        <v>2019</v>
      </c>
      <c r="C30" s="22">
        <v>118.39</v>
      </c>
      <c r="D30" s="22">
        <v>132.16999999999999</v>
      </c>
      <c r="E30" s="23">
        <v>3.24</v>
      </c>
      <c r="F30" s="24">
        <v>0.02</v>
      </c>
      <c r="G30" s="25">
        <v>0</v>
      </c>
      <c r="H30" s="25">
        <v>0</v>
      </c>
      <c r="I30" s="22">
        <v>263.66000000000003</v>
      </c>
    </row>
    <row r="31" spans="1:9" x14ac:dyDescent="0.45">
      <c r="A31" s="14" t="s">
        <v>75</v>
      </c>
      <c r="B31" s="15">
        <v>2020</v>
      </c>
      <c r="C31" s="16">
        <v>117.79</v>
      </c>
      <c r="D31" s="16">
        <v>132.63</v>
      </c>
      <c r="E31" s="17">
        <v>3.27</v>
      </c>
      <c r="F31" s="18">
        <v>0.04</v>
      </c>
      <c r="G31" s="19">
        <v>0</v>
      </c>
      <c r="H31" s="19">
        <v>0</v>
      </c>
      <c r="I31" s="16">
        <v>264.79000000000002</v>
      </c>
    </row>
    <row r="32" spans="1:9" x14ac:dyDescent="0.45">
      <c r="A32" s="20" t="s">
        <v>75</v>
      </c>
      <c r="B32" s="21">
        <v>2021</v>
      </c>
      <c r="C32" s="22">
        <v>119.63</v>
      </c>
      <c r="D32" s="22">
        <v>131.30000000000001</v>
      </c>
      <c r="E32" s="23">
        <v>3.32</v>
      </c>
      <c r="F32" s="24">
        <v>7.0000000000000007E-2</v>
      </c>
      <c r="G32" s="25">
        <v>0</v>
      </c>
      <c r="H32" s="25">
        <v>0</v>
      </c>
      <c r="I32" s="22">
        <v>265.12</v>
      </c>
    </row>
    <row r="33" spans="1:9" x14ac:dyDescent="0.45">
      <c r="A33" s="14" t="s">
        <v>75</v>
      </c>
      <c r="B33" s="15">
        <v>2022</v>
      </c>
      <c r="C33" s="16">
        <v>120.26</v>
      </c>
      <c r="D33" s="16">
        <v>135.47</v>
      </c>
      <c r="E33" s="17">
        <v>3.27</v>
      </c>
      <c r="F33" s="18">
        <v>0.13</v>
      </c>
      <c r="G33" s="19">
        <v>0</v>
      </c>
      <c r="H33" s="19">
        <v>0</v>
      </c>
      <c r="I33" s="16">
        <v>270.82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>
      <c r="A1" s="33" t="s">
        <v>59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9" spans="1:13" ht="14.65" thickBot="1" x14ac:dyDescent="0.5">
      <c r="A9" s="12" t="s">
        <v>60</v>
      </c>
    </row>
    <row r="10" spans="1:13" ht="15.75" thickBot="1" x14ac:dyDescent="0.6">
      <c r="A10" s="13" t="s">
        <v>45</v>
      </c>
      <c r="B10" s="13" t="s">
        <v>46</v>
      </c>
      <c r="C10" s="13" t="s">
        <v>47</v>
      </c>
      <c r="D10" s="13" t="s">
        <v>48</v>
      </c>
      <c r="E10" s="13" t="s">
        <v>49</v>
      </c>
      <c r="F10" s="13" t="s">
        <v>50</v>
      </c>
      <c r="G10" s="13" t="s">
        <v>51</v>
      </c>
      <c r="H10" s="13" t="s">
        <v>52</v>
      </c>
      <c r="I10" s="13" t="s">
        <v>53</v>
      </c>
      <c r="J10" s="13" t="s">
        <v>54</v>
      </c>
      <c r="K10" s="13" t="s">
        <v>55</v>
      </c>
      <c r="L10" s="13" t="s">
        <v>56</v>
      </c>
      <c r="M10" s="13" t="s">
        <v>14</v>
      </c>
    </row>
    <row r="11" spans="1:13" x14ac:dyDescent="0.45">
      <c r="A11" s="14" t="s">
        <v>0</v>
      </c>
      <c r="B11" s="14" t="s">
        <v>76</v>
      </c>
      <c r="C11" s="15">
        <v>2020</v>
      </c>
      <c r="D11" s="15">
        <v>60</v>
      </c>
      <c r="E11" s="16">
        <v>0.46</v>
      </c>
      <c r="F11" s="16">
        <v>0.28000000000000003</v>
      </c>
      <c r="G11" s="16">
        <v>0.84</v>
      </c>
      <c r="H11" s="16">
        <v>0</v>
      </c>
      <c r="I11" s="16">
        <v>3.32</v>
      </c>
      <c r="J11" s="16">
        <v>0</v>
      </c>
      <c r="K11" s="16">
        <v>0.28000000000000003</v>
      </c>
      <c r="L11" s="14" t="s">
        <v>1</v>
      </c>
      <c r="M11" s="14" t="s">
        <v>27</v>
      </c>
    </row>
    <row r="12" spans="1:13" x14ac:dyDescent="0.45">
      <c r="A12" s="20" t="s">
        <v>0</v>
      </c>
      <c r="B12" s="20" t="s">
        <v>76</v>
      </c>
      <c r="C12" s="21">
        <v>2025</v>
      </c>
      <c r="D12" s="21">
        <v>60</v>
      </c>
      <c r="E12" s="22">
        <v>197.76</v>
      </c>
      <c r="F12" s="22">
        <v>174.96</v>
      </c>
      <c r="G12" s="22">
        <v>126.47</v>
      </c>
      <c r="H12" s="22">
        <v>33.32</v>
      </c>
      <c r="I12" s="22">
        <v>626.48</v>
      </c>
      <c r="J12" s="22">
        <v>121.06</v>
      </c>
      <c r="K12" s="22">
        <v>238.58</v>
      </c>
      <c r="L12" s="20" t="s">
        <v>1</v>
      </c>
      <c r="M12" s="20" t="s">
        <v>27</v>
      </c>
    </row>
    <row r="13" spans="1:13" x14ac:dyDescent="0.45">
      <c r="A13" s="14" t="s">
        <v>0</v>
      </c>
      <c r="B13" s="14" t="s">
        <v>76</v>
      </c>
      <c r="C13" s="15">
        <v>2030</v>
      </c>
      <c r="D13" s="15">
        <v>60</v>
      </c>
      <c r="E13" s="16">
        <v>261.77999999999997</v>
      </c>
      <c r="F13" s="16">
        <v>241.69</v>
      </c>
      <c r="G13" s="16">
        <v>129.13</v>
      </c>
      <c r="H13" s="16">
        <v>27.52</v>
      </c>
      <c r="I13" s="16">
        <v>673.46</v>
      </c>
      <c r="J13" s="16">
        <v>173.6</v>
      </c>
      <c r="K13" s="16">
        <v>320.88</v>
      </c>
      <c r="L13" s="14" t="s">
        <v>1</v>
      </c>
      <c r="M13" s="14" t="s">
        <v>27</v>
      </c>
    </row>
    <row r="14" spans="1:13" x14ac:dyDescent="0.45">
      <c r="A14" s="20" t="s">
        <v>0</v>
      </c>
      <c r="B14" s="20" t="s">
        <v>76</v>
      </c>
      <c r="C14" s="21">
        <v>2035</v>
      </c>
      <c r="D14" s="21">
        <v>60</v>
      </c>
      <c r="E14" s="22">
        <v>354.71</v>
      </c>
      <c r="F14" s="22">
        <v>335.39</v>
      </c>
      <c r="G14" s="22">
        <v>164.48</v>
      </c>
      <c r="H14" s="22">
        <v>92.8</v>
      </c>
      <c r="I14" s="22">
        <v>859.53</v>
      </c>
      <c r="J14" s="22">
        <v>227.05</v>
      </c>
      <c r="K14" s="22">
        <v>451.85</v>
      </c>
      <c r="L14" s="20" t="s">
        <v>1</v>
      </c>
      <c r="M14" s="20" t="s">
        <v>27</v>
      </c>
    </row>
    <row r="15" spans="1:13" x14ac:dyDescent="0.45">
      <c r="A15" s="14" t="s">
        <v>0</v>
      </c>
      <c r="B15" s="14" t="s">
        <v>76</v>
      </c>
      <c r="C15" s="15">
        <v>2040</v>
      </c>
      <c r="D15" s="15">
        <v>60</v>
      </c>
      <c r="E15" s="16">
        <v>458.15</v>
      </c>
      <c r="F15" s="16">
        <v>407.27</v>
      </c>
      <c r="G15" s="16">
        <v>216.6</v>
      </c>
      <c r="H15" s="16">
        <v>162.1</v>
      </c>
      <c r="I15" s="16">
        <v>1097.01</v>
      </c>
      <c r="J15" s="16">
        <v>287.98</v>
      </c>
      <c r="K15" s="16">
        <v>574.94000000000005</v>
      </c>
      <c r="L15" s="14" t="s">
        <v>1</v>
      </c>
      <c r="M15" s="14" t="s">
        <v>27</v>
      </c>
    </row>
    <row r="16" spans="1:13" x14ac:dyDescent="0.45">
      <c r="A16" s="20" t="s">
        <v>0</v>
      </c>
      <c r="B16" s="20" t="s">
        <v>76</v>
      </c>
      <c r="C16" s="21">
        <v>2045</v>
      </c>
      <c r="D16" s="21">
        <v>60</v>
      </c>
      <c r="E16" s="22">
        <v>551.41</v>
      </c>
      <c r="F16" s="22">
        <v>479.16</v>
      </c>
      <c r="G16" s="22">
        <v>249.14</v>
      </c>
      <c r="H16" s="22">
        <v>190.36</v>
      </c>
      <c r="I16" s="22">
        <v>1269.8800000000001</v>
      </c>
      <c r="J16" s="22">
        <v>352.78</v>
      </c>
      <c r="K16" s="22">
        <v>713.93</v>
      </c>
      <c r="L16" s="20" t="s">
        <v>1</v>
      </c>
      <c r="M16" s="20" t="s">
        <v>27</v>
      </c>
    </row>
    <row r="17" spans="1:13" x14ac:dyDescent="0.45">
      <c r="A17" s="14" t="s">
        <v>0</v>
      </c>
      <c r="B17" s="14" t="s">
        <v>76</v>
      </c>
      <c r="C17" s="15">
        <v>2050</v>
      </c>
      <c r="D17" s="15">
        <v>60</v>
      </c>
      <c r="E17" s="16">
        <v>631.32000000000005</v>
      </c>
      <c r="F17" s="16">
        <v>604.24</v>
      </c>
      <c r="G17" s="16">
        <v>264.83</v>
      </c>
      <c r="H17" s="16">
        <v>194.32</v>
      </c>
      <c r="I17" s="16">
        <v>1170.26</v>
      </c>
      <c r="J17" s="16">
        <v>409.79</v>
      </c>
      <c r="K17" s="16">
        <v>827.36</v>
      </c>
      <c r="L17" s="14" t="s">
        <v>1</v>
      </c>
      <c r="M17" s="14" t="s">
        <v>27</v>
      </c>
    </row>
    <row r="18" spans="1:13" x14ac:dyDescent="0.45">
      <c r="A18" s="20" t="s">
        <v>2</v>
      </c>
      <c r="B18" s="20" t="s">
        <v>76</v>
      </c>
      <c r="C18" s="21">
        <v>2020</v>
      </c>
      <c r="D18" s="21">
        <v>86</v>
      </c>
      <c r="E18" s="22">
        <v>0.79</v>
      </c>
      <c r="F18" s="22">
        <v>0</v>
      </c>
      <c r="G18" s="22">
        <v>1.67</v>
      </c>
      <c r="H18" s="22">
        <v>0</v>
      </c>
      <c r="I18" s="22">
        <v>11.08</v>
      </c>
      <c r="J18" s="22">
        <v>0</v>
      </c>
      <c r="K18" s="22">
        <v>0.28000000000000003</v>
      </c>
      <c r="L18" s="20" t="s">
        <v>3</v>
      </c>
      <c r="M18" s="20" t="s">
        <v>27</v>
      </c>
    </row>
    <row r="19" spans="1:13" x14ac:dyDescent="0.45">
      <c r="A19" s="14" t="s">
        <v>2</v>
      </c>
      <c r="B19" s="14" t="s">
        <v>76</v>
      </c>
      <c r="C19" s="15">
        <v>2025</v>
      </c>
      <c r="D19" s="15">
        <v>75</v>
      </c>
      <c r="E19" s="16">
        <v>45</v>
      </c>
      <c r="F19" s="16">
        <v>24.75</v>
      </c>
      <c r="G19" s="16">
        <v>48.96</v>
      </c>
      <c r="H19" s="16">
        <v>1.1100000000000001</v>
      </c>
      <c r="I19" s="16">
        <v>220.01</v>
      </c>
      <c r="J19" s="16">
        <v>10.72</v>
      </c>
      <c r="K19" s="16">
        <v>68.180000000000007</v>
      </c>
      <c r="L19" s="14" t="s">
        <v>3</v>
      </c>
      <c r="M19" s="14" t="s">
        <v>27</v>
      </c>
    </row>
    <row r="20" spans="1:13" x14ac:dyDescent="0.45">
      <c r="A20" s="20" t="s">
        <v>2</v>
      </c>
      <c r="B20" s="20" t="s">
        <v>76</v>
      </c>
      <c r="C20" s="21">
        <v>2030</v>
      </c>
      <c r="D20" s="21">
        <v>86</v>
      </c>
      <c r="E20" s="22">
        <v>60.99</v>
      </c>
      <c r="F20" s="22">
        <v>46.2</v>
      </c>
      <c r="G20" s="22">
        <v>58.39</v>
      </c>
      <c r="H20" s="22">
        <v>0</v>
      </c>
      <c r="I20" s="22">
        <v>293.35000000000002</v>
      </c>
      <c r="J20" s="22">
        <v>15.43</v>
      </c>
      <c r="K20" s="22">
        <v>90.62</v>
      </c>
      <c r="L20" s="20" t="s">
        <v>3</v>
      </c>
      <c r="M20" s="20" t="s">
        <v>27</v>
      </c>
    </row>
    <row r="21" spans="1:13" x14ac:dyDescent="0.45">
      <c r="A21" s="14" t="s">
        <v>2</v>
      </c>
      <c r="B21" s="14" t="s">
        <v>76</v>
      </c>
      <c r="C21" s="15">
        <v>2035</v>
      </c>
      <c r="D21" s="15">
        <v>75</v>
      </c>
      <c r="E21" s="16">
        <v>195.24</v>
      </c>
      <c r="F21" s="16">
        <v>129.57</v>
      </c>
      <c r="G21" s="16">
        <v>290.37</v>
      </c>
      <c r="H21" s="16">
        <v>26.47</v>
      </c>
      <c r="I21" s="16">
        <v>2037.12</v>
      </c>
      <c r="J21" s="16">
        <v>87.35</v>
      </c>
      <c r="K21" s="16">
        <v>200.38</v>
      </c>
      <c r="L21" s="14" t="s">
        <v>3</v>
      </c>
      <c r="M21" s="14" t="s">
        <v>27</v>
      </c>
    </row>
    <row r="22" spans="1:13" x14ac:dyDescent="0.45">
      <c r="A22" s="20" t="s">
        <v>2</v>
      </c>
      <c r="B22" s="20" t="s">
        <v>76</v>
      </c>
      <c r="C22" s="21">
        <v>2040</v>
      </c>
      <c r="D22" s="21">
        <v>86</v>
      </c>
      <c r="E22" s="22">
        <v>250.65</v>
      </c>
      <c r="F22" s="22">
        <v>172.09</v>
      </c>
      <c r="G22" s="22">
        <v>359.95</v>
      </c>
      <c r="H22" s="22">
        <v>0</v>
      </c>
      <c r="I22" s="22">
        <v>2600</v>
      </c>
      <c r="J22" s="22">
        <v>112.15</v>
      </c>
      <c r="K22" s="22">
        <v>257.75</v>
      </c>
      <c r="L22" s="20" t="s">
        <v>3</v>
      </c>
      <c r="M22" s="20" t="s">
        <v>27</v>
      </c>
    </row>
    <row r="23" spans="1:13" x14ac:dyDescent="0.45">
      <c r="A23" s="14" t="s">
        <v>2</v>
      </c>
      <c r="B23" s="14" t="s">
        <v>76</v>
      </c>
      <c r="C23" s="15">
        <v>2045</v>
      </c>
      <c r="D23" s="15">
        <v>75</v>
      </c>
      <c r="E23" s="16">
        <v>297.39999999999998</v>
      </c>
      <c r="F23" s="16">
        <v>253.87</v>
      </c>
      <c r="G23" s="16">
        <v>189.37</v>
      </c>
      <c r="H23" s="16">
        <v>103.36</v>
      </c>
      <c r="I23" s="16">
        <v>1213.1199999999999</v>
      </c>
      <c r="J23" s="16">
        <v>166.02</v>
      </c>
      <c r="K23" s="16">
        <v>347.01</v>
      </c>
      <c r="L23" s="14" t="s">
        <v>3</v>
      </c>
      <c r="M23" s="14" t="s">
        <v>27</v>
      </c>
    </row>
    <row r="24" spans="1:13" x14ac:dyDescent="0.45">
      <c r="A24" s="20" t="s">
        <v>2</v>
      </c>
      <c r="B24" s="20" t="s">
        <v>76</v>
      </c>
      <c r="C24" s="21">
        <v>2050</v>
      </c>
      <c r="D24" s="21">
        <v>86</v>
      </c>
      <c r="E24" s="22">
        <v>308.77999999999997</v>
      </c>
      <c r="F24" s="22">
        <v>285.02999999999997</v>
      </c>
      <c r="G24" s="22">
        <v>170.12</v>
      </c>
      <c r="H24" s="22">
        <v>0</v>
      </c>
      <c r="I24" s="22">
        <v>729.74</v>
      </c>
      <c r="J24" s="22">
        <v>194.32</v>
      </c>
      <c r="K24" s="22">
        <v>417.87</v>
      </c>
      <c r="L24" s="20" t="s">
        <v>3</v>
      </c>
      <c r="M24" s="20" t="s">
        <v>27</v>
      </c>
    </row>
    <row r="25" spans="1:13" x14ac:dyDescent="0.45">
      <c r="A25" s="14" t="s">
        <v>5</v>
      </c>
      <c r="B25" s="14" t="s">
        <v>76</v>
      </c>
      <c r="C25" s="15">
        <v>2020</v>
      </c>
      <c r="D25" s="15">
        <v>188</v>
      </c>
      <c r="E25" s="16">
        <v>2.98</v>
      </c>
      <c r="F25" s="16">
        <v>0.1</v>
      </c>
      <c r="G25" s="16">
        <v>11.31</v>
      </c>
      <c r="H25" s="16">
        <v>0</v>
      </c>
      <c r="I25" s="16">
        <v>119.5</v>
      </c>
      <c r="J25" s="16">
        <v>0</v>
      </c>
      <c r="K25" s="16">
        <v>0.41</v>
      </c>
      <c r="L25" s="14" t="s">
        <v>6</v>
      </c>
      <c r="M25" s="14" t="s">
        <v>27</v>
      </c>
    </row>
    <row r="26" spans="1:13" x14ac:dyDescent="0.45">
      <c r="A26" s="20" t="s">
        <v>5</v>
      </c>
      <c r="B26" s="20" t="s">
        <v>76</v>
      </c>
      <c r="C26" s="21">
        <v>2025</v>
      </c>
      <c r="D26" s="21">
        <v>165</v>
      </c>
      <c r="E26" s="22">
        <v>52.69</v>
      </c>
      <c r="F26" s="22">
        <v>37.94</v>
      </c>
      <c r="G26" s="22">
        <v>52.17</v>
      </c>
      <c r="H26" s="22">
        <v>1.1100000000000001</v>
      </c>
      <c r="I26" s="22">
        <v>260.38</v>
      </c>
      <c r="J26" s="22">
        <v>16.88</v>
      </c>
      <c r="K26" s="22">
        <v>73.58</v>
      </c>
      <c r="L26" s="20" t="s">
        <v>6</v>
      </c>
      <c r="M26" s="20" t="s">
        <v>27</v>
      </c>
    </row>
    <row r="27" spans="1:13" x14ac:dyDescent="0.45">
      <c r="A27" s="14" t="s">
        <v>5</v>
      </c>
      <c r="B27" s="14" t="s">
        <v>76</v>
      </c>
      <c r="C27" s="15">
        <v>2030</v>
      </c>
      <c r="D27" s="15">
        <v>188</v>
      </c>
      <c r="E27" s="16">
        <v>73.2</v>
      </c>
      <c r="F27" s="16">
        <v>56.33</v>
      </c>
      <c r="G27" s="16">
        <v>59.29</v>
      </c>
      <c r="H27" s="16">
        <v>1.1100000000000001</v>
      </c>
      <c r="I27" s="16">
        <v>347.18</v>
      </c>
      <c r="J27" s="16">
        <v>35.18</v>
      </c>
      <c r="K27" s="16">
        <v>92.14</v>
      </c>
      <c r="L27" s="14" t="s">
        <v>6</v>
      </c>
      <c r="M27" s="14" t="s">
        <v>27</v>
      </c>
    </row>
    <row r="28" spans="1:13" x14ac:dyDescent="0.45">
      <c r="A28" s="20" t="s">
        <v>5</v>
      </c>
      <c r="B28" s="20" t="s">
        <v>76</v>
      </c>
      <c r="C28" s="21">
        <v>2035</v>
      </c>
      <c r="D28" s="21">
        <v>165</v>
      </c>
      <c r="E28" s="22">
        <v>130.62</v>
      </c>
      <c r="F28" s="22">
        <v>104.42</v>
      </c>
      <c r="G28" s="22">
        <v>98.52</v>
      </c>
      <c r="H28" s="22">
        <v>39.29</v>
      </c>
      <c r="I28" s="22">
        <v>960.63</v>
      </c>
      <c r="J28" s="22">
        <v>71.63</v>
      </c>
      <c r="K28" s="22">
        <v>167.91</v>
      </c>
      <c r="L28" s="20" t="s">
        <v>6</v>
      </c>
      <c r="M28" s="20" t="s">
        <v>27</v>
      </c>
    </row>
    <row r="29" spans="1:13" x14ac:dyDescent="0.45">
      <c r="A29" s="14" t="s">
        <v>5</v>
      </c>
      <c r="B29" s="14" t="s">
        <v>76</v>
      </c>
      <c r="C29" s="15">
        <v>2040</v>
      </c>
      <c r="D29" s="15">
        <v>188</v>
      </c>
      <c r="E29" s="16">
        <v>166.72</v>
      </c>
      <c r="F29" s="16">
        <v>134.85</v>
      </c>
      <c r="G29" s="16">
        <v>119.17</v>
      </c>
      <c r="H29" s="16">
        <v>47.96</v>
      </c>
      <c r="I29" s="16">
        <v>1226.04</v>
      </c>
      <c r="J29" s="16">
        <v>98.06</v>
      </c>
      <c r="K29" s="16">
        <v>213.2</v>
      </c>
      <c r="L29" s="14" t="s">
        <v>6</v>
      </c>
      <c r="M29" s="14" t="s">
        <v>27</v>
      </c>
    </row>
    <row r="30" spans="1:13" x14ac:dyDescent="0.45">
      <c r="A30" s="20" t="s">
        <v>5</v>
      </c>
      <c r="B30" s="20" t="s">
        <v>76</v>
      </c>
      <c r="C30" s="21">
        <v>2045</v>
      </c>
      <c r="D30" s="21">
        <v>165</v>
      </c>
      <c r="E30" s="22">
        <v>207.97</v>
      </c>
      <c r="F30" s="22">
        <v>178.1</v>
      </c>
      <c r="G30" s="22">
        <v>150.35</v>
      </c>
      <c r="H30" s="22">
        <v>47.73</v>
      </c>
      <c r="I30" s="22">
        <v>1564.8</v>
      </c>
      <c r="J30" s="22">
        <v>120.68</v>
      </c>
      <c r="K30" s="22">
        <v>263.27</v>
      </c>
      <c r="L30" s="20" t="s">
        <v>6</v>
      </c>
      <c r="M30" s="20" t="s">
        <v>27</v>
      </c>
    </row>
    <row r="31" spans="1:13" x14ac:dyDescent="0.45">
      <c r="A31" s="14" t="s">
        <v>5</v>
      </c>
      <c r="B31" s="14" t="s">
        <v>76</v>
      </c>
      <c r="C31" s="15">
        <v>2050</v>
      </c>
      <c r="D31" s="15">
        <v>188</v>
      </c>
      <c r="E31" s="16">
        <v>239.6</v>
      </c>
      <c r="F31" s="16">
        <v>209.45</v>
      </c>
      <c r="G31" s="16">
        <v>124.12</v>
      </c>
      <c r="H31" s="16">
        <v>27.36</v>
      </c>
      <c r="I31" s="16">
        <v>712.07</v>
      </c>
      <c r="J31" s="16">
        <v>147.49</v>
      </c>
      <c r="K31" s="16">
        <v>301.20999999999998</v>
      </c>
      <c r="L31" s="14" t="s">
        <v>6</v>
      </c>
      <c r="M31" s="14" t="s">
        <v>27</v>
      </c>
    </row>
    <row r="32" spans="1:13" x14ac:dyDescent="0.45">
      <c r="A32" s="20" t="s">
        <v>7</v>
      </c>
      <c r="B32" s="20" t="s">
        <v>76</v>
      </c>
      <c r="C32" s="21">
        <v>2020</v>
      </c>
      <c r="D32" s="21">
        <v>74</v>
      </c>
      <c r="E32" s="22">
        <v>1.84</v>
      </c>
      <c r="F32" s="22">
        <v>0</v>
      </c>
      <c r="G32" s="22">
        <v>5.26</v>
      </c>
      <c r="H32" s="22">
        <v>0</v>
      </c>
      <c r="I32" s="22">
        <v>26.81</v>
      </c>
      <c r="J32" s="22">
        <v>0</v>
      </c>
      <c r="K32" s="22">
        <v>0.1</v>
      </c>
      <c r="L32" s="20" t="s">
        <v>8</v>
      </c>
      <c r="M32" s="20" t="s">
        <v>27</v>
      </c>
    </row>
    <row r="33" spans="1:13" x14ac:dyDescent="0.45">
      <c r="A33" s="14" t="s">
        <v>7</v>
      </c>
      <c r="B33" s="14" t="s">
        <v>76</v>
      </c>
      <c r="C33" s="15">
        <v>2025</v>
      </c>
      <c r="D33" s="15">
        <v>68</v>
      </c>
      <c r="E33" s="16">
        <v>22.35</v>
      </c>
      <c r="F33" s="16">
        <v>17.329999999999998</v>
      </c>
      <c r="G33" s="16">
        <v>21.31</v>
      </c>
      <c r="H33" s="16">
        <v>0</v>
      </c>
      <c r="I33" s="16">
        <v>107.94</v>
      </c>
      <c r="J33" s="16">
        <v>10.49</v>
      </c>
      <c r="K33" s="16">
        <v>23.89</v>
      </c>
      <c r="L33" s="14" t="s">
        <v>8</v>
      </c>
      <c r="M33" s="14" t="s">
        <v>27</v>
      </c>
    </row>
    <row r="34" spans="1:13" x14ac:dyDescent="0.45">
      <c r="A34" s="20" t="s">
        <v>7</v>
      </c>
      <c r="B34" s="20" t="s">
        <v>76</v>
      </c>
      <c r="C34" s="21">
        <v>2030</v>
      </c>
      <c r="D34" s="21">
        <v>74</v>
      </c>
      <c r="E34" s="22">
        <v>43.19</v>
      </c>
      <c r="F34" s="22">
        <v>35.18</v>
      </c>
      <c r="G34" s="22">
        <v>21.26</v>
      </c>
      <c r="H34" s="22">
        <v>0</v>
      </c>
      <c r="I34" s="22">
        <v>97.4</v>
      </c>
      <c r="J34" s="22">
        <v>32.270000000000003</v>
      </c>
      <c r="K34" s="22">
        <v>56.45</v>
      </c>
      <c r="L34" s="20" t="s">
        <v>8</v>
      </c>
      <c r="M34" s="20" t="s">
        <v>27</v>
      </c>
    </row>
    <row r="35" spans="1:13" x14ac:dyDescent="0.45">
      <c r="A35" s="14" t="s">
        <v>7</v>
      </c>
      <c r="B35" s="14" t="s">
        <v>76</v>
      </c>
      <c r="C35" s="15">
        <v>2035</v>
      </c>
      <c r="D35" s="15">
        <v>68</v>
      </c>
      <c r="E35" s="16">
        <v>61.58</v>
      </c>
      <c r="F35" s="16">
        <v>52.06</v>
      </c>
      <c r="G35" s="16">
        <v>29.82</v>
      </c>
      <c r="H35" s="16">
        <v>22.96</v>
      </c>
      <c r="I35" s="16">
        <v>148.63999999999999</v>
      </c>
      <c r="J35" s="16">
        <v>41.63</v>
      </c>
      <c r="K35" s="16">
        <v>77.38</v>
      </c>
      <c r="L35" s="14" t="s">
        <v>8</v>
      </c>
      <c r="M35" s="14" t="s">
        <v>27</v>
      </c>
    </row>
    <row r="36" spans="1:13" x14ac:dyDescent="0.45">
      <c r="A36" s="20" t="s">
        <v>7</v>
      </c>
      <c r="B36" s="20" t="s">
        <v>76</v>
      </c>
      <c r="C36" s="21">
        <v>2040</v>
      </c>
      <c r="D36" s="21">
        <v>74</v>
      </c>
      <c r="E36" s="22">
        <v>86.47</v>
      </c>
      <c r="F36" s="22">
        <v>75.8</v>
      </c>
      <c r="G36" s="22">
        <v>43.44</v>
      </c>
      <c r="H36" s="22">
        <v>31.83</v>
      </c>
      <c r="I36" s="22">
        <v>283.33</v>
      </c>
      <c r="J36" s="22">
        <v>57.1</v>
      </c>
      <c r="K36" s="22">
        <v>108.19</v>
      </c>
      <c r="L36" s="20" t="s">
        <v>8</v>
      </c>
      <c r="M36" s="20" t="s">
        <v>27</v>
      </c>
    </row>
    <row r="37" spans="1:13" x14ac:dyDescent="0.45">
      <c r="A37" s="14" t="s">
        <v>7</v>
      </c>
      <c r="B37" s="14" t="s">
        <v>76</v>
      </c>
      <c r="C37" s="15">
        <v>2045</v>
      </c>
      <c r="D37" s="15">
        <v>68</v>
      </c>
      <c r="E37" s="16">
        <v>112.23</v>
      </c>
      <c r="F37" s="16">
        <v>95.39</v>
      </c>
      <c r="G37" s="16">
        <v>56.97</v>
      </c>
      <c r="H37" s="16">
        <v>42.44</v>
      </c>
      <c r="I37" s="16">
        <v>319.42</v>
      </c>
      <c r="J37" s="16">
        <v>73.23</v>
      </c>
      <c r="K37" s="16">
        <v>145.68</v>
      </c>
      <c r="L37" s="14" t="s">
        <v>8</v>
      </c>
      <c r="M37" s="14" t="s">
        <v>27</v>
      </c>
    </row>
    <row r="38" spans="1:13" x14ac:dyDescent="0.45">
      <c r="A38" s="20" t="s">
        <v>7</v>
      </c>
      <c r="B38" s="20" t="s">
        <v>76</v>
      </c>
      <c r="C38" s="21">
        <v>2050</v>
      </c>
      <c r="D38" s="21">
        <v>74</v>
      </c>
      <c r="E38" s="22">
        <v>132.33000000000001</v>
      </c>
      <c r="F38" s="22">
        <v>112.39</v>
      </c>
      <c r="G38" s="22">
        <v>60.08</v>
      </c>
      <c r="H38" s="22">
        <v>54.16</v>
      </c>
      <c r="I38" s="22">
        <v>331.7</v>
      </c>
      <c r="J38" s="22">
        <v>92.51</v>
      </c>
      <c r="K38" s="22">
        <v>161.43</v>
      </c>
      <c r="L38" s="20" t="s">
        <v>8</v>
      </c>
      <c r="M38" s="20" t="s">
        <v>27</v>
      </c>
    </row>
    <row r="39" spans="1:13" x14ac:dyDescent="0.45">
      <c r="A39" s="14" t="s">
        <v>9</v>
      </c>
      <c r="B39" s="14" t="s">
        <v>76</v>
      </c>
      <c r="C39" s="15">
        <v>2020</v>
      </c>
      <c r="D39" s="15">
        <v>52</v>
      </c>
      <c r="E39" s="16">
        <v>0.75</v>
      </c>
      <c r="F39" s="16">
        <v>0</v>
      </c>
      <c r="G39" s="16">
        <v>1.89</v>
      </c>
      <c r="H39" s="16">
        <v>0</v>
      </c>
      <c r="I39" s="16">
        <v>9.64</v>
      </c>
      <c r="J39" s="16">
        <v>0</v>
      </c>
      <c r="K39" s="16">
        <v>0.28000000000000003</v>
      </c>
      <c r="L39" s="14" t="s">
        <v>10</v>
      </c>
      <c r="M39" s="14" t="s">
        <v>27</v>
      </c>
    </row>
    <row r="40" spans="1:13" x14ac:dyDescent="0.45">
      <c r="A40" s="20" t="s">
        <v>9</v>
      </c>
      <c r="B40" s="20" t="s">
        <v>76</v>
      </c>
      <c r="C40" s="21">
        <v>2025</v>
      </c>
      <c r="D40" s="21">
        <v>47</v>
      </c>
      <c r="E40" s="22">
        <v>0.55000000000000004</v>
      </c>
      <c r="F40" s="22">
        <v>0</v>
      </c>
      <c r="G40" s="22">
        <v>1.24</v>
      </c>
      <c r="H40" s="22">
        <v>0</v>
      </c>
      <c r="I40" s="22">
        <v>5.17</v>
      </c>
      <c r="J40" s="22">
        <v>0</v>
      </c>
      <c r="K40" s="22">
        <v>0.26</v>
      </c>
      <c r="L40" s="20" t="s">
        <v>10</v>
      </c>
      <c r="M40" s="20" t="s">
        <v>27</v>
      </c>
    </row>
    <row r="41" spans="1:13" x14ac:dyDescent="0.45">
      <c r="A41" s="14" t="s">
        <v>9</v>
      </c>
      <c r="B41" s="14" t="s">
        <v>76</v>
      </c>
      <c r="C41" s="15">
        <v>2030</v>
      </c>
      <c r="D41" s="15">
        <v>52</v>
      </c>
      <c r="E41" s="16">
        <v>3.19</v>
      </c>
      <c r="F41" s="16">
        <v>0</v>
      </c>
      <c r="G41" s="16">
        <v>10.75</v>
      </c>
      <c r="H41" s="16">
        <v>0</v>
      </c>
      <c r="I41" s="16">
        <v>46.98</v>
      </c>
      <c r="J41" s="16">
        <v>0</v>
      </c>
      <c r="K41" s="16">
        <v>0.76</v>
      </c>
      <c r="L41" s="14" t="s">
        <v>10</v>
      </c>
      <c r="M41" s="14" t="s">
        <v>27</v>
      </c>
    </row>
    <row r="42" spans="1:13" x14ac:dyDescent="0.45">
      <c r="A42" s="20" t="s">
        <v>9</v>
      </c>
      <c r="B42" s="20" t="s">
        <v>76</v>
      </c>
      <c r="C42" s="21">
        <v>2035</v>
      </c>
      <c r="D42" s="21">
        <v>47</v>
      </c>
      <c r="E42" s="22">
        <v>0.83</v>
      </c>
      <c r="F42" s="22">
        <v>0</v>
      </c>
      <c r="G42" s="22">
        <v>1.35</v>
      </c>
      <c r="H42" s="22">
        <v>0</v>
      </c>
      <c r="I42" s="22">
        <v>5.82</v>
      </c>
      <c r="J42" s="22">
        <v>0</v>
      </c>
      <c r="K42" s="22">
        <v>1.19</v>
      </c>
      <c r="L42" s="20" t="s">
        <v>10</v>
      </c>
      <c r="M42" s="20" t="s">
        <v>27</v>
      </c>
    </row>
    <row r="43" spans="1:13" x14ac:dyDescent="0.45">
      <c r="A43" s="14" t="s">
        <v>9</v>
      </c>
      <c r="B43" s="14" t="s">
        <v>76</v>
      </c>
      <c r="C43" s="15">
        <v>2040</v>
      </c>
      <c r="D43" s="15">
        <v>52</v>
      </c>
      <c r="E43" s="16">
        <v>0.96</v>
      </c>
      <c r="F43" s="16">
        <v>0</v>
      </c>
      <c r="G43" s="16">
        <v>1.56</v>
      </c>
      <c r="H43" s="16">
        <v>0</v>
      </c>
      <c r="I43" s="16">
        <v>6.81</v>
      </c>
      <c r="J43" s="16">
        <v>0</v>
      </c>
      <c r="K43" s="16">
        <v>1.54</v>
      </c>
      <c r="L43" s="14" t="s">
        <v>10</v>
      </c>
      <c r="M43" s="14" t="s">
        <v>27</v>
      </c>
    </row>
    <row r="44" spans="1:13" x14ac:dyDescent="0.45">
      <c r="A44" s="20" t="s">
        <v>9</v>
      </c>
      <c r="B44" s="20" t="s">
        <v>76</v>
      </c>
      <c r="C44" s="21">
        <v>2045</v>
      </c>
      <c r="D44" s="21">
        <v>47</v>
      </c>
      <c r="E44" s="22">
        <v>1.32</v>
      </c>
      <c r="F44" s="22">
        <v>0</v>
      </c>
      <c r="G44" s="22">
        <v>1.87</v>
      </c>
      <c r="H44" s="22">
        <v>0</v>
      </c>
      <c r="I44" s="22">
        <v>7.73</v>
      </c>
      <c r="J44" s="22">
        <v>0</v>
      </c>
      <c r="K44" s="22">
        <v>2.08</v>
      </c>
      <c r="L44" s="20" t="s">
        <v>10</v>
      </c>
      <c r="M44" s="20" t="s">
        <v>27</v>
      </c>
    </row>
    <row r="45" spans="1:13" x14ac:dyDescent="0.45">
      <c r="A45" s="14" t="s">
        <v>9</v>
      </c>
      <c r="B45" s="14" t="s">
        <v>76</v>
      </c>
      <c r="C45" s="15">
        <v>2050</v>
      </c>
      <c r="D45" s="15">
        <v>52</v>
      </c>
      <c r="E45" s="16">
        <v>1.44</v>
      </c>
      <c r="F45" s="16">
        <v>0</v>
      </c>
      <c r="G45" s="16">
        <v>2.12</v>
      </c>
      <c r="H45" s="16">
        <v>0</v>
      </c>
      <c r="I45" s="16">
        <v>8.75</v>
      </c>
      <c r="J45" s="16">
        <v>0</v>
      </c>
      <c r="K45" s="16">
        <v>2.68</v>
      </c>
      <c r="L45" s="14" t="s">
        <v>10</v>
      </c>
      <c r="M45" s="14" t="s">
        <v>27</v>
      </c>
    </row>
    <row r="46" spans="1:13" x14ac:dyDescent="0.45">
      <c r="A46" s="20" t="s">
        <v>0</v>
      </c>
      <c r="B46" s="20" t="s">
        <v>76</v>
      </c>
      <c r="C46" s="21">
        <v>2020</v>
      </c>
      <c r="D46" s="21">
        <v>64</v>
      </c>
      <c r="E46" s="22">
        <v>1</v>
      </c>
      <c r="F46" s="22">
        <v>1</v>
      </c>
      <c r="G46" s="22">
        <v>0</v>
      </c>
      <c r="H46" s="22">
        <v>1</v>
      </c>
      <c r="I46" s="22">
        <v>1</v>
      </c>
      <c r="J46" s="22">
        <v>1</v>
      </c>
      <c r="K46" s="22">
        <v>1</v>
      </c>
      <c r="L46" s="20" t="s">
        <v>1</v>
      </c>
      <c r="M46" s="20" t="s">
        <v>11</v>
      </c>
    </row>
    <row r="47" spans="1:13" x14ac:dyDescent="0.45">
      <c r="A47" s="14" t="s">
        <v>0</v>
      </c>
      <c r="B47" s="14" t="s">
        <v>76</v>
      </c>
      <c r="C47" s="15">
        <v>2025</v>
      </c>
      <c r="D47" s="15">
        <v>64</v>
      </c>
      <c r="E47" s="16">
        <v>0.94</v>
      </c>
      <c r="F47" s="16">
        <v>0.93</v>
      </c>
      <c r="G47" s="16">
        <v>0.11</v>
      </c>
      <c r="H47" s="16">
        <v>0.67</v>
      </c>
      <c r="I47" s="16">
        <v>1.25</v>
      </c>
      <c r="J47" s="16">
        <v>0.9</v>
      </c>
      <c r="K47" s="16">
        <v>1.01</v>
      </c>
      <c r="L47" s="14" t="s">
        <v>1</v>
      </c>
      <c r="M47" s="14" t="s">
        <v>11</v>
      </c>
    </row>
    <row r="48" spans="1:13" x14ac:dyDescent="0.45">
      <c r="A48" s="20" t="s">
        <v>0</v>
      </c>
      <c r="B48" s="20" t="s">
        <v>76</v>
      </c>
      <c r="C48" s="21">
        <v>2030</v>
      </c>
      <c r="D48" s="21">
        <v>64</v>
      </c>
      <c r="E48" s="22">
        <v>0.98</v>
      </c>
      <c r="F48" s="22">
        <v>0.94</v>
      </c>
      <c r="G48" s="22">
        <v>0.17</v>
      </c>
      <c r="H48" s="22">
        <v>0.73</v>
      </c>
      <c r="I48" s="22">
        <v>1.64</v>
      </c>
      <c r="J48" s="22">
        <v>0.88</v>
      </c>
      <c r="K48" s="22">
        <v>1.05</v>
      </c>
      <c r="L48" s="20" t="s">
        <v>1</v>
      </c>
      <c r="M48" s="20" t="s">
        <v>11</v>
      </c>
    </row>
    <row r="49" spans="1:13" x14ac:dyDescent="0.45">
      <c r="A49" s="14" t="s">
        <v>0</v>
      </c>
      <c r="B49" s="14" t="s">
        <v>76</v>
      </c>
      <c r="C49" s="15">
        <v>2035</v>
      </c>
      <c r="D49" s="15">
        <v>64</v>
      </c>
      <c r="E49" s="16">
        <v>1.08</v>
      </c>
      <c r="F49" s="16">
        <v>0.99</v>
      </c>
      <c r="G49" s="16">
        <v>0.21</v>
      </c>
      <c r="H49" s="16">
        <v>0.83</v>
      </c>
      <c r="I49" s="16">
        <v>1.88</v>
      </c>
      <c r="J49" s="16">
        <v>0.95</v>
      </c>
      <c r="K49" s="16">
        <v>1.17</v>
      </c>
      <c r="L49" s="14" t="s">
        <v>1</v>
      </c>
      <c r="M49" s="14" t="s">
        <v>11</v>
      </c>
    </row>
    <row r="50" spans="1:13" x14ac:dyDescent="0.45">
      <c r="A50" s="20" t="s">
        <v>0</v>
      </c>
      <c r="B50" s="20" t="s">
        <v>76</v>
      </c>
      <c r="C50" s="21">
        <v>2040</v>
      </c>
      <c r="D50" s="21">
        <v>64</v>
      </c>
      <c r="E50" s="22">
        <v>1.2</v>
      </c>
      <c r="F50" s="22">
        <v>1.1100000000000001</v>
      </c>
      <c r="G50" s="22">
        <v>0.25</v>
      </c>
      <c r="H50" s="22">
        <v>0.84</v>
      </c>
      <c r="I50" s="22">
        <v>2.2400000000000002</v>
      </c>
      <c r="J50" s="22">
        <v>1.05</v>
      </c>
      <c r="K50" s="22">
        <v>1.33</v>
      </c>
      <c r="L50" s="20" t="s">
        <v>1</v>
      </c>
      <c r="M50" s="20" t="s">
        <v>11</v>
      </c>
    </row>
    <row r="51" spans="1:13" x14ac:dyDescent="0.45">
      <c r="A51" s="14" t="s">
        <v>0</v>
      </c>
      <c r="B51" s="14" t="s">
        <v>76</v>
      </c>
      <c r="C51" s="15">
        <v>2045</v>
      </c>
      <c r="D51" s="15">
        <v>64</v>
      </c>
      <c r="E51" s="16">
        <v>1.29</v>
      </c>
      <c r="F51" s="16">
        <v>1.23</v>
      </c>
      <c r="G51" s="16">
        <v>0.26</v>
      </c>
      <c r="H51" s="16">
        <v>0.86</v>
      </c>
      <c r="I51" s="16">
        <v>2.3199999999999998</v>
      </c>
      <c r="J51" s="16">
        <v>1.1299999999999999</v>
      </c>
      <c r="K51" s="16">
        <v>1.44</v>
      </c>
      <c r="L51" s="14" t="s">
        <v>1</v>
      </c>
      <c r="M51" s="14" t="s">
        <v>11</v>
      </c>
    </row>
    <row r="52" spans="1:13" x14ac:dyDescent="0.45">
      <c r="A52" s="20" t="s">
        <v>0</v>
      </c>
      <c r="B52" s="20" t="s">
        <v>76</v>
      </c>
      <c r="C52" s="21">
        <v>2050</v>
      </c>
      <c r="D52" s="21">
        <v>64</v>
      </c>
      <c r="E52" s="22">
        <v>1.37</v>
      </c>
      <c r="F52" s="22">
        <v>1.33</v>
      </c>
      <c r="G52" s="22">
        <v>0.27</v>
      </c>
      <c r="H52" s="22">
        <v>0.87</v>
      </c>
      <c r="I52" s="22">
        <v>2.36</v>
      </c>
      <c r="J52" s="22">
        <v>1.18</v>
      </c>
      <c r="K52" s="22">
        <v>1.52</v>
      </c>
      <c r="L52" s="20" t="s">
        <v>1</v>
      </c>
      <c r="M52" s="20" t="s">
        <v>11</v>
      </c>
    </row>
    <row r="53" spans="1:13" x14ac:dyDescent="0.45">
      <c r="A53" s="14" t="s">
        <v>2</v>
      </c>
      <c r="B53" s="14" t="s">
        <v>76</v>
      </c>
      <c r="C53" s="15">
        <v>2020</v>
      </c>
      <c r="D53" s="15">
        <v>95</v>
      </c>
      <c r="E53" s="16">
        <v>1</v>
      </c>
      <c r="F53" s="16">
        <v>1</v>
      </c>
      <c r="G53" s="16">
        <v>0</v>
      </c>
      <c r="H53" s="16">
        <v>1</v>
      </c>
      <c r="I53" s="16">
        <v>1</v>
      </c>
      <c r="J53" s="16">
        <v>1</v>
      </c>
      <c r="K53" s="16">
        <v>1</v>
      </c>
      <c r="L53" s="14" t="s">
        <v>3</v>
      </c>
      <c r="M53" s="14" t="s">
        <v>11</v>
      </c>
    </row>
    <row r="54" spans="1:13" x14ac:dyDescent="0.45">
      <c r="A54" s="20" t="s">
        <v>2</v>
      </c>
      <c r="B54" s="20" t="s">
        <v>76</v>
      </c>
      <c r="C54" s="21">
        <v>2025</v>
      </c>
      <c r="D54" s="21">
        <v>84</v>
      </c>
      <c r="E54" s="22">
        <v>1</v>
      </c>
      <c r="F54" s="22">
        <v>1</v>
      </c>
      <c r="G54" s="22">
        <v>0.04</v>
      </c>
      <c r="H54" s="22">
        <v>0.84</v>
      </c>
      <c r="I54" s="22">
        <v>1.06</v>
      </c>
      <c r="J54" s="22">
        <v>0.98</v>
      </c>
      <c r="K54" s="22">
        <v>1.02</v>
      </c>
      <c r="L54" s="20" t="s">
        <v>3</v>
      </c>
      <c r="M54" s="20" t="s">
        <v>11</v>
      </c>
    </row>
    <row r="55" spans="1:13" x14ac:dyDescent="0.45">
      <c r="A55" s="14" t="s">
        <v>2</v>
      </c>
      <c r="B55" s="14" t="s">
        <v>76</v>
      </c>
      <c r="C55" s="15">
        <v>2030</v>
      </c>
      <c r="D55" s="15">
        <v>95</v>
      </c>
      <c r="E55" s="16">
        <v>1.03</v>
      </c>
      <c r="F55" s="16">
        <v>1.03</v>
      </c>
      <c r="G55" s="16">
        <v>0.09</v>
      </c>
      <c r="H55" s="16">
        <v>0.74</v>
      </c>
      <c r="I55" s="16">
        <v>1.25</v>
      </c>
      <c r="J55" s="16">
        <v>0.97</v>
      </c>
      <c r="K55" s="16">
        <v>1.06</v>
      </c>
      <c r="L55" s="14" t="s">
        <v>3</v>
      </c>
      <c r="M55" s="14" t="s">
        <v>11</v>
      </c>
    </row>
    <row r="56" spans="1:13" x14ac:dyDescent="0.45">
      <c r="A56" s="20" t="s">
        <v>2</v>
      </c>
      <c r="B56" s="20" t="s">
        <v>76</v>
      </c>
      <c r="C56" s="21">
        <v>2035</v>
      </c>
      <c r="D56" s="21">
        <v>84</v>
      </c>
      <c r="E56" s="22">
        <v>1.03</v>
      </c>
      <c r="F56" s="22">
        <v>1.03</v>
      </c>
      <c r="G56" s="22">
        <v>0.1</v>
      </c>
      <c r="H56" s="22">
        <v>0.76</v>
      </c>
      <c r="I56" s="22">
        <v>1.24</v>
      </c>
      <c r="J56" s="22">
        <v>0.96</v>
      </c>
      <c r="K56" s="22">
        <v>1.1200000000000001</v>
      </c>
      <c r="L56" s="20" t="s">
        <v>3</v>
      </c>
      <c r="M56" s="20" t="s">
        <v>11</v>
      </c>
    </row>
    <row r="57" spans="1:13" x14ac:dyDescent="0.45">
      <c r="A57" s="14" t="s">
        <v>2</v>
      </c>
      <c r="B57" s="14" t="s">
        <v>76</v>
      </c>
      <c r="C57" s="15">
        <v>2040</v>
      </c>
      <c r="D57" s="15">
        <v>95</v>
      </c>
      <c r="E57" s="16">
        <v>1.1599999999999999</v>
      </c>
      <c r="F57" s="16">
        <v>1.1499999999999999</v>
      </c>
      <c r="G57" s="16">
        <v>0.18</v>
      </c>
      <c r="H57" s="16">
        <v>0.81</v>
      </c>
      <c r="I57" s="16">
        <v>1.62</v>
      </c>
      <c r="J57" s="16">
        <v>1.03</v>
      </c>
      <c r="K57" s="16">
        <v>1.28</v>
      </c>
      <c r="L57" s="14" t="s">
        <v>3</v>
      </c>
      <c r="M57" s="14" t="s">
        <v>11</v>
      </c>
    </row>
    <row r="58" spans="1:13" x14ac:dyDescent="0.45">
      <c r="A58" s="20" t="s">
        <v>2</v>
      </c>
      <c r="B58" s="20" t="s">
        <v>76</v>
      </c>
      <c r="C58" s="21">
        <v>2045</v>
      </c>
      <c r="D58" s="21">
        <v>84</v>
      </c>
      <c r="E58" s="22">
        <v>1.22</v>
      </c>
      <c r="F58" s="22">
        <v>1.2</v>
      </c>
      <c r="G58" s="22">
        <v>0.14000000000000001</v>
      </c>
      <c r="H58" s="22">
        <v>0.82</v>
      </c>
      <c r="I58" s="22">
        <v>1.45</v>
      </c>
      <c r="J58" s="22">
        <v>1.1200000000000001</v>
      </c>
      <c r="K58" s="22">
        <v>1.37</v>
      </c>
      <c r="L58" s="20" t="s">
        <v>3</v>
      </c>
      <c r="M58" s="20" t="s">
        <v>11</v>
      </c>
    </row>
    <row r="59" spans="1:13" x14ac:dyDescent="0.45">
      <c r="A59" s="14" t="s">
        <v>2</v>
      </c>
      <c r="B59" s="14" t="s">
        <v>76</v>
      </c>
      <c r="C59" s="15">
        <v>2050</v>
      </c>
      <c r="D59" s="15">
        <v>95</v>
      </c>
      <c r="E59" s="16">
        <v>1.37</v>
      </c>
      <c r="F59" s="16">
        <v>1.35</v>
      </c>
      <c r="G59" s="16">
        <v>0.2</v>
      </c>
      <c r="H59" s="16">
        <v>0.84</v>
      </c>
      <c r="I59" s="16">
        <v>1.94</v>
      </c>
      <c r="J59" s="16">
        <v>1.24</v>
      </c>
      <c r="K59" s="16">
        <v>1.48</v>
      </c>
      <c r="L59" s="14" t="s">
        <v>3</v>
      </c>
      <c r="M59" s="14" t="s">
        <v>11</v>
      </c>
    </row>
    <row r="60" spans="1:13" x14ac:dyDescent="0.45">
      <c r="A60" s="20" t="s">
        <v>5</v>
      </c>
      <c r="B60" s="20" t="s">
        <v>76</v>
      </c>
      <c r="C60" s="21">
        <v>2020</v>
      </c>
      <c r="D60" s="21">
        <v>229</v>
      </c>
      <c r="E60" s="22">
        <v>1</v>
      </c>
      <c r="F60" s="22">
        <v>1</v>
      </c>
      <c r="G60" s="22">
        <v>0</v>
      </c>
      <c r="H60" s="22">
        <v>1</v>
      </c>
      <c r="I60" s="22">
        <v>1</v>
      </c>
      <c r="J60" s="22">
        <v>1</v>
      </c>
      <c r="K60" s="22">
        <v>1</v>
      </c>
      <c r="L60" s="20" t="s">
        <v>6</v>
      </c>
      <c r="M60" s="20" t="s">
        <v>11</v>
      </c>
    </row>
    <row r="61" spans="1:13" x14ac:dyDescent="0.45">
      <c r="A61" s="14" t="s">
        <v>5</v>
      </c>
      <c r="B61" s="14" t="s">
        <v>76</v>
      </c>
      <c r="C61" s="15">
        <v>2025</v>
      </c>
      <c r="D61" s="15">
        <v>206</v>
      </c>
      <c r="E61" s="16">
        <v>0.98</v>
      </c>
      <c r="F61" s="16">
        <v>0.99</v>
      </c>
      <c r="G61" s="16">
        <v>7.0000000000000007E-2</v>
      </c>
      <c r="H61" s="16">
        <v>0.68</v>
      </c>
      <c r="I61" s="16">
        <v>1.31</v>
      </c>
      <c r="J61" s="16">
        <v>0.97</v>
      </c>
      <c r="K61" s="16">
        <v>1.02</v>
      </c>
      <c r="L61" s="14" t="s">
        <v>6</v>
      </c>
      <c r="M61" s="14" t="s">
        <v>11</v>
      </c>
    </row>
    <row r="62" spans="1:13" x14ac:dyDescent="0.45">
      <c r="A62" s="20" t="s">
        <v>5</v>
      </c>
      <c r="B62" s="20" t="s">
        <v>76</v>
      </c>
      <c r="C62" s="21">
        <v>2030</v>
      </c>
      <c r="D62" s="21">
        <v>229</v>
      </c>
      <c r="E62" s="22">
        <v>1</v>
      </c>
      <c r="F62" s="22">
        <v>1</v>
      </c>
      <c r="G62" s="22">
        <v>0.1</v>
      </c>
      <c r="H62" s="22">
        <v>0.76</v>
      </c>
      <c r="I62" s="22">
        <v>1.6</v>
      </c>
      <c r="J62" s="22">
        <v>0.95</v>
      </c>
      <c r="K62" s="22">
        <v>1.06</v>
      </c>
      <c r="L62" s="20" t="s">
        <v>6</v>
      </c>
      <c r="M62" s="20" t="s">
        <v>11</v>
      </c>
    </row>
    <row r="63" spans="1:13" x14ac:dyDescent="0.45">
      <c r="A63" s="14" t="s">
        <v>5</v>
      </c>
      <c r="B63" s="14" t="s">
        <v>76</v>
      </c>
      <c r="C63" s="15">
        <v>2035</v>
      </c>
      <c r="D63" s="15">
        <v>206</v>
      </c>
      <c r="E63" s="16">
        <v>1.04</v>
      </c>
      <c r="F63" s="16">
        <v>1.01</v>
      </c>
      <c r="G63" s="16">
        <v>0.17</v>
      </c>
      <c r="H63" s="16">
        <v>0.83</v>
      </c>
      <c r="I63" s="16">
        <v>2.2000000000000002</v>
      </c>
      <c r="J63" s="16">
        <v>0.93</v>
      </c>
      <c r="K63" s="16">
        <v>1.1000000000000001</v>
      </c>
      <c r="L63" s="14" t="s">
        <v>6</v>
      </c>
      <c r="M63" s="14" t="s">
        <v>11</v>
      </c>
    </row>
    <row r="64" spans="1:13" x14ac:dyDescent="0.45">
      <c r="A64" s="20" t="s">
        <v>5</v>
      </c>
      <c r="B64" s="20" t="s">
        <v>76</v>
      </c>
      <c r="C64" s="21">
        <v>2040</v>
      </c>
      <c r="D64" s="21">
        <v>229</v>
      </c>
      <c r="E64" s="22">
        <v>1.1399999999999999</v>
      </c>
      <c r="F64" s="22">
        <v>1.1299999999999999</v>
      </c>
      <c r="G64" s="22">
        <v>0.21</v>
      </c>
      <c r="H64" s="22">
        <v>0.84</v>
      </c>
      <c r="I64" s="22">
        <v>2.2799999999999998</v>
      </c>
      <c r="J64" s="22">
        <v>0.99</v>
      </c>
      <c r="K64" s="22">
        <v>1.2</v>
      </c>
      <c r="L64" s="20" t="s">
        <v>6</v>
      </c>
      <c r="M64" s="20" t="s">
        <v>11</v>
      </c>
    </row>
    <row r="65" spans="1:13" x14ac:dyDescent="0.45">
      <c r="A65" s="14" t="s">
        <v>5</v>
      </c>
      <c r="B65" s="14" t="s">
        <v>76</v>
      </c>
      <c r="C65" s="15">
        <v>2045</v>
      </c>
      <c r="D65" s="15">
        <v>206</v>
      </c>
      <c r="E65" s="16">
        <v>1.25</v>
      </c>
      <c r="F65" s="16">
        <v>1.2</v>
      </c>
      <c r="G65" s="16">
        <v>0.24</v>
      </c>
      <c r="H65" s="16">
        <v>0.9</v>
      </c>
      <c r="I65" s="16">
        <v>2.34</v>
      </c>
      <c r="J65" s="16">
        <v>1.1000000000000001</v>
      </c>
      <c r="K65" s="16">
        <v>1.33</v>
      </c>
      <c r="L65" s="14" t="s">
        <v>6</v>
      </c>
      <c r="M65" s="14" t="s">
        <v>11</v>
      </c>
    </row>
    <row r="66" spans="1:13" x14ac:dyDescent="0.45">
      <c r="A66" s="20" t="s">
        <v>5</v>
      </c>
      <c r="B66" s="20" t="s">
        <v>76</v>
      </c>
      <c r="C66" s="21">
        <v>2050</v>
      </c>
      <c r="D66" s="21">
        <v>229</v>
      </c>
      <c r="E66" s="22">
        <v>1.36</v>
      </c>
      <c r="F66" s="22">
        <v>1.33</v>
      </c>
      <c r="G66" s="22">
        <v>0.24</v>
      </c>
      <c r="H66" s="22">
        <v>0.96</v>
      </c>
      <c r="I66" s="22">
        <v>2.38</v>
      </c>
      <c r="J66" s="22">
        <v>1.24</v>
      </c>
      <c r="K66" s="22">
        <v>1.45</v>
      </c>
      <c r="L66" s="20" t="s">
        <v>6</v>
      </c>
      <c r="M66" s="20" t="s">
        <v>11</v>
      </c>
    </row>
    <row r="67" spans="1:13" x14ac:dyDescent="0.45">
      <c r="A67" s="14" t="s">
        <v>7</v>
      </c>
      <c r="B67" s="14" t="s">
        <v>76</v>
      </c>
      <c r="C67" s="15">
        <v>2020</v>
      </c>
      <c r="D67" s="15">
        <v>97</v>
      </c>
      <c r="E67" s="16">
        <v>1</v>
      </c>
      <c r="F67" s="16">
        <v>1</v>
      </c>
      <c r="G67" s="16">
        <v>0</v>
      </c>
      <c r="H67" s="16">
        <v>1</v>
      </c>
      <c r="I67" s="16">
        <v>1</v>
      </c>
      <c r="J67" s="16">
        <v>1</v>
      </c>
      <c r="K67" s="16">
        <v>1</v>
      </c>
      <c r="L67" s="14" t="s">
        <v>8</v>
      </c>
      <c r="M67" s="14" t="s">
        <v>11</v>
      </c>
    </row>
    <row r="68" spans="1:13" x14ac:dyDescent="0.45">
      <c r="A68" s="20" t="s">
        <v>7</v>
      </c>
      <c r="B68" s="20" t="s">
        <v>76</v>
      </c>
      <c r="C68" s="21">
        <v>2025</v>
      </c>
      <c r="D68" s="21">
        <v>91</v>
      </c>
      <c r="E68" s="22">
        <v>0.99</v>
      </c>
      <c r="F68" s="22">
        <v>1</v>
      </c>
      <c r="G68" s="22">
        <v>0.04</v>
      </c>
      <c r="H68" s="22">
        <v>0.83</v>
      </c>
      <c r="I68" s="22">
        <v>1.05</v>
      </c>
      <c r="J68" s="22">
        <v>0.98</v>
      </c>
      <c r="K68" s="22">
        <v>1.01</v>
      </c>
      <c r="L68" s="20" t="s">
        <v>8</v>
      </c>
      <c r="M68" s="20" t="s">
        <v>11</v>
      </c>
    </row>
    <row r="69" spans="1:13" x14ac:dyDescent="0.45">
      <c r="A69" s="14" t="s">
        <v>7</v>
      </c>
      <c r="B69" s="14" t="s">
        <v>76</v>
      </c>
      <c r="C69" s="15">
        <v>2030</v>
      </c>
      <c r="D69" s="15">
        <v>97</v>
      </c>
      <c r="E69" s="16">
        <v>1</v>
      </c>
      <c r="F69" s="16">
        <v>1</v>
      </c>
      <c r="G69" s="16">
        <v>0.06</v>
      </c>
      <c r="H69" s="16">
        <v>0.83</v>
      </c>
      <c r="I69" s="16">
        <v>1.1299999999999999</v>
      </c>
      <c r="J69" s="16">
        <v>0.97</v>
      </c>
      <c r="K69" s="16">
        <v>1.03</v>
      </c>
      <c r="L69" s="14" t="s">
        <v>8</v>
      </c>
      <c r="M69" s="14" t="s">
        <v>11</v>
      </c>
    </row>
    <row r="70" spans="1:13" x14ac:dyDescent="0.45">
      <c r="A70" s="20" t="s">
        <v>7</v>
      </c>
      <c r="B70" s="20" t="s">
        <v>76</v>
      </c>
      <c r="C70" s="21">
        <v>2035</v>
      </c>
      <c r="D70" s="21">
        <v>91</v>
      </c>
      <c r="E70" s="22">
        <v>1.02</v>
      </c>
      <c r="F70" s="22">
        <v>1.02</v>
      </c>
      <c r="G70" s="22">
        <v>0.08</v>
      </c>
      <c r="H70" s="22">
        <v>0.85</v>
      </c>
      <c r="I70" s="22">
        <v>1.21</v>
      </c>
      <c r="J70" s="22">
        <v>0.98</v>
      </c>
      <c r="K70" s="22">
        <v>1.04</v>
      </c>
      <c r="L70" s="20" t="s">
        <v>8</v>
      </c>
      <c r="M70" s="20" t="s">
        <v>11</v>
      </c>
    </row>
    <row r="71" spans="1:13" x14ac:dyDescent="0.45">
      <c r="A71" s="14" t="s">
        <v>7</v>
      </c>
      <c r="B71" s="14" t="s">
        <v>76</v>
      </c>
      <c r="C71" s="15">
        <v>2040</v>
      </c>
      <c r="D71" s="15">
        <v>97</v>
      </c>
      <c r="E71" s="16">
        <v>1.08</v>
      </c>
      <c r="F71" s="16">
        <v>1.08</v>
      </c>
      <c r="G71" s="16">
        <v>0.1</v>
      </c>
      <c r="H71" s="16">
        <v>0.85</v>
      </c>
      <c r="I71" s="16">
        <v>1.29</v>
      </c>
      <c r="J71" s="16">
        <v>1.01</v>
      </c>
      <c r="K71" s="16">
        <v>1.1299999999999999</v>
      </c>
      <c r="L71" s="14" t="s">
        <v>8</v>
      </c>
      <c r="M71" s="14" t="s">
        <v>11</v>
      </c>
    </row>
    <row r="72" spans="1:13" x14ac:dyDescent="0.45">
      <c r="A72" s="20" t="s">
        <v>7</v>
      </c>
      <c r="B72" s="20" t="s">
        <v>76</v>
      </c>
      <c r="C72" s="21">
        <v>2045</v>
      </c>
      <c r="D72" s="21">
        <v>91</v>
      </c>
      <c r="E72" s="22">
        <v>1.1499999999999999</v>
      </c>
      <c r="F72" s="22">
        <v>1.1499999999999999</v>
      </c>
      <c r="G72" s="22">
        <v>0.12</v>
      </c>
      <c r="H72" s="22">
        <v>0.89</v>
      </c>
      <c r="I72" s="22">
        <v>1.37</v>
      </c>
      <c r="J72" s="22">
        <v>1.05</v>
      </c>
      <c r="K72" s="22">
        <v>1.24</v>
      </c>
      <c r="L72" s="20" t="s">
        <v>8</v>
      </c>
      <c r="M72" s="20" t="s">
        <v>11</v>
      </c>
    </row>
    <row r="73" spans="1:13" x14ac:dyDescent="0.45">
      <c r="A73" s="14" t="s">
        <v>7</v>
      </c>
      <c r="B73" s="14" t="s">
        <v>76</v>
      </c>
      <c r="C73" s="15">
        <v>2050</v>
      </c>
      <c r="D73" s="15">
        <v>97</v>
      </c>
      <c r="E73" s="16">
        <v>1.25</v>
      </c>
      <c r="F73" s="16">
        <v>1.29</v>
      </c>
      <c r="G73" s="16">
        <v>0.13</v>
      </c>
      <c r="H73" s="16">
        <v>0.94</v>
      </c>
      <c r="I73" s="16">
        <v>1.46</v>
      </c>
      <c r="J73" s="16">
        <v>1.1499999999999999</v>
      </c>
      <c r="K73" s="16">
        <v>1.36</v>
      </c>
      <c r="L73" s="14" t="s">
        <v>8</v>
      </c>
      <c r="M73" s="14" t="s">
        <v>11</v>
      </c>
    </row>
    <row r="74" spans="1:13" x14ac:dyDescent="0.45">
      <c r="A74" s="20" t="s">
        <v>9</v>
      </c>
      <c r="B74" s="20" t="s">
        <v>76</v>
      </c>
      <c r="C74" s="21">
        <v>2020</v>
      </c>
      <c r="D74" s="21">
        <v>60</v>
      </c>
      <c r="E74" s="22">
        <v>1</v>
      </c>
      <c r="F74" s="22">
        <v>1</v>
      </c>
      <c r="G74" s="22">
        <v>0</v>
      </c>
      <c r="H74" s="22">
        <v>1</v>
      </c>
      <c r="I74" s="22">
        <v>1</v>
      </c>
      <c r="J74" s="22">
        <v>1</v>
      </c>
      <c r="K74" s="22">
        <v>1</v>
      </c>
      <c r="L74" s="20" t="s">
        <v>10</v>
      </c>
      <c r="M74" s="20" t="s">
        <v>11</v>
      </c>
    </row>
    <row r="75" spans="1:13" x14ac:dyDescent="0.45">
      <c r="A75" s="14" t="s">
        <v>9</v>
      </c>
      <c r="B75" s="14" t="s">
        <v>76</v>
      </c>
      <c r="C75" s="15">
        <v>2025</v>
      </c>
      <c r="D75" s="15">
        <v>55</v>
      </c>
      <c r="E75" s="16">
        <v>1.02</v>
      </c>
      <c r="F75" s="16">
        <v>1.01</v>
      </c>
      <c r="G75" s="16">
        <v>0.09</v>
      </c>
      <c r="H75" s="16">
        <v>0.91</v>
      </c>
      <c r="I75" s="16">
        <v>1.62</v>
      </c>
      <c r="J75" s="16">
        <v>0.99</v>
      </c>
      <c r="K75" s="16">
        <v>1.04</v>
      </c>
      <c r="L75" s="14" t="s">
        <v>10</v>
      </c>
      <c r="M75" s="14" t="s">
        <v>11</v>
      </c>
    </row>
    <row r="76" spans="1:13" x14ac:dyDescent="0.45">
      <c r="A76" s="20" t="s">
        <v>9</v>
      </c>
      <c r="B76" s="20" t="s">
        <v>76</v>
      </c>
      <c r="C76" s="21">
        <v>2030</v>
      </c>
      <c r="D76" s="21">
        <v>60</v>
      </c>
      <c r="E76" s="22">
        <v>1.03</v>
      </c>
      <c r="F76" s="22">
        <v>1.03</v>
      </c>
      <c r="G76" s="22">
        <v>0.1</v>
      </c>
      <c r="H76" s="22">
        <v>0.82</v>
      </c>
      <c r="I76" s="22">
        <v>1.55</v>
      </c>
      <c r="J76" s="22">
        <v>0.95</v>
      </c>
      <c r="K76" s="22">
        <v>1.1000000000000001</v>
      </c>
      <c r="L76" s="20" t="s">
        <v>10</v>
      </c>
      <c r="M76" s="20" t="s">
        <v>11</v>
      </c>
    </row>
    <row r="77" spans="1:13" x14ac:dyDescent="0.45">
      <c r="A77" s="14" t="s">
        <v>9</v>
      </c>
      <c r="B77" s="14" t="s">
        <v>76</v>
      </c>
      <c r="C77" s="15">
        <v>2035</v>
      </c>
      <c r="D77" s="15">
        <v>55</v>
      </c>
      <c r="E77" s="16">
        <v>1.05</v>
      </c>
      <c r="F77" s="16">
        <v>1.05</v>
      </c>
      <c r="G77" s="16">
        <v>0.12</v>
      </c>
      <c r="H77" s="16">
        <v>0.78</v>
      </c>
      <c r="I77" s="16">
        <v>1.63</v>
      </c>
      <c r="J77" s="16">
        <v>0.96</v>
      </c>
      <c r="K77" s="16">
        <v>1.1000000000000001</v>
      </c>
      <c r="L77" s="14" t="s">
        <v>10</v>
      </c>
      <c r="M77" s="14" t="s">
        <v>11</v>
      </c>
    </row>
    <row r="78" spans="1:13" x14ac:dyDescent="0.45">
      <c r="A78" s="20" t="s">
        <v>9</v>
      </c>
      <c r="B78" s="20" t="s">
        <v>76</v>
      </c>
      <c r="C78" s="21">
        <v>2040</v>
      </c>
      <c r="D78" s="21">
        <v>60</v>
      </c>
      <c r="E78" s="22">
        <v>1.08</v>
      </c>
      <c r="F78" s="22">
        <v>1.0900000000000001</v>
      </c>
      <c r="G78" s="22">
        <v>0.15</v>
      </c>
      <c r="H78" s="22">
        <v>0.77</v>
      </c>
      <c r="I78" s="22">
        <v>1.74</v>
      </c>
      <c r="J78" s="22">
        <v>0.95</v>
      </c>
      <c r="K78" s="22">
        <v>1.19</v>
      </c>
      <c r="L78" s="20" t="s">
        <v>10</v>
      </c>
      <c r="M78" s="20" t="s">
        <v>11</v>
      </c>
    </row>
    <row r="79" spans="1:13" x14ac:dyDescent="0.45">
      <c r="A79" s="14" t="s">
        <v>9</v>
      </c>
      <c r="B79" s="14" t="s">
        <v>76</v>
      </c>
      <c r="C79" s="15">
        <v>2045</v>
      </c>
      <c r="D79" s="15">
        <v>55</v>
      </c>
      <c r="E79" s="16">
        <v>1.0900000000000001</v>
      </c>
      <c r="F79" s="16">
        <v>1.1000000000000001</v>
      </c>
      <c r="G79" s="16">
        <v>0.17</v>
      </c>
      <c r="H79" s="16">
        <v>0.77</v>
      </c>
      <c r="I79" s="16">
        <v>1.78</v>
      </c>
      <c r="J79" s="16">
        <v>0.93</v>
      </c>
      <c r="K79" s="16">
        <v>1.1599999999999999</v>
      </c>
      <c r="L79" s="14" t="s">
        <v>10</v>
      </c>
      <c r="M79" s="14" t="s">
        <v>11</v>
      </c>
    </row>
    <row r="80" spans="1:13" x14ac:dyDescent="0.45">
      <c r="A80" s="20" t="s">
        <v>9</v>
      </c>
      <c r="B80" s="20" t="s">
        <v>76</v>
      </c>
      <c r="C80" s="21">
        <v>2050</v>
      </c>
      <c r="D80" s="21">
        <v>60</v>
      </c>
      <c r="E80" s="22">
        <v>1.1299999999999999</v>
      </c>
      <c r="F80" s="22">
        <v>1.1499999999999999</v>
      </c>
      <c r="G80" s="22">
        <v>0.19</v>
      </c>
      <c r="H80" s="22">
        <v>0.79</v>
      </c>
      <c r="I80" s="22">
        <v>1.86</v>
      </c>
      <c r="J80" s="22">
        <v>0.95</v>
      </c>
      <c r="K80" s="22">
        <v>1.22</v>
      </c>
      <c r="L80" s="20" t="s">
        <v>10</v>
      </c>
      <c r="M80" s="20" t="s">
        <v>11</v>
      </c>
    </row>
    <row r="81" spans="1:13" x14ac:dyDescent="0.45">
      <c r="A81" s="14" t="s">
        <v>0</v>
      </c>
      <c r="B81" s="14" t="s">
        <v>76</v>
      </c>
      <c r="C81" s="15">
        <v>2020</v>
      </c>
      <c r="D81" s="15">
        <v>61</v>
      </c>
      <c r="E81" s="16">
        <v>0</v>
      </c>
      <c r="F81" s="16">
        <v>0</v>
      </c>
      <c r="G81" s="16">
        <v>0</v>
      </c>
      <c r="H81" s="16">
        <v>0</v>
      </c>
      <c r="I81" s="16">
        <v>0.01</v>
      </c>
      <c r="J81" s="16">
        <v>0</v>
      </c>
      <c r="K81" s="16">
        <v>0</v>
      </c>
      <c r="L81" s="14" t="s">
        <v>1</v>
      </c>
      <c r="M81" s="14" t="s">
        <v>15</v>
      </c>
    </row>
    <row r="82" spans="1:13" x14ac:dyDescent="0.45">
      <c r="A82" s="20" t="s">
        <v>0</v>
      </c>
      <c r="B82" s="20" t="s">
        <v>76</v>
      </c>
      <c r="C82" s="21">
        <v>2025</v>
      </c>
      <c r="D82" s="21">
        <v>61</v>
      </c>
      <c r="E82" s="22">
        <v>0</v>
      </c>
      <c r="F82" s="22">
        <v>0</v>
      </c>
      <c r="G82" s="22">
        <v>0</v>
      </c>
      <c r="H82" s="22">
        <v>0</v>
      </c>
      <c r="I82" s="22">
        <v>0.02</v>
      </c>
      <c r="J82" s="22">
        <v>0</v>
      </c>
      <c r="K82" s="22">
        <v>0</v>
      </c>
      <c r="L82" s="20" t="s">
        <v>1</v>
      </c>
      <c r="M82" s="20" t="s">
        <v>15</v>
      </c>
    </row>
    <row r="83" spans="1:13" x14ac:dyDescent="0.45">
      <c r="A83" s="14" t="s">
        <v>0</v>
      </c>
      <c r="B83" s="14" t="s">
        <v>76</v>
      </c>
      <c r="C83" s="15">
        <v>2030</v>
      </c>
      <c r="D83" s="15">
        <v>61</v>
      </c>
      <c r="E83" s="16">
        <v>0.01</v>
      </c>
      <c r="F83" s="16">
        <v>0.01</v>
      </c>
      <c r="G83" s="16">
        <v>0.01</v>
      </c>
      <c r="H83" s="16">
        <v>0</v>
      </c>
      <c r="I83" s="16">
        <v>0.03</v>
      </c>
      <c r="J83" s="16">
        <v>0</v>
      </c>
      <c r="K83" s="16">
        <v>0.01</v>
      </c>
      <c r="L83" s="14" t="s">
        <v>1</v>
      </c>
      <c r="M83" s="14" t="s">
        <v>15</v>
      </c>
    </row>
    <row r="84" spans="1:13" x14ac:dyDescent="0.45">
      <c r="A84" s="20" t="s">
        <v>0</v>
      </c>
      <c r="B84" s="20" t="s">
        <v>76</v>
      </c>
      <c r="C84" s="21">
        <v>2035</v>
      </c>
      <c r="D84" s="21">
        <v>61</v>
      </c>
      <c r="E84" s="22">
        <v>0.03</v>
      </c>
      <c r="F84" s="22">
        <v>0.02</v>
      </c>
      <c r="G84" s="22">
        <v>0.02</v>
      </c>
      <c r="H84" s="22">
        <v>0</v>
      </c>
      <c r="I84" s="22">
        <v>0.09</v>
      </c>
      <c r="J84" s="22">
        <v>0.01</v>
      </c>
      <c r="K84" s="22">
        <v>0.03</v>
      </c>
      <c r="L84" s="20" t="s">
        <v>1</v>
      </c>
      <c r="M84" s="20" t="s">
        <v>15</v>
      </c>
    </row>
    <row r="85" spans="1:13" x14ac:dyDescent="0.45">
      <c r="A85" s="14" t="s">
        <v>0</v>
      </c>
      <c r="B85" s="14" t="s">
        <v>76</v>
      </c>
      <c r="C85" s="15">
        <v>2040</v>
      </c>
      <c r="D85" s="15">
        <v>61</v>
      </c>
      <c r="E85" s="16">
        <v>0.04</v>
      </c>
      <c r="F85" s="16">
        <v>0.03</v>
      </c>
      <c r="G85" s="16">
        <v>0.04</v>
      </c>
      <c r="H85" s="16">
        <v>0</v>
      </c>
      <c r="I85" s="16">
        <v>0.2</v>
      </c>
      <c r="J85" s="16">
        <v>0.02</v>
      </c>
      <c r="K85" s="16">
        <v>0.05</v>
      </c>
      <c r="L85" s="14" t="s">
        <v>1</v>
      </c>
      <c r="M85" s="14" t="s">
        <v>15</v>
      </c>
    </row>
    <row r="86" spans="1:13" x14ac:dyDescent="0.45">
      <c r="A86" s="20" t="s">
        <v>0</v>
      </c>
      <c r="B86" s="20" t="s">
        <v>76</v>
      </c>
      <c r="C86" s="21">
        <v>2045</v>
      </c>
      <c r="D86" s="21">
        <v>61</v>
      </c>
      <c r="E86" s="22">
        <v>0.06</v>
      </c>
      <c r="F86" s="22">
        <v>0.05</v>
      </c>
      <c r="G86" s="22">
        <v>0.05</v>
      </c>
      <c r="H86" s="22">
        <v>0</v>
      </c>
      <c r="I86" s="22">
        <v>0.22</v>
      </c>
      <c r="J86" s="22">
        <v>0.03</v>
      </c>
      <c r="K86" s="22">
        <v>0.06</v>
      </c>
      <c r="L86" s="20" t="s">
        <v>1</v>
      </c>
      <c r="M86" s="20" t="s">
        <v>15</v>
      </c>
    </row>
    <row r="87" spans="1:13" x14ac:dyDescent="0.45">
      <c r="A87" s="14" t="s">
        <v>0</v>
      </c>
      <c r="B87" s="14" t="s">
        <v>76</v>
      </c>
      <c r="C87" s="15">
        <v>2050</v>
      </c>
      <c r="D87" s="15">
        <v>61</v>
      </c>
      <c r="E87" s="16">
        <v>0.06</v>
      </c>
      <c r="F87" s="16">
        <v>0.06</v>
      </c>
      <c r="G87" s="16">
        <v>0.05</v>
      </c>
      <c r="H87" s="16">
        <v>0</v>
      </c>
      <c r="I87" s="16">
        <v>0.22</v>
      </c>
      <c r="J87" s="16">
        <v>0.04</v>
      </c>
      <c r="K87" s="16">
        <v>7.0000000000000007E-2</v>
      </c>
      <c r="L87" s="14" t="s">
        <v>1</v>
      </c>
      <c r="M87" s="14" t="s">
        <v>15</v>
      </c>
    </row>
    <row r="88" spans="1:13" x14ac:dyDescent="0.45">
      <c r="A88" s="20" t="s">
        <v>2</v>
      </c>
      <c r="B88" s="20" t="s">
        <v>76</v>
      </c>
      <c r="C88" s="21">
        <v>2020</v>
      </c>
      <c r="D88" s="21">
        <v>89</v>
      </c>
      <c r="E88" s="22">
        <v>0</v>
      </c>
      <c r="F88" s="22">
        <v>0</v>
      </c>
      <c r="G88" s="22">
        <v>0</v>
      </c>
      <c r="H88" s="22">
        <v>0</v>
      </c>
      <c r="I88" s="22">
        <v>0.01</v>
      </c>
      <c r="J88" s="22">
        <v>0</v>
      </c>
      <c r="K88" s="22">
        <v>0</v>
      </c>
      <c r="L88" s="20" t="s">
        <v>3</v>
      </c>
      <c r="M88" s="20" t="s">
        <v>15</v>
      </c>
    </row>
    <row r="89" spans="1:13" x14ac:dyDescent="0.45">
      <c r="A89" s="14" t="s">
        <v>2</v>
      </c>
      <c r="B89" s="14" t="s">
        <v>76</v>
      </c>
      <c r="C89" s="15">
        <v>2025</v>
      </c>
      <c r="D89" s="15">
        <v>78</v>
      </c>
      <c r="E89" s="16">
        <v>0</v>
      </c>
      <c r="F89" s="16">
        <v>0</v>
      </c>
      <c r="G89" s="16">
        <v>0</v>
      </c>
      <c r="H89" s="16">
        <v>0</v>
      </c>
      <c r="I89" s="16">
        <v>0.02</v>
      </c>
      <c r="J89" s="16">
        <v>0</v>
      </c>
      <c r="K89" s="16">
        <v>0</v>
      </c>
      <c r="L89" s="14" t="s">
        <v>3</v>
      </c>
      <c r="M89" s="14" t="s">
        <v>15</v>
      </c>
    </row>
    <row r="90" spans="1:13" x14ac:dyDescent="0.45">
      <c r="A90" s="20" t="s">
        <v>2</v>
      </c>
      <c r="B90" s="20" t="s">
        <v>76</v>
      </c>
      <c r="C90" s="21">
        <v>2030</v>
      </c>
      <c r="D90" s="21">
        <v>89</v>
      </c>
      <c r="E90" s="22">
        <v>0</v>
      </c>
      <c r="F90" s="22">
        <v>0</v>
      </c>
      <c r="G90" s="22">
        <v>0.01</v>
      </c>
      <c r="H90" s="22">
        <v>0</v>
      </c>
      <c r="I90" s="22">
        <v>0.03</v>
      </c>
      <c r="J90" s="22">
        <v>0</v>
      </c>
      <c r="K90" s="22">
        <v>0.01</v>
      </c>
      <c r="L90" s="20" t="s">
        <v>3</v>
      </c>
      <c r="M90" s="20" t="s">
        <v>15</v>
      </c>
    </row>
    <row r="91" spans="1:13" x14ac:dyDescent="0.45">
      <c r="A91" s="14" t="s">
        <v>2</v>
      </c>
      <c r="B91" s="14" t="s">
        <v>76</v>
      </c>
      <c r="C91" s="15">
        <v>2035</v>
      </c>
      <c r="D91" s="15">
        <v>78</v>
      </c>
      <c r="E91" s="16">
        <v>0.01</v>
      </c>
      <c r="F91" s="16">
        <v>0.01</v>
      </c>
      <c r="G91" s="16">
        <v>0.02</v>
      </c>
      <c r="H91" s="16">
        <v>0</v>
      </c>
      <c r="I91" s="16">
        <v>0.09</v>
      </c>
      <c r="J91" s="16">
        <v>0</v>
      </c>
      <c r="K91" s="16">
        <v>0.02</v>
      </c>
      <c r="L91" s="14" t="s">
        <v>3</v>
      </c>
      <c r="M91" s="14" t="s">
        <v>15</v>
      </c>
    </row>
    <row r="92" spans="1:13" x14ac:dyDescent="0.45">
      <c r="A92" s="20" t="s">
        <v>2</v>
      </c>
      <c r="B92" s="20" t="s">
        <v>76</v>
      </c>
      <c r="C92" s="21">
        <v>2040</v>
      </c>
      <c r="D92" s="21">
        <v>89</v>
      </c>
      <c r="E92" s="22">
        <v>0.04</v>
      </c>
      <c r="F92" s="22">
        <v>0.03</v>
      </c>
      <c r="G92" s="22">
        <v>0.04</v>
      </c>
      <c r="H92" s="22">
        <v>0</v>
      </c>
      <c r="I92" s="22">
        <v>0.2</v>
      </c>
      <c r="J92" s="22">
        <v>0.01</v>
      </c>
      <c r="K92" s="22">
        <v>0.04</v>
      </c>
      <c r="L92" s="20" t="s">
        <v>3</v>
      </c>
      <c r="M92" s="20" t="s">
        <v>15</v>
      </c>
    </row>
    <row r="93" spans="1:13" x14ac:dyDescent="0.45">
      <c r="A93" s="14" t="s">
        <v>2</v>
      </c>
      <c r="B93" s="14" t="s">
        <v>76</v>
      </c>
      <c r="C93" s="15">
        <v>2045</v>
      </c>
      <c r="D93" s="15">
        <v>78</v>
      </c>
      <c r="E93" s="16">
        <v>0.05</v>
      </c>
      <c r="F93" s="16">
        <v>0.03</v>
      </c>
      <c r="G93" s="16">
        <v>0.05</v>
      </c>
      <c r="H93" s="16">
        <v>0</v>
      </c>
      <c r="I93" s="16">
        <v>0.22</v>
      </c>
      <c r="J93" s="16">
        <v>0.02</v>
      </c>
      <c r="K93" s="16">
        <v>0.05</v>
      </c>
      <c r="L93" s="14" t="s">
        <v>3</v>
      </c>
      <c r="M93" s="14" t="s">
        <v>15</v>
      </c>
    </row>
    <row r="94" spans="1:13" x14ac:dyDescent="0.45">
      <c r="A94" s="20" t="s">
        <v>2</v>
      </c>
      <c r="B94" s="20" t="s">
        <v>76</v>
      </c>
      <c r="C94" s="21">
        <v>2050</v>
      </c>
      <c r="D94" s="21">
        <v>89</v>
      </c>
      <c r="E94" s="22">
        <v>0.06</v>
      </c>
      <c r="F94" s="22">
        <v>0.06</v>
      </c>
      <c r="G94" s="22">
        <v>0.05</v>
      </c>
      <c r="H94" s="22">
        <v>0</v>
      </c>
      <c r="I94" s="22">
        <v>0.24</v>
      </c>
      <c r="J94" s="22">
        <v>0.04</v>
      </c>
      <c r="K94" s="22">
        <v>7.0000000000000007E-2</v>
      </c>
      <c r="L94" s="20" t="s">
        <v>3</v>
      </c>
      <c r="M94" s="20" t="s">
        <v>15</v>
      </c>
    </row>
    <row r="95" spans="1:13" x14ac:dyDescent="0.45">
      <c r="A95" s="14" t="s">
        <v>5</v>
      </c>
      <c r="B95" s="14" t="s">
        <v>76</v>
      </c>
      <c r="C95" s="15">
        <v>2020</v>
      </c>
      <c r="D95" s="15">
        <v>215</v>
      </c>
      <c r="E95" s="16">
        <v>0</v>
      </c>
      <c r="F95" s="16">
        <v>0</v>
      </c>
      <c r="G95" s="16">
        <v>0</v>
      </c>
      <c r="H95" s="16">
        <v>0</v>
      </c>
      <c r="I95" s="16">
        <v>0.01</v>
      </c>
      <c r="J95" s="16">
        <v>0</v>
      </c>
      <c r="K95" s="16">
        <v>0</v>
      </c>
      <c r="L95" s="14" t="s">
        <v>6</v>
      </c>
      <c r="M95" s="14" t="s">
        <v>15</v>
      </c>
    </row>
    <row r="96" spans="1:13" x14ac:dyDescent="0.45">
      <c r="A96" s="20" t="s">
        <v>5</v>
      </c>
      <c r="B96" s="20" t="s">
        <v>76</v>
      </c>
      <c r="C96" s="21">
        <v>2025</v>
      </c>
      <c r="D96" s="21">
        <v>198</v>
      </c>
      <c r="E96" s="22">
        <v>0</v>
      </c>
      <c r="F96" s="22">
        <v>0</v>
      </c>
      <c r="G96" s="22">
        <v>0</v>
      </c>
      <c r="H96" s="22">
        <v>0</v>
      </c>
      <c r="I96" s="22">
        <v>0.02</v>
      </c>
      <c r="J96" s="22">
        <v>0</v>
      </c>
      <c r="K96" s="22">
        <v>0</v>
      </c>
      <c r="L96" s="20" t="s">
        <v>6</v>
      </c>
      <c r="M96" s="20" t="s">
        <v>15</v>
      </c>
    </row>
    <row r="97" spans="1:13" x14ac:dyDescent="0.45">
      <c r="A97" s="14" t="s">
        <v>5</v>
      </c>
      <c r="B97" s="14" t="s">
        <v>76</v>
      </c>
      <c r="C97" s="15">
        <v>2030</v>
      </c>
      <c r="D97" s="15">
        <v>215</v>
      </c>
      <c r="E97" s="16">
        <v>0.01</v>
      </c>
      <c r="F97" s="16">
        <v>0</v>
      </c>
      <c r="G97" s="16">
        <v>0.01</v>
      </c>
      <c r="H97" s="16">
        <v>0</v>
      </c>
      <c r="I97" s="16">
        <v>0.04</v>
      </c>
      <c r="J97" s="16">
        <v>0</v>
      </c>
      <c r="K97" s="16">
        <v>0.01</v>
      </c>
      <c r="L97" s="14" t="s">
        <v>6</v>
      </c>
      <c r="M97" s="14" t="s">
        <v>15</v>
      </c>
    </row>
    <row r="98" spans="1:13" x14ac:dyDescent="0.45">
      <c r="A98" s="20" t="s">
        <v>5</v>
      </c>
      <c r="B98" s="20" t="s">
        <v>76</v>
      </c>
      <c r="C98" s="21">
        <v>2035</v>
      </c>
      <c r="D98" s="21">
        <v>198</v>
      </c>
      <c r="E98" s="22">
        <v>0.01</v>
      </c>
      <c r="F98" s="22">
        <v>0.01</v>
      </c>
      <c r="G98" s="22">
        <v>0.01</v>
      </c>
      <c r="H98" s="22">
        <v>0</v>
      </c>
      <c r="I98" s="22">
        <v>7.0000000000000007E-2</v>
      </c>
      <c r="J98" s="22">
        <v>0</v>
      </c>
      <c r="K98" s="22">
        <v>0.02</v>
      </c>
      <c r="L98" s="20" t="s">
        <v>6</v>
      </c>
      <c r="M98" s="20" t="s">
        <v>15</v>
      </c>
    </row>
    <row r="99" spans="1:13" x14ac:dyDescent="0.45">
      <c r="A99" s="14" t="s">
        <v>5</v>
      </c>
      <c r="B99" s="14" t="s">
        <v>76</v>
      </c>
      <c r="C99" s="15">
        <v>2040</v>
      </c>
      <c r="D99" s="15">
        <v>215</v>
      </c>
      <c r="E99" s="16">
        <v>0.02</v>
      </c>
      <c r="F99" s="16">
        <v>0.01</v>
      </c>
      <c r="G99" s="16">
        <v>0.02</v>
      </c>
      <c r="H99" s="16">
        <v>0</v>
      </c>
      <c r="I99" s="16">
        <v>0.11</v>
      </c>
      <c r="J99" s="16">
        <v>0</v>
      </c>
      <c r="K99" s="16">
        <v>0.03</v>
      </c>
      <c r="L99" s="14" t="s">
        <v>6</v>
      </c>
      <c r="M99" s="14" t="s">
        <v>15</v>
      </c>
    </row>
    <row r="100" spans="1:13" x14ac:dyDescent="0.45">
      <c r="A100" s="20" t="s">
        <v>5</v>
      </c>
      <c r="B100" s="20" t="s">
        <v>76</v>
      </c>
      <c r="C100" s="21">
        <v>2045</v>
      </c>
      <c r="D100" s="21">
        <v>198</v>
      </c>
      <c r="E100" s="22">
        <v>0.02</v>
      </c>
      <c r="F100" s="22">
        <v>0.02</v>
      </c>
      <c r="G100" s="22">
        <v>0.03</v>
      </c>
      <c r="H100" s="22">
        <v>0</v>
      </c>
      <c r="I100" s="22">
        <v>0.14000000000000001</v>
      </c>
      <c r="J100" s="22">
        <v>0</v>
      </c>
      <c r="K100" s="22">
        <v>0.04</v>
      </c>
      <c r="L100" s="20" t="s">
        <v>6</v>
      </c>
      <c r="M100" s="20" t="s">
        <v>15</v>
      </c>
    </row>
    <row r="101" spans="1:13" x14ac:dyDescent="0.45">
      <c r="A101" s="14" t="s">
        <v>5</v>
      </c>
      <c r="B101" s="14" t="s">
        <v>76</v>
      </c>
      <c r="C101" s="15">
        <v>2050</v>
      </c>
      <c r="D101" s="15">
        <v>215</v>
      </c>
      <c r="E101" s="16">
        <v>0.04</v>
      </c>
      <c r="F101" s="16">
        <v>0.03</v>
      </c>
      <c r="G101" s="16">
        <v>0.03</v>
      </c>
      <c r="H101" s="16">
        <v>0</v>
      </c>
      <c r="I101" s="16">
        <v>0.17</v>
      </c>
      <c r="J101" s="16">
        <v>0.01</v>
      </c>
      <c r="K101" s="16">
        <v>0.06</v>
      </c>
      <c r="L101" s="14" t="s">
        <v>6</v>
      </c>
      <c r="M101" s="14" t="s">
        <v>15</v>
      </c>
    </row>
    <row r="102" spans="1:13" x14ac:dyDescent="0.45">
      <c r="A102" s="20" t="s">
        <v>7</v>
      </c>
      <c r="B102" s="20" t="s">
        <v>76</v>
      </c>
      <c r="C102" s="21">
        <v>2020</v>
      </c>
      <c r="D102" s="21">
        <v>97</v>
      </c>
      <c r="E102" s="22">
        <v>0</v>
      </c>
      <c r="F102" s="22">
        <v>0</v>
      </c>
      <c r="G102" s="22">
        <v>0</v>
      </c>
      <c r="H102" s="22">
        <v>0</v>
      </c>
      <c r="I102" s="22">
        <v>0.01</v>
      </c>
      <c r="J102" s="22">
        <v>0</v>
      </c>
      <c r="K102" s="22">
        <v>0</v>
      </c>
      <c r="L102" s="20" t="s">
        <v>8</v>
      </c>
      <c r="M102" s="20" t="s">
        <v>15</v>
      </c>
    </row>
    <row r="103" spans="1:13" x14ac:dyDescent="0.45">
      <c r="A103" s="14" t="s">
        <v>7</v>
      </c>
      <c r="B103" s="14" t="s">
        <v>76</v>
      </c>
      <c r="C103" s="15">
        <v>2025</v>
      </c>
      <c r="D103" s="15">
        <v>91</v>
      </c>
      <c r="E103" s="16">
        <v>0</v>
      </c>
      <c r="F103" s="16">
        <v>0</v>
      </c>
      <c r="G103" s="16">
        <v>0</v>
      </c>
      <c r="H103" s="16">
        <v>0</v>
      </c>
      <c r="I103" s="16">
        <v>0.01</v>
      </c>
      <c r="J103" s="16">
        <v>0</v>
      </c>
      <c r="K103" s="16">
        <v>0</v>
      </c>
      <c r="L103" s="14" t="s">
        <v>8</v>
      </c>
      <c r="M103" s="14" t="s">
        <v>15</v>
      </c>
    </row>
    <row r="104" spans="1:13" x14ac:dyDescent="0.45">
      <c r="A104" s="20" t="s">
        <v>7</v>
      </c>
      <c r="B104" s="20" t="s">
        <v>76</v>
      </c>
      <c r="C104" s="21">
        <v>2030</v>
      </c>
      <c r="D104" s="21">
        <v>97</v>
      </c>
      <c r="E104" s="22">
        <v>0.01</v>
      </c>
      <c r="F104" s="22">
        <v>0</v>
      </c>
      <c r="G104" s="22">
        <v>0.01</v>
      </c>
      <c r="H104" s="22">
        <v>0</v>
      </c>
      <c r="I104" s="22">
        <v>0.03</v>
      </c>
      <c r="J104" s="22">
        <v>0</v>
      </c>
      <c r="K104" s="22">
        <v>0.01</v>
      </c>
      <c r="L104" s="20" t="s">
        <v>8</v>
      </c>
      <c r="M104" s="20" t="s">
        <v>15</v>
      </c>
    </row>
    <row r="105" spans="1:13" x14ac:dyDescent="0.45">
      <c r="A105" s="14" t="s">
        <v>7</v>
      </c>
      <c r="B105" s="14" t="s">
        <v>76</v>
      </c>
      <c r="C105" s="15">
        <v>2035</v>
      </c>
      <c r="D105" s="15">
        <v>91</v>
      </c>
      <c r="E105" s="16">
        <v>0.01</v>
      </c>
      <c r="F105" s="16">
        <v>0</v>
      </c>
      <c r="G105" s="16">
        <v>0.02</v>
      </c>
      <c r="H105" s="16">
        <v>0</v>
      </c>
      <c r="I105" s="16">
        <v>7.0000000000000007E-2</v>
      </c>
      <c r="J105" s="16">
        <v>0</v>
      </c>
      <c r="K105" s="16">
        <v>0.01</v>
      </c>
      <c r="L105" s="14" t="s">
        <v>8</v>
      </c>
      <c r="M105" s="14" t="s">
        <v>15</v>
      </c>
    </row>
    <row r="106" spans="1:13" x14ac:dyDescent="0.45">
      <c r="A106" s="20" t="s">
        <v>7</v>
      </c>
      <c r="B106" s="20" t="s">
        <v>76</v>
      </c>
      <c r="C106" s="21">
        <v>2040</v>
      </c>
      <c r="D106" s="21">
        <v>97</v>
      </c>
      <c r="E106" s="22">
        <v>0.01</v>
      </c>
      <c r="F106" s="22">
        <v>0</v>
      </c>
      <c r="G106" s="22">
        <v>0.03</v>
      </c>
      <c r="H106" s="22">
        <v>0</v>
      </c>
      <c r="I106" s="22">
        <v>0.11</v>
      </c>
      <c r="J106" s="22">
        <v>0</v>
      </c>
      <c r="K106" s="22">
        <v>0.02</v>
      </c>
      <c r="L106" s="20" t="s">
        <v>8</v>
      </c>
      <c r="M106" s="20" t="s">
        <v>15</v>
      </c>
    </row>
    <row r="107" spans="1:13" x14ac:dyDescent="0.45">
      <c r="A107" s="14" t="s">
        <v>7</v>
      </c>
      <c r="B107" s="14" t="s">
        <v>76</v>
      </c>
      <c r="C107" s="15">
        <v>2045</v>
      </c>
      <c r="D107" s="15">
        <v>91</v>
      </c>
      <c r="E107" s="16">
        <v>0.02</v>
      </c>
      <c r="F107" s="16">
        <v>0</v>
      </c>
      <c r="G107" s="16">
        <v>0.03</v>
      </c>
      <c r="H107" s="16">
        <v>0</v>
      </c>
      <c r="I107" s="16">
        <v>0.1</v>
      </c>
      <c r="J107" s="16">
        <v>0</v>
      </c>
      <c r="K107" s="16">
        <v>0.03</v>
      </c>
      <c r="L107" s="14" t="s">
        <v>8</v>
      </c>
      <c r="M107" s="14" t="s">
        <v>15</v>
      </c>
    </row>
    <row r="108" spans="1:13" x14ac:dyDescent="0.45">
      <c r="A108" s="20" t="s">
        <v>7</v>
      </c>
      <c r="B108" s="20" t="s">
        <v>76</v>
      </c>
      <c r="C108" s="21">
        <v>2050</v>
      </c>
      <c r="D108" s="21">
        <v>97</v>
      </c>
      <c r="E108" s="22">
        <v>0.02</v>
      </c>
      <c r="F108" s="22">
        <v>0</v>
      </c>
      <c r="G108" s="22">
        <v>0.02</v>
      </c>
      <c r="H108" s="22">
        <v>0</v>
      </c>
      <c r="I108" s="22">
        <v>0.08</v>
      </c>
      <c r="J108" s="22">
        <v>0</v>
      </c>
      <c r="K108" s="22">
        <v>0.03</v>
      </c>
      <c r="L108" s="20" t="s">
        <v>8</v>
      </c>
      <c r="M108" s="20" t="s">
        <v>15</v>
      </c>
    </row>
    <row r="109" spans="1:13" x14ac:dyDescent="0.45">
      <c r="A109" s="14" t="s">
        <v>9</v>
      </c>
      <c r="B109" s="14" t="s">
        <v>76</v>
      </c>
      <c r="C109" s="15">
        <v>2020</v>
      </c>
      <c r="D109" s="15">
        <v>57</v>
      </c>
      <c r="E109" s="16">
        <v>0</v>
      </c>
      <c r="F109" s="16">
        <v>0</v>
      </c>
      <c r="G109" s="16">
        <v>0</v>
      </c>
      <c r="H109" s="16">
        <v>0</v>
      </c>
      <c r="I109" s="16">
        <v>0.01</v>
      </c>
      <c r="J109" s="16">
        <v>0</v>
      </c>
      <c r="K109" s="16">
        <v>0</v>
      </c>
      <c r="L109" s="14" t="s">
        <v>10</v>
      </c>
      <c r="M109" s="14" t="s">
        <v>15</v>
      </c>
    </row>
    <row r="110" spans="1:13" x14ac:dyDescent="0.45">
      <c r="A110" s="20" t="s">
        <v>9</v>
      </c>
      <c r="B110" s="20" t="s">
        <v>76</v>
      </c>
      <c r="C110" s="21">
        <v>2025</v>
      </c>
      <c r="D110" s="21">
        <v>52</v>
      </c>
      <c r="E110" s="22">
        <v>0</v>
      </c>
      <c r="F110" s="22">
        <v>0</v>
      </c>
      <c r="G110" s="22">
        <v>0</v>
      </c>
      <c r="H110" s="22">
        <v>0</v>
      </c>
      <c r="I110" s="22">
        <v>0.02</v>
      </c>
      <c r="J110" s="22">
        <v>0</v>
      </c>
      <c r="K110" s="22">
        <v>0</v>
      </c>
      <c r="L110" s="20" t="s">
        <v>10</v>
      </c>
      <c r="M110" s="20" t="s">
        <v>15</v>
      </c>
    </row>
    <row r="111" spans="1:13" x14ac:dyDescent="0.45">
      <c r="A111" s="14" t="s">
        <v>9</v>
      </c>
      <c r="B111" s="14" t="s">
        <v>76</v>
      </c>
      <c r="C111" s="15">
        <v>2030</v>
      </c>
      <c r="D111" s="15">
        <v>57</v>
      </c>
      <c r="E111" s="16">
        <v>0.01</v>
      </c>
      <c r="F111" s="16">
        <v>0.01</v>
      </c>
      <c r="G111" s="16">
        <v>0.01</v>
      </c>
      <c r="H111" s="16">
        <v>0</v>
      </c>
      <c r="I111" s="16">
        <v>0.03</v>
      </c>
      <c r="J111" s="16">
        <v>0</v>
      </c>
      <c r="K111" s="16">
        <v>0.01</v>
      </c>
      <c r="L111" s="14" t="s">
        <v>10</v>
      </c>
      <c r="M111" s="14" t="s">
        <v>15</v>
      </c>
    </row>
    <row r="112" spans="1:13" x14ac:dyDescent="0.45">
      <c r="A112" s="20" t="s">
        <v>9</v>
      </c>
      <c r="B112" s="20" t="s">
        <v>76</v>
      </c>
      <c r="C112" s="21">
        <v>2035</v>
      </c>
      <c r="D112" s="21">
        <v>52</v>
      </c>
      <c r="E112" s="22">
        <v>0.01</v>
      </c>
      <c r="F112" s="22">
        <v>0.01</v>
      </c>
      <c r="G112" s="22">
        <v>0.01</v>
      </c>
      <c r="H112" s="22">
        <v>0</v>
      </c>
      <c r="I112" s="22">
        <v>7.0000000000000007E-2</v>
      </c>
      <c r="J112" s="22">
        <v>0</v>
      </c>
      <c r="K112" s="22">
        <v>0.02</v>
      </c>
      <c r="L112" s="20" t="s">
        <v>10</v>
      </c>
      <c r="M112" s="20" t="s">
        <v>15</v>
      </c>
    </row>
    <row r="113" spans="1:13" x14ac:dyDescent="0.45">
      <c r="A113" s="14" t="s">
        <v>9</v>
      </c>
      <c r="B113" s="14" t="s">
        <v>76</v>
      </c>
      <c r="C113" s="15">
        <v>2040</v>
      </c>
      <c r="D113" s="15">
        <v>57</v>
      </c>
      <c r="E113" s="16">
        <v>0.02</v>
      </c>
      <c r="F113" s="16">
        <v>0.01</v>
      </c>
      <c r="G113" s="16">
        <v>0.02</v>
      </c>
      <c r="H113" s="16">
        <v>0</v>
      </c>
      <c r="I113" s="16">
        <v>0.09</v>
      </c>
      <c r="J113" s="16">
        <v>0</v>
      </c>
      <c r="K113" s="16">
        <v>0.03</v>
      </c>
      <c r="L113" s="14" t="s">
        <v>10</v>
      </c>
      <c r="M113" s="14" t="s">
        <v>15</v>
      </c>
    </row>
    <row r="114" spans="1:13" x14ac:dyDescent="0.45">
      <c r="A114" s="20" t="s">
        <v>9</v>
      </c>
      <c r="B114" s="20" t="s">
        <v>76</v>
      </c>
      <c r="C114" s="21">
        <v>2045</v>
      </c>
      <c r="D114" s="21">
        <v>52</v>
      </c>
      <c r="E114" s="22">
        <v>0.02</v>
      </c>
      <c r="F114" s="22">
        <v>0.02</v>
      </c>
      <c r="G114" s="22">
        <v>0.02</v>
      </c>
      <c r="H114" s="22">
        <v>0</v>
      </c>
      <c r="I114" s="22">
        <v>0.09</v>
      </c>
      <c r="J114" s="22">
        <v>0</v>
      </c>
      <c r="K114" s="22">
        <v>0.03</v>
      </c>
      <c r="L114" s="20" t="s">
        <v>10</v>
      </c>
      <c r="M114" s="20" t="s">
        <v>15</v>
      </c>
    </row>
    <row r="115" spans="1:13" x14ac:dyDescent="0.45">
      <c r="A115" s="14" t="s">
        <v>9</v>
      </c>
      <c r="B115" s="14" t="s">
        <v>76</v>
      </c>
      <c r="C115" s="15">
        <v>2050</v>
      </c>
      <c r="D115" s="15">
        <v>57</v>
      </c>
      <c r="E115" s="16">
        <v>0.02</v>
      </c>
      <c r="F115" s="16">
        <v>0.02</v>
      </c>
      <c r="G115" s="16">
        <v>0.02</v>
      </c>
      <c r="H115" s="16">
        <v>0</v>
      </c>
      <c r="I115" s="16">
        <v>0.08</v>
      </c>
      <c r="J115" s="16">
        <v>0.01</v>
      </c>
      <c r="K115" s="16">
        <v>0.03</v>
      </c>
      <c r="L115" s="14" t="s">
        <v>10</v>
      </c>
      <c r="M115" s="14" t="s">
        <v>15</v>
      </c>
    </row>
    <row r="116" spans="1:13" x14ac:dyDescent="0.45">
      <c r="A116" s="20" t="s">
        <v>0</v>
      </c>
      <c r="B116" s="20" t="s">
        <v>76</v>
      </c>
      <c r="C116" s="21">
        <v>2020</v>
      </c>
      <c r="D116" s="21">
        <v>58</v>
      </c>
      <c r="E116" s="22">
        <v>0.33</v>
      </c>
      <c r="F116" s="22">
        <v>0.32</v>
      </c>
      <c r="G116" s="22">
        <v>0.03</v>
      </c>
      <c r="H116" s="22">
        <v>0.3</v>
      </c>
      <c r="I116" s="22">
        <v>0.41</v>
      </c>
      <c r="J116" s="22">
        <v>0.3</v>
      </c>
      <c r="K116" s="22">
        <v>0.34</v>
      </c>
      <c r="L116" s="20" t="s">
        <v>1</v>
      </c>
      <c r="M116" s="20" t="s">
        <v>18</v>
      </c>
    </row>
    <row r="117" spans="1:13" x14ac:dyDescent="0.45">
      <c r="A117" s="14" t="s">
        <v>0</v>
      </c>
      <c r="B117" s="14" t="s">
        <v>76</v>
      </c>
      <c r="C117" s="15">
        <v>2025</v>
      </c>
      <c r="D117" s="15">
        <v>58</v>
      </c>
      <c r="E117" s="16">
        <v>0.3</v>
      </c>
      <c r="F117" s="16">
        <v>0.28000000000000003</v>
      </c>
      <c r="G117" s="16">
        <v>0.05</v>
      </c>
      <c r="H117" s="16">
        <v>0.2</v>
      </c>
      <c r="I117" s="16">
        <v>0.44</v>
      </c>
      <c r="J117" s="16">
        <v>0.28000000000000003</v>
      </c>
      <c r="K117" s="16">
        <v>0.33</v>
      </c>
      <c r="L117" s="14" t="s">
        <v>1</v>
      </c>
      <c r="M117" s="14" t="s">
        <v>18</v>
      </c>
    </row>
    <row r="118" spans="1:13" x14ac:dyDescent="0.45">
      <c r="A118" s="20" t="s">
        <v>0</v>
      </c>
      <c r="B118" s="20" t="s">
        <v>76</v>
      </c>
      <c r="C118" s="21">
        <v>2030</v>
      </c>
      <c r="D118" s="21">
        <v>58</v>
      </c>
      <c r="E118" s="22">
        <v>0.28999999999999998</v>
      </c>
      <c r="F118" s="22">
        <v>0.28000000000000003</v>
      </c>
      <c r="G118" s="22">
        <v>0.05</v>
      </c>
      <c r="H118" s="22">
        <v>0.21</v>
      </c>
      <c r="I118" s="22">
        <v>0.49</v>
      </c>
      <c r="J118" s="22">
        <v>0.27</v>
      </c>
      <c r="K118" s="22">
        <v>0.31</v>
      </c>
      <c r="L118" s="20" t="s">
        <v>1</v>
      </c>
      <c r="M118" s="20" t="s">
        <v>18</v>
      </c>
    </row>
    <row r="119" spans="1:13" x14ac:dyDescent="0.45">
      <c r="A119" s="14" t="s">
        <v>0</v>
      </c>
      <c r="B119" s="14" t="s">
        <v>76</v>
      </c>
      <c r="C119" s="15">
        <v>2035</v>
      </c>
      <c r="D119" s="15">
        <v>58</v>
      </c>
      <c r="E119" s="16">
        <v>0.28999999999999998</v>
      </c>
      <c r="F119" s="16">
        <v>0.27</v>
      </c>
      <c r="G119" s="16">
        <v>0.06</v>
      </c>
      <c r="H119" s="16">
        <v>0.21</v>
      </c>
      <c r="I119" s="16">
        <v>0.51</v>
      </c>
      <c r="J119" s="16">
        <v>0.27</v>
      </c>
      <c r="K119" s="16">
        <v>0.3</v>
      </c>
      <c r="L119" s="14" t="s">
        <v>1</v>
      </c>
      <c r="M119" s="14" t="s">
        <v>18</v>
      </c>
    </row>
    <row r="120" spans="1:13" x14ac:dyDescent="0.45">
      <c r="A120" s="20" t="s">
        <v>0</v>
      </c>
      <c r="B120" s="20" t="s">
        <v>76</v>
      </c>
      <c r="C120" s="21">
        <v>2040</v>
      </c>
      <c r="D120" s="21">
        <v>58</v>
      </c>
      <c r="E120" s="22">
        <v>0.3</v>
      </c>
      <c r="F120" s="22">
        <v>0.28999999999999998</v>
      </c>
      <c r="G120" s="22">
        <v>7.0000000000000007E-2</v>
      </c>
      <c r="H120" s="22">
        <v>0.2</v>
      </c>
      <c r="I120" s="22">
        <v>0.51</v>
      </c>
      <c r="J120" s="22">
        <v>0.26</v>
      </c>
      <c r="K120" s="22">
        <v>0.32</v>
      </c>
      <c r="L120" s="20" t="s">
        <v>1</v>
      </c>
      <c r="M120" s="20" t="s">
        <v>18</v>
      </c>
    </row>
    <row r="121" spans="1:13" x14ac:dyDescent="0.45">
      <c r="A121" s="14" t="s">
        <v>0</v>
      </c>
      <c r="B121" s="14" t="s">
        <v>76</v>
      </c>
      <c r="C121" s="15">
        <v>2045</v>
      </c>
      <c r="D121" s="15">
        <v>58</v>
      </c>
      <c r="E121" s="16">
        <v>0.3</v>
      </c>
      <c r="F121" s="16">
        <v>0.3</v>
      </c>
      <c r="G121" s="16">
        <v>7.0000000000000007E-2</v>
      </c>
      <c r="H121" s="16">
        <v>0.19</v>
      </c>
      <c r="I121" s="16">
        <v>0.51</v>
      </c>
      <c r="J121" s="16">
        <v>0.26</v>
      </c>
      <c r="K121" s="16">
        <v>0.33</v>
      </c>
      <c r="L121" s="14" t="s">
        <v>1</v>
      </c>
      <c r="M121" s="14" t="s">
        <v>18</v>
      </c>
    </row>
    <row r="122" spans="1:13" x14ac:dyDescent="0.45">
      <c r="A122" s="20" t="s">
        <v>0</v>
      </c>
      <c r="B122" s="20" t="s">
        <v>76</v>
      </c>
      <c r="C122" s="21">
        <v>2050</v>
      </c>
      <c r="D122" s="21">
        <v>58</v>
      </c>
      <c r="E122" s="22">
        <v>0.32</v>
      </c>
      <c r="F122" s="22">
        <v>0.32</v>
      </c>
      <c r="G122" s="22">
        <v>0.08</v>
      </c>
      <c r="H122" s="22">
        <v>0.19</v>
      </c>
      <c r="I122" s="22">
        <v>0.5</v>
      </c>
      <c r="J122" s="22">
        <v>0.26</v>
      </c>
      <c r="K122" s="22">
        <v>0.36</v>
      </c>
      <c r="L122" s="20" t="s">
        <v>1</v>
      </c>
      <c r="M122" s="20" t="s">
        <v>18</v>
      </c>
    </row>
    <row r="123" spans="1:13" x14ac:dyDescent="0.45">
      <c r="A123" s="14" t="s">
        <v>2</v>
      </c>
      <c r="B123" s="14" t="s">
        <v>76</v>
      </c>
      <c r="C123" s="15">
        <v>2020</v>
      </c>
      <c r="D123" s="15">
        <v>89</v>
      </c>
      <c r="E123" s="16">
        <v>0.32</v>
      </c>
      <c r="F123" s="16">
        <v>0.32</v>
      </c>
      <c r="G123" s="16">
        <v>0.03</v>
      </c>
      <c r="H123" s="16">
        <v>0.28000000000000003</v>
      </c>
      <c r="I123" s="16">
        <v>0.45</v>
      </c>
      <c r="J123" s="16">
        <v>0.3</v>
      </c>
      <c r="K123" s="16">
        <v>0.34</v>
      </c>
      <c r="L123" s="14" t="s">
        <v>3</v>
      </c>
      <c r="M123" s="14" t="s">
        <v>18</v>
      </c>
    </row>
    <row r="124" spans="1:13" x14ac:dyDescent="0.45">
      <c r="A124" s="20" t="s">
        <v>2</v>
      </c>
      <c r="B124" s="20" t="s">
        <v>76</v>
      </c>
      <c r="C124" s="21">
        <v>2025</v>
      </c>
      <c r="D124" s="21">
        <v>78</v>
      </c>
      <c r="E124" s="22">
        <v>0.31</v>
      </c>
      <c r="F124" s="22">
        <v>0.31</v>
      </c>
      <c r="G124" s="22">
        <v>0.04</v>
      </c>
      <c r="H124" s="22">
        <v>0</v>
      </c>
      <c r="I124" s="22">
        <v>0.43</v>
      </c>
      <c r="J124" s="22">
        <v>0.3</v>
      </c>
      <c r="K124" s="22">
        <v>0.32</v>
      </c>
      <c r="L124" s="20" t="s">
        <v>3</v>
      </c>
      <c r="M124" s="20" t="s">
        <v>18</v>
      </c>
    </row>
    <row r="125" spans="1:13" x14ac:dyDescent="0.45">
      <c r="A125" s="14" t="s">
        <v>2</v>
      </c>
      <c r="B125" s="14" t="s">
        <v>76</v>
      </c>
      <c r="C125" s="15">
        <v>2030</v>
      </c>
      <c r="D125" s="15">
        <v>89</v>
      </c>
      <c r="E125" s="16">
        <v>0.28999999999999998</v>
      </c>
      <c r="F125" s="16">
        <v>0.28999999999999998</v>
      </c>
      <c r="G125" s="16">
        <v>0.05</v>
      </c>
      <c r="H125" s="16">
        <v>0</v>
      </c>
      <c r="I125" s="16">
        <v>0.39</v>
      </c>
      <c r="J125" s="16">
        <v>0.27</v>
      </c>
      <c r="K125" s="16">
        <v>0.31</v>
      </c>
      <c r="L125" s="14" t="s">
        <v>3</v>
      </c>
      <c r="M125" s="14" t="s">
        <v>18</v>
      </c>
    </row>
    <row r="126" spans="1:13" x14ac:dyDescent="0.45">
      <c r="A126" s="20" t="s">
        <v>2</v>
      </c>
      <c r="B126" s="20" t="s">
        <v>76</v>
      </c>
      <c r="C126" s="21">
        <v>2035</v>
      </c>
      <c r="D126" s="21">
        <v>78</v>
      </c>
      <c r="E126" s="22">
        <v>0.3</v>
      </c>
      <c r="F126" s="22">
        <v>0.28999999999999998</v>
      </c>
      <c r="G126" s="22">
        <v>0.04</v>
      </c>
      <c r="H126" s="22">
        <v>0.23</v>
      </c>
      <c r="I126" s="22">
        <v>0.41</v>
      </c>
      <c r="J126" s="22">
        <v>0.27</v>
      </c>
      <c r="K126" s="22">
        <v>0.31</v>
      </c>
      <c r="L126" s="20" t="s">
        <v>3</v>
      </c>
      <c r="M126" s="20" t="s">
        <v>18</v>
      </c>
    </row>
    <row r="127" spans="1:13" x14ac:dyDescent="0.45">
      <c r="A127" s="14" t="s">
        <v>2</v>
      </c>
      <c r="B127" s="14" t="s">
        <v>76</v>
      </c>
      <c r="C127" s="15">
        <v>2040</v>
      </c>
      <c r="D127" s="15">
        <v>89</v>
      </c>
      <c r="E127" s="16">
        <v>0.28000000000000003</v>
      </c>
      <c r="F127" s="16">
        <v>0.28999999999999998</v>
      </c>
      <c r="G127" s="16">
        <v>0.05</v>
      </c>
      <c r="H127" s="16">
        <v>0.18</v>
      </c>
      <c r="I127" s="16">
        <v>0.43</v>
      </c>
      <c r="J127" s="16">
        <v>0.25</v>
      </c>
      <c r="K127" s="16">
        <v>0.31</v>
      </c>
      <c r="L127" s="14" t="s">
        <v>3</v>
      </c>
      <c r="M127" s="14" t="s">
        <v>18</v>
      </c>
    </row>
    <row r="128" spans="1:13" x14ac:dyDescent="0.45">
      <c r="A128" s="20" t="s">
        <v>2</v>
      </c>
      <c r="B128" s="20" t="s">
        <v>76</v>
      </c>
      <c r="C128" s="21">
        <v>2045</v>
      </c>
      <c r="D128" s="21">
        <v>78</v>
      </c>
      <c r="E128" s="22">
        <v>0.28999999999999998</v>
      </c>
      <c r="F128" s="22">
        <v>0.3</v>
      </c>
      <c r="G128" s="22">
        <v>0.05</v>
      </c>
      <c r="H128" s="22">
        <v>0.19</v>
      </c>
      <c r="I128" s="22">
        <v>0.45</v>
      </c>
      <c r="J128" s="22">
        <v>0.26</v>
      </c>
      <c r="K128" s="22">
        <v>0.32</v>
      </c>
      <c r="L128" s="20" t="s">
        <v>3</v>
      </c>
      <c r="M128" s="20" t="s">
        <v>18</v>
      </c>
    </row>
    <row r="129" spans="1:13" x14ac:dyDescent="0.45">
      <c r="A129" s="14" t="s">
        <v>2</v>
      </c>
      <c r="B129" s="14" t="s">
        <v>76</v>
      </c>
      <c r="C129" s="15">
        <v>2050</v>
      </c>
      <c r="D129" s="15">
        <v>89</v>
      </c>
      <c r="E129" s="16">
        <v>0.28999999999999998</v>
      </c>
      <c r="F129" s="16">
        <v>0.3</v>
      </c>
      <c r="G129" s="16">
        <v>7.0000000000000007E-2</v>
      </c>
      <c r="H129" s="16">
        <v>0.16</v>
      </c>
      <c r="I129" s="16">
        <v>0.45</v>
      </c>
      <c r="J129" s="16">
        <v>0.23</v>
      </c>
      <c r="K129" s="16">
        <v>0.32</v>
      </c>
      <c r="L129" s="14" t="s">
        <v>3</v>
      </c>
      <c r="M129" s="14" t="s">
        <v>18</v>
      </c>
    </row>
    <row r="130" spans="1:13" x14ac:dyDescent="0.45">
      <c r="A130" s="20" t="s">
        <v>5</v>
      </c>
      <c r="B130" s="20" t="s">
        <v>76</v>
      </c>
      <c r="C130" s="21">
        <v>2020</v>
      </c>
      <c r="D130" s="21">
        <v>220</v>
      </c>
      <c r="E130" s="22">
        <v>0.35</v>
      </c>
      <c r="F130" s="22">
        <v>0.34</v>
      </c>
      <c r="G130" s="22">
        <v>0.05</v>
      </c>
      <c r="H130" s="22">
        <v>0.28000000000000003</v>
      </c>
      <c r="I130" s="22">
        <v>0.49</v>
      </c>
      <c r="J130" s="22">
        <v>0.3</v>
      </c>
      <c r="K130" s="22">
        <v>0.37</v>
      </c>
      <c r="L130" s="20" t="s">
        <v>6</v>
      </c>
      <c r="M130" s="20" t="s">
        <v>18</v>
      </c>
    </row>
    <row r="131" spans="1:13" x14ac:dyDescent="0.45">
      <c r="A131" s="14" t="s">
        <v>5</v>
      </c>
      <c r="B131" s="14" t="s">
        <v>76</v>
      </c>
      <c r="C131" s="15">
        <v>2025</v>
      </c>
      <c r="D131" s="15">
        <v>197</v>
      </c>
      <c r="E131" s="16">
        <v>0.28999999999999998</v>
      </c>
      <c r="F131" s="16">
        <v>0.3</v>
      </c>
      <c r="G131" s="16">
        <v>0.1</v>
      </c>
      <c r="H131" s="16">
        <v>0</v>
      </c>
      <c r="I131" s="16">
        <v>0.55000000000000004</v>
      </c>
      <c r="J131" s="16">
        <v>0.28000000000000003</v>
      </c>
      <c r="K131" s="16">
        <v>0.32</v>
      </c>
      <c r="L131" s="14" t="s">
        <v>6</v>
      </c>
      <c r="M131" s="14" t="s">
        <v>18</v>
      </c>
    </row>
    <row r="132" spans="1:13" x14ac:dyDescent="0.45">
      <c r="A132" s="20" t="s">
        <v>5</v>
      </c>
      <c r="B132" s="20" t="s">
        <v>76</v>
      </c>
      <c r="C132" s="21">
        <v>2030</v>
      </c>
      <c r="D132" s="21">
        <v>220</v>
      </c>
      <c r="E132" s="22">
        <v>0.28999999999999998</v>
      </c>
      <c r="F132" s="22">
        <v>0.28999999999999998</v>
      </c>
      <c r="G132" s="22">
        <v>0.09</v>
      </c>
      <c r="H132" s="22">
        <v>0</v>
      </c>
      <c r="I132" s="22">
        <v>0.55000000000000004</v>
      </c>
      <c r="J132" s="22">
        <v>0.27</v>
      </c>
      <c r="K132" s="22">
        <v>0.31</v>
      </c>
      <c r="L132" s="20" t="s">
        <v>6</v>
      </c>
      <c r="M132" s="20" t="s">
        <v>18</v>
      </c>
    </row>
    <row r="133" spans="1:13" x14ac:dyDescent="0.45">
      <c r="A133" s="14" t="s">
        <v>5</v>
      </c>
      <c r="B133" s="14" t="s">
        <v>76</v>
      </c>
      <c r="C133" s="15">
        <v>2035</v>
      </c>
      <c r="D133" s="15">
        <v>197</v>
      </c>
      <c r="E133" s="16">
        <v>0.3</v>
      </c>
      <c r="F133" s="16">
        <v>0.27</v>
      </c>
      <c r="G133" s="16">
        <v>7.0000000000000007E-2</v>
      </c>
      <c r="H133" s="16">
        <v>0.23</v>
      </c>
      <c r="I133" s="16">
        <v>0.53</v>
      </c>
      <c r="J133" s="16">
        <v>0.26</v>
      </c>
      <c r="K133" s="16">
        <v>0.31</v>
      </c>
      <c r="L133" s="14" t="s">
        <v>6</v>
      </c>
      <c r="M133" s="14" t="s">
        <v>18</v>
      </c>
    </row>
    <row r="134" spans="1:13" x14ac:dyDescent="0.45">
      <c r="A134" s="20" t="s">
        <v>5</v>
      </c>
      <c r="B134" s="20" t="s">
        <v>76</v>
      </c>
      <c r="C134" s="21">
        <v>2040</v>
      </c>
      <c r="D134" s="21">
        <v>220</v>
      </c>
      <c r="E134" s="22">
        <v>0.3</v>
      </c>
      <c r="F134" s="22">
        <v>0.28000000000000003</v>
      </c>
      <c r="G134" s="22">
        <v>0.08</v>
      </c>
      <c r="H134" s="22">
        <v>0.19</v>
      </c>
      <c r="I134" s="22">
        <v>0.54</v>
      </c>
      <c r="J134" s="22">
        <v>0.25</v>
      </c>
      <c r="K134" s="22">
        <v>0.31</v>
      </c>
      <c r="L134" s="20" t="s">
        <v>6</v>
      </c>
      <c r="M134" s="20" t="s">
        <v>18</v>
      </c>
    </row>
    <row r="135" spans="1:13" x14ac:dyDescent="0.45">
      <c r="A135" s="14" t="s">
        <v>5</v>
      </c>
      <c r="B135" s="14" t="s">
        <v>76</v>
      </c>
      <c r="C135" s="15">
        <v>2045</v>
      </c>
      <c r="D135" s="15">
        <v>197</v>
      </c>
      <c r="E135" s="16">
        <v>0.3</v>
      </c>
      <c r="F135" s="16">
        <v>0.28999999999999998</v>
      </c>
      <c r="G135" s="16">
        <v>0.08</v>
      </c>
      <c r="H135" s="16">
        <v>0.19</v>
      </c>
      <c r="I135" s="16">
        <v>0.54</v>
      </c>
      <c r="J135" s="16">
        <v>0.24</v>
      </c>
      <c r="K135" s="16">
        <v>0.31</v>
      </c>
      <c r="L135" s="14" t="s">
        <v>6</v>
      </c>
      <c r="M135" s="14" t="s">
        <v>18</v>
      </c>
    </row>
    <row r="136" spans="1:13" x14ac:dyDescent="0.45">
      <c r="A136" s="20" t="s">
        <v>5</v>
      </c>
      <c r="B136" s="20" t="s">
        <v>76</v>
      </c>
      <c r="C136" s="21">
        <v>2050</v>
      </c>
      <c r="D136" s="21">
        <v>220</v>
      </c>
      <c r="E136" s="22">
        <v>0.3</v>
      </c>
      <c r="F136" s="22">
        <v>0.28999999999999998</v>
      </c>
      <c r="G136" s="22">
        <v>0.09</v>
      </c>
      <c r="H136" s="22">
        <v>0.16</v>
      </c>
      <c r="I136" s="22">
        <v>0.55000000000000004</v>
      </c>
      <c r="J136" s="22">
        <v>0.24</v>
      </c>
      <c r="K136" s="22">
        <v>0.33</v>
      </c>
      <c r="L136" s="20" t="s">
        <v>6</v>
      </c>
      <c r="M136" s="20" t="s">
        <v>18</v>
      </c>
    </row>
    <row r="137" spans="1:13" x14ac:dyDescent="0.45">
      <c r="A137" s="14" t="s">
        <v>7</v>
      </c>
      <c r="B137" s="14" t="s">
        <v>76</v>
      </c>
      <c r="C137" s="15">
        <v>2020</v>
      </c>
      <c r="D137" s="15">
        <v>97</v>
      </c>
      <c r="E137" s="16">
        <v>0.37</v>
      </c>
      <c r="F137" s="16">
        <v>0.34</v>
      </c>
      <c r="G137" s="16">
        <v>0.05</v>
      </c>
      <c r="H137" s="16">
        <v>0.3</v>
      </c>
      <c r="I137" s="16">
        <v>0.49</v>
      </c>
      <c r="J137" s="16">
        <v>0.34</v>
      </c>
      <c r="K137" s="16">
        <v>0.41</v>
      </c>
      <c r="L137" s="14" t="s">
        <v>8</v>
      </c>
      <c r="M137" s="14" t="s">
        <v>18</v>
      </c>
    </row>
    <row r="138" spans="1:13" x14ac:dyDescent="0.45">
      <c r="A138" s="20" t="s">
        <v>7</v>
      </c>
      <c r="B138" s="20" t="s">
        <v>76</v>
      </c>
      <c r="C138" s="21">
        <v>2025</v>
      </c>
      <c r="D138" s="21">
        <v>91</v>
      </c>
      <c r="E138" s="22">
        <v>0.32</v>
      </c>
      <c r="F138" s="22">
        <v>0.32</v>
      </c>
      <c r="G138" s="22">
        <v>0.11</v>
      </c>
      <c r="H138" s="22">
        <v>0</v>
      </c>
      <c r="I138" s="22">
        <v>0.48</v>
      </c>
      <c r="J138" s="22">
        <v>0.3</v>
      </c>
      <c r="K138" s="22">
        <v>0.42</v>
      </c>
      <c r="L138" s="20" t="s">
        <v>8</v>
      </c>
      <c r="M138" s="20" t="s">
        <v>18</v>
      </c>
    </row>
    <row r="139" spans="1:13" x14ac:dyDescent="0.45">
      <c r="A139" s="14" t="s">
        <v>7</v>
      </c>
      <c r="B139" s="14" t="s">
        <v>76</v>
      </c>
      <c r="C139" s="15">
        <v>2030</v>
      </c>
      <c r="D139" s="15">
        <v>97</v>
      </c>
      <c r="E139" s="16">
        <v>0.32</v>
      </c>
      <c r="F139" s="16">
        <v>0.31</v>
      </c>
      <c r="G139" s="16">
        <v>0.1</v>
      </c>
      <c r="H139" s="16">
        <v>0</v>
      </c>
      <c r="I139" s="16">
        <v>0.45</v>
      </c>
      <c r="J139" s="16">
        <v>0.28999999999999998</v>
      </c>
      <c r="K139" s="16">
        <v>0.39</v>
      </c>
      <c r="L139" s="14" t="s">
        <v>8</v>
      </c>
      <c r="M139" s="14" t="s">
        <v>18</v>
      </c>
    </row>
    <row r="140" spans="1:13" x14ac:dyDescent="0.45">
      <c r="A140" s="20" t="s">
        <v>7</v>
      </c>
      <c r="B140" s="20" t="s">
        <v>76</v>
      </c>
      <c r="C140" s="21">
        <v>2035</v>
      </c>
      <c r="D140" s="21">
        <v>91</v>
      </c>
      <c r="E140" s="22">
        <v>0.33</v>
      </c>
      <c r="F140" s="22">
        <v>0.3</v>
      </c>
      <c r="G140" s="22">
        <v>7.0000000000000007E-2</v>
      </c>
      <c r="H140" s="22">
        <v>0.23</v>
      </c>
      <c r="I140" s="22">
        <v>0.45</v>
      </c>
      <c r="J140" s="22">
        <v>0.27</v>
      </c>
      <c r="K140" s="22">
        <v>0.39</v>
      </c>
      <c r="L140" s="20" t="s">
        <v>8</v>
      </c>
      <c r="M140" s="20" t="s">
        <v>18</v>
      </c>
    </row>
    <row r="141" spans="1:13" x14ac:dyDescent="0.45">
      <c r="A141" s="14" t="s">
        <v>7</v>
      </c>
      <c r="B141" s="14" t="s">
        <v>76</v>
      </c>
      <c r="C141" s="15">
        <v>2040</v>
      </c>
      <c r="D141" s="15">
        <v>97</v>
      </c>
      <c r="E141" s="16">
        <v>0.32</v>
      </c>
      <c r="F141" s="16">
        <v>0.28000000000000003</v>
      </c>
      <c r="G141" s="16">
        <v>7.0000000000000007E-2</v>
      </c>
      <c r="H141" s="16">
        <v>0.24</v>
      </c>
      <c r="I141" s="16">
        <v>0.5</v>
      </c>
      <c r="J141" s="16">
        <v>0.26</v>
      </c>
      <c r="K141" s="16">
        <v>0.37</v>
      </c>
      <c r="L141" s="14" t="s">
        <v>8</v>
      </c>
      <c r="M141" s="14" t="s">
        <v>18</v>
      </c>
    </row>
    <row r="142" spans="1:13" x14ac:dyDescent="0.45">
      <c r="A142" s="20" t="s">
        <v>7</v>
      </c>
      <c r="B142" s="20" t="s">
        <v>76</v>
      </c>
      <c r="C142" s="21">
        <v>2045</v>
      </c>
      <c r="D142" s="21">
        <v>91</v>
      </c>
      <c r="E142" s="22">
        <v>0.31</v>
      </c>
      <c r="F142" s="22">
        <v>0.28999999999999998</v>
      </c>
      <c r="G142" s="22">
        <v>0.08</v>
      </c>
      <c r="H142" s="22">
        <v>0.21</v>
      </c>
      <c r="I142" s="22">
        <v>0.49</v>
      </c>
      <c r="J142" s="22">
        <v>0.25</v>
      </c>
      <c r="K142" s="22">
        <v>0.36</v>
      </c>
      <c r="L142" s="20" t="s">
        <v>8</v>
      </c>
      <c r="M142" s="20" t="s">
        <v>18</v>
      </c>
    </row>
    <row r="143" spans="1:13" x14ac:dyDescent="0.45">
      <c r="A143" s="14" t="s">
        <v>7</v>
      </c>
      <c r="B143" s="14" t="s">
        <v>76</v>
      </c>
      <c r="C143" s="15">
        <v>2050</v>
      </c>
      <c r="D143" s="15">
        <v>97</v>
      </c>
      <c r="E143" s="16">
        <v>0.3</v>
      </c>
      <c r="F143" s="16">
        <v>0.28000000000000003</v>
      </c>
      <c r="G143" s="16">
        <v>0.09</v>
      </c>
      <c r="H143" s="16">
        <v>0.19</v>
      </c>
      <c r="I143" s="16">
        <v>0.49</v>
      </c>
      <c r="J143" s="16">
        <v>0.24</v>
      </c>
      <c r="K143" s="16">
        <v>0.35</v>
      </c>
      <c r="L143" s="14" t="s">
        <v>8</v>
      </c>
      <c r="M143" s="14" t="s">
        <v>18</v>
      </c>
    </row>
    <row r="144" spans="1:13" x14ac:dyDescent="0.45">
      <c r="A144" s="20" t="s">
        <v>9</v>
      </c>
      <c r="B144" s="20" t="s">
        <v>76</v>
      </c>
      <c r="C144" s="21">
        <v>2020</v>
      </c>
      <c r="D144" s="21">
        <v>55</v>
      </c>
      <c r="E144" s="22">
        <v>0.33</v>
      </c>
      <c r="F144" s="22">
        <v>0.32</v>
      </c>
      <c r="G144" s="22">
        <v>0.04</v>
      </c>
      <c r="H144" s="22">
        <v>0.3</v>
      </c>
      <c r="I144" s="22">
        <v>0.43</v>
      </c>
      <c r="J144" s="22">
        <v>0.3</v>
      </c>
      <c r="K144" s="22">
        <v>0.35</v>
      </c>
      <c r="L144" s="20" t="s">
        <v>10</v>
      </c>
      <c r="M144" s="20" t="s">
        <v>18</v>
      </c>
    </row>
    <row r="145" spans="1:13" x14ac:dyDescent="0.45">
      <c r="A145" s="14" t="s">
        <v>9</v>
      </c>
      <c r="B145" s="14" t="s">
        <v>76</v>
      </c>
      <c r="C145" s="15">
        <v>2025</v>
      </c>
      <c r="D145" s="15">
        <v>50</v>
      </c>
      <c r="E145" s="16">
        <v>0.32</v>
      </c>
      <c r="F145" s="16">
        <v>0.31</v>
      </c>
      <c r="G145" s="16">
        <v>0.04</v>
      </c>
      <c r="H145" s="16">
        <v>0.28000000000000003</v>
      </c>
      <c r="I145" s="16">
        <v>0.41</v>
      </c>
      <c r="J145" s="16">
        <v>0.28000000000000003</v>
      </c>
      <c r="K145" s="16">
        <v>0.32</v>
      </c>
      <c r="L145" s="14" t="s">
        <v>10</v>
      </c>
      <c r="M145" s="14" t="s">
        <v>18</v>
      </c>
    </row>
    <row r="146" spans="1:13" x14ac:dyDescent="0.45">
      <c r="A146" s="20" t="s">
        <v>9</v>
      </c>
      <c r="B146" s="20" t="s">
        <v>76</v>
      </c>
      <c r="C146" s="21">
        <v>2030</v>
      </c>
      <c r="D146" s="21">
        <v>55</v>
      </c>
      <c r="E146" s="22">
        <v>0.31</v>
      </c>
      <c r="F146" s="22">
        <v>0.31</v>
      </c>
      <c r="G146" s="22">
        <v>0.04</v>
      </c>
      <c r="H146" s="22">
        <v>0.26</v>
      </c>
      <c r="I146" s="22">
        <v>0.41</v>
      </c>
      <c r="J146" s="22">
        <v>0.28000000000000003</v>
      </c>
      <c r="K146" s="22">
        <v>0.31</v>
      </c>
      <c r="L146" s="20" t="s">
        <v>10</v>
      </c>
      <c r="M146" s="20" t="s">
        <v>18</v>
      </c>
    </row>
    <row r="147" spans="1:13" x14ac:dyDescent="0.45">
      <c r="A147" s="14" t="s">
        <v>9</v>
      </c>
      <c r="B147" s="14" t="s">
        <v>76</v>
      </c>
      <c r="C147" s="15">
        <v>2035</v>
      </c>
      <c r="D147" s="15">
        <v>50</v>
      </c>
      <c r="E147" s="16">
        <v>0.31</v>
      </c>
      <c r="F147" s="16">
        <v>0.3</v>
      </c>
      <c r="G147" s="16">
        <v>0.04</v>
      </c>
      <c r="H147" s="16">
        <v>0.26</v>
      </c>
      <c r="I147" s="16">
        <v>0.4</v>
      </c>
      <c r="J147" s="16">
        <v>0.27</v>
      </c>
      <c r="K147" s="16">
        <v>0.31</v>
      </c>
      <c r="L147" s="14" t="s">
        <v>10</v>
      </c>
      <c r="M147" s="14" t="s">
        <v>18</v>
      </c>
    </row>
    <row r="148" spans="1:13" x14ac:dyDescent="0.45">
      <c r="A148" s="20" t="s">
        <v>9</v>
      </c>
      <c r="B148" s="20" t="s">
        <v>76</v>
      </c>
      <c r="C148" s="21">
        <v>2040</v>
      </c>
      <c r="D148" s="21">
        <v>55</v>
      </c>
      <c r="E148" s="22">
        <v>0.3</v>
      </c>
      <c r="F148" s="22">
        <v>0.28000000000000003</v>
      </c>
      <c r="G148" s="22">
        <v>0.04</v>
      </c>
      <c r="H148" s="22">
        <v>0.25</v>
      </c>
      <c r="I148" s="22">
        <v>0.41</v>
      </c>
      <c r="J148" s="22">
        <v>0.27</v>
      </c>
      <c r="K148" s="22">
        <v>0.31</v>
      </c>
      <c r="L148" s="20" t="s">
        <v>10</v>
      </c>
      <c r="M148" s="20" t="s">
        <v>18</v>
      </c>
    </row>
    <row r="149" spans="1:13" x14ac:dyDescent="0.45">
      <c r="A149" s="14" t="s">
        <v>9</v>
      </c>
      <c r="B149" s="14" t="s">
        <v>76</v>
      </c>
      <c r="C149" s="15">
        <v>2045</v>
      </c>
      <c r="D149" s="15">
        <v>50</v>
      </c>
      <c r="E149" s="16">
        <v>0.28999999999999998</v>
      </c>
      <c r="F149" s="16">
        <v>0.28000000000000003</v>
      </c>
      <c r="G149" s="16">
        <v>0.04</v>
      </c>
      <c r="H149" s="16">
        <v>0.25</v>
      </c>
      <c r="I149" s="16">
        <v>0.41</v>
      </c>
      <c r="J149" s="16">
        <v>0.27</v>
      </c>
      <c r="K149" s="16">
        <v>0.31</v>
      </c>
      <c r="L149" s="14" t="s">
        <v>10</v>
      </c>
      <c r="M149" s="14" t="s">
        <v>18</v>
      </c>
    </row>
    <row r="150" spans="1:13" x14ac:dyDescent="0.45">
      <c r="A150" s="20" t="s">
        <v>9</v>
      </c>
      <c r="B150" s="20" t="s">
        <v>76</v>
      </c>
      <c r="C150" s="21">
        <v>2050</v>
      </c>
      <c r="D150" s="21">
        <v>55</v>
      </c>
      <c r="E150" s="22">
        <v>0.28999999999999998</v>
      </c>
      <c r="F150" s="22">
        <v>0.27</v>
      </c>
      <c r="G150" s="22">
        <v>0.04</v>
      </c>
      <c r="H150" s="22">
        <v>0.24</v>
      </c>
      <c r="I150" s="22">
        <v>0.41</v>
      </c>
      <c r="J150" s="22">
        <v>0.26</v>
      </c>
      <c r="K150" s="22">
        <v>0.3</v>
      </c>
      <c r="L150" s="20" t="s">
        <v>10</v>
      </c>
      <c r="M150" s="20" t="s">
        <v>18</v>
      </c>
    </row>
    <row r="151" spans="1:13" x14ac:dyDescent="0.45">
      <c r="A151" s="14" t="s">
        <v>0</v>
      </c>
      <c r="B151" s="14" t="s">
        <v>76</v>
      </c>
      <c r="C151" s="15">
        <v>2020</v>
      </c>
      <c r="D151" s="15">
        <v>64</v>
      </c>
      <c r="E151" s="16">
        <v>0.64</v>
      </c>
      <c r="F151" s="16">
        <v>0.66</v>
      </c>
      <c r="G151" s="16">
        <v>0.05</v>
      </c>
      <c r="H151" s="16">
        <v>0.54</v>
      </c>
      <c r="I151" s="16">
        <v>0.68</v>
      </c>
      <c r="J151" s="16">
        <v>0.57999999999999996</v>
      </c>
      <c r="K151" s="16">
        <v>0.68</v>
      </c>
      <c r="L151" s="14" t="s">
        <v>1</v>
      </c>
      <c r="M151" s="14" t="s">
        <v>21</v>
      </c>
    </row>
    <row r="152" spans="1:13" x14ac:dyDescent="0.45">
      <c r="A152" s="20" t="s">
        <v>0</v>
      </c>
      <c r="B152" s="20" t="s">
        <v>76</v>
      </c>
      <c r="C152" s="21">
        <v>2025</v>
      </c>
      <c r="D152" s="21">
        <v>64</v>
      </c>
      <c r="E152" s="22">
        <v>0.65</v>
      </c>
      <c r="F152" s="22">
        <v>0.68</v>
      </c>
      <c r="G152" s="22">
        <v>7.0000000000000007E-2</v>
      </c>
      <c r="H152" s="22">
        <v>0.44</v>
      </c>
      <c r="I152" s="22">
        <v>0.75</v>
      </c>
      <c r="J152" s="22">
        <v>0.62</v>
      </c>
      <c r="K152" s="22">
        <v>0.69</v>
      </c>
      <c r="L152" s="20" t="s">
        <v>1</v>
      </c>
      <c r="M152" s="20" t="s">
        <v>21</v>
      </c>
    </row>
    <row r="153" spans="1:13" x14ac:dyDescent="0.45">
      <c r="A153" s="14" t="s">
        <v>0</v>
      </c>
      <c r="B153" s="14" t="s">
        <v>76</v>
      </c>
      <c r="C153" s="15">
        <v>2030</v>
      </c>
      <c r="D153" s="15">
        <v>64</v>
      </c>
      <c r="E153" s="16">
        <v>0.63</v>
      </c>
      <c r="F153" s="16">
        <v>0.67</v>
      </c>
      <c r="G153" s="16">
        <v>0.08</v>
      </c>
      <c r="H153" s="16">
        <v>0.42</v>
      </c>
      <c r="I153" s="16">
        <v>0.71</v>
      </c>
      <c r="J153" s="16">
        <v>0.6</v>
      </c>
      <c r="K153" s="16">
        <v>0.69</v>
      </c>
      <c r="L153" s="14" t="s">
        <v>1</v>
      </c>
      <c r="M153" s="14" t="s">
        <v>21</v>
      </c>
    </row>
    <row r="154" spans="1:13" x14ac:dyDescent="0.45">
      <c r="A154" s="20" t="s">
        <v>0</v>
      </c>
      <c r="B154" s="20" t="s">
        <v>76</v>
      </c>
      <c r="C154" s="21">
        <v>2035</v>
      </c>
      <c r="D154" s="21">
        <v>64</v>
      </c>
      <c r="E154" s="22">
        <v>0.6</v>
      </c>
      <c r="F154" s="22">
        <v>0.64</v>
      </c>
      <c r="G154" s="22">
        <v>0.08</v>
      </c>
      <c r="H154" s="22">
        <v>0.44</v>
      </c>
      <c r="I154" s="22">
        <v>0.72</v>
      </c>
      <c r="J154" s="22">
        <v>0.56000000000000005</v>
      </c>
      <c r="K154" s="22">
        <v>0.66</v>
      </c>
      <c r="L154" s="20" t="s">
        <v>1</v>
      </c>
      <c r="M154" s="20" t="s">
        <v>21</v>
      </c>
    </row>
    <row r="155" spans="1:13" x14ac:dyDescent="0.45">
      <c r="A155" s="14" t="s">
        <v>0</v>
      </c>
      <c r="B155" s="14" t="s">
        <v>76</v>
      </c>
      <c r="C155" s="15">
        <v>2040</v>
      </c>
      <c r="D155" s="15">
        <v>64</v>
      </c>
      <c r="E155" s="16">
        <v>0.56999999999999995</v>
      </c>
      <c r="F155" s="16">
        <v>0.59</v>
      </c>
      <c r="G155" s="16">
        <v>0.08</v>
      </c>
      <c r="H155" s="16">
        <v>0.41</v>
      </c>
      <c r="I155" s="16">
        <v>0.71</v>
      </c>
      <c r="J155" s="16">
        <v>0.53</v>
      </c>
      <c r="K155" s="16">
        <v>0.63</v>
      </c>
      <c r="L155" s="14" t="s">
        <v>1</v>
      </c>
      <c r="M155" s="14" t="s">
        <v>21</v>
      </c>
    </row>
    <row r="156" spans="1:13" x14ac:dyDescent="0.45">
      <c r="A156" s="20" t="s">
        <v>0</v>
      </c>
      <c r="B156" s="20" t="s">
        <v>76</v>
      </c>
      <c r="C156" s="21">
        <v>2045</v>
      </c>
      <c r="D156" s="21">
        <v>64</v>
      </c>
      <c r="E156" s="22">
        <v>0.55000000000000004</v>
      </c>
      <c r="F156" s="22">
        <v>0.56999999999999995</v>
      </c>
      <c r="G156" s="22">
        <v>0.08</v>
      </c>
      <c r="H156" s="22">
        <v>0.39</v>
      </c>
      <c r="I156" s="22">
        <v>0.7</v>
      </c>
      <c r="J156" s="22">
        <v>0.53</v>
      </c>
      <c r="K156" s="22">
        <v>0.61</v>
      </c>
      <c r="L156" s="20" t="s">
        <v>1</v>
      </c>
      <c r="M156" s="20" t="s">
        <v>21</v>
      </c>
    </row>
    <row r="157" spans="1:13" x14ac:dyDescent="0.45">
      <c r="A157" s="14" t="s">
        <v>0</v>
      </c>
      <c r="B157" s="14" t="s">
        <v>76</v>
      </c>
      <c r="C157" s="15">
        <v>2050</v>
      </c>
      <c r="D157" s="15">
        <v>64</v>
      </c>
      <c r="E157" s="16">
        <v>0.54</v>
      </c>
      <c r="F157" s="16">
        <v>0.54</v>
      </c>
      <c r="G157" s="16">
        <v>0.08</v>
      </c>
      <c r="H157" s="16">
        <v>0.38</v>
      </c>
      <c r="I157" s="16">
        <v>0.69</v>
      </c>
      <c r="J157" s="16">
        <v>0.48</v>
      </c>
      <c r="K157" s="16">
        <v>0.61</v>
      </c>
      <c r="L157" s="14" t="s">
        <v>1</v>
      </c>
      <c r="M157" s="14" t="s">
        <v>21</v>
      </c>
    </row>
    <row r="158" spans="1:13" x14ac:dyDescent="0.45">
      <c r="A158" s="20" t="s">
        <v>2</v>
      </c>
      <c r="B158" s="20" t="s">
        <v>76</v>
      </c>
      <c r="C158" s="21">
        <v>2020</v>
      </c>
      <c r="D158" s="21">
        <v>92</v>
      </c>
      <c r="E158" s="22">
        <v>0.64</v>
      </c>
      <c r="F158" s="22">
        <v>0.64</v>
      </c>
      <c r="G158" s="22">
        <v>0.04</v>
      </c>
      <c r="H158" s="22">
        <v>0.54</v>
      </c>
      <c r="I158" s="22">
        <v>0.7</v>
      </c>
      <c r="J158" s="22">
        <v>0.63</v>
      </c>
      <c r="K158" s="22">
        <v>0.68</v>
      </c>
      <c r="L158" s="20" t="s">
        <v>3</v>
      </c>
      <c r="M158" s="20" t="s">
        <v>21</v>
      </c>
    </row>
    <row r="159" spans="1:13" x14ac:dyDescent="0.45">
      <c r="A159" s="14" t="s">
        <v>2</v>
      </c>
      <c r="B159" s="14" t="s">
        <v>76</v>
      </c>
      <c r="C159" s="15">
        <v>2025</v>
      </c>
      <c r="D159" s="15">
        <v>81</v>
      </c>
      <c r="E159" s="16">
        <v>0.64</v>
      </c>
      <c r="F159" s="16">
        <v>0.65</v>
      </c>
      <c r="G159" s="16">
        <v>0.04</v>
      </c>
      <c r="H159" s="16">
        <v>0.53</v>
      </c>
      <c r="I159" s="16">
        <v>0.71</v>
      </c>
      <c r="J159" s="16">
        <v>0.63</v>
      </c>
      <c r="K159" s="16">
        <v>0.67</v>
      </c>
      <c r="L159" s="14" t="s">
        <v>3</v>
      </c>
      <c r="M159" s="14" t="s">
        <v>21</v>
      </c>
    </row>
    <row r="160" spans="1:13" x14ac:dyDescent="0.45">
      <c r="A160" s="20" t="s">
        <v>2</v>
      </c>
      <c r="B160" s="20" t="s">
        <v>76</v>
      </c>
      <c r="C160" s="21">
        <v>2030</v>
      </c>
      <c r="D160" s="21">
        <v>92</v>
      </c>
      <c r="E160" s="22">
        <v>0.64</v>
      </c>
      <c r="F160" s="22">
        <v>0.66</v>
      </c>
      <c r="G160" s="22">
        <v>0.05</v>
      </c>
      <c r="H160" s="22">
        <v>0.48</v>
      </c>
      <c r="I160" s="22">
        <v>0.72</v>
      </c>
      <c r="J160" s="22">
        <v>0.62</v>
      </c>
      <c r="K160" s="22">
        <v>0.68</v>
      </c>
      <c r="L160" s="20" t="s">
        <v>3</v>
      </c>
      <c r="M160" s="20" t="s">
        <v>21</v>
      </c>
    </row>
    <row r="161" spans="1:13" x14ac:dyDescent="0.45">
      <c r="A161" s="14" t="s">
        <v>2</v>
      </c>
      <c r="B161" s="14" t="s">
        <v>76</v>
      </c>
      <c r="C161" s="15">
        <v>2035</v>
      </c>
      <c r="D161" s="15">
        <v>81</v>
      </c>
      <c r="E161" s="16">
        <v>0.62</v>
      </c>
      <c r="F161" s="16">
        <v>0.63</v>
      </c>
      <c r="G161" s="16">
        <v>0.06</v>
      </c>
      <c r="H161" s="16">
        <v>0.46</v>
      </c>
      <c r="I161" s="16">
        <v>0.71</v>
      </c>
      <c r="J161" s="16">
        <v>0.59</v>
      </c>
      <c r="K161" s="16">
        <v>0.66</v>
      </c>
      <c r="L161" s="14" t="s">
        <v>3</v>
      </c>
      <c r="M161" s="14" t="s">
        <v>21</v>
      </c>
    </row>
    <row r="162" spans="1:13" x14ac:dyDescent="0.45">
      <c r="A162" s="20" t="s">
        <v>2</v>
      </c>
      <c r="B162" s="20" t="s">
        <v>76</v>
      </c>
      <c r="C162" s="21">
        <v>2040</v>
      </c>
      <c r="D162" s="21">
        <v>92</v>
      </c>
      <c r="E162" s="22">
        <v>0.59</v>
      </c>
      <c r="F162" s="22">
        <v>0.61</v>
      </c>
      <c r="G162" s="22">
        <v>0.05</v>
      </c>
      <c r="H162" s="22">
        <v>0.44</v>
      </c>
      <c r="I162" s="22">
        <v>0.7</v>
      </c>
      <c r="J162" s="22">
        <v>0.57999999999999996</v>
      </c>
      <c r="K162" s="22">
        <v>0.63</v>
      </c>
      <c r="L162" s="20" t="s">
        <v>3</v>
      </c>
      <c r="M162" s="20" t="s">
        <v>21</v>
      </c>
    </row>
    <row r="163" spans="1:13" x14ac:dyDescent="0.45">
      <c r="A163" s="14" t="s">
        <v>2</v>
      </c>
      <c r="B163" s="14" t="s">
        <v>76</v>
      </c>
      <c r="C163" s="15">
        <v>2045</v>
      </c>
      <c r="D163" s="15">
        <v>81</v>
      </c>
      <c r="E163" s="16">
        <v>0.57999999999999996</v>
      </c>
      <c r="F163" s="16">
        <v>0.59</v>
      </c>
      <c r="G163" s="16">
        <v>0.06</v>
      </c>
      <c r="H163" s="16">
        <v>0.41</v>
      </c>
      <c r="I163" s="16">
        <v>0.69</v>
      </c>
      <c r="J163" s="16">
        <v>0.56999999999999995</v>
      </c>
      <c r="K163" s="16">
        <v>0.62</v>
      </c>
      <c r="L163" s="14" t="s">
        <v>3</v>
      </c>
      <c r="M163" s="14" t="s">
        <v>21</v>
      </c>
    </row>
    <row r="164" spans="1:13" x14ac:dyDescent="0.45">
      <c r="A164" s="20" t="s">
        <v>2</v>
      </c>
      <c r="B164" s="20" t="s">
        <v>76</v>
      </c>
      <c r="C164" s="21">
        <v>2050</v>
      </c>
      <c r="D164" s="21">
        <v>92</v>
      </c>
      <c r="E164" s="22">
        <v>0.56000000000000005</v>
      </c>
      <c r="F164" s="22">
        <v>0.59</v>
      </c>
      <c r="G164" s="22">
        <v>0.06</v>
      </c>
      <c r="H164" s="22">
        <v>0.4</v>
      </c>
      <c r="I164" s="22">
        <v>0.69</v>
      </c>
      <c r="J164" s="22">
        <v>0.53</v>
      </c>
      <c r="K164" s="22">
        <v>0.61</v>
      </c>
      <c r="L164" s="20" t="s">
        <v>3</v>
      </c>
      <c r="M164" s="20" t="s">
        <v>21</v>
      </c>
    </row>
    <row r="165" spans="1:13" x14ac:dyDescent="0.45">
      <c r="A165" s="14" t="s">
        <v>5</v>
      </c>
      <c r="B165" s="14" t="s">
        <v>76</v>
      </c>
      <c r="C165" s="15">
        <v>2020</v>
      </c>
      <c r="D165" s="15">
        <v>229</v>
      </c>
      <c r="E165" s="16">
        <v>0.63</v>
      </c>
      <c r="F165" s="16">
        <v>0.64</v>
      </c>
      <c r="G165" s="16">
        <v>0.05</v>
      </c>
      <c r="H165" s="16">
        <v>0.49</v>
      </c>
      <c r="I165" s="16">
        <v>0.7</v>
      </c>
      <c r="J165" s="16">
        <v>0.57999999999999996</v>
      </c>
      <c r="K165" s="16">
        <v>0.68</v>
      </c>
      <c r="L165" s="14" t="s">
        <v>6</v>
      </c>
      <c r="M165" s="14" t="s">
        <v>21</v>
      </c>
    </row>
    <row r="166" spans="1:13" x14ac:dyDescent="0.45">
      <c r="A166" s="20" t="s">
        <v>5</v>
      </c>
      <c r="B166" s="20" t="s">
        <v>76</v>
      </c>
      <c r="C166" s="21">
        <v>2025</v>
      </c>
      <c r="D166" s="21">
        <v>206</v>
      </c>
      <c r="E166" s="22">
        <v>0.65</v>
      </c>
      <c r="F166" s="22">
        <v>0.67</v>
      </c>
      <c r="G166" s="22">
        <v>0.11</v>
      </c>
      <c r="H166" s="22">
        <v>0.14000000000000001</v>
      </c>
      <c r="I166" s="22">
        <v>0.9</v>
      </c>
      <c r="J166" s="22">
        <v>0.61</v>
      </c>
      <c r="K166" s="22">
        <v>0.69</v>
      </c>
      <c r="L166" s="20" t="s">
        <v>6</v>
      </c>
      <c r="M166" s="20" t="s">
        <v>21</v>
      </c>
    </row>
    <row r="167" spans="1:13" x14ac:dyDescent="0.45">
      <c r="A167" s="14" t="s">
        <v>5</v>
      </c>
      <c r="B167" s="14" t="s">
        <v>76</v>
      </c>
      <c r="C167" s="15">
        <v>2030</v>
      </c>
      <c r="D167" s="15">
        <v>229</v>
      </c>
      <c r="E167" s="16">
        <v>0.64</v>
      </c>
      <c r="F167" s="16">
        <v>0.67</v>
      </c>
      <c r="G167" s="16">
        <v>0.11</v>
      </c>
      <c r="H167" s="16">
        <v>0.1</v>
      </c>
      <c r="I167" s="16">
        <v>0.88</v>
      </c>
      <c r="J167" s="16">
        <v>0.63</v>
      </c>
      <c r="K167" s="16">
        <v>0.69</v>
      </c>
      <c r="L167" s="14" t="s">
        <v>6</v>
      </c>
      <c r="M167" s="14" t="s">
        <v>21</v>
      </c>
    </row>
    <row r="168" spans="1:13" x14ac:dyDescent="0.45">
      <c r="A168" s="20" t="s">
        <v>5</v>
      </c>
      <c r="B168" s="20" t="s">
        <v>76</v>
      </c>
      <c r="C168" s="21">
        <v>2035</v>
      </c>
      <c r="D168" s="21">
        <v>206</v>
      </c>
      <c r="E168" s="22">
        <v>0.63</v>
      </c>
      <c r="F168" s="22">
        <v>0.65</v>
      </c>
      <c r="G168" s="22">
        <v>7.0000000000000007E-2</v>
      </c>
      <c r="H168" s="22">
        <v>0.42</v>
      </c>
      <c r="I168" s="22">
        <v>0.71</v>
      </c>
      <c r="J168" s="22">
        <v>0.6</v>
      </c>
      <c r="K168" s="22">
        <v>0.68</v>
      </c>
      <c r="L168" s="20" t="s">
        <v>6</v>
      </c>
      <c r="M168" s="20" t="s">
        <v>21</v>
      </c>
    </row>
    <row r="169" spans="1:13" x14ac:dyDescent="0.45">
      <c r="A169" s="14" t="s">
        <v>5</v>
      </c>
      <c r="B169" s="14" t="s">
        <v>76</v>
      </c>
      <c r="C169" s="15">
        <v>2040</v>
      </c>
      <c r="D169" s="15">
        <v>229</v>
      </c>
      <c r="E169" s="16">
        <v>0.61</v>
      </c>
      <c r="F169" s="16">
        <v>0.62</v>
      </c>
      <c r="G169" s="16">
        <v>7.0000000000000007E-2</v>
      </c>
      <c r="H169" s="16">
        <v>0.44</v>
      </c>
      <c r="I169" s="16">
        <v>0.7</v>
      </c>
      <c r="J169" s="16">
        <v>0.57999999999999996</v>
      </c>
      <c r="K169" s="16">
        <v>0.66</v>
      </c>
      <c r="L169" s="14" t="s">
        <v>6</v>
      </c>
      <c r="M169" s="14" t="s">
        <v>21</v>
      </c>
    </row>
    <row r="170" spans="1:13" x14ac:dyDescent="0.45">
      <c r="A170" s="20" t="s">
        <v>5</v>
      </c>
      <c r="B170" s="20" t="s">
        <v>76</v>
      </c>
      <c r="C170" s="21">
        <v>2045</v>
      </c>
      <c r="D170" s="21">
        <v>206</v>
      </c>
      <c r="E170" s="22">
        <v>0.57999999999999996</v>
      </c>
      <c r="F170" s="22">
        <v>0.59</v>
      </c>
      <c r="G170" s="22">
        <v>0.06</v>
      </c>
      <c r="H170" s="22">
        <v>0.41</v>
      </c>
      <c r="I170" s="22">
        <v>0.68</v>
      </c>
      <c r="J170" s="22">
        <v>0.56000000000000005</v>
      </c>
      <c r="K170" s="22">
        <v>0.63</v>
      </c>
      <c r="L170" s="20" t="s">
        <v>6</v>
      </c>
      <c r="M170" s="20" t="s">
        <v>21</v>
      </c>
    </row>
    <row r="171" spans="1:13" x14ac:dyDescent="0.45">
      <c r="A171" s="14" t="s">
        <v>5</v>
      </c>
      <c r="B171" s="14" t="s">
        <v>76</v>
      </c>
      <c r="C171" s="15">
        <v>2050</v>
      </c>
      <c r="D171" s="15">
        <v>229</v>
      </c>
      <c r="E171" s="16">
        <v>0.57999999999999996</v>
      </c>
      <c r="F171" s="16">
        <v>0.57999999999999996</v>
      </c>
      <c r="G171" s="16">
        <v>7.0000000000000007E-2</v>
      </c>
      <c r="H171" s="16">
        <v>0.39</v>
      </c>
      <c r="I171" s="16">
        <v>0.71</v>
      </c>
      <c r="J171" s="16">
        <v>0.53</v>
      </c>
      <c r="K171" s="16">
        <v>0.64</v>
      </c>
      <c r="L171" s="14" t="s">
        <v>6</v>
      </c>
      <c r="M171" s="14" t="s">
        <v>21</v>
      </c>
    </row>
    <row r="172" spans="1:13" x14ac:dyDescent="0.45">
      <c r="A172" s="20" t="s">
        <v>7</v>
      </c>
      <c r="B172" s="20" t="s">
        <v>76</v>
      </c>
      <c r="C172" s="21">
        <v>2020</v>
      </c>
      <c r="D172" s="21">
        <v>97</v>
      </c>
      <c r="E172" s="22">
        <v>0.61</v>
      </c>
      <c r="F172" s="22">
        <v>0.63</v>
      </c>
      <c r="G172" s="22">
        <v>0.05</v>
      </c>
      <c r="H172" s="22">
        <v>0.49</v>
      </c>
      <c r="I172" s="22">
        <v>0.68</v>
      </c>
      <c r="J172" s="22">
        <v>0.56000000000000005</v>
      </c>
      <c r="K172" s="22">
        <v>0.64</v>
      </c>
      <c r="L172" s="20" t="s">
        <v>8</v>
      </c>
      <c r="M172" s="20" t="s">
        <v>21</v>
      </c>
    </row>
    <row r="173" spans="1:13" x14ac:dyDescent="0.45">
      <c r="A173" s="14" t="s">
        <v>7</v>
      </c>
      <c r="B173" s="14" t="s">
        <v>76</v>
      </c>
      <c r="C173" s="15">
        <v>2025</v>
      </c>
      <c r="D173" s="15">
        <v>91</v>
      </c>
      <c r="E173" s="16">
        <v>0.62</v>
      </c>
      <c r="F173" s="16">
        <v>0.65</v>
      </c>
      <c r="G173" s="16">
        <v>0.1</v>
      </c>
      <c r="H173" s="16">
        <v>0.13</v>
      </c>
      <c r="I173" s="16">
        <v>0.9</v>
      </c>
      <c r="J173" s="16">
        <v>0.56000000000000005</v>
      </c>
      <c r="K173" s="16">
        <v>0.67</v>
      </c>
      <c r="L173" s="14" t="s">
        <v>8</v>
      </c>
      <c r="M173" s="14" t="s">
        <v>21</v>
      </c>
    </row>
    <row r="174" spans="1:13" x14ac:dyDescent="0.45">
      <c r="A174" s="20" t="s">
        <v>7</v>
      </c>
      <c r="B174" s="20" t="s">
        <v>76</v>
      </c>
      <c r="C174" s="21">
        <v>2030</v>
      </c>
      <c r="D174" s="21">
        <v>97</v>
      </c>
      <c r="E174" s="22">
        <v>0.62</v>
      </c>
      <c r="F174" s="22">
        <v>0.65</v>
      </c>
      <c r="G174" s="22">
        <v>0.1</v>
      </c>
      <c r="H174" s="22">
        <v>0.15</v>
      </c>
      <c r="I174" s="22">
        <v>0.87</v>
      </c>
      <c r="J174" s="22">
        <v>0.59</v>
      </c>
      <c r="K174" s="22">
        <v>0.68</v>
      </c>
      <c r="L174" s="20" t="s">
        <v>8</v>
      </c>
      <c r="M174" s="20" t="s">
        <v>21</v>
      </c>
    </row>
    <row r="175" spans="1:13" x14ac:dyDescent="0.45">
      <c r="A175" s="14" t="s">
        <v>7</v>
      </c>
      <c r="B175" s="14" t="s">
        <v>76</v>
      </c>
      <c r="C175" s="15">
        <v>2035</v>
      </c>
      <c r="D175" s="15">
        <v>91</v>
      </c>
      <c r="E175" s="16">
        <v>0.63</v>
      </c>
      <c r="F175" s="16">
        <v>0.65</v>
      </c>
      <c r="G175" s="16">
        <v>0.06</v>
      </c>
      <c r="H175" s="16">
        <v>0.53</v>
      </c>
      <c r="I175" s="16">
        <v>0.71</v>
      </c>
      <c r="J175" s="16">
        <v>0.6</v>
      </c>
      <c r="K175" s="16">
        <v>0.68</v>
      </c>
      <c r="L175" s="14" t="s">
        <v>8</v>
      </c>
      <c r="M175" s="14" t="s">
        <v>21</v>
      </c>
    </row>
    <row r="176" spans="1:13" x14ac:dyDescent="0.45">
      <c r="A176" s="20" t="s">
        <v>7</v>
      </c>
      <c r="B176" s="20" t="s">
        <v>76</v>
      </c>
      <c r="C176" s="21">
        <v>2040</v>
      </c>
      <c r="D176" s="21">
        <v>97</v>
      </c>
      <c r="E176" s="22">
        <v>0.62</v>
      </c>
      <c r="F176" s="22">
        <v>0.64</v>
      </c>
      <c r="G176" s="22">
        <v>0.06</v>
      </c>
      <c r="H176" s="22">
        <v>0.46</v>
      </c>
      <c r="I176" s="22">
        <v>0.71</v>
      </c>
      <c r="J176" s="22">
        <v>0.6</v>
      </c>
      <c r="K176" s="22">
        <v>0.67</v>
      </c>
      <c r="L176" s="20" t="s">
        <v>8</v>
      </c>
      <c r="M176" s="20" t="s">
        <v>21</v>
      </c>
    </row>
    <row r="177" spans="1:13" x14ac:dyDescent="0.45">
      <c r="A177" s="14" t="s">
        <v>7</v>
      </c>
      <c r="B177" s="14" t="s">
        <v>76</v>
      </c>
      <c r="C177" s="15">
        <v>2045</v>
      </c>
      <c r="D177" s="15">
        <v>91</v>
      </c>
      <c r="E177" s="16">
        <v>0.61</v>
      </c>
      <c r="F177" s="16">
        <v>0.62</v>
      </c>
      <c r="G177" s="16">
        <v>0.05</v>
      </c>
      <c r="H177" s="16">
        <v>0.47</v>
      </c>
      <c r="I177" s="16">
        <v>0.68</v>
      </c>
      <c r="J177" s="16">
        <v>0.6</v>
      </c>
      <c r="K177" s="16">
        <v>0.64</v>
      </c>
      <c r="L177" s="14" t="s">
        <v>8</v>
      </c>
      <c r="M177" s="14" t="s">
        <v>21</v>
      </c>
    </row>
    <row r="178" spans="1:13" x14ac:dyDescent="0.45">
      <c r="A178" s="20" t="s">
        <v>7</v>
      </c>
      <c r="B178" s="20" t="s">
        <v>76</v>
      </c>
      <c r="C178" s="21">
        <v>2050</v>
      </c>
      <c r="D178" s="21">
        <v>97</v>
      </c>
      <c r="E178" s="22">
        <v>0.6</v>
      </c>
      <c r="F178" s="22">
        <v>0.6</v>
      </c>
      <c r="G178" s="22">
        <v>0.06</v>
      </c>
      <c r="H178" s="22">
        <v>0.47</v>
      </c>
      <c r="I178" s="22">
        <v>0.72</v>
      </c>
      <c r="J178" s="22">
        <v>0.56999999999999995</v>
      </c>
      <c r="K178" s="22">
        <v>0.63</v>
      </c>
      <c r="L178" s="20" t="s">
        <v>8</v>
      </c>
      <c r="M178" s="20" t="s">
        <v>21</v>
      </c>
    </row>
    <row r="179" spans="1:13" x14ac:dyDescent="0.45">
      <c r="A179" s="14" t="s">
        <v>9</v>
      </c>
      <c r="B179" s="14" t="s">
        <v>76</v>
      </c>
      <c r="C179" s="15">
        <v>2020</v>
      </c>
      <c r="D179" s="15">
        <v>57</v>
      </c>
      <c r="E179" s="16">
        <v>0.63</v>
      </c>
      <c r="F179" s="16">
        <v>0.66</v>
      </c>
      <c r="G179" s="16">
        <v>0.05</v>
      </c>
      <c r="H179" s="16">
        <v>0.49</v>
      </c>
      <c r="I179" s="16">
        <v>0.68</v>
      </c>
      <c r="J179" s="16">
        <v>0.6</v>
      </c>
      <c r="K179" s="16">
        <v>0.68</v>
      </c>
      <c r="L179" s="14" t="s">
        <v>10</v>
      </c>
      <c r="M179" s="14" t="s">
        <v>21</v>
      </c>
    </row>
    <row r="180" spans="1:13" x14ac:dyDescent="0.45">
      <c r="A180" s="20" t="s">
        <v>9</v>
      </c>
      <c r="B180" s="20" t="s">
        <v>76</v>
      </c>
      <c r="C180" s="21">
        <v>2025</v>
      </c>
      <c r="D180" s="21">
        <v>52</v>
      </c>
      <c r="E180" s="22">
        <v>0.64</v>
      </c>
      <c r="F180" s="22">
        <v>0.67</v>
      </c>
      <c r="G180" s="22">
        <v>0.06</v>
      </c>
      <c r="H180" s="22">
        <v>0.43</v>
      </c>
      <c r="I180" s="22">
        <v>0.7</v>
      </c>
      <c r="J180" s="22">
        <v>0.61</v>
      </c>
      <c r="K180" s="22">
        <v>0.69</v>
      </c>
      <c r="L180" s="20" t="s">
        <v>10</v>
      </c>
      <c r="M180" s="20" t="s">
        <v>21</v>
      </c>
    </row>
    <row r="181" spans="1:13" x14ac:dyDescent="0.45">
      <c r="A181" s="14" t="s">
        <v>9</v>
      </c>
      <c r="B181" s="14" t="s">
        <v>76</v>
      </c>
      <c r="C181" s="15">
        <v>2030</v>
      </c>
      <c r="D181" s="15">
        <v>57</v>
      </c>
      <c r="E181" s="16">
        <v>0.65</v>
      </c>
      <c r="F181" s="16">
        <v>0.67</v>
      </c>
      <c r="G181" s="16">
        <v>0.06</v>
      </c>
      <c r="H181" s="16">
        <v>0.4</v>
      </c>
      <c r="I181" s="16">
        <v>0.7</v>
      </c>
      <c r="J181" s="16">
        <v>0.6</v>
      </c>
      <c r="K181" s="16">
        <v>0.69</v>
      </c>
      <c r="L181" s="14" t="s">
        <v>10</v>
      </c>
      <c r="M181" s="14" t="s">
        <v>21</v>
      </c>
    </row>
    <row r="182" spans="1:13" x14ac:dyDescent="0.45">
      <c r="A182" s="20" t="s">
        <v>9</v>
      </c>
      <c r="B182" s="20" t="s">
        <v>76</v>
      </c>
      <c r="C182" s="21">
        <v>2035</v>
      </c>
      <c r="D182" s="21">
        <v>52</v>
      </c>
      <c r="E182" s="22">
        <v>0.64</v>
      </c>
      <c r="F182" s="22">
        <v>0.67</v>
      </c>
      <c r="G182" s="22">
        <v>7.0000000000000007E-2</v>
      </c>
      <c r="H182" s="22">
        <v>0.37</v>
      </c>
      <c r="I182" s="22">
        <v>0.7</v>
      </c>
      <c r="J182" s="22">
        <v>0.57999999999999996</v>
      </c>
      <c r="K182" s="22">
        <v>0.68</v>
      </c>
      <c r="L182" s="20" t="s">
        <v>10</v>
      </c>
      <c r="M182" s="20" t="s">
        <v>21</v>
      </c>
    </row>
    <row r="183" spans="1:13" x14ac:dyDescent="0.45">
      <c r="A183" s="14" t="s">
        <v>9</v>
      </c>
      <c r="B183" s="14" t="s">
        <v>76</v>
      </c>
      <c r="C183" s="15">
        <v>2040</v>
      </c>
      <c r="D183" s="15">
        <v>57</v>
      </c>
      <c r="E183" s="16">
        <v>0.63</v>
      </c>
      <c r="F183" s="16">
        <v>0.66</v>
      </c>
      <c r="G183" s="16">
        <v>0.06</v>
      </c>
      <c r="H183" s="16">
        <v>0.4</v>
      </c>
      <c r="I183" s="16">
        <v>0.71</v>
      </c>
      <c r="J183" s="16">
        <v>0.57999999999999996</v>
      </c>
      <c r="K183" s="16">
        <v>0.67</v>
      </c>
      <c r="L183" s="14" t="s">
        <v>10</v>
      </c>
      <c r="M183" s="14" t="s">
        <v>21</v>
      </c>
    </row>
    <row r="184" spans="1:13" x14ac:dyDescent="0.45">
      <c r="A184" s="20" t="s">
        <v>9</v>
      </c>
      <c r="B184" s="20" t="s">
        <v>76</v>
      </c>
      <c r="C184" s="21">
        <v>2045</v>
      </c>
      <c r="D184" s="21">
        <v>52</v>
      </c>
      <c r="E184" s="22">
        <v>0.62</v>
      </c>
      <c r="F184" s="22">
        <v>0.63</v>
      </c>
      <c r="G184" s="22">
        <v>0.06</v>
      </c>
      <c r="H184" s="22">
        <v>0.4</v>
      </c>
      <c r="I184" s="22">
        <v>0.73</v>
      </c>
      <c r="J184" s="22">
        <v>0.55000000000000004</v>
      </c>
      <c r="K184" s="22">
        <v>0.66</v>
      </c>
      <c r="L184" s="20" t="s">
        <v>10</v>
      </c>
      <c r="M184" s="20" t="s">
        <v>21</v>
      </c>
    </row>
    <row r="185" spans="1:13" x14ac:dyDescent="0.45">
      <c r="A185" s="14" t="s">
        <v>9</v>
      </c>
      <c r="B185" s="14" t="s">
        <v>76</v>
      </c>
      <c r="C185" s="15">
        <v>2050</v>
      </c>
      <c r="D185" s="15">
        <v>57</v>
      </c>
      <c r="E185" s="16">
        <v>0.61</v>
      </c>
      <c r="F185" s="16">
        <v>0.61</v>
      </c>
      <c r="G185" s="16">
        <v>7.0000000000000007E-2</v>
      </c>
      <c r="H185" s="16">
        <v>0.4</v>
      </c>
      <c r="I185" s="16">
        <v>0.74</v>
      </c>
      <c r="J185" s="16">
        <v>0.56000000000000005</v>
      </c>
      <c r="K185" s="16">
        <v>0.66</v>
      </c>
      <c r="L185" s="14" t="s">
        <v>10</v>
      </c>
      <c r="M185" s="14" t="s">
        <v>21</v>
      </c>
    </row>
    <row r="186" spans="1:13" x14ac:dyDescent="0.45">
      <c r="A186" s="20" t="s">
        <v>0</v>
      </c>
      <c r="B186" s="20" t="s">
        <v>76</v>
      </c>
      <c r="C186" s="21">
        <v>2020</v>
      </c>
      <c r="D186" s="21">
        <v>64</v>
      </c>
      <c r="E186" s="22">
        <v>0.02</v>
      </c>
      <c r="F186" s="22">
        <v>0.02</v>
      </c>
      <c r="G186" s="22">
        <v>0.01</v>
      </c>
      <c r="H186" s="22">
        <v>0.01</v>
      </c>
      <c r="I186" s="22">
        <v>0.06</v>
      </c>
      <c r="J186" s="22">
        <v>0.02</v>
      </c>
      <c r="K186" s="22">
        <v>0.02</v>
      </c>
      <c r="L186" s="20" t="s">
        <v>1</v>
      </c>
      <c r="M186" s="20" t="s">
        <v>23</v>
      </c>
    </row>
    <row r="187" spans="1:13" x14ac:dyDescent="0.45">
      <c r="A187" s="14" t="s">
        <v>0</v>
      </c>
      <c r="B187" s="14" t="s">
        <v>76</v>
      </c>
      <c r="C187" s="15">
        <v>2025</v>
      </c>
      <c r="D187" s="15">
        <v>64</v>
      </c>
      <c r="E187" s="16">
        <v>0.03</v>
      </c>
      <c r="F187" s="16">
        <v>0.03</v>
      </c>
      <c r="G187" s="16">
        <v>0.01</v>
      </c>
      <c r="H187" s="16">
        <v>0.01</v>
      </c>
      <c r="I187" s="16">
        <v>7.0000000000000007E-2</v>
      </c>
      <c r="J187" s="16">
        <v>0.02</v>
      </c>
      <c r="K187" s="16">
        <v>0.04</v>
      </c>
      <c r="L187" s="14" t="s">
        <v>1</v>
      </c>
      <c r="M187" s="14" t="s">
        <v>23</v>
      </c>
    </row>
    <row r="188" spans="1:13" x14ac:dyDescent="0.45">
      <c r="A188" s="20" t="s">
        <v>0</v>
      </c>
      <c r="B188" s="20" t="s">
        <v>76</v>
      </c>
      <c r="C188" s="21">
        <v>2030</v>
      </c>
      <c r="D188" s="21">
        <v>64</v>
      </c>
      <c r="E188" s="22">
        <v>0.05</v>
      </c>
      <c r="F188" s="22">
        <v>0.05</v>
      </c>
      <c r="G188" s="22">
        <v>0.02</v>
      </c>
      <c r="H188" s="22">
        <v>0.01</v>
      </c>
      <c r="I188" s="22">
        <v>0.1</v>
      </c>
      <c r="J188" s="22">
        <v>0.04</v>
      </c>
      <c r="K188" s="22">
        <v>0.08</v>
      </c>
      <c r="L188" s="20" t="s">
        <v>1</v>
      </c>
      <c r="M188" s="20" t="s">
        <v>23</v>
      </c>
    </row>
    <row r="189" spans="1:13" x14ac:dyDescent="0.45">
      <c r="A189" s="14" t="s">
        <v>0</v>
      </c>
      <c r="B189" s="14" t="s">
        <v>76</v>
      </c>
      <c r="C189" s="15">
        <v>2035</v>
      </c>
      <c r="D189" s="15">
        <v>64</v>
      </c>
      <c r="E189" s="16">
        <v>0.08</v>
      </c>
      <c r="F189" s="16">
        <v>0.08</v>
      </c>
      <c r="G189" s="16">
        <v>0.04</v>
      </c>
      <c r="H189" s="16">
        <v>0.02</v>
      </c>
      <c r="I189" s="16">
        <v>0.15</v>
      </c>
      <c r="J189" s="16">
        <v>0.06</v>
      </c>
      <c r="K189" s="16">
        <v>0.11</v>
      </c>
      <c r="L189" s="14" t="s">
        <v>1</v>
      </c>
      <c r="M189" s="14" t="s">
        <v>23</v>
      </c>
    </row>
    <row r="190" spans="1:13" x14ac:dyDescent="0.45">
      <c r="A190" s="20" t="s">
        <v>0</v>
      </c>
      <c r="B190" s="20" t="s">
        <v>76</v>
      </c>
      <c r="C190" s="21">
        <v>2040</v>
      </c>
      <c r="D190" s="21">
        <v>64</v>
      </c>
      <c r="E190" s="22">
        <v>0.11</v>
      </c>
      <c r="F190" s="22">
        <v>0.11</v>
      </c>
      <c r="G190" s="22">
        <v>0.05</v>
      </c>
      <c r="H190" s="22">
        <v>0.02</v>
      </c>
      <c r="I190" s="22">
        <v>0.19</v>
      </c>
      <c r="J190" s="22">
        <v>0.08</v>
      </c>
      <c r="K190" s="22">
        <v>0.14000000000000001</v>
      </c>
      <c r="L190" s="20" t="s">
        <v>1</v>
      </c>
      <c r="M190" s="20" t="s">
        <v>23</v>
      </c>
    </row>
    <row r="191" spans="1:13" x14ac:dyDescent="0.45">
      <c r="A191" s="14" t="s">
        <v>0</v>
      </c>
      <c r="B191" s="14" t="s">
        <v>76</v>
      </c>
      <c r="C191" s="15">
        <v>2045</v>
      </c>
      <c r="D191" s="15">
        <v>64</v>
      </c>
      <c r="E191" s="16">
        <v>0.12</v>
      </c>
      <c r="F191" s="16">
        <v>0.13</v>
      </c>
      <c r="G191" s="16">
        <v>0.05</v>
      </c>
      <c r="H191" s="16">
        <v>0.02</v>
      </c>
      <c r="I191" s="16">
        <v>0.22</v>
      </c>
      <c r="J191" s="16">
        <v>0.09</v>
      </c>
      <c r="K191" s="16">
        <v>0.15</v>
      </c>
      <c r="L191" s="14" t="s">
        <v>1</v>
      </c>
      <c r="M191" s="14" t="s">
        <v>23</v>
      </c>
    </row>
    <row r="192" spans="1:13" x14ac:dyDescent="0.45">
      <c r="A192" s="20" t="s">
        <v>0</v>
      </c>
      <c r="B192" s="20" t="s">
        <v>76</v>
      </c>
      <c r="C192" s="21">
        <v>2050</v>
      </c>
      <c r="D192" s="21">
        <v>64</v>
      </c>
      <c r="E192" s="22">
        <v>0.13</v>
      </c>
      <c r="F192" s="22">
        <v>0.13</v>
      </c>
      <c r="G192" s="22">
        <v>0.05</v>
      </c>
      <c r="H192" s="22">
        <v>0.02</v>
      </c>
      <c r="I192" s="22">
        <v>0.24</v>
      </c>
      <c r="J192" s="22">
        <v>0.09</v>
      </c>
      <c r="K192" s="22">
        <v>0.16</v>
      </c>
      <c r="L192" s="20" t="s">
        <v>1</v>
      </c>
      <c r="M192" s="20" t="s">
        <v>23</v>
      </c>
    </row>
    <row r="193" spans="1:13" x14ac:dyDescent="0.45">
      <c r="A193" s="14" t="s">
        <v>2</v>
      </c>
      <c r="B193" s="14" t="s">
        <v>76</v>
      </c>
      <c r="C193" s="15">
        <v>2020</v>
      </c>
      <c r="D193" s="15">
        <v>95</v>
      </c>
      <c r="E193" s="16">
        <v>0.02</v>
      </c>
      <c r="F193" s="16">
        <v>0.02</v>
      </c>
      <c r="G193" s="16">
        <v>0.01</v>
      </c>
      <c r="H193" s="16">
        <v>0.01</v>
      </c>
      <c r="I193" s="16">
        <v>0.06</v>
      </c>
      <c r="J193" s="16">
        <v>0.02</v>
      </c>
      <c r="K193" s="16">
        <v>0.02</v>
      </c>
      <c r="L193" s="14" t="s">
        <v>3</v>
      </c>
      <c r="M193" s="14" t="s">
        <v>23</v>
      </c>
    </row>
    <row r="194" spans="1:13" x14ac:dyDescent="0.45">
      <c r="A194" s="20" t="s">
        <v>2</v>
      </c>
      <c r="B194" s="20" t="s">
        <v>76</v>
      </c>
      <c r="C194" s="21">
        <v>2025</v>
      </c>
      <c r="D194" s="21">
        <v>84</v>
      </c>
      <c r="E194" s="22">
        <v>0.03</v>
      </c>
      <c r="F194" s="22">
        <v>0.03</v>
      </c>
      <c r="G194" s="22">
        <v>0.02</v>
      </c>
      <c r="H194" s="22">
        <v>0.01</v>
      </c>
      <c r="I194" s="22">
        <v>0.13</v>
      </c>
      <c r="J194" s="22">
        <v>0.02</v>
      </c>
      <c r="K194" s="22">
        <v>0.04</v>
      </c>
      <c r="L194" s="20" t="s">
        <v>3</v>
      </c>
      <c r="M194" s="20" t="s">
        <v>23</v>
      </c>
    </row>
    <row r="195" spans="1:13" x14ac:dyDescent="0.45">
      <c r="A195" s="14" t="s">
        <v>2</v>
      </c>
      <c r="B195" s="14" t="s">
        <v>76</v>
      </c>
      <c r="C195" s="15">
        <v>2030</v>
      </c>
      <c r="D195" s="15">
        <v>95</v>
      </c>
      <c r="E195" s="16">
        <v>0.05</v>
      </c>
      <c r="F195" s="16">
        <v>0.04</v>
      </c>
      <c r="G195" s="16">
        <v>0.03</v>
      </c>
      <c r="H195" s="16">
        <v>0.01</v>
      </c>
      <c r="I195" s="16">
        <v>0.2</v>
      </c>
      <c r="J195" s="16">
        <v>0.03</v>
      </c>
      <c r="K195" s="16">
        <v>0.08</v>
      </c>
      <c r="L195" s="14" t="s">
        <v>3</v>
      </c>
      <c r="M195" s="14" t="s">
        <v>23</v>
      </c>
    </row>
    <row r="196" spans="1:13" x14ac:dyDescent="0.45">
      <c r="A196" s="20" t="s">
        <v>2</v>
      </c>
      <c r="B196" s="20" t="s">
        <v>76</v>
      </c>
      <c r="C196" s="21">
        <v>2035</v>
      </c>
      <c r="D196" s="21">
        <v>84</v>
      </c>
      <c r="E196" s="22">
        <v>7.0000000000000007E-2</v>
      </c>
      <c r="F196" s="22">
        <v>0.06</v>
      </c>
      <c r="G196" s="22">
        <v>0.04</v>
      </c>
      <c r="H196" s="22">
        <v>0.01</v>
      </c>
      <c r="I196" s="22">
        <v>0.14000000000000001</v>
      </c>
      <c r="J196" s="22">
        <v>0.04</v>
      </c>
      <c r="K196" s="22">
        <v>0.11</v>
      </c>
      <c r="L196" s="20" t="s">
        <v>3</v>
      </c>
      <c r="M196" s="20" t="s">
        <v>23</v>
      </c>
    </row>
    <row r="197" spans="1:13" x14ac:dyDescent="0.45">
      <c r="A197" s="14" t="s">
        <v>2</v>
      </c>
      <c r="B197" s="14" t="s">
        <v>76</v>
      </c>
      <c r="C197" s="15">
        <v>2040</v>
      </c>
      <c r="D197" s="15">
        <v>95</v>
      </c>
      <c r="E197" s="16">
        <v>0.11</v>
      </c>
      <c r="F197" s="16">
        <v>0.1</v>
      </c>
      <c r="G197" s="16">
        <v>0.06</v>
      </c>
      <c r="H197" s="16">
        <v>0.01</v>
      </c>
      <c r="I197" s="16">
        <v>0.2</v>
      </c>
      <c r="J197" s="16">
        <v>0.06</v>
      </c>
      <c r="K197" s="16">
        <v>0.17</v>
      </c>
      <c r="L197" s="14" t="s">
        <v>3</v>
      </c>
      <c r="M197" s="14" t="s">
        <v>23</v>
      </c>
    </row>
    <row r="198" spans="1:13" x14ac:dyDescent="0.45">
      <c r="A198" s="20" t="s">
        <v>2</v>
      </c>
      <c r="B198" s="20" t="s">
        <v>76</v>
      </c>
      <c r="C198" s="21">
        <v>2045</v>
      </c>
      <c r="D198" s="21">
        <v>84</v>
      </c>
      <c r="E198" s="22">
        <v>0.11</v>
      </c>
      <c r="F198" s="22">
        <v>0.11</v>
      </c>
      <c r="G198" s="22">
        <v>0.06</v>
      </c>
      <c r="H198" s="22">
        <v>0.01</v>
      </c>
      <c r="I198" s="22">
        <v>0.22</v>
      </c>
      <c r="J198" s="22">
        <v>7.0000000000000007E-2</v>
      </c>
      <c r="K198" s="22">
        <v>0.17</v>
      </c>
      <c r="L198" s="20" t="s">
        <v>3</v>
      </c>
      <c r="M198" s="20" t="s">
        <v>23</v>
      </c>
    </row>
    <row r="199" spans="1:13" x14ac:dyDescent="0.45">
      <c r="A199" s="14" t="s">
        <v>2</v>
      </c>
      <c r="B199" s="14" t="s">
        <v>76</v>
      </c>
      <c r="C199" s="15">
        <v>2050</v>
      </c>
      <c r="D199" s="15">
        <v>95</v>
      </c>
      <c r="E199" s="16">
        <v>0.13</v>
      </c>
      <c r="F199" s="16">
        <v>0.13</v>
      </c>
      <c r="G199" s="16">
        <v>0.06</v>
      </c>
      <c r="H199" s="16">
        <v>0.01</v>
      </c>
      <c r="I199" s="16">
        <v>0.24</v>
      </c>
      <c r="J199" s="16">
        <v>0.08</v>
      </c>
      <c r="K199" s="16">
        <v>0.18</v>
      </c>
      <c r="L199" s="14" t="s">
        <v>3</v>
      </c>
      <c r="M199" s="14" t="s">
        <v>23</v>
      </c>
    </row>
    <row r="200" spans="1:13" x14ac:dyDescent="0.45">
      <c r="A200" s="20" t="s">
        <v>5</v>
      </c>
      <c r="B200" s="20" t="s">
        <v>76</v>
      </c>
      <c r="C200" s="21">
        <v>2020</v>
      </c>
      <c r="D200" s="21">
        <v>229</v>
      </c>
      <c r="E200" s="22">
        <v>0.02</v>
      </c>
      <c r="F200" s="22">
        <v>0.02</v>
      </c>
      <c r="G200" s="22">
        <v>0.01</v>
      </c>
      <c r="H200" s="22">
        <v>0.01</v>
      </c>
      <c r="I200" s="22">
        <v>0.06</v>
      </c>
      <c r="J200" s="22">
        <v>0.02</v>
      </c>
      <c r="K200" s="22">
        <v>0.02</v>
      </c>
      <c r="L200" s="20" t="s">
        <v>6</v>
      </c>
      <c r="M200" s="20" t="s">
        <v>23</v>
      </c>
    </row>
    <row r="201" spans="1:13" x14ac:dyDescent="0.45">
      <c r="A201" s="14" t="s">
        <v>5</v>
      </c>
      <c r="B201" s="14" t="s">
        <v>76</v>
      </c>
      <c r="C201" s="15">
        <v>2025</v>
      </c>
      <c r="D201" s="15">
        <v>206</v>
      </c>
      <c r="E201" s="16">
        <v>0.04</v>
      </c>
      <c r="F201" s="16">
        <v>0.03</v>
      </c>
      <c r="G201" s="16">
        <v>0.06</v>
      </c>
      <c r="H201" s="16">
        <v>0.01</v>
      </c>
      <c r="I201" s="16">
        <v>0.44</v>
      </c>
      <c r="J201" s="16">
        <v>0.02</v>
      </c>
      <c r="K201" s="16">
        <v>0.04</v>
      </c>
      <c r="L201" s="14" t="s">
        <v>6</v>
      </c>
      <c r="M201" s="14" t="s">
        <v>23</v>
      </c>
    </row>
    <row r="202" spans="1:13" x14ac:dyDescent="0.45">
      <c r="A202" s="20" t="s">
        <v>5</v>
      </c>
      <c r="B202" s="20" t="s">
        <v>76</v>
      </c>
      <c r="C202" s="21">
        <v>2030</v>
      </c>
      <c r="D202" s="21">
        <v>229</v>
      </c>
      <c r="E202" s="22">
        <v>0.06</v>
      </c>
      <c r="F202" s="22">
        <v>0.03</v>
      </c>
      <c r="G202" s="22">
        <v>0.1</v>
      </c>
      <c r="H202" s="22">
        <v>0.01</v>
      </c>
      <c r="I202" s="22">
        <v>0.76</v>
      </c>
      <c r="J202" s="22">
        <v>0.02</v>
      </c>
      <c r="K202" s="22">
        <v>0.05</v>
      </c>
      <c r="L202" s="20" t="s">
        <v>6</v>
      </c>
      <c r="M202" s="20" t="s">
        <v>23</v>
      </c>
    </row>
    <row r="203" spans="1:13" x14ac:dyDescent="0.45">
      <c r="A203" s="14" t="s">
        <v>5</v>
      </c>
      <c r="B203" s="14" t="s">
        <v>76</v>
      </c>
      <c r="C203" s="15">
        <v>2035</v>
      </c>
      <c r="D203" s="15">
        <v>206</v>
      </c>
      <c r="E203" s="16">
        <v>0.06</v>
      </c>
      <c r="F203" s="16">
        <v>0.05</v>
      </c>
      <c r="G203" s="16">
        <v>0.03</v>
      </c>
      <c r="H203" s="16">
        <v>0.01</v>
      </c>
      <c r="I203" s="16">
        <v>0.14000000000000001</v>
      </c>
      <c r="J203" s="16">
        <v>0.04</v>
      </c>
      <c r="K203" s="16">
        <v>7.0000000000000007E-2</v>
      </c>
      <c r="L203" s="14" t="s">
        <v>6</v>
      </c>
      <c r="M203" s="14" t="s">
        <v>23</v>
      </c>
    </row>
    <row r="204" spans="1:13" x14ac:dyDescent="0.45">
      <c r="A204" s="20" t="s">
        <v>5</v>
      </c>
      <c r="B204" s="20" t="s">
        <v>76</v>
      </c>
      <c r="C204" s="21">
        <v>2040</v>
      </c>
      <c r="D204" s="21">
        <v>229</v>
      </c>
      <c r="E204" s="22">
        <v>0.08</v>
      </c>
      <c r="F204" s="22">
        <v>0.08</v>
      </c>
      <c r="G204" s="22">
        <v>0.05</v>
      </c>
      <c r="H204" s="22">
        <v>0.01</v>
      </c>
      <c r="I204" s="22">
        <v>0.19</v>
      </c>
      <c r="J204" s="22">
        <v>0.03</v>
      </c>
      <c r="K204" s="22">
        <v>0.1</v>
      </c>
      <c r="L204" s="20" t="s">
        <v>6</v>
      </c>
      <c r="M204" s="20" t="s">
        <v>23</v>
      </c>
    </row>
    <row r="205" spans="1:13" x14ac:dyDescent="0.45">
      <c r="A205" s="14" t="s">
        <v>5</v>
      </c>
      <c r="B205" s="14" t="s">
        <v>76</v>
      </c>
      <c r="C205" s="15">
        <v>2045</v>
      </c>
      <c r="D205" s="15">
        <v>206</v>
      </c>
      <c r="E205" s="16">
        <v>0.1</v>
      </c>
      <c r="F205" s="16">
        <v>0.11</v>
      </c>
      <c r="G205" s="16">
        <v>0.06</v>
      </c>
      <c r="H205" s="16">
        <v>0.01</v>
      </c>
      <c r="I205" s="16">
        <v>0.22</v>
      </c>
      <c r="J205" s="16">
        <v>0.06</v>
      </c>
      <c r="K205" s="16">
        <v>0.14000000000000001</v>
      </c>
      <c r="L205" s="14" t="s">
        <v>6</v>
      </c>
      <c r="M205" s="14" t="s">
        <v>23</v>
      </c>
    </row>
    <row r="206" spans="1:13" x14ac:dyDescent="0.45">
      <c r="A206" s="20" t="s">
        <v>5</v>
      </c>
      <c r="B206" s="20" t="s">
        <v>76</v>
      </c>
      <c r="C206" s="21">
        <v>2050</v>
      </c>
      <c r="D206" s="21">
        <v>229</v>
      </c>
      <c r="E206" s="22">
        <v>0.11</v>
      </c>
      <c r="F206" s="22">
        <v>0.12</v>
      </c>
      <c r="G206" s="22">
        <v>0.06</v>
      </c>
      <c r="H206" s="22">
        <v>0.02</v>
      </c>
      <c r="I206" s="22">
        <v>0.24</v>
      </c>
      <c r="J206" s="22">
        <v>0.04</v>
      </c>
      <c r="K206" s="22">
        <v>0.16</v>
      </c>
      <c r="L206" s="20" t="s">
        <v>6</v>
      </c>
      <c r="M206" s="20" t="s">
        <v>23</v>
      </c>
    </row>
    <row r="207" spans="1:13" x14ac:dyDescent="0.45">
      <c r="A207" s="14" t="s">
        <v>7</v>
      </c>
      <c r="B207" s="14" t="s">
        <v>76</v>
      </c>
      <c r="C207" s="15">
        <v>2020</v>
      </c>
      <c r="D207" s="15">
        <v>97</v>
      </c>
      <c r="E207" s="16">
        <v>0.02</v>
      </c>
      <c r="F207" s="16">
        <v>0.02</v>
      </c>
      <c r="G207" s="16">
        <v>0.01</v>
      </c>
      <c r="H207" s="16">
        <v>0.01</v>
      </c>
      <c r="I207" s="16">
        <v>0.03</v>
      </c>
      <c r="J207" s="16">
        <v>0.01</v>
      </c>
      <c r="K207" s="16">
        <v>0.02</v>
      </c>
      <c r="L207" s="14" t="s">
        <v>8</v>
      </c>
      <c r="M207" s="14" t="s">
        <v>23</v>
      </c>
    </row>
    <row r="208" spans="1:13" x14ac:dyDescent="0.45">
      <c r="A208" s="20" t="s">
        <v>7</v>
      </c>
      <c r="B208" s="20" t="s">
        <v>76</v>
      </c>
      <c r="C208" s="21">
        <v>2025</v>
      </c>
      <c r="D208" s="21">
        <v>91</v>
      </c>
      <c r="E208" s="22">
        <v>0.04</v>
      </c>
      <c r="F208" s="22">
        <v>0.02</v>
      </c>
      <c r="G208" s="22">
        <v>7.0000000000000007E-2</v>
      </c>
      <c r="H208" s="22">
        <v>0.01</v>
      </c>
      <c r="I208" s="22">
        <v>0.51</v>
      </c>
      <c r="J208" s="22">
        <v>0.02</v>
      </c>
      <c r="K208" s="22">
        <v>0.03</v>
      </c>
      <c r="L208" s="20" t="s">
        <v>8</v>
      </c>
      <c r="M208" s="20" t="s">
        <v>23</v>
      </c>
    </row>
    <row r="209" spans="1:13" x14ac:dyDescent="0.45">
      <c r="A209" s="14" t="s">
        <v>7</v>
      </c>
      <c r="B209" s="14" t="s">
        <v>76</v>
      </c>
      <c r="C209" s="15">
        <v>2030</v>
      </c>
      <c r="D209" s="15">
        <v>97</v>
      </c>
      <c r="E209" s="16">
        <v>0.05</v>
      </c>
      <c r="F209" s="16">
        <v>0.02</v>
      </c>
      <c r="G209" s="16">
        <v>0.11</v>
      </c>
      <c r="H209" s="16">
        <v>0.01</v>
      </c>
      <c r="I209" s="16">
        <v>0.83</v>
      </c>
      <c r="J209" s="16">
        <v>0.02</v>
      </c>
      <c r="K209" s="16">
        <v>0.03</v>
      </c>
      <c r="L209" s="14" t="s">
        <v>8</v>
      </c>
      <c r="M209" s="14" t="s">
        <v>23</v>
      </c>
    </row>
    <row r="210" spans="1:13" x14ac:dyDescent="0.45">
      <c r="A210" s="20" t="s">
        <v>7</v>
      </c>
      <c r="B210" s="20" t="s">
        <v>76</v>
      </c>
      <c r="C210" s="21">
        <v>2035</v>
      </c>
      <c r="D210" s="21">
        <v>91</v>
      </c>
      <c r="E210" s="22">
        <v>0.04</v>
      </c>
      <c r="F210" s="22">
        <v>0.03</v>
      </c>
      <c r="G210" s="22">
        <v>0.02</v>
      </c>
      <c r="H210" s="22">
        <v>0.01</v>
      </c>
      <c r="I210" s="22">
        <v>7.0000000000000007E-2</v>
      </c>
      <c r="J210" s="22">
        <v>0.02</v>
      </c>
      <c r="K210" s="22">
        <v>0.05</v>
      </c>
      <c r="L210" s="20" t="s">
        <v>8</v>
      </c>
      <c r="M210" s="20" t="s">
        <v>23</v>
      </c>
    </row>
    <row r="211" spans="1:13" x14ac:dyDescent="0.45">
      <c r="A211" s="14" t="s">
        <v>7</v>
      </c>
      <c r="B211" s="14" t="s">
        <v>76</v>
      </c>
      <c r="C211" s="15">
        <v>2040</v>
      </c>
      <c r="D211" s="15">
        <v>97</v>
      </c>
      <c r="E211" s="16">
        <v>0.05</v>
      </c>
      <c r="F211" s="16">
        <v>0.04</v>
      </c>
      <c r="G211" s="16">
        <v>0.03</v>
      </c>
      <c r="H211" s="16">
        <v>0.01</v>
      </c>
      <c r="I211" s="16">
        <v>0.12</v>
      </c>
      <c r="J211" s="16">
        <v>0.02</v>
      </c>
      <c r="K211" s="16">
        <v>0.08</v>
      </c>
      <c r="L211" s="14" t="s">
        <v>8</v>
      </c>
      <c r="M211" s="14" t="s">
        <v>23</v>
      </c>
    </row>
    <row r="212" spans="1:13" x14ac:dyDescent="0.45">
      <c r="A212" s="20" t="s">
        <v>7</v>
      </c>
      <c r="B212" s="20" t="s">
        <v>76</v>
      </c>
      <c r="C212" s="21">
        <v>2045</v>
      </c>
      <c r="D212" s="21">
        <v>91</v>
      </c>
      <c r="E212" s="22">
        <v>0.08</v>
      </c>
      <c r="F212" s="22">
        <v>0.06</v>
      </c>
      <c r="G212" s="22">
        <v>0.05</v>
      </c>
      <c r="H212" s="22">
        <v>0.01</v>
      </c>
      <c r="I212" s="22">
        <v>0.18</v>
      </c>
      <c r="J212" s="22">
        <v>0.03</v>
      </c>
      <c r="K212" s="22">
        <v>0.13</v>
      </c>
      <c r="L212" s="20" t="s">
        <v>8</v>
      </c>
      <c r="M212" s="20" t="s">
        <v>23</v>
      </c>
    </row>
    <row r="213" spans="1:13" x14ac:dyDescent="0.45">
      <c r="A213" s="14" t="s">
        <v>7</v>
      </c>
      <c r="B213" s="14" t="s">
        <v>76</v>
      </c>
      <c r="C213" s="15">
        <v>2050</v>
      </c>
      <c r="D213" s="15">
        <v>97</v>
      </c>
      <c r="E213" s="16">
        <v>0.09</v>
      </c>
      <c r="F213" s="16">
        <v>0.06</v>
      </c>
      <c r="G213" s="16">
        <v>7.0000000000000007E-2</v>
      </c>
      <c r="H213" s="16">
        <v>0.01</v>
      </c>
      <c r="I213" s="16">
        <v>0.22</v>
      </c>
      <c r="J213" s="16">
        <v>0.02</v>
      </c>
      <c r="K213" s="16">
        <v>0.18</v>
      </c>
      <c r="L213" s="14" t="s">
        <v>8</v>
      </c>
      <c r="M213" s="14" t="s">
        <v>23</v>
      </c>
    </row>
    <row r="214" spans="1:13" x14ac:dyDescent="0.45">
      <c r="A214" s="20" t="s">
        <v>9</v>
      </c>
      <c r="B214" s="20" t="s">
        <v>76</v>
      </c>
      <c r="C214" s="21">
        <v>2020</v>
      </c>
      <c r="D214" s="21">
        <v>59</v>
      </c>
      <c r="E214" s="22">
        <v>0.02</v>
      </c>
      <c r="F214" s="22">
        <v>0.02</v>
      </c>
      <c r="G214" s="22">
        <v>0.01</v>
      </c>
      <c r="H214" s="22">
        <v>0.01</v>
      </c>
      <c r="I214" s="22">
        <v>0.06</v>
      </c>
      <c r="J214" s="22">
        <v>0.01</v>
      </c>
      <c r="K214" s="22">
        <v>0.02</v>
      </c>
      <c r="L214" s="20" t="s">
        <v>10</v>
      </c>
      <c r="M214" s="20" t="s">
        <v>23</v>
      </c>
    </row>
    <row r="215" spans="1:13" x14ac:dyDescent="0.45">
      <c r="A215" s="14" t="s">
        <v>9</v>
      </c>
      <c r="B215" s="14" t="s">
        <v>76</v>
      </c>
      <c r="C215" s="15">
        <v>2025</v>
      </c>
      <c r="D215" s="15">
        <v>54</v>
      </c>
      <c r="E215" s="16">
        <v>0.02</v>
      </c>
      <c r="F215" s="16">
        <v>0.02</v>
      </c>
      <c r="G215" s="16">
        <v>0.01</v>
      </c>
      <c r="H215" s="16">
        <v>0.01</v>
      </c>
      <c r="I215" s="16">
        <v>0.06</v>
      </c>
      <c r="J215" s="16">
        <v>0.02</v>
      </c>
      <c r="K215" s="16">
        <v>0.03</v>
      </c>
      <c r="L215" s="14" t="s">
        <v>10</v>
      </c>
      <c r="M215" s="14" t="s">
        <v>23</v>
      </c>
    </row>
    <row r="216" spans="1:13" x14ac:dyDescent="0.45">
      <c r="A216" s="20" t="s">
        <v>9</v>
      </c>
      <c r="B216" s="20" t="s">
        <v>76</v>
      </c>
      <c r="C216" s="21">
        <v>2030</v>
      </c>
      <c r="D216" s="21">
        <v>59</v>
      </c>
      <c r="E216" s="22">
        <v>0.03</v>
      </c>
      <c r="F216" s="22">
        <v>0.03</v>
      </c>
      <c r="G216" s="22">
        <v>0.01</v>
      </c>
      <c r="H216" s="22">
        <v>0.01</v>
      </c>
      <c r="I216" s="22">
        <v>7.0000000000000007E-2</v>
      </c>
      <c r="J216" s="22">
        <v>0.02</v>
      </c>
      <c r="K216" s="22">
        <v>0.03</v>
      </c>
      <c r="L216" s="20" t="s">
        <v>10</v>
      </c>
      <c r="M216" s="20" t="s">
        <v>23</v>
      </c>
    </row>
    <row r="217" spans="1:13" x14ac:dyDescent="0.45">
      <c r="A217" s="14" t="s">
        <v>9</v>
      </c>
      <c r="B217" s="14" t="s">
        <v>76</v>
      </c>
      <c r="C217" s="15">
        <v>2035</v>
      </c>
      <c r="D217" s="15">
        <v>54</v>
      </c>
      <c r="E217" s="16">
        <v>0.04</v>
      </c>
      <c r="F217" s="16">
        <v>0.04</v>
      </c>
      <c r="G217" s="16">
        <v>0.02</v>
      </c>
      <c r="H217" s="16">
        <v>0.01</v>
      </c>
      <c r="I217" s="16">
        <v>0.08</v>
      </c>
      <c r="J217" s="16">
        <v>0.03</v>
      </c>
      <c r="K217" s="16">
        <v>0.05</v>
      </c>
      <c r="L217" s="14" t="s">
        <v>10</v>
      </c>
      <c r="M217" s="14" t="s">
        <v>23</v>
      </c>
    </row>
    <row r="218" spans="1:13" x14ac:dyDescent="0.45">
      <c r="A218" s="20" t="s">
        <v>9</v>
      </c>
      <c r="B218" s="20" t="s">
        <v>76</v>
      </c>
      <c r="C218" s="21">
        <v>2040</v>
      </c>
      <c r="D218" s="21">
        <v>59</v>
      </c>
      <c r="E218" s="22">
        <v>0.05</v>
      </c>
      <c r="F218" s="22">
        <v>0.05</v>
      </c>
      <c r="G218" s="22">
        <v>0.03</v>
      </c>
      <c r="H218" s="22">
        <v>0.01</v>
      </c>
      <c r="I218" s="22">
        <v>0.12</v>
      </c>
      <c r="J218" s="22">
        <v>0.02</v>
      </c>
      <c r="K218" s="22">
        <v>7.0000000000000007E-2</v>
      </c>
      <c r="L218" s="20" t="s">
        <v>10</v>
      </c>
      <c r="M218" s="20" t="s">
        <v>23</v>
      </c>
    </row>
    <row r="219" spans="1:13" x14ac:dyDescent="0.45">
      <c r="A219" s="14" t="s">
        <v>9</v>
      </c>
      <c r="B219" s="14" t="s">
        <v>76</v>
      </c>
      <c r="C219" s="15">
        <v>2045</v>
      </c>
      <c r="D219" s="15">
        <v>54</v>
      </c>
      <c r="E219" s="16">
        <v>7.0000000000000007E-2</v>
      </c>
      <c r="F219" s="16">
        <v>7.0000000000000007E-2</v>
      </c>
      <c r="G219" s="16">
        <v>0.04</v>
      </c>
      <c r="H219" s="16">
        <v>0.01</v>
      </c>
      <c r="I219" s="16">
        <v>0.16</v>
      </c>
      <c r="J219" s="16">
        <v>0.04</v>
      </c>
      <c r="K219" s="16">
        <v>0.1</v>
      </c>
      <c r="L219" s="14" t="s">
        <v>10</v>
      </c>
      <c r="M219" s="14" t="s">
        <v>23</v>
      </c>
    </row>
    <row r="220" spans="1:13" x14ac:dyDescent="0.45">
      <c r="A220" s="20" t="s">
        <v>9</v>
      </c>
      <c r="B220" s="20" t="s">
        <v>76</v>
      </c>
      <c r="C220" s="21">
        <v>2050</v>
      </c>
      <c r="D220" s="21">
        <v>59</v>
      </c>
      <c r="E220" s="22">
        <v>0.08</v>
      </c>
      <c r="F220" s="22">
        <v>0.08</v>
      </c>
      <c r="G220" s="22">
        <v>0.05</v>
      </c>
      <c r="H220" s="22">
        <v>0.01</v>
      </c>
      <c r="I220" s="22">
        <v>0.18</v>
      </c>
      <c r="J220" s="22">
        <v>0.03</v>
      </c>
      <c r="K220" s="22">
        <v>0.12</v>
      </c>
      <c r="L220" s="20" t="s">
        <v>10</v>
      </c>
      <c r="M220" s="20" t="s">
        <v>23</v>
      </c>
    </row>
    <row r="221" spans="1:13" x14ac:dyDescent="0.45">
      <c r="A221" s="14" t="s">
        <v>0</v>
      </c>
      <c r="B221" s="14" t="s">
        <v>76</v>
      </c>
      <c r="C221" s="15">
        <v>2020</v>
      </c>
      <c r="D221" s="15">
        <v>44</v>
      </c>
      <c r="E221" s="16">
        <v>1</v>
      </c>
      <c r="F221" s="16">
        <v>1</v>
      </c>
      <c r="G221" s="16">
        <v>0</v>
      </c>
      <c r="H221" s="16">
        <v>1</v>
      </c>
      <c r="I221" s="16">
        <v>1</v>
      </c>
      <c r="J221" s="16">
        <v>1</v>
      </c>
      <c r="K221" s="16">
        <v>1</v>
      </c>
      <c r="L221" s="14" t="s">
        <v>1</v>
      </c>
      <c r="M221" s="14" t="s">
        <v>71</v>
      </c>
    </row>
    <row r="222" spans="1:13" x14ac:dyDescent="0.45">
      <c r="A222" s="20" t="s">
        <v>0</v>
      </c>
      <c r="B222" s="20" t="s">
        <v>76</v>
      </c>
      <c r="C222" s="21">
        <v>2025</v>
      </c>
      <c r="D222" s="21">
        <v>44</v>
      </c>
      <c r="E222" s="22">
        <v>2.4900000000000002</v>
      </c>
      <c r="F222" s="22">
        <v>2.2799999999999998</v>
      </c>
      <c r="G222" s="22">
        <v>0.93</v>
      </c>
      <c r="H222" s="22">
        <v>0</v>
      </c>
      <c r="I222" s="22">
        <v>5.34</v>
      </c>
      <c r="J222" s="22">
        <v>2</v>
      </c>
      <c r="K222" s="22">
        <v>2.91</v>
      </c>
      <c r="L222" s="20" t="s">
        <v>1</v>
      </c>
      <c r="M222" s="20" t="s">
        <v>71</v>
      </c>
    </row>
    <row r="223" spans="1:13" x14ac:dyDescent="0.45">
      <c r="A223" s="14" t="s">
        <v>0</v>
      </c>
      <c r="B223" s="14" t="s">
        <v>76</v>
      </c>
      <c r="C223" s="15">
        <v>2030</v>
      </c>
      <c r="D223" s="15">
        <v>44</v>
      </c>
      <c r="E223" s="16">
        <v>3.22</v>
      </c>
      <c r="F223" s="16">
        <v>3.09</v>
      </c>
      <c r="G223" s="16">
        <v>1.1399999999999999</v>
      </c>
      <c r="H223" s="16">
        <v>0</v>
      </c>
      <c r="I223" s="16">
        <v>6.3</v>
      </c>
      <c r="J223" s="16">
        <v>2.69</v>
      </c>
      <c r="K223" s="16">
        <v>3.84</v>
      </c>
      <c r="L223" s="14" t="s">
        <v>1</v>
      </c>
      <c r="M223" s="14" t="s">
        <v>71</v>
      </c>
    </row>
    <row r="224" spans="1:13" x14ac:dyDescent="0.45">
      <c r="A224" s="20" t="s">
        <v>0</v>
      </c>
      <c r="B224" s="20" t="s">
        <v>76</v>
      </c>
      <c r="C224" s="21">
        <v>2035</v>
      </c>
      <c r="D224" s="21">
        <v>44</v>
      </c>
      <c r="E224" s="22">
        <v>3.85</v>
      </c>
      <c r="F224" s="22">
        <v>3.62</v>
      </c>
      <c r="G224" s="22">
        <v>1.55</v>
      </c>
      <c r="H224" s="22">
        <v>0</v>
      </c>
      <c r="I224" s="22">
        <v>8.33</v>
      </c>
      <c r="J224" s="22">
        <v>2.76</v>
      </c>
      <c r="K224" s="22">
        <v>4.75</v>
      </c>
      <c r="L224" s="20" t="s">
        <v>1</v>
      </c>
      <c r="M224" s="20" t="s">
        <v>71</v>
      </c>
    </row>
    <row r="225" spans="1:13" x14ac:dyDescent="0.45">
      <c r="A225" s="14" t="s">
        <v>0</v>
      </c>
      <c r="B225" s="14" t="s">
        <v>76</v>
      </c>
      <c r="C225" s="15">
        <v>2040</v>
      </c>
      <c r="D225" s="15">
        <v>44</v>
      </c>
      <c r="E225" s="16">
        <v>4.68</v>
      </c>
      <c r="F225" s="16">
        <v>4.42</v>
      </c>
      <c r="G225" s="16">
        <v>1.88</v>
      </c>
      <c r="H225" s="16">
        <v>0</v>
      </c>
      <c r="I225" s="16">
        <v>9.23</v>
      </c>
      <c r="J225" s="16">
        <v>3.25</v>
      </c>
      <c r="K225" s="16">
        <v>6.38</v>
      </c>
      <c r="L225" s="14" t="s">
        <v>1</v>
      </c>
      <c r="M225" s="14" t="s">
        <v>71</v>
      </c>
    </row>
    <row r="226" spans="1:13" x14ac:dyDescent="0.45">
      <c r="A226" s="20" t="s">
        <v>0</v>
      </c>
      <c r="B226" s="20" t="s">
        <v>76</v>
      </c>
      <c r="C226" s="21">
        <v>2045</v>
      </c>
      <c r="D226" s="21">
        <v>44</v>
      </c>
      <c r="E226" s="22">
        <v>5.14</v>
      </c>
      <c r="F226" s="22">
        <v>4.68</v>
      </c>
      <c r="G226" s="22">
        <v>2.0499999999999998</v>
      </c>
      <c r="H226" s="22">
        <v>0</v>
      </c>
      <c r="I226" s="22">
        <v>9.2799999999999994</v>
      </c>
      <c r="J226" s="22">
        <v>3.67</v>
      </c>
      <c r="K226" s="22">
        <v>6.07</v>
      </c>
      <c r="L226" s="20" t="s">
        <v>1</v>
      </c>
      <c r="M226" s="20" t="s">
        <v>71</v>
      </c>
    </row>
    <row r="227" spans="1:13" x14ac:dyDescent="0.45">
      <c r="A227" s="14" t="s">
        <v>0</v>
      </c>
      <c r="B227" s="14" t="s">
        <v>76</v>
      </c>
      <c r="C227" s="15">
        <v>2050</v>
      </c>
      <c r="D227" s="15">
        <v>44</v>
      </c>
      <c r="E227" s="16">
        <v>5.16</v>
      </c>
      <c r="F227" s="16">
        <v>4.4800000000000004</v>
      </c>
      <c r="G227" s="16">
        <v>2.34</v>
      </c>
      <c r="H227" s="16">
        <v>0</v>
      </c>
      <c r="I227" s="16">
        <v>9.9499999999999993</v>
      </c>
      <c r="J227" s="16">
        <v>3.95</v>
      </c>
      <c r="K227" s="16">
        <v>5.19</v>
      </c>
      <c r="L227" s="14" t="s">
        <v>1</v>
      </c>
      <c r="M227" s="14" t="s">
        <v>71</v>
      </c>
    </row>
    <row r="228" spans="1:13" x14ac:dyDescent="0.45">
      <c r="A228" s="20" t="s">
        <v>2</v>
      </c>
      <c r="B228" s="20" t="s">
        <v>76</v>
      </c>
      <c r="C228" s="21">
        <v>2020</v>
      </c>
      <c r="D228" s="21">
        <v>44</v>
      </c>
      <c r="E228" s="22">
        <v>1</v>
      </c>
      <c r="F228" s="22">
        <v>1</v>
      </c>
      <c r="G228" s="22">
        <v>0</v>
      </c>
      <c r="H228" s="22">
        <v>1</v>
      </c>
      <c r="I228" s="22">
        <v>1</v>
      </c>
      <c r="J228" s="22">
        <v>1</v>
      </c>
      <c r="K228" s="22">
        <v>1</v>
      </c>
      <c r="L228" s="20" t="s">
        <v>3</v>
      </c>
      <c r="M228" s="20" t="s">
        <v>71</v>
      </c>
    </row>
    <row r="229" spans="1:13" x14ac:dyDescent="0.45">
      <c r="A229" s="14" t="s">
        <v>2</v>
      </c>
      <c r="B229" s="14" t="s">
        <v>76</v>
      </c>
      <c r="C229" s="15">
        <v>2025</v>
      </c>
      <c r="D229" s="15">
        <v>44</v>
      </c>
      <c r="E229" s="16">
        <v>1.32</v>
      </c>
      <c r="F229" s="16">
        <v>1.32</v>
      </c>
      <c r="G229" s="16">
        <v>0.47</v>
      </c>
      <c r="H229" s="16">
        <v>0</v>
      </c>
      <c r="I229" s="16">
        <v>2.95</v>
      </c>
      <c r="J229" s="16">
        <v>1.1100000000000001</v>
      </c>
      <c r="K229" s="16">
        <v>1.51</v>
      </c>
      <c r="L229" s="14" t="s">
        <v>3</v>
      </c>
      <c r="M229" s="14" t="s">
        <v>71</v>
      </c>
    </row>
    <row r="230" spans="1:13" x14ac:dyDescent="0.45">
      <c r="A230" s="20" t="s">
        <v>2</v>
      </c>
      <c r="B230" s="20" t="s">
        <v>76</v>
      </c>
      <c r="C230" s="21">
        <v>2030</v>
      </c>
      <c r="D230" s="21">
        <v>44</v>
      </c>
      <c r="E230" s="22">
        <v>1.53</v>
      </c>
      <c r="F230" s="22">
        <v>1.23</v>
      </c>
      <c r="G230" s="22">
        <v>0.71</v>
      </c>
      <c r="H230" s="22">
        <v>0</v>
      </c>
      <c r="I230" s="22">
        <v>3.93</v>
      </c>
      <c r="J230" s="22">
        <v>1.18</v>
      </c>
      <c r="K230" s="22">
        <v>1.75</v>
      </c>
      <c r="L230" s="20" t="s">
        <v>3</v>
      </c>
      <c r="M230" s="20" t="s">
        <v>71</v>
      </c>
    </row>
    <row r="231" spans="1:13" x14ac:dyDescent="0.45">
      <c r="A231" s="14" t="s">
        <v>2</v>
      </c>
      <c r="B231" s="14" t="s">
        <v>76</v>
      </c>
      <c r="C231" s="15">
        <v>2035</v>
      </c>
      <c r="D231" s="15">
        <v>44</v>
      </c>
      <c r="E231" s="16">
        <v>2.91</v>
      </c>
      <c r="F231" s="16">
        <v>2.33</v>
      </c>
      <c r="G231" s="16">
        <v>2.71</v>
      </c>
      <c r="H231" s="16">
        <v>1.05</v>
      </c>
      <c r="I231" s="16">
        <v>15.1</v>
      </c>
      <c r="J231" s="16">
        <v>1.9</v>
      </c>
      <c r="K231" s="16">
        <v>2.62</v>
      </c>
      <c r="L231" s="14" t="s">
        <v>3</v>
      </c>
      <c r="M231" s="14" t="s">
        <v>71</v>
      </c>
    </row>
    <row r="232" spans="1:13" x14ac:dyDescent="0.45">
      <c r="A232" s="20" t="s">
        <v>2</v>
      </c>
      <c r="B232" s="20" t="s">
        <v>76</v>
      </c>
      <c r="C232" s="21">
        <v>2040</v>
      </c>
      <c r="D232" s="21">
        <v>44</v>
      </c>
      <c r="E232" s="22">
        <v>3.61</v>
      </c>
      <c r="F232" s="22">
        <v>2.75</v>
      </c>
      <c r="G232" s="22">
        <v>3.58</v>
      </c>
      <c r="H232" s="22">
        <v>1.04</v>
      </c>
      <c r="I232" s="22">
        <v>19.920000000000002</v>
      </c>
      <c r="J232" s="22">
        <v>2.0099999999999998</v>
      </c>
      <c r="K232" s="22">
        <v>3.31</v>
      </c>
      <c r="L232" s="20" t="s">
        <v>3</v>
      </c>
      <c r="M232" s="20" t="s">
        <v>71</v>
      </c>
    </row>
    <row r="233" spans="1:13" x14ac:dyDescent="0.45">
      <c r="A233" s="14" t="s">
        <v>2</v>
      </c>
      <c r="B233" s="14" t="s">
        <v>76</v>
      </c>
      <c r="C233" s="15">
        <v>2045</v>
      </c>
      <c r="D233" s="15">
        <v>44</v>
      </c>
      <c r="E233" s="16">
        <v>3.42</v>
      </c>
      <c r="F233" s="16">
        <v>3.2</v>
      </c>
      <c r="G233" s="16">
        <v>1.44</v>
      </c>
      <c r="H233" s="16">
        <v>1.1000000000000001</v>
      </c>
      <c r="I233" s="16">
        <v>8.15</v>
      </c>
      <c r="J233" s="16">
        <v>2.2999999999999998</v>
      </c>
      <c r="K233" s="16">
        <v>4.1500000000000004</v>
      </c>
      <c r="L233" s="14" t="s">
        <v>3</v>
      </c>
      <c r="M233" s="14" t="s">
        <v>71</v>
      </c>
    </row>
    <row r="234" spans="1:13" x14ac:dyDescent="0.45">
      <c r="A234" s="20" t="s">
        <v>2</v>
      </c>
      <c r="B234" s="20" t="s">
        <v>76</v>
      </c>
      <c r="C234" s="21">
        <v>2050</v>
      </c>
      <c r="D234" s="21">
        <v>44</v>
      </c>
      <c r="E234" s="22">
        <v>3.45</v>
      </c>
      <c r="F234" s="22">
        <v>3.42</v>
      </c>
      <c r="G234" s="22">
        <v>1.19</v>
      </c>
      <c r="H234" s="22">
        <v>1.2</v>
      </c>
      <c r="I234" s="22">
        <v>7</v>
      </c>
      <c r="J234" s="22">
        <v>2.57</v>
      </c>
      <c r="K234" s="22">
        <v>4.04</v>
      </c>
      <c r="L234" s="20" t="s">
        <v>3</v>
      </c>
      <c r="M234" s="20" t="s">
        <v>71</v>
      </c>
    </row>
    <row r="235" spans="1:13" x14ac:dyDescent="0.45">
      <c r="A235" s="14" t="s">
        <v>5</v>
      </c>
      <c r="B235" s="14" t="s">
        <v>76</v>
      </c>
      <c r="C235" s="15">
        <v>2020</v>
      </c>
      <c r="D235" s="15">
        <v>107</v>
      </c>
      <c r="E235" s="16">
        <v>1</v>
      </c>
      <c r="F235" s="16">
        <v>1</v>
      </c>
      <c r="G235" s="16">
        <v>0</v>
      </c>
      <c r="H235" s="16">
        <v>1</v>
      </c>
      <c r="I235" s="16">
        <v>1</v>
      </c>
      <c r="J235" s="16">
        <v>1</v>
      </c>
      <c r="K235" s="16">
        <v>1</v>
      </c>
      <c r="L235" s="14" t="s">
        <v>6</v>
      </c>
      <c r="M235" s="14" t="s">
        <v>71</v>
      </c>
    </row>
    <row r="236" spans="1:13" x14ac:dyDescent="0.45">
      <c r="A236" s="20" t="s">
        <v>5</v>
      </c>
      <c r="B236" s="20" t="s">
        <v>76</v>
      </c>
      <c r="C236" s="21">
        <v>2025</v>
      </c>
      <c r="D236" s="21">
        <v>107</v>
      </c>
      <c r="E236" s="22">
        <v>1.61</v>
      </c>
      <c r="F236" s="22">
        <v>1.52</v>
      </c>
      <c r="G236" s="22">
        <v>0.61</v>
      </c>
      <c r="H236" s="22">
        <v>0</v>
      </c>
      <c r="I236" s="22">
        <v>4.47</v>
      </c>
      <c r="J236" s="22">
        <v>1.19</v>
      </c>
      <c r="K236" s="22">
        <v>1.88</v>
      </c>
      <c r="L236" s="20" t="s">
        <v>6</v>
      </c>
      <c r="M236" s="20" t="s">
        <v>71</v>
      </c>
    </row>
    <row r="237" spans="1:13" x14ac:dyDescent="0.45">
      <c r="A237" s="14" t="s">
        <v>5</v>
      </c>
      <c r="B237" s="14" t="s">
        <v>76</v>
      </c>
      <c r="C237" s="15">
        <v>2030</v>
      </c>
      <c r="D237" s="15">
        <v>107</v>
      </c>
      <c r="E237" s="16">
        <v>1.88</v>
      </c>
      <c r="F237" s="16">
        <v>1.71</v>
      </c>
      <c r="G237" s="16">
        <v>0.71</v>
      </c>
      <c r="H237" s="16">
        <v>0</v>
      </c>
      <c r="I237" s="16">
        <v>4.1500000000000004</v>
      </c>
      <c r="J237" s="16">
        <v>1.41</v>
      </c>
      <c r="K237" s="16">
        <v>2.38</v>
      </c>
      <c r="L237" s="14" t="s">
        <v>6</v>
      </c>
      <c r="M237" s="14" t="s">
        <v>71</v>
      </c>
    </row>
    <row r="238" spans="1:13" x14ac:dyDescent="0.45">
      <c r="A238" s="20" t="s">
        <v>5</v>
      </c>
      <c r="B238" s="20" t="s">
        <v>76</v>
      </c>
      <c r="C238" s="21">
        <v>2035</v>
      </c>
      <c r="D238" s="21">
        <v>107</v>
      </c>
      <c r="E238" s="22">
        <v>2.31</v>
      </c>
      <c r="F238" s="22">
        <v>2.17</v>
      </c>
      <c r="G238" s="22">
        <v>0.64</v>
      </c>
      <c r="H238" s="22">
        <v>0</v>
      </c>
      <c r="I238" s="22">
        <v>4.22</v>
      </c>
      <c r="J238" s="22">
        <v>1.85</v>
      </c>
      <c r="K238" s="22">
        <v>2.67</v>
      </c>
      <c r="L238" s="20" t="s">
        <v>6</v>
      </c>
      <c r="M238" s="20" t="s">
        <v>71</v>
      </c>
    </row>
    <row r="239" spans="1:13" x14ac:dyDescent="0.45">
      <c r="A239" s="14" t="s">
        <v>5</v>
      </c>
      <c r="B239" s="14" t="s">
        <v>76</v>
      </c>
      <c r="C239" s="15">
        <v>2040</v>
      </c>
      <c r="D239" s="15">
        <v>107</v>
      </c>
      <c r="E239" s="16">
        <v>2.66</v>
      </c>
      <c r="F239" s="16">
        <v>2.59</v>
      </c>
      <c r="G239" s="16">
        <v>0.89</v>
      </c>
      <c r="H239" s="16">
        <v>0</v>
      </c>
      <c r="I239" s="16">
        <v>5.0199999999999996</v>
      </c>
      <c r="J239" s="16">
        <v>2.0299999999999998</v>
      </c>
      <c r="K239" s="16">
        <v>3.06</v>
      </c>
      <c r="L239" s="14" t="s">
        <v>6</v>
      </c>
      <c r="M239" s="14" t="s">
        <v>71</v>
      </c>
    </row>
    <row r="240" spans="1:13" x14ac:dyDescent="0.45">
      <c r="A240" s="20" t="s">
        <v>5</v>
      </c>
      <c r="B240" s="20" t="s">
        <v>76</v>
      </c>
      <c r="C240" s="21">
        <v>2045</v>
      </c>
      <c r="D240" s="21">
        <v>107</v>
      </c>
      <c r="E240" s="22">
        <v>3</v>
      </c>
      <c r="F240" s="22">
        <v>2.93</v>
      </c>
      <c r="G240" s="22">
        <v>1.04</v>
      </c>
      <c r="H240" s="22">
        <v>0</v>
      </c>
      <c r="I240" s="22">
        <v>5.63</v>
      </c>
      <c r="J240" s="22">
        <v>2.23</v>
      </c>
      <c r="K240" s="22">
        <v>3.45</v>
      </c>
      <c r="L240" s="20" t="s">
        <v>6</v>
      </c>
      <c r="M240" s="20" t="s">
        <v>71</v>
      </c>
    </row>
    <row r="241" spans="1:13" x14ac:dyDescent="0.45">
      <c r="A241" s="14" t="s">
        <v>5</v>
      </c>
      <c r="B241" s="14" t="s">
        <v>76</v>
      </c>
      <c r="C241" s="15">
        <v>2050</v>
      </c>
      <c r="D241" s="15">
        <v>107</v>
      </c>
      <c r="E241" s="16">
        <v>3.21</v>
      </c>
      <c r="F241" s="16">
        <v>3.21</v>
      </c>
      <c r="G241" s="16">
        <v>1.21</v>
      </c>
      <c r="H241" s="16">
        <v>0</v>
      </c>
      <c r="I241" s="16">
        <v>6.67</v>
      </c>
      <c r="J241" s="16">
        <v>2.33</v>
      </c>
      <c r="K241" s="16">
        <v>3.69</v>
      </c>
      <c r="L241" s="14" t="s">
        <v>6</v>
      </c>
      <c r="M241" s="14" t="s">
        <v>71</v>
      </c>
    </row>
    <row r="242" spans="1:13" x14ac:dyDescent="0.45">
      <c r="A242" s="20" t="s">
        <v>7</v>
      </c>
      <c r="B242" s="20" t="s">
        <v>76</v>
      </c>
      <c r="C242" s="21">
        <v>2020</v>
      </c>
      <c r="D242" s="21">
        <v>29</v>
      </c>
      <c r="E242" s="22">
        <v>1</v>
      </c>
      <c r="F242" s="22">
        <v>1</v>
      </c>
      <c r="G242" s="22">
        <v>0</v>
      </c>
      <c r="H242" s="22">
        <v>1</v>
      </c>
      <c r="I242" s="22">
        <v>1</v>
      </c>
      <c r="J242" s="22">
        <v>1</v>
      </c>
      <c r="K242" s="22">
        <v>1</v>
      </c>
      <c r="L242" s="20" t="s">
        <v>8</v>
      </c>
      <c r="M242" s="20" t="s">
        <v>71</v>
      </c>
    </row>
    <row r="243" spans="1:13" x14ac:dyDescent="0.45">
      <c r="A243" s="14" t="s">
        <v>7</v>
      </c>
      <c r="B243" s="14" t="s">
        <v>76</v>
      </c>
      <c r="C243" s="15">
        <v>2025</v>
      </c>
      <c r="D243" s="15">
        <v>29</v>
      </c>
      <c r="E243" s="16">
        <v>1.33</v>
      </c>
      <c r="F243" s="16">
        <v>1.22</v>
      </c>
      <c r="G243" s="16">
        <v>0.26</v>
      </c>
      <c r="H243" s="16">
        <v>1.08</v>
      </c>
      <c r="I243" s="16">
        <v>1.99</v>
      </c>
      <c r="J243" s="16">
        <v>1.1599999999999999</v>
      </c>
      <c r="K243" s="16">
        <v>1.4</v>
      </c>
      <c r="L243" s="14" t="s">
        <v>8</v>
      </c>
      <c r="M243" s="14" t="s">
        <v>71</v>
      </c>
    </row>
    <row r="244" spans="1:13" x14ac:dyDescent="0.45">
      <c r="A244" s="20" t="s">
        <v>7</v>
      </c>
      <c r="B244" s="20" t="s">
        <v>76</v>
      </c>
      <c r="C244" s="21">
        <v>2030</v>
      </c>
      <c r="D244" s="21">
        <v>29</v>
      </c>
      <c r="E244" s="22">
        <v>1.54</v>
      </c>
      <c r="F244" s="22">
        <v>1.56</v>
      </c>
      <c r="G244" s="22">
        <v>0.24</v>
      </c>
      <c r="H244" s="22">
        <v>1.19</v>
      </c>
      <c r="I244" s="22">
        <v>2</v>
      </c>
      <c r="J244" s="22">
        <v>1.34</v>
      </c>
      <c r="K244" s="22">
        <v>1.68</v>
      </c>
      <c r="L244" s="20" t="s">
        <v>8</v>
      </c>
      <c r="M244" s="20" t="s">
        <v>71</v>
      </c>
    </row>
    <row r="245" spans="1:13" x14ac:dyDescent="0.45">
      <c r="A245" s="14" t="s">
        <v>7</v>
      </c>
      <c r="B245" s="14" t="s">
        <v>76</v>
      </c>
      <c r="C245" s="15">
        <v>2035</v>
      </c>
      <c r="D245" s="15">
        <v>29</v>
      </c>
      <c r="E245" s="16">
        <v>1.8</v>
      </c>
      <c r="F245" s="16">
        <v>1.74</v>
      </c>
      <c r="G245" s="16">
        <v>0.25</v>
      </c>
      <c r="H245" s="16">
        <v>1.44</v>
      </c>
      <c r="I245" s="16">
        <v>2.39</v>
      </c>
      <c r="J245" s="16">
        <v>1.62</v>
      </c>
      <c r="K245" s="16">
        <v>1.9</v>
      </c>
      <c r="L245" s="14" t="s">
        <v>8</v>
      </c>
      <c r="M245" s="14" t="s">
        <v>71</v>
      </c>
    </row>
    <row r="246" spans="1:13" x14ac:dyDescent="0.45">
      <c r="A246" s="20" t="s">
        <v>7</v>
      </c>
      <c r="B246" s="20" t="s">
        <v>76</v>
      </c>
      <c r="C246" s="21">
        <v>2040</v>
      </c>
      <c r="D246" s="21">
        <v>29</v>
      </c>
      <c r="E246" s="22">
        <v>2.08</v>
      </c>
      <c r="F246" s="22">
        <v>2.0699999999999998</v>
      </c>
      <c r="G246" s="22">
        <v>0.43</v>
      </c>
      <c r="H246" s="22">
        <v>1.5</v>
      </c>
      <c r="I246" s="22">
        <v>3.52</v>
      </c>
      <c r="J246" s="22">
        <v>1.72</v>
      </c>
      <c r="K246" s="22">
        <v>2.2799999999999998</v>
      </c>
      <c r="L246" s="20" t="s">
        <v>8</v>
      </c>
      <c r="M246" s="20" t="s">
        <v>71</v>
      </c>
    </row>
    <row r="247" spans="1:13" x14ac:dyDescent="0.45">
      <c r="A247" s="14" t="s">
        <v>7</v>
      </c>
      <c r="B247" s="14" t="s">
        <v>76</v>
      </c>
      <c r="C247" s="15">
        <v>2045</v>
      </c>
      <c r="D247" s="15">
        <v>29</v>
      </c>
      <c r="E247" s="16">
        <v>2.33</v>
      </c>
      <c r="F247" s="16">
        <v>2.27</v>
      </c>
      <c r="G247" s="16">
        <v>0.5</v>
      </c>
      <c r="H247" s="16">
        <v>1.72</v>
      </c>
      <c r="I247" s="16">
        <v>4.0599999999999996</v>
      </c>
      <c r="J247" s="16">
        <v>1.91</v>
      </c>
      <c r="K247" s="16">
        <v>2.56</v>
      </c>
      <c r="L247" s="14" t="s">
        <v>8</v>
      </c>
      <c r="M247" s="14" t="s">
        <v>71</v>
      </c>
    </row>
    <row r="248" spans="1:13" x14ac:dyDescent="0.45">
      <c r="A248" s="20" t="s">
        <v>7</v>
      </c>
      <c r="B248" s="20" t="s">
        <v>76</v>
      </c>
      <c r="C248" s="21">
        <v>2050</v>
      </c>
      <c r="D248" s="21">
        <v>29</v>
      </c>
      <c r="E248" s="22">
        <v>2.4</v>
      </c>
      <c r="F248" s="22">
        <v>2.41</v>
      </c>
      <c r="G248" s="22">
        <v>0.48</v>
      </c>
      <c r="H248" s="22">
        <v>1.67</v>
      </c>
      <c r="I248" s="22">
        <v>3.43</v>
      </c>
      <c r="J248" s="22">
        <v>1.97</v>
      </c>
      <c r="K248" s="22">
        <v>2.69</v>
      </c>
      <c r="L248" s="20" t="s">
        <v>8</v>
      </c>
      <c r="M248" s="20" t="s">
        <v>71</v>
      </c>
    </row>
    <row r="249" spans="1:13" x14ac:dyDescent="0.45">
      <c r="A249" s="14" t="s">
        <v>9</v>
      </c>
      <c r="B249" s="14" t="s">
        <v>76</v>
      </c>
      <c r="C249" s="15">
        <v>2020</v>
      </c>
      <c r="D249" s="15">
        <v>43</v>
      </c>
      <c r="E249" s="16">
        <v>1</v>
      </c>
      <c r="F249" s="16">
        <v>1</v>
      </c>
      <c r="G249" s="16">
        <v>0</v>
      </c>
      <c r="H249" s="16">
        <v>1</v>
      </c>
      <c r="I249" s="16">
        <v>1</v>
      </c>
      <c r="J249" s="16">
        <v>1</v>
      </c>
      <c r="K249" s="16">
        <v>1</v>
      </c>
      <c r="L249" s="14" t="s">
        <v>10</v>
      </c>
      <c r="M249" s="14" t="s">
        <v>71</v>
      </c>
    </row>
    <row r="250" spans="1:13" x14ac:dyDescent="0.45">
      <c r="A250" s="20" t="s">
        <v>9</v>
      </c>
      <c r="B250" s="20" t="s">
        <v>76</v>
      </c>
      <c r="C250" s="21">
        <v>2025</v>
      </c>
      <c r="D250" s="21">
        <v>43</v>
      </c>
      <c r="E250" s="22">
        <v>1.08</v>
      </c>
      <c r="F250" s="22">
        <v>1.03</v>
      </c>
      <c r="G250" s="22">
        <v>0.17</v>
      </c>
      <c r="H250" s="22">
        <v>0.94</v>
      </c>
      <c r="I250" s="22">
        <v>1.99</v>
      </c>
      <c r="J250" s="22">
        <v>1.02</v>
      </c>
      <c r="K250" s="22">
        <v>1.08</v>
      </c>
      <c r="L250" s="20" t="s">
        <v>10</v>
      </c>
      <c r="M250" s="20" t="s">
        <v>71</v>
      </c>
    </row>
    <row r="251" spans="1:13" x14ac:dyDescent="0.45">
      <c r="A251" s="14" t="s">
        <v>9</v>
      </c>
      <c r="B251" s="14" t="s">
        <v>76</v>
      </c>
      <c r="C251" s="15">
        <v>2030</v>
      </c>
      <c r="D251" s="15">
        <v>43</v>
      </c>
      <c r="E251" s="16">
        <v>1.1399999999999999</v>
      </c>
      <c r="F251" s="16">
        <v>1.1299999999999999</v>
      </c>
      <c r="G251" s="16">
        <v>0.17</v>
      </c>
      <c r="H251" s="16">
        <v>0.99</v>
      </c>
      <c r="I251" s="16">
        <v>2</v>
      </c>
      <c r="J251" s="16">
        <v>1.04</v>
      </c>
      <c r="K251" s="16">
        <v>1.1599999999999999</v>
      </c>
      <c r="L251" s="14" t="s">
        <v>10</v>
      </c>
      <c r="M251" s="14" t="s">
        <v>71</v>
      </c>
    </row>
    <row r="252" spans="1:13" x14ac:dyDescent="0.45">
      <c r="A252" s="20" t="s">
        <v>9</v>
      </c>
      <c r="B252" s="20" t="s">
        <v>76</v>
      </c>
      <c r="C252" s="21">
        <v>2035</v>
      </c>
      <c r="D252" s="21">
        <v>43</v>
      </c>
      <c r="E252" s="22">
        <v>1.17</v>
      </c>
      <c r="F252" s="22">
        <v>1.1599999999999999</v>
      </c>
      <c r="G252" s="22">
        <v>0.17</v>
      </c>
      <c r="H252" s="22">
        <v>0.98</v>
      </c>
      <c r="I252" s="22">
        <v>1.95</v>
      </c>
      <c r="J252" s="22">
        <v>1.08</v>
      </c>
      <c r="K252" s="22">
        <v>1.18</v>
      </c>
      <c r="L252" s="20" t="s">
        <v>10</v>
      </c>
      <c r="M252" s="20" t="s">
        <v>71</v>
      </c>
    </row>
    <row r="253" spans="1:13" x14ac:dyDescent="0.45">
      <c r="A253" s="14" t="s">
        <v>9</v>
      </c>
      <c r="B253" s="14" t="s">
        <v>76</v>
      </c>
      <c r="C253" s="15">
        <v>2040</v>
      </c>
      <c r="D253" s="15">
        <v>43</v>
      </c>
      <c r="E253" s="16">
        <v>1.21</v>
      </c>
      <c r="F253" s="16">
        <v>1.19</v>
      </c>
      <c r="G253" s="16">
        <v>0.18</v>
      </c>
      <c r="H253" s="16">
        <v>0.98</v>
      </c>
      <c r="I253" s="16">
        <v>1.97</v>
      </c>
      <c r="J253" s="16">
        <v>1.1000000000000001</v>
      </c>
      <c r="K253" s="16">
        <v>1.21</v>
      </c>
      <c r="L253" s="14" t="s">
        <v>10</v>
      </c>
      <c r="M253" s="14" t="s">
        <v>71</v>
      </c>
    </row>
    <row r="254" spans="1:13" x14ac:dyDescent="0.45">
      <c r="A254" s="20" t="s">
        <v>9</v>
      </c>
      <c r="B254" s="20" t="s">
        <v>76</v>
      </c>
      <c r="C254" s="21">
        <v>2045</v>
      </c>
      <c r="D254" s="21">
        <v>43</v>
      </c>
      <c r="E254" s="22">
        <v>1.27</v>
      </c>
      <c r="F254" s="22">
        <v>1.27</v>
      </c>
      <c r="G254" s="22">
        <v>0.2</v>
      </c>
      <c r="H254" s="22">
        <v>0.98</v>
      </c>
      <c r="I254" s="22">
        <v>2.0499999999999998</v>
      </c>
      <c r="J254" s="22">
        <v>1.1200000000000001</v>
      </c>
      <c r="K254" s="22">
        <v>1.32</v>
      </c>
      <c r="L254" s="20" t="s">
        <v>10</v>
      </c>
      <c r="M254" s="20" t="s">
        <v>71</v>
      </c>
    </row>
    <row r="255" spans="1:13" x14ac:dyDescent="0.45">
      <c r="A255" s="14" t="s">
        <v>9</v>
      </c>
      <c r="B255" s="14" t="s">
        <v>76</v>
      </c>
      <c r="C255" s="15">
        <v>2050</v>
      </c>
      <c r="D255" s="15">
        <v>43</v>
      </c>
      <c r="E255" s="16">
        <v>1.32</v>
      </c>
      <c r="F255" s="16">
        <v>1.31</v>
      </c>
      <c r="G255" s="16">
        <v>0.21</v>
      </c>
      <c r="H255" s="16">
        <v>0.98</v>
      </c>
      <c r="I255" s="16">
        <v>2.12</v>
      </c>
      <c r="J255" s="16">
        <v>1.2</v>
      </c>
      <c r="K255" s="16">
        <v>1.38</v>
      </c>
      <c r="L255" s="14" t="s">
        <v>10</v>
      </c>
      <c r="M255" s="14" t="s">
        <v>71</v>
      </c>
    </row>
    <row r="256" spans="1:13" x14ac:dyDescent="0.45">
      <c r="A256" s="20" t="s">
        <v>0</v>
      </c>
      <c r="B256" s="20" t="s">
        <v>76</v>
      </c>
      <c r="C256" s="21">
        <v>2020</v>
      </c>
      <c r="D256" s="21">
        <v>50</v>
      </c>
      <c r="E256" s="22">
        <v>1</v>
      </c>
      <c r="F256" s="22">
        <v>1</v>
      </c>
      <c r="G256" s="22">
        <v>0</v>
      </c>
      <c r="H256" s="22">
        <v>1</v>
      </c>
      <c r="I256" s="22">
        <v>1</v>
      </c>
      <c r="J256" s="22">
        <v>1</v>
      </c>
      <c r="K256" s="22">
        <v>1</v>
      </c>
      <c r="L256" s="20" t="s">
        <v>1</v>
      </c>
      <c r="M256" s="20" t="s">
        <v>72</v>
      </c>
    </row>
    <row r="257" spans="1:13" x14ac:dyDescent="0.45">
      <c r="A257" s="14" t="s">
        <v>0</v>
      </c>
      <c r="B257" s="14" t="s">
        <v>76</v>
      </c>
      <c r="C257" s="15">
        <v>2025</v>
      </c>
      <c r="D257" s="15">
        <v>50</v>
      </c>
      <c r="E257" s="16">
        <v>1.64</v>
      </c>
      <c r="F257" s="16">
        <v>1.39</v>
      </c>
      <c r="G257" s="16">
        <v>0.84</v>
      </c>
      <c r="H257" s="16">
        <v>0</v>
      </c>
      <c r="I257" s="16">
        <v>4.01</v>
      </c>
      <c r="J257" s="16">
        <v>1.05</v>
      </c>
      <c r="K257" s="16">
        <v>2.0699999999999998</v>
      </c>
      <c r="L257" s="14" t="s">
        <v>1</v>
      </c>
      <c r="M257" s="14" t="s">
        <v>72</v>
      </c>
    </row>
    <row r="258" spans="1:13" x14ac:dyDescent="0.45">
      <c r="A258" s="20" t="s">
        <v>0</v>
      </c>
      <c r="B258" s="20" t="s">
        <v>76</v>
      </c>
      <c r="C258" s="21">
        <v>2030</v>
      </c>
      <c r="D258" s="21">
        <v>50</v>
      </c>
      <c r="E258" s="22">
        <v>2.2400000000000002</v>
      </c>
      <c r="F258" s="22">
        <v>2.12</v>
      </c>
      <c r="G258" s="22">
        <v>1.2</v>
      </c>
      <c r="H258" s="22">
        <v>0</v>
      </c>
      <c r="I258" s="22">
        <v>6.24</v>
      </c>
      <c r="J258" s="22">
        <v>1.48</v>
      </c>
      <c r="K258" s="22">
        <v>3.09</v>
      </c>
      <c r="L258" s="20" t="s">
        <v>1</v>
      </c>
      <c r="M258" s="20" t="s">
        <v>72</v>
      </c>
    </row>
    <row r="259" spans="1:13" x14ac:dyDescent="0.45">
      <c r="A259" s="14" t="s">
        <v>0</v>
      </c>
      <c r="B259" s="14" t="s">
        <v>76</v>
      </c>
      <c r="C259" s="15">
        <v>2035</v>
      </c>
      <c r="D259" s="15">
        <v>50</v>
      </c>
      <c r="E259" s="16">
        <v>2.62</v>
      </c>
      <c r="F259" s="16">
        <v>2.21</v>
      </c>
      <c r="G259" s="16">
        <v>1.6</v>
      </c>
      <c r="H259" s="16">
        <v>-0.96</v>
      </c>
      <c r="I259" s="16">
        <v>6.14</v>
      </c>
      <c r="J259" s="16">
        <v>1.55</v>
      </c>
      <c r="K259" s="16">
        <v>3.64</v>
      </c>
      <c r="L259" s="14" t="s">
        <v>1</v>
      </c>
      <c r="M259" s="14" t="s">
        <v>72</v>
      </c>
    </row>
    <row r="260" spans="1:13" x14ac:dyDescent="0.45">
      <c r="A260" s="20" t="s">
        <v>0</v>
      </c>
      <c r="B260" s="20" t="s">
        <v>76</v>
      </c>
      <c r="C260" s="21">
        <v>2040</v>
      </c>
      <c r="D260" s="21">
        <v>50</v>
      </c>
      <c r="E260" s="22">
        <v>3.24</v>
      </c>
      <c r="F260" s="22">
        <v>2.61</v>
      </c>
      <c r="G260" s="22">
        <v>2.06</v>
      </c>
      <c r="H260" s="22">
        <v>-0.09</v>
      </c>
      <c r="I260" s="22">
        <v>7.09</v>
      </c>
      <c r="J260" s="22">
        <v>1.81</v>
      </c>
      <c r="K260" s="22">
        <v>4.49</v>
      </c>
      <c r="L260" s="20" t="s">
        <v>1</v>
      </c>
      <c r="M260" s="20" t="s">
        <v>72</v>
      </c>
    </row>
    <row r="261" spans="1:13" x14ac:dyDescent="0.45">
      <c r="A261" s="14" t="s">
        <v>0</v>
      </c>
      <c r="B261" s="14" t="s">
        <v>76</v>
      </c>
      <c r="C261" s="15">
        <v>2045</v>
      </c>
      <c r="D261" s="15">
        <v>50</v>
      </c>
      <c r="E261" s="16">
        <v>3.47</v>
      </c>
      <c r="F261" s="16">
        <v>2.95</v>
      </c>
      <c r="G261" s="16">
        <v>2.66</v>
      </c>
      <c r="H261" s="16">
        <v>-0.32</v>
      </c>
      <c r="I261" s="16">
        <v>8.61</v>
      </c>
      <c r="J261" s="16">
        <v>1.81</v>
      </c>
      <c r="K261" s="16">
        <v>4.59</v>
      </c>
      <c r="L261" s="14" t="s">
        <v>1</v>
      </c>
      <c r="M261" s="14" t="s">
        <v>72</v>
      </c>
    </row>
    <row r="262" spans="1:13" x14ac:dyDescent="0.45">
      <c r="A262" s="20" t="s">
        <v>0</v>
      </c>
      <c r="B262" s="20" t="s">
        <v>76</v>
      </c>
      <c r="C262" s="21">
        <v>2050</v>
      </c>
      <c r="D262" s="21">
        <v>50</v>
      </c>
      <c r="E262" s="22">
        <v>3.57</v>
      </c>
      <c r="F262" s="22">
        <v>2.72</v>
      </c>
      <c r="G262" s="22">
        <v>3.08</v>
      </c>
      <c r="H262" s="22">
        <v>-0.44</v>
      </c>
      <c r="I262" s="22">
        <v>9.4700000000000006</v>
      </c>
      <c r="J262" s="22">
        <v>2.0299999999999998</v>
      </c>
      <c r="K262" s="22">
        <v>4.43</v>
      </c>
      <c r="L262" s="20" t="s">
        <v>1</v>
      </c>
      <c r="M262" s="20" t="s">
        <v>72</v>
      </c>
    </row>
    <row r="263" spans="1:13" x14ac:dyDescent="0.45">
      <c r="A263" s="14" t="s">
        <v>2</v>
      </c>
      <c r="B263" s="14" t="s">
        <v>76</v>
      </c>
      <c r="C263" s="15">
        <v>2020</v>
      </c>
      <c r="D263" s="15">
        <v>63</v>
      </c>
      <c r="E263" s="16">
        <v>1</v>
      </c>
      <c r="F263" s="16">
        <v>1</v>
      </c>
      <c r="G263" s="16">
        <v>0</v>
      </c>
      <c r="H263" s="16">
        <v>1</v>
      </c>
      <c r="I263" s="16">
        <v>1</v>
      </c>
      <c r="J263" s="16">
        <v>1</v>
      </c>
      <c r="K263" s="16">
        <v>1</v>
      </c>
      <c r="L263" s="14" t="s">
        <v>3</v>
      </c>
      <c r="M263" s="14" t="s">
        <v>72</v>
      </c>
    </row>
    <row r="264" spans="1:13" x14ac:dyDescent="0.45">
      <c r="A264" s="20" t="s">
        <v>2</v>
      </c>
      <c r="B264" s="20" t="s">
        <v>76</v>
      </c>
      <c r="C264" s="21">
        <v>2025</v>
      </c>
      <c r="D264" s="21">
        <v>52</v>
      </c>
      <c r="E264" s="22">
        <v>1.1000000000000001</v>
      </c>
      <c r="F264" s="22">
        <v>1.1499999999999999</v>
      </c>
      <c r="G264" s="22">
        <v>0.38</v>
      </c>
      <c r="H264" s="22">
        <v>0.56000000000000005</v>
      </c>
      <c r="I264" s="22">
        <v>3.02</v>
      </c>
      <c r="J264" s="22">
        <v>0.94</v>
      </c>
      <c r="K264" s="22">
        <v>1.27</v>
      </c>
      <c r="L264" s="20" t="s">
        <v>3</v>
      </c>
      <c r="M264" s="20" t="s">
        <v>72</v>
      </c>
    </row>
    <row r="265" spans="1:13" x14ac:dyDescent="0.45">
      <c r="A265" s="14" t="s">
        <v>2</v>
      </c>
      <c r="B265" s="14" t="s">
        <v>76</v>
      </c>
      <c r="C265" s="15">
        <v>2030</v>
      </c>
      <c r="D265" s="15">
        <v>63</v>
      </c>
      <c r="E265" s="16">
        <v>1.72</v>
      </c>
      <c r="F265" s="16">
        <v>1.24</v>
      </c>
      <c r="G265" s="16">
        <v>1.42</v>
      </c>
      <c r="H265" s="16">
        <v>0.81</v>
      </c>
      <c r="I265" s="16">
        <v>7.6</v>
      </c>
      <c r="J265" s="16">
        <v>1.0900000000000001</v>
      </c>
      <c r="K265" s="16">
        <v>1.52</v>
      </c>
      <c r="L265" s="14" t="s">
        <v>3</v>
      </c>
      <c r="M265" s="14" t="s">
        <v>72</v>
      </c>
    </row>
    <row r="266" spans="1:13" x14ac:dyDescent="0.45">
      <c r="A266" s="20" t="s">
        <v>2</v>
      </c>
      <c r="B266" s="20" t="s">
        <v>76</v>
      </c>
      <c r="C266" s="21">
        <v>2035</v>
      </c>
      <c r="D266" s="21">
        <v>52</v>
      </c>
      <c r="E266" s="22">
        <v>2.0699999999999998</v>
      </c>
      <c r="F266" s="22">
        <v>1.46</v>
      </c>
      <c r="G266" s="22">
        <v>1.61</v>
      </c>
      <c r="H266" s="22">
        <v>0.77</v>
      </c>
      <c r="I266" s="22">
        <v>9.02</v>
      </c>
      <c r="J266" s="22">
        <v>1.27</v>
      </c>
      <c r="K266" s="22">
        <v>2</v>
      </c>
      <c r="L266" s="20" t="s">
        <v>3</v>
      </c>
      <c r="M266" s="20" t="s">
        <v>72</v>
      </c>
    </row>
    <row r="267" spans="1:13" x14ac:dyDescent="0.45">
      <c r="A267" s="14" t="s">
        <v>2</v>
      </c>
      <c r="B267" s="14" t="s">
        <v>76</v>
      </c>
      <c r="C267" s="15">
        <v>2040</v>
      </c>
      <c r="D267" s="15">
        <v>63</v>
      </c>
      <c r="E267" s="16">
        <v>2.9</v>
      </c>
      <c r="F267" s="16">
        <v>1.77</v>
      </c>
      <c r="G267" s="16">
        <v>2.8</v>
      </c>
      <c r="H267" s="16">
        <v>-0.12</v>
      </c>
      <c r="I267" s="16">
        <v>12.26</v>
      </c>
      <c r="J267" s="16">
        <v>1.52</v>
      </c>
      <c r="K267" s="16">
        <v>2.69</v>
      </c>
      <c r="L267" s="14" t="s">
        <v>3</v>
      </c>
      <c r="M267" s="14" t="s">
        <v>72</v>
      </c>
    </row>
    <row r="268" spans="1:13" x14ac:dyDescent="0.45">
      <c r="A268" s="20" t="s">
        <v>2</v>
      </c>
      <c r="B268" s="20" t="s">
        <v>76</v>
      </c>
      <c r="C268" s="21">
        <v>2045</v>
      </c>
      <c r="D268" s="21">
        <v>52</v>
      </c>
      <c r="E268" s="22">
        <v>2.23</v>
      </c>
      <c r="F268" s="22">
        <v>1.96</v>
      </c>
      <c r="G268" s="22">
        <v>1.38</v>
      </c>
      <c r="H268" s="22">
        <v>0.13</v>
      </c>
      <c r="I268" s="22">
        <v>8.1</v>
      </c>
      <c r="J268" s="22">
        <v>1.55</v>
      </c>
      <c r="K268" s="22">
        <v>2.39</v>
      </c>
      <c r="L268" s="20" t="s">
        <v>3</v>
      </c>
      <c r="M268" s="20" t="s">
        <v>72</v>
      </c>
    </row>
    <row r="269" spans="1:13" x14ac:dyDescent="0.45">
      <c r="A269" s="14" t="s">
        <v>2</v>
      </c>
      <c r="B269" s="14" t="s">
        <v>76</v>
      </c>
      <c r="C269" s="15">
        <v>2050</v>
      </c>
      <c r="D269" s="15">
        <v>63</v>
      </c>
      <c r="E269" s="16">
        <v>2.74</v>
      </c>
      <c r="F269" s="16">
        <v>1.88</v>
      </c>
      <c r="G269" s="16">
        <v>3.53</v>
      </c>
      <c r="H269" s="16">
        <v>-0.93</v>
      </c>
      <c r="I269" s="16">
        <v>17.54</v>
      </c>
      <c r="J269" s="16">
        <v>1.24</v>
      </c>
      <c r="K269" s="16">
        <v>2.34</v>
      </c>
      <c r="L269" s="14" t="s">
        <v>3</v>
      </c>
      <c r="M269" s="14" t="s">
        <v>72</v>
      </c>
    </row>
    <row r="270" spans="1:13" x14ac:dyDescent="0.45">
      <c r="A270" s="20" t="s">
        <v>5</v>
      </c>
      <c r="B270" s="20" t="s">
        <v>76</v>
      </c>
      <c r="C270" s="21">
        <v>2020</v>
      </c>
      <c r="D270" s="21">
        <v>160</v>
      </c>
      <c r="E270" s="22">
        <v>1</v>
      </c>
      <c r="F270" s="22">
        <v>1</v>
      </c>
      <c r="G270" s="22">
        <v>0</v>
      </c>
      <c r="H270" s="22">
        <v>1</v>
      </c>
      <c r="I270" s="22">
        <v>1</v>
      </c>
      <c r="J270" s="22">
        <v>1</v>
      </c>
      <c r="K270" s="22">
        <v>1</v>
      </c>
      <c r="L270" s="20" t="s">
        <v>6</v>
      </c>
      <c r="M270" s="20" t="s">
        <v>72</v>
      </c>
    </row>
    <row r="271" spans="1:13" x14ac:dyDescent="0.45">
      <c r="A271" s="14" t="s">
        <v>5</v>
      </c>
      <c r="B271" s="14" t="s">
        <v>76</v>
      </c>
      <c r="C271" s="15">
        <v>2025</v>
      </c>
      <c r="D271" s="15">
        <v>157</v>
      </c>
      <c r="E271" s="16">
        <v>1.1599999999999999</v>
      </c>
      <c r="F271" s="16">
        <v>1.19</v>
      </c>
      <c r="G271" s="16">
        <v>0.48</v>
      </c>
      <c r="H271" s="16">
        <v>0.56000000000000005</v>
      </c>
      <c r="I271" s="16">
        <v>3.55</v>
      </c>
      <c r="J271" s="16">
        <v>0.85</v>
      </c>
      <c r="K271" s="16">
        <v>1.27</v>
      </c>
      <c r="L271" s="14" t="s">
        <v>6</v>
      </c>
      <c r="M271" s="14" t="s">
        <v>72</v>
      </c>
    </row>
    <row r="272" spans="1:13" x14ac:dyDescent="0.45">
      <c r="A272" s="20" t="s">
        <v>5</v>
      </c>
      <c r="B272" s="20" t="s">
        <v>76</v>
      </c>
      <c r="C272" s="21">
        <v>2030</v>
      </c>
      <c r="D272" s="21">
        <v>160</v>
      </c>
      <c r="E272" s="22">
        <v>1.46</v>
      </c>
      <c r="F272" s="22">
        <v>1.35</v>
      </c>
      <c r="G272" s="22">
        <v>0.53</v>
      </c>
      <c r="H272" s="22">
        <v>0.91</v>
      </c>
      <c r="I272" s="22">
        <v>4.55</v>
      </c>
      <c r="J272" s="22">
        <v>1.1299999999999999</v>
      </c>
      <c r="K272" s="22">
        <v>1.63</v>
      </c>
      <c r="L272" s="20" t="s">
        <v>6</v>
      </c>
      <c r="M272" s="20" t="s">
        <v>72</v>
      </c>
    </row>
    <row r="273" spans="1:13" x14ac:dyDescent="0.45">
      <c r="A273" s="14" t="s">
        <v>5</v>
      </c>
      <c r="B273" s="14" t="s">
        <v>76</v>
      </c>
      <c r="C273" s="15">
        <v>2035</v>
      </c>
      <c r="D273" s="15">
        <v>157</v>
      </c>
      <c r="E273" s="16">
        <v>1.72</v>
      </c>
      <c r="F273" s="16">
        <v>1.51</v>
      </c>
      <c r="G273" s="16">
        <v>0.74</v>
      </c>
      <c r="H273" s="16">
        <v>0</v>
      </c>
      <c r="I273" s="16">
        <v>5.08</v>
      </c>
      <c r="J273" s="16">
        <v>1.22</v>
      </c>
      <c r="K273" s="16">
        <v>2.02</v>
      </c>
      <c r="L273" s="14" t="s">
        <v>6</v>
      </c>
      <c r="M273" s="14" t="s">
        <v>72</v>
      </c>
    </row>
    <row r="274" spans="1:13" x14ac:dyDescent="0.45">
      <c r="A274" s="20" t="s">
        <v>5</v>
      </c>
      <c r="B274" s="20" t="s">
        <v>76</v>
      </c>
      <c r="C274" s="21">
        <v>2040</v>
      </c>
      <c r="D274" s="21">
        <v>160</v>
      </c>
      <c r="E274" s="22">
        <v>1.91</v>
      </c>
      <c r="F274" s="22">
        <v>1.58</v>
      </c>
      <c r="G274" s="22">
        <v>0.83</v>
      </c>
      <c r="H274" s="22">
        <v>0</v>
      </c>
      <c r="I274" s="22">
        <v>5.23</v>
      </c>
      <c r="J274" s="22">
        <v>1.36</v>
      </c>
      <c r="K274" s="22">
        <v>2.34</v>
      </c>
      <c r="L274" s="20" t="s">
        <v>6</v>
      </c>
      <c r="M274" s="20" t="s">
        <v>72</v>
      </c>
    </row>
    <row r="275" spans="1:13" x14ac:dyDescent="0.45">
      <c r="A275" s="14" t="s">
        <v>5</v>
      </c>
      <c r="B275" s="14" t="s">
        <v>76</v>
      </c>
      <c r="C275" s="15">
        <v>2045</v>
      </c>
      <c r="D275" s="15">
        <v>157</v>
      </c>
      <c r="E275" s="16">
        <v>2.1800000000000002</v>
      </c>
      <c r="F275" s="16">
        <v>1.8</v>
      </c>
      <c r="G275" s="16">
        <v>1.03</v>
      </c>
      <c r="H275" s="16">
        <v>-0.05</v>
      </c>
      <c r="I275" s="16">
        <v>6.64</v>
      </c>
      <c r="J275" s="16">
        <v>1.53</v>
      </c>
      <c r="K275" s="16">
        <v>2.7</v>
      </c>
      <c r="L275" s="14" t="s">
        <v>6</v>
      </c>
      <c r="M275" s="14" t="s">
        <v>72</v>
      </c>
    </row>
    <row r="276" spans="1:13" x14ac:dyDescent="0.45">
      <c r="A276" s="20" t="s">
        <v>5</v>
      </c>
      <c r="B276" s="20" t="s">
        <v>76</v>
      </c>
      <c r="C276" s="21">
        <v>2050</v>
      </c>
      <c r="D276" s="21">
        <v>160</v>
      </c>
      <c r="E276" s="22">
        <v>2.2599999999999998</v>
      </c>
      <c r="F276" s="22">
        <v>1.93</v>
      </c>
      <c r="G276" s="22">
        <v>1.2</v>
      </c>
      <c r="H276" s="22">
        <v>-0.36</v>
      </c>
      <c r="I276" s="22">
        <v>6.42</v>
      </c>
      <c r="J276" s="22">
        <v>1.56</v>
      </c>
      <c r="K276" s="22">
        <v>2.81</v>
      </c>
      <c r="L276" s="20" t="s">
        <v>6</v>
      </c>
      <c r="M276" s="20" t="s">
        <v>72</v>
      </c>
    </row>
    <row r="277" spans="1:13" x14ac:dyDescent="0.45">
      <c r="A277" s="14" t="s">
        <v>7</v>
      </c>
      <c r="B277" s="14" t="s">
        <v>76</v>
      </c>
      <c r="C277" s="15">
        <v>2020</v>
      </c>
      <c r="D277" s="15">
        <v>51</v>
      </c>
      <c r="E277" s="16">
        <v>1</v>
      </c>
      <c r="F277" s="16">
        <v>1</v>
      </c>
      <c r="G277" s="16">
        <v>0</v>
      </c>
      <c r="H277" s="16">
        <v>1</v>
      </c>
      <c r="I277" s="16">
        <v>1</v>
      </c>
      <c r="J277" s="16">
        <v>1</v>
      </c>
      <c r="K277" s="16">
        <v>1</v>
      </c>
      <c r="L277" s="14" t="s">
        <v>8</v>
      </c>
      <c r="M277" s="14" t="s">
        <v>72</v>
      </c>
    </row>
    <row r="278" spans="1:13" x14ac:dyDescent="0.45">
      <c r="A278" s="20" t="s">
        <v>7</v>
      </c>
      <c r="B278" s="20" t="s">
        <v>76</v>
      </c>
      <c r="C278" s="21">
        <v>2025</v>
      </c>
      <c r="D278" s="21">
        <v>51</v>
      </c>
      <c r="E278" s="22">
        <v>1.26</v>
      </c>
      <c r="F278" s="22">
        <v>1.24</v>
      </c>
      <c r="G278" s="22">
        <v>0.12</v>
      </c>
      <c r="H278" s="22">
        <v>1.01</v>
      </c>
      <c r="I278" s="22">
        <v>1.61</v>
      </c>
      <c r="J278" s="22">
        <v>1.22</v>
      </c>
      <c r="K278" s="22">
        <v>1.27</v>
      </c>
      <c r="L278" s="20" t="s">
        <v>8</v>
      </c>
      <c r="M278" s="20" t="s">
        <v>72</v>
      </c>
    </row>
    <row r="279" spans="1:13" x14ac:dyDescent="0.45">
      <c r="A279" s="14" t="s">
        <v>7</v>
      </c>
      <c r="B279" s="14" t="s">
        <v>76</v>
      </c>
      <c r="C279" s="15">
        <v>2030</v>
      </c>
      <c r="D279" s="15">
        <v>51</v>
      </c>
      <c r="E279" s="16">
        <v>1.43</v>
      </c>
      <c r="F279" s="16">
        <v>1.44</v>
      </c>
      <c r="G279" s="16">
        <v>0.18</v>
      </c>
      <c r="H279" s="16">
        <v>1</v>
      </c>
      <c r="I279" s="16">
        <v>1.68</v>
      </c>
      <c r="J279" s="16">
        <v>1.26</v>
      </c>
      <c r="K279" s="16">
        <v>1.63</v>
      </c>
      <c r="L279" s="14" t="s">
        <v>8</v>
      </c>
      <c r="M279" s="14" t="s">
        <v>72</v>
      </c>
    </row>
    <row r="280" spans="1:13" x14ac:dyDescent="0.45">
      <c r="A280" s="20" t="s">
        <v>7</v>
      </c>
      <c r="B280" s="20" t="s">
        <v>76</v>
      </c>
      <c r="C280" s="21">
        <v>2035</v>
      </c>
      <c r="D280" s="21">
        <v>51</v>
      </c>
      <c r="E280" s="22">
        <v>1.49</v>
      </c>
      <c r="F280" s="22">
        <v>1.47</v>
      </c>
      <c r="G280" s="22">
        <v>0.18</v>
      </c>
      <c r="H280" s="22">
        <v>1.01</v>
      </c>
      <c r="I280" s="22">
        <v>1.89</v>
      </c>
      <c r="J280" s="22">
        <v>1.39</v>
      </c>
      <c r="K280" s="22">
        <v>1.6</v>
      </c>
      <c r="L280" s="20" t="s">
        <v>8</v>
      </c>
      <c r="M280" s="20" t="s">
        <v>72</v>
      </c>
    </row>
    <row r="281" spans="1:13" x14ac:dyDescent="0.45">
      <c r="A281" s="14" t="s">
        <v>7</v>
      </c>
      <c r="B281" s="14" t="s">
        <v>76</v>
      </c>
      <c r="C281" s="15">
        <v>2040</v>
      </c>
      <c r="D281" s="15">
        <v>51</v>
      </c>
      <c r="E281" s="16">
        <v>1.65</v>
      </c>
      <c r="F281" s="16">
        <v>1.55</v>
      </c>
      <c r="G281" s="16">
        <v>0.3</v>
      </c>
      <c r="H281" s="16">
        <v>1</v>
      </c>
      <c r="I281" s="16">
        <v>2.63</v>
      </c>
      <c r="J281" s="16">
        <v>1.47</v>
      </c>
      <c r="K281" s="16">
        <v>1.85</v>
      </c>
      <c r="L281" s="14" t="s">
        <v>8</v>
      </c>
      <c r="M281" s="14" t="s">
        <v>72</v>
      </c>
    </row>
    <row r="282" spans="1:13" x14ac:dyDescent="0.45">
      <c r="A282" s="20" t="s">
        <v>7</v>
      </c>
      <c r="B282" s="20" t="s">
        <v>76</v>
      </c>
      <c r="C282" s="21">
        <v>2045</v>
      </c>
      <c r="D282" s="21">
        <v>51</v>
      </c>
      <c r="E282" s="22">
        <v>1.86</v>
      </c>
      <c r="F282" s="22">
        <v>1.79</v>
      </c>
      <c r="G282" s="22">
        <v>0.35</v>
      </c>
      <c r="H282" s="22">
        <v>1.02</v>
      </c>
      <c r="I282" s="22">
        <v>2.96</v>
      </c>
      <c r="J282" s="22">
        <v>1.64</v>
      </c>
      <c r="K282" s="22">
        <v>2.0499999999999998</v>
      </c>
      <c r="L282" s="20" t="s">
        <v>8</v>
      </c>
      <c r="M282" s="20" t="s">
        <v>72</v>
      </c>
    </row>
    <row r="283" spans="1:13" x14ac:dyDescent="0.45">
      <c r="A283" s="14" t="s">
        <v>7</v>
      </c>
      <c r="B283" s="14" t="s">
        <v>76</v>
      </c>
      <c r="C283" s="15">
        <v>2050</v>
      </c>
      <c r="D283" s="15">
        <v>51</v>
      </c>
      <c r="E283" s="16">
        <v>1.94</v>
      </c>
      <c r="F283" s="16">
        <v>1.83</v>
      </c>
      <c r="G283" s="16">
        <v>0.44</v>
      </c>
      <c r="H283" s="16">
        <v>0.95</v>
      </c>
      <c r="I283" s="16">
        <v>3.26</v>
      </c>
      <c r="J283" s="16">
        <v>1.62</v>
      </c>
      <c r="K283" s="16">
        <v>2.25</v>
      </c>
      <c r="L283" s="14" t="s">
        <v>8</v>
      </c>
      <c r="M283" s="14" t="s">
        <v>72</v>
      </c>
    </row>
    <row r="284" spans="1:13" x14ac:dyDescent="0.45">
      <c r="A284" s="20" t="s">
        <v>9</v>
      </c>
      <c r="B284" s="20" t="s">
        <v>76</v>
      </c>
      <c r="C284" s="21">
        <v>2020</v>
      </c>
      <c r="D284" s="21">
        <v>39</v>
      </c>
      <c r="E284" s="22">
        <v>1</v>
      </c>
      <c r="F284" s="22">
        <v>1</v>
      </c>
      <c r="G284" s="22">
        <v>0</v>
      </c>
      <c r="H284" s="22">
        <v>1</v>
      </c>
      <c r="I284" s="22">
        <v>1</v>
      </c>
      <c r="J284" s="22">
        <v>1</v>
      </c>
      <c r="K284" s="22">
        <v>1</v>
      </c>
      <c r="L284" s="20" t="s">
        <v>10</v>
      </c>
      <c r="M284" s="20" t="s">
        <v>72</v>
      </c>
    </row>
    <row r="285" spans="1:13" x14ac:dyDescent="0.45">
      <c r="A285" s="14" t="s">
        <v>9</v>
      </c>
      <c r="B285" s="14" t="s">
        <v>76</v>
      </c>
      <c r="C285" s="15">
        <v>2025</v>
      </c>
      <c r="D285" s="15">
        <v>39</v>
      </c>
      <c r="E285" s="16">
        <v>0.95</v>
      </c>
      <c r="F285" s="16">
        <v>1.04</v>
      </c>
      <c r="G285" s="16">
        <v>0.42</v>
      </c>
      <c r="H285" s="16">
        <v>0</v>
      </c>
      <c r="I285" s="16">
        <v>2.3199999999999998</v>
      </c>
      <c r="J285" s="16">
        <v>0.61</v>
      </c>
      <c r="K285" s="16">
        <v>1.1200000000000001</v>
      </c>
      <c r="L285" s="14" t="s">
        <v>10</v>
      </c>
      <c r="M285" s="14" t="s">
        <v>72</v>
      </c>
    </row>
    <row r="286" spans="1:13" x14ac:dyDescent="0.45">
      <c r="A286" s="20" t="s">
        <v>9</v>
      </c>
      <c r="B286" s="20" t="s">
        <v>76</v>
      </c>
      <c r="C286" s="21">
        <v>2030</v>
      </c>
      <c r="D286" s="21">
        <v>39</v>
      </c>
      <c r="E286" s="22">
        <v>1.1599999999999999</v>
      </c>
      <c r="F286" s="22">
        <v>1.05</v>
      </c>
      <c r="G286" s="22">
        <v>0.48</v>
      </c>
      <c r="H286" s="22">
        <v>0</v>
      </c>
      <c r="I286" s="22">
        <v>3.16</v>
      </c>
      <c r="J286" s="22">
        <v>0.94</v>
      </c>
      <c r="K286" s="22">
        <v>1.21</v>
      </c>
      <c r="L286" s="20" t="s">
        <v>10</v>
      </c>
      <c r="M286" s="20" t="s">
        <v>72</v>
      </c>
    </row>
    <row r="287" spans="1:13" x14ac:dyDescent="0.45">
      <c r="A287" s="14" t="s">
        <v>9</v>
      </c>
      <c r="B287" s="14" t="s">
        <v>76</v>
      </c>
      <c r="C287" s="15">
        <v>2035</v>
      </c>
      <c r="D287" s="15">
        <v>39</v>
      </c>
      <c r="E287" s="16">
        <v>1.0900000000000001</v>
      </c>
      <c r="F287" s="16">
        <v>1.04</v>
      </c>
      <c r="G287" s="16">
        <v>0.41</v>
      </c>
      <c r="H287" s="16">
        <v>0</v>
      </c>
      <c r="I287" s="16">
        <v>2.54</v>
      </c>
      <c r="J287" s="16">
        <v>0.84</v>
      </c>
      <c r="K287" s="16">
        <v>1.23</v>
      </c>
      <c r="L287" s="14" t="s">
        <v>10</v>
      </c>
      <c r="M287" s="14" t="s">
        <v>72</v>
      </c>
    </row>
    <row r="288" spans="1:13" x14ac:dyDescent="0.45">
      <c r="A288" s="20" t="s">
        <v>9</v>
      </c>
      <c r="B288" s="20" t="s">
        <v>76</v>
      </c>
      <c r="C288" s="21">
        <v>2040</v>
      </c>
      <c r="D288" s="21">
        <v>39</v>
      </c>
      <c r="E288" s="22">
        <v>1.19</v>
      </c>
      <c r="F288" s="22">
        <v>1.04</v>
      </c>
      <c r="G288" s="22">
        <v>0.46</v>
      </c>
      <c r="H288" s="22">
        <v>0</v>
      </c>
      <c r="I288" s="22">
        <v>2.95</v>
      </c>
      <c r="J288" s="22">
        <v>0.93</v>
      </c>
      <c r="K288" s="22">
        <v>1.33</v>
      </c>
      <c r="L288" s="20" t="s">
        <v>10</v>
      </c>
      <c r="M288" s="20" t="s">
        <v>72</v>
      </c>
    </row>
    <row r="289" spans="1:13" x14ac:dyDescent="0.45">
      <c r="A289" s="14" t="s">
        <v>9</v>
      </c>
      <c r="B289" s="14" t="s">
        <v>76</v>
      </c>
      <c r="C289" s="15">
        <v>2045</v>
      </c>
      <c r="D289" s="15">
        <v>39</v>
      </c>
      <c r="E289" s="16">
        <v>1.33</v>
      </c>
      <c r="F289" s="16">
        <v>1.17</v>
      </c>
      <c r="G289" s="16">
        <v>0.54</v>
      </c>
      <c r="H289" s="16">
        <v>0</v>
      </c>
      <c r="I289" s="16">
        <v>3.43</v>
      </c>
      <c r="J289" s="16">
        <v>1.07</v>
      </c>
      <c r="K289" s="16">
        <v>1.38</v>
      </c>
      <c r="L289" s="14" t="s">
        <v>10</v>
      </c>
      <c r="M289" s="14" t="s">
        <v>72</v>
      </c>
    </row>
    <row r="290" spans="1:13" x14ac:dyDescent="0.45">
      <c r="A290" s="20" t="s">
        <v>9</v>
      </c>
      <c r="B290" s="20" t="s">
        <v>76</v>
      </c>
      <c r="C290" s="21">
        <v>2050</v>
      </c>
      <c r="D290" s="21">
        <v>39</v>
      </c>
      <c r="E290" s="22">
        <v>1.44</v>
      </c>
      <c r="F290" s="22">
        <v>1.25</v>
      </c>
      <c r="G290" s="22">
        <v>0.68</v>
      </c>
      <c r="H290" s="22">
        <v>0</v>
      </c>
      <c r="I290" s="22">
        <v>4.18</v>
      </c>
      <c r="J290" s="22">
        <v>1.1399999999999999</v>
      </c>
      <c r="K290" s="22">
        <v>1.51</v>
      </c>
      <c r="L290" s="20" t="s">
        <v>10</v>
      </c>
      <c r="M290" s="20" t="s">
        <v>72</v>
      </c>
    </row>
    <row r="291" spans="1:13" x14ac:dyDescent="0.45">
      <c r="A291" s="14" t="s">
        <v>0</v>
      </c>
      <c r="B291" s="14" t="s">
        <v>76</v>
      </c>
      <c r="C291" s="15">
        <v>2020</v>
      </c>
      <c r="D291" s="15">
        <v>20</v>
      </c>
      <c r="E291" s="16">
        <v>1</v>
      </c>
      <c r="F291" s="16">
        <v>1</v>
      </c>
      <c r="G291" s="16">
        <v>0</v>
      </c>
      <c r="H291" s="16">
        <v>1</v>
      </c>
      <c r="I291" s="16">
        <v>1</v>
      </c>
      <c r="J291" s="16">
        <v>1</v>
      </c>
      <c r="K291" s="16">
        <v>1</v>
      </c>
      <c r="L291" s="14" t="s">
        <v>1</v>
      </c>
      <c r="M291" s="14" t="s">
        <v>73</v>
      </c>
    </row>
    <row r="292" spans="1:13" x14ac:dyDescent="0.45">
      <c r="A292" s="20" t="s">
        <v>0</v>
      </c>
      <c r="B292" s="20" t="s">
        <v>76</v>
      </c>
      <c r="C292" s="21">
        <v>2025</v>
      </c>
      <c r="D292" s="21">
        <v>20</v>
      </c>
      <c r="E292" s="22">
        <v>7.88</v>
      </c>
      <c r="F292" s="22">
        <v>5.62</v>
      </c>
      <c r="G292" s="22">
        <v>8.85</v>
      </c>
      <c r="H292" s="22">
        <v>0</v>
      </c>
      <c r="I292" s="22">
        <v>40.4</v>
      </c>
      <c r="J292" s="22">
        <v>2.19</v>
      </c>
      <c r="K292" s="22">
        <v>11.38</v>
      </c>
      <c r="L292" s="20" t="s">
        <v>1</v>
      </c>
      <c r="M292" s="20" t="s">
        <v>73</v>
      </c>
    </row>
    <row r="293" spans="1:13" x14ac:dyDescent="0.45">
      <c r="A293" s="14" t="s">
        <v>0</v>
      </c>
      <c r="B293" s="14" t="s">
        <v>76</v>
      </c>
      <c r="C293" s="15">
        <v>2030</v>
      </c>
      <c r="D293" s="15">
        <v>20</v>
      </c>
      <c r="E293" s="16">
        <v>10.26</v>
      </c>
      <c r="F293" s="16">
        <v>8.74</v>
      </c>
      <c r="G293" s="16">
        <v>6.31</v>
      </c>
      <c r="H293" s="16">
        <v>0</v>
      </c>
      <c r="I293" s="16">
        <v>27.81</v>
      </c>
      <c r="J293" s="16">
        <v>6.42</v>
      </c>
      <c r="K293" s="16">
        <v>13.75</v>
      </c>
      <c r="L293" s="14" t="s">
        <v>1</v>
      </c>
      <c r="M293" s="14" t="s">
        <v>73</v>
      </c>
    </row>
    <row r="294" spans="1:13" x14ac:dyDescent="0.45">
      <c r="A294" s="20" t="s">
        <v>0</v>
      </c>
      <c r="B294" s="20" t="s">
        <v>76</v>
      </c>
      <c r="C294" s="21">
        <v>2035</v>
      </c>
      <c r="D294" s="21">
        <v>20</v>
      </c>
      <c r="E294" s="22">
        <v>13.46</v>
      </c>
      <c r="F294" s="22">
        <v>11.81</v>
      </c>
      <c r="G294" s="22">
        <v>6.38</v>
      </c>
      <c r="H294" s="22">
        <v>0</v>
      </c>
      <c r="I294" s="22">
        <v>29.54</v>
      </c>
      <c r="J294" s="22">
        <v>11.45</v>
      </c>
      <c r="K294" s="22">
        <v>16.350000000000001</v>
      </c>
      <c r="L294" s="20" t="s">
        <v>1</v>
      </c>
      <c r="M294" s="20" t="s">
        <v>73</v>
      </c>
    </row>
    <row r="295" spans="1:13" x14ac:dyDescent="0.45">
      <c r="A295" s="14" t="s">
        <v>0</v>
      </c>
      <c r="B295" s="14" t="s">
        <v>76</v>
      </c>
      <c r="C295" s="15">
        <v>2040</v>
      </c>
      <c r="D295" s="15">
        <v>20</v>
      </c>
      <c r="E295" s="16">
        <v>14.22</v>
      </c>
      <c r="F295" s="16">
        <v>14.26</v>
      </c>
      <c r="G295" s="16">
        <v>5.85</v>
      </c>
      <c r="H295" s="16">
        <v>0</v>
      </c>
      <c r="I295" s="16">
        <v>27.95</v>
      </c>
      <c r="J295" s="16">
        <v>10.41</v>
      </c>
      <c r="K295" s="16">
        <v>16.48</v>
      </c>
      <c r="L295" s="14" t="s">
        <v>1</v>
      </c>
      <c r="M295" s="14" t="s">
        <v>73</v>
      </c>
    </row>
    <row r="296" spans="1:13" x14ac:dyDescent="0.45">
      <c r="A296" s="20" t="s">
        <v>0</v>
      </c>
      <c r="B296" s="20" t="s">
        <v>76</v>
      </c>
      <c r="C296" s="21">
        <v>2045</v>
      </c>
      <c r="D296" s="21">
        <v>20</v>
      </c>
      <c r="E296" s="22">
        <v>17.29</v>
      </c>
      <c r="F296" s="22">
        <v>18.12</v>
      </c>
      <c r="G296" s="22">
        <v>6.97</v>
      </c>
      <c r="H296" s="22">
        <v>0</v>
      </c>
      <c r="I296" s="22">
        <v>34.020000000000003</v>
      </c>
      <c r="J296" s="22">
        <v>13.35</v>
      </c>
      <c r="K296" s="22">
        <v>20.48</v>
      </c>
      <c r="L296" s="20" t="s">
        <v>1</v>
      </c>
      <c r="M296" s="20" t="s">
        <v>73</v>
      </c>
    </row>
    <row r="297" spans="1:13" x14ac:dyDescent="0.45">
      <c r="A297" s="14" t="s">
        <v>0</v>
      </c>
      <c r="B297" s="14" t="s">
        <v>76</v>
      </c>
      <c r="C297" s="15">
        <v>2050</v>
      </c>
      <c r="D297" s="15">
        <v>20</v>
      </c>
      <c r="E297" s="16">
        <v>17.72</v>
      </c>
      <c r="F297" s="16">
        <v>16.600000000000001</v>
      </c>
      <c r="G297" s="16">
        <v>8.6999999999999993</v>
      </c>
      <c r="H297" s="16">
        <v>0</v>
      </c>
      <c r="I297" s="16">
        <v>36.659999999999997</v>
      </c>
      <c r="J297" s="16">
        <v>11.1</v>
      </c>
      <c r="K297" s="16">
        <v>23.79</v>
      </c>
      <c r="L297" s="14" t="s">
        <v>1</v>
      </c>
      <c r="M297" s="14" t="s">
        <v>73</v>
      </c>
    </row>
    <row r="298" spans="1:13" x14ac:dyDescent="0.45">
      <c r="A298" s="20" t="s">
        <v>2</v>
      </c>
      <c r="B298" s="20" t="s">
        <v>76</v>
      </c>
      <c r="C298" s="21">
        <v>2020</v>
      </c>
      <c r="D298" s="21">
        <v>17</v>
      </c>
      <c r="E298" s="22">
        <v>1</v>
      </c>
      <c r="F298" s="22">
        <v>1</v>
      </c>
      <c r="G298" s="22">
        <v>0</v>
      </c>
      <c r="H298" s="22">
        <v>1</v>
      </c>
      <c r="I298" s="22">
        <v>1</v>
      </c>
      <c r="J298" s="22">
        <v>1</v>
      </c>
      <c r="K298" s="22">
        <v>1</v>
      </c>
      <c r="L298" s="20" t="s">
        <v>3</v>
      </c>
      <c r="M298" s="20" t="s">
        <v>73</v>
      </c>
    </row>
    <row r="299" spans="1:13" x14ac:dyDescent="0.45">
      <c r="A299" s="14" t="s">
        <v>2</v>
      </c>
      <c r="B299" s="14" t="s">
        <v>76</v>
      </c>
      <c r="C299" s="15">
        <v>2025</v>
      </c>
      <c r="D299" s="15">
        <v>17</v>
      </c>
      <c r="E299" s="16">
        <v>2.7</v>
      </c>
      <c r="F299" s="16">
        <v>2.77</v>
      </c>
      <c r="G299" s="16">
        <v>2.58</v>
      </c>
      <c r="H299" s="16">
        <v>0</v>
      </c>
      <c r="I299" s="16">
        <v>9.4600000000000009</v>
      </c>
      <c r="J299" s="16">
        <v>1.36</v>
      </c>
      <c r="K299" s="16">
        <v>2.77</v>
      </c>
      <c r="L299" s="14" t="s">
        <v>3</v>
      </c>
      <c r="M299" s="14" t="s">
        <v>73</v>
      </c>
    </row>
    <row r="300" spans="1:13" x14ac:dyDescent="0.45">
      <c r="A300" s="20" t="s">
        <v>2</v>
      </c>
      <c r="B300" s="20" t="s">
        <v>76</v>
      </c>
      <c r="C300" s="21">
        <v>2030</v>
      </c>
      <c r="D300" s="21">
        <v>17</v>
      </c>
      <c r="E300" s="22">
        <v>2.88</v>
      </c>
      <c r="F300" s="22">
        <v>2.27</v>
      </c>
      <c r="G300" s="22">
        <v>3.01</v>
      </c>
      <c r="H300" s="22">
        <v>0</v>
      </c>
      <c r="I300" s="22">
        <v>11.12</v>
      </c>
      <c r="J300" s="22">
        <v>1.85</v>
      </c>
      <c r="K300" s="22">
        <v>2.46</v>
      </c>
      <c r="L300" s="20" t="s">
        <v>3</v>
      </c>
      <c r="M300" s="20" t="s">
        <v>73</v>
      </c>
    </row>
    <row r="301" spans="1:13" x14ac:dyDescent="0.45">
      <c r="A301" s="14" t="s">
        <v>2</v>
      </c>
      <c r="B301" s="14" t="s">
        <v>76</v>
      </c>
      <c r="C301" s="15">
        <v>2035</v>
      </c>
      <c r="D301" s="15">
        <v>17</v>
      </c>
      <c r="E301" s="16">
        <v>15.34</v>
      </c>
      <c r="F301" s="16">
        <v>13.83</v>
      </c>
      <c r="G301" s="16">
        <v>12.52</v>
      </c>
      <c r="H301" s="16">
        <v>3.28</v>
      </c>
      <c r="I301" s="16">
        <v>47.6</v>
      </c>
      <c r="J301" s="16">
        <v>10.62</v>
      </c>
      <c r="K301" s="16">
        <v>16.059999999999999</v>
      </c>
      <c r="L301" s="14" t="s">
        <v>3</v>
      </c>
      <c r="M301" s="14" t="s">
        <v>73</v>
      </c>
    </row>
    <row r="302" spans="1:13" x14ac:dyDescent="0.45">
      <c r="A302" s="20" t="s">
        <v>2</v>
      </c>
      <c r="B302" s="20" t="s">
        <v>76</v>
      </c>
      <c r="C302" s="21">
        <v>2040</v>
      </c>
      <c r="D302" s="21">
        <v>17</v>
      </c>
      <c r="E302" s="22">
        <v>20.260000000000002</v>
      </c>
      <c r="F302" s="22">
        <v>16.149999999999999</v>
      </c>
      <c r="G302" s="22">
        <v>21.28</v>
      </c>
      <c r="H302" s="22">
        <v>3.43</v>
      </c>
      <c r="I302" s="22">
        <v>78.709999999999994</v>
      </c>
      <c r="J302" s="22">
        <v>9.83</v>
      </c>
      <c r="K302" s="22">
        <v>20.57</v>
      </c>
      <c r="L302" s="20" t="s">
        <v>3</v>
      </c>
      <c r="M302" s="20" t="s">
        <v>73</v>
      </c>
    </row>
    <row r="303" spans="1:13" x14ac:dyDescent="0.45">
      <c r="A303" s="14" t="s">
        <v>2</v>
      </c>
      <c r="B303" s="14" t="s">
        <v>76</v>
      </c>
      <c r="C303" s="15">
        <v>2045</v>
      </c>
      <c r="D303" s="15">
        <v>17</v>
      </c>
      <c r="E303" s="16">
        <v>15.59</v>
      </c>
      <c r="F303" s="16">
        <v>19.71</v>
      </c>
      <c r="G303" s="16">
        <v>8.1199999999999992</v>
      </c>
      <c r="H303" s="16">
        <v>3.88</v>
      </c>
      <c r="I303" s="16">
        <v>28.72</v>
      </c>
      <c r="J303" s="16">
        <v>9.5299999999999994</v>
      </c>
      <c r="K303" s="16">
        <v>20.74</v>
      </c>
      <c r="L303" s="14" t="s">
        <v>3</v>
      </c>
      <c r="M303" s="14" t="s">
        <v>73</v>
      </c>
    </row>
    <row r="304" spans="1:13" x14ac:dyDescent="0.45">
      <c r="A304" s="20" t="s">
        <v>2</v>
      </c>
      <c r="B304" s="20" t="s">
        <v>76</v>
      </c>
      <c r="C304" s="21">
        <v>2050</v>
      </c>
      <c r="D304" s="21">
        <v>17</v>
      </c>
      <c r="E304" s="22">
        <v>9.8699999999999992</v>
      </c>
      <c r="F304" s="22">
        <v>10.3</v>
      </c>
      <c r="G304" s="22">
        <v>4.1500000000000004</v>
      </c>
      <c r="H304" s="22">
        <v>4.32</v>
      </c>
      <c r="I304" s="22">
        <v>16.63</v>
      </c>
      <c r="J304" s="22">
        <v>5.56</v>
      </c>
      <c r="K304" s="22">
        <v>13.61</v>
      </c>
      <c r="L304" s="20" t="s">
        <v>3</v>
      </c>
      <c r="M304" s="20" t="s">
        <v>73</v>
      </c>
    </row>
    <row r="305" spans="1:13" x14ac:dyDescent="0.45">
      <c r="A305" s="14" t="s">
        <v>5</v>
      </c>
      <c r="B305" s="14" t="s">
        <v>76</v>
      </c>
      <c r="C305" s="15">
        <v>2020</v>
      </c>
      <c r="D305" s="15">
        <v>69</v>
      </c>
      <c r="E305" s="16">
        <v>1</v>
      </c>
      <c r="F305" s="16">
        <v>1</v>
      </c>
      <c r="G305" s="16">
        <v>0</v>
      </c>
      <c r="H305" s="16">
        <v>1</v>
      </c>
      <c r="I305" s="16">
        <v>1</v>
      </c>
      <c r="J305" s="16">
        <v>1</v>
      </c>
      <c r="K305" s="16">
        <v>1</v>
      </c>
      <c r="L305" s="14" t="s">
        <v>6</v>
      </c>
      <c r="M305" s="14" t="s">
        <v>73</v>
      </c>
    </row>
    <row r="306" spans="1:13" x14ac:dyDescent="0.45">
      <c r="A306" s="20" t="s">
        <v>5</v>
      </c>
      <c r="B306" s="20" t="s">
        <v>76</v>
      </c>
      <c r="C306" s="21">
        <v>2025</v>
      </c>
      <c r="D306" s="21">
        <v>69</v>
      </c>
      <c r="E306" s="22">
        <v>3.2</v>
      </c>
      <c r="F306" s="22">
        <v>2.77</v>
      </c>
      <c r="G306" s="22">
        <v>2.0499999999999998</v>
      </c>
      <c r="H306" s="22">
        <v>0</v>
      </c>
      <c r="I306" s="22">
        <v>9.26</v>
      </c>
      <c r="J306" s="22">
        <v>1.79</v>
      </c>
      <c r="K306" s="22">
        <v>4.0999999999999996</v>
      </c>
      <c r="L306" s="20" t="s">
        <v>6</v>
      </c>
      <c r="M306" s="20" t="s">
        <v>73</v>
      </c>
    </row>
    <row r="307" spans="1:13" x14ac:dyDescent="0.45">
      <c r="A307" s="14" t="s">
        <v>5</v>
      </c>
      <c r="B307" s="14" t="s">
        <v>76</v>
      </c>
      <c r="C307" s="15">
        <v>2030</v>
      </c>
      <c r="D307" s="15">
        <v>69</v>
      </c>
      <c r="E307" s="16">
        <v>3.97</v>
      </c>
      <c r="F307" s="16">
        <v>3.67</v>
      </c>
      <c r="G307" s="16">
        <v>2.39</v>
      </c>
      <c r="H307" s="16">
        <v>0</v>
      </c>
      <c r="I307" s="16">
        <v>10.88</v>
      </c>
      <c r="J307" s="16">
        <v>1.85</v>
      </c>
      <c r="K307" s="16">
        <v>5.68</v>
      </c>
      <c r="L307" s="14" t="s">
        <v>6</v>
      </c>
      <c r="M307" s="14" t="s">
        <v>73</v>
      </c>
    </row>
    <row r="308" spans="1:13" x14ac:dyDescent="0.45">
      <c r="A308" s="20" t="s">
        <v>5</v>
      </c>
      <c r="B308" s="20" t="s">
        <v>76</v>
      </c>
      <c r="C308" s="21">
        <v>2035</v>
      </c>
      <c r="D308" s="21">
        <v>69</v>
      </c>
      <c r="E308" s="22">
        <v>7.2</v>
      </c>
      <c r="F308" s="22">
        <v>7.2</v>
      </c>
      <c r="G308" s="22">
        <v>3.14</v>
      </c>
      <c r="H308" s="22">
        <v>0</v>
      </c>
      <c r="I308" s="22">
        <v>18.8</v>
      </c>
      <c r="J308" s="22">
        <v>5.51</v>
      </c>
      <c r="K308" s="22">
        <v>8.6300000000000008</v>
      </c>
      <c r="L308" s="20" t="s">
        <v>6</v>
      </c>
      <c r="M308" s="20" t="s">
        <v>73</v>
      </c>
    </row>
    <row r="309" spans="1:13" x14ac:dyDescent="0.45">
      <c r="A309" s="14" t="s">
        <v>5</v>
      </c>
      <c r="B309" s="14" t="s">
        <v>76</v>
      </c>
      <c r="C309" s="15">
        <v>2040</v>
      </c>
      <c r="D309" s="15">
        <v>69</v>
      </c>
      <c r="E309" s="16">
        <v>9.14</v>
      </c>
      <c r="F309" s="16">
        <v>9.17</v>
      </c>
      <c r="G309" s="16">
        <v>4.21</v>
      </c>
      <c r="H309" s="16">
        <v>0</v>
      </c>
      <c r="I309" s="16">
        <v>28.51</v>
      </c>
      <c r="J309" s="16">
        <v>7.47</v>
      </c>
      <c r="K309" s="16">
        <v>10.77</v>
      </c>
      <c r="L309" s="14" t="s">
        <v>6</v>
      </c>
      <c r="M309" s="14" t="s">
        <v>73</v>
      </c>
    </row>
    <row r="310" spans="1:13" x14ac:dyDescent="0.45">
      <c r="A310" s="20" t="s">
        <v>5</v>
      </c>
      <c r="B310" s="20" t="s">
        <v>76</v>
      </c>
      <c r="C310" s="21">
        <v>2045</v>
      </c>
      <c r="D310" s="21">
        <v>69</v>
      </c>
      <c r="E310" s="22">
        <v>10.33</v>
      </c>
      <c r="F310" s="22">
        <v>9.67</v>
      </c>
      <c r="G310" s="22">
        <v>4.76</v>
      </c>
      <c r="H310" s="22">
        <v>0</v>
      </c>
      <c r="I310" s="22">
        <v>25.74</v>
      </c>
      <c r="J310" s="22">
        <v>8.3800000000000008</v>
      </c>
      <c r="K310" s="22">
        <v>13.06</v>
      </c>
      <c r="L310" s="20" t="s">
        <v>6</v>
      </c>
      <c r="M310" s="20" t="s">
        <v>73</v>
      </c>
    </row>
    <row r="311" spans="1:13" x14ac:dyDescent="0.45">
      <c r="A311" s="14" t="s">
        <v>5</v>
      </c>
      <c r="B311" s="14" t="s">
        <v>76</v>
      </c>
      <c r="C311" s="15">
        <v>2050</v>
      </c>
      <c r="D311" s="15">
        <v>69</v>
      </c>
      <c r="E311" s="16">
        <v>10.59</v>
      </c>
      <c r="F311" s="16">
        <v>10.46</v>
      </c>
      <c r="G311" s="16">
        <v>4.91</v>
      </c>
      <c r="H311" s="16">
        <v>0</v>
      </c>
      <c r="I311" s="16">
        <v>23.33</v>
      </c>
      <c r="J311" s="16">
        <v>9.26</v>
      </c>
      <c r="K311" s="16">
        <v>12.27</v>
      </c>
      <c r="L311" s="14" t="s">
        <v>6</v>
      </c>
      <c r="M311" s="14" t="s">
        <v>73</v>
      </c>
    </row>
    <row r="312" spans="1:13" x14ac:dyDescent="0.45">
      <c r="A312" s="20" t="s">
        <v>7</v>
      </c>
      <c r="B312" s="20" t="s">
        <v>76</v>
      </c>
      <c r="C312" s="21">
        <v>2020</v>
      </c>
      <c r="D312" s="21">
        <v>27</v>
      </c>
      <c r="E312" s="22">
        <v>1</v>
      </c>
      <c r="F312" s="22">
        <v>1</v>
      </c>
      <c r="G312" s="22">
        <v>0</v>
      </c>
      <c r="H312" s="22">
        <v>1</v>
      </c>
      <c r="I312" s="22">
        <v>1</v>
      </c>
      <c r="J312" s="22">
        <v>1</v>
      </c>
      <c r="K312" s="22">
        <v>1</v>
      </c>
      <c r="L312" s="20" t="s">
        <v>8</v>
      </c>
      <c r="M312" s="20" t="s">
        <v>73</v>
      </c>
    </row>
    <row r="313" spans="1:13" x14ac:dyDescent="0.45">
      <c r="A313" s="14" t="s">
        <v>7</v>
      </c>
      <c r="B313" s="14" t="s">
        <v>76</v>
      </c>
      <c r="C313" s="15">
        <v>2025</v>
      </c>
      <c r="D313" s="15">
        <v>27</v>
      </c>
      <c r="E313" s="16">
        <v>2.65</v>
      </c>
      <c r="F313" s="16">
        <v>2.27</v>
      </c>
      <c r="G313" s="16">
        <v>1.19</v>
      </c>
      <c r="H313" s="16">
        <v>1.22</v>
      </c>
      <c r="I313" s="16">
        <v>5.33</v>
      </c>
      <c r="J313" s="16">
        <v>1.79</v>
      </c>
      <c r="K313" s="16">
        <v>3.4</v>
      </c>
      <c r="L313" s="14" t="s">
        <v>8</v>
      </c>
      <c r="M313" s="14" t="s">
        <v>73</v>
      </c>
    </row>
    <row r="314" spans="1:13" x14ac:dyDescent="0.45">
      <c r="A314" s="20" t="s">
        <v>7</v>
      </c>
      <c r="B314" s="20" t="s">
        <v>76</v>
      </c>
      <c r="C314" s="21">
        <v>2030</v>
      </c>
      <c r="D314" s="21">
        <v>27</v>
      </c>
      <c r="E314" s="22">
        <v>3.42</v>
      </c>
      <c r="F314" s="22">
        <v>3.67</v>
      </c>
      <c r="G314" s="22">
        <v>0.77</v>
      </c>
      <c r="H314" s="22">
        <v>1.85</v>
      </c>
      <c r="I314" s="22">
        <v>4.3</v>
      </c>
      <c r="J314" s="22">
        <v>3.14</v>
      </c>
      <c r="K314" s="22">
        <v>3.98</v>
      </c>
      <c r="L314" s="20" t="s">
        <v>8</v>
      </c>
      <c r="M314" s="20" t="s">
        <v>73</v>
      </c>
    </row>
    <row r="315" spans="1:13" x14ac:dyDescent="0.45">
      <c r="A315" s="14" t="s">
        <v>7</v>
      </c>
      <c r="B315" s="14" t="s">
        <v>76</v>
      </c>
      <c r="C315" s="15">
        <v>2035</v>
      </c>
      <c r="D315" s="15">
        <v>27</v>
      </c>
      <c r="E315" s="16">
        <v>4.33</v>
      </c>
      <c r="F315" s="16">
        <v>4.1900000000000004</v>
      </c>
      <c r="G315" s="16">
        <v>1</v>
      </c>
      <c r="H315" s="16">
        <v>2.79</v>
      </c>
      <c r="I315" s="16">
        <v>6.13</v>
      </c>
      <c r="J315" s="16">
        <v>3.47</v>
      </c>
      <c r="K315" s="16">
        <v>4.93</v>
      </c>
      <c r="L315" s="14" t="s">
        <v>8</v>
      </c>
      <c r="M315" s="14" t="s">
        <v>73</v>
      </c>
    </row>
    <row r="316" spans="1:13" x14ac:dyDescent="0.45">
      <c r="A316" s="20" t="s">
        <v>7</v>
      </c>
      <c r="B316" s="20" t="s">
        <v>76</v>
      </c>
      <c r="C316" s="21">
        <v>2040</v>
      </c>
      <c r="D316" s="21">
        <v>27</v>
      </c>
      <c r="E316" s="22">
        <v>5.62</v>
      </c>
      <c r="F316" s="22">
        <v>5.64</v>
      </c>
      <c r="G316" s="22">
        <v>1.17</v>
      </c>
      <c r="H316" s="22">
        <v>3.94</v>
      </c>
      <c r="I316" s="22">
        <v>8.76</v>
      </c>
      <c r="J316" s="22">
        <v>4.78</v>
      </c>
      <c r="K316" s="22">
        <v>6.21</v>
      </c>
      <c r="L316" s="20" t="s">
        <v>8</v>
      </c>
      <c r="M316" s="20" t="s">
        <v>73</v>
      </c>
    </row>
    <row r="317" spans="1:13" x14ac:dyDescent="0.45">
      <c r="A317" s="14" t="s">
        <v>7</v>
      </c>
      <c r="B317" s="14" t="s">
        <v>76</v>
      </c>
      <c r="C317" s="15">
        <v>2045</v>
      </c>
      <c r="D317" s="15">
        <v>27</v>
      </c>
      <c r="E317" s="16">
        <v>6.27</v>
      </c>
      <c r="F317" s="16">
        <v>6.04</v>
      </c>
      <c r="G317" s="16">
        <v>1.38</v>
      </c>
      <c r="H317" s="16">
        <v>3.69</v>
      </c>
      <c r="I317" s="16">
        <v>10.53</v>
      </c>
      <c r="J317" s="16">
        <v>5.8</v>
      </c>
      <c r="K317" s="16">
        <v>6.94</v>
      </c>
      <c r="L317" s="14" t="s">
        <v>8</v>
      </c>
      <c r="M317" s="14" t="s">
        <v>73</v>
      </c>
    </row>
    <row r="318" spans="1:13" x14ac:dyDescent="0.45">
      <c r="A318" s="20" t="s">
        <v>7</v>
      </c>
      <c r="B318" s="20" t="s">
        <v>76</v>
      </c>
      <c r="C318" s="21">
        <v>2050</v>
      </c>
      <c r="D318" s="21">
        <v>27</v>
      </c>
      <c r="E318" s="22">
        <v>6.85</v>
      </c>
      <c r="F318" s="22">
        <v>7.41</v>
      </c>
      <c r="G318" s="22">
        <v>1.6</v>
      </c>
      <c r="H318" s="22">
        <v>3.24</v>
      </c>
      <c r="I318" s="22">
        <v>8.77</v>
      </c>
      <c r="J318" s="22">
        <v>5.99</v>
      </c>
      <c r="K318" s="22">
        <v>8.1999999999999993</v>
      </c>
      <c r="L318" s="20" t="s">
        <v>8</v>
      </c>
      <c r="M318" s="20" t="s">
        <v>73</v>
      </c>
    </row>
    <row r="319" spans="1:13" x14ac:dyDescent="0.45">
      <c r="A319" s="14" t="s">
        <v>9</v>
      </c>
      <c r="B319" s="14" t="s">
        <v>76</v>
      </c>
      <c r="C319" s="15">
        <v>2020</v>
      </c>
      <c r="D319" s="15">
        <v>14</v>
      </c>
      <c r="E319" s="16">
        <v>1</v>
      </c>
      <c r="F319" s="16">
        <v>1</v>
      </c>
      <c r="G319" s="16">
        <v>0</v>
      </c>
      <c r="H319" s="16">
        <v>1</v>
      </c>
      <c r="I319" s="16">
        <v>1</v>
      </c>
      <c r="J319" s="16">
        <v>1</v>
      </c>
      <c r="K319" s="16">
        <v>1</v>
      </c>
      <c r="L319" s="14" t="s">
        <v>10</v>
      </c>
      <c r="M319" s="14" t="s">
        <v>73</v>
      </c>
    </row>
    <row r="320" spans="1:13" x14ac:dyDescent="0.45">
      <c r="A320" s="20" t="s">
        <v>9</v>
      </c>
      <c r="B320" s="20" t="s">
        <v>76</v>
      </c>
      <c r="C320" s="21">
        <v>2025</v>
      </c>
      <c r="D320" s="21">
        <v>14</v>
      </c>
      <c r="E320" s="22">
        <v>1.6</v>
      </c>
      <c r="F320" s="22">
        <v>1.03</v>
      </c>
      <c r="G320" s="22">
        <v>0.98</v>
      </c>
      <c r="H320" s="22">
        <v>1.02</v>
      </c>
      <c r="I320" s="22">
        <v>3.84</v>
      </c>
      <c r="J320" s="22">
        <v>1.03</v>
      </c>
      <c r="K320" s="22">
        <v>2.0699999999999998</v>
      </c>
      <c r="L320" s="20" t="s">
        <v>10</v>
      </c>
      <c r="M320" s="20" t="s">
        <v>73</v>
      </c>
    </row>
    <row r="321" spans="1:13" x14ac:dyDescent="0.45">
      <c r="A321" s="14" t="s">
        <v>9</v>
      </c>
      <c r="B321" s="14" t="s">
        <v>76</v>
      </c>
      <c r="C321" s="15">
        <v>2030</v>
      </c>
      <c r="D321" s="15">
        <v>14</v>
      </c>
      <c r="E321" s="16">
        <v>1.55</v>
      </c>
      <c r="F321" s="16">
        <v>1.0900000000000001</v>
      </c>
      <c r="G321" s="16">
        <v>0.91</v>
      </c>
      <c r="H321" s="16">
        <v>1.05</v>
      </c>
      <c r="I321" s="16">
        <v>4.2300000000000004</v>
      </c>
      <c r="J321" s="16">
        <v>1.06</v>
      </c>
      <c r="K321" s="16">
        <v>1.88</v>
      </c>
      <c r="L321" s="14" t="s">
        <v>10</v>
      </c>
      <c r="M321" s="14" t="s">
        <v>73</v>
      </c>
    </row>
    <row r="322" spans="1:13" x14ac:dyDescent="0.45">
      <c r="A322" s="20" t="s">
        <v>9</v>
      </c>
      <c r="B322" s="20" t="s">
        <v>76</v>
      </c>
      <c r="C322" s="21">
        <v>2035</v>
      </c>
      <c r="D322" s="21">
        <v>14</v>
      </c>
      <c r="E322" s="22">
        <v>2.2000000000000002</v>
      </c>
      <c r="F322" s="22">
        <v>1.18</v>
      </c>
      <c r="G322" s="22">
        <v>1.94</v>
      </c>
      <c r="H322" s="22">
        <v>1.05</v>
      </c>
      <c r="I322" s="22">
        <v>6.45</v>
      </c>
      <c r="J322" s="22">
        <v>1.0900000000000001</v>
      </c>
      <c r="K322" s="22">
        <v>2.4</v>
      </c>
      <c r="L322" s="20" t="s">
        <v>10</v>
      </c>
      <c r="M322" s="20" t="s">
        <v>73</v>
      </c>
    </row>
    <row r="323" spans="1:13" x14ac:dyDescent="0.45">
      <c r="A323" s="14" t="s">
        <v>9</v>
      </c>
      <c r="B323" s="14" t="s">
        <v>76</v>
      </c>
      <c r="C323" s="15">
        <v>2040</v>
      </c>
      <c r="D323" s="15">
        <v>14</v>
      </c>
      <c r="E323" s="16">
        <v>2.3199999999999998</v>
      </c>
      <c r="F323" s="16">
        <v>1.27</v>
      </c>
      <c r="G323" s="16">
        <v>2.11</v>
      </c>
      <c r="H323" s="16">
        <v>1.03</v>
      </c>
      <c r="I323" s="16">
        <v>6.76</v>
      </c>
      <c r="J323" s="16">
        <v>1.1100000000000001</v>
      </c>
      <c r="K323" s="16">
        <v>2.16</v>
      </c>
      <c r="L323" s="14" t="s">
        <v>10</v>
      </c>
      <c r="M323" s="14" t="s">
        <v>73</v>
      </c>
    </row>
    <row r="324" spans="1:13" x14ac:dyDescent="0.45">
      <c r="A324" s="20" t="s">
        <v>9</v>
      </c>
      <c r="B324" s="20" t="s">
        <v>76</v>
      </c>
      <c r="C324" s="21">
        <v>2045</v>
      </c>
      <c r="D324" s="21">
        <v>14</v>
      </c>
      <c r="E324" s="22">
        <v>2.2200000000000002</v>
      </c>
      <c r="F324" s="22">
        <v>1.35</v>
      </c>
      <c r="G324" s="22">
        <v>1.86</v>
      </c>
      <c r="H324" s="22">
        <v>1.01</v>
      </c>
      <c r="I324" s="22">
        <v>6.32</v>
      </c>
      <c r="J324" s="22">
        <v>1.1299999999999999</v>
      </c>
      <c r="K324" s="22">
        <v>2.2000000000000002</v>
      </c>
      <c r="L324" s="20" t="s">
        <v>10</v>
      </c>
      <c r="M324" s="20" t="s">
        <v>73</v>
      </c>
    </row>
    <row r="325" spans="1:13" x14ac:dyDescent="0.45">
      <c r="A325" s="14" t="s">
        <v>9</v>
      </c>
      <c r="B325" s="14" t="s">
        <v>76</v>
      </c>
      <c r="C325" s="15">
        <v>2050</v>
      </c>
      <c r="D325" s="15">
        <v>14</v>
      </c>
      <c r="E325" s="16">
        <v>2.4500000000000002</v>
      </c>
      <c r="F325" s="16">
        <v>1.41</v>
      </c>
      <c r="G325" s="16">
        <v>2.21</v>
      </c>
      <c r="H325" s="16">
        <v>0.99</v>
      </c>
      <c r="I325" s="16">
        <v>6.85</v>
      </c>
      <c r="J325" s="16">
        <v>1.1499999999999999</v>
      </c>
      <c r="K325" s="16">
        <v>2.27</v>
      </c>
      <c r="L325" s="14" t="s">
        <v>10</v>
      </c>
      <c r="M325" s="14" t="s">
        <v>73</v>
      </c>
    </row>
    <row r="326" spans="1:13" x14ac:dyDescent="0.45">
      <c r="A326" s="20" t="s">
        <v>0</v>
      </c>
      <c r="B326" s="20" t="s">
        <v>76</v>
      </c>
      <c r="C326" s="21">
        <v>2020</v>
      </c>
      <c r="D326" s="21">
        <v>7</v>
      </c>
      <c r="E326" s="22">
        <v>1</v>
      </c>
      <c r="F326" s="22">
        <v>1</v>
      </c>
      <c r="G326" s="22">
        <v>0</v>
      </c>
      <c r="H326" s="22">
        <v>1</v>
      </c>
      <c r="I326" s="22">
        <v>1</v>
      </c>
      <c r="J326" s="22">
        <v>1</v>
      </c>
      <c r="K326" s="22">
        <v>1</v>
      </c>
      <c r="L326" s="20" t="s">
        <v>1</v>
      </c>
      <c r="M326" s="20" t="s">
        <v>74</v>
      </c>
    </row>
    <row r="327" spans="1:13" x14ac:dyDescent="0.45">
      <c r="A327" s="14" t="s">
        <v>0</v>
      </c>
      <c r="B327" s="14" t="s">
        <v>76</v>
      </c>
      <c r="C327" s="15">
        <v>2025</v>
      </c>
      <c r="D327" s="15">
        <v>7</v>
      </c>
      <c r="E327" s="16">
        <v>0.95</v>
      </c>
      <c r="F327" s="16">
        <v>0.94</v>
      </c>
      <c r="G327" s="16">
        <v>0.01</v>
      </c>
      <c r="H327" s="16">
        <v>0.93</v>
      </c>
      <c r="I327" s="16">
        <v>0.96</v>
      </c>
      <c r="J327" s="16">
        <v>0.94</v>
      </c>
      <c r="K327" s="16">
        <v>0.95</v>
      </c>
      <c r="L327" s="14" t="s">
        <v>1</v>
      </c>
      <c r="M327" s="14" t="s">
        <v>74</v>
      </c>
    </row>
    <row r="328" spans="1:13" x14ac:dyDescent="0.45">
      <c r="A328" s="20" t="s">
        <v>0</v>
      </c>
      <c r="B328" s="20" t="s">
        <v>76</v>
      </c>
      <c r="C328" s="21">
        <v>2030</v>
      </c>
      <c r="D328" s="21">
        <v>7</v>
      </c>
      <c r="E328" s="22">
        <v>0.93</v>
      </c>
      <c r="F328" s="22">
        <v>0.93</v>
      </c>
      <c r="G328" s="22">
        <v>0.01</v>
      </c>
      <c r="H328" s="22">
        <v>0.91</v>
      </c>
      <c r="I328" s="22">
        <v>0.94</v>
      </c>
      <c r="J328" s="22">
        <v>0.92</v>
      </c>
      <c r="K328" s="22">
        <v>0.93</v>
      </c>
      <c r="L328" s="20" t="s">
        <v>1</v>
      </c>
      <c r="M328" s="20" t="s">
        <v>74</v>
      </c>
    </row>
    <row r="329" spans="1:13" x14ac:dyDescent="0.45">
      <c r="A329" s="14" t="s">
        <v>0</v>
      </c>
      <c r="B329" s="14" t="s">
        <v>76</v>
      </c>
      <c r="C329" s="15">
        <v>2035</v>
      </c>
      <c r="D329" s="15">
        <v>7</v>
      </c>
      <c r="E329" s="16">
        <v>0.94</v>
      </c>
      <c r="F329" s="16">
        <v>0.95</v>
      </c>
      <c r="G329" s="16">
        <v>0.01</v>
      </c>
      <c r="H329" s="16">
        <v>0.93</v>
      </c>
      <c r="I329" s="16">
        <v>0.96</v>
      </c>
      <c r="J329" s="16">
        <v>0.94</v>
      </c>
      <c r="K329" s="16">
        <v>0.95</v>
      </c>
      <c r="L329" s="14" t="s">
        <v>1</v>
      </c>
      <c r="M329" s="14" t="s">
        <v>74</v>
      </c>
    </row>
    <row r="330" spans="1:13" x14ac:dyDescent="0.45">
      <c r="A330" s="20" t="s">
        <v>0</v>
      </c>
      <c r="B330" s="20" t="s">
        <v>76</v>
      </c>
      <c r="C330" s="21">
        <v>2040</v>
      </c>
      <c r="D330" s="21">
        <v>7</v>
      </c>
      <c r="E330" s="22">
        <v>0.96</v>
      </c>
      <c r="F330" s="22">
        <v>0.96</v>
      </c>
      <c r="G330" s="22">
        <v>0.02</v>
      </c>
      <c r="H330" s="22">
        <v>0.93</v>
      </c>
      <c r="I330" s="22">
        <v>0.98</v>
      </c>
      <c r="J330" s="22">
        <v>0.96</v>
      </c>
      <c r="K330" s="22">
        <v>0.97</v>
      </c>
      <c r="L330" s="20" t="s">
        <v>1</v>
      </c>
      <c r="M330" s="20" t="s">
        <v>74</v>
      </c>
    </row>
    <row r="331" spans="1:13" x14ac:dyDescent="0.45">
      <c r="A331" s="14" t="s">
        <v>0</v>
      </c>
      <c r="B331" s="14" t="s">
        <v>76</v>
      </c>
      <c r="C331" s="15">
        <v>2045</v>
      </c>
      <c r="D331" s="15">
        <v>7</v>
      </c>
      <c r="E331" s="16">
        <v>0.94</v>
      </c>
      <c r="F331" s="16">
        <v>0.94</v>
      </c>
      <c r="G331" s="16">
        <v>0.03</v>
      </c>
      <c r="H331" s="16">
        <v>0.9</v>
      </c>
      <c r="I331" s="16">
        <v>1</v>
      </c>
      <c r="J331" s="16">
        <v>0.93</v>
      </c>
      <c r="K331" s="16">
        <v>0.94</v>
      </c>
      <c r="L331" s="14" t="s">
        <v>1</v>
      </c>
      <c r="M331" s="14" t="s">
        <v>74</v>
      </c>
    </row>
    <row r="332" spans="1:13" x14ac:dyDescent="0.45">
      <c r="A332" s="20" t="s">
        <v>0</v>
      </c>
      <c r="B332" s="20" t="s">
        <v>76</v>
      </c>
      <c r="C332" s="21">
        <v>2050</v>
      </c>
      <c r="D332" s="21">
        <v>7</v>
      </c>
      <c r="E332" s="22">
        <v>0.93</v>
      </c>
      <c r="F332" s="22">
        <v>0.92</v>
      </c>
      <c r="G332" s="22">
        <v>0.06</v>
      </c>
      <c r="H332" s="22">
        <v>0.88</v>
      </c>
      <c r="I332" s="22">
        <v>1.05</v>
      </c>
      <c r="J332" s="22">
        <v>0.89</v>
      </c>
      <c r="K332" s="22">
        <v>0.95</v>
      </c>
      <c r="L332" s="20" t="s">
        <v>1</v>
      </c>
      <c r="M332" s="20" t="s">
        <v>74</v>
      </c>
    </row>
    <row r="333" spans="1:13" x14ac:dyDescent="0.45">
      <c r="A333" s="14" t="s">
        <v>2</v>
      </c>
      <c r="B333" s="14" t="s">
        <v>76</v>
      </c>
      <c r="C333" s="15">
        <v>2020</v>
      </c>
      <c r="D333" s="15">
        <v>7</v>
      </c>
      <c r="E333" s="16">
        <v>1</v>
      </c>
      <c r="F333" s="16">
        <v>1</v>
      </c>
      <c r="G333" s="16">
        <v>0</v>
      </c>
      <c r="H333" s="16">
        <v>1</v>
      </c>
      <c r="I333" s="16">
        <v>1</v>
      </c>
      <c r="J333" s="16">
        <v>1</v>
      </c>
      <c r="K333" s="16">
        <v>1</v>
      </c>
      <c r="L333" s="14" t="s">
        <v>3</v>
      </c>
      <c r="M333" s="14" t="s">
        <v>74</v>
      </c>
    </row>
    <row r="334" spans="1:13" x14ac:dyDescent="0.45">
      <c r="A334" s="20" t="s">
        <v>2</v>
      </c>
      <c r="B334" s="20" t="s">
        <v>76</v>
      </c>
      <c r="C334" s="21">
        <v>2025</v>
      </c>
      <c r="D334" s="21">
        <v>7</v>
      </c>
      <c r="E334" s="22">
        <v>0.93</v>
      </c>
      <c r="F334" s="22">
        <v>0.93</v>
      </c>
      <c r="G334" s="22">
        <v>0.01</v>
      </c>
      <c r="H334" s="22">
        <v>0.92</v>
      </c>
      <c r="I334" s="22">
        <v>0.93</v>
      </c>
      <c r="J334" s="22">
        <v>0.92</v>
      </c>
      <c r="K334" s="22">
        <v>0.93</v>
      </c>
      <c r="L334" s="20" t="s">
        <v>3</v>
      </c>
      <c r="M334" s="20" t="s">
        <v>74</v>
      </c>
    </row>
    <row r="335" spans="1:13" x14ac:dyDescent="0.45">
      <c r="A335" s="14" t="s">
        <v>2</v>
      </c>
      <c r="B335" s="14" t="s">
        <v>76</v>
      </c>
      <c r="C335" s="15">
        <v>2030</v>
      </c>
      <c r="D335" s="15">
        <v>7</v>
      </c>
      <c r="E335" s="16">
        <v>0.93</v>
      </c>
      <c r="F335" s="16">
        <v>0.93</v>
      </c>
      <c r="G335" s="16">
        <v>0.02</v>
      </c>
      <c r="H335" s="16">
        <v>0.91</v>
      </c>
      <c r="I335" s="16">
        <v>0.95</v>
      </c>
      <c r="J335" s="16">
        <v>0.92</v>
      </c>
      <c r="K335" s="16">
        <v>0.94</v>
      </c>
      <c r="L335" s="14" t="s">
        <v>3</v>
      </c>
      <c r="M335" s="14" t="s">
        <v>74</v>
      </c>
    </row>
    <row r="336" spans="1:13" x14ac:dyDescent="0.45">
      <c r="A336" s="20" t="s">
        <v>2</v>
      </c>
      <c r="B336" s="20" t="s">
        <v>76</v>
      </c>
      <c r="C336" s="21">
        <v>2035</v>
      </c>
      <c r="D336" s="21">
        <v>7</v>
      </c>
      <c r="E336" s="22">
        <v>0.94</v>
      </c>
      <c r="F336" s="22">
        <v>0.93</v>
      </c>
      <c r="G336" s="22">
        <v>0.03</v>
      </c>
      <c r="H336" s="22">
        <v>0.91</v>
      </c>
      <c r="I336" s="22">
        <v>0.99</v>
      </c>
      <c r="J336" s="22">
        <v>0.91</v>
      </c>
      <c r="K336" s="22">
        <v>0.95</v>
      </c>
      <c r="L336" s="20" t="s">
        <v>3</v>
      </c>
      <c r="M336" s="20" t="s">
        <v>74</v>
      </c>
    </row>
    <row r="337" spans="1:13" x14ac:dyDescent="0.45">
      <c r="A337" s="14" t="s">
        <v>2</v>
      </c>
      <c r="B337" s="14" t="s">
        <v>76</v>
      </c>
      <c r="C337" s="15">
        <v>2040</v>
      </c>
      <c r="D337" s="15">
        <v>7</v>
      </c>
      <c r="E337" s="16">
        <v>0.96</v>
      </c>
      <c r="F337" s="16">
        <v>0.96</v>
      </c>
      <c r="G337" s="16">
        <v>0.02</v>
      </c>
      <c r="H337" s="16">
        <v>0.94</v>
      </c>
      <c r="I337" s="16">
        <v>1</v>
      </c>
      <c r="J337" s="16">
        <v>0.94</v>
      </c>
      <c r="K337" s="16">
        <v>0.98</v>
      </c>
      <c r="L337" s="14" t="s">
        <v>3</v>
      </c>
      <c r="M337" s="14" t="s">
        <v>74</v>
      </c>
    </row>
    <row r="338" spans="1:13" x14ac:dyDescent="0.45">
      <c r="A338" s="20" t="s">
        <v>2</v>
      </c>
      <c r="B338" s="20" t="s">
        <v>76</v>
      </c>
      <c r="C338" s="21">
        <v>2045</v>
      </c>
      <c r="D338" s="21">
        <v>7</v>
      </c>
      <c r="E338" s="22">
        <v>1.01</v>
      </c>
      <c r="F338" s="22">
        <v>1.01</v>
      </c>
      <c r="G338" s="22">
        <v>0.02</v>
      </c>
      <c r="H338" s="22">
        <v>0.99</v>
      </c>
      <c r="I338" s="22">
        <v>1.05</v>
      </c>
      <c r="J338" s="22">
        <v>0.99</v>
      </c>
      <c r="K338" s="22">
        <v>1.03</v>
      </c>
      <c r="L338" s="20" t="s">
        <v>3</v>
      </c>
      <c r="M338" s="20" t="s">
        <v>74</v>
      </c>
    </row>
    <row r="339" spans="1:13" x14ac:dyDescent="0.45">
      <c r="A339" s="14" t="s">
        <v>2</v>
      </c>
      <c r="B339" s="14" t="s">
        <v>76</v>
      </c>
      <c r="C339" s="15">
        <v>2050</v>
      </c>
      <c r="D339" s="15">
        <v>7</v>
      </c>
      <c r="E339" s="16">
        <v>1.07</v>
      </c>
      <c r="F339" s="16">
        <v>1.07</v>
      </c>
      <c r="G339" s="16">
        <v>0.02</v>
      </c>
      <c r="H339" s="16">
        <v>1.04</v>
      </c>
      <c r="I339" s="16">
        <v>1.1000000000000001</v>
      </c>
      <c r="J339" s="16">
        <v>1.05</v>
      </c>
      <c r="K339" s="16">
        <v>1.0900000000000001</v>
      </c>
      <c r="L339" s="14" t="s">
        <v>3</v>
      </c>
      <c r="M339" s="14" t="s">
        <v>74</v>
      </c>
    </row>
    <row r="340" spans="1:13" x14ac:dyDescent="0.45">
      <c r="A340" s="20" t="s">
        <v>5</v>
      </c>
      <c r="B340" s="20" t="s">
        <v>76</v>
      </c>
      <c r="C340" s="21">
        <v>2020</v>
      </c>
      <c r="D340" s="21">
        <v>15</v>
      </c>
      <c r="E340" s="22">
        <v>1</v>
      </c>
      <c r="F340" s="22">
        <v>1</v>
      </c>
      <c r="G340" s="22">
        <v>0</v>
      </c>
      <c r="H340" s="22">
        <v>1</v>
      </c>
      <c r="I340" s="22">
        <v>1</v>
      </c>
      <c r="J340" s="22">
        <v>1</v>
      </c>
      <c r="K340" s="22">
        <v>1</v>
      </c>
      <c r="L340" s="20" t="s">
        <v>6</v>
      </c>
      <c r="M340" s="20" t="s">
        <v>74</v>
      </c>
    </row>
    <row r="341" spans="1:13" x14ac:dyDescent="0.45">
      <c r="A341" s="14" t="s">
        <v>5</v>
      </c>
      <c r="B341" s="14" t="s">
        <v>76</v>
      </c>
      <c r="C341" s="15">
        <v>2025</v>
      </c>
      <c r="D341" s="15">
        <v>15</v>
      </c>
      <c r="E341" s="16">
        <v>1.03</v>
      </c>
      <c r="F341" s="16">
        <v>0.94</v>
      </c>
      <c r="G341" s="16">
        <v>0.13</v>
      </c>
      <c r="H341" s="16">
        <v>0.92</v>
      </c>
      <c r="I341" s="16">
        <v>1.28</v>
      </c>
      <c r="J341" s="16">
        <v>0.92</v>
      </c>
      <c r="K341" s="16">
        <v>1.1599999999999999</v>
      </c>
      <c r="L341" s="14" t="s">
        <v>6</v>
      </c>
      <c r="M341" s="14" t="s">
        <v>74</v>
      </c>
    </row>
    <row r="342" spans="1:13" x14ac:dyDescent="0.45">
      <c r="A342" s="20" t="s">
        <v>5</v>
      </c>
      <c r="B342" s="20" t="s">
        <v>76</v>
      </c>
      <c r="C342" s="21">
        <v>2030</v>
      </c>
      <c r="D342" s="21">
        <v>15</v>
      </c>
      <c r="E342" s="22">
        <v>0.96</v>
      </c>
      <c r="F342" s="22">
        <v>0.93</v>
      </c>
      <c r="G342" s="22">
        <v>7.0000000000000007E-2</v>
      </c>
      <c r="H342" s="22">
        <v>0.9</v>
      </c>
      <c r="I342" s="22">
        <v>1.18</v>
      </c>
      <c r="J342" s="22">
        <v>0.91</v>
      </c>
      <c r="K342" s="22">
        <v>0.99</v>
      </c>
      <c r="L342" s="20" t="s">
        <v>6</v>
      </c>
      <c r="M342" s="20" t="s">
        <v>74</v>
      </c>
    </row>
    <row r="343" spans="1:13" x14ac:dyDescent="0.45">
      <c r="A343" s="14" t="s">
        <v>5</v>
      </c>
      <c r="B343" s="14" t="s">
        <v>76</v>
      </c>
      <c r="C343" s="15">
        <v>2035</v>
      </c>
      <c r="D343" s="15">
        <v>15</v>
      </c>
      <c r="E343" s="16">
        <v>1.1100000000000001</v>
      </c>
      <c r="F343" s="16">
        <v>0.94</v>
      </c>
      <c r="G343" s="16">
        <v>0.25</v>
      </c>
      <c r="H343" s="16">
        <v>0.9</v>
      </c>
      <c r="I343" s="16">
        <v>1.55</v>
      </c>
      <c r="J343" s="16">
        <v>0.92</v>
      </c>
      <c r="K343" s="16">
        <v>1.34</v>
      </c>
      <c r="L343" s="14" t="s">
        <v>6</v>
      </c>
      <c r="M343" s="14" t="s">
        <v>74</v>
      </c>
    </row>
    <row r="344" spans="1:13" x14ac:dyDescent="0.45">
      <c r="A344" s="20" t="s">
        <v>5</v>
      </c>
      <c r="B344" s="20" t="s">
        <v>76</v>
      </c>
      <c r="C344" s="21">
        <v>2040</v>
      </c>
      <c r="D344" s="21">
        <v>15</v>
      </c>
      <c r="E344" s="22">
        <v>1.22</v>
      </c>
      <c r="F344" s="22">
        <v>0.95</v>
      </c>
      <c r="G344" s="22">
        <v>0.43</v>
      </c>
      <c r="H344" s="22">
        <v>0.88</v>
      </c>
      <c r="I344" s="22">
        <v>2.17</v>
      </c>
      <c r="J344" s="22">
        <v>0.93</v>
      </c>
      <c r="K344" s="22">
        <v>1.48</v>
      </c>
      <c r="L344" s="20" t="s">
        <v>6</v>
      </c>
      <c r="M344" s="20" t="s">
        <v>74</v>
      </c>
    </row>
    <row r="345" spans="1:13" x14ac:dyDescent="0.45">
      <c r="A345" s="14" t="s">
        <v>5</v>
      </c>
      <c r="B345" s="14" t="s">
        <v>76</v>
      </c>
      <c r="C345" s="15">
        <v>2045</v>
      </c>
      <c r="D345" s="15">
        <v>15</v>
      </c>
      <c r="E345" s="16">
        <v>1.43</v>
      </c>
      <c r="F345" s="16">
        <v>0.99</v>
      </c>
      <c r="G345" s="16">
        <v>0.67</v>
      </c>
      <c r="H345" s="16">
        <v>0.9</v>
      </c>
      <c r="I345" s="16">
        <v>2.77</v>
      </c>
      <c r="J345" s="16">
        <v>0.95</v>
      </c>
      <c r="K345" s="16">
        <v>1.81</v>
      </c>
      <c r="L345" s="14" t="s">
        <v>6</v>
      </c>
      <c r="M345" s="14" t="s">
        <v>74</v>
      </c>
    </row>
    <row r="346" spans="1:13" x14ac:dyDescent="0.45">
      <c r="A346" s="20" t="s">
        <v>5</v>
      </c>
      <c r="B346" s="20" t="s">
        <v>76</v>
      </c>
      <c r="C346" s="21">
        <v>2050</v>
      </c>
      <c r="D346" s="21">
        <v>15</v>
      </c>
      <c r="E346" s="22">
        <v>1.7</v>
      </c>
      <c r="F346" s="22">
        <v>1.04</v>
      </c>
      <c r="G346" s="22">
        <v>0.97</v>
      </c>
      <c r="H346" s="22">
        <v>0.95</v>
      </c>
      <c r="I346" s="22">
        <v>3.56</v>
      </c>
      <c r="J346" s="22">
        <v>1</v>
      </c>
      <c r="K346" s="22">
        <v>2.2799999999999998</v>
      </c>
      <c r="L346" s="20" t="s">
        <v>6</v>
      </c>
      <c r="M346" s="20" t="s">
        <v>74</v>
      </c>
    </row>
    <row r="347" spans="1:13" x14ac:dyDescent="0.45">
      <c r="A347" s="14" t="s">
        <v>7</v>
      </c>
      <c r="B347" s="14" t="s">
        <v>76</v>
      </c>
      <c r="C347" s="15">
        <v>2020</v>
      </c>
      <c r="D347" s="15">
        <v>8</v>
      </c>
      <c r="E347" s="16">
        <v>1</v>
      </c>
      <c r="F347" s="16">
        <v>1</v>
      </c>
      <c r="G347" s="16">
        <v>0</v>
      </c>
      <c r="H347" s="16">
        <v>1</v>
      </c>
      <c r="I347" s="16">
        <v>1</v>
      </c>
      <c r="J347" s="16">
        <v>1</v>
      </c>
      <c r="K347" s="16">
        <v>1</v>
      </c>
      <c r="L347" s="14" t="s">
        <v>8</v>
      </c>
      <c r="M347" s="14" t="s">
        <v>74</v>
      </c>
    </row>
    <row r="348" spans="1:13" x14ac:dyDescent="0.45">
      <c r="A348" s="20" t="s">
        <v>7</v>
      </c>
      <c r="B348" s="20" t="s">
        <v>76</v>
      </c>
      <c r="C348" s="21">
        <v>2025</v>
      </c>
      <c r="D348" s="21">
        <v>8</v>
      </c>
      <c r="E348" s="22">
        <v>1.22</v>
      </c>
      <c r="F348" s="22">
        <v>1.22</v>
      </c>
      <c r="G348" s="22">
        <v>7.0000000000000007E-2</v>
      </c>
      <c r="H348" s="22">
        <v>1.1399999999999999</v>
      </c>
      <c r="I348" s="22">
        <v>1.28</v>
      </c>
      <c r="J348" s="22">
        <v>1.1499999999999999</v>
      </c>
      <c r="K348" s="22">
        <v>1.28</v>
      </c>
      <c r="L348" s="20" t="s">
        <v>8</v>
      </c>
      <c r="M348" s="20" t="s">
        <v>74</v>
      </c>
    </row>
    <row r="349" spans="1:13" x14ac:dyDescent="0.45">
      <c r="A349" s="14" t="s">
        <v>7</v>
      </c>
      <c r="B349" s="14" t="s">
        <v>76</v>
      </c>
      <c r="C349" s="15">
        <v>2030</v>
      </c>
      <c r="D349" s="15">
        <v>8</v>
      </c>
      <c r="E349" s="16">
        <v>1</v>
      </c>
      <c r="F349" s="16">
        <v>1.01</v>
      </c>
      <c r="G349" s="16">
        <v>0.04</v>
      </c>
      <c r="H349" s="16">
        <v>0.94</v>
      </c>
      <c r="I349" s="16">
        <v>1.03</v>
      </c>
      <c r="J349" s="16">
        <v>0.96</v>
      </c>
      <c r="K349" s="16">
        <v>1.03</v>
      </c>
      <c r="L349" s="14" t="s">
        <v>8</v>
      </c>
      <c r="M349" s="14" t="s">
        <v>74</v>
      </c>
    </row>
    <row r="350" spans="1:13" x14ac:dyDescent="0.45">
      <c r="A350" s="20" t="s">
        <v>7</v>
      </c>
      <c r="B350" s="20" t="s">
        <v>76</v>
      </c>
      <c r="C350" s="21">
        <v>2035</v>
      </c>
      <c r="D350" s="21">
        <v>8</v>
      </c>
      <c r="E350" s="22">
        <v>1.1299999999999999</v>
      </c>
      <c r="F350" s="22">
        <v>1.1200000000000001</v>
      </c>
      <c r="G350" s="22">
        <v>7.0000000000000007E-2</v>
      </c>
      <c r="H350" s="22">
        <v>1.04</v>
      </c>
      <c r="I350" s="22">
        <v>1.25</v>
      </c>
      <c r="J350" s="22">
        <v>1.08</v>
      </c>
      <c r="K350" s="22">
        <v>1.17</v>
      </c>
      <c r="L350" s="20" t="s">
        <v>8</v>
      </c>
      <c r="M350" s="20" t="s">
        <v>74</v>
      </c>
    </row>
    <row r="351" spans="1:13" x14ac:dyDescent="0.45">
      <c r="A351" s="14" t="s">
        <v>7</v>
      </c>
      <c r="B351" s="14" t="s">
        <v>76</v>
      </c>
      <c r="C351" s="15">
        <v>2040</v>
      </c>
      <c r="D351" s="15">
        <v>8</v>
      </c>
      <c r="E351" s="16">
        <v>1.1000000000000001</v>
      </c>
      <c r="F351" s="16">
        <v>1.06</v>
      </c>
      <c r="G351" s="16">
        <v>0.09</v>
      </c>
      <c r="H351" s="16">
        <v>1.01</v>
      </c>
      <c r="I351" s="16">
        <v>1.28</v>
      </c>
      <c r="J351" s="16">
        <v>1.05</v>
      </c>
      <c r="K351" s="16">
        <v>1.1200000000000001</v>
      </c>
      <c r="L351" s="14" t="s">
        <v>8</v>
      </c>
      <c r="M351" s="14" t="s">
        <v>74</v>
      </c>
    </row>
    <row r="352" spans="1:13" x14ac:dyDescent="0.45">
      <c r="A352" s="20" t="s">
        <v>7</v>
      </c>
      <c r="B352" s="20" t="s">
        <v>76</v>
      </c>
      <c r="C352" s="21">
        <v>2045</v>
      </c>
      <c r="D352" s="21">
        <v>8</v>
      </c>
      <c r="E352" s="22">
        <v>1.21</v>
      </c>
      <c r="F352" s="22">
        <v>1.22</v>
      </c>
      <c r="G352" s="22">
        <v>0.13</v>
      </c>
      <c r="H352" s="22">
        <v>1.01</v>
      </c>
      <c r="I352" s="22">
        <v>1.38</v>
      </c>
      <c r="J352" s="22">
        <v>1.1299999999999999</v>
      </c>
      <c r="K352" s="22">
        <v>1.3</v>
      </c>
      <c r="L352" s="20" t="s">
        <v>8</v>
      </c>
      <c r="M352" s="20" t="s">
        <v>74</v>
      </c>
    </row>
    <row r="353" spans="1:13" x14ac:dyDescent="0.45">
      <c r="A353" s="14" t="s">
        <v>7</v>
      </c>
      <c r="B353" s="14" t="s">
        <v>76</v>
      </c>
      <c r="C353" s="15">
        <v>2050</v>
      </c>
      <c r="D353" s="15">
        <v>8</v>
      </c>
      <c r="E353" s="16">
        <v>1.55</v>
      </c>
      <c r="F353" s="16">
        <v>1.5</v>
      </c>
      <c r="G353" s="16">
        <v>0.2</v>
      </c>
      <c r="H353" s="16">
        <v>1.31</v>
      </c>
      <c r="I353" s="16">
        <v>1.89</v>
      </c>
      <c r="J353" s="16">
        <v>1.42</v>
      </c>
      <c r="K353" s="16">
        <v>1.66</v>
      </c>
      <c r="L353" s="14" t="s">
        <v>8</v>
      </c>
      <c r="M353" s="14" t="s">
        <v>74</v>
      </c>
    </row>
    <row r="354" spans="1:13" x14ac:dyDescent="0.45">
      <c r="A354" s="20" t="s">
        <v>9</v>
      </c>
      <c r="B354" s="20" t="s">
        <v>76</v>
      </c>
      <c r="C354" s="21">
        <v>2020</v>
      </c>
      <c r="D354" s="21">
        <v>7</v>
      </c>
      <c r="E354" s="22">
        <v>1</v>
      </c>
      <c r="F354" s="22">
        <v>1</v>
      </c>
      <c r="G354" s="22">
        <v>0</v>
      </c>
      <c r="H354" s="22">
        <v>1</v>
      </c>
      <c r="I354" s="22">
        <v>1</v>
      </c>
      <c r="J354" s="22">
        <v>1</v>
      </c>
      <c r="K354" s="22">
        <v>1</v>
      </c>
      <c r="L354" s="20" t="s">
        <v>10</v>
      </c>
      <c r="M354" s="20" t="s">
        <v>74</v>
      </c>
    </row>
    <row r="355" spans="1:13" x14ac:dyDescent="0.45">
      <c r="A355" s="14" t="s">
        <v>9</v>
      </c>
      <c r="B355" s="14" t="s">
        <v>76</v>
      </c>
      <c r="C355" s="15">
        <v>2025</v>
      </c>
      <c r="D355" s="15">
        <v>7</v>
      </c>
      <c r="E355" s="16">
        <v>1.07</v>
      </c>
      <c r="F355" s="16">
        <v>1.01</v>
      </c>
      <c r="G355" s="16">
        <v>0.11</v>
      </c>
      <c r="H355" s="16">
        <v>1.01</v>
      </c>
      <c r="I355" s="16">
        <v>1.28</v>
      </c>
      <c r="J355" s="16">
        <v>1.01</v>
      </c>
      <c r="K355" s="16">
        <v>1.08</v>
      </c>
      <c r="L355" s="14" t="s">
        <v>10</v>
      </c>
      <c r="M355" s="14" t="s">
        <v>74</v>
      </c>
    </row>
    <row r="356" spans="1:13" x14ac:dyDescent="0.45">
      <c r="A356" s="20" t="s">
        <v>9</v>
      </c>
      <c r="B356" s="20" t="s">
        <v>76</v>
      </c>
      <c r="C356" s="21">
        <v>2030</v>
      </c>
      <c r="D356" s="21">
        <v>7</v>
      </c>
      <c r="E356" s="22">
        <v>0.99</v>
      </c>
      <c r="F356" s="22">
        <v>0.99</v>
      </c>
      <c r="G356" s="22">
        <v>0.05</v>
      </c>
      <c r="H356" s="22">
        <v>0.89</v>
      </c>
      <c r="I356" s="22">
        <v>1.05</v>
      </c>
      <c r="J356" s="22">
        <v>0.98</v>
      </c>
      <c r="K356" s="22">
        <v>1.01</v>
      </c>
      <c r="L356" s="20" t="s">
        <v>10</v>
      </c>
      <c r="M356" s="20" t="s">
        <v>74</v>
      </c>
    </row>
    <row r="357" spans="1:13" x14ac:dyDescent="0.45">
      <c r="A357" s="14" t="s">
        <v>9</v>
      </c>
      <c r="B357" s="14" t="s">
        <v>76</v>
      </c>
      <c r="C357" s="15">
        <v>2035</v>
      </c>
      <c r="D357" s="15">
        <v>7</v>
      </c>
      <c r="E357" s="16">
        <v>0.96</v>
      </c>
      <c r="F357" s="16">
        <v>0.97</v>
      </c>
      <c r="G357" s="16">
        <v>0.11</v>
      </c>
      <c r="H357" s="16">
        <v>0.74</v>
      </c>
      <c r="I357" s="16">
        <v>1.1000000000000001</v>
      </c>
      <c r="J357" s="16">
        <v>0.95</v>
      </c>
      <c r="K357" s="16">
        <v>1</v>
      </c>
      <c r="L357" s="14" t="s">
        <v>10</v>
      </c>
      <c r="M357" s="14" t="s">
        <v>74</v>
      </c>
    </row>
    <row r="358" spans="1:13" x14ac:dyDescent="0.45">
      <c r="A358" s="20" t="s">
        <v>9</v>
      </c>
      <c r="B358" s="20" t="s">
        <v>76</v>
      </c>
      <c r="C358" s="21">
        <v>2040</v>
      </c>
      <c r="D358" s="21">
        <v>7</v>
      </c>
      <c r="E358" s="22">
        <v>0.89</v>
      </c>
      <c r="F358" s="22">
        <v>0.92</v>
      </c>
      <c r="G358" s="22">
        <v>0.12</v>
      </c>
      <c r="H358" s="22">
        <v>0.63</v>
      </c>
      <c r="I358" s="22">
        <v>0.98</v>
      </c>
      <c r="J358" s="22">
        <v>0.9</v>
      </c>
      <c r="K358" s="22">
        <v>0.97</v>
      </c>
      <c r="L358" s="20" t="s">
        <v>10</v>
      </c>
      <c r="M358" s="20" t="s">
        <v>74</v>
      </c>
    </row>
    <row r="359" spans="1:13" x14ac:dyDescent="0.45">
      <c r="A359" s="14" t="s">
        <v>9</v>
      </c>
      <c r="B359" s="14" t="s">
        <v>76</v>
      </c>
      <c r="C359" s="15">
        <v>2045</v>
      </c>
      <c r="D359" s="15">
        <v>7</v>
      </c>
      <c r="E359" s="16">
        <v>0.93</v>
      </c>
      <c r="F359" s="16">
        <v>0.95</v>
      </c>
      <c r="G359" s="16">
        <v>0.1</v>
      </c>
      <c r="H359" s="16">
        <v>0.77</v>
      </c>
      <c r="I359" s="16">
        <v>1.05</v>
      </c>
      <c r="J359" s="16">
        <v>0.86</v>
      </c>
      <c r="K359" s="16">
        <v>1.01</v>
      </c>
      <c r="L359" s="14" t="s">
        <v>10</v>
      </c>
      <c r="M359" s="14" t="s">
        <v>74</v>
      </c>
    </row>
    <row r="360" spans="1:13" x14ac:dyDescent="0.45">
      <c r="A360" s="20" t="s">
        <v>9</v>
      </c>
      <c r="B360" s="20" t="s">
        <v>76</v>
      </c>
      <c r="C360" s="21">
        <v>2050</v>
      </c>
      <c r="D360" s="21">
        <v>7</v>
      </c>
      <c r="E360" s="22">
        <v>1</v>
      </c>
      <c r="F360" s="22">
        <v>1.02</v>
      </c>
      <c r="G360" s="22">
        <v>0.15</v>
      </c>
      <c r="H360" s="22">
        <v>0.83</v>
      </c>
      <c r="I360" s="22">
        <v>1.21</v>
      </c>
      <c r="J360" s="22">
        <v>0.86</v>
      </c>
      <c r="K360" s="22">
        <v>1.1000000000000001</v>
      </c>
      <c r="L360" s="20" t="s">
        <v>10</v>
      </c>
      <c r="M360" s="20" t="s">
        <v>74</v>
      </c>
    </row>
  </sheetData>
  <mergeCells count="1">
    <mergeCell ref="A1:K1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V24"/>
  <sheetViews>
    <sheetView workbookViewId="0">
      <selection activeCell="H21" sqref="H21"/>
    </sheetView>
  </sheetViews>
  <sheetFormatPr defaultRowHeight="14.25" x14ac:dyDescent="0.45"/>
  <sheetData>
    <row r="10" spans="1:22" x14ac:dyDescent="0.45">
      <c r="A10" t="str">
        <f>IFERROR(Veda!D5,"ts_12t")</f>
        <v>ts_annual</v>
      </c>
      <c r="B10" s="29"/>
      <c r="C10" s="29" t="s">
        <v>228</v>
      </c>
      <c r="D10" t="s">
        <v>123</v>
      </c>
      <c r="F10" t="s">
        <v>228</v>
      </c>
      <c r="G10" t="s">
        <v>133</v>
      </c>
      <c r="I10" t="s">
        <v>228</v>
      </c>
      <c r="J10" t="s">
        <v>124</v>
      </c>
      <c r="L10" t="s">
        <v>228</v>
      </c>
      <c r="M10" t="s">
        <v>139</v>
      </c>
      <c r="O10" t="s">
        <v>228</v>
      </c>
      <c r="P10" t="s">
        <v>132</v>
      </c>
      <c r="R10" t="s">
        <v>228</v>
      </c>
      <c r="S10" t="s">
        <v>107</v>
      </c>
      <c r="U10" t="s">
        <v>228</v>
      </c>
      <c r="V10" t="s">
        <v>125</v>
      </c>
    </row>
    <row r="11" spans="1:22" x14ac:dyDescent="0.45">
      <c r="B11" s="29"/>
      <c r="C11" s="29" t="s">
        <v>229</v>
      </c>
      <c r="D11" t="s">
        <v>230</v>
      </c>
      <c r="F11" t="s">
        <v>229</v>
      </c>
      <c r="G11" t="s">
        <v>260</v>
      </c>
      <c r="I11" t="s">
        <v>229</v>
      </c>
      <c r="J11" t="s">
        <v>284</v>
      </c>
      <c r="L11" t="s">
        <v>229</v>
      </c>
      <c r="M11" t="s">
        <v>335</v>
      </c>
      <c r="O11" t="s">
        <v>229</v>
      </c>
      <c r="P11" t="s">
        <v>386</v>
      </c>
      <c r="R11" t="s">
        <v>229</v>
      </c>
      <c r="S11" t="s">
        <v>390</v>
      </c>
      <c r="U11" t="s">
        <v>229</v>
      </c>
      <c r="V11" t="s">
        <v>409</v>
      </c>
    </row>
    <row r="12" spans="1:22" x14ac:dyDescent="0.45">
      <c r="B12" s="29"/>
      <c r="C12" s="29" t="s">
        <v>231</v>
      </c>
      <c r="D12" t="s">
        <v>232</v>
      </c>
      <c r="F12" t="s">
        <v>231</v>
      </c>
      <c r="G12" t="s">
        <v>261</v>
      </c>
      <c r="I12" t="s">
        <v>231</v>
      </c>
      <c r="J12" t="s">
        <v>285</v>
      </c>
      <c r="L12" t="s">
        <v>231</v>
      </c>
      <c r="M12" t="s">
        <v>336</v>
      </c>
      <c r="O12" t="s">
        <v>231</v>
      </c>
      <c r="P12" t="s">
        <v>387</v>
      </c>
      <c r="R12" t="s">
        <v>231</v>
      </c>
      <c r="S12" t="s">
        <v>390</v>
      </c>
      <c r="U12" t="s">
        <v>231</v>
      </c>
      <c r="V12" t="s">
        <v>410</v>
      </c>
    </row>
    <row r="17" spans="3:13" x14ac:dyDescent="0.45">
      <c r="I17" s="26">
        <v>0.75</v>
      </c>
      <c r="K17" s="2" t="s">
        <v>88</v>
      </c>
    </row>
    <row r="18" spans="3:13" ht="17.649999999999999" thickBot="1" x14ac:dyDescent="0.6">
      <c r="C18" s="27" t="s">
        <v>89</v>
      </c>
    </row>
    <row r="19" spans="3:13" ht="14.65" thickTop="1" x14ac:dyDescent="0.45"/>
    <row r="21" spans="3:13" ht="17.649999999999999" thickBot="1" x14ac:dyDescent="0.6">
      <c r="H21" s="27" t="str">
        <f>IF(H23=H24,"Not Required!","~UC_T: LO")</f>
        <v>Not Required!</v>
      </c>
    </row>
    <row r="22" spans="3:13" ht="15" thickTop="1" thickBot="1" x14ac:dyDescent="0.5">
      <c r="C22" s="28" t="s">
        <v>90</v>
      </c>
      <c r="D22" s="28" t="s">
        <v>91</v>
      </c>
      <c r="E22" s="28" t="s">
        <v>92</v>
      </c>
      <c r="F22" s="28" t="s">
        <v>93</v>
      </c>
      <c r="G22" s="28" t="s">
        <v>94</v>
      </c>
      <c r="H22" s="28" t="s">
        <v>95</v>
      </c>
      <c r="I22" s="28" t="s">
        <v>96</v>
      </c>
      <c r="J22" s="28" t="s">
        <v>97</v>
      </c>
      <c r="K22" s="28" t="s">
        <v>98</v>
      </c>
    </row>
    <row r="23" spans="3:13" x14ac:dyDescent="0.45">
      <c r="C23" t="s">
        <v>99</v>
      </c>
      <c r="D23" t="s">
        <v>100</v>
      </c>
      <c r="E23" t="str">
        <f>G23</f>
        <v>AuxStoIN</v>
      </c>
      <c r="F23" t="s">
        <v>101</v>
      </c>
      <c r="G23" t="s">
        <v>102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103</v>
      </c>
    </row>
    <row r="24" spans="3:13" x14ac:dyDescent="0.45">
      <c r="D24" t="s">
        <v>100</v>
      </c>
      <c r="E24" t="str">
        <f>G24</f>
        <v>AuxStoIN</v>
      </c>
      <c r="F24" t="s">
        <v>101</v>
      </c>
      <c r="G24" t="s">
        <v>102</v>
      </c>
      <c r="H24" t="str">
        <f>HLOOKUP($A$10,$D$10:$CU$12,2,FALSE)</f>
        <v>AllSaAllH</v>
      </c>
      <c r="I24">
        <f>-$I$17</f>
        <v>-0.75</v>
      </c>
      <c r="M24" t="s">
        <v>104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D3E3D-A07D-4127-A28C-84E68CB58CF2}">
  <dimension ref="A9:AN28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123</v>
      </c>
      <c r="C10" t="s">
        <v>144</v>
      </c>
      <c r="D10" t="s">
        <v>145</v>
      </c>
      <c r="E10" t="s">
        <v>146</v>
      </c>
      <c r="F10" t="s">
        <v>147</v>
      </c>
      <c r="G10" t="s">
        <v>148</v>
      </c>
      <c r="I10" t="s">
        <v>13</v>
      </c>
      <c r="J10" t="s">
        <v>120</v>
      </c>
      <c r="K10" t="s">
        <v>158</v>
      </c>
      <c r="L10" t="s">
        <v>30</v>
      </c>
      <c r="N10" t="s">
        <v>13</v>
      </c>
      <c r="O10" t="s">
        <v>120</v>
      </c>
      <c r="P10" t="s">
        <v>158</v>
      </c>
      <c r="Q10" t="s">
        <v>30</v>
      </c>
      <c r="S10" t="s">
        <v>13</v>
      </c>
      <c r="T10" t="s">
        <v>120</v>
      </c>
      <c r="U10" t="s">
        <v>158</v>
      </c>
      <c r="V10" t="s">
        <v>30</v>
      </c>
      <c r="X10" t="s">
        <v>227</v>
      </c>
      <c r="Y10" t="s">
        <v>158</v>
      </c>
      <c r="Z10" t="s">
        <v>120</v>
      </c>
      <c r="AA10" t="s">
        <v>13</v>
      </c>
      <c r="AC10" t="s">
        <v>13</v>
      </c>
      <c r="AD10" t="s">
        <v>120</v>
      </c>
      <c r="AE10" t="s">
        <v>158</v>
      </c>
      <c r="AG10" t="s">
        <v>13</v>
      </c>
      <c r="AH10" t="s">
        <v>120</v>
      </c>
      <c r="AI10" t="s">
        <v>233</v>
      </c>
      <c r="AK10" t="s">
        <v>47</v>
      </c>
      <c r="AL10" t="s">
        <v>120</v>
      </c>
      <c r="AM10" t="s">
        <v>234</v>
      </c>
      <c r="AN10" t="s">
        <v>235</v>
      </c>
    </row>
    <row r="11" spans="1:40" x14ac:dyDescent="0.45">
      <c r="A11" t="str">
        <f>IFERROR(IF(Veda!D5=A10,"ok","x"),"")</f>
        <v>x</v>
      </c>
      <c r="C11" t="s">
        <v>149</v>
      </c>
      <c r="D11" t="s">
        <v>150</v>
      </c>
      <c r="E11" t="s">
        <v>151</v>
      </c>
      <c r="F11" t="s">
        <v>152</v>
      </c>
      <c r="G11" t="s">
        <v>150</v>
      </c>
      <c r="I11" t="s">
        <v>159</v>
      </c>
      <c r="J11" t="s">
        <v>160</v>
      </c>
      <c r="K11">
        <v>0.64876283658719824</v>
      </c>
      <c r="L11" t="s">
        <v>161</v>
      </c>
      <c r="N11" t="s">
        <v>195</v>
      </c>
      <c r="O11" t="s">
        <v>160</v>
      </c>
      <c r="P11">
        <v>0.40391649501501853</v>
      </c>
      <c r="Q11" t="s">
        <v>161</v>
      </c>
      <c r="S11" t="s">
        <v>217</v>
      </c>
      <c r="T11" t="s">
        <v>160</v>
      </c>
      <c r="U11">
        <v>0.42451059592099105</v>
      </c>
      <c r="V11" t="s">
        <v>161</v>
      </c>
      <c r="X11">
        <v>0.47488584474885842</v>
      </c>
      <c r="Y11">
        <v>0.43998044236713657</v>
      </c>
      <c r="Z11" t="s">
        <v>160</v>
      </c>
      <c r="AA11" t="s">
        <v>25</v>
      </c>
      <c r="AC11" t="s">
        <v>22</v>
      </c>
      <c r="AD11" t="s">
        <v>160</v>
      </c>
      <c r="AE11">
        <v>0.46725366125550633</v>
      </c>
      <c r="AG11" t="s">
        <v>100</v>
      </c>
      <c r="AH11" t="s">
        <v>160</v>
      </c>
      <c r="AI11">
        <v>0.34162368771021745</v>
      </c>
      <c r="AK11">
        <v>2020</v>
      </c>
      <c r="AL11" t="s">
        <v>149</v>
      </c>
      <c r="AM11">
        <v>0.39800423848448674</v>
      </c>
      <c r="AN11" t="s">
        <v>236</v>
      </c>
    </row>
    <row r="12" spans="1:40" x14ac:dyDescent="0.45">
      <c r="C12" t="s">
        <v>153</v>
      </c>
      <c r="E12" t="s">
        <v>154</v>
      </c>
      <c r="G12" t="s">
        <v>150</v>
      </c>
      <c r="I12" t="s">
        <v>159</v>
      </c>
      <c r="J12" t="s">
        <v>162</v>
      </c>
      <c r="K12">
        <v>6.6222220755786265E-2</v>
      </c>
      <c r="L12" t="s">
        <v>161</v>
      </c>
      <c r="N12" t="s">
        <v>195</v>
      </c>
      <c r="O12" t="s">
        <v>162</v>
      </c>
      <c r="P12">
        <v>2.5513631500595164E-2</v>
      </c>
      <c r="Q12" t="s">
        <v>161</v>
      </c>
      <c r="S12" t="s">
        <v>217</v>
      </c>
      <c r="T12" t="s">
        <v>162</v>
      </c>
      <c r="U12">
        <v>2.7717550755890628E-2</v>
      </c>
      <c r="V12" t="s">
        <v>161</v>
      </c>
      <c r="X12">
        <v>2.9680365296803651E-2</v>
      </c>
      <c r="Y12">
        <v>5.7744739742601678E-2</v>
      </c>
      <c r="Z12" t="s">
        <v>162</v>
      </c>
      <c r="AA12" t="s">
        <v>25</v>
      </c>
      <c r="AC12" t="s">
        <v>22</v>
      </c>
      <c r="AD12" t="s">
        <v>162</v>
      </c>
      <c r="AE12">
        <v>3.4471885386158835E-2</v>
      </c>
      <c r="AG12" t="s">
        <v>100</v>
      </c>
      <c r="AH12" t="s">
        <v>162</v>
      </c>
      <c r="AI12">
        <v>0.22667205121572254</v>
      </c>
      <c r="AK12">
        <v>2020</v>
      </c>
      <c r="AL12" t="s">
        <v>153</v>
      </c>
      <c r="AM12">
        <v>0.376892133328949</v>
      </c>
      <c r="AN12" t="s">
        <v>236</v>
      </c>
    </row>
    <row r="13" spans="1:40" x14ac:dyDescent="0.45">
      <c r="C13" t="s">
        <v>155</v>
      </c>
      <c r="E13" t="s">
        <v>156</v>
      </c>
      <c r="G13" t="s">
        <v>150</v>
      </c>
      <c r="I13" t="s">
        <v>159</v>
      </c>
      <c r="J13" t="s">
        <v>163</v>
      </c>
      <c r="K13">
        <v>0.10869811717981324</v>
      </c>
      <c r="L13" t="s">
        <v>161</v>
      </c>
      <c r="N13" t="s">
        <v>195</v>
      </c>
      <c r="O13" t="s">
        <v>163</v>
      </c>
      <c r="P13">
        <v>0.18764207291008178</v>
      </c>
      <c r="Q13" t="s">
        <v>161</v>
      </c>
      <c r="S13" t="s">
        <v>217</v>
      </c>
      <c r="T13" t="s">
        <v>163</v>
      </c>
      <c r="U13">
        <v>0.19079170524870634</v>
      </c>
      <c r="V13" t="s">
        <v>161</v>
      </c>
      <c r="X13">
        <v>0.20776255707762556</v>
      </c>
      <c r="Y13">
        <v>0.21460358501354951</v>
      </c>
      <c r="Z13" t="s">
        <v>163</v>
      </c>
      <c r="AA13" t="s">
        <v>25</v>
      </c>
      <c r="AC13" t="s">
        <v>22</v>
      </c>
      <c r="AD13" t="s">
        <v>163</v>
      </c>
      <c r="AE13">
        <v>0.21345115230541165</v>
      </c>
      <c r="AG13" t="s">
        <v>100</v>
      </c>
      <c r="AH13" t="s">
        <v>163</v>
      </c>
      <c r="AI13">
        <v>0.32096391151349746</v>
      </c>
      <c r="AK13">
        <v>2020</v>
      </c>
      <c r="AL13" t="s">
        <v>155</v>
      </c>
      <c r="AM13">
        <v>0.3336786031370228</v>
      </c>
      <c r="AN13" t="s">
        <v>236</v>
      </c>
    </row>
    <row r="14" spans="1:40" x14ac:dyDescent="0.45">
      <c r="C14" t="s">
        <v>157</v>
      </c>
      <c r="I14" t="s">
        <v>159</v>
      </c>
      <c r="J14" t="s">
        <v>164</v>
      </c>
      <c r="K14">
        <v>8.1273319054013693E-2</v>
      </c>
      <c r="L14" t="s">
        <v>161</v>
      </c>
      <c r="N14" t="s">
        <v>195</v>
      </c>
      <c r="O14" t="s">
        <v>164</v>
      </c>
      <c r="P14">
        <v>9.574315380090348E-2</v>
      </c>
      <c r="Q14" t="s">
        <v>161</v>
      </c>
      <c r="S14" t="s">
        <v>217</v>
      </c>
      <c r="T14" t="s">
        <v>164</v>
      </c>
      <c r="U14">
        <v>9.7853143620281954E-2</v>
      </c>
      <c r="V14" t="s">
        <v>161</v>
      </c>
      <c r="X14">
        <v>8.4018264840182655E-2</v>
      </c>
      <c r="Y14">
        <v>7.7842693649570319E-2</v>
      </c>
      <c r="Z14" t="s">
        <v>164</v>
      </c>
      <c r="AA14" t="s">
        <v>25</v>
      </c>
      <c r="AC14" t="s">
        <v>22</v>
      </c>
      <c r="AD14" t="s">
        <v>164</v>
      </c>
      <c r="AE14">
        <v>7.3493994383160538E-2</v>
      </c>
      <c r="AG14" t="s">
        <v>100</v>
      </c>
      <c r="AH14" t="s">
        <v>164</v>
      </c>
      <c r="AI14">
        <v>0.20490045261784373</v>
      </c>
      <c r="AK14">
        <v>2020</v>
      </c>
      <c r="AL14" t="s">
        <v>157</v>
      </c>
      <c r="AM14">
        <v>0.31567524908750122</v>
      </c>
      <c r="AN14" t="s">
        <v>236</v>
      </c>
    </row>
    <row r="15" spans="1:40" x14ac:dyDescent="0.45">
      <c r="I15" t="s">
        <v>159</v>
      </c>
      <c r="J15" t="s">
        <v>165</v>
      </c>
      <c r="K15">
        <v>9.1094721375783051E-3</v>
      </c>
      <c r="L15" t="s">
        <v>161</v>
      </c>
      <c r="N15" t="s">
        <v>195</v>
      </c>
      <c r="O15" t="s">
        <v>165</v>
      </c>
      <c r="P15">
        <v>6.1082689173602225E-3</v>
      </c>
      <c r="Q15" t="s">
        <v>161</v>
      </c>
      <c r="S15" t="s">
        <v>217</v>
      </c>
      <c r="T15" t="s">
        <v>165</v>
      </c>
      <c r="U15">
        <v>6.0307367329274029E-3</v>
      </c>
      <c r="V15" t="s">
        <v>161</v>
      </c>
      <c r="X15">
        <v>5.2511415525114159E-3</v>
      </c>
      <c r="Y15">
        <v>1.0216377031383372E-2</v>
      </c>
      <c r="Z15" t="s">
        <v>165</v>
      </c>
      <c r="AA15" t="s">
        <v>25</v>
      </c>
      <c r="AC15" t="s">
        <v>22</v>
      </c>
      <c r="AD15" t="s">
        <v>165</v>
      </c>
      <c r="AE15">
        <v>5.3824149541727116E-3</v>
      </c>
      <c r="AG15" t="s">
        <v>100</v>
      </c>
      <c r="AH15" t="s">
        <v>165</v>
      </c>
      <c r="AI15">
        <v>9.1036650728076429E-2</v>
      </c>
      <c r="AK15">
        <v>2021</v>
      </c>
      <c r="AL15" t="s">
        <v>149</v>
      </c>
      <c r="AM15">
        <v>0.43608992149349007</v>
      </c>
      <c r="AN15" t="s">
        <v>236</v>
      </c>
    </row>
    <row r="16" spans="1:40" x14ac:dyDescent="0.45">
      <c r="I16" t="s">
        <v>159</v>
      </c>
      <c r="J16" t="s">
        <v>166</v>
      </c>
      <c r="K16">
        <v>7.9670522205239052E-3</v>
      </c>
      <c r="L16" t="s">
        <v>161</v>
      </c>
      <c r="N16" t="s">
        <v>195</v>
      </c>
      <c r="O16" t="s">
        <v>166</v>
      </c>
      <c r="P16">
        <v>4.7394744480622961E-2</v>
      </c>
      <c r="Q16" t="s">
        <v>161</v>
      </c>
      <c r="S16" t="s">
        <v>217</v>
      </c>
      <c r="T16" t="s">
        <v>166</v>
      </c>
      <c r="U16">
        <v>4.4267065440503267E-2</v>
      </c>
      <c r="V16" t="s">
        <v>161</v>
      </c>
      <c r="X16">
        <v>3.6757990867579908E-2</v>
      </c>
      <c r="Y16">
        <v>3.796832657932029E-2</v>
      </c>
      <c r="Z16" t="s">
        <v>166</v>
      </c>
      <c r="AA16" t="s">
        <v>25</v>
      </c>
      <c r="AC16" t="s">
        <v>22</v>
      </c>
      <c r="AD16" t="s">
        <v>166</v>
      </c>
      <c r="AE16">
        <v>3.3455899470615252E-2</v>
      </c>
      <c r="AG16" t="s">
        <v>100</v>
      </c>
      <c r="AH16" t="s">
        <v>166</v>
      </c>
      <c r="AI16">
        <v>0.168387821728051</v>
      </c>
      <c r="AK16">
        <v>2021</v>
      </c>
      <c r="AL16" t="s">
        <v>153</v>
      </c>
      <c r="AM16">
        <v>0.32311381832505282</v>
      </c>
      <c r="AN16" t="s">
        <v>236</v>
      </c>
    </row>
    <row r="17" spans="9:40" x14ac:dyDescent="0.45">
      <c r="I17" t="s">
        <v>159</v>
      </c>
      <c r="J17" t="s">
        <v>167</v>
      </c>
      <c r="K17">
        <v>6.39508480520595E-2</v>
      </c>
      <c r="L17" t="s">
        <v>161</v>
      </c>
      <c r="N17" t="s">
        <v>195</v>
      </c>
      <c r="O17" t="s">
        <v>167</v>
      </c>
      <c r="P17">
        <v>0.14089658337909194</v>
      </c>
      <c r="Q17" t="s">
        <v>161</v>
      </c>
      <c r="S17" t="s">
        <v>217</v>
      </c>
      <c r="T17" t="s">
        <v>167</v>
      </c>
      <c r="U17">
        <v>0.12307581346336716</v>
      </c>
      <c r="V17" t="s">
        <v>161</v>
      </c>
      <c r="X17">
        <v>9.8630136986301367E-2</v>
      </c>
      <c r="Y17">
        <v>9.1380553414712989E-2</v>
      </c>
      <c r="Z17" t="s">
        <v>167</v>
      </c>
      <c r="AA17" t="s">
        <v>25</v>
      </c>
      <c r="AC17" t="s">
        <v>22</v>
      </c>
      <c r="AD17" t="s">
        <v>167</v>
      </c>
      <c r="AE17">
        <v>0.1027250147325847</v>
      </c>
      <c r="AG17" t="s">
        <v>100</v>
      </c>
      <c r="AH17" t="s">
        <v>167</v>
      </c>
      <c r="AI17">
        <v>0.20227779807111967</v>
      </c>
      <c r="AK17">
        <v>2021</v>
      </c>
      <c r="AL17" t="s">
        <v>155</v>
      </c>
      <c r="AM17">
        <v>0.32027113487540071</v>
      </c>
      <c r="AN17" t="s">
        <v>236</v>
      </c>
    </row>
    <row r="18" spans="9:40" x14ac:dyDescent="0.45">
      <c r="I18" t="s">
        <v>159</v>
      </c>
      <c r="J18" t="s">
        <v>168</v>
      </c>
      <c r="K18">
        <v>5.6535918969015247E-3</v>
      </c>
      <c r="L18" t="s">
        <v>161</v>
      </c>
      <c r="N18" t="s">
        <v>195</v>
      </c>
      <c r="O18" t="s">
        <v>168</v>
      </c>
      <c r="P18">
        <v>8.7666253389594492E-3</v>
      </c>
      <c r="Q18" t="s">
        <v>161</v>
      </c>
      <c r="S18" t="s">
        <v>217</v>
      </c>
      <c r="T18" t="s">
        <v>168</v>
      </c>
      <c r="U18">
        <v>7.7616857043102533E-3</v>
      </c>
      <c r="V18" t="s">
        <v>161</v>
      </c>
      <c r="X18">
        <v>6.1643835616438354E-3</v>
      </c>
      <c r="Y18">
        <v>1.1993138254232649E-2</v>
      </c>
      <c r="Z18" t="s">
        <v>168</v>
      </c>
      <c r="AA18" t="s">
        <v>25</v>
      </c>
      <c r="AC18" t="s">
        <v>22</v>
      </c>
      <c r="AD18" t="s">
        <v>168</v>
      </c>
      <c r="AE18">
        <v>7.6688718113164522E-3</v>
      </c>
      <c r="AG18" t="s">
        <v>100</v>
      </c>
      <c r="AH18" t="s">
        <v>168</v>
      </c>
      <c r="AI18">
        <v>8.2570610733037952E-2</v>
      </c>
      <c r="AK18">
        <v>2021</v>
      </c>
      <c r="AL18" t="s">
        <v>157</v>
      </c>
      <c r="AM18">
        <v>0.36478837377832618</v>
      </c>
      <c r="AN18" t="s">
        <v>236</v>
      </c>
    </row>
    <row r="19" spans="9:40" x14ac:dyDescent="0.45">
      <c r="I19" t="s">
        <v>159</v>
      </c>
      <c r="J19" t="s">
        <v>169</v>
      </c>
      <c r="K19">
        <v>2.8740934118050076E-4</v>
      </c>
      <c r="L19" t="s">
        <v>161</v>
      </c>
      <c r="N19" t="s">
        <v>195</v>
      </c>
      <c r="O19" t="s">
        <v>169</v>
      </c>
      <c r="P19">
        <v>6.0212320861249335E-2</v>
      </c>
      <c r="Q19" t="s">
        <v>161</v>
      </c>
      <c r="S19" t="s">
        <v>217</v>
      </c>
      <c r="T19" t="s">
        <v>169</v>
      </c>
      <c r="U19">
        <v>5.4595008515589023E-2</v>
      </c>
      <c r="V19" t="s">
        <v>161</v>
      </c>
      <c r="X19">
        <v>4.3150684931506852E-2</v>
      </c>
      <c r="Y19">
        <v>4.4571513810506433E-2</v>
      </c>
      <c r="Z19" t="s">
        <v>169</v>
      </c>
      <c r="AA19" t="s">
        <v>25</v>
      </c>
      <c r="AC19" t="s">
        <v>22</v>
      </c>
      <c r="AD19" t="s">
        <v>169</v>
      </c>
      <c r="AE19">
        <v>4.7531118216132297E-2</v>
      </c>
      <c r="AG19" t="s">
        <v>100</v>
      </c>
      <c r="AH19" t="s">
        <v>169</v>
      </c>
      <c r="AI19">
        <v>0.1663028347761859</v>
      </c>
      <c r="AK19">
        <v>2022</v>
      </c>
      <c r="AL19" t="s">
        <v>149</v>
      </c>
      <c r="AM19">
        <v>0.35787565216352574</v>
      </c>
      <c r="AN19" t="s">
        <v>236</v>
      </c>
    </row>
    <row r="20" spans="9:40" x14ac:dyDescent="0.45">
      <c r="I20" t="s">
        <v>159</v>
      </c>
      <c r="J20" t="s">
        <v>170</v>
      </c>
      <c r="K20">
        <v>7.1920110801175444E-3</v>
      </c>
      <c r="L20" t="s">
        <v>161</v>
      </c>
      <c r="N20" t="s">
        <v>195</v>
      </c>
      <c r="O20" t="s">
        <v>170</v>
      </c>
      <c r="P20">
        <v>1.520876707697646E-2</v>
      </c>
      <c r="Q20" t="s">
        <v>161</v>
      </c>
      <c r="S20" t="s">
        <v>217</v>
      </c>
      <c r="T20" t="s">
        <v>170</v>
      </c>
      <c r="U20">
        <v>1.5635557819540669E-2</v>
      </c>
      <c r="V20" t="s">
        <v>161</v>
      </c>
      <c r="X20">
        <v>9.1324200913242004E-3</v>
      </c>
      <c r="Y20">
        <v>8.461162353214164E-3</v>
      </c>
      <c r="Z20" t="s">
        <v>170</v>
      </c>
      <c r="AA20" t="s">
        <v>25</v>
      </c>
      <c r="AC20" t="s">
        <v>22</v>
      </c>
      <c r="AD20" t="s">
        <v>170</v>
      </c>
      <c r="AE20">
        <v>9.4347197470447414E-3</v>
      </c>
      <c r="AG20" t="s">
        <v>100</v>
      </c>
      <c r="AH20" t="s">
        <v>170</v>
      </c>
      <c r="AI20">
        <v>0.18642439259078558</v>
      </c>
      <c r="AK20">
        <v>2022</v>
      </c>
      <c r="AL20" t="s">
        <v>153</v>
      </c>
      <c r="AM20">
        <v>0.34502991109580478</v>
      </c>
      <c r="AN20" t="s">
        <v>236</v>
      </c>
    </row>
    <row r="21" spans="9:40" x14ac:dyDescent="0.45">
      <c r="I21" t="s">
        <v>159</v>
      </c>
      <c r="J21" t="s">
        <v>171</v>
      </c>
      <c r="K21">
        <v>8.8312169482660798E-4</v>
      </c>
      <c r="L21" t="s">
        <v>161</v>
      </c>
      <c r="N21" t="s">
        <v>195</v>
      </c>
      <c r="O21" t="s">
        <v>171</v>
      </c>
      <c r="P21">
        <v>9.8583920677667572E-4</v>
      </c>
      <c r="Q21" t="s">
        <v>161</v>
      </c>
      <c r="S21" t="s">
        <v>217</v>
      </c>
      <c r="T21" t="s">
        <v>171</v>
      </c>
      <c r="U21">
        <v>9.6259312662638275E-4</v>
      </c>
      <c r="V21" t="s">
        <v>161</v>
      </c>
      <c r="X21">
        <v>5.7077625570776253E-4</v>
      </c>
      <c r="Y21">
        <v>1.1104757642808013E-3</v>
      </c>
      <c r="Z21" t="s">
        <v>171</v>
      </c>
      <c r="AA21" t="s">
        <v>25</v>
      </c>
      <c r="AC21" t="s">
        <v>22</v>
      </c>
      <c r="AD21" t="s">
        <v>171</v>
      </c>
      <c r="AE21">
        <v>7.1186673181352245E-4</v>
      </c>
      <c r="AG21" t="s">
        <v>100</v>
      </c>
      <c r="AH21" t="s">
        <v>171</v>
      </c>
      <c r="AI21">
        <v>4.7588728737557151E-2</v>
      </c>
      <c r="AK21">
        <v>2022</v>
      </c>
      <c r="AL21" t="s">
        <v>155</v>
      </c>
      <c r="AM21">
        <v>0.33171660352810617</v>
      </c>
      <c r="AN21" t="s">
        <v>236</v>
      </c>
    </row>
    <row r="22" spans="9:40" x14ac:dyDescent="0.45">
      <c r="I22" t="s">
        <v>159</v>
      </c>
      <c r="J22" t="s">
        <v>172</v>
      </c>
      <c r="K22">
        <v>0</v>
      </c>
      <c r="L22" t="s">
        <v>161</v>
      </c>
      <c r="N22" t="s">
        <v>195</v>
      </c>
      <c r="O22" t="s">
        <v>172</v>
      </c>
      <c r="P22">
        <v>7.6114975123646794E-3</v>
      </c>
      <c r="Q22" t="s">
        <v>161</v>
      </c>
      <c r="S22" t="s">
        <v>217</v>
      </c>
      <c r="T22" t="s">
        <v>172</v>
      </c>
      <c r="U22">
        <v>6.7985436512658154E-3</v>
      </c>
      <c r="V22" t="s">
        <v>161</v>
      </c>
      <c r="X22">
        <v>3.9954337899543377E-3</v>
      </c>
      <c r="Y22">
        <v>4.1269920194913368E-3</v>
      </c>
      <c r="Z22" t="s">
        <v>172</v>
      </c>
      <c r="AA22" t="s">
        <v>25</v>
      </c>
      <c r="AC22" t="s">
        <v>22</v>
      </c>
      <c r="AD22" t="s">
        <v>172</v>
      </c>
      <c r="AE22">
        <v>4.4194010060829483E-3</v>
      </c>
      <c r="AG22" t="s">
        <v>100</v>
      </c>
      <c r="AH22" t="s">
        <v>172</v>
      </c>
      <c r="AI22">
        <v>0.13089403153525847</v>
      </c>
      <c r="AK22">
        <v>2022</v>
      </c>
      <c r="AL22" t="s">
        <v>157</v>
      </c>
      <c r="AM22">
        <v>0.33721731144529898</v>
      </c>
      <c r="AN22" t="s">
        <v>236</v>
      </c>
    </row>
    <row r="23" spans="9:40" x14ac:dyDescent="0.45">
      <c r="I23" t="s">
        <v>173</v>
      </c>
      <c r="J23" t="s">
        <v>160</v>
      </c>
      <c r="K23">
        <v>0.66849957308729224</v>
      </c>
      <c r="L23" t="s">
        <v>161</v>
      </c>
      <c r="N23" t="s">
        <v>196</v>
      </c>
      <c r="O23" t="s">
        <v>160</v>
      </c>
      <c r="P23">
        <v>0.38673960637811522</v>
      </c>
      <c r="Q23" t="s">
        <v>161</v>
      </c>
      <c r="S23" t="s">
        <v>218</v>
      </c>
      <c r="T23" t="s">
        <v>160</v>
      </c>
      <c r="U23">
        <v>0.42728859863828672</v>
      </c>
      <c r="V23" t="s">
        <v>161</v>
      </c>
      <c r="AC23" t="s">
        <v>19</v>
      </c>
      <c r="AD23" t="s">
        <v>160</v>
      </c>
      <c r="AE23">
        <v>0.47435949693631141</v>
      </c>
      <c r="AK23">
        <v>2025</v>
      </c>
      <c r="AL23" t="s">
        <v>149</v>
      </c>
      <c r="AM23">
        <v>0.42044444444444445</v>
      </c>
      <c r="AN23" t="s">
        <v>236</v>
      </c>
    </row>
    <row r="24" spans="9:40" x14ac:dyDescent="0.45">
      <c r="I24" t="s">
        <v>173</v>
      </c>
      <c r="J24" t="s">
        <v>162</v>
      </c>
      <c r="K24">
        <v>6.5688948927471721E-2</v>
      </c>
      <c r="L24" t="s">
        <v>161</v>
      </c>
      <c r="N24" t="s">
        <v>196</v>
      </c>
      <c r="O24" t="s">
        <v>162</v>
      </c>
      <c r="P24">
        <v>2.3781713075035453E-2</v>
      </c>
      <c r="Q24" t="s">
        <v>161</v>
      </c>
      <c r="S24" t="s">
        <v>218</v>
      </c>
      <c r="T24" t="s">
        <v>162</v>
      </c>
      <c r="U24">
        <v>2.7500113515381425E-2</v>
      </c>
      <c r="V24" t="s">
        <v>161</v>
      </c>
      <c r="AC24" t="s">
        <v>19</v>
      </c>
      <c r="AD24" t="s">
        <v>162</v>
      </c>
      <c r="AE24">
        <v>2.9942896930580103E-2</v>
      </c>
      <c r="AK24">
        <v>2025</v>
      </c>
      <c r="AL24" t="s">
        <v>153</v>
      </c>
      <c r="AM24">
        <v>0.35933333333333334</v>
      </c>
      <c r="AN24" t="s">
        <v>236</v>
      </c>
    </row>
    <row r="25" spans="9:40" x14ac:dyDescent="0.45">
      <c r="I25" t="s">
        <v>173</v>
      </c>
      <c r="J25" t="s">
        <v>163</v>
      </c>
      <c r="K25">
        <v>0.11348152056162916</v>
      </c>
      <c r="L25" t="s">
        <v>161</v>
      </c>
      <c r="N25" t="s">
        <v>196</v>
      </c>
      <c r="O25" t="s">
        <v>163</v>
      </c>
      <c r="P25">
        <v>0.1729473510156819</v>
      </c>
      <c r="Q25" t="s">
        <v>161</v>
      </c>
      <c r="S25" t="s">
        <v>218</v>
      </c>
      <c r="T25" t="s">
        <v>163</v>
      </c>
      <c r="U25">
        <v>0.19300760832482039</v>
      </c>
      <c r="V25" t="s">
        <v>161</v>
      </c>
      <c r="AC25" t="s">
        <v>19</v>
      </c>
      <c r="AD25" t="s">
        <v>163</v>
      </c>
      <c r="AE25">
        <v>0.20803849904281657</v>
      </c>
      <c r="AK25">
        <v>2025</v>
      </c>
      <c r="AL25" t="s">
        <v>155</v>
      </c>
      <c r="AM25">
        <v>0.35270000000000001</v>
      </c>
      <c r="AN25" t="s">
        <v>236</v>
      </c>
    </row>
    <row r="26" spans="9:40" x14ac:dyDescent="0.45">
      <c r="I26" t="s">
        <v>173</v>
      </c>
      <c r="J26" t="s">
        <v>164</v>
      </c>
      <c r="K26">
        <v>8.4442283920209943E-2</v>
      </c>
      <c r="L26" t="s">
        <v>161</v>
      </c>
      <c r="N26" t="s">
        <v>196</v>
      </c>
      <c r="O26" t="s">
        <v>164</v>
      </c>
      <c r="P26">
        <v>0.1055652474941539</v>
      </c>
      <c r="Q26" t="s">
        <v>161</v>
      </c>
      <c r="S26" t="s">
        <v>218</v>
      </c>
      <c r="T26" t="s">
        <v>164</v>
      </c>
      <c r="U26">
        <v>9.7730586267670352E-2</v>
      </c>
      <c r="V26" t="s">
        <v>161</v>
      </c>
      <c r="AC26" t="s">
        <v>19</v>
      </c>
      <c r="AD26" t="s">
        <v>164</v>
      </c>
      <c r="AE26">
        <v>8.3875308707081195E-2</v>
      </c>
      <c r="AK26">
        <v>2025</v>
      </c>
      <c r="AL26" t="s">
        <v>157</v>
      </c>
      <c r="AM26">
        <v>0.37540000000000001</v>
      </c>
      <c r="AN26" t="s">
        <v>236</v>
      </c>
    </row>
    <row r="27" spans="9:40" x14ac:dyDescent="0.45">
      <c r="I27" t="s">
        <v>173</v>
      </c>
      <c r="J27" t="s">
        <v>165</v>
      </c>
      <c r="K27">
        <v>9.3652230189498788E-3</v>
      </c>
      <c r="L27" t="s">
        <v>161</v>
      </c>
      <c r="N27" t="s">
        <v>196</v>
      </c>
      <c r="O27" t="s">
        <v>165</v>
      </c>
      <c r="P27">
        <v>5.8913257192575227E-3</v>
      </c>
      <c r="Q27" t="s">
        <v>161</v>
      </c>
      <c r="S27" t="s">
        <v>218</v>
      </c>
      <c r="T27" t="s">
        <v>165</v>
      </c>
      <c r="U27">
        <v>6.0178710081997466E-3</v>
      </c>
      <c r="V27" t="s">
        <v>161</v>
      </c>
      <c r="AC27" t="s">
        <v>19</v>
      </c>
      <c r="AD27" t="s">
        <v>165</v>
      </c>
      <c r="AE27">
        <v>5.2864515501194276E-3</v>
      </c>
      <c r="AK27">
        <v>2026</v>
      </c>
      <c r="AL27" t="s">
        <v>149</v>
      </c>
      <c r="AM27">
        <v>0.33431111111111117</v>
      </c>
      <c r="AN27" t="s">
        <v>236</v>
      </c>
    </row>
    <row r="28" spans="9:40" x14ac:dyDescent="0.45">
      <c r="I28" t="s">
        <v>173</v>
      </c>
      <c r="J28" t="s">
        <v>166</v>
      </c>
      <c r="K28">
        <v>8.1416018498098684E-3</v>
      </c>
      <c r="L28" t="s">
        <v>161</v>
      </c>
      <c r="N28" t="s">
        <v>196</v>
      </c>
      <c r="O28" t="s">
        <v>166</v>
      </c>
      <c r="P28">
        <v>4.8216754279161327E-2</v>
      </c>
      <c r="Q28" t="s">
        <v>161</v>
      </c>
      <c r="S28" t="s">
        <v>218</v>
      </c>
      <c r="T28" t="s">
        <v>166</v>
      </c>
      <c r="U28">
        <v>4.4044401751003541E-2</v>
      </c>
      <c r="V28" t="s">
        <v>161</v>
      </c>
      <c r="AC28" t="s">
        <v>19</v>
      </c>
      <c r="AD28" t="s">
        <v>166</v>
      </c>
      <c r="AE28">
        <v>3.6768471617113135E-2</v>
      </c>
      <c r="AK28">
        <v>2026</v>
      </c>
      <c r="AL28" t="s">
        <v>153</v>
      </c>
      <c r="AM28">
        <v>0.28350000000000003</v>
      </c>
      <c r="AN28" t="s">
        <v>236</v>
      </c>
    </row>
    <row r="29" spans="9:40" x14ac:dyDescent="0.45">
      <c r="I29" t="s">
        <v>173</v>
      </c>
      <c r="J29" t="s">
        <v>167</v>
      </c>
      <c r="K29">
        <v>4.1945936709151484E-2</v>
      </c>
      <c r="L29" t="s">
        <v>161</v>
      </c>
      <c r="N29" t="s">
        <v>196</v>
      </c>
      <c r="O29" t="s">
        <v>167</v>
      </c>
      <c r="P29">
        <v>0.1555720752463261</v>
      </c>
      <c r="Q29" t="s">
        <v>161</v>
      </c>
      <c r="S29" t="s">
        <v>218</v>
      </c>
      <c r="T29" t="s">
        <v>167</v>
      </c>
      <c r="U29">
        <v>0.11983588999142473</v>
      </c>
      <c r="V29" t="s">
        <v>161</v>
      </c>
      <c r="AC29" t="s">
        <v>19</v>
      </c>
      <c r="AD29" t="s">
        <v>167</v>
      </c>
      <c r="AE29">
        <v>9.8550053114080161E-2</v>
      </c>
      <c r="AK29">
        <v>2026</v>
      </c>
      <c r="AL29" t="s">
        <v>155</v>
      </c>
      <c r="AM29">
        <v>0.31040000000000001</v>
      </c>
      <c r="AN29" t="s">
        <v>236</v>
      </c>
    </row>
    <row r="30" spans="9:40" x14ac:dyDescent="0.45">
      <c r="I30" t="s">
        <v>173</v>
      </c>
      <c r="J30" t="s">
        <v>168</v>
      </c>
      <c r="K30">
        <v>3.5771546033760353E-3</v>
      </c>
      <c r="L30" t="s">
        <v>161</v>
      </c>
      <c r="N30" t="s">
        <v>196</v>
      </c>
      <c r="O30" t="s">
        <v>168</v>
      </c>
      <c r="P30">
        <v>9.0851344082266989E-3</v>
      </c>
      <c r="Q30" t="s">
        <v>161</v>
      </c>
      <c r="S30" t="s">
        <v>218</v>
      </c>
      <c r="T30" t="s">
        <v>168</v>
      </c>
      <c r="U30">
        <v>7.3875303190567201E-3</v>
      </c>
      <c r="V30" t="s">
        <v>161</v>
      </c>
      <c r="AC30" t="s">
        <v>19</v>
      </c>
      <c r="AD30" t="s">
        <v>168</v>
      </c>
      <c r="AE30">
        <v>6.2293901566472017E-3</v>
      </c>
      <c r="AK30">
        <v>2026</v>
      </c>
      <c r="AL30" t="s">
        <v>157</v>
      </c>
      <c r="AM30">
        <v>0.32519999999999999</v>
      </c>
      <c r="AN30" t="s">
        <v>236</v>
      </c>
    </row>
    <row r="31" spans="9:40" x14ac:dyDescent="0.45">
      <c r="I31" t="s">
        <v>173</v>
      </c>
      <c r="J31" t="s">
        <v>169</v>
      </c>
      <c r="K31">
        <v>2.0112526572433441E-4</v>
      </c>
      <c r="L31" t="s">
        <v>161</v>
      </c>
      <c r="N31" t="s">
        <v>196</v>
      </c>
      <c r="O31" t="s">
        <v>169</v>
      </c>
      <c r="P31">
        <v>6.699041176258623E-2</v>
      </c>
      <c r="Q31" t="s">
        <v>161</v>
      </c>
      <c r="S31" t="s">
        <v>218</v>
      </c>
      <c r="T31" t="s">
        <v>169</v>
      </c>
      <c r="U31">
        <v>5.2559800190256294E-2</v>
      </c>
      <c r="V31" t="s">
        <v>161</v>
      </c>
      <c r="AC31" t="s">
        <v>19</v>
      </c>
      <c r="AD31" t="s">
        <v>169</v>
      </c>
      <c r="AE31">
        <v>4.3260819937396028E-2</v>
      </c>
      <c r="AK31">
        <v>2027</v>
      </c>
      <c r="AL31" t="s">
        <v>149</v>
      </c>
      <c r="AM31">
        <v>0.33976666666666666</v>
      </c>
      <c r="AN31" t="s">
        <v>236</v>
      </c>
    </row>
    <row r="32" spans="9:40" x14ac:dyDescent="0.45">
      <c r="I32" t="s">
        <v>173</v>
      </c>
      <c r="J32" t="s">
        <v>170</v>
      </c>
      <c r="K32">
        <v>4.1160020598594504E-3</v>
      </c>
      <c r="L32" t="s">
        <v>161</v>
      </c>
      <c r="N32" t="s">
        <v>196</v>
      </c>
      <c r="O32" t="s">
        <v>170</v>
      </c>
      <c r="P32">
        <v>1.6751093822926374E-2</v>
      </c>
      <c r="Q32" t="s">
        <v>161</v>
      </c>
      <c r="S32" t="s">
        <v>218</v>
      </c>
      <c r="T32" t="s">
        <v>170</v>
      </c>
      <c r="U32">
        <v>1.6488309358765066E-2</v>
      </c>
      <c r="V32" t="s">
        <v>161</v>
      </c>
      <c r="AC32" t="s">
        <v>19</v>
      </c>
      <c r="AD32" t="s">
        <v>170</v>
      </c>
      <c r="AE32">
        <v>9.1102683204285322E-3</v>
      </c>
      <c r="AK32">
        <v>2027</v>
      </c>
      <c r="AL32" t="s">
        <v>153</v>
      </c>
      <c r="AM32">
        <v>0.2959</v>
      </c>
      <c r="AN32" t="s">
        <v>236</v>
      </c>
    </row>
    <row r="33" spans="9:40" x14ac:dyDescent="0.45">
      <c r="I33" t="s">
        <v>173</v>
      </c>
      <c r="J33" t="s">
        <v>171</v>
      </c>
      <c r="K33">
        <v>5.4062999652819573E-4</v>
      </c>
      <c r="L33" t="s">
        <v>161</v>
      </c>
      <c r="N33" t="s">
        <v>196</v>
      </c>
      <c r="O33" t="s">
        <v>171</v>
      </c>
      <c r="P33">
        <v>9.3573142513331286E-4</v>
      </c>
      <c r="Q33" t="s">
        <v>161</v>
      </c>
      <c r="S33" t="s">
        <v>218</v>
      </c>
      <c r="T33" t="s">
        <v>171</v>
      </c>
      <c r="U33">
        <v>1.0195210431846223E-3</v>
      </c>
      <c r="V33" t="s">
        <v>161</v>
      </c>
      <c r="AC33" t="s">
        <v>19</v>
      </c>
      <c r="AD33" t="s">
        <v>171</v>
      </c>
      <c r="AE33">
        <v>5.7624384746546612E-4</v>
      </c>
      <c r="AK33">
        <v>2027</v>
      </c>
      <c r="AL33" t="s">
        <v>155</v>
      </c>
      <c r="AM33">
        <v>0.29035</v>
      </c>
      <c r="AN33" t="s">
        <v>236</v>
      </c>
    </row>
    <row r="34" spans="9:40" x14ac:dyDescent="0.45">
      <c r="I34" t="s">
        <v>173</v>
      </c>
      <c r="J34" t="s">
        <v>172</v>
      </c>
      <c r="K34">
        <v>0</v>
      </c>
      <c r="L34" t="s">
        <v>161</v>
      </c>
      <c r="N34" t="s">
        <v>196</v>
      </c>
      <c r="O34" t="s">
        <v>172</v>
      </c>
      <c r="P34">
        <v>7.5235553733966577E-3</v>
      </c>
      <c r="Q34" t="s">
        <v>161</v>
      </c>
      <c r="S34" t="s">
        <v>218</v>
      </c>
      <c r="T34" t="s">
        <v>172</v>
      </c>
      <c r="U34">
        <v>7.119769591954395E-3</v>
      </c>
      <c r="V34" t="s">
        <v>161</v>
      </c>
      <c r="AC34" t="s">
        <v>19</v>
      </c>
      <c r="AD34" t="s">
        <v>172</v>
      </c>
      <c r="AE34">
        <v>4.0020998399607349E-3</v>
      </c>
      <c r="AK34">
        <v>2027</v>
      </c>
      <c r="AL34" t="s">
        <v>157</v>
      </c>
      <c r="AM34">
        <v>0.30130000000000001</v>
      </c>
      <c r="AN34" t="s">
        <v>236</v>
      </c>
    </row>
    <row r="35" spans="9:40" x14ac:dyDescent="0.45">
      <c r="I35" t="s">
        <v>174</v>
      </c>
      <c r="J35" t="s">
        <v>160</v>
      </c>
      <c r="K35">
        <v>0.66103403181983933</v>
      </c>
      <c r="L35" t="s">
        <v>161</v>
      </c>
      <c r="N35" t="s">
        <v>197</v>
      </c>
      <c r="O35" t="s">
        <v>160</v>
      </c>
      <c r="P35">
        <v>0.39555374011104066</v>
      </c>
      <c r="Q35" t="s">
        <v>161</v>
      </c>
      <c r="S35" t="s">
        <v>219</v>
      </c>
      <c r="T35" t="s">
        <v>160</v>
      </c>
      <c r="U35">
        <v>0.42407503279011854</v>
      </c>
      <c r="V35" t="s">
        <v>161</v>
      </c>
      <c r="AK35">
        <v>2028</v>
      </c>
      <c r="AL35" t="s">
        <v>149</v>
      </c>
      <c r="AM35">
        <v>0.33976666666666666</v>
      </c>
      <c r="AN35" t="s">
        <v>236</v>
      </c>
    </row>
    <row r="36" spans="9:40" x14ac:dyDescent="0.45">
      <c r="I36" t="s">
        <v>174</v>
      </c>
      <c r="J36" t="s">
        <v>162</v>
      </c>
      <c r="K36">
        <v>6.627472819782855E-2</v>
      </c>
      <c r="L36" t="s">
        <v>161</v>
      </c>
      <c r="N36" t="s">
        <v>197</v>
      </c>
      <c r="O36" t="s">
        <v>162</v>
      </c>
      <c r="P36">
        <v>2.4186640998831912E-2</v>
      </c>
      <c r="Q36" t="s">
        <v>161</v>
      </c>
      <c r="S36" t="s">
        <v>219</v>
      </c>
      <c r="T36" t="s">
        <v>162</v>
      </c>
      <c r="U36">
        <v>2.7152198938648175E-2</v>
      </c>
      <c r="V36" t="s">
        <v>161</v>
      </c>
      <c r="AK36">
        <v>2028</v>
      </c>
      <c r="AL36" t="s">
        <v>153</v>
      </c>
      <c r="AM36">
        <v>0.29223333333333334</v>
      </c>
      <c r="AN36" t="s">
        <v>236</v>
      </c>
    </row>
    <row r="37" spans="9:40" x14ac:dyDescent="0.45">
      <c r="I37" t="s">
        <v>174</v>
      </c>
      <c r="J37" t="s">
        <v>163</v>
      </c>
      <c r="K37">
        <v>0.10988016021278638</v>
      </c>
      <c r="L37" t="s">
        <v>161</v>
      </c>
      <c r="N37" t="s">
        <v>197</v>
      </c>
      <c r="O37" t="s">
        <v>163</v>
      </c>
      <c r="P37">
        <v>0.18101840429432164</v>
      </c>
      <c r="Q37" t="s">
        <v>161</v>
      </c>
      <c r="S37" t="s">
        <v>219</v>
      </c>
      <c r="T37" t="s">
        <v>163</v>
      </c>
      <c r="U37">
        <v>0.19166518671007504</v>
      </c>
      <c r="V37" t="s">
        <v>161</v>
      </c>
      <c r="AK37">
        <v>2028</v>
      </c>
      <c r="AL37" t="s">
        <v>155</v>
      </c>
      <c r="AM37">
        <v>0.2757</v>
      </c>
      <c r="AN37" t="s">
        <v>236</v>
      </c>
    </row>
    <row r="38" spans="9:40" x14ac:dyDescent="0.45">
      <c r="I38" t="s">
        <v>174</v>
      </c>
      <c r="J38" t="s">
        <v>164</v>
      </c>
      <c r="K38">
        <v>8.2208057335272824E-2</v>
      </c>
      <c r="L38" t="s">
        <v>161</v>
      </c>
      <c r="N38" t="s">
        <v>197</v>
      </c>
      <c r="O38" t="s">
        <v>164</v>
      </c>
      <c r="P38">
        <v>9.9920362771539706E-2</v>
      </c>
      <c r="Q38" t="s">
        <v>161</v>
      </c>
      <c r="S38" t="s">
        <v>219</v>
      </c>
      <c r="T38" t="s">
        <v>164</v>
      </c>
      <c r="U38">
        <v>9.8857006688489929E-2</v>
      </c>
      <c r="V38" t="s">
        <v>161</v>
      </c>
      <c r="AK38">
        <v>2028</v>
      </c>
      <c r="AL38" t="s">
        <v>157</v>
      </c>
      <c r="AM38">
        <v>0.27650000000000002</v>
      </c>
      <c r="AN38" t="s">
        <v>236</v>
      </c>
    </row>
    <row r="39" spans="9:40" x14ac:dyDescent="0.45">
      <c r="I39" t="s">
        <v>174</v>
      </c>
      <c r="J39" t="s">
        <v>165</v>
      </c>
      <c r="K39">
        <v>8.9304855491434774E-3</v>
      </c>
      <c r="L39" t="s">
        <v>161</v>
      </c>
      <c r="N39" t="s">
        <v>197</v>
      </c>
      <c r="O39" t="s">
        <v>165</v>
      </c>
      <c r="P39">
        <v>6.1224870278884522E-3</v>
      </c>
      <c r="Q39" t="s">
        <v>161</v>
      </c>
      <c r="S39" t="s">
        <v>219</v>
      </c>
      <c r="T39" t="s">
        <v>165</v>
      </c>
      <c r="U39">
        <v>6.1205857252900186E-3</v>
      </c>
      <c r="V39" t="s">
        <v>161</v>
      </c>
      <c r="AK39">
        <v>2029</v>
      </c>
      <c r="AL39" t="s">
        <v>149</v>
      </c>
      <c r="AM39">
        <v>0.34462222222222222</v>
      </c>
      <c r="AN39" t="s">
        <v>236</v>
      </c>
    </row>
    <row r="40" spans="9:40" x14ac:dyDescent="0.45">
      <c r="I40" t="s">
        <v>174</v>
      </c>
      <c r="J40" t="s">
        <v>166</v>
      </c>
      <c r="K40">
        <v>7.5429452547838604E-3</v>
      </c>
      <c r="L40" t="s">
        <v>161</v>
      </c>
      <c r="N40" t="s">
        <v>197</v>
      </c>
      <c r="O40" t="s">
        <v>166</v>
      </c>
      <c r="P40">
        <v>4.8509031993090659E-2</v>
      </c>
      <c r="Q40" t="s">
        <v>161</v>
      </c>
      <c r="S40" t="s">
        <v>219</v>
      </c>
      <c r="T40" t="s">
        <v>166</v>
      </c>
      <c r="U40">
        <v>4.5514222552460494E-2</v>
      </c>
      <c r="V40" t="s">
        <v>161</v>
      </c>
      <c r="AK40">
        <v>2029</v>
      </c>
      <c r="AL40" t="s">
        <v>153</v>
      </c>
      <c r="AM40">
        <v>0.28889999999999999</v>
      </c>
      <c r="AN40" t="s">
        <v>236</v>
      </c>
    </row>
    <row r="41" spans="9:40" x14ac:dyDescent="0.45">
      <c r="I41" t="s">
        <v>174</v>
      </c>
      <c r="J41" t="s">
        <v>167</v>
      </c>
      <c r="K41">
        <v>5.3311076364131814E-2</v>
      </c>
      <c r="L41" t="s">
        <v>161</v>
      </c>
      <c r="N41" t="s">
        <v>197</v>
      </c>
      <c r="O41" t="s">
        <v>167</v>
      </c>
      <c r="P41">
        <v>0.14708185389813708</v>
      </c>
      <c r="Q41" t="s">
        <v>161</v>
      </c>
      <c r="S41" t="s">
        <v>219</v>
      </c>
      <c r="T41" t="s">
        <v>167</v>
      </c>
      <c r="U41">
        <v>0.12208831225846353</v>
      </c>
      <c r="V41" t="s">
        <v>161</v>
      </c>
      <c r="AK41">
        <v>2029</v>
      </c>
      <c r="AL41" t="s">
        <v>155</v>
      </c>
      <c r="AM41">
        <v>0.29915000000000003</v>
      </c>
      <c r="AN41" t="s">
        <v>236</v>
      </c>
    </row>
    <row r="42" spans="9:40" x14ac:dyDescent="0.45">
      <c r="I42" t="s">
        <v>174</v>
      </c>
      <c r="J42" t="s">
        <v>168</v>
      </c>
      <c r="K42">
        <v>4.4766470288318868E-3</v>
      </c>
      <c r="L42" t="s">
        <v>161</v>
      </c>
      <c r="N42" t="s">
        <v>197</v>
      </c>
      <c r="O42" t="s">
        <v>168</v>
      </c>
      <c r="P42">
        <v>9.011590442583272E-3</v>
      </c>
      <c r="Q42" t="s">
        <v>161</v>
      </c>
      <c r="S42" t="s">
        <v>219</v>
      </c>
      <c r="T42" t="s">
        <v>168</v>
      </c>
      <c r="U42">
        <v>7.565955506547606E-3</v>
      </c>
      <c r="V42" t="s">
        <v>161</v>
      </c>
      <c r="AK42">
        <v>2029</v>
      </c>
      <c r="AL42" t="s">
        <v>157</v>
      </c>
      <c r="AM42">
        <v>0.3135</v>
      </c>
      <c r="AN42" t="s">
        <v>236</v>
      </c>
    </row>
    <row r="43" spans="9:40" x14ac:dyDescent="0.45">
      <c r="I43" t="s">
        <v>174</v>
      </c>
      <c r="J43" t="s">
        <v>169</v>
      </c>
      <c r="K43">
        <v>2.0872301260597978E-4</v>
      </c>
      <c r="L43" t="s">
        <v>161</v>
      </c>
      <c r="N43" t="s">
        <v>197</v>
      </c>
      <c r="O43" t="s">
        <v>169</v>
      </c>
      <c r="P43">
        <v>6.502669996628338E-2</v>
      </c>
      <c r="Q43" t="s">
        <v>161</v>
      </c>
      <c r="S43" t="s">
        <v>219</v>
      </c>
      <c r="T43" t="s">
        <v>169</v>
      </c>
      <c r="U43">
        <v>5.2275421714349145E-2</v>
      </c>
      <c r="V43" t="s">
        <v>161</v>
      </c>
      <c r="AK43">
        <v>2030</v>
      </c>
      <c r="AL43" t="s">
        <v>149</v>
      </c>
      <c r="AM43">
        <v>0.35056666666666669</v>
      </c>
      <c r="AN43" t="s">
        <v>236</v>
      </c>
    </row>
    <row r="44" spans="9:40" x14ac:dyDescent="0.45">
      <c r="I44" t="s">
        <v>174</v>
      </c>
      <c r="J44" t="s">
        <v>170</v>
      </c>
      <c r="K44">
        <v>5.4319028524865655E-3</v>
      </c>
      <c r="L44" t="s">
        <v>161</v>
      </c>
      <c r="N44" t="s">
        <v>197</v>
      </c>
      <c r="O44" t="s">
        <v>170</v>
      </c>
      <c r="P44">
        <v>1.4909180414894944E-2</v>
      </c>
      <c r="Q44" t="s">
        <v>161</v>
      </c>
      <c r="S44" t="s">
        <v>219</v>
      </c>
      <c r="T44" t="s">
        <v>170</v>
      </c>
      <c r="U44">
        <v>1.6444323809478228E-2</v>
      </c>
      <c r="V44" t="s">
        <v>161</v>
      </c>
      <c r="AK44">
        <v>2030</v>
      </c>
      <c r="AL44" t="s">
        <v>153</v>
      </c>
      <c r="AM44">
        <v>0.29209999999999997</v>
      </c>
      <c r="AN44" t="s">
        <v>236</v>
      </c>
    </row>
    <row r="45" spans="9:40" x14ac:dyDescent="0.45">
      <c r="I45" t="s">
        <v>174</v>
      </c>
      <c r="J45" t="s">
        <v>171</v>
      </c>
      <c r="K45">
        <v>7.0124237228861739E-4</v>
      </c>
      <c r="L45" t="s">
        <v>161</v>
      </c>
      <c r="N45" t="s">
        <v>197</v>
      </c>
      <c r="O45" t="s">
        <v>171</v>
      </c>
      <c r="P45">
        <v>9.4623149592266954E-4</v>
      </c>
      <c r="Q45" t="s">
        <v>161</v>
      </c>
      <c r="S45" t="s">
        <v>219</v>
      </c>
      <c r="T45" t="s">
        <v>171</v>
      </c>
      <c r="U45">
        <v>1.0501421594938977E-3</v>
      </c>
      <c r="V45" t="s">
        <v>161</v>
      </c>
      <c r="AK45">
        <v>2030</v>
      </c>
      <c r="AL45" t="s">
        <v>155</v>
      </c>
      <c r="AM45">
        <v>0.26619999999999999</v>
      </c>
      <c r="AN45" t="s">
        <v>236</v>
      </c>
    </row>
    <row r="46" spans="9:40" x14ac:dyDescent="0.45">
      <c r="I46" t="s">
        <v>174</v>
      </c>
      <c r="J46" t="s">
        <v>172</v>
      </c>
      <c r="K46">
        <v>0</v>
      </c>
      <c r="L46" t="s">
        <v>161</v>
      </c>
      <c r="N46" t="s">
        <v>197</v>
      </c>
      <c r="O46" t="s">
        <v>172</v>
      </c>
      <c r="P46">
        <v>7.713776585467411E-3</v>
      </c>
      <c r="Q46" t="s">
        <v>161</v>
      </c>
      <c r="S46" t="s">
        <v>219</v>
      </c>
      <c r="T46" t="s">
        <v>172</v>
      </c>
      <c r="U46">
        <v>7.1916111465858317E-3</v>
      </c>
      <c r="V46" t="s">
        <v>161</v>
      </c>
      <c r="AK46">
        <v>2030</v>
      </c>
      <c r="AL46" t="s">
        <v>157</v>
      </c>
      <c r="AM46">
        <v>0.27739999999999998</v>
      </c>
      <c r="AN46" t="s">
        <v>236</v>
      </c>
    </row>
    <row r="47" spans="9:40" x14ac:dyDescent="0.45">
      <c r="I47" t="s">
        <v>175</v>
      </c>
      <c r="J47" t="s">
        <v>160</v>
      </c>
      <c r="K47">
        <v>0.72831367468226527</v>
      </c>
      <c r="L47" t="s">
        <v>161</v>
      </c>
      <c r="N47" t="s">
        <v>198</v>
      </c>
      <c r="O47" t="s">
        <v>160</v>
      </c>
      <c r="P47">
        <v>0.4197728340155637</v>
      </c>
      <c r="Q47" t="s">
        <v>161</v>
      </c>
      <c r="S47" t="s">
        <v>220</v>
      </c>
      <c r="T47" t="s">
        <v>160</v>
      </c>
      <c r="U47">
        <v>0.42255620938224137</v>
      </c>
      <c r="V47" t="s">
        <v>161</v>
      </c>
      <c r="AK47">
        <v>2031</v>
      </c>
      <c r="AL47" t="s">
        <v>149</v>
      </c>
      <c r="AM47">
        <v>0.34483333333333338</v>
      </c>
      <c r="AN47" t="s">
        <v>236</v>
      </c>
    </row>
    <row r="48" spans="9:40" x14ac:dyDescent="0.45">
      <c r="I48" t="s">
        <v>175</v>
      </c>
      <c r="J48" t="s">
        <v>162</v>
      </c>
      <c r="K48">
        <v>5.5336421522098514E-2</v>
      </c>
      <c r="L48" t="s">
        <v>161</v>
      </c>
      <c r="N48" t="s">
        <v>198</v>
      </c>
      <c r="O48" t="s">
        <v>162</v>
      </c>
      <c r="P48">
        <v>2.6308330061695494E-2</v>
      </c>
      <c r="Q48" t="s">
        <v>161</v>
      </c>
      <c r="S48" t="s">
        <v>220</v>
      </c>
      <c r="T48" t="s">
        <v>162</v>
      </c>
      <c r="U48">
        <v>2.6262327454966965E-2</v>
      </c>
      <c r="V48" t="s">
        <v>161</v>
      </c>
      <c r="AK48">
        <v>2031</v>
      </c>
      <c r="AL48" t="s">
        <v>153</v>
      </c>
      <c r="AM48">
        <v>0.28260000000000002</v>
      </c>
      <c r="AN48" t="s">
        <v>236</v>
      </c>
    </row>
    <row r="49" spans="9:40" x14ac:dyDescent="0.45">
      <c r="I49" t="s">
        <v>175</v>
      </c>
      <c r="J49" t="s">
        <v>163</v>
      </c>
      <c r="K49">
        <v>6.9214724216025272E-2</v>
      </c>
      <c r="L49" t="s">
        <v>161</v>
      </c>
      <c r="N49" t="s">
        <v>198</v>
      </c>
      <c r="O49" t="s">
        <v>163</v>
      </c>
      <c r="P49">
        <v>0.18883049353691742</v>
      </c>
      <c r="Q49" t="s">
        <v>161</v>
      </c>
      <c r="S49" t="s">
        <v>220</v>
      </c>
      <c r="T49" t="s">
        <v>163</v>
      </c>
      <c r="U49">
        <v>0.19006471527796134</v>
      </c>
      <c r="V49" t="s">
        <v>161</v>
      </c>
      <c r="AK49">
        <v>2031</v>
      </c>
      <c r="AL49" t="s">
        <v>155</v>
      </c>
      <c r="AM49">
        <v>0.29385</v>
      </c>
      <c r="AN49" t="s">
        <v>236</v>
      </c>
    </row>
    <row r="50" spans="9:40" x14ac:dyDescent="0.45">
      <c r="I50" t="s">
        <v>175</v>
      </c>
      <c r="J50" t="s">
        <v>164</v>
      </c>
      <c r="K50">
        <v>8.7033511959647425E-2</v>
      </c>
      <c r="L50" t="s">
        <v>161</v>
      </c>
      <c r="N50" t="s">
        <v>198</v>
      </c>
      <c r="O50" t="s">
        <v>164</v>
      </c>
      <c r="P50">
        <v>0.10152844527745888</v>
      </c>
      <c r="Q50" t="s">
        <v>161</v>
      </c>
      <c r="S50" t="s">
        <v>220</v>
      </c>
      <c r="T50" t="s">
        <v>164</v>
      </c>
      <c r="U50">
        <v>0.10033361720507752</v>
      </c>
      <c r="V50" t="s">
        <v>161</v>
      </c>
      <c r="AK50">
        <v>2031</v>
      </c>
      <c r="AL50" t="s">
        <v>157</v>
      </c>
      <c r="AM50">
        <v>0.3281</v>
      </c>
      <c r="AN50" t="s">
        <v>236</v>
      </c>
    </row>
    <row r="51" spans="9:40" x14ac:dyDescent="0.45">
      <c r="I51" t="s">
        <v>175</v>
      </c>
      <c r="J51" t="s">
        <v>165</v>
      </c>
      <c r="K51">
        <v>6.3546143448076457E-3</v>
      </c>
      <c r="L51" t="s">
        <v>161</v>
      </c>
      <c r="N51" t="s">
        <v>198</v>
      </c>
      <c r="O51" t="s">
        <v>165</v>
      </c>
      <c r="P51">
        <v>6.102765999432126E-3</v>
      </c>
      <c r="Q51" t="s">
        <v>161</v>
      </c>
      <c r="S51" t="s">
        <v>220</v>
      </c>
      <c r="T51" t="s">
        <v>165</v>
      </c>
      <c r="U51">
        <v>6.1494790120421123E-3</v>
      </c>
      <c r="V51" t="s">
        <v>161</v>
      </c>
      <c r="AK51">
        <v>2032</v>
      </c>
      <c r="AL51" t="s">
        <v>149</v>
      </c>
      <c r="AM51">
        <v>0.40286666666666665</v>
      </c>
      <c r="AN51" t="s">
        <v>236</v>
      </c>
    </row>
    <row r="52" spans="9:40" x14ac:dyDescent="0.45">
      <c r="I52" t="s">
        <v>175</v>
      </c>
      <c r="J52" t="s">
        <v>166</v>
      </c>
      <c r="K52">
        <v>2.239515028257449E-3</v>
      </c>
      <c r="L52" t="s">
        <v>161</v>
      </c>
      <c r="N52" t="s">
        <v>198</v>
      </c>
      <c r="O52" t="s">
        <v>166</v>
      </c>
      <c r="P52">
        <v>4.7005609681070294E-2</v>
      </c>
      <c r="Q52" t="s">
        <v>161</v>
      </c>
      <c r="S52" t="s">
        <v>220</v>
      </c>
      <c r="T52" t="s">
        <v>166</v>
      </c>
      <c r="U52">
        <v>4.5529414080419967E-2</v>
      </c>
      <c r="V52" t="s">
        <v>161</v>
      </c>
      <c r="AK52">
        <v>2032</v>
      </c>
      <c r="AL52" t="s">
        <v>153</v>
      </c>
      <c r="AM52">
        <v>0.36769999999999997</v>
      </c>
      <c r="AN52" t="s">
        <v>236</v>
      </c>
    </row>
    <row r="53" spans="9:40" x14ac:dyDescent="0.45">
      <c r="I53" t="s">
        <v>175</v>
      </c>
      <c r="J53" t="s">
        <v>167</v>
      </c>
      <c r="K53">
        <v>4.5466379944954227E-2</v>
      </c>
      <c r="L53" t="s">
        <v>161</v>
      </c>
      <c r="N53" t="s">
        <v>198</v>
      </c>
      <c r="O53" t="s">
        <v>167</v>
      </c>
      <c r="P53">
        <v>0.12427329630326459</v>
      </c>
      <c r="Q53" t="s">
        <v>161</v>
      </c>
      <c r="S53" t="s">
        <v>220</v>
      </c>
      <c r="T53" t="s">
        <v>167</v>
      </c>
      <c r="U53">
        <v>0.1239088908560922</v>
      </c>
      <c r="V53" t="s">
        <v>161</v>
      </c>
      <c r="AK53">
        <v>2032</v>
      </c>
      <c r="AL53" t="s">
        <v>155</v>
      </c>
      <c r="AM53">
        <v>0.33655000000000002</v>
      </c>
      <c r="AN53" t="s">
        <v>236</v>
      </c>
    </row>
    <row r="54" spans="9:40" x14ac:dyDescent="0.45">
      <c r="I54" t="s">
        <v>175</v>
      </c>
      <c r="J54" t="s">
        <v>168</v>
      </c>
      <c r="K54">
        <v>3.8681063725175784E-4</v>
      </c>
      <c r="L54" t="s">
        <v>161</v>
      </c>
      <c r="N54" t="s">
        <v>198</v>
      </c>
      <c r="O54" t="s">
        <v>168</v>
      </c>
      <c r="P54">
        <v>7.4060307051094058E-3</v>
      </c>
      <c r="Q54" t="s">
        <v>161</v>
      </c>
      <c r="S54" t="s">
        <v>220</v>
      </c>
      <c r="T54" t="s">
        <v>168</v>
      </c>
      <c r="U54">
        <v>7.5627456070003866E-3</v>
      </c>
      <c r="V54" t="s">
        <v>161</v>
      </c>
      <c r="AK54">
        <v>2032</v>
      </c>
      <c r="AL54" t="s">
        <v>157</v>
      </c>
      <c r="AM54">
        <v>0.33439999999999998</v>
      </c>
      <c r="AN54" t="s">
        <v>236</v>
      </c>
    </row>
    <row r="55" spans="9:40" x14ac:dyDescent="0.45">
      <c r="I55" t="s">
        <v>175</v>
      </c>
      <c r="J55" t="s">
        <v>169</v>
      </c>
      <c r="K55">
        <v>0</v>
      </c>
      <c r="L55" t="s">
        <v>161</v>
      </c>
      <c r="N55" t="s">
        <v>198</v>
      </c>
      <c r="O55" t="s">
        <v>169</v>
      </c>
      <c r="P55">
        <v>5.2397298958857801E-2</v>
      </c>
      <c r="Q55" t="s">
        <v>161</v>
      </c>
      <c r="S55" t="s">
        <v>220</v>
      </c>
      <c r="T55" t="s">
        <v>169</v>
      </c>
      <c r="U55">
        <v>5.1494157723181076E-2</v>
      </c>
      <c r="V55" t="s">
        <v>161</v>
      </c>
      <c r="AK55">
        <v>2033</v>
      </c>
      <c r="AL55" t="s">
        <v>149</v>
      </c>
      <c r="AM55">
        <v>0.40677777777777774</v>
      </c>
      <c r="AN55" t="s">
        <v>236</v>
      </c>
    </row>
    <row r="56" spans="9:40" x14ac:dyDescent="0.45">
      <c r="I56" t="s">
        <v>175</v>
      </c>
      <c r="J56" t="s">
        <v>170</v>
      </c>
      <c r="K56">
        <v>5.6543476646962378E-3</v>
      </c>
      <c r="L56" t="s">
        <v>161</v>
      </c>
      <c r="N56" t="s">
        <v>198</v>
      </c>
      <c r="O56" t="s">
        <v>170</v>
      </c>
      <c r="P56">
        <v>1.707943240313969E-2</v>
      </c>
      <c r="Q56" t="s">
        <v>161</v>
      </c>
      <c r="S56" t="s">
        <v>220</v>
      </c>
      <c r="T56" t="s">
        <v>170</v>
      </c>
      <c r="U56">
        <v>1.7037717561834902E-2</v>
      </c>
      <c r="V56" t="s">
        <v>161</v>
      </c>
      <c r="AK56">
        <v>2033</v>
      </c>
      <c r="AL56" t="s">
        <v>153</v>
      </c>
      <c r="AM56">
        <v>0.35426666666666667</v>
      </c>
      <c r="AN56" t="s">
        <v>236</v>
      </c>
    </row>
    <row r="57" spans="9:40" x14ac:dyDescent="0.45">
      <c r="I57" t="s">
        <v>175</v>
      </c>
      <c r="J57" t="s">
        <v>171</v>
      </c>
      <c r="K57">
        <v>0</v>
      </c>
      <c r="L57" t="s">
        <v>161</v>
      </c>
      <c r="N57" t="s">
        <v>198</v>
      </c>
      <c r="O57" t="s">
        <v>171</v>
      </c>
      <c r="P57">
        <v>1.1976068118966674E-3</v>
      </c>
      <c r="Q57" t="s">
        <v>161</v>
      </c>
      <c r="S57" t="s">
        <v>220</v>
      </c>
      <c r="T57" t="s">
        <v>171</v>
      </c>
      <c r="U57">
        <v>1.175489931503505E-3</v>
      </c>
      <c r="V57" t="s">
        <v>161</v>
      </c>
      <c r="AK57">
        <v>2033</v>
      </c>
      <c r="AL57" t="s">
        <v>155</v>
      </c>
      <c r="AM57">
        <v>0.34389999999999998</v>
      </c>
      <c r="AN57" t="s">
        <v>236</v>
      </c>
    </row>
    <row r="58" spans="9:40" x14ac:dyDescent="0.45">
      <c r="I58" t="s">
        <v>175</v>
      </c>
      <c r="J58" t="s">
        <v>172</v>
      </c>
      <c r="K58">
        <v>0</v>
      </c>
      <c r="L58" t="s">
        <v>161</v>
      </c>
      <c r="N58" t="s">
        <v>198</v>
      </c>
      <c r="O58" t="s">
        <v>172</v>
      </c>
      <c r="P58">
        <v>8.0978562455902708E-3</v>
      </c>
      <c r="Q58" t="s">
        <v>161</v>
      </c>
      <c r="S58" t="s">
        <v>220</v>
      </c>
      <c r="T58" t="s">
        <v>172</v>
      </c>
      <c r="U58">
        <v>7.9252359076818144E-3</v>
      </c>
      <c r="V58" t="s">
        <v>161</v>
      </c>
      <c r="AK58">
        <v>2033</v>
      </c>
      <c r="AL58" t="s">
        <v>157</v>
      </c>
      <c r="AM58">
        <v>0.33360000000000001</v>
      </c>
      <c r="AN58" t="s">
        <v>236</v>
      </c>
    </row>
    <row r="59" spans="9:40" x14ac:dyDescent="0.45">
      <c r="I59" t="s">
        <v>176</v>
      </c>
      <c r="J59" t="s">
        <v>160</v>
      </c>
      <c r="K59">
        <v>0.70687685262590405</v>
      </c>
      <c r="L59" t="s">
        <v>161</v>
      </c>
      <c r="N59" t="s">
        <v>199</v>
      </c>
      <c r="O59" t="s">
        <v>160</v>
      </c>
      <c r="P59">
        <v>0.41852705183018335</v>
      </c>
      <c r="Q59" t="s">
        <v>161</v>
      </c>
      <c r="S59" t="s">
        <v>221</v>
      </c>
      <c r="T59" t="s">
        <v>160</v>
      </c>
      <c r="U59">
        <v>0.41990508083436845</v>
      </c>
      <c r="V59" t="s">
        <v>161</v>
      </c>
      <c r="AK59">
        <v>2034</v>
      </c>
      <c r="AL59" t="s">
        <v>149</v>
      </c>
      <c r="AM59">
        <v>0.40047777777777782</v>
      </c>
      <c r="AN59" t="s">
        <v>236</v>
      </c>
    </row>
    <row r="60" spans="9:40" x14ac:dyDescent="0.45">
      <c r="I60" t="s">
        <v>176</v>
      </c>
      <c r="J60" t="s">
        <v>162</v>
      </c>
      <c r="K60">
        <v>5.3648544315816789E-2</v>
      </c>
      <c r="L60" t="s">
        <v>161</v>
      </c>
      <c r="N60" t="s">
        <v>199</v>
      </c>
      <c r="O60" t="s">
        <v>162</v>
      </c>
      <c r="P60">
        <v>2.7359509876476427E-2</v>
      </c>
      <c r="Q60" t="s">
        <v>161</v>
      </c>
      <c r="S60" t="s">
        <v>221</v>
      </c>
      <c r="T60" t="s">
        <v>162</v>
      </c>
      <c r="U60">
        <v>2.7688731639130305E-2</v>
      </c>
      <c r="V60" t="s">
        <v>161</v>
      </c>
      <c r="AK60">
        <v>2034</v>
      </c>
      <c r="AL60" t="s">
        <v>153</v>
      </c>
      <c r="AM60">
        <v>0.36840000000000001</v>
      </c>
      <c r="AN60" t="s">
        <v>236</v>
      </c>
    </row>
    <row r="61" spans="9:40" x14ac:dyDescent="0.45">
      <c r="I61" t="s">
        <v>176</v>
      </c>
      <c r="J61" t="s">
        <v>163</v>
      </c>
      <c r="K61">
        <v>6.4066795155461279E-2</v>
      </c>
      <c r="L61" t="s">
        <v>161</v>
      </c>
      <c r="N61" t="s">
        <v>199</v>
      </c>
      <c r="O61" t="s">
        <v>163</v>
      </c>
      <c r="P61">
        <v>0.19824822058586006</v>
      </c>
      <c r="Q61" t="s">
        <v>161</v>
      </c>
      <c r="S61" t="s">
        <v>221</v>
      </c>
      <c r="T61" t="s">
        <v>163</v>
      </c>
      <c r="U61">
        <v>0.2054935165028938</v>
      </c>
      <c r="V61" t="s">
        <v>161</v>
      </c>
      <c r="AK61">
        <v>2034</v>
      </c>
      <c r="AL61" t="s">
        <v>155</v>
      </c>
      <c r="AM61">
        <v>0.34555000000000002</v>
      </c>
      <c r="AN61" t="s">
        <v>236</v>
      </c>
    </row>
    <row r="62" spans="9:40" x14ac:dyDescent="0.45">
      <c r="I62" t="s">
        <v>176</v>
      </c>
      <c r="J62" t="s">
        <v>164</v>
      </c>
      <c r="K62">
        <v>8.7466188359858824E-2</v>
      </c>
      <c r="L62" t="s">
        <v>161</v>
      </c>
      <c r="N62" t="s">
        <v>199</v>
      </c>
      <c r="O62" t="s">
        <v>164</v>
      </c>
      <c r="P62">
        <v>8.825649819337722E-2</v>
      </c>
      <c r="Q62" t="s">
        <v>161</v>
      </c>
      <c r="S62" t="s">
        <v>221</v>
      </c>
      <c r="T62" t="s">
        <v>164</v>
      </c>
      <c r="U62">
        <v>8.579122918218357E-2</v>
      </c>
      <c r="V62" t="s">
        <v>161</v>
      </c>
      <c r="AK62">
        <v>2034</v>
      </c>
      <c r="AL62" t="s">
        <v>157</v>
      </c>
      <c r="AM62">
        <v>0.34560000000000002</v>
      </c>
      <c r="AN62" t="s">
        <v>236</v>
      </c>
    </row>
    <row r="63" spans="9:40" x14ac:dyDescent="0.45">
      <c r="I63" t="s">
        <v>176</v>
      </c>
      <c r="J63" t="s">
        <v>165</v>
      </c>
      <c r="K63">
        <v>6.7200057387374985E-3</v>
      </c>
      <c r="L63" t="s">
        <v>161</v>
      </c>
      <c r="N63" t="s">
        <v>199</v>
      </c>
      <c r="O63" t="s">
        <v>165</v>
      </c>
      <c r="P63">
        <v>5.6659194013705854E-3</v>
      </c>
      <c r="Q63" t="s">
        <v>161</v>
      </c>
      <c r="S63" t="s">
        <v>221</v>
      </c>
      <c r="T63" t="s">
        <v>165</v>
      </c>
      <c r="U63">
        <v>5.4215978649293159E-3</v>
      </c>
      <c r="V63" t="s">
        <v>161</v>
      </c>
      <c r="AK63">
        <v>2035</v>
      </c>
      <c r="AL63" t="s">
        <v>149</v>
      </c>
      <c r="AM63">
        <v>0.3949555555555555</v>
      </c>
      <c r="AN63" t="s">
        <v>236</v>
      </c>
    </row>
    <row r="64" spans="9:40" x14ac:dyDescent="0.45">
      <c r="I64" t="s">
        <v>176</v>
      </c>
      <c r="J64" t="s">
        <v>166</v>
      </c>
      <c r="K64">
        <v>2.0404743748881947E-3</v>
      </c>
      <c r="L64" t="s">
        <v>161</v>
      </c>
      <c r="N64" t="s">
        <v>199</v>
      </c>
      <c r="O64" t="s">
        <v>166</v>
      </c>
      <c r="P64">
        <v>4.3187636735682995E-2</v>
      </c>
      <c r="Q64" t="s">
        <v>161</v>
      </c>
      <c r="S64" t="s">
        <v>221</v>
      </c>
      <c r="T64" t="s">
        <v>166</v>
      </c>
      <c r="U64">
        <v>4.1671669324720932E-2</v>
      </c>
      <c r="V64" t="s">
        <v>161</v>
      </c>
      <c r="AK64">
        <v>2035</v>
      </c>
      <c r="AL64" t="s">
        <v>153</v>
      </c>
      <c r="AM64">
        <v>0.33176666666666665</v>
      </c>
      <c r="AN64" t="s">
        <v>236</v>
      </c>
    </row>
    <row r="65" spans="9:40" x14ac:dyDescent="0.45">
      <c r="I65" t="s">
        <v>176</v>
      </c>
      <c r="J65" t="s">
        <v>167</v>
      </c>
      <c r="K65">
        <v>6.9302197131670351E-2</v>
      </c>
      <c r="L65" t="s">
        <v>161</v>
      </c>
      <c r="N65" t="s">
        <v>199</v>
      </c>
      <c r="O65" t="s">
        <v>167</v>
      </c>
      <c r="P65">
        <v>0.13094114749460817</v>
      </c>
      <c r="Q65" t="s">
        <v>161</v>
      </c>
      <c r="S65" t="s">
        <v>221</v>
      </c>
      <c r="T65" t="s">
        <v>167</v>
      </c>
      <c r="U65">
        <v>0.12711927617071794</v>
      </c>
      <c r="V65" t="s">
        <v>161</v>
      </c>
      <c r="AK65">
        <v>2035</v>
      </c>
      <c r="AL65" t="s">
        <v>155</v>
      </c>
      <c r="AM65">
        <v>0.3614</v>
      </c>
      <c r="AN65" t="s">
        <v>236</v>
      </c>
    </row>
    <row r="66" spans="9:40" x14ac:dyDescent="0.45">
      <c r="I66" t="s">
        <v>176</v>
      </c>
      <c r="J66" t="s">
        <v>168</v>
      </c>
      <c r="K66">
        <v>7.838661865173733E-4</v>
      </c>
      <c r="L66" t="s">
        <v>161</v>
      </c>
      <c r="N66" t="s">
        <v>199</v>
      </c>
      <c r="O66" t="s">
        <v>168</v>
      </c>
      <c r="P66">
        <v>8.2819493590931478E-3</v>
      </c>
      <c r="Q66" t="s">
        <v>161</v>
      </c>
      <c r="S66" t="s">
        <v>221</v>
      </c>
      <c r="T66" t="s">
        <v>168</v>
      </c>
      <c r="U66">
        <v>8.2454821361908313E-3</v>
      </c>
      <c r="V66" t="s">
        <v>161</v>
      </c>
      <c r="AK66">
        <v>2035</v>
      </c>
      <c r="AL66" t="s">
        <v>157</v>
      </c>
      <c r="AM66">
        <v>0.37880000000000003</v>
      </c>
      <c r="AN66" t="s">
        <v>236</v>
      </c>
    </row>
    <row r="67" spans="9:40" x14ac:dyDescent="0.45">
      <c r="I67" t="s">
        <v>176</v>
      </c>
      <c r="J67" t="s">
        <v>169</v>
      </c>
      <c r="K67">
        <v>0</v>
      </c>
      <c r="L67" t="s">
        <v>161</v>
      </c>
      <c r="N67" t="s">
        <v>199</v>
      </c>
      <c r="O67" t="s">
        <v>169</v>
      </c>
      <c r="P67">
        <v>5.7795660765032203E-2</v>
      </c>
      <c r="Q67" t="s">
        <v>161</v>
      </c>
      <c r="S67" t="s">
        <v>221</v>
      </c>
      <c r="T67" t="s">
        <v>169</v>
      </c>
      <c r="U67">
        <v>5.7453732802719808E-2</v>
      </c>
      <c r="V67" t="s">
        <v>161</v>
      </c>
      <c r="AK67">
        <v>2036</v>
      </c>
      <c r="AL67" t="s">
        <v>149</v>
      </c>
      <c r="AM67">
        <v>0.40004444444444442</v>
      </c>
      <c r="AN67" t="s">
        <v>236</v>
      </c>
    </row>
    <row r="68" spans="9:40" x14ac:dyDescent="0.45">
      <c r="I68" t="s">
        <v>176</v>
      </c>
      <c r="J68" t="s">
        <v>170</v>
      </c>
      <c r="K68">
        <v>9.0950761111483411E-3</v>
      </c>
      <c r="L68" t="s">
        <v>161</v>
      </c>
      <c r="N68" t="s">
        <v>199</v>
      </c>
      <c r="O68" t="s">
        <v>170</v>
      </c>
      <c r="P68">
        <v>1.4069059117281102E-2</v>
      </c>
      <c r="Q68" t="s">
        <v>161</v>
      </c>
      <c r="S68" t="s">
        <v>221</v>
      </c>
      <c r="T68" t="s">
        <v>170</v>
      </c>
      <c r="U68">
        <v>1.3754141473171373E-2</v>
      </c>
      <c r="V68" t="s">
        <v>161</v>
      </c>
      <c r="AK68">
        <v>2036</v>
      </c>
      <c r="AL68" t="s">
        <v>153</v>
      </c>
      <c r="AM68">
        <v>0.36313333333333331</v>
      </c>
      <c r="AN68" t="s">
        <v>236</v>
      </c>
    </row>
    <row r="69" spans="9:40" x14ac:dyDescent="0.45">
      <c r="I69" t="s">
        <v>176</v>
      </c>
      <c r="J69" t="s">
        <v>171</v>
      </c>
      <c r="K69">
        <v>0</v>
      </c>
      <c r="L69" t="s">
        <v>161</v>
      </c>
      <c r="N69" t="s">
        <v>199</v>
      </c>
      <c r="O69" t="s">
        <v>171</v>
      </c>
      <c r="P69">
        <v>9.1606786288408743E-4</v>
      </c>
      <c r="Q69" t="s">
        <v>161</v>
      </c>
      <c r="S69" t="s">
        <v>221</v>
      </c>
      <c r="T69" t="s">
        <v>171</v>
      </c>
      <c r="U69">
        <v>9.0582071181027836E-4</v>
      </c>
      <c r="V69" t="s">
        <v>161</v>
      </c>
      <c r="AK69">
        <v>2036</v>
      </c>
      <c r="AL69" t="s">
        <v>155</v>
      </c>
      <c r="AM69">
        <v>0.35709999999999997</v>
      </c>
      <c r="AN69" t="s">
        <v>236</v>
      </c>
    </row>
    <row r="70" spans="9:40" x14ac:dyDescent="0.45">
      <c r="I70" t="s">
        <v>176</v>
      </c>
      <c r="J70" t="s">
        <v>172</v>
      </c>
      <c r="K70">
        <v>0</v>
      </c>
      <c r="L70" t="s">
        <v>161</v>
      </c>
      <c r="N70" t="s">
        <v>199</v>
      </c>
      <c r="O70" t="s">
        <v>172</v>
      </c>
      <c r="P70">
        <v>6.7512787781557589E-3</v>
      </c>
      <c r="Q70" t="s">
        <v>161</v>
      </c>
      <c r="S70" t="s">
        <v>221</v>
      </c>
      <c r="T70" t="s">
        <v>172</v>
      </c>
      <c r="U70">
        <v>6.5497213571661063E-3</v>
      </c>
      <c r="V70" t="s">
        <v>161</v>
      </c>
      <c r="AK70">
        <v>2036</v>
      </c>
      <c r="AL70" t="s">
        <v>157</v>
      </c>
      <c r="AM70">
        <v>0.36759999999999998</v>
      </c>
      <c r="AN70" t="s">
        <v>236</v>
      </c>
    </row>
    <row r="71" spans="9:40" x14ac:dyDescent="0.45">
      <c r="I71" t="s">
        <v>177</v>
      </c>
      <c r="J71" t="s">
        <v>160</v>
      </c>
      <c r="K71">
        <v>0.70711514940219855</v>
      </c>
      <c r="L71" t="s">
        <v>161</v>
      </c>
      <c r="N71" t="s">
        <v>200</v>
      </c>
      <c r="O71" t="s">
        <v>160</v>
      </c>
      <c r="P71">
        <v>0.42342035826445512</v>
      </c>
      <c r="Q71" t="s">
        <v>161</v>
      </c>
      <c r="S71" t="s">
        <v>222</v>
      </c>
      <c r="T71" t="s">
        <v>160</v>
      </c>
      <c r="U71">
        <v>0.3904129904478551</v>
      </c>
      <c r="V71" t="s">
        <v>161</v>
      </c>
      <c r="AK71">
        <v>2037</v>
      </c>
      <c r="AL71" t="s">
        <v>149</v>
      </c>
      <c r="AM71">
        <v>0.3939333333333333</v>
      </c>
      <c r="AN71" t="s">
        <v>236</v>
      </c>
    </row>
    <row r="72" spans="9:40" x14ac:dyDescent="0.45">
      <c r="I72" t="s">
        <v>177</v>
      </c>
      <c r="J72" t="s">
        <v>162</v>
      </c>
      <c r="K72">
        <v>5.67005468980811E-2</v>
      </c>
      <c r="L72" t="s">
        <v>161</v>
      </c>
      <c r="N72" t="s">
        <v>200</v>
      </c>
      <c r="O72" t="s">
        <v>162</v>
      </c>
      <c r="P72">
        <v>2.6624553120558125E-2</v>
      </c>
      <c r="Q72" t="s">
        <v>161</v>
      </c>
      <c r="S72" t="s">
        <v>222</v>
      </c>
      <c r="T72" t="s">
        <v>162</v>
      </c>
      <c r="U72">
        <v>2.4437429604124549E-2</v>
      </c>
      <c r="V72" t="s">
        <v>161</v>
      </c>
      <c r="AK72">
        <v>2037</v>
      </c>
      <c r="AL72" t="s">
        <v>153</v>
      </c>
      <c r="AM72">
        <v>0.33513333333333334</v>
      </c>
      <c r="AN72" t="s">
        <v>236</v>
      </c>
    </row>
    <row r="73" spans="9:40" x14ac:dyDescent="0.45">
      <c r="I73" t="s">
        <v>177</v>
      </c>
      <c r="J73" t="s">
        <v>163</v>
      </c>
      <c r="K73">
        <v>7.3893183601310419E-2</v>
      </c>
      <c r="L73" t="s">
        <v>161</v>
      </c>
      <c r="N73" t="s">
        <v>200</v>
      </c>
      <c r="O73" t="s">
        <v>163</v>
      </c>
      <c r="P73">
        <v>0.19125508637542082</v>
      </c>
      <c r="Q73" t="s">
        <v>161</v>
      </c>
      <c r="S73" t="s">
        <v>222</v>
      </c>
      <c r="T73" t="s">
        <v>163</v>
      </c>
      <c r="U73">
        <v>0.18204173633347784</v>
      </c>
      <c r="V73" t="s">
        <v>161</v>
      </c>
      <c r="AK73">
        <v>2037</v>
      </c>
      <c r="AL73" t="s">
        <v>155</v>
      </c>
      <c r="AM73">
        <v>0.34394999999999998</v>
      </c>
      <c r="AN73" t="s">
        <v>236</v>
      </c>
    </row>
    <row r="74" spans="9:40" x14ac:dyDescent="0.45">
      <c r="I74" t="s">
        <v>177</v>
      </c>
      <c r="J74" t="s">
        <v>164</v>
      </c>
      <c r="K74">
        <v>8.7571985708542313E-2</v>
      </c>
      <c r="L74" t="s">
        <v>161</v>
      </c>
      <c r="N74" t="s">
        <v>200</v>
      </c>
      <c r="O74" t="s">
        <v>164</v>
      </c>
      <c r="P74">
        <v>9.5652024655029769E-2</v>
      </c>
      <c r="Q74" t="s">
        <v>161</v>
      </c>
      <c r="S74" t="s">
        <v>222</v>
      </c>
      <c r="T74" t="s">
        <v>164</v>
      </c>
      <c r="U74">
        <v>9.5116887445564055E-2</v>
      </c>
      <c r="V74" t="s">
        <v>161</v>
      </c>
      <c r="AK74">
        <v>2037</v>
      </c>
      <c r="AL74" t="s">
        <v>157</v>
      </c>
      <c r="AM74">
        <v>0.3654</v>
      </c>
      <c r="AN74" t="s">
        <v>236</v>
      </c>
    </row>
    <row r="75" spans="9:40" x14ac:dyDescent="0.45">
      <c r="I75" t="s">
        <v>177</v>
      </c>
      <c r="J75" t="s">
        <v>165</v>
      </c>
      <c r="K75">
        <v>6.7474706589847836E-3</v>
      </c>
      <c r="L75" t="s">
        <v>161</v>
      </c>
      <c r="N75" t="s">
        <v>200</v>
      </c>
      <c r="O75" t="s">
        <v>165</v>
      </c>
      <c r="P75">
        <v>5.9929955806388626E-3</v>
      </c>
      <c r="Q75" t="s">
        <v>161</v>
      </c>
      <c r="S75" t="s">
        <v>222</v>
      </c>
      <c r="T75" t="s">
        <v>165</v>
      </c>
      <c r="U75">
        <v>6.194460090019469E-3</v>
      </c>
      <c r="V75" t="s">
        <v>161</v>
      </c>
      <c r="AK75">
        <v>2038</v>
      </c>
      <c r="AL75" t="s">
        <v>149</v>
      </c>
      <c r="AM75">
        <v>0.39226666666666671</v>
      </c>
      <c r="AN75" t="s">
        <v>236</v>
      </c>
    </row>
    <row r="76" spans="9:40" x14ac:dyDescent="0.45">
      <c r="I76" t="s">
        <v>177</v>
      </c>
      <c r="J76" t="s">
        <v>166</v>
      </c>
      <c r="K76">
        <v>2.4744780420126082E-3</v>
      </c>
      <c r="L76" t="s">
        <v>161</v>
      </c>
      <c r="N76" t="s">
        <v>200</v>
      </c>
      <c r="O76" t="s">
        <v>166</v>
      </c>
      <c r="P76">
        <v>4.4012541913072377E-2</v>
      </c>
      <c r="Q76" t="s">
        <v>161</v>
      </c>
      <c r="S76" t="s">
        <v>222</v>
      </c>
      <c r="T76" t="s">
        <v>166</v>
      </c>
      <c r="U76">
        <v>4.9298814996351782E-2</v>
      </c>
      <c r="V76" t="s">
        <v>161</v>
      </c>
      <c r="AK76">
        <v>2038</v>
      </c>
      <c r="AL76" t="s">
        <v>153</v>
      </c>
      <c r="AM76">
        <v>0.34396666666666659</v>
      </c>
      <c r="AN76" t="s">
        <v>236</v>
      </c>
    </row>
    <row r="77" spans="9:40" x14ac:dyDescent="0.45">
      <c r="I77" t="s">
        <v>177</v>
      </c>
      <c r="J77" t="s">
        <v>167</v>
      </c>
      <c r="K77">
        <v>5.7427876937154725E-2</v>
      </c>
      <c r="L77" t="s">
        <v>161</v>
      </c>
      <c r="N77" t="s">
        <v>200</v>
      </c>
      <c r="O77" t="s">
        <v>167</v>
      </c>
      <c r="P77">
        <v>0.12731774153475695</v>
      </c>
      <c r="Q77" t="s">
        <v>161</v>
      </c>
      <c r="S77" t="s">
        <v>222</v>
      </c>
      <c r="T77" t="s">
        <v>167</v>
      </c>
      <c r="U77">
        <v>0.1509756705855147</v>
      </c>
      <c r="V77" t="s">
        <v>161</v>
      </c>
      <c r="AK77">
        <v>2038</v>
      </c>
      <c r="AL77" t="s">
        <v>155</v>
      </c>
      <c r="AM77">
        <v>0.33204999999999996</v>
      </c>
      <c r="AN77" t="s">
        <v>236</v>
      </c>
    </row>
    <row r="78" spans="9:40" x14ac:dyDescent="0.45">
      <c r="I78" t="s">
        <v>177</v>
      </c>
      <c r="J78" t="s">
        <v>168</v>
      </c>
      <c r="K78">
        <v>8.9581248601094466E-4</v>
      </c>
      <c r="L78" t="s">
        <v>161</v>
      </c>
      <c r="N78" t="s">
        <v>200</v>
      </c>
      <c r="O78" t="s">
        <v>168</v>
      </c>
      <c r="P78">
        <v>7.6532624677115024E-3</v>
      </c>
      <c r="Q78" t="s">
        <v>161</v>
      </c>
      <c r="S78" t="s">
        <v>222</v>
      </c>
      <c r="T78" t="s">
        <v>168</v>
      </c>
      <c r="U78">
        <v>9.7285349856848554E-3</v>
      </c>
      <c r="V78" t="s">
        <v>161</v>
      </c>
      <c r="AK78">
        <v>2038</v>
      </c>
      <c r="AL78" t="s">
        <v>157</v>
      </c>
      <c r="AM78">
        <v>0.33939999999999998</v>
      </c>
      <c r="AN78" t="s">
        <v>236</v>
      </c>
    </row>
    <row r="79" spans="9:40" x14ac:dyDescent="0.45">
      <c r="I79" t="s">
        <v>177</v>
      </c>
      <c r="J79" t="s">
        <v>169</v>
      </c>
      <c r="K79">
        <v>0</v>
      </c>
      <c r="L79" t="s">
        <v>161</v>
      </c>
      <c r="N79" t="s">
        <v>200</v>
      </c>
      <c r="O79" t="s">
        <v>169</v>
      </c>
      <c r="P79">
        <v>5.4047252874972029E-2</v>
      </c>
      <c r="Q79" t="s">
        <v>161</v>
      </c>
      <c r="S79" t="s">
        <v>222</v>
      </c>
      <c r="T79" t="s">
        <v>169</v>
      </c>
      <c r="U79">
        <v>6.7042811044122727E-2</v>
      </c>
      <c r="V79" t="s">
        <v>161</v>
      </c>
      <c r="AK79">
        <v>2039</v>
      </c>
      <c r="AL79" t="s">
        <v>149</v>
      </c>
      <c r="AM79">
        <v>0.40323333333333333</v>
      </c>
      <c r="AN79" t="s">
        <v>236</v>
      </c>
    </row>
    <row r="80" spans="9:40" x14ac:dyDescent="0.45">
      <c r="I80" t="s">
        <v>177</v>
      </c>
      <c r="J80" t="s">
        <v>170</v>
      </c>
      <c r="K80">
        <v>7.1057945497695375E-3</v>
      </c>
      <c r="L80" t="s">
        <v>161</v>
      </c>
      <c r="N80" t="s">
        <v>200</v>
      </c>
      <c r="O80" t="s">
        <v>170</v>
      </c>
      <c r="P80">
        <v>1.5052085817839135E-2</v>
      </c>
      <c r="Q80" t="s">
        <v>161</v>
      </c>
      <c r="S80" t="s">
        <v>222</v>
      </c>
      <c r="T80" t="s">
        <v>170</v>
      </c>
      <c r="U80">
        <v>1.5817499194442974E-2</v>
      </c>
      <c r="V80" t="s">
        <v>161</v>
      </c>
      <c r="AK80">
        <v>2039</v>
      </c>
      <c r="AL80" t="s">
        <v>153</v>
      </c>
      <c r="AM80">
        <v>0.34176666666666661</v>
      </c>
      <c r="AN80" t="s">
        <v>236</v>
      </c>
    </row>
    <row r="81" spans="9:40" x14ac:dyDescent="0.45">
      <c r="I81" t="s">
        <v>177</v>
      </c>
      <c r="J81" t="s">
        <v>171</v>
      </c>
      <c r="K81">
        <v>6.7701715935522571E-5</v>
      </c>
      <c r="L81" t="s">
        <v>161</v>
      </c>
      <c r="N81" t="s">
        <v>200</v>
      </c>
      <c r="O81" t="s">
        <v>171</v>
      </c>
      <c r="P81">
        <v>1.1160597856494582E-3</v>
      </c>
      <c r="Q81" t="s">
        <v>161</v>
      </c>
      <c r="S81" t="s">
        <v>222</v>
      </c>
      <c r="T81" t="s">
        <v>171</v>
      </c>
      <c r="U81">
        <v>1.1017284251906426E-3</v>
      </c>
      <c r="V81" t="s">
        <v>161</v>
      </c>
      <c r="AK81">
        <v>2039</v>
      </c>
      <c r="AL81" t="s">
        <v>155</v>
      </c>
      <c r="AM81">
        <v>0.35004999999999997</v>
      </c>
      <c r="AN81" t="s">
        <v>236</v>
      </c>
    </row>
    <row r="82" spans="9:40" x14ac:dyDescent="0.45">
      <c r="I82" t="s">
        <v>177</v>
      </c>
      <c r="J82" t="s">
        <v>172</v>
      </c>
      <c r="K82">
        <v>0</v>
      </c>
      <c r="L82" t="s">
        <v>161</v>
      </c>
      <c r="N82" t="s">
        <v>200</v>
      </c>
      <c r="O82" t="s">
        <v>172</v>
      </c>
      <c r="P82">
        <v>7.8560376098929727E-3</v>
      </c>
      <c r="Q82" t="s">
        <v>161</v>
      </c>
      <c r="S82" t="s">
        <v>222</v>
      </c>
      <c r="T82" t="s">
        <v>172</v>
      </c>
      <c r="U82">
        <v>7.8314368476490436E-3</v>
      </c>
      <c r="V82" t="s">
        <v>161</v>
      </c>
      <c r="AK82">
        <v>2039</v>
      </c>
      <c r="AL82" t="s">
        <v>157</v>
      </c>
      <c r="AM82">
        <v>0.36969999999999997</v>
      </c>
      <c r="AN82" t="s">
        <v>236</v>
      </c>
    </row>
    <row r="83" spans="9:40" x14ac:dyDescent="0.45">
      <c r="I83" t="s">
        <v>178</v>
      </c>
      <c r="J83" t="s">
        <v>160</v>
      </c>
      <c r="K83">
        <v>0.68457243384827371</v>
      </c>
      <c r="L83" t="s">
        <v>161</v>
      </c>
      <c r="N83" t="s">
        <v>201</v>
      </c>
      <c r="O83" t="s">
        <v>160</v>
      </c>
      <c r="P83">
        <v>0.4089291344920194</v>
      </c>
      <c r="Q83" t="s">
        <v>161</v>
      </c>
      <c r="S83" t="s">
        <v>223</v>
      </c>
      <c r="T83" t="s">
        <v>160</v>
      </c>
      <c r="U83">
        <v>0.40849199894803212</v>
      </c>
      <c r="V83" t="s">
        <v>161</v>
      </c>
      <c r="AK83">
        <v>2040</v>
      </c>
      <c r="AL83" t="s">
        <v>149</v>
      </c>
      <c r="AM83">
        <v>0.39627777777777778</v>
      </c>
      <c r="AN83" t="s">
        <v>236</v>
      </c>
    </row>
    <row r="84" spans="9:40" x14ac:dyDescent="0.45">
      <c r="I84" t="s">
        <v>178</v>
      </c>
      <c r="J84" t="s">
        <v>162</v>
      </c>
      <c r="K84">
        <v>6.6099828132180016E-2</v>
      </c>
      <c r="L84" t="s">
        <v>161</v>
      </c>
      <c r="N84" t="s">
        <v>201</v>
      </c>
      <c r="O84" t="s">
        <v>162</v>
      </c>
      <c r="P84">
        <v>2.5343047904334195E-2</v>
      </c>
      <c r="Q84" t="s">
        <v>161</v>
      </c>
      <c r="S84" t="s">
        <v>223</v>
      </c>
      <c r="T84" t="s">
        <v>162</v>
      </c>
      <c r="U84">
        <v>2.5716468552580442E-2</v>
      </c>
      <c r="V84" t="s">
        <v>161</v>
      </c>
      <c r="AK84">
        <v>2040</v>
      </c>
      <c r="AL84" t="s">
        <v>153</v>
      </c>
      <c r="AM84">
        <v>0.33959999999999996</v>
      </c>
      <c r="AN84" t="s">
        <v>236</v>
      </c>
    </row>
    <row r="85" spans="9:40" x14ac:dyDescent="0.45">
      <c r="I85" t="s">
        <v>178</v>
      </c>
      <c r="J85" t="s">
        <v>163</v>
      </c>
      <c r="K85">
        <v>0.1217681846189962</v>
      </c>
      <c r="L85" t="s">
        <v>161</v>
      </c>
      <c r="N85" t="s">
        <v>201</v>
      </c>
      <c r="O85" t="s">
        <v>163</v>
      </c>
      <c r="P85">
        <v>0.18582180075777915</v>
      </c>
      <c r="Q85" t="s">
        <v>161</v>
      </c>
      <c r="S85" t="s">
        <v>223</v>
      </c>
      <c r="T85" t="s">
        <v>163</v>
      </c>
      <c r="U85">
        <v>0.18223836766954896</v>
      </c>
      <c r="V85" t="s">
        <v>161</v>
      </c>
      <c r="AK85">
        <v>2040</v>
      </c>
      <c r="AL85" t="s">
        <v>155</v>
      </c>
      <c r="AM85">
        <v>0.36019999999999996</v>
      </c>
      <c r="AN85" t="s">
        <v>236</v>
      </c>
    </row>
    <row r="86" spans="9:40" x14ac:dyDescent="0.45">
      <c r="I86" t="s">
        <v>178</v>
      </c>
      <c r="J86" t="s">
        <v>164</v>
      </c>
      <c r="K86">
        <v>7.4456123724090037E-2</v>
      </c>
      <c r="L86" t="s">
        <v>161</v>
      </c>
      <c r="N86" t="s">
        <v>201</v>
      </c>
      <c r="O86" t="s">
        <v>164</v>
      </c>
      <c r="P86">
        <v>0.1017307847538611</v>
      </c>
      <c r="Q86" t="s">
        <v>161</v>
      </c>
      <c r="S86" t="s">
        <v>223</v>
      </c>
      <c r="T86" t="s">
        <v>164</v>
      </c>
      <c r="U86">
        <v>0.10094301241442748</v>
      </c>
      <c r="V86" t="s">
        <v>161</v>
      </c>
      <c r="AK86">
        <v>2040</v>
      </c>
      <c r="AL86" t="s">
        <v>157</v>
      </c>
      <c r="AM86">
        <v>0.3745</v>
      </c>
      <c r="AN86" t="s">
        <v>236</v>
      </c>
    </row>
    <row r="87" spans="9:40" x14ac:dyDescent="0.45">
      <c r="I87" t="s">
        <v>178</v>
      </c>
      <c r="J87" t="s">
        <v>165</v>
      </c>
      <c r="K87">
        <v>7.488991000700539E-3</v>
      </c>
      <c r="L87" t="s">
        <v>161</v>
      </c>
      <c r="N87" t="s">
        <v>201</v>
      </c>
      <c r="O87" t="s">
        <v>165</v>
      </c>
      <c r="P87">
        <v>6.066434023641638E-3</v>
      </c>
      <c r="Q87" t="s">
        <v>161</v>
      </c>
      <c r="S87" t="s">
        <v>223</v>
      </c>
      <c r="T87" t="s">
        <v>165</v>
      </c>
      <c r="U87">
        <v>6.5404689087397369E-3</v>
      </c>
      <c r="V87" t="s">
        <v>161</v>
      </c>
      <c r="AK87">
        <v>2041</v>
      </c>
      <c r="AL87" t="s">
        <v>149</v>
      </c>
      <c r="AM87">
        <v>0.39607777777777775</v>
      </c>
      <c r="AN87" t="s">
        <v>236</v>
      </c>
    </row>
    <row r="88" spans="9:40" x14ac:dyDescent="0.45">
      <c r="I88" t="s">
        <v>178</v>
      </c>
      <c r="J88" t="s">
        <v>166</v>
      </c>
      <c r="K88">
        <v>5.6844923568564925E-3</v>
      </c>
      <c r="L88" t="s">
        <v>161</v>
      </c>
      <c r="N88" t="s">
        <v>201</v>
      </c>
      <c r="O88" t="s">
        <v>166</v>
      </c>
      <c r="P88">
        <v>4.922132882918924E-2</v>
      </c>
      <c r="Q88" t="s">
        <v>161</v>
      </c>
      <c r="S88" t="s">
        <v>223</v>
      </c>
      <c r="T88" t="s">
        <v>166</v>
      </c>
      <c r="U88">
        <v>4.6797296889237318E-2</v>
      </c>
      <c r="V88" t="s">
        <v>161</v>
      </c>
      <c r="AK88">
        <v>2041</v>
      </c>
      <c r="AL88" t="s">
        <v>153</v>
      </c>
      <c r="AM88">
        <v>0.33723333333333333</v>
      </c>
      <c r="AN88" t="s">
        <v>236</v>
      </c>
    </row>
    <row r="89" spans="9:40" x14ac:dyDescent="0.45">
      <c r="I89" t="s">
        <v>178</v>
      </c>
      <c r="J89" t="s">
        <v>167</v>
      </c>
      <c r="K89">
        <v>3.2704709407138988E-2</v>
      </c>
      <c r="L89" t="s">
        <v>161</v>
      </c>
      <c r="N89" t="s">
        <v>201</v>
      </c>
      <c r="O89" t="s">
        <v>167</v>
      </c>
      <c r="P89">
        <v>0.13047591268318534</v>
      </c>
      <c r="Q89" t="s">
        <v>161</v>
      </c>
      <c r="S89" t="s">
        <v>223</v>
      </c>
      <c r="T89" t="s">
        <v>167</v>
      </c>
      <c r="U89">
        <v>0.13743116468105854</v>
      </c>
      <c r="V89" t="s">
        <v>161</v>
      </c>
      <c r="AK89">
        <v>2041</v>
      </c>
      <c r="AL89" t="s">
        <v>155</v>
      </c>
      <c r="AM89">
        <v>0.35309999999999997</v>
      </c>
      <c r="AN89" t="s">
        <v>236</v>
      </c>
    </row>
    <row r="90" spans="9:40" x14ac:dyDescent="0.45">
      <c r="I90" t="s">
        <v>178</v>
      </c>
      <c r="J90" t="s">
        <v>168</v>
      </c>
      <c r="K90">
        <v>2.7436107815014044E-3</v>
      </c>
      <c r="L90" t="s">
        <v>161</v>
      </c>
      <c r="N90" t="s">
        <v>201</v>
      </c>
      <c r="O90" t="s">
        <v>168</v>
      </c>
      <c r="P90">
        <v>7.5254590024358787E-3</v>
      </c>
      <c r="Q90" t="s">
        <v>161</v>
      </c>
      <c r="S90" t="s">
        <v>223</v>
      </c>
      <c r="T90" t="s">
        <v>168</v>
      </c>
      <c r="U90">
        <v>8.2441218739209027E-3</v>
      </c>
      <c r="V90" t="s">
        <v>161</v>
      </c>
      <c r="AK90">
        <v>2041</v>
      </c>
      <c r="AL90" t="s">
        <v>157</v>
      </c>
      <c r="AM90">
        <v>0.35730000000000001</v>
      </c>
      <c r="AN90" t="s">
        <v>236</v>
      </c>
    </row>
    <row r="91" spans="9:40" x14ac:dyDescent="0.45">
      <c r="I91" t="s">
        <v>178</v>
      </c>
      <c r="J91" t="s">
        <v>169</v>
      </c>
      <c r="K91">
        <v>0</v>
      </c>
      <c r="L91" t="s">
        <v>161</v>
      </c>
      <c r="N91" t="s">
        <v>201</v>
      </c>
      <c r="O91" t="s">
        <v>169</v>
      </c>
      <c r="P91">
        <v>5.7841772094375909E-2</v>
      </c>
      <c r="Q91" t="s">
        <v>161</v>
      </c>
      <c r="S91" t="s">
        <v>223</v>
      </c>
      <c r="T91" t="s">
        <v>169</v>
      </c>
      <c r="U91">
        <v>5.7033710518094083E-2</v>
      </c>
      <c r="V91" t="s">
        <v>161</v>
      </c>
      <c r="AK91">
        <v>2042</v>
      </c>
      <c r="AL91" t="s">
        <v>149</v>
      </c>
      <c r="AM91">
        <v>0.4000999999999999</v>
      </c>
      <c r="AN91" t="s">
        <v>236</v>
      </c>
    </row>
    <row r="92" spans="9:40" x14ac:dyDescent="0.45">
      <c r="I92" t="s">
        <v>178</v>
      </c>
      <c r="J92" t="s">
        <v>170</v>
      </c>
      <c r="K92">
        <v>4.1148439064803682E-3</v>
      </c>
      <c r="L92" t="s">
        <v>161</v>
      </c>
      <c r="N92" t="s">
        <v>201</v>
      </c>
      <c r="O92" t="s">
        <v>170</v>
      </c>
      <c r="P92">
        <v>1.7170050224778393E-2</v>
      </c>
      <c r="Q92" t="s">
        <v>161</v>
      </c>
      <c r="S92" t="s">
        <v>223</v>
      </c>
      <c r="T92" t="s">
        <v>170</v>
      </c>
      <c r="U92">
        <v>1.5877543343442976E-2</v>
      </c>
      <c r="V92" t="s">
        <v>161</v>
      </c>
      <c r="AK92">
        <v>2042</v>
      </c>
      <c r="AL92" t="s">
        <v>153</v>
      </c>
      <c r="AM92">
        <v>0.33936666666666665</v>
      </c>
      <c r="AN92" t="s">
        <v>236</v>
      </c>
    </row>
    <row r="93" spans="9:40" x14ac:dyDescent="0.45">
      <c r="I93" t="s">
        <v>178</v>
      </c>
      <c r="J93" t="s">
        <v>171</v>
      </c>
      <c r="K93">
        <v>3.6678222378211812E-4</v>
      </c>
      <c r="L93" t="s">
        <v>161</v>
      </c>
      <c r="N93" t="s">
        <v>201</v>
      </c>
      <c r="O93" t="s">
        <v>171</v>
      </c>
      <c r="P93">
        <v>1.2204039217171665E-3</v>
      </c>
      <c r="Q93" t="s">
        <v>161</v>
      </c>
      <c r="S93" t="s">
        <v>223</v>
      </c>
      <c r="T93" t="s">
        <v>171</v>
      </c>
      <c r="U93">
        <v>1.3779820516964458E-3</v>
      </c>
      <c r="V93" t="s">
        <v>161</v>
      </c>
      <c r="AK93">
        <v>2042</v>
      </c>
      <c r="AL93" t="s">
        <v>155</v>
      </c>
      <c r="AM93">
        <v>0.36675000000000002</v>
      </c>
      <c r="AN93" t="s">
        <v>236</v>
      </c>
    </row>
    <row r="94" spans="9:40" x14ac:dyDescent="0.45">
      <c r="I94" t="s">
        <v>178</v>
      </c>
      <c r="J94" t="s">
        <v>172</v>
      </c>
      <c r="K94">
        <v>0</v>
      </c>
      <c r="L94" t="s">
        <v>161</v>
      </c>
      <c r="N94" t="s">
        <v>201</v>
      </c>
      <c r="O94" t="s">
        <v>172</v>
      </c>
      <c r="P94">
        <v>8.6538713126791331E-3</v>
      </c>
      <c r="Q94" t="s">
        <v>161</v>
      </c>
      <c r="S94" t="s">
        <v>223</v>
      </c>
      <c r="T94" t="s">
        <v>172</v>
      </c>
      <c r="U94">
        <v>9.3078641492243229E-3</v>
      </c>
      <c r="V94" t="s">
        <v>161</v>
      </c>
      <c r="AK94">
        <v>2042</v>
      </c>
      <c r="AL94" t="s">
        <v>157</v>
      </c>
      <c r="AM94">
        <v>0.37919999999999998</v>
      </c>
      <c r="AN94" t="s">
        <v>236</v>
      </c>
    </row>
    <row r="95" spans="9:40" x14ac:dyDescent="0.45">
      <c r="I95" t="s">
        <v>179</v>
      </c>
      <c r="J95" t="s">
        <v>160</v>
      </c>
      <c r="K95">
        <v>0.6867383429784224</v>
      </c>
      <c r="L95" t="s">
        <v>161</v>
      </c>
      <c r="N95" t="s">
        <v>202</v>
      </c>
      <c r="O95" t="s">
        <v>160</v>
      </c>
      <c r="P95">
        <v>0.39810318724325711</v>
      </c>
      <c r="Q95" t="s">
        <v>161</v>
      </c>
      <c r="S95" t="s">
        <v>224</v>
      </c>
      <c r="T95" t="s">
        <v>160</v>
      </c>
      <c r="U95">
        <v>0.41823229419614377</v>
      </c>
      <c r="V95" t="s">
        <v>161</v>
      </c>
      <c r="AK95">
        <v>2043</v>
      </c>
      <c r="AL95" t="s">
        <v>149</v>
      </c>
      <c r="AM95">
        <v>0.40566666666666662</v>
      </c>
      <c r="AN95" t="s">
        <v>236</v>
      </c>
    </row>
    <row r="96" spans="9:40" x14ac:dyDescent="0.45">
      <c r="I96" t="s">
        <v>179</v>
      </c>
      <c r="J96" t="s">
        <v>162</v>
      </c>
      <c r="K96">
        <v>6.848544419491695E-2</v>
      </c>
      <c r="L96" t="s">
        <v>161</v>
      </c>
      <c r="N96" t="s">
        <v>202</v>
      </c>
      <c r="O96" t="s">
        <v>162</v>
      </c>
      <c r="P96">
        <v>2.4823510555702376E-2</v>
      </c>
      <c r="Q96" t="s">
        <v>161</v>
      </c>
      <c r="S96" t="s">
        <v>224</v>
      </c>
      <c r="T96" t="s">
        <v>162</v>
      </c>
      <c r="U96">
        <v>2.6135740777039156E-2</v>
      </c>
      <c r="V96" t="s">
        <v>161</v>
      </c>
      <c r="AK96">
        <v>2043</v>
      </c>
      <c r="AL96" t="s">
        <v>153</v>
      </c>
      <c r="AM96">
        <v>0.33693333333333331</v>
      </c>
      <c r="AN96" t="s">
        <v>236</v>
      </c>
    </row>
    <row r="97" spans="9:40" x14ac:dyDescent="0.45">
      <c r="I97" t="s">
        <v>179</v>
      </c>
      <c r="J97" t="s">
        <v>163</v>
      </c>
      <c r="K97">
        <v>0.11881546677956485</v>
      </c>
      <c r="L97" t="s">
        <v>161</v>
      </c>
      <c r="N97" t="s">
        <v>202</v>
      </c>
      <c r="O97" t="s">
        <v>163</v>
      </c>
      <c r="P97">
        <v>0.18334267452354991</v>
      </c>
      <c r="Q97" t="s">
        <v>161</v>
      </c>
      <c r="S97" t="s">
        <v>224</v>
      </c>
      <c r="T97" t="s">
        <v>163</v>
      </c>
      <c r="U97">
        <v>0.192690709070893</v>
      </c>
      <c r="V97" t="s">
        <v>161</v>
      </c>
      <c r="AK97">
        <v>2043</v>
      </c>
      <c r="AL97" t="s">
        <v>155</v>
      </c>
      <c r="AM97">
        <v>0.32569999999999999</v>
      </c>
      <c r="AN97" t="s">
        <v>236</v>
      </c>
    </row>
    <row r="98" spans="9:40" x14ac:dyDescent="0.45">
      <c r="I98" t="s">
        <v>179</v>
      </c>
      <c r="J98" t="s">
        <v>164</v>
      </c>
      <c r="K98">
        <v>7.6190853414743034E-2</v>
      </c>
      <c r="L98" t="s">
        <v>161</v>
      </c>
      <c r="N98" t="s">
        <v>202</v>
      </c>
      <c r="O98" t="s">
        <v>164</v>
      </c>
      <c r="P98">
        <v>0.10332761909900218</v>
      </c>
      <c r="Q98" t="s">
        <v>161</v>
      </c>
      <c r="S98" t="s">
        <v>224</v>
      </c>
      <c r="T98" t="s">
        <v>164</v>
      </c>
      <c r="U98">
        <v>9.4430190530064378E-2</v>
      </c>
      <c r="V98" t="s">
        <v>161</v>
      </c>
      <c r="AK98">
        <v>2043</v>
      </c>
      <c r="AL98" t="s">
        <v>157</v>
      </c>
      <c r="AM98">
        <v>0.34720000000000001</v>
      </c>
      <c r="AN98" t="s">
        <v>236</v>
      </c>
    </row>
    <row r="99" spans="9:40" x14ac:dyDescent="0.45">
      <c r="I99" t="s">
        <v>179</v>
      </c>
      <c r="J99" t="s">
        <v>165</v>
      </c>
      <c r="K99">
        <v>7.1893038681224266E-3</v>
      </c>
      <c r="L99" t="s">
        <v>161</v>
      </c>
      <c r="N99" t="s">
        <v>202</v>
      </c>
      <c r="O99" t="s">
        <v>165</v>
      </c>
      <c r="P99">
        <v>6.1372818239645568E-3</v>
      </c>
      <c r="Q99" t="s">
        <v>161</v>
      </c>
      <c r="S99" t="s">
        <v>224</v>
      </c>
      <c r="T99" t="s">
        <v>165</v>
      </c>
      <c r="U99">
        <v>5.9796392552988282E-3</v>
      </c>
      <c r="V99" t="s">
        <v>161</v>
      </c>
      <c r="AK99">
        <v>2044</v>
      </c>
      <c r="AL99" t="s">
        <v>149</v>
      </c>
      <c r="AM99">
        <v>0.40489999999999998</v>
      </c>
      <c r="AN99" t="s">
        <v>236</v>
      </c>
    </row>
    <row r="100" spans="9:40" x14ac:dyDescent="0.45">
      <c r="I100" t="s">
        <v>179</v>
      </c>
      <c r="J100" t="s">
        <v>166</v>
      </c>
      <c r="K100">
        <v>4.8338773649695497E-3</v>
      </c>
      <c r="L100" t="s">
        <v>161</v>
      </c>
      <c r="N100" t="s">
        <v>202</v>
      </c>
      <c r="O100" t="s">
        <v>166</v>
      </c>
      <c r="P100">
        <v>5.0464195657505991E-2</v>
      </c>
      <c r="Q100" t="s">
        <v>161</v>
      </c>
      <c r="S100" t="s">
        <v>224</v>
      </c>
      <c r="T100" t="s">
        <v>166</v>
      </c>
      <c r="U100">
        <v>4.3930893300696432E-2</v>
      </c>
      <c r="V100" t="s">
        <v>161</v>
      </c>
      <c r="AK100">
        <v>2044</v>
      </c>
      <c r="AL100" t="s">
        <v>153</v>
      </c>
      <c r="AM100">
        <v>0.35416666666666669</v>
      </c>
      <c r="AN100" t="s">
        <v>236</v>
      </c>
    </row>
    <row r="101" spans="9:40" x14ac:dyDescent="0.45">
      <c r="I101" t="s">
        <v>179</v>
      </c>
      <c r="J101" t="s">
        <v>167</v>
      </c>
      <c r="K101">
        <v>3.2273935058296205E-2</v>
      </c>
      <c r="L101" t="s">
        <v>161</v>
      </c>
      <c r="N101" t="s">
        <v>202</v>
      </c>
      <c r="O101" t="s">
        <v>167</v>
      </c>
      <c r="P101">
        <v>0.13334432111438896</v>
      </c>
      <c r="Q101" t="s">
        <v>161</v>
      </c>
      <c r="S101" t="s">
        <v>224</v>
      </c>
      <c r="T101" t="s">
        <v>167</v>
      </c>
      <c r="U101">
        <v>0.13219921701389992</v>
      </c>
      <c r="V101" t="s">
        <v>161</v>
      </c>
      <c r="AK101">
        <v>2044</v>
      </c>
      <c r="AL101" t="s">
        <v>155</v>
      </c>
      <c r="AM101">
        <v>0.35575000000000001</v>
      </c>
      <c r="AN101" t="s">
        <v>236</v>
      </c>
    </row>
    <row r="102" spans="9:40" x14ac:dyDescent="0.45">
      <c r="I102" t="s">
        <v>179</v>
      </c>
      <c r="J102" t="s">
        <v>168</v>
      </c>
      <c r="K102">
        <v>2.0300400180051259E-3</v>
      </c>
      <c r="L102" t="s">
        <v>161</v>
      </c>
      <c r="N102" t="s">
        <v>202</v>
      </c>
      <c r="O102" t="s">
        <v>168</v>
      </c>
      <c r="P102">
        <v>8.4007665965861074E-3</v>
      </c>
      <c r="Q102" t="s">
        <v>161</v>
      </c>
      <c r="S102" t="s">
        <v>224</v>
      </c>
      <c r="T102" t="s">
        <v>168</v>
      </c>
      <c r="U102">
        <v>7.8656348508967851E-3</v>
      </c>
      <c r="V102" t="s">
        <v>161</v>
      </c>
      <c r="AK102">
        <v>2044</v>
      </c>
      <c r="AL102" t="s">
        <v>157</v>
      </c>
      <c r="AM102">
        <v>0.37430000000000002</v>
      </c>
      <c r="AN102" t="s">
        <v>236</v>
      </c>
    </row>
    <row r="103" spans="9:40" x14ac:dyDescent="0.45">
      <c r="I103" t="s">
        <v>179</v>
      </c>
      <c r="J103" t="s">
        <v>169</v>
      </c>
      <c r="K103">
        <v>0</v>
      </c>
      <c r="L103" t="s">
        <v>161</v>
      </c>
      <c r="N103" t="s">
        <v>202</v>
      </c>
      <c r="O103" t="s">
        <v>169</v>
      </c>
      <c r="P103">
        <v>6.3382616303600384E-2</v>
      </c>
      <c r="Q103" t="s">
        <v>161</v>
      </c>
      <c r="S103" t="s">
        <v>224</v>
      </c>
      <c r="T103" t="s">
        <v>169</v>
      </c>
      <c r="U103">
        <v>5.4852525937347872E-2</v>
      </c>
      <c r="V103" t="s">
        <v>161</v>
      </c>
      <c r="AK103">
        <v>2045</v>
      </c>
      <c r="AL103" t="s">
        <v>149</v>
      </c>
      <c r="AM103">
        <v>0.39731111111111111</v>
      </c>
      <c r="AN103" t="s">
        <v>236</v>
      </c>
    </row>
    <row r="104" spans="9:40" x14ac:dyDescent="0.45">
      <c r="I104" t="s">
        <v>179</v>
      </c>
      <c r="J104" t="s">
        <v>170</v>
      </c>
      <c r="K104">
        <v>3.1514726952607147E-3</v>
      </c>
      <c r="L104" t="s">
        <v>161</v>
      </c>
      <c r="N104" t="s">
        <v>202</v>
      </c>
      <c r="O104" t="s">
        <v>170</v>
      </c>
      <c r="P104">
        <v>1.8935721758733967E-2</v>
      </c>
      <c r="Q104" t="s">
        <v>161</v>
      </c>
      <c r="S104" t="s">
        <v>224</v>
      </c>
      <c r="T104" t="s">
        <v>170</v>
      </c>
      <c r="U104">
        <v>1.4305800999562092E-2</v>
      </c>
      <c r="V104" t="s">
        <v>161</v>
      </c>
      <c r="AK104">
        <v>2045</v>
      </c>
      <c r="AL104" t="s">
        <v>153</v>
      </c>
      <c r="AM104">
        <v>0.33239999999999997</v>
      </c>
      <c r="AN104" t="s">
        <v>236</v>
      </c>
    </row>
    <row r="105" spans="9:40" x14ac:dyDescent="0.45">
      <c r="I105" t="s">
        <v>179</v>
      </c>
      <c r="J105" t="s">
        <v>171</v>
      </c>
      <c r="K105">
        <v>2.9126362769765161E-4</v>
      </c>
      <c r="L105" t="s">
        <v>161</v>
      </c>
      <c r="N105" t="s">
        <v>202</v>
      </c>
      <c r="O105" t="s">
        <v>171</v>
      </c>
      <c r="P105">
        <v>1.1519654041183022E-3</v>
      </c>
      <c r="Q105" t="s">
        <v>161</v>
      </c>
      <c r="S105" t="s">
        <v>224</v>
      </c>
      <c r="T105" t="s">
        <v>171</v>
      </c>
      <c r="U105">
        <v>1.1694323557915848E-3</v>
      </c>
      <c r="V105" t="s">
        <v>161</v>
      </c>
      <c r="AK105">
        <v>2045</v>
      </c>
      <c r="AL105" t="s">
        <v>155</v>
      </c>
      <c r="AM105">
        <v>0.33829999999999999</v>
      </c>
      <c r="AN105" t="s">
        <v>236</v>
      </c>
    </row>
    <row r="106" spans="9:40" x14ac:dyDescent="0.45">
      <c r="I106" t="s">
        <v>179</v>
      </c>
      <c r="J106" t="s">
        <v>172</v>
      </c>
      <c r="K106">
        <v>0</v>
      </c>
      <c r="L106" t="s">
        <v>161</v>
      </c>
      <c r="N106" t="s">
        <v>202</v>
      </c>
      <c r="O106" t="s">
        <v>172</v>
      </c>
      <c r="P106">
        <v>8.5861399195887363E-3</v>
      </c>
      <c r="Q106" t="s">
        <v>161</v>
      </c>
      <c r="S106" t="s">
        <v>224</v>
      </c>
      <c r="T106" t="s">
        <v>172</v>
      </c>
      <c r="U106">
        <v>8.2079217123681974E-3</v>
      </c>
      <c r="V106" t="s">
        <v>161</v>
      </c>
      <c r="AK106">
        <v>2045</v>
      </c>
      <c r="AL106" t="s">
        <v>157</v>
      </c>
      <c r="AM106">
        <v>0.3584</v>
      </c>
      <c r="AN106" t="s">
        <v>236</v>
      </c>
    </row>
    <row r="107" spans="9:40" x14ac:dyDescent="0.45">
      <c r="I107" t="s">
        <v>180</v>
      </c>
      <c r="J107" t="s">
        <v>160</v>
      </c>
      <c r="K107">
        <v>0.67477488356990334</v>
      </c>
      <c r="L107" t="s">
        <v>161</v>
      </c>
      <c r="N107" t="s">
        <v>203</v>
      </c>
      <c r="O107" t="s">
        <v>160</v>
      </c>
      <c r="P107">
        <v>0.41033295193311714</v>
      </c>
      <c r="Q107" t="s">
        <v>161</v>
      </c>
      <c r="S107" t="s">
        <v>225</v>
      </c>
      <c r="T107" t="s">
        <v>160</v>
      </c>
      <c r="U107">
        <v>0.41812513909254384</v>
      </c>
      <c r="V107" t="s">
        <v>161</v>
      </c>
      <c r="AK107">
        <v>2046</v>
      </c>
      <c r="AL107" t="s">
        <v>149</v>
      </c>
      <c r="AM107">
        <v>0.40068888888888882</v>
      </c>
      <c r="AN107" t="s">
        <v>236</v>
      </c>
    </row>
    <row r="108" spans="9:40" x14ac:dyDescent="0.45">
      <c r="I108" t="s">
        <v>180</v>
      </c>
      <c r="J108" t="s">
        <v>162</v>
      </c>
      <c r="K108">
        <v>7.1459243273595513E-2</v>
      </c>
      <c r="L108" t="s">
        <v>161</v>
      </c>
      <c r="N108" t="s">
        <v>203</v>
      </c>
      <c r="O108" t="s">
        <v>162</v>
      </c>
      <c r="P108">
        <v>2.5073549355315243E-2</v>
      </c>
      <c r="Q108" t="s">
        <v>161</v>
      </c>
      <c r="S108" t="s">
        <v>225</v>
      </c>
      <c r="T108" t="s">
        <v>162</v>
      </c>
      <c r="U108">
        <v>2.5982221678295923E-2</v>
      </c>
      <c r="V108" t="s">
        <v>161</v>
      </c>
      <c r="AK108">
        <v>2046</v>
      </c>
      <c r="AL108" t="s">
        <v>153</v>
      </c>
      <c r="AM108">
        <v>0.35180000000000006</v>
      </c>
      <c r="AN108" t="s">
        <v>236</v>
      </c>
    </row>
    <row r="109" spans="9:40" x14ac:dyDescent="0.45">
      <c r="I109" t="s">
        <v>180</v>
      </c>
      <c r="J109" t="s">
        <v>163</v>
      </c>
      <c r="K109">
        <v>0.13146103990181432</v>
      </c>
      <c r="L109" t="s">
        <v>161</v>
      </c>
      <c r="N109" t="s">
        <v>203</v>
      </c>
      <c r="O109" t="s">
        <v>163</v>
      </c>
      <c r="P109">
        <v>0.18528935812572964</v>
      </c>
      <c r="Q109" t="s">
        <v>161</v>
      </c>
      <c r="S109" t="s">
        <v>225</v>
      </c>
      <c r="T109" t="s">
        <v>163</v>
      </c>
      <c r="U109">
        <v>0.1888737526741299</v>
      </c>
      <c r="V109" t="s">
        <v>161</v>
      </c>
      <c r="AK109">
        <v>2046</v>
      </c>
      <c r="AL109" t="s">
        <v>155</v>
      </c>
      <c r="AM109">
        <v>0.32989999999999997</v>
      </c>
      <c r="AN109" t="s">
        <v>236</v>
      </c>
    </row>
    <row r="110" spans="9:40" x14ac:dyDescent="0.45">
      <c r="I110" t="s">
        <v>180</v>
      </c>
      <c r="J110" t="s">
        <v>164</v>
      </c>
      <c r="K110">
        <v>7.3655136591133014E-2</v>
      </c>
      <c r="L110" t="s">
        <v>161</v>
      </c>
      <c r="N110" t="s">
        <v>203</v>
      </c>
      <c r="O110" t="s">
        <v>164</v>
      </c>
      <c r="P110">
        <v>0.10044918143902726</v>
      </c>
      <c r="Q110" t="s">
        <v>161</v>
      </c>
      <c r="S110" t="s">
        <v>225</v>
      </c>
      <c r="T110" t="s">
        <v>164</v>
      </c>
      <c r="U110">
        <v>9.2730447641210939E-2</v>
      </c>
      <c r="V110" t="s">
        <v>161</v>
      </c>
      <c r="AK110">
        <v>2046</v>
      </c>
      <c r="AL110" t="s">
        <v>157</v>
      </c>
      <c r="AM110">
        <v>0.33829999999999999</v>
      </c>
      <c r="AN110" t="s">
        <v>236</v>
      </c>
    </row>
    <row r="111" spans="9:40" x14ac:dyDescent="0.45">
      <c r="I111" t="s">
        <v>180</v>
      </c>
      <c r="J111" t="s">
        <v>165</v>
      </c>
      <c r="K111">
        <v>7.141911815157968E-3</v>
      </c>
      <c r="L111" t="s">
        <v>161</v>
      </c>
      <c r="N111" t="s">
        <v>203</v>
      </c>
      <c r="O111" t="s">
        <v>165</v>
      </c>
      <c r="P111">
        <v>6.057740081623744E-3</v>
      </c>
      <c r="Q111" t="s">
        <v>161</v>
      </c>
      <c r="S111" t="s">
        <v>225</v>
      </c>
      <c r="T111" t="s">
        <v>165</v>
      </c>
      <c r="U111">
        <v>5.7517332129725651E-3</v>
      </c>
      <c r="V111" t="s">
        <v>161</v>
      </c>
      <c r="AK111">
        <v>2047</v>
      </c>
      <c r="AL111" t="s">
        <v>149</v>
      </c>
      <c r="AM111">
        <v>0.4027</v>
      </c>
      <c r="AN111" t="s">
        <v>236</v>
      </c>
    </row>
    <row r="112" spans="9:40" x14ac:dyDescent="0.45">
      <c r="I112" t="s">
        <v>180</v>
      </c>
      <c r="J112" t="s">
        <v>166</v>
      </c>
      <c r="K112">
        <v>5.5336787488868416E-3</v>
      </c>
      <c r="L112" t="s">
        <v>161</v>
      </c>
      <c r="N112" t="s">
        <v>203</v>
      </c>
      <c r="O112" t="s">
        <v>166</v>
      </c>
      <c r="P112">
        <v>4.6784700894381609E-2</v>
      </c>
      <c r="Q112" t="s">
        <v>161</v>
      </c>
      <c r="S112" t="s">
        <v>225</v>
      </c>
      <c r="T112" t="s">
        <v>166</v>
      </c>
      <c r="U112">
        <v>4.3816889866953521E-2</v>
      </c>
      <c r="V112" t="s">
        <v>161</v>
      </c>
      <c r="AK112">
        <v>2047</v>
      </c>
      <c r="AL112" t="s">
        <v>153</v>
      </c>
      <c r="AM112">
        <v>0.33673333333333333</v>
      </c>
      <c r="AN112" t="s">
        <v>236</v>
      </c>
    </row>
    <row r="113" spans="9:40" x14ac:dyDescent="0.45">
      <c r="I113" t="s">
        <v>180</v>
      </c>
      <c r="J113" t="s">
        <v>167</v>
      </c>
      <c r="K113">
        <v>3.0499644327447863E-2</v>
      </c>
      <c r="L113" t="s">
        <v>161</v>
      </c>
      <c r="N113" t="s">
        <v>203</v>
      </c>
      <c r="O113" t="s">
        <v>167</v>
      </c>
      <c r="P113">
        <v>0.13852870547526278</v>
      </c>
      <c r="Q113" t="s">
        <v>161</v>
      </c>
      <c r="S113" t="s">
        <v>225</v>
      </c>
      <c r="T113" t="s">
        <v>167</v>
      </c>
      <c r="U113">
        <v>0.13634197132022971</v>
      </c>
      <c r="V113" t="s">
        <v>161</v>
      </c>
      <c r="AK113">
        <v>2047</v>
      </c>
      <c r="AL113" t="s">
        <v>155</v>
      </c>
      <c r="AM113">
        <v>0.3367</v>
      </c>
      <c r="AN113" t="s">
        <v>236</v>
      </c>
    </row>
    <row r="114" spans="9:40" x14ac:dyDescent="0.45">
      <c r="I114" t="s">
        <v>180</v>
      </c>
      <c r="J114" t="s">
        <v>168</v>
      </c>
      <c r="K114">
        <v>2.3769430735762946E-3</v>
      </c>
      <c r="L114" t="s">
        <v>161</v>
      </c>
      <c r="N114" t="s">
        <v>203</v>
      </c>
      <c r="O114" t="s">
        <v>168</v>
      </c>
      <c r="P114">
        <v>7.8419588681672269E-3</v>
      </c>
      <c r="Q114" t="s">
        <v>161</v>
      </c>
      <c r="S114" t="s">
        <v>225</v>
      </c>
      <c r="T114" t="s">
        <v>168</v>
      </c>
      <c r="U114">
        <v>8.2912638887573196E-3</v>
      </c>
      <c r="V114" t="s">
        <v>161</v>
      </c>
      <c r="AK114">
        <v>2047</v>
      </c>
      <c r="AL114" t="s">
        <v>157</v>
      </c>
      <c r="AM114">
        <v>0.33610000000000001</v>
      </c>
      <c r="AN114" t="s">
        <v>236</v>
      </c>
    </row>
    <row r="115" spans="9:40" x14ac:dyDescent="0.45">
      <c r="I115" t="s">
        <v>180</v>
      </c>
      <c r="J115" t="s">
        <v>169</v>
      </c>
      <c r="K115">
        <v>0</v>
      </c>
      <c r="L115" t="s">
        <v>161</v>
      </c>
      <c r="N115" t="s">
        <v>203</v>
      </c>
      <c r="O115" t="s">
        <v>169</v>
      </c>
      <c r="P115">
        <v>5.5716659976121817E-2</v>
      </c>
      <c r="Q115" t="s">
        <v>161</v>
      </c>
      <c r="S115" t="s">
        <v>225</v>
      </c>
      <c r="T115" t="s">
        <v>169</v>
      </c>
      <c r="U115">
        <v>5.67744627462623E-2</v>
      </c>
      <c r="V115" t="s">
        <v>161</v>
      </c>
      <c r="AK115">
        <v>2048</v>
      </c>
      <c r="AL115" t="s">
        <v>149</v>
      </c>
      <c r="AM115">
        <v>0.40720000000000006</v>
      </c>
      <c r="AN115" t="s">
        <v>236</v>
      </c>
    </row>
    <row r="116" spans="9:40" x14ac:dyDescent="0.45">
      <c r="I116" t="s">
        <v>180</v>
      </c>
      <c r="J116" t="s">
        <v>170</v>
      </c>
      <c r="K116">
        <v>2.8873382237954055E-3</v>
      </c>
      <c r="L116" t="s">
        <v>161</v>
      </c>
      <c r="N116" t="s">
        <v>203</v>
      </c>
      <c r="O116" t="s">
        <v>170</v>
      </c>
      <c r="P116">
        <v>1.4512473254793847E-2</v>
      </c>
      <c r="Q116" t="s">
        <v>161</v>
      </c>
      <c r="S116" t="s">
        <v>225</v>
      </c>
      <c r="T116" t="s">
        <v>170</v>
      </c>
      <c r="U116">
        <v>1.431909775948334E-2</v>
      </c>
      <c r="V116" t="s">
        <v>161</v>
      </c>
      <c r="AK116">
        <v>2048</v>
      </c>
      <c r="AL116" t="s">
        <v>153</v>
      </c>
      <c r="AM116">
        <v>0.34603333333333336</v>
      </c>
      <c r="AN116" t="s">
        <v>236</v>
      </c>
    </row>
    <row r="117" spans="9:40" x14ac:dyDescent="0.45">
      <c r="I117" t="s">
        <v>180</v>
      </c>
      <c r="J117" t="s">
        <v>171</v>
      </c>
      <c r="K117">
        <v>2.1018047468612783E-4</v>
      </c>
      <c r="L117" t="s">
        <v>161</v>
      </c>
      <c r="N117" t="s">
        <v>203</v>
      </c>
      <c r="O117" t="s">
        <v>171</v>
      </c>
      <c r="P117">
        <v>1.1145593204211753E-3</v>
      </c>
      <c r="Q117" t="s">
        <v>161</v>
      </c>
      <c r="S117" t="s">
        <v>225</v>
      </c>
      <c r="T117" t="s">
        <v>171</v>
      </c>
      <c r="U117">
        <v>9.805380714121778E-4</v>
      </c>
      <c r="V117" t="s">
        <v>161</v>
      </c>
      <c r="AK117">
        <v>2048</v>
      </c>
      <c r="AL117" t="s">
        <v>155</v>
      </c>
      <c r="AM117">
        <v>0.34609999999999996</v>
      </c>
      <c r="AN117" t="s">
        <v>236</v>
      </c>
    </row>
    <row r="118" spans="9:40" x14ac:dyDescent="0.45">
      <c r="I118" t="s">
        <v>180</v>
      </c>
      <c r="J118" t="s">
        <v>172</v>
      </c>
      <c r="K118">
        <v>0</v>
      </c>
      <c r="L118" t="s">
        <v>161</v>
      </c>
      <c r="N118" t="s">
        <v>203</v>
      </c>
      <c r="O118" t="s">
        <v>172</v>
      </c>
      <c r="P118">
        <v>8.2981612760422707E-3</v>
      </c>
      <c r="Q118" t="s">
        <v>161</v>
      </c>
      <c r="S118" t="s">
        <v>225</v>
      </c>
      <c r="T118" t="s">
        <v>172</v>
      </c>
      <c r="U118">
        <v>8.0124820477493475E-3</v>
      </c>
      <c r="V118" t="s">
        <v>161</v>
      </c>
      <c r="AK118">
        <v>2048</v>
      </c>
      <c r="AL118" t="s">
        <v>157</v>
      </c>
      <c r="AM118">
        <v>0.36759999999999998</v>
      </c>
      <c r="AN118" t="s">
        <v>236</v>
      </c>
    </row>
    <row r="119" spans="9:40" x14ac:dyDescent="0.45">
      <c r="I119" t="s">
        <v>181</v>
      </c>
      <c r="J119" t="s">
        <v>160</v>
      </c>
      <c r="K119">
        <v>0.67230466876024531</v>
      </c>
      <c r="L119" t="s">
        <v>161</v>
      </c>
      <c r="N119" t="s">
        <v>204</v>
      </c>
      <c r="O119" t="s">
        <v>160</v>
      </c>
      <c r="P119">
        <v>0.39757270505557496</v>
      </c>
      <c r="Q119" t="s">
        <v>161</v>
      </c>
      <c r="S119" t="s">
        <v>226</v>
      </c>
      <c r="T119" t="s">
        <v>160</v>
      </c>
      <c r="U119">
        <v>0.4073046851023096</v>
      </c>
      <c r="V119" t="s">
        <v>161</v>
      </c>
      <c r="AK119">
        <v>2049</v>
      </c>
      <c r="AL119" t="s">
        <v>149</v>
      </c>
      <c r="AM119">
        <v>0.40226666666666672</v>
      </c>
      <c r="AN119" t="s">
        <v>236</v>
      </c>
    </row>
    <row r="120" spans="9:40" x14ac:dyDescent="0.45">
      <c r="I120" t="s">
        <v>181</v>
      </c>
      <c r="J120" t="s">
        <v>162</v>
      </c>
      <c r="K120">
        <v>6.4249729900999766E-2</v>
      </c>
      <c r="L120" t="s">
        <v>161</v>
      </c>
      <c r="N120" t="s">
        <v>204</v>
      </c>
      <c r="O120" t="s">
        <v>162</v>
      </c>
      <c r="P120">
        <v>2.499863091091617E-2</v>
      </c>
      <c r="Q120" t="s">
        <v>161</v>
      </c>
      <c r="S120" t="s">
        <v>226</v>
      </c>
      <c r="T120" t="s">
        <v>162</v>
      </c>
      <c r="U120">
        <v>2.5070133460542154E-2</v>
      </c>
      <c r="V120" t="s">
        <v>161</v>
      </c>
      <c r="AK120">
        <v>2049</v>
      </c>
      <c r="AL120" t="s">
        <v>153</v>
      </c>
      <c r="AM120">
        <v>0.35843333333333333</v>
      </c>
      <c r="AN120" t="s">
        <v>236</v>
      </c>
    </row>
    <row r="121" spans="9:40" x14ac:dyDescent="0.45">
      <c r="I121" t="s">
        <v>181</v>
      </c>
      <c r="J121" t="s">
        <v>163</v>
      </c>
      <c r="K121">
        <v>0.11045403548353515</v>
      </c>
      <c r="L121" t="s">
        <v>161</v>
      </c>
      <c r="N121" t="s">
        <v>204</v>
      </c>
      <c r="O121" t="s">
        <v>163</v>
      </c>
      <c r="P121">
        <v>0.17439189996518853</v>
      </c>
      <c r="Q121" t="s">
        <v>161</v>
      </c>
      <c r="S121" t="s">
        <v>226</v>
      </c>
      <c r="T121" t="s">
        <v>163</v>
      </c>
      <c r="U121">
        <v>0.18521947842080314</v>
      </c>
      <c r="V121" t="s">
        <v>161</v>
      </c>
      <c r="AK121">
        <v>2049</v>
      </c>
      <c r="AL121" t="s">
        <v>155</v>
      </c>
      <c r="AM121">
        <v>0.34914999999999996</v>
      </c>
      <c r="AN121" t="s">
        <v>236</v>
      </c>
    </row>
    <row r="122" spans="9:40" x14ac:dyDescent="0.45">
      <c r="I122" t="s">
        <v>181</v>
      </c>
      <c r="J122" t="s">
        <v>164</v>
      </c>
      <c r="K122">
        <v>8.7972159267693431E-2</v>
      </c>
      <c r="L122" t="s">
        <v>161</v>
      </c>
      <c r="N122" t="s">
        <v>204</v>
      </c>
      <c r="O122" t="s">
        <v>164</v>
      </c>
      <c r="P122">
        <v>0.10357868328420647</v>
      </c>
      <c r="Q122" t="s">
        <v>161</v>
      </c>
      <c r="S122" t="s">
        <v>226</v>
      </c>
      <c r="T122" t="s">
        <v>164</v>
      </c>
      <c r="U122">
        <v>9.6766961356026679E-2</v>
      </c>
      <c r="V122" t="s">
        <v>161</v>
      </c>
      <c r="AK122">
        <v>2049</v>
      </c>
      <c r="AL122" t="s">
        <v>157</v>
      </c>
      <c r="AM122">
        <v>0.38119999999999998</v>
      </c>
      <c r="AN122" t="s">
        <v>236</v>
      </c>
    </row>
    <row r="123" spans="9:40" x14ac:dyDescent="0.45">
      <c r="I123" t="s">
        <v>181</v>
      </c>
      <c r="J123" t="s">
        <v>165</v>
      </c>
      <c r="K123">
        <v>8.5231009617479404E-3</v>
      </c>
      <c r="L123" t="s">
        <v>161</v>
      </c>
      <c r="N123" t="s">
        <v>204</v>
      </c>
      <c r="O123" t="s">
        <v>165</v>
      </c>
      <c r="P123">
        <v>6.1489166548895574E-3</v>
      </c>
      <c r="Q123" t="s">
        <v>161</v>
      </c>
      <c r="S123" t="s">
        <v>226</v>
      </c>
      <c r="T123" t="s">
        <v>165</v>
      </c>
      <c r="U123">
        <v>6.2682312427275125E-3</v>
      </c>
      <c r="V123" t="s">
        <v>161</v>
      </c>
      <c r="AK123">
        <v>2050</v>
      </c>
      <c r="AL123" t="s">
        <v>149</v>
      </c>
      <c r="AM123">
        <v>0.39182222222222218</v>
      </c>
      <c r="AN123" t="s">
        <v>236</v>
      </c>
    </row>
    <row r="124" spans="9:40" x14ac:dyDescent="0.45">
      <c r="I124" t="s">
        <v>181</v>
      </c>
      <c r="J124" t="s">
        <v>166</v>
      </c>
      <c r="K124">
        <v>6.5025914717577364E-3</v>
      </c>
      <c r="L124" t="s">
        <v>161</v>
      </c>
      <c r="N124" t="s">
        <v>204</v>
      </c>
      <c r="O124" t="s">
        <v>166</v>
      </c>
      <c r="P124">
        <v>4.83014605198702E-2</v>
      </c>
      <c r="Q124" t="s">
        <v>161</v>
      </c>
      <c r="S124" t="s">
        <v>226</v>
      </c>
      <c r="T124" t="s">
        <v>166</v>
      </c>
      <c r="U124">
        <v>4.6605989305741537E-2</v>
      </c>
      <c r="V124" t="s">
        <v>161</v>
      </c>
      <c r="AK124">
        <v>2050</v>
      </c>
      <c r="AL124" t="s">
        <v>153</v>
      </c>
      <c r="AM124">
        <v>0.33443333333333336</v>
      </c>
      <c r="AN124" t="s">
        <v>236</v>
      </c>
    </row>
    <row r="125" spans="9:40" x14ac:dyDescent="0.45">
      <c r="I125" t="s">
        <v>181</v>
      </c>
      <c r="J125" t="s">
        <v>167</v>
      </c>
      <c r="K125">
        <v>4.1068954228665175E-2</v>
      </c>
      <c r="L125" t="s">
        <v>161</v>
      </c>
      <c r="N125" t="s">
        <v>204</v>
      </c>
      <c r="O125" t="s">
        <v>167</v>
      </c>
      <c r="P125">
        <v>0.14785785581768998</v>
      </c>
      <c r="Q125" t="s">
        <v>161</v>
      </c>
      <c r="S125" t="s">
        <v>226</v>
      </c>
      <c r="T125" t="s">
        <v>167</v>
      </c>
      <c r="U125">
        <v>0.14288875017409872</v>
      </c>
      <c r="V125" t="s">
        <v>161</v>
      </c>
      <c r="AK125">
        <v>2050</v>
      </c>
      <c r="AL125" t="s">
        <v>155</v>
      </c>
      <c r="AM125">
        <v>0.32779999999999998</v>
      </c>
      <c r="AN125" t="s">
        <v>236</v>
      </c>
    </row>
    <row r="126" spans="9:40" x14ac:dyDescent="0.45">
      <c r="I126" t="s">
        <v>181</v>
      </c>
      <c r="J126" t="s">
        <v>168</v>
      </c>
      <c r="K126">
        <v>3.2703424422288871E-3</v>
      </c>
      <c r="L126" t="s">
        <v>161</v>
      </c>
      <c r="N126" t="s">
        <v>204</v>
      </c>
      <c r="O126" t="s">
        <v>168</v>
      </c>
      <c r="P126">
        <v>8.4808289547958701E-3</v>
      </c>
      <c r="Q126" t="s">
        <v>161</v>
      </c>
      <c r="S126" t="s">
        <v>226</v>
      </c>
      <c r="T126" t="s">
        <v>168</v>
      </c>
      <c r="U126">
        <v>8.4116750434667098E-3</v>
      </c>
      <c r="V126" t="s">
        <v>161</v>
      </c>
      <c r="AK126">
        <v>2050</v>
      </c>
      <c r="AL126" t="s">
        <v>157</v>
      </c>
      <c r="AM126">
        <v>0.36209999999999998</v>
      </c>
      <c r="AN126" t="s">
        <v>236</v>
      </c>
    </row>
    <row r="127" spans="9:40" x14ac:dyDescent="0.45">
      <c r="I127" t="s">
        <v>181</v>
      </c>
      <c r="J127" t="s">
        <v>169</v>
      </c>
      <c r="K127">
        <v>1.7887387541919891E-5</v>
      </c>
      <c r="L127" t="s">
        <v>161</v>
      </c>
      <c r="N127" t="s">
        <v>204</v>
      </c>
      <c r="O127" t="s">
        <v>169</v>
      </c>
      <c r="P127">
        <v>6.1864089305818618E-2</v>
      </c>
      <c r="Q127" t="s">
        <v>161</v>
      </c>
      <c r="S127" t="s">
        <v>226</v>
      </c>
      <c r="T127" t="s">
        <v>169</v>
      </c>
      <c r="U127">
        <v>5.7484379965761112E-2</v>
      </c>
      <c r="V127" t="s">
        <v>161</v>
      </c>
    </row>
    <row r="128" spans="9:40" x14ac:dyDescent="0.45">
      <c r="I128" t="s">
        <v>181</v>
      </c>
      <c r="J128" t="s">
        <v>170</v>
      </c>
      <c r="K128">
        <v>5.0990797547066447E-3</v>
      </c>
      <c r="L128" t="s">
        <v>161</v>
      </c>
      <c r="N128" t="s">
        <v>204</v>
      </c>
      <c r="O128" t="s">
        <v>170</v>
      </c>
      <c r="P128">
        <v>1.7481359687787006E-2</v>
      </c>
      <c r="Q128" t="s">
        <v>161</v>
      </c>
      <c r="S128" t="s">
        <v>226</v>
      </c>
      <c r="T128" t="s">
        <v>170</v>
      </c>
      <c r="U128">
        <v>1.3947787508146936E-2</v>
      </c>
      <c r="V128" t="s">
        <v>161</v>
      </c>
    </row>
    <row r="129" spans="9:22" x14ac:dyDescent="0.45">
      <c r="I129" t="s">
        <v>181</v>
      </c>
      <c r="J129" t="s">
        <v>171</v>
      </c>
      <c r="K129">
        <v>5.3745034087567434E-4</v>
      </c>
      <c r="L129" t="s">
        <v>161</v>
      </c>
      <c r="N129" t="s">
        <v>204</v>
      </c>
      <c r="O129" t="s">
        <v>171</v>
      </c>
      <c r="P129">
        <v>1.0925065826312261E-3</v>
      </c>
      <c r="Q129" t="s">
        <v>161</v>
      </c>
      <c r="S129" t="s">
        <v>226</v>
      </c>
      <c r="T129" t="s">
        <v>171</v>
      </c>
      <c r="U129">
        <v>1.1812484518613242E-3</v>
      </c>
      <c r="V129" t="s">
        <v>161</v>
      </c>
    </row>
    <row r="130" spans="9:22" x14ac:dyDescent="0.45">
      <c r="I130" t="s">
        <v>181</v>
      </c>
      <c r="J130" t="s">
        <v>172</v>
      </c>
      <c r="K130">
        <v>0</v>
      </c>
      <c r="L130" t="s">
        <v>161</v>
      </c>
      <c r="N130" t="s">
        <v>204</v>
      </c>
      <c r="O130" t="s">
        <v>172</v>
      </c>
      <c r="P130">
        <v>8.2310632606328836E-3</v>
      </c>
      <c r="Q130" t="s">
        <v>161</v>
      </c>
      <c r="S130" t="s">
        <v>226</v>
      </c>
      <c r="T130" t="s">
        <v>172</v>
      </c>
      <c r="U130">
        <v>8.8506799685171295E-3</v>
      </c>
      <c r="V130" t="s">
        <v>161</v>
      </c>
    </row>
    <row r="131" spans="9:22" x14ac:dyDescent="0.45">
      <c r="I131" t="s">
        <v>182</v>
      </c>
      <c r="J131" t="s">
        <v>160</v>
      </c>
      <c r="K131">
        <v>0.67930768946880726</v>
      </c>
      <c r="L131" t="s">
        <v>161</v>
      </c>
      <c r="N131" t="s">
        <v>205</v>
      </c>
      <c r="O131" t="s">
        <v>160</v>
      </c>
      <c r="P131">
        <v>0.44435287428717385</v>
      </c>
      <c r="Q131" t="s">
        <v>161</v>
      </c>
    </row>
    <row r="132" spans="9:22" x14ac:dyDescent="0.45">
      <c r="I132" t="s">
        <v>182</v>
      </c>
      <c r="J132" t="s">
        <v>162</v>
      </c>
      <c r="K132">
        <v>6.5646732789899923E-2</v>
      </c>
      <c r="L132" t="s">
        <v>161</v>
      </c>
      <c r="N132" t="s">
        <v>205</v>
      </c>
      <c r="O132" t="s">
        <v>162</v>
      </c>
      <c r="P132">
        <v>3.204299540524886E-2</v>
      </c>
      <c r="Q132" t="s">
        <v>161</v>
      </c>
    </row>
    <row r="133" spans="9:22" x14ac:dyDescent="0.45">
      <c r="I133" t="s">
        <v>182</v>
      </c>
      <c r="J133" t="s">
        <v>163</v>
      </c>
      <c r="K133">
        <v>0.11667008799236554</v>
      </c>
      <c r="L133" t="s">
        <v>161</v>
      </c>
      <c r="N133" t="s">
        <v>205</v>
      </c>
      <c r="O133" t="s">
        <v>163</v>
      </c>
      <c r="P133">
        <v>0.22856215622923046</v>
      </c>
      <c r="Q133" t="s">
        <v>161</v>
      </c>
    </row>
    <row r="134" spans="9:22" x14ac:dyDescent="0.45">
      <c r="I134" t="s">
        <v>182</v>
      </c>
      <c r="J134" t="s">
        <v>164</v>
      </c>
      <c r="K134">
        <v>7.9051008853150112E-2</v>
      </c>
      <c r="L134" t="s">
        <v>161</v>
      </c>
      <c r="N134" t="s">
        <v>205</v>
      </c>
      <c r="O134" t="s">
        <v>164</v>
      </c>
      <c r="P134">
        <v>6.6502305529759137E-2</v>
      </c>
      <c r="Q134" t="s">
        <v>161</v>
      </c>
    </row>
    <row r="135" spans="9:22" x14ac:dyDescent="0.45">
      <c r="I135" t="s">
        <v>182</v>
      </c>
      <c r="J135" t="s">
        <v>165</v>
      </c>
      <c r="K135">
        <v>7.8923780522562412E-3</v>
      </c>
      <c r="L135" t="s">
        <v>161</v>
      </c>
      <c r="N135" t="s">
        <v>205</v>
      </c>
      <c r="O135" t="s">
        <v>165</v>
      </c>
      <c r="P135">
        <v>4.5456099537019663E-3</v>
      </c>
      <c r="Q135" t="s">
        <v>161</v>
      </c>
    </row>
    <row r="136" spans="9:22" x14ac:dyDescent="0.45">
      <c r="I136" t="s">
        <v>182</v>
      </c>
      <c r="J136" t="s">
        <v>166</v>
      </c>
      <c r="K136">
        <v>6.1510115316576498E-3</v>
      </c>
      <c r="L136" t="s">
        <v>161</v>
      </c>
      <c r="N136" t="s">
        <v>205</v>
      </c>
      <c r="O136" t="s">
        <v>166</v>
      </c>
      <c r="P136">
        <v>3.0127713712627752E-2</v>
      </c>
      <c r="Q136" t="s">
        <v>161</v>
      </c>
    </row>
    <row r="137" spans="9:22" x14ac:dyDescent="0.45">
      <c r="I137" t="s">
        <v>182</v>
      </c>
      <c r="J137" t="s">
        <v>167</v>
      </c>
      <c r="K137">
        <v>3.6403438260764309E-2</v>
      </c>
      <c r="L137" t="s">
        <v>161</v>
      </c>
      <c r="N137" t="s">
        <v>205</v>
      </c>
      <c r="O137" t="s">
        <v>167</v>
      </c>
      <c r="P137">
        <v>0.11944983206205743</v>
      </c>
      <c r="Q137" t="s">
        <v>161</v>
      </c>
    </row>
    <row r="138" spans="9:22" x14ac:dyDescent="0.45">
      <c r="I138" t="s">
        <v>182</v>
      </c>
      <c r="J138" t="s">
        <v>168</v>
      </c>
      <c r="K138">
        <v>2.9152604747195218E-3</v>
      </c>
      <c r="L138" t="s">
        <v>161</v>
      </c>
      <c r="N138" t="s">
        <v>205</v>
      </c>
      <c r="O138" t="s">
        <v>168</v>
      </c>
      <c r="P138">
        <v>6.7956634503806004E-3</v>
      </c>
      <c r="Q138" t="s">
        <v>161</v>
      </c>
    </row>
    <row r="139" spans="9:22" x14ac:dyDescent="0.45">
      <c r="I139" t="s">
        <v>182</v>
      </c>
      <c r="J139" t="s">
        <v>169</v>
      </c>
      <c r="K139">
        <v>9.0171153538450303E-6</v>
      </c>
      <c r="L139" t="s">
        <v>161</v>
      </c>
      <c r="N139" t="s">
        <v>205</v>
      </c>
      <c r="O139" t="s">
        <v>169</v>
      </c>
      <c r="P139">
        <v>5.797574005819036E-2</v>
      </c>
      <c r="Q139" t="s">
        <v>161</v>
      </c>
    </row>
    <row r="140" spans="9:22" x14ac:dyDescent="0.45">
      <c r="I140" t="s">
        <v>182</v>
      </c>
      <c r="J140" t="s">
        <v>170</v>
      </c>
      <c r="K140">
        <v>5.3885380824695382E-3</v>
      </c>
      <c r="L140" t="s">
        <v>161</v>
      </c>
      <c r="N140" t="s">
        <v>205</v>
      </c>
      <c r="O140" t="s">
        <v>170</v>
      </c>
      <c r="P140">
        <v>7.8814745967721155E-3</v>
      </c>
      <c r="Q140" t="s">
        <v>161</v>
      </c>
    </row>
    <row r="141" spans="9:22" x14ac:dyDescent="0.45">
      <c r="I141" t="s">
        <v>182</v>
      </c>
      <c r="J141" t="s">
        <v>171</v>
      </c>
      <c r="K141">
        <v>5.6483737855262111E-4</v>
      </c>
      <c r="L141" t="s">
        <v>161</v>
      </c>
      <c r="N141" t="s">
        <v>205</v>
      </c>
      <c r="O141" t="s">
        <v>171</v>
      </c>
      <c r="P141">
        <v>1.4557996145084584E-4</v>
      </c>
      <c r="Q141" t="s">
        <v>161</v>
      </c>
    </row>
    <row r="142" spans="9:22" x14ac:dyDescent="0.45">
      <c r="I142" t="s">
        <v>182</v>
      </c>
      <c r="J142" t="s">
        <v>172</v>
      </c>
      <c r="K142">
        <v>0</v>
      </c>
      <c r="L142" t="s">
        <v>161</v>
      </c>
      <c r="N142" t="s">
        <v>205</v>
      </c>
      <c r="O142" t="s">
        <v>172</v>
      </c>
      <c r="P142">
        <v>1.6180547534032752E-3</v>
      </c>
      <c r="Q142" t="s">
        <v>161</v>
      </c>
    </row>
    <row r="143" spans="9:22" x14ac:dyDescent="0.45">
      <c r="I143" t="s">
        <v>183</v>
      </c>
      <c r="J143" t="s">
        <v>160</v>
      </c>
      <c r="K143">
        <v>0.68991774842443887</v>
      </c>
      <c r="L143" t="s">
        <v>161</v>
      </c>
      <c r="N143" t="s">
        <v>206</v>
      </c>
      <c r="O143" t="s">
        <v>160</v>
      </c>
      <c r="P143">
        <v>0.40429364135288348</v>
      </c>
      <c r="Q143" t="s">
        <v>161</v>
      </c>
    </row>
    <row r="144" spans="9:22" x14ac:dyDescent="0.45">
      <c r="I144" t="s">
        <v>183</v>
      </c>
      <c r="J144" t="s">
        <v>162</v>
      </c>
      <c r="K144">
        <v>6.4023974959523305E-2</v>
      </c>
      <c r="L144" t="s">
        <v>161</v>
      </c>
      <c r="N144" t="s">
        <v>206</v>
      </c>
      <c r="O144" t="s">
        <v>162</v>
      </c>
      <c r="P144">
        <v>2.5153199530885271E-2</v>
      </c>
      <c r="Q144" t="s">
        <v>161</v>
      </c>
    </row>
    <row r="145" spans="9:17" x14ac:dyDescent="0.45">
      <c r="I145" t="s">
        <v>183</v>
      </c>
      <c r="J145" t="s">
        <v>163</v>
      </c>
      <c r="K145">
        <v>0.11147821766898376</v>
      </c>
      <c r="L145" t="s">
        <v>161</v>
      </c>
      <c r="N145" t="s">
        <v>206</v>
      </c>
      <c r="O145" t="s">
        <v>163</v>
      </c>
      <c r="P145">
        <v>0.19450381863274532</v>
      </c>
      <c r="Q145" t="s">
        <v>161</v>
      </c>
    </row>
    <row r="146" spans="9:17" x14ac:dyDescent="0.45">
      <c r="I146" t="s">
        <v>183</v>
      </c>
      <c r="J146" t="s">
        <v>164</v>
      </c>
      <c r="K146">
        <v>7.9224419687466907E-2</v>
      </c>
      <c r="L146" t="s">
        <v>161</v>
      </c>
      <c r="N146" t="s">
        <v>206</v>
      </c>
      <c r="O146" t="s">
        <v>164</v>
      </c>
      <c r="P146">
        <v>9.6462318517357051E-2</v>
      </c>
      <c r="Q146" t="s">
        <v>161</v>
      </c>
    </row>
    <row r="147" spans="9:17" x14ac:dyDescent="0.45">
      <c r="I147" t="s">
        <v>183</v>
      </c>
      <c r="J147" t="s">
        <v>165</v>
      </c>
      <c r="K147">
        <v>7.9034295330354856E-3</v>
      </c>
      <c r="L147" t="s">
        <v>161</v>
      </c>
      <c r="N147" t="s">
        <v>206</v>
      </c>
      <c r="O147" t="s">
        <v>165</v>
      </c>
      <c r="P147">
        <v>5.4867122367620088E-3</v>
      </c>
      <c r="Q147" t="s">
        <v>161</v>
      </c>
    </row>
    <row r="148" spans="9:17" x14ac:dyDescent="0.45">
      <c r="I148" t="s">
        <v>183</v>
      </c>
      <c r="J148" t="s">
        <v>166</v>
      </c>
      <c r="K148">
        <v>5.4206134739713E-3</v>
      </c>
      <c r="L148" t="s">
        <v>161</v>
      </c>
      <c r="N148" t="s">
        <v>206</v>
      </c>
      <c r="O148" t="s">
        <v>166</v>
      </c>
      <c r="P148">
        <v>4.5424912296021976E-2</v>
      </c>
      <c r="Q148" t="s">
        <v>161</v>
      </c>
    </row>
    <row r="149" spans="9:17" x14ac:dyDescent="0.45">
      <c r="I149" t="s">
        <v>183</v>
      </c>
      <c r="J149" t="s">
        <v>167</v>
      </c>
      <c r="K149">
        <v>3.5022859015375288E-2</v>
      </c>
      <c r="L149" t="s">
        <v>161</v>
      </c>
      <c r="N149" t="s">
        <v>206</v>
      </c>
      <c r="O149" t="s">
        <v>167</v>
      </c>
      <c r="P149">
        <v>0.14364454375386571</v>
      </c>
      <c r="Q149" t="s">
        <v>161</v>
      </c>
    </row>
    <row r="150" spans="9:17" x14ac:dyDescent="0.45">
      <c r="I150" t="s">
        <v>183</v>
      </c>
      <c r="J150" t="s">
        <v>168</v>
      </c>
      <c r="K150">
        <v>2.2793828105295163E-3</v>
      </c>
      <c r="L150" t="s">
        <v>161</v>
      </c>
      <c r="N150" t="s">
        <v>206</v>
      </c>
      <c r="O150" t="s">
        <v>168</v>
      </c>
      <c r="P150">
        <v>8.0061414312507049E-3</v>
      </c>
      <c r="Q150" t="s">
        <v>161</v>
      </c>
    </row>
    <row r="151" spans="9:17" x14ac:dyDescent="0.45">
      <c r="I151" t="s">
        <v>183</v>
      </c>
      <c r="J151" t="s">
        <v>169</v>
      </c>
      <c r="K151">
        <v>0</v>
      </c>
      <c r="L151" t="s">
        <v>161</v>
      </c>
      <c r="N151" t="s">
        <v>206</v>
      </c>
      <c r="O151" t="s">
        <v>169</v>
      </c>
      <c r="P151">
        <v>6.2655830811969931E-2</v>
      </c>
      <c r="Q151" t="s">
        <v>161</v>
      </c>
    </row>
    <row r="152" spans="9:17" x14ac:dyDescent="0.45">
      <c r="I152" t="s">
        <v>183</v>
      </c>
      <c r="J152" t="s">
        <v>170</v>
      </c>
      <c r="K152">
        <v>4.3123012190556809E-3</v>
      </c>
      <c r="L152" t="s">
        <v>161</v>
      </c>
      <c r="N152" t="s">
        <v>206</v>
      </c>
      <c r="O152" t="s">
        <v>170</v>
      </c>
      <c r="P152">
        <v>1.0006752287056171E-2</v>
      </c>
      <c r="Q152" t="s">
        <v>161</v>
      </c>
    </row>
    <row r="153" spans="9:17" x14ac:dyDescent="0.45">
      <c r="I153" t="s">
        <v>183</v>
      </c>
      <c r="J153" t="s">
        <v>171</v>
      </c>
      <c r="K153">
        <v>4.1705320761914228E-4</v>
      </c>
      <c r="L153" t="s">
        <v>161</v>
      </c>
      <c r="N153" t="s">
        <v>206</v>
      </c>
      <c r="O153" t="s">
        <v>171</v>
      </c>
      <c r="P153">
        <v>3.9339947003964664E-4</v>
      </c>
      <c r="Q153" t="s">
        <v>161</v>
      </c>
    </row>
    <row r="154" spans="9:17" x14ac:dyDescent="0.45">
      <c r="I154" t="s">
        <v>183</v>
      </c>
      <c r="J154" t="s">
        <v>172</v>
      </c>
      <c r="K154">
        <v>0</v>
      </c>
      <c r="L154" t="s">
        <v>161</v>
      </c>
      <c r="N154" t="s">
        <v>206</v>
      </c>
      <c r="O154" t="s">
        <v>172</v>
      </c>
      <c r="P154">
        <v>3.968729679163137E-3</v>
      </c>
      <c r="Q154" t="s">
        <v>161</v>
      </c>
    </row>
    <row r="155" spans="9:17" x14ac:dyDescent="0.45">
      <c r="I155" t="s">
        <v>184</v>
      </c>
      <c r="J155" t="s">
        <v>160</v>
      </c>
      <c r="K155">
        <v>0.70541982427145866</v>
      </c>
      <c r="L155" t="s">
        <v>161</v>
      </c>
      <c r="N155" t="s">
        <v>207</v>
      </c>
      <c r="O155" t="s">
        <v>160</v>
      </c>
      <c r="P155">
        <v>0.4226414643035924</v>
      </c>
      <c r="Q155" t="s">
        <v>161</v>
      </c>
    </row>
    <row r="156" spans="9:17" x14ac:dyDescent="0.45">
      <c r="I156" t="s">
        <v>184</v>
      </c>
      <c r="J156" t="s">
        <v>162</v>
      </c>
      <c r="K156">
        <v>6.3683919345968065E-2</v>
      </c>
      <c r="L156" t="s">
        <v>161</v>
      </c>
      <c r="N156" t="s">
        <v>207</v>
      </c>
      <c r="O156" t="s">
        <v>162</v>
      </c>
      <c r="P156">
        <v>2.3731164868981428E-2</v>
      </c>
      <c r="Q156" t="s">
        <v>161</v>
      </c>
    </row>
    <row r="157" spans="9:17" x14ac:dyDescent="0.45">
      <c r="I157" t="s">
        <v>184</v>
      </c>
      <c r="J157" t="s">
        <v>163</v>
      </c>
      <c r="K157">
        <v>9.3997813029062613E-2</v>
      </c>
      <c r="L157" t="s">
        <v>161</v>
      </c>
      <c r="N157" t="s">
        <v>207</v>
      </c>
      <c r="O157" t="s">
        <v>163</v>
      </c>
      <c r="P157">
        <v>0.21005163491127057</v>
      </c>
      <c r="Q157" t="s">
        <v>161</v>
      </c>
    </row>
    <row r="158" spans="9:17" x14ac:dyDescent="0.45">
      <c r="I158" t="s">
        <v>184</v>
      </c>
      <c r="J158" t="s">
        <v>164</v>
      </c>
      <c r="K158">
        <v>8.6318839640940226E-2</v>
      </c>
      <c r="L158" t="s">
        <v>161</v>
      </c>
      <c r="N158" t="s">
        <v>207</v>
      </c>
      <c r="O158" t="s">
        <v>164</v>
      </c>
      <c r="P158">
        <v>8.3650147925519419E-2</v>
      </c>
      <c r="Q158" t="s">
        <v>161</v>
      </c>
    </row>
    <row r="159" spans="9:17" x14ac:dyDescent="0.45">
      <c r="I159" t="s">
        <v>184</v>
      </c>
      <c r="J159" t="s">
        <v>165</v>
      </c>
      <c r="K159">
        <v>6.755636434088024E-3</v>
      </c>
      <c r="L159" t="s">
        <v>161</v>
      </c>
      <c r="N159" t="s">
        <v>207</v>
      </c>
      <c r="O159" t="s">
        <v>165</v>
      </c>
      <c r="P159">
        <v>4.7203850831757359E-3</v>
      </c>
      <c r="Q159" t="s">
        <v>161</v>
      </c>
    </row>
    <row r="160" spans="9:17" x14ac:dyDescent="0.45">
      <c r="I160" t="s">
        <v>184</v>
      </c>
      <c r="J160" t="s">
        <v>166</v>
      </c>
      <c r="K160">
        <v>2.7874894958683292E-3</v>
      </c>
      <c r="L160" t="s">
        <v>161</v>
      </c>
      <c r="N160" t="s">
        <v>207</v>
      </c>
      <c r="O160" t="s">
        <v>166</v>
      </c>
      <c r="P160">
        <v>4.2586258741589202E-2</v>
      </c>
      <c r="Q160" t="s">
        <v>161</v>
      </c>
    </row>
    <row r="161" spans="9:17" x14ac:dyDescent="0.45">
      <c r="I161" t="s">
        <v>184</v>
      </c>
      <c r="J161" t="s">
        <v>167</v>
      </c>
      <c r="K161">
        <v>3.8060749792416075E-2</v>
      </c>
      <c r="L161" t="s">
        <v>161</v>
      </c>
      <c r="N161" t="s">
        <v>207</v>
      </c>
      <c r="O161" t="s">
        <v>167</v>
      </c>
      <c r="P161">
        <v>0.12967925054136201</v>
      </c>
      <c r="Q161" t="s">
        <v>161</v>
      </c>
    </row>
    <row r="162" spans="9:17" x14ac:dyDescent="0.45">
      <c r="I162" t="s">
        <v>184</v>
      </c>
      <c r="J162" t="s">
        <v>168</v>
      </c>
      <c r="K162">
        <v>2.7806355170446396E-4</v>
      </c>
      <c r="L162" t="s">
        <v>161</v>
      </c>
      <c r="N162" t="s">
        <v>207</v>
      </c>
      <c r="O162" t="s">
        <v>168</v>
      </c>
      <c r="P162">
        <v>6.7121792530780728E-3</v>
      </c>
      <c r="Q162" t="s">
        <v>161</v>
      </c>
    </row>
    <row r="163" spans="9:17" x14ac:dyDescent="0.45">
      <c r="I163" t="s">
        <v>184</v>
      </c>
      <c r="J163" t="s">
        <v>169</v>
      </c>
      <c r="K163">
        <v>0</v>
      </c>
      <c r="L163" t="s">
        <v>161</v>
      </c>
      <c r="N163" t="s">
        <v>207</v>
      </c>
      <c r="O163" t="s">
        <v>169</v>
      </c>
      <c r="P163">
        <v>6.382417598620567E-2</v>
      </c>
      <c r="Q163" t="s">
        <v>161</v>
      </c>
    </row>
    <row r="164" spans="9:17" x14ac:dyDescent="0.45">
      <c r="I164" t="s">
        <v>184</v>
      </c>
      <c r="J164" t="s">
        <v>170</v>
      </c>
      <c r="K164">
        <v>2.6976644384907392E-3</v>
      </c>
      <c r="L164" t="s">
        <v>161</v>
      </c>
      <c r="N164" t="s">
        <v>207</v>
      </c>
      <c r="O164" t="s">
        <v>170</v>
      </c>
      <c r="P164">
        <v>8.6088847412583071E-3</v>
      </c>
      <c r="Q164" t="s">
        <v>161</v>
      </c>
    </row>
    <row r="165" spans="9:17" x14ac:dyDescent="0.45">
      <c r="I165" t="s">
        <v>184</v>
      </c>
      <c r="J165" t="s">
        <v>171</v>
      </c>
      <c r="K165">
        <v>0</v>
      </c>
      <c r="L165" t="s">
        <v>161</v>
      </c>
      <c r="N165" t="s">
        <v>207</v>
      </c>
      <c r="O165" t="s">
        <v>171</v>
      </c>
      <c r="P165">
        <v>1.7706292111294831E-4</v>
      </c>
      <c r="Q165" t="s">
        <v>161</v>
      </c>
    </row>
    <row r="166" spans="9:17" x14ac:dyDescent="0.45">
      <c r="I166" t="s">
        <v>184</v>
      </c>
      <c r="J166" t="s">
        <v>172</v>
      </c>
      <c r="K166">
        <v>0</v>
      </c>
      <c r="L166" t="s">
        <v>161</v>
      </c>
      <c r="N166" t="s">
        <v>207</v>
      </c>
      <c r="O166" t="s">
        <v>172</v>
      </c>
      <c r="P166">
        <v>3.6173907228528785E-3</v>
      </c>
      <c r="Q166" t="s">
        <v>161</v>
      </c>
    </row>
    <row r="167" spans="9:17" x14ac:dyDescent="0.45">
      <c r="I167" t="s">
        <v>185</v>
      </c>
      <c r="J167" t="s">
        <v>160</v>
      </c>
      <c r="K167">
        <v>0.71909128622775442</v>
      </c>
      <c r="L167" t="s">
        <v>161</v>
      </c>
      <c r="N167" t="s">
        <v>208</v>
      </c>
      <c r="O167" t="s">
        <v>160</v>
      </c>
      <c r="P167">
        <v>0.41957384951865506</v>
      </c>
      <c r="Q167" t="s">
        <v>161</v>
      </c>
    </row>
    <row r="168" spans="9:17" x14ac:dyDescent="0.45">
      <c r="I168" t="s">
        <v>185</v>
      </c>
      <c r="J168" t="s">
        <v>162</v>
      </c>
      <c r="K168">
        <v>5.9123961491248989E-2</v>
      </c>
      <c r="L168" t="s">
        <v>161</v>
      </c>
      <c r="N168" t="s">
        <v>208</v>
      </c>
      <c r="O168" t="s">
        <v>162</v>
      </c>
      <c r="P168">
        <v>2.7810676479619538E-2</v>
      </c>
      <c r="Q168" t="s">
        <v>161</v>
      </c>
    </row>
    <row r="169" spans="9:17" x14ac:dyDescent="0.45">
      <c r="I169" t="s">
        <v>185</v>
      </c>
      <c r="J169" t="s">
        <v>163</v>
      </c>
      <c r="K169">
        <v>8.4757900040304285E-2</v>
      </c>
      <c r="L169" t="s">
        <v>161</v>
      </c>
      <c r="N169" t="s">
        <v>208</v>
      </c>
      <c r="O169" t="s">
        <v>163</v>
      </c>
      <c r="P169">
        <v>0.20413906927361358</v>
      </c>
      <c r="Q169" t="s">
        <v>161</v>
      </c>
    </row>
    <row r="170" spans="9:17" x14ac:dyDescent="0.45">
      <c r="I170" t="s">
        <v>185</v>
      </c>
      <c r="J170" t="s">
        <v>164</v>
      </c>
      <c r="K170">
        <v>8.7555412086849235E-2</v>
      </c>
      <c r="L170" t="s">
        <v>161</v>
      </c>
      <c r="N170" t="s">
        <v>208</v>
      </c>
      <c r="O170" t="s">
        <v>164</v>
      </c>
      <c r="P170">
        <v>8.4543096856277394E-2</v>
      </c>
      <c r="Q170" t="s">
        <v>161</v>
      </c>
    </row>
    <row r="171" spans="9:17" x14ac:dyDescent="0.45">
      <c r="I171" t="s">
        <v>185</v>
      </c>
      <c r="J171" t="s">
        <v>165</v>
      </c>
      <c r="K171">
        <v>6.0331982894917154E-3</v>
      </c>
      <c r="L171" t="s">
        <v>161</v>
      </c>
      <c r="N171" t="s">
        <v>208</v>
      </c>
      <c r="O171" t="s">
        <v>165</v>
      </c>
      <c r="P171">
        <v>5.1107721000041174E-3</v>
      </c>
      <c r="Q171" t="s">
        <v>161</v>
      </c>
    </row>
    <row r="172" spans="9:17" x14ac:dyDescent="0.45">
      <c r="I172" t="s">
        <v>185</v>
      </c>
      <c r="J172" t="s">
        <v>166</v>
      </c>
      <c r="K172">
        <v>2.2768578974194263E-3</v>
      </c>
      <c r="L172" t="s">
        <v>161</v>
      </c>
      <c r="N172" t="s">
        <v>208</v>
      </c>
      <c r="O172" t="s">
        <v>166</v>
      </c>
      <c r="P172">
        <v>4.130998156220099E-2</v>
      </c>
      <c r="Q172" t="s">
        <v>161</v>
      </c>
    </row>
    <row r="173" spans="9:17" x14ac:dyDescent="0.45">
      <c r="I173" t="s">
        <v>185</v>
      </c>
      <c r="J173" t="s">
        <v>167</v>
      </c>
      <c r="K173">
        <v>3.803015988793048E-2</v>
      </c>
      <c r="L173" t="s">
        <v>161</v>
      </c>
      <c r="N173" t="s">
        <v>208</v>
      </c>
      <c r="O173" t="s">
        <v>167</v>
      </c>
      <c r="P173">
        <v>0.14125473187975632</v>
      </c>
      <c r="Q173" t="s">
        <v>161</v>
      </c>
    </row>
    <row r="174" spans="9:17" x14ac:dyDescent="0.45">
      <c r="I174" t="s">
        <v>185</v>
      </c>
      <c r="J174" t="s">
        <v>168</v>
      </c>
      <c r="K174">
        <v>1.9024790052778832E-4</v>
      </c>
      <c r="L174" t="s">
        <v>161</v>
      </c>
      <c r="N174" t="s">
        <v>208</v>
      </c>
      <c r="O174" t="s">
        <v>168</v>
      </c>
      <c r="P174">
        <v>7.5925845484394322E-3</v>
      </c>
      <c r="Q174" t="s">
        <v>161</v>
      </c>
    </row>
    <row r="175" spans="9:17" x14ac:dyDescent="0.45">
      <c r="I175" t="s">
        <v>185</v>
      </c>
      <c r="J175" t="s">
        <v>169</v>
      </c>
      <c r="K175">
        <v>0</v>
      </c>
      <c r="L175" t="s">
        <v>161</v>
      </c>
      <c r="N175" t="s">
        <v>208</v>
      </c>
      <c r="O175" t="s">
        <v>169</v>
      </c>
      <c r="P175">
        <v>6.0099624751183044E-2</v>
      </c>
      <c r="Q175" t="s">
        <v>161</v>
      </c>
    </row>
    <row r="176" spans="9:17" x14ac:dyDescent="0.45">
      <c r="I176" t="s">
        <v>185</v>
      </c>
      <c r="J176" t="s">
        <v>170</v>
      </c>
      <c r="K176">
        <v>2.9409761784765136E-3</v>
      </c>
      <c r="L176" t="s">
        <v>161</v>
      </c>
      <c r="N176" t="s">
        <v>208</v>
      </c>
      <c r="O176" t="s">
        <v>170</v>
      </c>
      <c r="P176">
        <v>6.4406752741201934E-3</v>
      </c>
      <c r="Q176" t="s">
        <v>161</v>
      </c>
    </row>
    <row r="177" spans="9:17" x14ac:dyDescent="0.45">
      <c r="I177" t="s">
        <v>185</v>
      </c>
      <c r="J177" t="s">
        <v>171</v>
      </c>
      <c r="K177">
        <v>0</v>
      </c>
      <c r="L177" t="s">
        <v>161</v>
      </c>
      <c r="N177" t="s">
        <v>208</v>
      </c>
      <c r="O177" t="s">
        <v>171</v>
      </c>
      <c r="P177">
        <v>1.5157608828336811E-4</v>
      </c>
      <c r="Q177" t="s">
        <v>161</v>
      </c>
    </row>
    <row r="178" spans="9:17" x14ac:dyDescent="0.45">
      <c r="I178" t="s">
        <v>185</v>
      </c>
      <c r="J178" t="s">
        <v>172</v>
      </c>
      <c r="K178">
        <v>0</v>
      </c>
      <c r="L178" t="s">
        <v>161</v>
      </c>
      <c r="N178" t="s">
        <v>208</v>
      </c>
      <c r="O178" t="s">
        <v>172</v>
      </c>
      <c r="P178">
        <v>1.9733616678454945E-3</v>
      </c>
      <c r="Q178" t="s">
        <v>161</v>
      </c>
    </row>
    <row r="179" spans="9:17" x14ac:dyDescent="0.45">
      <c r="I179" t="s">
        <v>186</v>
      </c>
      <c r="J179" t="s">
        <v>160</v>
      </c>
      <c r="K179">
        <v>0.73429409562717662</v>
      </c>
      <c r="L179" t="s">
        <v>161</v>
      </c>
      <c r="N179" t="s">
        <v>209</v>
      </c>
      <c r="O179" t="s">
        <v>160</v>
      </c>
      <c r="P179">
        <v>0.40276713453106072</v>
      </c>
      <c r="Q179" t="s">
        <v>161</v>
      </c>
    </row>
    <row r="180" spans="9:17" x14ac:dyDescent="0.45">
      <c r="I180" t="s">
        <v>186</v>
      </c>
      <c r="J180" t="s">
        <v>162</v>
      </c>
      <c r="K180">
        <v>5.6584295254243647E-2</v>
      </c>
      <c r="L180" t="s">
        <v>161</v>
      </c>
      <c r="N180" t="s">
        <v>209</v>
      </c>
      <c r="O180" t="s">
        <v>162</v>
      </c>
      <c r="P180">
        <v>2.4700833755423059E-2</v>
      </c>
      <c r="Q180" t="s">
        <v>161</v>
      </c>
    </row>
    <row r="181" spans="9:17" x14ac:dyDescent="0.45">
      <c r="I181" t="s">
        <v>186</v>
      </c>
      <c r="J181" t="s">
        <v>163</v>
      </c>
      <c r="K181">
        <v>7.8294788496893072E-2</v>
      </c>
      <c r="L181" t="s">
        <v>161</v>
      </c>
      <c r="N181" t="s">
        <v>209</v>
      </c>
      <c r="O181" t="s">
        <v>163</v>
      </c>
      <c r="P181">
        <v>0.19083010208767623</v>
      </c>
      <c r="Q181" t="s">
        <v>161</v>
      </c>
    </row>
    <row r="182" spans="9:17" x14ac:dyDescent="0.45">
      <c r="I182" t="s">
        <v>186</v>
      </c>
      <c r="J182" t="s">
        <v>164</v>
      </c>
      <c r="K182">
        <v>8.2815226348635043E-2</v>
      </c>
      <c r="L182" t="s">
        <v>161</v>
      </c>
      <c r="N182" t="s">
        <v>209</v>
      </c>
      <c r="O182" t="s">
        <v>164</v>
      </c>
      <c r="P182">
        <v>9.469942060739335E-2</v>
      </c>
      <c r="Q182" t="s">
        <v>161</v>
      </c>
    </row>
    <row r="183" spans="9:17" x14ac:dyDescent="0.45">
      <c r="I183" t="s">
        <v>186</v>
      </c>
      <c r="J183" t="s">
        <v>165</v>
      </c>
      <c r="K183">
        <v>5.234491107209467E-3</v>
      </c>
      <c r="L183" t="s">
        <v>161</v>
      </c>
      <c r="N183" t="s">
        <v>209</v>
      </c>
      <c r="O183" t="s">
        <v>165</v>
      </c>
      <c r="P183">
        <v>5.6388912801688534E-3</v>
      </c>
      <c r="Q183" t="s">
        <v>161</v>
      </c>
    </row>
    <row r="184" spans="9:17" x14ac:dyDescent="0.45">
      <c r="I184" t="s">
        <v>186</v>
      </c>
      <c r="J184" t="s">
        <v>166</v>
      </c>
      <c r="K184">
        <v>1.9304386862527142E-3</v>
      </c>
      <c r="L184" t="s">
        <v>161</v>
      </c>
      <c r="N184" t="s">
        <v>209</v>
      </c>
      <c r="O184" t="s">
        <v>166</v>
      </c>
      <c r="P184">
        <v>4.554481451075431E-2</v>
      </c>
      <c r="Q184" t="s">
        <v>161</v>
      </c>
    </row>
    <row r="185" spans="9:17" x14ac:dyDescent="0.45">
      <c r="I185" t="s">
        <v>186</v>
      </c>
      <c r="J185" t="s">
        <v>167</v>
      </c>
      <c r="K185">
        <v>3.7101340635636366E-2</v>
      </c>
      <c r="L185" t="s">
        <v>161</v>
      </c>
      <c r="N185" t="s">
        <v>209</v>
      </c>
      <c r="O185" t="s">
        <v>167</v>
      </c>
      <c r="P185">
        <v>0.13467839878546489</v>
      </c>
      <c r="Q185" t="s">
        <v>161</v>
      </c>
    </row>
    <row r="186" spans="9:17" x14ac:dyDescent="0.45">
      <c r="I186" t="s">
        <v>186</v>
      </c>
      <c r="J186" t="s">
        <v>168</v>
      </c>
      <c r="K186">
        <v>3.7914751457427632E-5</v>
      </c>
      <c r="L186" t="s">
        <v>161</v>
      </c>
      <c r="N186" t="s">
        <v>209</v>
      </c>
      <c r="O186" t="s">
        <v>168</v>
      </c>
      <c r="P186">
        <v>8.9423265297521627E-3</v>
      </c>
      <c r="Q186" t="s">
        <v>161</v>
      </c>
    </row>
    <row r="187" spans="9:17" x14ac:dyDescent="0.45">
      <c r="I187" t="s">
        <v>186</v>
      </c>
      <c r="J187" t="s">
        <v>169</v>
      </c>
      <c r="K187">
        <v>0</v>
      </c>
      <c r="L187" t="s">
        <v>161</v>
      </c>
      <c r="N187" t="s">
        <v>209</v>
      </c>
      <c r="O187" t="s">
        <v>169</v>
      </c>
      <c r="P187">
        <v>6.6633363645001761E-2</v>
      </c>
      <c r="Q187" t="s">
        <v>161</v>
      </c>
    </row>
    <row r="188" spans="9:17" x14ac:dyDescent="0.45">
      <c r="I188" t="s">
        <v>186</v>
      </c>
      <c r="J188" t="s">
        <v>170</v>
      </c>
      <c r="K188">
        <v>3.7074090924945099E-3</v>
      </c>
      <c r="L188" t="s">
        <v>161</v>
      </c>
      <c r="N188" t="s">
        <v>209</v>
      </c>
      <c r="O188" t="s">
        <v>170</v>
      </c>
      <c r="P188">
        <v>1.6737556605253934E-2</v>
      </c>
      <c r="Q188" t="s">
        <v>161</v>
      </c>
    </row>
    <row r="189" spans="9:17" x14ac:dyDescent="0.45">
      <c r="I189" t="s">
        <v>186</v>
      </c>
      <c r="J189" t="s">
        <v>171</v>
      </c>
      <c r="K189">
        <v>0</v>
      </c>
      <c r="L189" t="s">
        <v>161</v>
      </c>
      <c r="N189" t="s">
        <v>209</v>
      </c>
      <c r="O189" t="s">
        <v>171</v>
      </c>
      <c r="P189">
        <v>1.0102797863020855E-3</v>
      </c>
      <c r="Q189" t="s">
        <v>161</v>
      </c>
    </row>
    <row r="190" spans="9:17" x14ac:dyDescent="0.45">
      <c r="I190" t="s">
        <v>186</v>
      </c>
      <c r="J190" t="s">
        <v>172</v>
      </c>
      <c r="K190">
        <v>0</v>
      </c>
      <c r="L190" t="s">
        <v>161</v>
      </c>
      <c r="N190" t="s">
        <v>209</v>
      </c>
      <c r="O190" t="s">
        <v>172</v>
      </c>
      <c r="P190">
        <v>7.8168778757473998E-3</v>
      </c>
      <c r="Q190" t="s">
        <v>161</v>
      </c>
    </row>
    <row r="191" spans="9:17" x14ac:dyDescent="0.45">
      <c r="I191" t="s">
        <v>187</v>
      </c>
      <c r="J191" t="s">
        <v>160</v>
      </c>
      <c r="K191">
        <v>0.72111023598448454</v>
      </c>
      <c r="L191" t="s">
        <v>161</v>
      </c>
      <c r="N191" t="s">
        <v>210</v>
      </c>
      <c r="O191" t="s">
        <v>160</v>
      </c>
      <c r="P191">
        <v>0.39517644031301391</v>
      </c>
      <c r="Q191" t="s">
        <v>161</v>
      </c>
    </row>
    <row r="192" spans="9:17" x14ac:dyDescent="0.45">
      <c r="I192" t="s">
        <v>187</v>
      </c>
      <c r="J192" t="s">
        <v>162</v>
      </c>
      <c r="K192">
        <v>6.2131061836348096E-2</v>
      </c>
      <c r="L192" t="s">
        <v>161</v>
      </c>
      <c r="N192" t="s">
        <v>210</v>
      </c>
      <c r="O192" t="s">
        <v>162</v>
      </c>
      <c r="P192">
        <v>2.4901468556600147E-2</v>
      </c>
      <c r="Q192" t="s">
        <v>161</v>
      </c>
    </row>
    <row r="193" spans="9:17" x14ac:dyDescent="0.45">
      <c r="I193" t="s">
        <v>187</v>
      </c>
      <c r="J193" t="s">
        <v>163</v>
      </c>
      <c r="K193">
        <v>9.0351337147367136E-2</v>
      </c>
      <c r="L193" t="s">
        <v>161</v>
      </c>
      <c r="N193" t="s">
        <v>210</v>
      </c>
      <c r="O193" t="s">
        <v>163</v>
      </c>
      <c r="P193">
        <v>0.19317252496896831</v>
      </c>
      <c r="Q193" t="s">
        <v>161</v>
      </c>
    </row>
    <row r="194" spans="9:17" x14ac:dyDescent="0.45">
      <c r="I194" t="s">
        <v>187</v>
      </c>
      <c r="J194" t="s">
        <v>164</v>
      </c>
      <c r="K194">
        <v>7.9830888359914101E-2</v>
      </c>
      <c r="L194" t="s">
        <v>161</v>
      </c>
      <c r="N194" t="s">
        <v>210</v>
      </c>
      <c r="O194" t="s">
        <v>164</v>
      </c>
      <c r="P194">
        <v>9.7335318582909572E-2</v>
      </c>
      <c r="Q194" t="s">
        <v>161</v>
      </c>
    </row>
    <row r="195" spans="9:17" x14ac:dyDescent="0.45">
      <c r="I195" t="s">
        <v>187</v>
      </c>
      <c r="J195" t="s">
        <v>165</v>
      </c>
      <c r="K195">
        <v>5.1209502982553301E-3</v>
      </c>
      <c r="L195" t="s">
        <v>161</v>
      </c>
      <c r="N195" t="s">
        <v>210</v>
      </c>
      <c r="O195" t="s">
        <v>165</v>
      </c>
      <c r="P195">
        <v>5.4360365777397371E-3</v>
      </c>
      <c r="Q195" t="s">
        <v>161</v>
      </c>
    </row>
    <row r="196" spans="9:17" x14ac:dyDescent="0.45">
      <c r="I196" t="s">
        <v>187</v>
      </c>
      <c r="J196" t="s">
        <v>166</v>
      </c>
      <c r="K196">
        <v>1.9844561798111394E-3</v>
      </c>
      <c r="L196" t="s">
        <v>161</v>
      </c>
      <c r="N196" t="s">
        <v>210</v>
      </c>
      <c r="O196" t="s">
        <v>166</v>
      </c>
      <c r="P196">
        <v>4.8450604761761912E-2</v>
      </c>
      <c r="Q196" t="s">
        <v>161</v>
      </c>
    </row>
    <row r="197" spans="9:17" x14ac:dyDescent="0.45">
      <c r="I197" t="s">
        <v>187</v>
      </c>
      <c r="J197" t="s">
        <v>167</v>
      </c>
      <c r="K197">
        <v>3.6466888478990045E-2</v>
      </c>
      <c r="L197" t="s">
        <v>161</v>
      </c>
      <c r="N197" t="s">
        <v>210</v>
      </c>
      <c r="O197" t="s">
        <v>167</v>
      </c>
      <c r="P197">
        <v>0.1379928585150611</v>
      </c>
      <c r="Q197" t="s">
        <v>161</v>
      </c>
    </row>
    <row r="198" spans="9:17" x14ac:dyDescent="0.45">
      <c r="I198" t="s">
        <v>187</v>
      </c>
      <c r="J198" t="s">
        <v>168</v>
      </c>
      <c r="K198">
        <v>3.5969989251436045E-6</v>
      </c>
      <c r="L198" t="s">
        <v>161</v>
      </c>
      <c r="N198" t="s">
        <v>210</v>
      </c>
      <c r="O198" t="s">
        <v>168</v>
      </c>
      <c r="P198">
        <v>8.2990256344090824E-3</v>
      </c>
      <c r="Q198" t="s">
        <v>161</v>
      </c>
    </row>
    <row r="199" spans="9:17" x14ac:dyDescent="0.45">
      <c r="I199" t="s">
        <v>187</v>
      </c>
      <c r="J199" t="s">
        <v>169</v>
      </c>
      <c r="K199">
        <v>0</v>
      </c>
      <c r="L199" t="s">
        <v>161</v>
      </c>
      <c r="N199" t="s">
        <v>210</v>
      </c>
      <c r="O199" t="s">
        <v>169</v>
      </c>
      <c r="P199">
        <v>6.5869283498235606E-2</v>
      </c>
      <c r="Q199" t="s">
        <v>161</v>
      </c>
    </row>
    <row r="200" spans="9:17" x14ac:dyDescent="0.45">
      <c r="I200" t="s">
        <v>187</v>
      </c>
      <c r="J200" t="s">
        <v>170</v>
      </c>
      <c r="K200">
        <v>3.0005847159080444E-3</v>
      </c>
      <c r="L200" t="s">
        <v>161</v>
      </c>
      <c r="N200" t="s">
        <v>210</v>
      </c>
      <c r="O200" t="s">
        <v>170</v>
      </c>
      <c r="P200">
        <v>1.4887078935007713E-2</v>
      </c>
      <c r="Q200" t="s">
        <v>161</v>
      </c>
    </row>
    <row r="201" spans="9:17" x14ac:dyDescent="0.45">
      <c r="I201" t="s">
        <v>187</v>
      </c>
      <c r="J201" t="s">
        <v>171</v>
      </c>
      <c r="K201">
        <v>0</v>
      </c>
      <c r="L201" t="s">
        <v>161</v>
      </c>
      <c r="N201" t="s">
        <v>210</v>
      </c>
      <c r="O201" t="s">
        <v>171</v>
      </c>
      <c r="P201">
        <v>9.7714201772930377E-4</v>
      </c>
      <c r="Q201" t="s">
        <v>161</v>
      </c>
    </row>
    <row r="202" spans="9:17" x14ac:dyDescent="0.45">
      <c r="I202" t="s">
        <v>187</v>
      </c>
      <c r="J202" t="s">
        <v>172</v>
      </c>
      <c r="K202">
        <v>0</v>
      </c>
      <c r="L202" t="s">
        <v>161</v>
      </c>
      <c r="N202" t="s">
        <v>210</v>
      </c>
      <c r="O202" t="s">
        <v>172</v>
      </c>
      <c r="P202">
        <v>7.502217638563167E-3</v>
      </c>
      <c r="Q202" t="s">
        <v>161</v>
      </c>
    </row>
    <row r="203" spans="9:17" x14ac:dyDescent="0.45">
      <c r="I203" t="s">
        <v>188</v>
      </c>
      <c r="J203" t="s">
        <v>160</v>
      </c>
      <c r="K203">
        <v>0.72334072925014892</v>
      </c>
      <c r="L203" t="s">
        <v>161</v>
      </c>
      <c r="N203" t="s">
        <v>211</v>
      </c>
      <c r="O203" t="s">
        <v>160</v>
      </c>
      <c r="P203">
        <v>0.39655107148162533</v>
      </c>
      <c r="Q203" t="s">
        <v>161</v>
      </c>
    </row>
    <row r="204" spans="9:17" x14ac:dyDescent="0.45">
      <c r="I204" t="s">
        <v>188</v>
      </c>
      <c r="J204" t="s">
        <v>162</v>
      </c>
      <c r="K204">
        <v>5.7840537502451314E-2</v>
      </c>
      <c r="L204" t="s">
        <v>161</v>
      </c>
      <c r="N204" t="s">
        <v>211</v>
      </c>
      <c r="O204" t="s">
        <v>162</v>
      </c>
      <c r="P204">
        <v>2.6031117372108288E-2</v>
      </c>
      <c r="Q204" t="s">
        <v>161</v>
      </c>
    </row>
    <row r="205" spans="9:17" x14ac:dyDescent="0.45">
      <c r="I205" t="s">
        <v>188</v>
      </c>
      <c r="J205" t="s">
        <v>163</v>
      </c>
      <c r="K205">
        <v>7.9852273484440253E-2</v>
      </c>
      <c r="L205" t="s">
        <v>161</v>
      </c>
      <c r="N205" t="s">
        <v>211</v>
      </c>
      <c r="O205" t="s">
        <v>163</v>
      </c>
      <c r="P205">
        <v>0.17897087641957082</v>
      </c>
      <c r="Q205" t="s">
        <v>161</v>
      </c>
    </row>
    <row r="206" spans="9:17" x14ac:dyDescent="0.45">
      <c r="I206" t="s">
        <v>188</v>
      </c>
      <c r="J206" t="s">
        <v>164</v>
      </c>
      <c r="K206">
        <v>8.363652064778565E-2</v>
      </c>
      <c r="L206" t="s">
        <v>161</v>
      </c>
      <c r="N206" t="s">
        <v>211</v>
      </c>
      <c r="O206" t="s">
        <v>164</v>
      </c>
      <c r="P206">
        <v>9.9472945829496937E-2</v>
      </c>
      <c r="Q206" t="s">
        <v>161</v>
      </c>
    </row>
    <row r="207" spans="9:17" x14ac:dyDescent="0.45">
      <c r="I207" t="s">
        <v>188</v>
      </c>
      <c r="J207" t="s">
        <v>165</v>
      </c>
      <c r="K207">
        <v>6.2418964555726441E-3</v>
      </c>
      <c r="L207" t="s">
        <v>161</v>
      </c>
      <c r="N207" t="s">
        <v>211</v>
      </c>
      <c r="O207" t="s">
        <v>165</v>
      </c>
      <c r="P207">
        <v>5.9880290279465571E-3</v>
      </c>
      <c r="Q207" t="s">
        <v>161</v>
      </c>
    </row>
    <row r="208" spans="9:17" x14ac:dyDescent="0.45">
      <c r="I208" t="s">
        <v>188</v>
      </c>
      <c r="J208" t="s">
        <v>166</v>
      </c>
      <c r="K208">
        <v>2.248822383475616E-3</v>
      </c>
      <c r="L208" t="s">
        <v>161</v>
      </c>
      <c r="N208" t="s">
        <v>211</v>
      </c>
      <c r="O208" t="s">
        <v>166</v>
      </c>
      <c r="P208">
        <v>4.824452421567977E-2</v>
      </c>
      <c r="Q208" t="s">
        <v>161</v>
      </c>
    </row>
    <row r="209" spans="9:17" x14ac:dyDescent="0.45">
      <c r="I209" t="s">
        <v>188</v>
      </c>
      <c r="J209" t="s">
        <v>167</v>
      </c>
      <c r="K209">
        <v>4.2594908224262644E-2</v>
      </c>
      <c r="L209" t="s">
        <v>161</v>
      </c>
      <c r="N209" t="s">
        <v>211</v>
      </c>
      <c r="O209" t="s">
        <v>167</v>
      </c>
      <c r="P209">
        <v>0.14330008742911865</v>
      </c>
      <c r="Q209" t="s">
        <v>161</v>
      </c>
    </row>
    <row r="210" spans="9:17" x14ac:dyDescent="0.45">
      <c r="I210" t="s">
        <v>188</v>
      </c>
      <c r="J210" t="s">
        <v>168</v>
      </c>
      <c r="K210">
        <v>6.7134346540074379E-4</v>
      </c>
      <c r="L210" t="s">
        <v>161</v>
      </c>
      <c r="N210" t="s">
        <v>211</v>
      </c>
      <c r="O210" t="s">
        <v>168</v>
      </c>
      <c r="P210">
        <v>8.7629364424968541E-3</v>
      </c>
      <c r="Q210" t="s">
        <v>161</v>
      </c>
    </row>
    <row r="211" spans="9:17" x14ac:dyDescent="0.45">
      <c r="I211" t="s">
        <v>188</v>
      </c>
      <c r="J211" t="s">
        <v>169</v>
      </c>
      <c r="K211">
        <v>0</v>
      </c>
      <c r="L211" t="s">
        <v>161</v>
      </c>
      <c r="N211" t="s">
        <v>211</v>
      </c>
      <c r="O211" t="s">
        <v>169</v>
      </c>
      <c r="P211">
        <v>6.4978102925465339E-2</v>
      </c>
      <c r="Q211" t="s">
        <v>161</v>
      </c>
    </row>
    <row r="212" spans="9:17" x14ac:dyDescent="0.45">
      <c r="I212" t="s">
        <v>188</v>
      </c>
      <c r="J212" t="s">
        <v>170</v>
      </c>
      <c r="K212">
        <v>3.5729685864610799E-3</v>
      </c>
      <c r="L212" t="s">
        <v>161</v>
      </c>
      <c r="N212" t="s">
        <v>211</v>
      </c>
      <c r="O212" t="s">
        <v>170</v>
      </c>
      <c r="P212">
        <v>1.8559830344412824E-2</v>
      </c>
      <c r="Q212" t="s">
        <v>161</v>
      </c>
    </row>
    <row r="213" spans="9:17" x14ac:dyDescent="0.45">
      <c r="I213" t="s">
        <v>188</v>
      </c>
      <c r="J213" t="s">
        <v>171</v>
      </c>
      <c r="K213">
        <v>0</v>
      </c>
      <c r="L213" t="s">
        <v>161</v>
      </c>
      <c r="N213" t="s">
        <v>211</v>
      </c>
      <c r="O213" t="s">
        <v>171</v>
      </c>
      <c r="P213">
        <v>1.065385761567764E-3</v>
      </c>
      <c r="Q213" t="s">
        <v>161</v>
      </c>
    </row>
    <row r="214" spans="9:17" x14ac:dyDescent="0.45">
      <c r="I214" t="s">
        <v>188</v>
      </c>
      <c r="J214" t="s">
        <v>172</v>
      </c>
      <c r="K214">
        <v>0</v>
      </c>
      <c r="L214" t="s">
        <v>161</v>
      </c>
      <c r="N214" t="s">
        <v>211</v>
      </c>
      <c r="O214" t="s">
        <v>172</v>
      </c>
      <c r="P214">
        <v>8.075092750511971E-3</v>
      </c>
      <c r="Q214" t="s">
        <v>161</v>
      </c>
    </row>
    <row r="215" spans="9:17" x14ac:dyDescent="0.45">
      <c r="I215" t="s">
        <v>189</v>
      </c>
      <c r="J215" t="s">
        <v>160</v>
      </c>
      <c r="K215">
        <v>0.71825719990688563</v>
      </c>
      <c r="L215" t="s">
        <v>161</v>
      </c>
      <c r="N215" t="s">
        <v>212</v>
      </c>
      <c r="O215" t="s">
        <v>160</v>
      </c>
      <c r="P215">
        <v>0.42560704288176704</v>
      </c>
      <c r="Q215" t="s">
        <v>161</v>
      </c>
    </row>
    <row r="216" spans="9:17" x14ac:dyDescent="0.45">
      <c r="I216" t="s">
        <v>189</v>
      </c>
      <c r="J216" t="s">
        <v>162</v>
      </c>
      <c r="K216">
        <v>5.8601275291182149E-2</v>
      </c>
      <c r="L216" t="s">
        <v>161</v>
      </c>
      <c r="N216" t="s">
        <v>212</v>
      </c>
      <c r="O216" t="s">
        <v>162</v>
      </c>
      <c r="P216">
        <v>2.6252275292578689E-2</v>
      </c>
      <c r="Q216" t="s">
        <v>161</v>
      </c>
    </row>
    <row r="217" spans="9:17" x14ac:dyDescent="0.45">
      <c r="I217" t="s">
        <v>189</v>
      </c>
      <c r="J217" t="s">
        <v>163</v>
      </c>
      <c r="K217">
        <v>7.9739972530616571E-2</v>
      </c>
      <c r="L217" t="s">
        <v>161</v>
      </c>
      <c r="N217" t="s">
        <v>212</v>
      </c>
      <c r="O217" t="s">
        <v>163</v>
      </c>
      <c r="P217">
        <v>0.21164148174279199</v>
      </c>
      <c r="Q217" t="s">
        <v>161</v>
      </c>
    </row>
    <row r="218" spans="9:17" x14ac:dyDescent="0.45">
      <c r="I218" t="s">
        <v>189</v>
      </c>
      <c r="J218" t="s">
        <v>164</v>
      </c>
      <c r="K218">
        <v>8.3806559369259653E-2</v>
      </c>
      <c r="L218" t="s">
        <v>161</v>
      </c>
      <c r="N218" t="s">
        <v>212</v>
      </c>
      <c r="O218" t="s">
        <v>164</v>
      </c>
      <c r="P218">
        <v>7.8043562045723741E-2</v>
      </c>
      <c r="Q218" t="s">
        <v>161</v>
      </c>
    </row>
    <row r="219" spans="9:17" x14ac:dyDescent="0.45">
      <c r="I219" t="s">
        <v>189</v>
      </c>
      <c r="J219" t="s">
        <v>165</v>
      </c>
      <c r="K219">
        <v>6.4730701807310153E-3</v>
      </c>
      <c r="L219" t="s">
        <v>161</v>
      </c>
      <c r="N219" t="s">
        <v>212</v>
      </c>
      <c r="O219" t="s">
        <v>165</v>
      </c>
      <c r="P219">
        <v>4.8657840301120497E-3</v>
      </c>
      <c r="Q219" t="s">
        <v>161</v>
      </c>
    </row>
    <row r="220" spans="9:17" x14ac:dyDescent="0.45">
      <c r="I220" t="s">
        <v>189</v>
      </c>
      <c r="J220" t="s">
        <v>166</v>
      </c>
      <c r="K220">
        <v>2.4148764836060461E-3</v>
      </c>
      <c r="L220" t="s">
        <v>161</v>
      </c>
      <c r="N220" t="s">
        <v>212</v>
      </c>
      <c r="O220" t="s">
        <v>166</v>
      </c>
      <c r="P220">
        <v>3.9735902710611302E-2</v>
      </c>
      <c r="Q220" t="s">
        <v>161</v>
      </c>
    </row>
    <row r="221" spans="9:17" x14ac:dyDescent="0.45">
      <c r="I221" t="s">
        <v>189</v>
      </c>
      <c r="J221" t="s">
        <v>167</v>
      </c>
      <c r="K221">
        <v>4.5344242346286701E-2</v>
      </c>
      <c r="L221" t="s">
        <v>161</v>
      </c>
      <c r="N221" t="s">
        <v>212</v>
      </c>
      <c r="O221" t="s">
        <v>167</v>
      </c>
      <c r="P221">
        <v>0.12951825466543701</v>
      </c>
      <c r="Q221" t="s">
        <v>161</v>
      </c>
    </row>
    <row r="222" spans="9:17" x14ac:dyDescent="0.45">
      <c r="I222" t="s">
        <v>189</v>
      </c>
      <c r="J222" t="s">
        <v>168</v>
      </c>
      <c r="K222">
        <v>8.71731158328213E-4</v>
      </c>
      <c r="L222" t="s">
        <v>161</v>
      </c>
      <c r="N222" t="s">
        <v>212</v>
      </c>
      <c r="O222" t="s">
        <v>168</v>
      </c>
      <c r="P222">
        <v>8.9791999418495014E-3</v>
      </c>
      <c r="Q222" t="s">
        <v>161</v>
      </c>
    </row>
    <row r="223" spans="9:17" x14ac:dyDescent="0.45">
      <c r="I223" t="s">
        <v>189</v>
      </c>
      <c r="J223" t="s">
        <v>169</v>
      </c>
      <c r="K223">
        <v>0</v>
      </c>
      <c r="L223" t="s">
        <v>161</v>
      </c>
      <c r="N223" t="s">
        <v>212</v>
      </c>
      <c r="O223" t="s">
        <v>169</v>
      </c>
      <c r="P223">
        <v>6.2930721671558068E-2</v>
      </c>
      <c r="Q223" t="s">
        <v>161</v>
      </c>
    </row>
    <row r="224" spans="9:17" x14ac:dyDescent="0.45">
      <c r="I224" t="s">
        <v>189</v>
      </c>
      <c r="J224" t="s">
        <v>170</v>
      </c>
      <c r="K224">
        <v>4.4790868313950476E-3</v>
      </c>
      <c r="L224" t="s">
        <v>161</v>
      </c>
      <c r="N224" t="s">
        <v>212</v>
      </c>
      <c r="O224" t="s">
        <v>170</v>
      </c>
      <c r="P224">
        <v>8.0640925195554145E-3</v>
      </c>
      <c r="Q224" t="s">
        <v>161</v>
      </c>
    </row>
    <row r="225" spans="9:17" x14ac:dyDescent="0.45">
      <c r="I225" t="s">
        <v>189</v>
      </c>
      <c r="J225" t="s">
        <v>171</v>
      </c>
      <c r="K225">
        <v>1.1985901709345212E-5</v>
      </c>
      <c r="L225" t="s">
        <v>161</v>
      </c>
      <c r="N225" t="s">
        <v>212</v>
      </c>
      <c r="O225" t="s">
        <v>171</v>
      </c>
      <c r="P225">
        <v>2.5247882866021823E-4</v>
      </c>
      <c r="Q225" t="s">
        <v>161</v>
      </c>
    </row>
    <row r="226" spans="9:17" x14ac:dyDescent="0.45">
      <c r="I226" t="s">
        <v>189</v>
      </c>
      <c r="J226" t="s">
        <v>172</v>
      </c>
      <c r="K226">
        <v>0</v>
      </c>
      <c r="L226" t="s">
        <v>161</v>
      </c>
      <c r="N226" t="s">
        <v>212</v>
      </c>
      <c r="O226" t="s">
        <v>172</v>
      </c>
      <c r="P226">
        <v>4.1092036693529546E-3</v>
      </c>
      <c r="Q226" t="s">
        <v>161</v>
      </c>
    </row>
    <row r="227" spans="9:17" x14ac:dyDescent="0.45">
      <c r="I227" t="s">
        <v>190</v>
      </c>
      <c r="J227" t="s">
        <v>160</v>
      </c>
      <c r="K227">
        <v>0.73776625059645606</v>
      </c>
      <c r="L227" t="s">
        <v>161</v>
      </c>
      <c r="N227" t="s">
        <v>213</v>
      </c>
      <c r="O227" t="s">
        <v>160</v>
      </c>
      <c r="P227">
        <v>0.40095721026464304</v>
      </c>
      <c r="Q227" t="s">
        <v>161</v>
      </c>
    </row>
    <row r="228" spans="9:17" x14ac:dyDescent="0.45">
      <c r="I228" t="s">
        <v>190</v>
      </c>
      <c r="J228" t="s">
        <v>162</v>
      </c>
      <c r="K228">
        <v>5.5272430467139477E-2</v>
      </c>
      <c r="L228" t="s">
        <v>161</v>
      </c>
      <c r="N228" t="s">
        <v>213</v>
      </c>
      <c r="O228" t="s">
        <v>162</v>
      </c>
      <c r="P228">
        <v>2.4007476360338651E-2</v>
      </c>
      <c r="Q228" t="s">
        <v>161</v>
      </c>
    </row>
    <row r="229" spans="9:17" x14ac:dyDescent="0.45">
      <c r="I229" t="s">
        <v>190</v>
      </c>
      <c r="J229" t="s">
        <v>163</v>
      </c>
      <c r="K229">
        <v>6.9963106226964486E-2</v>
      </c>
      <c r="L229" t="s">
        <v>161</v>
      </c>
      <c r="N229" t="s">
        <v>213</v>
      </c>
      <c r="O229" t="s">
        <v>163</v>
      </c>
      <c r="P229">
        <v>0.20503920300509804</v>
      </c>
      <c r="Q229" t="s">
        <v>161</v>
      </c>
    </row>
    <row r="230" spans="9:17" x14ac:dyDescent="0.45">
      <c r="I230" t="s">
        <v>190</v>
      </c>
      <c r="J230" t="s">
        <v>164</v>
      </c>
      <c r="K230">
        <v>8.5884962919731717E-2</v>
      </c>
      <c r="L230" t="s">
        <v>161</v>
      </c>
      <c r="N230" t="s">
        <v>213</v>
      </c>
      <c r="O230" t="s">
        <v>164</v>
      </c>
      <c r="P230">
        <v>9.2758822741806815E-2</v>
      </c>
      <c r="Q230" t="s">
        <v>161</v>
      </c>
    </row>
    <row r="231" spans="9:17" x14ac:dyDescent="0.45">
      <c r="I231" t="s">
        <v>190</v>
      </c>
      <c r="J231" t="s">
        <v>165</v>
      </c>
      <c r="K231">
        <v>5.0477997634476007E-3</v>
      </c>
      <c r="L231" t="s">
        <v>161</v>
      </c>
      <c r="N231" t="s">
        <v>213</v>
      </c>
      <c r="O231" t="s">
        <v>165</v>
      </c>
      <c r="P231">
        <v>5.2314328358812725E-3</v>
      </c>
      <c r="Q231" t="s">
        <v>161</v>
      </c>
    </row>
    <row r="232" spans="9:17" x14ac:dyDescent="0.45">
      <c r="I232" t="s">
        <v>190</v>
      </c>
      <c r="J232" t="s">
        <v>166</v>
      </c>
      <c r="K232">
        <v>1.5444067464391881E-3</v>
      </c>
      <c r="L232" t="s">
        <v>161</v>
      </c>
      <c r="N232" t="s">
        <v>213</v>
      </c>
      <c r="O232" t="s">
        <v>166</v>
      </c>
      <c r="P232">
        <v>4.358386446302507E-2</v>
      </c>
      <c r="Q232" t="s">
        <v>161</v>
      </c>
    </row>
    <row r="233" spans="9:17" x14ac:dyDescent="0.45">
      <c r="I233" t="s">
        <v>190</v>
      </c>
      <c r="J233" t="s">
        <v>167</v>
      </c>
      <c r="K233">
        <v>3.9358576449115751E-2</v>
      </c>
      <c r="L233" t="s">
        <v>161</v>
      </c>
      <c r="N233" t="s">
        <v>213</v>
      </c>
      <c r="O233" t="s">
        <v>167</v>
      </c>
      <c r="P233">
        <v>0.13410035241261331</v>
      </c>
      <c r="Q233" t="s">
        <v>161</v>
      </c>
    </row>
    <row r="234" spans="9:17" x14ac:dyDescent="0.45">
      <c r="I234" t="s">
        <v>190</v>
      </c>
      <c r="J234" t="s">
        <v>168</v>
      </c>
      <c r="K234">
        <v>1.5005857531796089E-4</v>
      </c>
      <c r="L234" t="s">
        <v>161</v>
      </c>
      <c r="N234" t="s">
        <v>213</v>
      </c>
      <c r="O234" t="s">
        <v>168</v>
      </c>
      <c r="P234">
        <v>8.8779541181170027E-3</v>
      </c>
      <c r="Q234" t="s">
        <v>161</v>
      </c>
    </row>
    <row r="235" spans="9:17" x14ac:dyDescent="0.45">
      <c r="I235" t="s">
        <v>190</v>
      </c>
      <c r="J235" t="s">
        <v>169</v>
      </c>
      <c r="K235">
        <v>0</v>
      </c>
      <c r="L235" t="s">
        <v>161</v>
      </c>
      <c r="N235" t="s">
        <v>213</v>
      </c>
      <c r="O235" t="s">
        <v>169</v>
      </c>
      <c r="P235">
        <v>6.8247644914235697E-2</v>
      </c>
      <c r="Q235" t="s">
        <v>161</v>
      </c>
    </row>
    <row r="236" spans="9:17" x14ac:dyDescent="0.45">
      <c r="I236" t="s">
        <v>190</v>
      </c>
      <c r="J236" t="s">
        <v>170</v>
      </c>
      <c r="K236">
        <v>5.0124082553892084E-3</v>
      </c>
      <c r="L236" t="s">
        <v>161</v>
      </c>
      <c r="N236" t="s">
        <v>213</v>
      </c>
      <c r="O236" t="s">
        <v>170</v>
      </c>
      <c r="P236">
        <v>1.0234070353351209E-2</v>
      </c>
      <c r="Q236" t="s">
        <v>161</v>
      </c>
    </row>
    <row r="237" spans="9:17" x14ac:dyDescent="0.45">
      <c r="I237" t="s">
        <v>190</v>
      </c>
      <c r="J237" t="s">
        <v>171</v>
      </c>
      <c r="K237">
        <v>0</v>
      </c>
      <c r="L237" t="s">
        <v>161</v>
      </c>
      <c r="N237" t="s">
        <v>213</v>
      </c>
      <c r="O237" t="s">
        <v>171</v>
      </c>
      <c r="P237">
        <v>6.5909939717924296E-4</v>
      </c>
      <c r="Q237" t="s">
        <v>161</v>
      </c>
    </row>
    <row r="238" spans="9:17" x14ac:dyDescent="0.45">
      <c r="I238" t="s">
        <v>190</v>
      </c>
      <c r="J238" t="s">
        <v>172</v>
      </c>
      <c r="K238">
        <v>0</v>
      </c>
      <c r="L238" t="s">
        <v>161</v>
      </c>
      <c r="N238" t="s">
        <v>213</v>
      </c>
      <c r="O238" t="s">
        <v>172</v>
      </c>
      <c r="P238">
        <v>6.3028691337155109E-3</v>
      </c>
      <c r="Q238" t="s">
        <v>161</v>
      </c>
    </row>
    <row r="239" spans="9:17" x14ac:dyDescent="0.45">
      <c r="I239" t="s">
        <v>191</v>
      </c>
      <c r="J239" t="s">
        <v>160</v>
      </c>
      <c r="K239">
        <v>0.73282664929214381</v>
      </c>
      <c r="L239" t="s">
        <v>161</v>
      </c>
      <c r="N239" t="s">
        <v>214</v>
      </c>
      <c r="O239" t="s">
        <v>160</v>
      </c>
      <c r="P239">
        <v>0.41399420115784352</v>
      </c>
      <c r="Q239" t="s">
        <v>161</v>
      </c>
    </row>
    <row r="240" spans="9:17" x14ac:dyDescent="0.45">
      <c r="I240" t="s">
        <v>191</v>
      </c>
      <c r="J240" t="s">
        <v>162</v>
      </c>
      <c r="K240">
        <v>5.5028638730709158E-2</v>
      </c>
      <c r="L240" t="s">
        <v>161</v>
      </c>
      <c r="N240" t="s">
        <v>214</v>
      </c>
      <c r="O240" t="s">
        <v>162</v>
      </c>
      <c r="P240">
        <v>3.0791927721288279E-2</v>
      </c>
      <c r="Q240" t="s">
        <v>161</v>
      </c>
    </row>
    <row r="241" spans="9:17" x14ac:dyDescent="0.45">
      <c r="I241" t="s">
        <v>191</v>
      </c>
      <c r="J241" t="s">
        <v>163</v>
      </c>
      <c r="K241">
        <v>7.0509805670508366E-2</v>
      </c>
      <c r="L241" t="s">
        <v>161</v>
      </c>
      <c r="N241" t="s">
        <v>214</v>
      </c>
      <c r="O241" t="s">
        <v>163</v>
      </c>
      <c r="P241">
        <v>0.21636156786737218</v>
      </c>
      <c r="Q241" t="s">
        <v>161</v>
      </c>
    </row>
    <row r="242" spans="9:17" x14ac:dyDescent="0.45">
      <c r="I242" t="s">
        <v>191</v>
      </c>
      <c r="J242" t="s">
        <v>164</v>
      </c>
      <c r="K242">
        <v>8.7245304405924096E-2</v>
      </c>
      <c r="L242" t="s">
        <v>161</v>
      </c>
      <c r="N242" t="s">
        <v>214</v>
      </c>
      <c r="O242" t="s">
        <v>164</v>
      </c>
      <c r="P242">
        <v>7.2574465478942626E-2</v>
      </c>
      <c r="Q242" t="s">
        <v>161</v>
      </c>
    </row>
    <row r="243" spans="9:17" x14ac:dyDescent="0.45">
      <c r="I243" t="s">
        <v>191</v>
      </c>
      <c r="J243" t="s">
        <v>165</v>
      </c>
      <c r="K243">
        <v>5.7641998555014676E-3</v>
      </c>
      <c r="L243" t="s">
        <v>161</v>
      </c>
      <c r="N243" t="s">
        <v>214</v>
      </c>
      <c r="O243" t="s">
        <v>165</v>
      </c>
      <c r="P243">
        <v>5.8784315700170075E-3</v>
      </c>
      <c r="Q243" t="s">
        <v>161</v>
      </c>
    </row>
    <row r="244" spans="9:17" x14ac:dyDescent="0.45">
      <c r="I244" t="s">
        <v>191</v>
      </c>
      <c r="J244" t="s">
        <v>166</v>
      </c>
      <c r="K244">
        <v>2.0147691559137342E-3</v>
      </c>
      <c r="L244" t="s">
        <v>161</v>
      </c>
      <c r="N244" t="s">
        <v>214</v>
      </c>
      <c r="O244" t="s">
        <v>166</v>
      </c>
      <c r="P244">
        <v>3.3689964008320604E-2</v>
      </c>
      <c r="Q244" t="s">
        <v>161</v>
      </c>
    </row>
    <row r="245" spans="9:17" x14ac:dyDescent="0.45">
      <c r="I245" t="s">
        <v>191</v>
      </c>
      <c r="J245" t="s">
        <v>167</v>
      </c>
      <c r="K245">
        <v>4.1400214728070671E-2</v>
      </c>
      <c r="L245" t="s">
        <v>161</v>
      </c>
      <c r="N245" t="s">
        <v>214</v>
      </c>
      <c r="O245" t="s">
        <v>167</v>
      </c>
      <c r="P245">
        <v>0.14165976616993856</v>
      </c>
      <c r="Q245" t="s">
        <v>161</v>
      </c>
    </row>
    <row r="246" spans="9:17" x14ac:dyDescent="0.45">
      <c r="I246" t="s">
        <v>191</v>
      </c>
      <c r="J246" t="s">
        <v>168</v>
      </c>
      <c r="K246">
        <v>2.4023010820179618E-4</v>
      </c>
      <c r="L246" t="s">
        <v>161</v>
      </c>
      <c r="N246" t="s">
        <v>214</v>
      </c>
      <c r="O246" t="s">
        <v>168</v>
      </c>
      <c r="P246">
        <v>9.1297127447838404E-3</v>
      </c>
      <c r="Q246" t="s">
        <v>161</v>
      </c>
    </row>
    <row r="247" spans="9:17" x14ac:dyDescent="0.45">
      <c r="I247" t="s">
        <v>191</v>
      </c>
      <c r="J247" t="s">
        <v>169</v>
      </c>
      <c r="K247">
        <v>0</v>
      </c>
      <c r="L247" t="s">
        <v>161</v>
      </c>
      <c r="N247" t="s">
        <v>214</v>
      </c>
      <c r="O247" t="s">
        <v>169</v>
      </c>
      <c r="P247">
        <v>6.6053311120551308E-2</v>
      </c>
      <c r="Q247" t="s">
        <v>161</v>
      </c>
    </row>
    <row r="248" spans="9:17" x14ac:dyDescent="0.45">
      <c r="I248" t="s">
        <v>191</v>
      </c>
      <c r="J248" t="s">
        <v>170</v>
      </c>
      <c r="K248">
        <v>4.9701880530287571E-3</v>
      </c>
      <c r="L248" t="s">
        <v>161</v>
      </c>
      <c r="N248" t="s">
        <v>214</v>
      </c>
      <c r="O248" t="s">
        <v>170</v>
      </c>
      <c r="P248">
        <v>4.4828904019617796E-3</v>
      </c>
      <c r="Q248" t="s">
        <v>161</v>
      </c>
    </row>
    <row r="249" spans="9:17" x14ac:dyDescent="0.45">
      <c r="I249" t="s">
        <v>191</v>
      </c>
      <c r="J249" t="s">
        <v>171</v>
      </c>
      <c r="K249">
        <v>0</v>
      </c>
      <c r="L249" t="s">
        <v>161</v>
      </c>
      <c r="N249" t="s">
        <v>214</v>
      </c>
      <c r="O249" t="s">
        <v>171</v>
      </c>
      <c r="P249">
        <v>2.8806249541621614E-4</v>
      </c>
      <c r="Q249" t="s">
        <v>161</v>
      </c>
    </row>
    <row r="250" spans="9:17" x14ac:dyDescent="0.45">
      <c r="I250" t="s">
        <v>191</v>
      </c>
      <c r="J250" t="s">
        <v>172</v>
      </c>
      <c r="K250">
        <v>0</v>
      </c>
      <c r="L250" t="s">
        <v>161</v>
      </c>
      <c r="N250" t="s">
        <v>214</v>
      </c>
      <c r="O250" t="s">
        <v>172</v>
      </c>
      <c r="P250">
        <v>5.0956992635649446E-3</v>
      </c>
      <c r="Q250" t="s">
        <v>161</v>
      </c>
    </row>
    <row r="251" spans="9:17" x14ac:dyDescent="0.45">
      <c r="I251" t="s">
        <v>192</v>
      </c>
      <c r="J251" t="s">
        <v>160</v>
      </c>
      <c r="K251">
        <v>0.72213646658047959</v>
      </c>
      <c r="L251" t="s">
        <v>161</v>
      </c>
      <c r="N251" t="s">
        <v>215</v>
      </c>
      <c r="O251" t="s">
        <v>160</v>
      </c>
      <c r="P251">
        <v>0.41771699089263808</v>
      </c>
      <c r="Q251" t="s">
        <v>161</v>
      </c>
    </row>
    <row r="252" spans="9:17" x14ac:dyDescent="0.45">
      <c r="I252" t="s">
        <v>192</v>
      </c>
      <c r="J252" t="s">
        <v>162</v>
      </c>
      <c r="K252">
        <v>5.7004932277046061E-2</v>
      </c>
      <c r="L252" t="s">
        <v>161</v>
      </c>
      <c r="N252" t="s">
        <v>215</v>
      </c>
      <c r="O252" t="s">
        <v>162</v>
      </c>
      <c r="P252">
        <v>2.5642126303599192E-2</v>
      </c>
      <c r="Q252" t="s">
        <v>161</v>
      </c>
    </row>
    <row r="253" spans="9:17" x14ac:dyDescent="0.45">
      <c r="I253" t="s">
        <v>192</v>
      </c>
      <c r="J253" t="s">
        <v>163</v>
      </c>
      <c r="K253">
        <v>7.7551110274027141E-2</v>
      </c>
      <c r="L253" t="s">
        <v>161</v>
      </c>
      <c r="N253" t="s">
        <v>215</v>
      </c>
      <c r="O253" t="s">
        <v>163</v>
      </c>
      <c r="P253">
        <v>0.21694677773184859</v>
      </c>
      <c r="Q253" t="s">
        <v>161</v>
      </c>
    </row>
    <row r="254" spans="9:17" x14ac:dyDescent="0.45">
      <c r="I254" t="s">
        <v>192</v>
      </c>
      <c r="J254" t="s">
        <v>164</v>
      </c>
      <c r="K254">
        <v>9.0548058002897225E-2</v>
      </c>
      <c r="L254" t="s">
        <v>161</v>
      </c>
      <c r="N254" t="s">
        <v>215</v>
      </c>
      <c r="O254" t="s">
        <v>164</v>
      </c>
      <c r="P254">
        <v>7.3744678210496489E-2</v>
      </c>
      <c r="Q254" t="s">
        <v>161</v>
      </c>
    </row>
    <row r="255" spans="9:17" x14ac:dyDescent="0.45">
      <c r="I255" t="s">
        <v>192</v>
      </c>
      <c r="J255" t="s">
        <v>165</v>
      </c>
      <c r="K255">
        <v>6.1873517160254366E-3</v>
      </c>
      <c r="L255" t="s">
        <v>161</v>
      </c>
      <c r="N255" t="s">
        <v>215</v>
      </c>
      <c r="O255" t="s">
        <v>165</v>
      </c>
      <c r="P255">
        <v>5.1467584193998286E-3</v>
      </c>
      <c r="Q255" t="s">
        <v>161</v>
      </c>
    </row>
    <row r="256" spans="9:17" x14ac:dyDescent="0.45">
      <c r="I256" t="s">
        <v>192</v>
      </c>
      <c r="J256" t="s">
        <v>166</v>
      </c>
      <c r="K256">
        <v>2.1331455829744074E-3</v>
      </c>
      <c r="L256" t="s">
        <v>161</v>
      </c>
      <c r="N256" t="s">
        <v>215</v>
      </c>
      <c r="O256" t="s">
        <v>166</v>
      </c>
      <c r="P256">
        <v>3.8605669587352044E-2</v>
      </c>
      <c r="Q256" t="s">
        <v>161</v>
      </c>
    </row>
    <row r="257" spans="9:17" x14ac:dyDescent="0.45">
      <c r="I257" t="s">
        <v>192</v>
      </c>
      <c r="J257" t="s">
        <v>167</v>
      </c>
      <c r="K257">
        <v>4.0707831371743552E-2</v>
      </c>
      <c r="L257" t="s">
        <v>161</v>
      </c>
      <c r="N257" t="s">
        <v>215</v>
      </c>
      <c r="O257" t="s">
        <v>167</v>
      </c>
      <c r="P257">
        <v>0.13479243176142788</v>
      </c>
      <c r="Q257" t="s">
        <v>161</v>
      </c>
    </row>
    <row r="258" spans="9:17" x14ac:dyDescent="0.45">
      <c r="I258" t="s">
        <v>192</v>
      </c>
      <c r="J258" t="s">
        <v>168</v>
      </c>
      <c r="K258">
        <v>1.8668962015216565E-4</v>
      </c>
      <c r="L258" t="s">
        <v>161</v>
      </c>
      <c r="N258" t="s">
        <v>215</v>
      </c>
      <c r="O258" t="s">
        <v>168</v>
      </c>
      <c r="P258">
        <v>9.35822800226053E-3</v>
      </c>
      <c r="Q258" t="s">
        <v>161</v>
      </c>
    </row>
    <row r="259" spans="9:17" x14ac:dyDescent="0.45">
      <c r="I259" t="s">
        <v>192</v>
      </c>
      <c r="J259" t="s">
        <v>169</v>
      </c>
      <c r="K259">
        <v>0</v>
      </c>
      <c r="L259" t="s">
        <v>161</v>
      </c>
      <c r="N259" t="s">
        <v>215</v>
      </c>
      <c r="O259" t="s">
        <v>169</v>
      </c>
      <c r="P259">
        <v>6.7043491769815014E-2</v>
      </c>
      <c r="Q259" t="s">
        <v>161</v>
      </c>
    </row>
    <row r="260" spans="9:17" x14ac:dyDescent="0.45">
      <c r="I260" t="s">
        <v>192</v>
      </c>
      <c r="J260" t="s">
        <v>170</v>
      </c>
      <c r="K260">
        <v>3.5444145746558004E-3</v>
      </c>
      <c r="L260" t="s">
        <v>161</v>
      </c>
      <c r="N260" t="s">
        <v>215</v>
      </c>
      <c r="O260" t="s">
        <v>170</v>
      </c>
      <c r="P260">
        <v>6.0468619014718622E-3</v>
      </c>
      <c r="Q260" t="s">
        <v>161</v>
      </c>
    </row>
    <row r="261" spans="9:17" x14ac:dyDescent="0.45">
      <c r="I261" t="s">
        <v>192</v>
      </c>
      <c r="J261" t="s">
        <v>171</v>
      </c>
      <c r="K261">
        <v>0</v>
      </c>
      <c r="L261" t="s">
        <v>161</v>
      </c>
      <c r="N261" t="s">
        <v>215</v>
      </c>
      <c r="O261" t="s">
        <v>171</v>
      </c>
      <c r="P261">
        <v>3.0126523527416771E-4</v>
      </c>
      <c r="Q261" t="s">
        <v>161</v>
      </c>
    </row>
    <row r="262" spans="9:17" x14ac:dyDescent="0.45">
      <c r="I262" t="s">
        <v>192</v>
      </c>
      <c r="J262" t="s">
        <v>172</v>
      </c>
      <c r="K262">
        <v>0</v>
      </c>
      <c r="L262" t="s">
        <v>161</v>
      </c>
      <c r="N262" t="s">
        <v>215</v>
      </c>
      <c r="O262" t="s">
        <v>172</v>
      </c>
      <c r="P262">
        <v>4.6547201844173176E-3</v>
      </c>
      <c r="Q262" t="s">
        <v>161</v>
      </c>
    </row>
    <row r="263" spans="9:17" x14ac:dyDescent="0.45">
      <c r="I263" t="s">
        <v>193</v>
      </c>
      <c r="J263" t="s">
        <v>160</v>
      </c>
      <c r="K263">
        <v>0.7098707528638738</v>
      </c>
      <c r="L263" t="s">
        <v>161</v>
      </c>
      <c r="N263" t="s">
        <v>216</v>
      </c>
      <c r="O263" t="s">
        <v>160</v>
      </c>
      <c r="P263">
        <v>0.38349702399789592</v>
      </c>
      <c r="Q263" t="s">
        <v>161</v>
      </c>
    </row>
    <row r="264" spans="9:17" x14ac:dyDescent="0.45">
      <c r="I264" t="s">
        <v>193</v>
      </c>
      <c r="J264" t="s">
        <v>162</v>
      </c>
      <c r="K264">
        <v>5.9332167988605522E-2</v>
      </c>
      <c r="L264" t="s">
        <v>161</v>
      </c>
      <c r="N264" t="s">
        <v>216</v>
      </c>
      <c r="O264" t="s">
        <v>162</v>
      </c>
      <c r="P264">
        <v>2.5633856050717527E-2</v>
      </c>
      <c r="Q264" t="s">
        <v>161</v>
      </c>
    </row>
    <row r="265" spans="9:17" x14ac:dyDescent="0.45">
      <c r="I265" t="s">
        <v>193</v>
      </c>
      <c r="J265" t="s">
        <v>163</v>
      </c>
      <c r="K265">
        <v>8.5657492018011372E-2</v>
      </c>
      <c r="L265" t="s">
        <v>161</v>
      </c>
      <c r="N265" t="s">
        <v>216</v>
      </c>
      <c r="O265" t="s">
        <v>163</v>
      </c>
      <c r="P265">
        <v>0.189850235594716</v>
      </c>
      <c r="Q265" t="s">
        <v>161</v>
      </c>
    </row>
    <row r="266" spans="9:17" x14ac:dyDescent="0.45">
      <c r="I266" t="s">
        <v>193</v>
      </c>
      <c r="J266" t="s">
        <v>164</v>
      </c>
      <c r="K266">
        <v>9.1333738419424992E-2</v>
      </c>
      <c r="L266" t="s">
        <v>161</v>
      </c>
      <c r="N266" t="s">
        <v>216</v>
      </c>
      <c r="O266" t="s">
        <v>164</v>
      </c>
      <c r="P266">
        <v>9.740644013081419E-2</v>
      </c>
      <c r="Q266" t="s">
        <v>161</v>
      </c>
    </row>
    <row r="267" spans="9:17" x14ac:dyDescent="0.45">
      <c r="I267" t="s">
        <v>193</v>
      </c>
      <c r="J267" t="s">
        <v>165</v>
      </c>
      <c r="K267">
        <v>6.4236242302497127E-3</v>
      </c>
      <c r="L267" t="s">
        <v>161</v>
      </c>
      <c r="N267" t="s">
        <v>216</v>
      </c>
      <c r="O267" t="s">
        <v>165</v>
      </c>
      <c r="P267">
        <v>5.9292841996500352E-3</v>
      </c>
      <c r="Q267" t="s">
        <v>161</v>
      </c>
    </row>
    <row r="268" spans="9:17" x14ac:dyDescent="0.45">
      <c r="I268" t="s">
        <v>193</v>
      </c>
      <c r="J268" t="s">
        <v>166</v>
      </c>
      <c r="K268">
        <v>2.3883150709556856E-3</v>
      </c>
      <c r="L268" t="s">
        <v>161</v>
      </c>
      <c r="N268" t="s">
        <v>216</v>
      </c>
      <c r="O268" t="s">
        <v>166</v>
      </c>
      <c r="P268">
        <v>4.2397401725252623E-2</v>
      </c>
      <c r="Q268" t="s">
        <v>161</v>
      </c>
    </row>
    <row r="269" spans="9:17" x14ac:dyDescent="0.45">
      <c r="I269" t="s">
        <v>193</v>
      </c>
      <c r="J269" t="s">
        <v>167</v>
      </c>
      <c r="K269">
        <v>4.1628305010716765E-2</v>
      </c>
      <c r="L269" t="s">
        <v>161</v>
      </c>
      <c r="N269" t="s">
        <v>216</v>
      </c>
      <c r="O269" t="s">
        <v>167</v>
      </c>
      <c r="P269">
        <v>0.14900493342492191</v>
      </c>
      <c r="Q269" t="s">
        <v>161</v>
      </c>
    </row>
    <row r="270" spans="9:17" x14ac:dyDescent="0.45">
      <c r="I270" t="s">
        <v>193</v>
      </c>
      <c r="J270" t="s">
        <v>168</v>
      </c>
      <c r="K270">
        <v>3.7524215029345495E-4</v>
      </c>
      <c r="L270" t="s">
        <v>161</v>
      </c>
      <c r="N270" t="s">
        <v>216</v>
      </c>
      <c r="O270" t="s">
        <v>168</v>
      </c>
      <c r="P270">
        <v>1.00452698788847E-2</v>
      </c>
      <c r="Q270" t="s">
        <v>161</v>
      </c>
    </row>
    <row r="271" spans="9:17" x14ac:dyDescent="0.45">
      <c r="I271" t="s">
        <v>193</v>
      </c>
      <c r="J271" t="s">
        <v>169</v>
      </c>
      <c r="K271">
        <v>0</v>
      </c>
      <c r="L271" t="s">
        <v>161</v>
      </c>
      <c r="N271" t="s">
        <v>216</v>
      </c>
      <c r="O271" t="s">
        <v>169</v>
      </c>
      <c r="P271">
        <v>7.2813169555866378E-2</v>
      </c>
      <c r="Q271" t="s">
        <v>161</v>
      </c>
    </row>
    <row r="272" spans="9:17" x14ac:dyDescent="0.45">
      <c r="I272" t="s">
        <v>193</v>
      </c>
      <c r="J272" t="s">
        <v>170</v>
      </c>
      <c r="K272">
        <v>2.9903622478700165E-3</v>
      </c>
      <c r="L272" t="s">
        <v>161</v>
      </c>
      <c r="N272" t="s">
        <v>216</v>
      </c>
      <c r="O272" t="s">
        <v>170</v>
      </c>
      <c r="P272">
        <v>1.331199792133224E-2</v>
      </c>
      <c r="Q272" t="s">
        <v>161</v>
      </c>
    </row>
    <row r="273" spans="9:17" x14ac:dyDescent="0.45">
      <c r="I273" t="s">
        <v>193</v>
      </c>
      <c r="J273" t="s">
        <v>171</v>
      </c>
      <c r="K273">
        <v>0</v>
      </c>
      <c r="L273" t="s">
        <v>161</v>
      </c>
      <c r="N273" t="s">
        <v>216</v>
      </c>
      <c r="O273" t="s">
        <v>171</v>
      </c>
      <c r="P273">
        <v>9.078372343746243E-4</v>
      </c>
      <c r="Q273" t="s">
        <v>161</v>
      </c>
    </row>
    <row r="274" spans="9:17" x14ac:dyDescent="0.45">
      <c r="I274" t="s">
        <v>193</v>
      </c>
      <c r="J274" t="s">
        <v>172</v>
      </c>
      <c r="K274">
        <v>0</v>
      </c>
      <c r="L274" t="s">
        <v>161</v>
      </c>
      <c r="N274" t="s">
        <v>216</v>
      </c>
      <c r="O274" t="s">
        <v>172</v>
      </c>
      <c r="P274">
        <v>9.2025502855746094E-3</v>
      </c>
      <c r="Q274" t="s">
        <v>161</v>
      </c>
    </row>
    <row r="275" spans="9:17" x14ac:dyDescent="0.45">
      <c r="I275" t="s">
        <v>194</v>
      </c>
      <c r="J275" t="s">
        <v>160</v>
      </c>
      <c r="K275">
        <v>0.71642509740745031</v>
      </c>
      <c r="L275" t="s">
        <v>161</v>
      </c>
    </row>
    <row r="276" spans="9:17" x14ac:dyDescent="0.45">
      <c r="I276" t="s">
        <v>194</v>
      </c>
      <c r="J276" t="s">
        <v>162</v>
      </c>
      <c r="K276">
        <v>5.7519566020304974E-2</v>
      </c>
      <c r="L276" t="s">
        <v>161</v>
      </c>
    </row>
    <row r="277" spans="9:17" x14ac:dyDescent="0.45">
      <c r="I277" t="s">
        <v>194</v>
      </c>
      <c r="J277" t="s">
        <v>163</v>
      </c>
      <c r="K277">
        <v>8.06766421201323E-2</v>
      </c>
      <c r="L277" t="s">
        <v>161</v>
      </c>
    </row>
    <row r="278" spans="9:17" x14ac:dyDescent="0.45">
      <c r="I278" t="s">
        <v>194</v>
      </c>
      <c r="J278" t="s">
        <v>164</v>
      </c>
      <c r="K278">
        <v>9.0179029360805005E-2</v>
      </c>
      <c r="L278" t="s">
        <v>161</v>
      </c>
    </row>
    <row r="279" spans="9:17" x14ac:dyDescent="0.45">
      <c r="I279" t="s">
        <v>194</v>
      </c>
      <c r="J279" t="s">
        <v>165</v>
      </c>
      <c r="K279">
        <v>6.02613668670303E-3</v>
      </c>
      <c r="L279" t="s">
        <v>161</v>
      </c>
    </row>
    <row r="280" spans="9:17" x14ac:dyDescent="0.45">
      <c r="I280" t="s">
        <v>194</v>
      </c>
      <c r="J280" t="s">
        <v>166</v>
      </c>
      <c r="K280">
        <v>2.0292777178340204E-3</v>
      </c>
      <c r="L280" t="s">
        <v>161</v>
      </c>
    </row>
    <row r="281" spans="9:17" x14ac:dyDescent="0.45">
      <c r="I281" t="s">
        <v>194</v>
      </c>
      <c r="J281" t="s">
        <v>167</v>
      </c>
      <c r="K281">
        <v>4.3289892131639154E-2</v>
      </c>
      <c r="L281" t="s">
        <v>161</v>
      </c>
    </row>
    <row r="282" spans="9:17" x14ac:dyDescent="0.45">
      <c r="I282" t="s">
        <v>194</v>
      </c>
      <c r="J282" t="s">
        <v>168</v>
      </c>
      <c r="K282">
        <v>4.1960103551149877E-4</v>
      </c>
      <c r="L282" t="s">
        <v>161</v>
      </c>
    </row>
    <row r="283" spans="9:17" x14ac:dyDescent="0.45">
      <c r="I283" t="s">
        <v>194</v>
      </c>
      <c r="J283" t="s">
        <v>169</v>
      </c>
      <c r="K283">
        <v>0</v>
      </c>
      <c r="L283" t="s">
        <v>161</v>
      </c>
    </row>
    <row r="284" spans="9:17" x14ac:dyDescent="0.45">
      <c r="I284" t="s">
        <v>194</v>
      </c>
      <c r="J284" t="s">
        <v>170</v>
      </c>
      <c r="K284">
        <v>3.434757519620918E-3</v>
      </c>
      <c r="L284" t="s">
        <v>161</v>
      </c>
    </row>
    <row r="285" spans="9:17" x14ac:dyDescent="0.45">
      <c r="I285" t="s">
        <v>194</v>
      </c>
      <c r="J285" t="s">
        <v>171</v>
      </c>
      <c r="K285">
        <v>0</v>
      </c>
      <c r="L285" t="s">
        <v>161</v>
      </c>
    </row>
    <row r="286" spans="9:17" x14ac:dyDescent="0.45">
      <c r="I286" t="s">
        <v>194</v>
      </c>
      <c r="J286" t="s">
        <v>172</v>
      </c>
      <c r="K286">
        <v>0</v>
      </c>
      <c r="L286" t="s">
        <v>161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B33C1-875E-4730-BC2B-83FB7E14D4A0}">
  <dimension ref="A9:AN70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144</v>
      </c>
      <c r="D10" t="s">
        <v>145</v>
      </c>
      <c r="E10" t="s">
        <v>146</v>
      </c>
      <c r="F10" t="s">
        <v>147</v>
      </c>
      <c r="G10" t="s">
        <v>148</v>
      </c>
      <c r="I10" t="s">
        <v>13</v>
      </c>
      <c r="J10" t="s">
        <v>120</v>
      </c>
      <c r="K10" t="s">
        <v>158</v>
      </c>
      <c r="L10" t="s">
        <v>30</v>
      </c>
      <c r="N10" t="s">
        <v>13</v>
      </c>
      <c r="O10" t="s">
        <v>120</v>
      </c>
      <c r="P10" t="s">
        <v>158</v>
      </c>
      <c r="Q10" t="s">
        <v>30</v>
      </c>
      <c r="S10" t="s">
        <v>13</v>
      </c>
      <c r="T10" t="s">
        <v>120</v>
      </c>
      <c r="U10" t="s">
        <v>158</v>
      </c>
      <c r="V10" t="s">
        <v>30</v>
      </c>
      <c r="X10" t="s">
        <v>227</v>
      </c>
      <c r="Y10" t="s">
        <v>158</v>
      </c>
      <c r="Z10" t="s">
        <v>120</v>
      </c>
      <c r="AA10" t="s">
        <v>13</v>
      </c>
      <c r="AC10" t="s">
        <v>13</v>
      </c>
      <c r="AD10" t="s">
        <v>120</v>
      </c>
      <c r="AE10" t="s">
        <v>158</v>
      </c>
      <c r="AG10" t="s">
        <v>13</v>
      </c>
      <c r="AH10" t="s">
        <v>120</v>
      </c>
      <c r="AI10" t="s">
        <v>233</v>
      </c>
      <c r="AK10" t="s">
        <v>47</v>
      </c>
      <c r="AL10" t="s">
        <v>120</v>
      </c>
      <c r="AM10" t="s">
        <v>234</v>
      </c>
      <c r="AN10" t="s">
        <v>235</v>
      </c>
    </row>
    <row r="11" spans="1:40" x14ac:dyDescent="0.45">
      <c r="A11" t="str">
        <f>IFERROR(IF(Veda!D5=A10,"ok","x"),"")</f>
        <v>x</v>
      </c>
      <c r="C11" t="s">
        <v>149</v>
      </c>
      <c r="D11" t="s">
        <v>150</v>
      </c>
      <c r="E11" t="s">
        <v>151</v>
      </c>
      <c r="F11" t="s">
        <v>237</v>
      </c>
      <c r="G11" t="s">
        <v>150</v>
      </c>
      <c r="I11" t="s">
        <v>159</v>
      </c>
      <c r="J11" t="s">
        <v>160</v>
      </c>
      <c r="K11">
        <v>4.3617775278622052E-3</v>
      </c>
      <c r="L11" t="s">
        <v>161</v>
      </c>
      <c r="N11" t="s">
        <v>195</v>
      </c>
      <c r="O11" t="s">
        <v>160</v>
      </c>
      <c r="P11">
        <v>0.1100940974014889</v>
      </c>
      <c r="Q11" t="s">
        <v>161</v>
      </c>
      <c r="S11" t="s">
        <v>217</v>
      </c>
      <c r="T11" t="s">
        <v>160</v>
      </c>
      <c r="U11">
        <v>0.10312720360386693</v>
      </c>
      <c r="V11" t="s">
        <v>161</v>
      </c>
      <c r="X11">
        <v>0.10228310502283106</v>
      </c>
      <c r="Y11">
        <v>5.6691942421002908E-2</v>
      </c>
      <c r="Z11" t="s">
        <v>160</v>
      </c>
      <c r="AA11" t="s">
        <v>25</v>
      </c>
      <c r="AC11" t="s">
        <v>22</v>
      </c>
      <c r="AD11" t="s">
        <v>160</v>
      </c>
      <c r="AE11">
        <v>0.10002279560360844</v>
      </c>
      <c r="AG11" t="s">
        <v>100</v>
      </c>
      <c r="AH11" t="s">
        <v>160</v>
      </c>
      <c r="AI11">
        <v>0.32850969636789329</v>
      </c>
      <c r="AK11">
        <v>2020</v>
      </c>
      <c r="AL11" t="s">
        <v>149</v>
      </c>
      <c r="AM11">
        <v>0.39936915975276643</v>
      </c>
      <c r="AN11" t="s">
        <v>236</v>
      </c>
    </row>
    <row r="12" spans="1:40" x14ac:dyDescent="0.45">
      <c r="C12" t="s">
        <v>153</v>
      </c>
      <c r="E12" t="s">
        <v>154</v>
      </c>
      <c r="G12" t="s">
        <v>150</v>
      </c>
      <c r="I12" t="s">
        <v>159</v>
      </c>
      <c r="J12" t="s">
        <v>162</v>
      </c>
      <c r="K12">
        <v>1.0130168901945366E-2</v>
      </c>
      <c r="L12" t="s">
        <v>161</v>
      </c>
      <c r="N12" t="s">
        <v>195</v>
      </c>
      <c r="O12" t="s">
        <v>162</v>
      </c>
      <c r="P12">
        <v>1.3068326510980626E-2</v>
      </c>
      <c r="Q12" t="s">
        <v>161</v>
      </c>
      <c r="S12" t="s">
        <v>217</v>
      </c>
      <c r="T12" t="s">
        <v>162</v>
      </c>
      <c r="U12">
        <v>1.3037225991385144E-2</v>
      </c>
      <c r="V12" t="s">
        <v>161</v>
      </c>
      <c r="X12">
        <v>1.2785388127853882E-2</v>
      </c>
      <c r="Y12">
        <v>1.6335595720524745E-2</v>
      </c>
      <c r="Z12" t="s">
        <v>162</v>
      </c>
      <c r="AA12" t="s">
        <v>25</v>
      </c>
      <c r="AC12" t="s">
        <v>22</v>
      </c>
      <c r="AD12" t="s">
        <v>162</v>
      </c>
      <c r="AE12">
        <v>1.7334695621139793E-2</v>
      </c>
      <c r="AG12" t="s">
        <v>100</v>
      </c>
      <c r="AH12" t="s">
        <v>162</v>
      </c>
      <c r="AI12">
        <v>0.11235750477565487</v>
      </c>
      <c r="AK12">
        <v>2020</v>
      </c>
      <c r="AL12" t="s">
        <v>153</v>
      </c>
      <c r="AM12">
        <v>0.39905379632369864</v>
      </c>
      <c r="AN12" t="s">
        <v>236</v>
      </c>
    </row>
    <row r="13" spans="1:40" x14ac:dyDescent="0.45">
      <c r="C13" t="s">
        <v>155</v>
      </c>
      <c r="E13" t="s">
        <v>156</v>
      </c>
      <c r="G13" t="s">
        <v>150</v>
      </c>
      <c r="I13" t="s">
        <v>159</v>
      </c>
      <c r="J13" t="s">
        <v>163</v>
      </c>
      <c r="K13">
        <v>0.1869046071972135</v>
      </c>
      <c r="L13" t="s">
        <v>161</v>
      </c>
      <c r="N13" t="s">
        <v>195</v>
      </c>
      <c r="O13" t="s">
        <v>163</v>
      </c>
      <c r="P13">
        <v>8.8152879901695555E-2</v>
      </c>
      <c r="Q13" t="s">
        <v>161</v>
      </c>
      <c r="S13" t="s">
        <v>217</v>
      </c>
      <c r="T13" t="s">
        <v>163</v>
      </c>
      <c r="U13">
        <v>9.1614672439773392E-2</v>
      </c>
      <c r="V13" t="s">
        <v>161</v>
      </c>
      <c r="X13">
        <v>8.9497716894977167E-2</v>
      </c>
      <c r="Y13">
        <v>0.11650249857046968</v>
      </c>
      <c r="Z13" t="s">
        <v>163</v>
      </c>
      <c r="AA13" t="s">
        <v>25</v>
      </c>
      <c r="AC13" t="s">
        <v>22</v>
      </c>
      <c r="AD13" t="s">
        <v>163</v>
      </c>
      <c r="AE13">
        <v>0.12060191303291319</v>
      </c>
      <c r="AG13" t="s">
        <v>100</v>
      </c>
      <c r="AH13" t="s">
        <v>163</v>
      </c>
      <c r="AI13">
        <v>0.11327736455092352</v>
      </c>
      <c r="AK13">
        <v>2020</v>
      </c>
      <c r="AL13" t="s">
        <v>155</v>
      </c>
      <c r="AM13">
        <v>0.38461960036390336</v>
      </c>
      <c r="AN13" t="s">
        <v>236</v>
      </c>
    </row>
    <row r="14" spans="1:40" x14ac:dyDescent="0.45">
      <c r="C14" t="s">
        <v>157</v>
      </c>
      <c r="E14" t="s">
        <v>238</v>
      </c>
      <c r="G14" t="s">
        <v>150</v>
      </c>
      <c r="I14" t="s">
        <v>159</v>
      </c>
      <c r="J14" t="s">
        <v>242</v>
      </c>
      <c r="K14">
        <v>2.2328956893527787E-2</v>
      </c>
      <c r="L14" t="s">
        <v>161</v>
      </c>
      <c r="N14" t="s">
        <v>195</v>
      </c>
      <c r="O14" t="s">
        <v>242</v>
      </c>
      <c r="P14">
        <v>1.2830257069659715E-2</v>
      </c>
      <c r="Q14" t="s">
        <v>161</v>
      </c>
      <c r="S14" t="s">
        <v>217</v>
      </c>
      <c r="T14" t="s">
        <v>242</v>
      </c>
      <c r="U14">
        <v>1.3184621849397601E-2</v>
      </c>
      <c r="V14" t="s">
        <v>161</v>
      </c>
      <c r="X14">
        <v>1.2785388127853882E-2</v>
      </c>
      <c r="Y14">
        <v>2.4874657119889954E-2</v>
      </c>
      <c r="Z14" t="s">
        <v>242</v>
      </c>
      <c r="AA14" t="s">
        <v>25</v>
      </c>
      <c r="AC14" t="s">
        <v>22</v>
      </c>
      <c r="AD14" t="s">
        <v>242</v>
      </c>
      <c r="AE14">
        <v>1.7494269411331365E-2</v>
      </c>
      <c r="AG14" t="s">
        <v>100</v>
      </c>
      <c r="AH14" t="s">
        <v>242</v>
      </c>
      <c r="AI14">
        <v>0.11269796353474204</v>
      </c>
      <c r="AK14">
        <v>2020</v>
      </c>
      <c r="AL14" t="s">
        <v>157</v>
      </c>
      <c r="AM14">
        <v>0.376892133328949</v>
      </c>
      <c r="AN14" t="s">
        <v>236</v>
      </c>
    </row>
    <row r="15" spans="1:40" x14ac:dyDescent="0.45">
      <c r="C15" t="s">
        <v>239</v>
      </c>
      <c r="E15" t="s">
        <v>240</v>
      </c>
      <c r="G15" t="s">
        <v>150</v>
      </c>
      <c r="I15" t="s">
        <v>159</v>
      </c>
      <c r="J15" t="s">
        <v>243</v>
      </c>
      <c r="K15">
        <v>2.6291661735020122E-2</v>
      </c>
      <c r="L15" t="s">
        <v>161</v>
      </c>
      <c r="N15" t="s">
        <v>195</v>
      </c>
      <c r="O15" t="s">
        <v>243</v>
      </c>
      <c r="P15">
        <v>9.685007416581895E-2</v>
      </c>
      <c r="Q15" t="s">
        <v>161</v>
      </c>
      <c r="S15" t="s">
        <v>217</v>
      </c>
      <c r="T15" t="s">
        <v>243</v>
      </c>
      <c r="U15">
        <v>9.4609496292222109E-2</v>
      </c>
      <c r="V15" t="s">
        <v>161</v>
      </c>
      <c r="X15">
        <v>8.9497716894977167E-2</v>
      </c>
      <c r="Y15">
        <v>9.2444621236605934E-2</v>
      </c>
      <c r="Z15" t="s">
        <v>243</v>
      </c>
      <c r="AA15" t="s">
        <v>25</v>
      </c>
      <c r="AC15" t="s">
        <v>22</v>
      </c>
      <c r="AD15" t="s">
        <v>243</v>
      </c>
      <c r="AE15">
        <v>0.10914178162310575</v>
      </c>
      <c r="AG15" t="s">
        <v>100</v>
      </c>
      <c r="AH15" t="s">
        <v>243</v>
      </c>
      <c r="AI15">
        <v>0.19884197717014374</v>
      </c>
      <c r="AK15">
        <v>2020</v>
      </c>
      <c r="AL15" t="s">
        <v>239</v>
      </c>
      <c r="AM15">
        <v>0.3336786031370228</v>
      </c>
      <c r="AN15" t="s">
        <v>236</v>
      </c>
    </row>
    <row r="16" spans="1:40" x14ac:dyDescent="0.45">
      <c r="C16" t="s">
        <v>241</v>
      </c>
      <c r="I16" t="s">
        <v>159</v>
      </c>
      <c r="J16" t="s">
        <v>164</v>
      </c>
      <c r="K16">
        <v>3.0740220777479489E-2</v>
      </c>
      <c r="L16" t="s">
        <v>161</v>
      </c>
      <c r="N16" t="s">
        <v>195</v>
      </c>
      <c r="O16" t="s">
        <v>164</v>
      </c>
      <c r="P16">
        <v>6.374495678744517E-2</v>
      </c>
      <c r="Q16" t="s">
        <v>161</v>
      </c>
      <c r="S16" t="s">
        <v>217</v>
      </c>
      <c r="T16" t="s">
        <v>164</v>
      </c>
      <c r="U16">
        <v>7.007934921952795E-2</v>
      </c>
      <c r="V16" t="s">
        <v>161</v>
      </c>
      <c r="X16">
        <v>8.9497716894977167E-2</v>
      </c>
      <c r="Y16">
        <v>4.960544961837754E-2</v>
      </c>
      <c r="Z16" t="s">
        <v>164</v>
      </c>
      <c r="AA16" t="s">
        <v>25</v>
      </c>
      <c r="AC16" t="s">
        <v>22</v>
      </c>
      <c r="AD16" t="s">
        <v>164</v>
      </c>
      <c r="AE16">
        <v>6.134381720157786E-2</v>
      </c>
      <c r="AG16" t="s">
        <v>100</v>
      </c>
      <c r="AH16" t="s">
        <v>164</v>
      </c>
      <c r="AI16">
        <v>0.30621757897479296</v>
      </c>
      <c r="AK16">
        <v>2020</v>
      </c>
      <c r="AL16" t="s">
        <v>241</v>
      </c>
      <c r="AM16">
        <v>0.31567524908750122</v>
      </c>
      <c r="AN16" t="s">
        <v>236</v>
      </c>
    </row>
    <row r="17" spans="9:40" x14ac:dyDescent="0.45">
      <c r="I17" t="s">
        <v>159</v>
      </c>
      <c r="J17" t="s">
        <v>165</v>
      </c>
      <c r="K17">
        <v>2.673182192358425E-2</v>
      </c>
      <c r="L17" t="s">
        <v>161</v>
      </c>
      <c r="N17" t="s">
        <v>195</v>
      </c>
      <c r="O17" t="s">
        <v>165</v>
      </c>
      <c r="P17">
        <v>6.5982677521499609E-3</v>
      </c>
      <c r="Q17" t="s">
        <v>161</v>
      </c>
      <c r="S17" t="s">
        <v>217</v>
      </c>
      <c r="T17" t="s">
        <v>165</v>
      </c>
      <c r="U17">
        <v>8.6202255454239807E-3</v>
      </c>
      <c r="V17" t="s">
        <v>161</v>
      </c>
      <c r="X17">
        <v>1.1187214611872146E-2</v>
      </c>
      <c r="Y17">
        <v>1.4293646255459154E-2</v>
      </c>
      <c r="Z17" t="s">
        <v>165</v>
      </c>
      <c r="AA17" t="s">
        <v>25</v>
      </c>
      <c r="AC17" t="s">
        <v>22</v>
      </c>
      <c r="AD17" t="s">
        <v>165</v>
      </c>
      <c r="AE17">
        <v>1.1318828084170479E-2</v>
      </c>
      <c r="AG17" t="s">
        <v>100</v>
      </c>
      <c r="AH17" t="s">
        <v>165</v>
      </c>
      <c r="AI17">
        <v>8.6113612277584295E-2</v>
      </c>
      <c r="AK17">
        <v>2021</v>
      </c>
      <c r="AL17" t="s">
        <v>149</v>
      </c>
      <c r="AM17">
        <v>0.37283406174425032</v>
      </c>
      <c r="AN17" t="s">
        <v>236</v>
      </c>
    </row>
    <row r="18" spans="9:40" x14ac:dyDescent="0.45">
      <c r="I18" t="s">
        <v>159</v>
      </c>
      <c r="J18" t="s">
        <v>166</v>
      </c>
      <c r="K18">
        <v>0.25114599807941002</v>
      </c>
      <c r="L18" t="s">
        <v>161</v>
      </c>
      <c r="N18" t="s">
        <v>195</v>
      </c>
      <c r="O18" t="s">
        <v>166</v>
      </c>
      <c r="P18">
        <v>5.2879976705383233E-2</v>
      </c>
      <c r="Q18" t="s">
        <v>161</v>
      </c>
      <c r="S18" t="s">
        <v>217</v>
      </c>
      <c r="T18" t="s">
        <v>166</v>
      </c>
      <c r="U18">
        <v>6.0346040442204589E-2</v>
      </c>
      <c r="V18" t="s">
        <v>161</v>
      </c>
      <c r="X18">
        <v>7.831050228310503E-2</v>
      </c>
      <c r="Y18">
        <v>0.10193968624916096</v>
      </c>
      <c r="Z18" t="s">
        <v>166</v>
      </c>
      <c r="AA18" t="s">
        <v>25</v>
      </c>
      <c r="AC18" t="s">
        <v>22</v>
      </c>
      <c r="AD18" t="s">
        <v>166</v>
      </c>
      <c r="AE18">
        <v>7.9595678028781494E-2</v>
      </c>
      <c r="AG18" t="s">
        <v>100</v>
      </c>
      <c r="AH18" t="s">
        <v>166</v>
      </c>
      <c r="AI18">
        <v>9.1079017692326847E-2</v>
      </c>
      <c r="AK18">
        <v>2021</v>
      </c>
      <c r="AL18" t="s">
        <v>153</v>
      </c>
      <c r="AM18">
        <v>0.4634118077181712</v>
      </c>
      <c r="AN18" t="s">
        <v>236</v>
      </c>
    </row>
    <row r="19" spans="9:40" x14ac:dyDescent="0.45">
      <c r="I19" t="s">
        <v>159</v>
      </c>
      <c r="J19" t="s">
        <v>244</v>
      </c>
      <c r="K19">
        <v>2.9986373109986381E-2</v>
      </c>
      <c r="L19" t="s">
        <v>161</v>
      </c>
      <c r="N19" t="s">
        <v>195</v>
      </c>
      <c r="O19" t="s">
        <v>244</v>
      </c>
      <c r="P19">
        <v>8.7169627254551144E-3</v>
      </c>
      <c r="Q19" t="s">
        <v>161</v>
      </c>
      <c r="S19" t="s">
        <v>217</v>
      </c>
      <c r="T19" t="s">
        <v>244</v>
      </c>
      <c r="U19">
        <v>9.4638698526827991E-3</v>
      </c>
      <c r="V19" t="s">
        <v>161</v>
      </c>
      <c r="X19">
        <v>1.1187214611872146E-2</v>
      </c>
      <c r="Y19">
        <v>2.1765324979903709E-2</v>
      </c>
      <c r="Z19" t="s">
        <v>244</v>
      </c>
      <c r="AA19" t="s">
        <v>25</v>
      </c>
      <c r="AC19" t="s">
        <v>22</v>
      </c>
      <c r="AD19" t="s">
        <v>244</v>
      </c>
      <c r="AE19">
        <v>1.1256171445340385E-2</v>
      </c>
      <c r="AG19" t="s">
        <v>100</v>
      </c>
      <c r="AH19" t="s">
        <v>244</v>
      </c>
      <c r="AI19">
        <v>7.1611762079551555E-2</v>
      </c>
      <c r="AK19">
        <v>2021</v>
      </c>
      <c r="AL19" t="s">
        <v>155</v>
      </c>
      <c r="AM19">
        <v>0.47928459042508048</v>
      </c>
      <c r="AN19" t="s">
        <v>236</v>
      </c>
    </row>
    <row r="20" spans="9:40" x14ac:dyDescent="0.45">
      <c r="I20" t="s">
        <v>159</v>
      </c>
      <c r="J20" t="s">
        <v>245</v>
      </c>
      <c r="K20">
        <v>5.717261539571096E-2</v>
      </c>
      <c r="L20" t="s">
        <v>161</v>
      </c>
      <c r="N20" t="s">
        <v>195</v>
      </c>
      <c r="O20" t="s">
        <v>245</v>
      </c>
      <c r="P20">
        <v>6.0219926132795018E-2</v>
      </c>
      <c r="Q20" t="s">
        <v>161</v>
      </c>
      <c r="S20" t="s">
        <v>217</v>
      </c>
      <c r="T20" t="s">
        <v>245</v>
      </c>
      <c r="U20">
        <v>6.3996890400117259E-2</v>
      </c>
      <c r="V20" t="s">
        <v>161</v>
      </c>
      <c r="X20">
        <v>7.831050228310503E-2</v>
      </c>
      <c r="Y20">
        <v>8.0889043582030182E-2</v>
      </c>
      <c r="Z20" t="s">
        <v>245</v>
      </c>
      <c r="AA20" t="s">
        <v>25</v>
      </c>
      <c r="AC20" t="s">
        <v>22</v>
      </c>
      <c r="AD20" t="s">
        <v>245</v>
      </c>
      <c r="AE20">
        <v>6.9216714724795958E-2</v>
      </c>
      <c r="AG20" t="s">
        <v>100</v>
      </c>
      <c r="AH20" t="s">
        <v>245</v>
      </c>
      <c r="AI20">
        <v>0.14995540769107607</v>
      </c>
      <c r="AK20">
        <v>2021</v>
      </c>
      <c r="AL20" t="s">
        <v>157</v>
      </c>
      <c r="AM20">
        <v>0.32311381832505282</v>
      </c>
      <c r="AN20" t="s">
        <v>236</v>
      </c>
    </row>
    <row r="21" spans="9:40" x14ac:dyDescent="0.45">
      <c r="I21" t="s">
        <v>159</v>
      </c>
      <c r="J21" t="s">
        <v>167</v>
      </c>
      <c r="K21">
        <v>1.0064839170673114E-2</v>
      </c>
      <c r="L21" t="s">
        <v>161</v>
      </c>
      <c r="N21" t="s">
        <v>195</v>
      </c>
      <c r="O21" t="s">
        <v>167</v>
      </c>
      <c r="P21">
        <v>3.8065724921515109E-2</v>
      </c>
      <c r="Q21" t="s">
        <v>161</v>
      </c>
      <c r="S21" t="s">
        <v>217</v>
      </c>
      <c r="T21" t="s">
        <v>167</v>
      </c>
      <c r="U21">
        <v>3.6415292430887494E-2</v>
      </c>
      <c r="V21" t="s">
        <v>161</v>
      </c>
      <c r="X21">
        <v>4.5662100456621002E-2</v>
      </c>
      <c r="Y21">
        <v>2.5308902866519156E-2</v>
      </c>
      <c r="Z21" t="s">
        <v>167</v>
      </c>
      <c r="AA21" t="s">
        <v>25</v>
      </c>
      <c r="AC21" t="s">
        <v>22</v>
      </c>
      <c r="AD21" t="s">
        <v>167</v>
      </c>
      <c r="AE21">
        <v>3.07909988021309E-2</v>
      </c>
      <c r="AG21" t="s">
        <v>100</v>
      </c>
      <c r="AH21" t="s">
        <v>167</v>
      </c>
      <c r="AI21">
        <v>0.29118990536732192</v>
      </c>
      <c r="AK21">
        <v>2021</v>
      </c>
      <c r="AL21" t="s">
        <v>239</v>
      </c>
      <c r="AM21">
        <v>0.32027113487540071</v>
      </c>
      <c r="AN21" t="s">
        <v>236</v>
      </c>
    </row>
    <row r="22" spans="9:40" x14ac:dyDescent="0.45">
      <c r="I22" t="s">
        <v>159</v>
      </c>
      <c r="J22" t="s">
        <v>168</v>
      </c>
      <c r="K22">
        <v>1.1137209773192684E-2</v>
      </c>
      <c r="L22" t="s">
        <v>161</v>
      </c>
      <c r="N22" t="s">
        <v>195</v>
      </c>
      <c r="O22" t="s">
        <v>168</v>
      </c>
      <c r="P22">
        <v>3.9387812268459731E-3</v>
      </c>
      <c r="Q22" t="s">
        <v>161</v>
      </c>
      <c r="S22" t="s">
        <v>217</v>
      </c>
      <c r="T22" t="s">
        <v>168</v>
      </c>
      <c r="U22">
        <v>5.0011898639197765E-3</v>
      </c>
      <c r="V22" t="s">
        <v>161</v>
      </c>
      <c r="X22">
        <v>5.7077625570776253E-3</v>
      </c>
      <c r="Y22">
        <v>7.2926766609485473E-3</v>
      </c>
      <c r="Z22" t="s">
        <v>168</v>
      </c>
      <c r="AA22" t="s">
        <v>25</v>
      </c>
      <c r="AC22" t="s">
        <v>22</v>
      </c>
      <c r="AD22" t="s">
        <v>168</v>
      </c>
      <c r="AE22">
        <v>5.7399061676711959E-3</v>
      </c>
      <c r="AG22" t="s">
        <v>100</v>
      </c>
      <c r="AH22" t="s">
        <v>168</v>
      </c>
      <c r="AI22">
        <v>8.4532245285299457E-2</v>
      </c>
      <c r="AK22">
        <v>2021</v>
      </c>
      <c r="AL22" t="s">
        <v>241</v>
      </c>
      <c r="AM22">
        <v>0.36478837377832618</v>
      </c>
      <c r="AN22" t="s">
        <v>236</v>
      </c>
    </row>
    <row r="23" spans="9:40" x14ac:dyDescent="0.45">
      <c r="I23" t="s">
        <v>159</v>
      </c>
      <c r="J23" t="s">
        <v>169</v>
      </c>
      <c r="K23">
        <v>0.11754619323583765</v>
      </c>
      <c r="L23" t="s">
        <v>161</v>
      </c>
      <c r="N23" t="s">
        <v>195</v>
      </c>
      <c r="O23" t="s">
        <v>169</v>
      </c>
      <c r="P23">
        <v>2.7373483807514018E-2</v>
      </c>
      <c r="Q23" t="s">
        <v>161</v>
      </c>
      <c r="S23" t="s">
        <v>217</v>
      </c>
      <c r="T23" t="s">
        <v>169</v>
      </c>
      <c r="U23">
        <v>3.6269396384001784E-2</v>
      </c>
      <c r="V23" t="s">
        <v>161</v>
      </c>
      <c r="X23">
        <v>3.9954337899543377E-2</v>
      </c>
      <c r="Y23">
        <v>5.2010044004673954E-2</v>
      </c>
      <c r="Z23" t="s">
        <v>169</v>
      </c>
      <c r="AA23" t="s">
        <v>25</v>
      </c>
      <c r="AC23" t="s">
        <v>22</v>
      </c>
      <c r="AD23" t="s">
        <v>169</v>
      </c>
      <c r="AE23">
        <v>4.0505028713512969E-2</v>
      </c>
      <c r="AG23" t="s">
        <v>100</v>
      </c>
      <c r="AH23" t="s">
        <v>169</v>
      </c>
      <c r="AI23">
        <v>9.8623379695728763E-2</v>
      </c>
      <c r="AK23">
        <v>2022</v>
      </c>
      <c r="AL23" t="s">
        <v>149</v>
      </c>
      <c r="AM23">
        <v>0.37237828060853539</v>
      </c>
      <c r="AN23" t="s">
        <v>236</v>
      </c>
    </row>
    <row r="24" spans="9:40" x14ac:dyDescent="0.45">
      <c r="I24" t="s">
        <v>159</v>
      </c>
      <c r="J24" t="s">
        <v>246</v>
      </c>
      <c r="K24">
        <v>1.3906890752272099E-2</v>
      </c>
      <c r="L24" t="s">
        <v>161</v>
      </c>
      <c r="N24" t="s">
        <v>195</v>
      </c>
      <c r="O24" t="s">
        <v>246</v>
      </c>
      <c r="P24">
        <v>3.9664117054803352E-3</v>
      </c>
      <c r="Q24" t="s">
        <v>161</v>
      </c>
      <c r="S24" t="s">
        <v>217</v>
      </c>
      <c r="T24" t="s">
        <v>246</v>
      </c>
      <c r="U24">
        <v>5.069059053810227E-3</v>
      </c>
      <c r="V24" t="s">
        <v>161</v>
      </c>
      <c r="X24">
        <v>5.7077625570776253E-3</v>
      </c>
      <c r="Y24">
        <v>1.1104757642808012E-2</v>
      </c>
      <c r="Z24" t="s">
        <v>246</v>
      </c>
      <c r="AA24" t="s">
        <v>25</v>
      </c>
      <c r="AC24" t="s">
        <v>22</v>
      </c>
      <c r="AD24" t="s">
        <v>246</v>
      </c>
      <c r="AE24">
        <v>5.721444529487087E-3</v>
      </c>
      <c r="AG24" t="s">
        <v>100</v>
      </c>
      <c r="AH24" t="s">
        <v>246</v>
      </c>
      <c r="AI24">
        <v>7.6217988621352983E-2</v>
      </c>
      <c r="AK24">
        <v>2022</v>
      </c>
      <c r="AL24" t="s">
        <v>153</v>
      </c>
      <c r="AM24">
        <v>0.3789110830495287</v>
      </c>
      <c r="AN24" t="s">
        <v>236</v>
      </c>
    </row>
    <row r="25" spans="9:40" x14ac:dyDescent="0.45">
      <c r="I25" t="s">
        <v>159</v>
      </c>
      <c r="J25" t="s">
        <v>247</v>
      </c>
      <c r="K25">
        <v>2.5233840049082152E-2</v>
      </c>
      <c r="L25" t="s">
        <v>161</v>
      </c>
      <c r="N25" t="s">
        <v>195</v>
      </c>
      <c r="O25" t="s">
        <v>247</v>
      </c>
      <c r="P25">
        <v>3.057207261146782E-2</v>
      </c>
      <c r="Q25" t="s">
        <v>161</v>
      </c>
      <c r="S25" t="s">
        <v>217</v>
      </c>
      <c r="T25" t="s">
        <v>247</v>
      </c>
      <c r="U25">
        <v>3.2185318556366957E-2</v>
      </c>
      <c r="V25" t="s">
        <v>161</v>
      </c>
      <c r="X25">
        <v>3.9954337899543377E-2</v>
      </c>
      <c r="Y25">
        <v>4.1269920194913358E-2</v>
      </c>
      <c r="Z25" t="s">
        <v>247</v>
      </c>
      <c r="AA25" t="s">
        <v>25</v>
      </c>
      <c r="AC25" t="s">
        <v>22</v>
      </c>
      <c r="AD25" t="s">
        <v>247</v>
      </c>
      <c r="AE25">
        <v>3.5092655957509947E-2</v>
      </c>
      <c r="AG25" t="s">
        <v>100</v>
      </c>
      <c r="AH25" t="s">
        <v>247</v>
      </c>
      <c r="AI25">
        <v>0.15629314759419688</v>
      </c>
      <c r="AK25">
        <v>2022</v>
      </c>
      <c r="AL25" t="s">
        <v>155</v>
      </c>
      <c r="AM25">
        <v>0.30405362313294809</v>
      </c>
      <c r="AN25" t="s">
        <v>236</v>
      </c>
    </row>
    <row r="26" spans="9:40" x14ac:dyDescent="0.45">
      <c r="I26" t="s">
        <v>159</v>
      </c>
      <c r="J26" t="s">
        <v>170</v>
      </c>
      <c r="K26">
        <v>1.4607966896262423E-3</v>
      </c>
      <c r="L26" t="s">
        <v>161</v>
      </c>
      <c r="N26" t="s">
        <v>195</v>
      </c>
      <c r="O26" t="s">
        <v>170</v>
      </c>
      <c r="P26">
        <v>4.9531388278345898E-2</v>
      </c>
      <c r="Q26" t="s">
        <v>161</v>
      </c>
      <c r="S26" t="s">
        <v>217</v>
      </c>
      <c r="T26" t="s">
        <v>170</v>
      </c>
      <c r="U26">
        <v>5.0216796309900655E-2</v>
      </c>
      <c r="V26" t="s">
        <v>161</v>
      </c>
      <c r="X26">
        <v>4.2009132420091327E-2</v>
      </c>
      <c r="Y26">
        <v>2.3284190637197624E-2</v>
      </c>
      <c r="Z26" t="s">
        <v>170</v>
      </c>
      <c r="AA26" t="s">
        <v>25</v>
      </c>
      <c r="AC26" t="s">
        <v>22</v>
      </c>
      <c r="AD26" t="s">
        <v>170</v>
      </c>
      <c r="AE26">
        <v>3.0131403433004106E-2</v>
      </c>
      <c r="AG26" t="s">
        <v>100</v>
      </c>
      <c r="AH26" t="s">
        <v>170</v>
      </c>
      <c r="AI26">
        <v>0.31569448129128497</v>
      </c>
      <c r="AK26">
        <v>2022</v>
      </c>
      <c r="AL26" t="s">
        <v>157</v>
      </c>
      <c r="AM26">
        <v>0.34502991109580478</v>
      </c>
      <c r="AN26" t="s">
        <v>236</v>
      </c>
    </row>
    <row r="27" spans="9:40" x14ac:dyDescent="0.45">
      <c r="I27" t="s">
        <v>159</v>
      </c>
      <c r="J27" t="s">
        <v>171</v>
      </c>
      <c r="K27">
        <v>4.6239794188877867E-3</v>
      </c>
      <c r="L27" t="s">
        <v>161</v>
      </c>
      <c r="N27" t="s">
        <v>195</v>
      </c>
      <c r="O27" t="s">
        <v>171</v>
      </c>
      <c r="P27">
        <v>6.231064858780183E-3</v>
      </c>
      <c r="Q27" t="s">
        <v>161</v>
      </c>
      <c r="S27" t="s">
        <v>217</v>
      </c>
      <c r="T27" t="s">
        <v>171</v>
      </c>
      <c r="U27">
        <v>5.9915510155900669E-3</v>
      </c>
      <c r="V27" t="s">
        <v>161</v>
      </c>
      <c r="X27">
        <v>5.2511415525114159E-3</v>
      </c>
      <c r="Y27">
        <v>6.7092625280726625E-3</v>
      </c>
      <c r="Z27" t="s">
        <v>171</v>
      </c>
      <c r="AA27" t="s">
        <v>25</v>
      </c>
      <c r="AC27" t="s">
        <v>22</v>
      </c>
      <c r="AD27" t="s">
        <v>171</v>
      </c>
      <c r="AE27">
        <v>5.4895790169622594E-3</v>
      </c>
      <c r="AG27" t="s">
        <v>100</v>
      </c>
      <c r="AH27" t="s">
        <v>171</v>
      </c>
      <c r="AI27">
        <v>8.812232243987439E-2</v>
      </c>
      <c r="AK27">
        <v>2022</v>
      </c>
      <c r="AL27" t="s">
        <v>239</v>
      </c>
      <c r="AM27">
        <v>0.33171660352810617</v>
      </c>
      <c r="AN27" t="s">
        <v>236</v>
      </c>
    </row>
    <row r="28" spans="9:40" x14ac:dyDescent="0.45">
      <c r="I28" t="s">
        <v>159</v>
      </c>
      <c r="J28" t="s">
        <v>172</v>
      </c>
      <c r="K28">
        <v>7.5188542945499676E-2</v>
      </c>
      <c r="L28" t="s">
        <v>161</v>
      </c>
      <c r="N28" t="s">
        <v>195</v>
      </c>
      <c r="O28" t="s">
        <v>172</v>
      </c>
      <c r="P28">
        <v>3.9980700663777395E-2</v>
      </c>
      <c r="Q28" t="s">
        <v>161</v>
      </c>
      <c r="S28" t="s">
        <v>217</v>
      </c>
      <c r="T28" t="s">
        <v>172</v>
      </c>
      <c r="U28">
        <v>4.1644796294791238E-2</v>
      </c>
      <c r="V28" t="s">
        <v>161</v>
      </c>
      <c r="X28">
        <v>3.6757990867579908E-2</v>
      </c>
      <c r="Y28">
        <v>4.7849240484300039E-2</v>
      </c>
      <c r="Z28" t="s">
        <v>172</v>
      </c>
      <c r="AA28" t="s">
        <v>25</v>
      </c>
      <c r="AC28" t="s">
        <v>22</v>
      </c>
      <c r="AD28" t="s">
        <v>172</v>
      </c>
      <c r="AE28">
        <v>3.7873011933194159E-2</v>
      </c>
      <c r="AG28" t="s">
        <v>100</v>
      </c>
      <c r="AH28" t="s">
        <v>172</v>
      </c>
      <c r="AI28">
        <v>0.10178345931774935</v>
      </c>
      <c r="AK28">
        <v>2022</v>
      </c>
      <c r="AL28" t="s">
        <v>241</v>
      </c>
      <c r="AM28">
        <v>0.33721731144529898</v>
      </c>
      <c r="AN28" t="s">
        <v>236</v>
      </c>
    </row>
    <row r="29" spans="9:40" x14ac:dyDescent="0.45">
      <c r="I29" t="s">
        <v>159</v>
      </c>
      <c r="J29" t="s">
        <v>248</v>
      </c>
      <c r="K29">
        <v>9.1094721375783051E-3</v>
      </c>
      <c r="L29" t="s">
        <v>161</v>
      </c>
      <c r="N29" t="s">
        <v>195</v>
      </c>
      <c r="O29" t="s">
        <v>248</v>
      </c>
      <c r="P29">
        <v>6.1082689173602225E-3</v>
      </c>
      <c r="Q29" t="s">
        <v>161</v>
      </c>
      <c r="S29" t="s">
        <v>217</v>
      </c>
      <c r="T29" t="s">
        <v>248</v>
      </c>
      <c r="U29">
        <v>6.0307367329274029E-3</v>
      </c>
      <c r="V29" t="s">
        <v>161</v>
      </c>
      <c r="X29">
        <v>5.2511415525114159E-3</v>
      </c>
      <c r="Y29">
        <v>1.0216377031383372E-2</v>
      </c>
      <c r="Z29" t="s">
        <v>248</v>
      </c>
      <c r="AA29" t="s">
        <v>25</v>
      </c>
      <c r="AC29" t="s">
        <v>22</v>
      </c>
      <c r="AD29" t="s">
        <v>248</v>
      </c>
      <c r="AE29">
        <v>5.3824149541727116E-3</v>
      </c>
      <c r="AG29" t="s">
        <v>100</v>
      </c>
      <c r="AH29" t="s">
        <v>248</v>
      </c>
      <c r="AI29">
        <v>9.1036650728076429E-2</v>
      </c>
      <c r="AK29">
        <v>2025</v>
      </c>
      <c r="AL29" t="s">
        <v>149</v>
      </c>
      <c r="AM29">
        <v>0.38230000000000003</v>
      </c>
      <c r="AN29" t="s">
        <v>236</v>
      </c>
    </row>
    <row r="30" spans="9:40" x14ac:dyDescent="0.45">
      <c r="I30" t="s">
        <v>159</v>
      </c>
      <c r="J30" t="s">
        <v>249</v>
      </c>
      <c r="K30">
        <v>7.9670522205239052E-3</v>
      </c>
      <c r="L30" t="s">
        <v>161</v>
      </c>
      <c r="N30" t="s">
        <v>195</v>
      </c>
      <c r="O30" t="s">
        <v>249</v>
      </c>
      <c r="P30">
        <v>4.7394744480622961E-2</v>
      </c>
      <c r="Q30" t="s">
        <v>161</v>
      </c>
      <c r="S30" t="s">
        <v>217</v>
      </c>
      <c r="T30" t="s">
        <v>249</v>
      </c>
      <c r="U30">
        <v>4.4267065440503267E-2</v>
      </c>
      <c r="V30" t="s">
        <v>161</v>
      </c>
      <c r="X30">
        <v>3.6757990867579908E-2</v>
      </c>
      <c r="Y30">
        <v>3.796832657932029E-2</v>
      </c>
      <c r="Z30" t="s">
        <v>249</v>
      </c>
      <c r="AA30" t="s">
        <v>25</v>
      </c>
      <c r="AC30" t="s">
        <v>22</v>
      </c>
      <c r="AD30" t="s">
        <v>249</v>
      </c>
      <c r="AE30">
        <v>3.3455899470615252E-2</v>
      </c>
      <c r="AG30" t="s">
        <v>100</v>
      </c>
      <c r="AH30" t="s">
        <v>249</v>
      </c>
      <c r="AI30">
        <v>0.168387821728051</v>
      </c>
      <c r="AK30">
        <v>2025</v>
      </c>
      <c r="AL30" t="s">
        <v>153</v>
      </c>
      <c r="AM30">
        <v>0.46252500000000002</v>
      </c>
      <c r="AN30" t="s">
        <v>236</v>
      </c>
    </row>
    <row r="31" spans="9:40" x14ac:dyDescent="0.45">
      <c r="I31" t="s">
        <v>159</v>
      </c>
      <c r="J31" t="s">
        <v>250</v>
      </c>
      <c r="K31">
        <v>0</v>
      </c>
      <c r="L31" t="s">
        <v>161</v>
      </c>
      <c r="N31" t="s">
        <v>195</v>
      </c>
      <c r="O31" t="s">
        <v>250</v>
      </c>
      <c r="P31">
        <v>6.9473494519055906E-2</v>
      </c>
      <c r="Q31" t="s">
        <v>161</v>
      </c>
      <c r="S31" t="s">
        <v>217</v>
      </c>
      <c r="T31" t="s">
        <v>250</v>
      </c>
      <c r="U31">
        <v>6.2319213989176801E-2</v>
      </c>
      <c r="V31" t="s">
        <v>161</v>
      </c>
      <c r="X31">
        <v>4.9315068493150684E-2</v>
      </c>
      <c r="Y31">
        <v>2.7333615095840685E-2</v>
      </c>
      <c r="Z31" t="s">
        <v>250</v>
      </c>
      <c r="AA31" t="s">
        <v>25</v>
      </c>
      <c r="AC31" t="s">
        <v>22</v>
      </c>
      <c r="AD31" t="s">
        <v>250</v>
      </c>
      <c r="AE31">
        <v>4.2547384690424697E-2</v>
      </c>
      <c r="AG31" t="s">
        <v>100</v>
      </c>
      <c r="AH31" t="s">
        <v>250</v>
      </c>
      <c r="AI31">
        <v>0.27779653259600368</v>
      </c>
      <c r="AK31">
        <v>2025</v>
      </c>
      <c r="AL31" t="s">
        <v>155</v>
      </c>
      <c r="AM31">
        <v>0.42266666666666669</v>
      </c>
      <c r="AN31" t="s">
        <v>236</v>
      </c>
    </row>
    <row r="32" spans="9:40" x14ac:dyDescent="0.45">
      <c r="I32" t="s">
        <v>159</v>
      </c>
      <c r="J32" t="s">
        <v>251</v>
      </c>
      <c r="K32">
        <v>7.1330286919232279E-4</v>
      </c>
      <c r="L32" t="s">
        <v>161</v>
      </c>
      <c r="N32" t="s">
        <v>195</v>
      </c>
      <c r="O32" t="s">
        <v>251</v>
      </c>
      <c r="P32">
        <v>9.4565066439179068E-3</v>
      </c>
      <c r="Q32" t="s">
        <v>161</v>
      </c>
      <c r="S32" t="s">
        <v>217</v>
      </c>
      <c r="T32" t="s">
        <v>251</v>
      </c>
      <c r="U32">
        <v>7.6434602480612013E-3</v>
      </c>
      <c r="V32" t="s">
        <v>161</v>
      </c>
      <c r="X32">
        <v>6.1643835616438354E-3</v>
      </c>
      <c r="Y32">
        <v>7.8760907938244303E-3</v>
      </c>
      <c r="Z32" t="s">
        <v>251</v>
      </c>
      <c r="AA32" t="s">
        <v>25</v>
      </c>
      <c r="AC32" t="s">
        <v>22</v>
      </c>
      <c r="AD32" t="s">
        <v>251</v>
      </c>
      <c r="AE32">
        <v>7.5266618783084438E-3</v>
      </c>
      <c r="AG32" t="s">
        <v>100</v>
      </c>
      <c r="AH32" t="s">
        <v>251</v>
      </c>
      <c r="AI32">
        <v>7.9994982659979952E-2</v>
      </c>
      <c r="AK32">
        <v>2025</v>
      </c>
      <c r="AL32" t="s">
        <v>157</v>
      </c>
      <c r="AM32">
        <v>0.35933333333333334</v>
      </c>
      <c r="AN32" t="s">
        <v>236</v>
      </c>
    </row>
    <row r="33" spans="9:40" x14ac:dyDescent="0.45">
      <c r="I33" t="s">
        <v>159</v>
      </c>
      <c r="J33" t="s">
        <v>252</v>
      </c>
      <c r="K33">
        <v>6.3237545182867172E-2</v>
      </c>
      <c r="L33" t="s">
        <v>161</v>
      </c>
      <c r="N33" t="s">
        <v>195</v>
      </c>
      <c r="O33" t="s">
        <v>252</v>
      </c>
      <c r="P33">
        <v>6.1966582216118116E-2</v>
      </c>
      <c r="Q33" t="s">
        <v>161</v>
      </c>
      <c r="S33" t="s">
        <v>217</v>
      </c>
      <c r="T33" t="s">
        <v>252</v>
      </c>
      <c r="U33">
        <v>5.3113139226129154E-2</v>
      </c>
      <c r="V33" t="s">
        <v>161</v>
      </c>
      <c r="X33">
        <v>4.3150684931506852E-2</v>
      </c>
      <c r="Y33">
        <v>5.6170847525047869E-2</v>
      </c>
      <c r="Z33" t="s">
        <v>252</v>
      </c>
      <c r="AA33" t="s">
        <v>25</v>
      </c>
      <c r="AC33" t="s">
        <v>22</v>
      </c>
      <c r="AD33" t="s">
        <v>252</v>
      </c>
      <c r="AE33">
        <v>5.2650968163851571E-2</v>
      </c>
      <c r="AG33" t="s">
        <v>100</v>
      </c>
      <c r="AH33" t="s">
        <v>252</v>
      </c>
      <c r="AI33">
        <v>9.4934652527016938E-2</v>
      </c>
      <c r="AK33">
        <v>2025</v>
      </c>
      <c r="AL33" t="s">
        <v>239</v>
      </c>
      <c r="AM33">
        <v>0.35270000000000001</v>
      </c>
      <c r="AN33" t="s">
        <v>236</v>
      </c>
    </row>
    <row r="34" spans="9:40" x14ac:dyDescent="0.45">
      <c r="I34" t="s">
        <v>159</v>
      </c>
      <c r="J34" t="s">
        <v>253</v>
      </c>
      <c r="K34">
        <v>5.6535918969015247E-3</v>
      </c>
      <c r="L34" t="s">
        <v>161</v>
      </c>
      <c r="N34" t="s">
        <v>195</v>
      </c>
      <c r="O34" t="s">
        <v>253</v>
      </c>
      <c r="P34">
        <v>8.7666253389594492E-3</v>
      </c>
      <c r="Q34" t="s">
        <v>161</v>
      </c>
      <c r="S34" t="s">
        <v>217</v>
      </c>
      <c r="T34" t="s">
        <v>253</v>
      </c>
      <c r="U34">
        <v>7.7616857043102533E-3</v>
      </c>
      <c r="V34" t="s">
        <v>161</v>
      </c>
      <c r="X34">
        <v>6.1643835616438354E-3</v>
      </c>
      <c r="Y34">
        <v>1.1993138254232649E-2</v>
      </c>
      <c r="Z34" t="s">
        <v>253</v>
      </c>
      <c r="AA34" t="s">
        <v>25</v>
      </c>
      <c r="AC34" t="s">
        <v>22</v>
      </c>
      <c r="AD34" t="s">
        <v>253</v>
      </c>
      <c r="AE34">
        <v>7.6688718113164522E-3</v>
      </c>
      <c r="AG34" t="s">
        <v>100</v>
      </c>
      <c r="AH34" t="s">
        <v>253</v>
      </c>
      <c r="AI34">
        <v>8.2570610733037952E-2</v>
      </c>
      <c r="AK34">
        <v>2025</v>
      </c>
      <c r="AL34" t="s">
        <v>241</v>
      </c>
      <c r="AM34">
        <v>0.37540000000000001</v>
      </c>
      <c r="AN34" t="s">
        <v>236</v>
      </c>
    </row>
    <row r="35" spans="9:40" x14ac:dyDescent="0.45">
      <c r="I35" t="s">
        <v>159</v>
      </c>
      <c r="J35" t="s">
        <v>254</v>
      </c>
      <c r="K35">
        <v>2.8740934118050076E-4</v>
      </c>
      <c r="L35" t="s">
        <v>161</v>
      </c>
      <c r="N35" t="s">
        <v>195</v>
      </c>
      <c r="O35" t="s">
        <v>254</v>
      </c>
      <c r="P35">
        <v>6.0212320861249335E-2</v>
      </c>
      <c r="Q35" t="s">
        <v>161</v>
      </c>
      <c r="S35" t="s">
        <v>217</v>
      </c>
      <c r="T35" t="s">
        <v>254</v>
      </c>
      <c r="U35">
        <v>5.4595008515589023E-2</v>
      </c>
      <c r="V35" t="s">
        <v>161</v>
      </c>
      <c r="X35">
        <v>4.3150684931506852E-2</v>
      </c>
      <c r="Y35">
        <v>4.4571513810506433E-2</v>
      </c>
      <c r="Z35" t="s">
        <v>254</v>
      </c>
      <c r="AA35" t="s">
        <v>25</v>
      </c>
      <c r="AC35" t="s">
        <v>22</v>
      </c>
      <c r="AD35" t="s">
        <v>254</v>
      </c>
      <c r="AE35">
        <v>4.7531118216132297E-2</v>
      </c>
      <c r="AG35" t="s">
        <v>100</v>
      </c>
      <c r="AH35" t="s">
        <v>254</v>
      </c>
      <c r="AI35">
        <v>0.1663028347761859</v>
      </c>
      <c r="AK35">
        <v>2026</v>
      </c>
      <c r="AL35" t="s">
        <v>149</v>
      </c>
      <c r="AM35">
        <v>0.30512500000000004</v>
      </c>
      <c r="AN35" t="s">
        <v>236</v>
      </c>
    </row>
    <row r="36" spans="9:40" x14ac:dyDescent="0.45">
      <c r="I36" t="s">
        <v>159</v>
      </c>
      <c r="J36" t="s">
        <v>255</v>
      </c>
      <c r="K36">
        <v>0</v>
      </c>
      <c r="L36" t="s">
        <v>161</v>
      </c>
      <c r="N36" t="s">
        <v>195</v>
      </c>
      <c r="O36" t="s">
        <v>255</v>
      </c>
      <c r="P36">
        <v>7.5413151440181757E-3</v>
      </c>
      <c r="Q36" t="s">
        <v>161</v>
      </c>
      <c r="S36" t="s">
        <v>217</v>
      </c>
      <c r="T36" t="s">
        <v>255</v>
      </c>
      <c r="U36">
        <v>7.9416014917219301E-3</v>
      </c>
      <c r="V36" t="s">
        <v>161</v>
      </c>
      <c r="X36">
        <v>4.5662100456621002E-3</v>
      </c>
      <c r="Y36">
        <v>2.5308902866519158E-3</v>
      </c>
      <c r="Z36" t="s">
        <v>255</v>
      </c>
      <c r="AA36" t="s">
        <v>25</v>
      </c>
      <c r="AC36" t="s">
        <v>22</v>
      </c>
      <c r="AD36" t="s">
        <v>255</v>
      </c>
      <c r="AE36">
        <v>3.9149493194434526E-3</v>
      </c>
      <c r="AG36" t="s">
        <v>100</v>
      </c>
      <c r="AH36" t="s">
        <v>255</v>
      </c>
      <c r="AI36">
        <v>0.27578209440612667</v>
      </c>
      <c r="AK36">
        <v>2026</v>
      </c>
      <c r="AL36" t="s">
        <v>153</v>
      </c>
      <c r="AM36">
        <v>0.38075000000000003</v>
      </c>
      <c r="AN36" t="s">
        <v>236</v>
      </c>
    </row>
    <row r="37" spans="9:40" x14ac:dyDescent="0.45">
      <c r="I37" t="s">
        <v>159</v>
      </c>
      <c r="J37" t="s">
        <v>256</v>
      </c>
      <c r="K37">
        <v>0</v>
      </c>
      <c r="L37" t="s">
        <v>161</v>
      </c>
      <c r="N37" t="s">
        <v>195</v>
      </c>
      <c r="O37" t="s">
        <v>256</v>
      </c>
      <c r="P37">
        <v>9.0851275134984258E-4</v>
      </c>
      <c r="Q37" t="s">
        <v>161</v>
      </c>
      <c r="S37" t="s">
        <v>217</v>
      </c>
      <c r="T37" t="s">
        <v>256</v>
      </c>
      <c r="U37">
        <v>9.178860953391627E-4</v>
      </c>
      <c r="V37" t="s">
        <v>161</v>
      </c>
      <c r="X37">
        <v>5.7077625570776253E-4</v>
      </c>
      <c r="Y37">
        <v>7.2926766609485475E-4</v>
      </c>
      <c r="Z37" t="s">
        <v>256</v>
      </c>
      <c r="AA37" t="s">
        <v>25</v>
      </c>
      <c r="AC37" t="s">
        <v>22</v>
      </c>
      <c r="AD37" t="s">
        <v>256</v>
      </c>
      <c r="AE37">
        <v>6.9150189105927678E-4</v>
      </c>
      <c r="AG37" t="s">
        <v>100</v>
      </c>
      <c r="AH37" t="s">
        <v>256</v>
      </c>
      <c r="AI37">
        <v>6.9939804459059784E-2</v>
      </c>
      <c r="AK37">
        <v>2026</v>
      </c>
      <c r="AL37" t="s">
        <v>155</v>
      </c>
      <c r="AM37">
        <v>0.3115</v>
      </c>
      <c r="AN37" t="s">
        <v>236</v>
      </c>
    </row>
    <row r="38" spans="9:40" x14ac:dyDescent="0.45">
      <c r="I38" t="s">
        <v>159</v>
      </c>
      <c r="J38" t="s">
        <v>257</v>
      </c>
      <c r="K38">
        <v>7.1920110801175444E-3</v>
      </c>
      <c r="L38" t="s">
        <v>161</v>
      </c>
      <c r="N38" t="s">
        <v>195</v>
      </c>
      <c r="O38" t="s">
        <v>257</v>
      </c>
      <c r="P38">
        <v>6.7589391816084412E-3</v>
      </c>
      <c r="Q38" t="s">
        <v>161</v>
      </c>
      <c r="S38" t="s">
        <v>217</v>
      </c>
      <c r="T38" t="s">
        <v>257</v>
      </c>
      <c r="U38">
        <v>6.7760702324795767E-3</v>
      </c>
      <c r="V38" t="s">
        <v>161</v>
      </c>
      <c r="X38">
        <v>3.9954337899543377E-3</v>
      </c>
      <c r="Y38">
        <v>5.2010044004673949E-3</v>
      </c>
      <c r="Z38" t="s">
        <v>257</v>
      </c>
      <c r="AA38" t="s">
        <v>25</v>
      </c>
      <c r="AC38" t="s">
        <v>22</v>
      </c>
      <c r="AD38" t="s">
        <v>257</v>
      </c>
      <c r="AE38">
        <v>4.8282685365420115E-3</v>
      </c>
      <c r="AG38" t="s">
        <v>100</v>
      </c>
      <c r="AH38" t="s">
        <v>257</v>
      </c>
      <c r="AI38">
        <v>8.1792810069582833E-2</v>
      </c>
      <c r="AK38">
        <v>2026</v>
      </c>
      <c r="AL38" t="s">
        <v>157</v>
      </c>
      <c r="AM38">
        <v>0.28350000000000003</v>
      </c>
      <c r="AN38" t="s">
        <v>236</v>
      </c>
    </row>
    <row r="39" spans="9:40" x14ac:dyDescent="0.45">
      <c r="I39" t="s">
        <v>159</v>
      </c>
      <c r="J39" t="s">
        <v>258</v>
      </c>
      <c r="K39">
        <v>8.8312169482660798E-4</v>
      </c>
      <c r="L39" t="s">
        <v>161</v>
      </c>
      <c r="N39" t="s">
        <v>195</v>
      </c>
      <c r="O39" t="s">
        <v>258</v>
      </c>
      <c r="P39">
        <v>9.8583920677667572E-4</v>
      </c>
      <c r="Q39" t="s">
        <v>161</v>
      </c>
      <c r="S39" t="s">
        <v>217</v>
      </c>
      <c r="T39" t="s">
        <v>258</v>
      </c>
      <c r="U39">
        <v>9.6259312662638275E-4</v>
      </c>
      <c r="V39" t="s">
        <v>161</v>
      </c>
      <c r="X39">
        <v>5.7077625570776253E-4</v>
      </c>
      <c r="Y39">
        <v>1.1104757642808013E-3</v>
      </c>
      <c r="Z39" t="s">
        <v>258</v>
      </c>
      <c r="AA39" t="s">
        <v>25</v>
      </c>
      <c r="AC39" t="s">
        <v>22</v>
      </c>
      <c r="AD39" t="s">
        <v>258</v>
      </c>
      <c r="AE39">
        <v>7.1186673181352245E-4</v>
      </c>
      <c r="AG39" t="s">
        <v>100</v>
      </c>
      <c r="AH39" t="s">
        <v>258</v>
      </c>
      <c r="AI39">
        <v>4.7588728737557151E-2</v>
      </c>
      <c r="AK39">
        <v>2026</v>
      </c>
      <c r="AL39" t="s">
        <v>239</v>
      </c>
      <c r="AM39">
        <v>0.31040000000000001</v>
      </c>
      <c r="AN39" t="s">
        <v>236</v>
      </c>
    </row>
    <row r="40" spans="9:40" x14ac:dyDescent="0.45">
      <c r="I40" t="s">
        <v>159</v>
      </c>
      <c r="J40" t="s">
        <v>259</v>
      </c>
      <c r="K40">
        <v>0</v>
      </c>
      <c r="L40" t="s">
        <v>161</v>
      </c>
      <c r="N40" t="s">
        <v>195</v>
      </c>
      <c r="O40" t="s">
        <v>259</v>
      </c>
      <c r="P40">
        <v>7.6114975123646794E-3</v>
      </c>
      <c r="Q40" t="s">
        <v>161</v>
      </c>
      <c r="S40" t="s">
        <v>217</v>
      </c>
      <c r="T40" t="s">
        <v>259</v>
      </c>
      <c r="U40">
        <v>6.7985436512658154E-3</v>
      </c>
      <c r="V40" t="s">
        <v>161</v>
      </c>
      <c r="X40">
        <v>3.9954337899543377E-3</v>
      </c>
      <c r="Y40">
        <v>4.1269920194913368E-3</v>
      </c>
      <c r="Z40" t="s">
        <v>259</v>
      </c>
      <c r="AA40" t="s">
        <v>25</v>
      </c>
      <c r="AC40" t="s">
        <v>22</v>
      </c>
      <c r="AD40" t="s">
        <v>259</v>
      </c>
      <c r="AE40">
        <v>4.4194010060829483E-3</v>
      </c>
      <c r="AG40" t="s">
        <v>100</v>
      </c>
      <c r="AH40" t="s">
        <v>259</v>
      </c>
      <c r="AI40">
        <v>0.13089403153525847</v>
      </c>
      <c r="AK40">
        <v>2026</v>
      </c>
      <c r="AL40" t="s">
        <v>241</v>
      </c>
      <c r="AM40">
        <v>0.32519999999999999</v>
      </c>
      <c r="AN40" t="s">
        <v>236</v>
      </c>
    </row>
    <row r="41" spans="9:40" x14ac:dyDescent="0.45">
      <c r="I41" t="s">
        <v>173</v>
      </c>
      <c r="J41" t="s">
        <v>160</v>
      </c>
      <c r="K41">
        <v>4.206707957634101E-3</v>
      </c>
      <c r="L41" t="s">
        <v>161</v>
      </c>
      <c r="N41" t="s">
        <v>196</v>
      </c>
      <c r="O41" t="s">
        <v>160</v>
      </c>
      <c r="P41">
        <v>0.10552765434836033</v>
      </c>
      <c r="Q41" t="s">
        <v>161</v>
      </c>
      <c r="S41" t="s">
        <v>218</v>
      </c>
      <c r="T41" t="s">
        <v>160</v>
      </c>
      <c r="U41">
        <v>0.10636453554078107</v>
      </c>
      <c r="V41" t="s">
        <v>161</v>
      </c>
      <c r="AC41" t="s">
        <v>19</v>
      </c>
      <c r="AD41" t="s">
        <v>160</v>
      </c>
      <c r="AE41">
        <v>0.10118906534011959</v>
      </c>
      <c r="AK41">
        <v>2027</v>
      </c>
      <c r="AL41" t="s">
        <v>149</v>
      </c>
      <c r="AM41">
        <v>0.30212499999999998</v>
      </c>
      <c r="AN41" t="s">
        <v>236</v>
      </c>
    </row>
    <row r="42" spans="9:40" x14ac:dyDescent="0.45">
      <c r="I42" t="s">
        <v>173</v>
      </c>
      <c r="J42" t="s">
        <v>162</v>
      </c>
      <c r="K42">
        <v>8.9807503241578195E-3</v>
      </c>
      <c r="L42" t="s">
        <v>161</v>
      </c>
      <c r="N42" t="s">
        <v>196</v>
      </c>
      <c r="O42" t="s">
        <v>162</v>
      </c>
      <c r="P42">
        <v>1.3221162562064433E-2</v>
      </c>
      <c r="Q42" t="s">
        <v>161</v>
      </c>
      <c r="S42" t="s">
        <v>218</v>
      </c>
      <c r="T42" t="s">
        <v>162</v>
      </c>
      <c r="U42">
        <v>1.3184414344004464E-2</v>
      </c>
      <c r="V42" t="s">
        <v>161</v>
      </c>
      <c r="AC42" t="s">
        <v>19</v>
      </c>
      <c r="AD42" t="s">
        <v>162</v>
      </c>
      <c r="AE42">
        <v>1.2919574782388744E-2</v>
      </c>
      <c r="AK42">
        <v>2027</v>
      </c>
      <c r="AL42" t="s">
        <v>153</v>
      </c>
      <c r="AM42">
        <v>0.36385000000000001</v>
      </c>
      <c r="AN42" t="s">
        <v>236</v>
      </c>
    </row>
    <row r="43" spans="9:40" x14ac:dyDescent="0.45">
      <c r="I43" t="s">
        <v>173</v>
      </c>
      <c r="J43" t="s">
        <v>163</v>
      </c>
      <c r="K43">
        <v>0.1805807030550132</v>
      </c>
      <c r="L43" t="s">
        <v>161</v>
      </c>
      <c r="N43" t="s">
        <v>196</v>
      </c>
      <c r="O43" t="s">
        <v>163</v>
      </c>
      <c r="P43">
        <v>8.75368567673247E-2</v>
      </c>
      <c r="Q43" t="s">
        <v>161</v>
      </c>
      <c r="S43" t="s">
        <v>218</v>
      </c>
      <c r="T43" t="s">
        <v>163</v>
      </c>
      <c r="U43">
        <v>9.261051450112176E-2</v>
      </c>
      <c r="V43" t="s">
        <v>161</v>
      </c>
      <c r="AC43" t="s">
        <v>19</v>
      </c>
      <c r="AD43" t="s">
        <v>163</v>
      </c>
      <c r="AE43">
        <v>9.0395474989152916E-2</v>
      </c>
      <c r="AK43">
        <v>2027</v>
      </c>
      <c r="AL43" t="s">
        <v>155</v>
      </c>
      <c r="AM43">
        <v>0.35366666666666663</v>
      </c>
      <c r="AN43" t="s">
        <v>236</v>
      </c>
    </row>
    <row r="44" spans="9:40" x14ac:dyDescent="0.45">
      <c r="I44" t="s">
        <v>173</v>
      </c>
      <c r="J44" t="s">
        <v>242</v>
      </c>
      <c r="K44">
        <v>1.9836789167253944E-2</v>
      </c>
      <c r="L44" t="s">
        <v>161</v>
      </c>
      <c r="N44" t="s">
        <v>196</v>
      </c>
      <c r="O44" t="s">
        <v>242</v>
      </c>
      <c r="P44">
        <v>1.2782163317437258E-2</v>
      </c>
      <c r="Q44" t="s">
        <v>161</v>
      </c>
      <c r="S44" t="s">
        <v>218</v>
      </c>
      <c r="T44" t="s">
        <v>242</v>
      </c>
      <c r="U44">
        <v>1.3833789291991239E-2</v>
      </c>
      <c r="V44" t="s">
        <v>161</v>
      </c>
      <c r="AC44" t="s">
        <v>19</v>
      </c>
      <c r="AD44" t="s">
        <v>242</v>
      </c>
      <c r="AE44">
        <v>1.2928522745316104E-2</v>
      </c>
      <c r="AK44">
        <v>2027</v>
      </c>
      <c r="AL44" t="s">
        <v>157</v>
      </c>
      <c r="AM44">
        <v>0.2959</v>
      </c>
      <c r="AN44" t="s">
        <v>236</v>
      </c>
    </row>
    <row r="45" spans="9:40" x14ac:dyDescent="0.45">
      <c r="I45" t="s">
        <v>173</v>
      </c>
      <c r="J45" t="s">
        <v>243</v>
      </c>
      <c r="K45">
        <v>2.1971988210301694E-2</v>
      </c>
      <c r="L45" t="s">
        <v>161</v>
      </c>
      <c r="N45" t="s">
        <v>196</v>
      </c>
      <c r="O45" t="s">
        <v>243</v>
      </c>
      <c r="P45">
        <v>9.3482502183494673E-2</v>
      </c>
      <c r="Q45" t="s">
        <v>161</v>
      </c>
      <c r="S45" t="s">
        <v>218</v>
      </c>
      <c r="T45" t="s">
        <v>243</v>
      </c>
      <c r="U45">
        <v>9.7935144219662332E-2</v>
      </c>
      <c r="V45" t="s">
        <v>161</v>
      </c>
      <c r="AC45" t="s">
        <v>19</v>
      </c>
      <c r="AD45" t="s">
        <v>243</v>
      </c>
      <c r="AE45">
        <v>8.9752857984978604E-2</v>
      </c>
      <c r="AK45">
        <v>2027</v>
      </c>
      <c r="AL45" t="s">
        <v>239</v>
      </c>
      <c r="AM45">
        <v>0.29035</v>
      </c>
      <c r="AN45" t="s">
        <v>236</v>
      </c>
    </row>
    <row r="46" spans="9:40" x14ac:dyDescent="0.45">
      <c r="I46" t="s">
        <v>173</v>
      </c>
      <c r="J46" t="s">
        <v>164</v>
      </c>
      <c r="K46">
        <v>3.5245222266626283E-2</v>
      </c>
      <c r="L46" t="s">
        <v>161</v>
      </c>
      <c r="N46" t="s">
        <v>196</v>
      </c>
      <c r="O46" t="s">
        <v>164</v>
      </c>
      <c r="P46">
        <v>6.2652942613380017E-2</v>
      </c>
      <c r="Q46" t="s">
        <v>161</v>
      </c>
      <c r="S46" t="s">
        <v>218</v>
      </c>
      <c r="T46" t="s">
        <v>164</v>
      </c>
      <c r="U46">
        <v>6.9357720599159636E-2</v>
      </c>
      <c r="V46" t="s">
        <v>161</v>
      </c>
      <c r="AC46" t="s">
        <v>19</v>
      </c>
      <c r="AD46" t="s">
        <v>164</v>
      </c>
      <c r="AE46">
        <v>8.8509810425533367E-2</v>
      </c>
      <c r="AK46">
        <v>2027</v>
      </c>
      <c r="AL46" t="s">
        <v>241</v>
      </c>
      <c r="AM46">
        <v>0.30130000000000001</v>
      </c>
      <c r="AN46" t="s">
        <v>236</v>
      </c>
    </row>
    <row r="47" spans="9:40" x14ac:dyDescent="0.45">
      <c r="I47" t="s">
        <v>173</v>
      </c>
      <c r="J47" t="s">
        <v>165</v>
      </c>
      <c r="K47">
        <v>2.9023472459236213E-2</v>
      </c>
      <c r="L47" t="s">
        <v>161</v>
      </c>
      <c r="N47" t="s">
        <v>196</v>
      </c>
      <c r="O47" t="s">
        <v>165</v>
      </c>
      <c r="P47">
        <v>6.5915782600639242E-3</v>
      </c>
      <c r="Q47" t="s">
        <v>161</v>
      </c>
      <c r="S47" t="s">
        <v>218</v>
      </c>
      <c r="T47" t="s">
        <v>165</v>
      </c>
      <c r="U47">
        <v>8.5334625962219211E-3</v>
      </c>
      <c r="V47" t="s">
        <v>161</v>
      </c>
      <c r="AC47" t="s">
        <v>19</v>
      </c>
      <c r="AD47" t="s">
        <v>165</v>
      </c>
      <c r="AE47">
        <v>1.1268444626741531E-2</v>
      </c>
      <c r="AK47">
        <v>2028</v>
      </c>
      <c r="AL47" t="s">
        <v>149</v>
      </c>
      <c r="AM47">
        <v>0.30427499999999996</v>
      </c>
      <c r="AN47" t="s">
        <v>236</v>
      </c>
    </row>
    <row r="48" spans="9:40" x14ac:dyDescent="0.45">
      <c r="I48" t="s">
        <v>173</v>
      </c>
      <c r="J48" t="s">
        <v>166</v>
      </c>
      <c r="K48">
        <v>0.26282558068763734</v>
      </c>
      <c r="L48" t="s">
        <v>161</v>
      </c>
      <c r="N48" t="s">
        <v>196</v>
      </c>
      <c r="O48" t="s">
        <v>166</v>
      </c>
      <c r="P48">
        <v>4.8295518346035474E-2</v>
      </c>
      <c r="Q48" t="s">
        <v>161</v>
      </c>
      <c r="S48" t="s">
        <v>218</v>
      </c>
      <c r="T48" t="s">
        <v>166</v>
      </c>
      <c r="U48">
        <v>5.8947530957070365E-2</v>
      </c>
      <c r="V48" t="s">
        <v>161</v>
      </c>
      <c r="AC48" t="s">
        <v>19</v>
      </c>
      <c r="AD48" t="s">
        <v>166</v>
      </c>
      <c r="AE48">
        <v>7.8899516725694424E-2</v>
      </c>
      <c r="AK48">
        <v>2028</v>
      </c>
      <c r="AL48" t="s">
        <v>153</v>
      </c>
      <c r="AM48">
        <v>0.37559999999999999</v>
      </c>
      <c r="AN48" t="s">
        <v>236</v>
      </c>
    </row>
    <row r="49" spans="9:40" x14ac:dyDescent="0.45">
      <c r="I49" t="s">
        <v>173</v>
      </c>
      <c r="J49" t="s">
        <v>244</v>
      </c>
      <c r="K49">
        <v>3.1115980022854563E-2</v>
      </c>
      <c r="L49" t="s">
        <v>161</v>
      </c>
      <c r="N49" t="s">
        <v>196</v>
      </c>
      <c r="O49" t="s">
        <v>244</v>
      </c>
      <c r="P49">
        <v>7.693442022995425E-3</v>
      </c>
      <c r="Q49" t="s">
        <v>161</v>
      </c>
      <c r="S49" t="s">
        <v>218</v>
      </c>
      <c r="T49" t="s">
        <v>244</v>
      </c>
      <c r="U49">
        <v>8.6286849962190111E-3</v>
      </c>
      <c r="V49" t="s">
        <v>161</v>
      </c>
      <c r="AC49" t="s">
        <v>19</v>
      </c>
      <c r="AD49" t="s">
        <v>244</v>
      </c>
      <c r="AE49">
        <v>1.1264931209652598E-2</v>
      </c>
      <c r="AK49">
        <v>2028</v>
      </c>
      <c r="AL49" t="s">
        <v>155</v>
      </c>
      <c r="AM49">
        <v>0.34876666666666667</v>
      </c>
      <c r="AN49" t="s">
        <v>236</v>
      </c>
    </row>
    <row r="50" spans="9:40" x14ac:dyDescent="0.45">
      <c r="I50" t="s">
        <v>173</v>
      </c>
      <c r="J50" t="s">
        <v>245</v>
      </c>
      <c r="K50">
        <v>6.5353640549023248E-2</v>
      </c>
      <c r="L50" t="s">
        <v>161</v>
      </c>
      <c r="N50" t="s">
        <v>196</v>
      </c>
      <c r="O50" t="s">
        <v>245</v>
      </c>
      <c r="P50">
        <v>5.3901551653640585E-2</v>
      </c>
      <c r="Q50" t="s">
        <v>161</v>
      </c>
      <c r="S50" t="s">
        <v>218</v>
      </c>
      <c r="T50" t="s">
        <v>245</v>
      </c>
      <c r="U50">
        <v>6.0919294054029439E-2</v>
      </c>
      <c r="V50" t="s">
        <v>161</v>
      </c>
      <c r="AC50" t="s">
        <v>19</v>
      </c>
      <c r="AD50" t="s">
        <v>245</v>
      </c>
      <c r="AE50">
        <v>7.8317525292408194E-2</v>
      </c>
      <c r="AK50">
        <v>2028</v>
      </c>
      <c r="AL50" t="s">
        <v>157</v>
      </c>
      <c r="AM50">
        <v>0.29223333333333334</v>
      </c>
      <c r="AN50" t="s">
        <v>236</v>
      </c>
    </row>
    <row r="51" spans="9:40" x14ac:dyDescent="0.45">
      <c r="I51" t="s">
        <v>173</v>
      </c>
      <c r="J51" t="s">
        <v>167</v>
      </c>
      <c r="K51">
        <v>1.1853803179341491E-2</v>
      </c>
      <c r="L51" t="s">
        <v>161</v>
      </c>
      <c r="N51" t="s">
        <v>196</v>
      </c>
      <c r="O51" t="s">
        <v>167</v>
      </c>
      <c r="P51">
        <v>3.5221709244985584E-2</v>
      </c>
      <c r="Q51" t="s">
        <v>161</v>
      </c>
      <c r="S51" t="s">
        <v>218</v>
      </c>
      <c r="T51" t="s">
        <v>167</v>
      </c>
      <c r="U51">
        <v>3.8040265210983429E-2</v>
      </c>
      <c r="V51" t="s">
        <v>161</v>
      </c>
      <c r="AC51" t="s">
        <v>19</v>
      </c>
      <c r="AD51" t="s">
        <v>167</v>
      </c>
      <c r="AE51">
        <v>4.5155521941729178E-2</v>
      </c>
      <c r="AK51">
        <v>2028</v>
      </c>
      <c r="AL51" t="s">
        <v>239</v>
      </c>
      <c r="AM51">
        <v>0.2757</v>
      </c>
      <c r="AN51" t="s">
        <v>236</v>
      </c>
    </row>
    <row r="52" spans="9:40" x14ac:dyDescent="0.45">
      <c r="I52" t="s">
        <v>173</v>
      </c>
      <c r="J52" t="s">
        <v>168</v>
      </c>
      <c r="K52">
        <v>1.28598058049786E-2</v>
      </c>
      <c r="L52" t="s">
        <v>161</v>
      </c>
      <c r="N52" t="s">
        <v>196</v>
      </c>
      <c r="O52" t="s">
        <v>168</v>
      </c>
      <c r="P52">
        <v>3.7557465308236892E-3</v>
      </c>
      <c r="Q52" t="s">
        <v>161</v>
      </c>
      <c r="S52" t="s">
        <v>218</v>
      </c>
      <c r="T52" t="s">
        <v>168</v>
      </c>
      <c r="U52">
        <v>4.9177635701032792E-3</v>
      </c>
      <c r="V52" t="s">
        <v>161</v>
      </c>
      <c r="AC52" t="s">
        <v>19</v>
      </c>
      <c r="AD52" t="s">
        <v>168</v>
      </c>
      <c r="AE52">
        <v>5.7504781960811963E-3</v>
      </c>
      <c r="AK52">
        <v>2028</v>
      </c>
      <c r="AL52" t="s">
        <v>241</v>
      </c>
      <c r="AM52">
        <v>0.27650000000000002</v>
      </c>
      <c r="AN52" t="s">
        <v>236</v>
      </c>
    </row>
    <row r="53" spans="9:40" x14ac:dyDescent="0.45">
      <c r="I53" t="s">
        <v>173</v>
      </c>
      <c r="J53" t="s">
        <v>169</v>
      </c>
      <c r="K53">
        <v>0.12292352735266719</v>
      </c>
      <c r="L53" t="s">
        <v>161</v>
      </c>
      <c r="N53" t="s">
        <v>196</v>
      </c>
      <c r="O53" t="s">
        <v>169</v>
      </c>
      <c r="P53">
        <v>2.3936437705077068E-2</v>
      </c>
      <c r="Q53" t="s">
        <v>161</v>
      </c>
      <c r="S53" t="s">
        <v>218</v>
      </c>
      <c r="T53" t="s">
        <v>169</v>
      </c>
      <c r="U53">
        <v>3.5332391318840771E-2</v>
      </c>
      <c r="V53" t="s">
        <v>161</v>
      </c>
      <c r="AC53" t="s">
        <v>19</v>
      </c>
      <c r="AD53" t="s">
        <v>169</v>
      </c>
      <c r="AE53">
        <v>4.0271609908870479E-2</v>
      </c>
      <c r="AK53">
        <v>2029</v>
      </c>
      <c r="AL53" t="s">
        <v>149</v>
      </c>
      <c r="AM53">
        <v>0.3226</v>
      </c>
      <c r="AN53" t="s">
        <v>236</v>
      </c>
    </row>
    <row r="54" spans="9:40" x14ac:dyDescent="0.45">
      <c r="I54" t="s">
        <v>173</v>
      </c>
      <c r="J54" t="s">
        <v>246</v>
      </c>
      <c r="K54">
        <v>1.4736179737363209E-2</v>
      </c>
      <c r="L54" t="s">
        <v>161</v>
      </c>
      <c r="N54" t="s">
        <v>196</v>
      </c>
      <c r="O54" t="s">
        <v>246</v>
      </c>
      <c r="P54">
        <v>3.3061077346027709E-3</v>
      </c>
      <c r="Q54" t="s">
        <v>161</v>
      </c>
      <c r="S54" t="s">
        <v>218</v>
      </c>
      <c r="T54" t="s">
        <v>246</v>
      </c>
      <c r="U54">
        <v>5.0376392271711777E-3</v>
      </c>
      <c r="V54" t="s">
        <v>161</v>
      </c>
      <c r="AC54" t="s">
        <v>19</v>
      </c>
      <c r="AD54" t="s">
        <v>246</v>
      </c>
      <c r="AE54">
        <v>5.7494429756113968E-3</v>
      </c>
      <c r="AK54">
        <v>2029</v>
      </c>
      <c r="AL54" t="s">
        <v>153</v>
      </c>
      <c r="AM54">
        <v>0.37572499999999998</v>
      </c>
      <c r="AN54" t="s">
        <v>236</v>
      </c>
    </row>
    <row r="55" spans="9:40" x14ac:dyDescent="0.45">
      <c r="I55" t="s">
        <v>173</v>
      </c>
      <c r="J55" t="s">
        <v>247</v>
      </c>
      <c r="K55">
        <v>2.6155891802304224E-2</v>
      </c>
      <c r="L55" t="s">
        <v>161</v>
      </c>
      <c r="N55" t="s">
        <v>196</v>
      </c>
      <c r="O55" t="s">
        <v>247</v>
      </c>
      <c r="P55">
        <v>2.5563297178546655E-2</v>
      </c>
      <c r="Q55" t="s">
        <v>161</v>
      </c>
      <c r="S55" t="s">
        <v>218</v>
      </c>
      <c r="T55" t="s">
        <v>247</v>
      </c>
      <c r="U55">
        <v>3.4153170051128605E-2</v>
      </c>
      <c r="V55" t="s">
        <v>161</v>
      </c>
      <c r="AC55" t="s">
        <v>19</v>
      </c>
      <c r="AD55" t="s">
        <v>247</v>
      </c>
      <c r="AE55">
        <v>3.9968115765429788E-2</v>
      </c>
      <c r="AK55">
        <v>2029</v>
      </c>
      <c r="AL55" t="s">
        <v>155</v>
      </c>
      <c r="AM55">
        <v>0.33100000000000002</v>
      </c>
      <c r="AN55" t="s">
        <v>236</v>
      </c>
    </row>
    <row r="56" spans="9:40" x14ac:dyDescent="0.45">
      <c r="I56" t="s">
        <v>173</v>
      </c>
      <c r="J56" t="s">
        <v>170</v>
      </c>
      <c r="K56">
        <v>1.6062217229606914E-3</v>
      </c>
      <c r="L56" t="s">
        <v>161</v>
      </c>
      <c r="N56" t="s">
        <v>196</v>
      </c>
      <c r="O56" t="s">
        <v>170</v>
      </c>
      <c r="P56">
        <v>5.581793519674183E-2</v>
      </c>
      <c r="Q56" t="s">
        <v>161</v>
      </c>
      <c r="S56" t="s">
        <v>218</v>
      </c>
      <c r="T56" t="s">
        <v>170</v>
      </c>
      <c r="U56">
        <v>5.1021974803208095E-2</v>
      </c>
      <c r="V56" t="s">
        <v>161</v>
      </c>
      <c r="AC56" t="s">
        <v>19</v>
      </c>
      <c r="AD56" t="s">
        <v>170</v>
      </c>
      <c r="AE56">
        <v>4.1566690628086961E-2</v>
      </c>
      <c r="AK56">
        <v>2029</v>
      </c>
      <c r="AL56" t="s">
        <v>157</v>
      </c>
      <c r="AM56">
        <v>0.28889999999999999</v>
      </c>
      <c r="AN56" t="s">
        <v>236</v>
      </c>
    </row>
    <row r="57" spans="9:40" x14ac:dyDescent="0.45">
      <c r="I57" t="s">
        <v>173</v>
      </c>
      <c r="J57" t="s">
        <v>171</v>
      </c>
      <c r="K57">
        <v>4.6635691609217319E-3</v>
      </c>
      <c r="L57" t="s">
        <v>161</v>
      </c>
      <c r="N57" t="s">
        <v>196</v>
      </c>
      <c r="O57" t="s">
        <v>171</v>
      </c>
      <c r="P57">
        <v>7.2294116723709556E-3</v>
      </c>
      <c r="Q57" t="s">
        <v>161</v>
      </c>
      <c r="S57" t="s">
        <v>218</v>
      </c>
      <c r="T57" t="s">
        <v>171</v>
      </c>
      <c r="U57">
        <v>6.1623614588879588E-3</v>
      </c>
      <c r="V57" t="s">
        <v>161</v>
      </c>
      <c r="AC57" t="s">
        <v>19</v>
      </c>
      <c r="AD57" t="s">
        <v>171</v>
      </c>
      <c r="AE57">
        <v>5.2924606826958692E-3</v>
      </c>
      <c r="AK57">
        <v>2029</v>
      </c>
      <c r="AL57" t="s">
        <v>239</v>
      </c>
      <c r="AM57">
        <v>0.29915000000000003</v>
      </c>
      <c r="AN57" t="s">
        <v>236</v>
      </c>
    </row>
    <row r="58" spans="9:40" x14ac:dyDescent="0.45">
      <c r="I58" t="s">
        <v>173</v>
      </c>
      <c r="J58" t="s">
        <v>172</v>
      </c>
      <c r="K58">
        <v>7.817249303632752E-2</v>
      </c>
      <c r="L58" t="s">
        <v>161</v>
      </c>
      <c r="N58" t="s">
        <v>196</v>
      </c>
      <c r="O58" t="s">
        <v>172</v>
      </c>
      <c r="P58">
        <v>4.2517900625041113E-2</v>
      </c>
      <c r="Q58" t="s">
        <v>161</v>
      </c>
      <c r="S58" t="s">
        <v>218</v>
      </c>
      <c r="T58" t="s">
        <v>172</v>
      </c>
      <c r="U58">
        <v>4.054625000557429E-2</v>
      </c>
      <c r="V58" t="s">
        <v>161</v>
      </c>
      <c r="AC58" t="s">
        <v>19</v>
      </c>
      <c r="AD58" t="s">
        <v>172</v>
      </c>
      <c r="AE58">
        <v>3.7016157396298377E-2</v>
      </c>
      <c r="AK58">
        <v>2029</v>
      </c>
      <c r="AL58" t="s">
        <v>241</v>
      </c>
      <c r="AM58">
        <v>0.3135</v>
      </c>
      <c r="AN58" t="s">
        <v>236</v>
      </c>
    </row>
    <row r="59" spans="9:40" x14ac:dyDescent="0.45">
      <c r="I59" t="s">
        <v>173</v>
      </c>
      <c r="J59" t="s">
        <v>248</v>
      </c>
      <c r="K59">
        <v>9.3652230189498788E-3</v>
      </c>
      <c r="L59" t="s">
        <v>161</v>
      </c>
      <c r="N59" t="s">
        <v>196</v>
      </c>
      <c r="O59" t="s">
        <v>248</v>
      </c>
      <c r="P59">
        <v>5.8913257192575227E-3</v>
      </c>
      <c r="Q59" t="s">
        <v>161</v>
      </c>
      <c r="S59" t="s">
        <v>218</v>
      </c>
      <c r="T59" t="s">
        <v>248</v>
      </c>
      <c r="U59">
        <v>6.0178710081997466E-3</v>
      </c>
      <c r="V59" t="s">
        <v>161</v>
      </c>
      <c r="AC59" t="s">
        <v>19</v>
      </c>
      <c r="AD59" t="s">
        <v>248</v>
      </c>
      <c r="AE59">
        <v>5.2864515501194276E-3</v>
      </c>
      <c r="AK59">
        <v>2030</v>
      </c>
      <c r="AL59" t="s">
        <v>149</v>
      </c>
      <c r="AM59">
        <v>0.31692500000000001</v>
      </c>
      <c r="AN59" t="s">
        <v>236</v>
      </c>
    </row>
    <row r="60" spans="9:40" x14ac:dyDescent="0.45">
      <c r="I60" t="s">
        <v>173</v>
      </c>
      <c r="J60" t="s">
        <v>249</v>
      </c>
      <c r="K60">
        <v>8.1416018498098684E-3</v>
      </c>
      <c r="L60" t="s">
        <v>161</v>
      </c>
      <c r="N60" t="s">
        <v>196</v>
      </c>
      <c r="O60" t="s">
        <v>249</v>
      </c>
      <c r="P60">
        <v>4.8216754279161327E-2</v>
      </c>
      <c r="Q60" t="s">
        <v>161</v>
      </c>
      <c r="S60" t="s">
        <v>218</v>
      </c>
      <c r="T60" t="s">
        <v>249</v>
      </c>
      <c r="U60">
        <v>4.4044401751003541E-2</v>
      </c>
      <c r="V60" t="s">
        <v>161</v>
      </c>
      <c r="AC60" t="s">
        <v>19</v>
      </c>
      <c r="AD60" t="s">
        <v>249</v>
      </c>
      <c r="AE60">
        <v>3.6768471617113135E-2</v>
      </c>
      <c r="AK60">
        <v>2030</v>
      </c>
      <c r="AL60" t="s">
        <v>153</v>
      </c>
      <c r="AM60">
        <v>0.38884999999999997</v>
      </c>
      <c r="AN60" t="s">
        <v>236</v>
      </c>
    </row>
    <row r="61" spans="9:40" x14ac:dyDescent="0.45">
      <c r="I61" t="s">
        <v>173</v>
      </c>
      <c r="J61" t="s">
        <v>250</v>
      </c>
      <c r="K61">
        <v>0</v>
      </c>
      <c r="L61" t="s">
        <v>161</v>
      </c>
      <c r="N61" t="s">
        <v>196</v>
      </c>
      <c r="O61" t="s">
        <v>250</v>
      </c>
      <c r="P61">
        <v>8.1219581324199833E-2</v>
      </c>
      <c r="Q61" t="s">
        <v>161</v>
      </c>
      <c r="S61" t="s">
        <v>218</v>
      </c>
      <c r="T61" t="s">
        <v>250</v>
      </c>
      <c r="U61">
        <v>6.0448689158157341E-2</v>
      </c>
      <c r="V61" t="s">
        <v>161</v>
      </c>
      <c r="AC61" t="s">
        <v>19</v>
      </c>
      <c r="AD61" t="s">
        <v>250</v>
      </c>
      <c r="AE61">
        <v>4.878072614085574E-2</v>
      </c>
      <c r="AK61">
        <v>2030</v>
      </c>
      <c r="AL61" t="s">
        <v>155</v>
      </c>
      <c r="AM61">
        <v>0.35053333333333331</v>
      </c>
      <c r="AN61" t="s">
        <v>236</v>
      </c>
    </row>
    <row r="62" spans="9:40" x14ac:dyDescent="0.45">
      <c r="I62" t="s">
        <v>173</v>
      </c>
      <c r="J62" t="s">
        <v>251</v>
      </c>
      <c r="K62">
        <v>1.775158985982657E-4</v>
      </c>
      <c r="L62" t="s">
        <v>161</v>
      </c>
      <c r="N62" t="s">
        <v>196</v>
      </c>
      <c r="O62" t="s">
        <v>251</v>
      </c>
      <c r="P62">
        <v>1.0286182550025514E-2</v>
      </c>
      <c r="Q62" t="s">
        <v>161</v>
      </c>
      <c r="S62" t="s">
        <v>218</v>
      </c>
      <c r="T62" t="s">
        <v>251</v>
      </c>
      <c r="U62">
        <v>7.5829164992265944E-3</v>
      </c>
      <c r="V62" t="s">
        <v>161</v>
      </c>
      <c r="AC62" t="s">
        <v>19</v>
      </c>
      <c r="AD62" t="s">
        <v>251</v>
      </c>
      <c r="AE62">
        <v>6.221415857064979E-3</v>
      </c>
      <c r="AK62">
        <v>2030</v>
      </c>
      <c r="AL62" t="s">
        <v>157</v>
      </c>
      <c r="AM62">
        <v>0.29209999999999997</v>
      </c>
      <c r="AN62" t="s">
        <v>236</v>
      </c>
    </row>
    <row r="63" spans="9:40" x14ac:dyDescent="0.45">
      <c r="I63" t="s">
        <v>173</v>
      </c>
      <c r="J63" t="s">
        <v>252</v>
      </c>
      <c r="K63">
        <v>4.1768420810553222E-2</v>
      </c>
      <c r="L63" t="s">
        <v>161</v>
      </c>
      <c r="N63" t="s">
        <v>196</v>
      </c>
      <c r="O63" t="s">
        <v>252</v>
      </c>
      <c r="P63">
        <v>6.4066311372100754E-2</v>
      </c>
      <c r="Q63" t="s">
        <v>161</v>
      </c>
      <c r="S63" t="s">
        <v>218</v>
      </c>
      <c r="T63" t="s">
        <v>252</v>
      </c>
      <c r="U63">
        <v>5.1804284334040794E-2</v>
      </c>
      <c r="V63" t="s">
        <v>161</v>
      </c>
      <c r="AC63" t="s">
        <v>19</v>
      </c>
      <c r="AD63" t="s">
        <v>252</v>
      </c>
      <c r="AE63">
        <v>4.3547911116159445E-2</v>
      </c>
      <c r="AK63">
        <v>2030</v>
      </c>
      <c r="AL63" t="s">
        <v>239</v>
      </c>
      <c r="AM63">
        <v>0.26619999999999999</v>
      </c>
      <c r="AN63" t="s">
        <v>236</v>
      </c>
    </row>
    <row r="64" spans="9:40" x14ac:dyDescent="0.45">
      <c r="I64" t="s">
        <v>173</v>
      </c>
      <c r="J64" t="s">
        <v>253</v>
      </c>
      <c r="K64">
        <v>3.5771546033760353E-3</v>
      </c>
      <c r="L64" t="s">
        <v>161</v>
      </c>
      <c r="N64" t="s">
        <v>196</v>
      </c>
      <c r="O64" t="s">
        <v>253</v>
      </c>
      <c r="P64">
        <v>9.0851344082266989E-3</v>
      </c>
      <c r="Q64" t="s">
        <v>161</v>
      </c>
      <c r="S64" t="s">
        <v>218</v>
      </c>
      <c r="T64" t="s">
        <v>253</v>
      </c>
      <c r="U64">
        <v>7.3875303190567201E-3</v>
      </c>
      <c r="V64" t="s">
        <v>161</v>
      </c>
      <c r="AC64" t="s">
        <v>19</v>
      </c>
      <c r="AD64" t="s">
        <v>253</v>
      </c>
      <c r="AE64">
        <v>6.2293901566472017E-3</v>
      </c>
      <c r="AK64">
        <v>2030</v>
      </c>
      <c r="AL64" t="s">
        <v>241</v>
      </c>
      <c r="AM64">
        <v>0.27739999999999998</v>
      </c>
      <c r="AN64" t="s">
        <v>236</v>
      </c>
    </row>
    <row r="65" spans="9:40" x14ac:dyDescent="0.45">
      <c r="I65" t="s">
        <v>173</v>
      </c>
      <c r="J65" t="s">
        <v>254</v>
      </c>
      <c r="K65">
        <v>2.0112526572433441E-4</v>
      </c>
      <c r="L65" t="s">
        <v>161</v>
      </c>
      <c r="N65" t="s">
        <v>196</v>
      </c>
      <c r="O65" t="s">
        <v>254</v>
      </c>
      <c r="P65">
        <v>6.699041176258623E-2</v>
      </c>
      <c r="Q65" t="s">
        <v>161</v>
      </c>
      <c r="S65" t="s">
        <v>218</v>
      </c>
      <c r="T65" t="s">
        <v>254</v>
      </c>
      <c r="U65">
        <v>5.2559800190256294E-2</v>
      </c>
      <c r="V65" t="s">
        <v>161</v>
      </c>
      <c r="AC65" t="s">
        <v>19</v>
      </c>
      <c r="AD65" t="s">
        <v>254</v>
      </c>
      <c r="AE65">
        <v>4.3260819937396028E-2</v>
      </c>
      <c r="AK65">
        <v>2031</v>
      </c>
      <c r="AL65" t="s">
        <v>149</v>
      </c>
      <c r="AM65">
        <v>0.31309999999999999</v>
      </c>
      <c r="AN65" t="s">
        <v>236</v>
      </c>
    </row>
    <row r="66" spans="9:40" x14ac:dyDescent="0.45">
      <c r="I66" t="s">
        <v>173</v>
      </c>
      <c r="J66" t="s">
        <v>255</v>
      </c>
      <c r="K66">
        <v>0</v>
      </c>
      <c r="L66" t="s">
        <v>161</v>
      </c>
      <c r="N66" t="s">
        <v>196</v>
      </c>
      <c r="O66" t="s">
        <v>255</v>
      </c>
      <c r="P66">
        <v>8.5488432374982454E-3</v>
      </c>
      <c r="Q66" t="s">
        <v>161</v>
      </c>
      <c r="S66" t="s">
        <v>218</v>
      </c>
      <c r="T66" t="s">
        <v>255</v>
      </c>
      <c r="U66">
        <v>8.163583208492432E-3</v>
      </c>
      <c r="V66" t="s">
        <v>161</v>
      </c>
      <c r="AC66" t="s">
        <v>19</v>
      </c>
      <c r="AD66" t="s">
        <v>255</v>
      </c>
      <c r="AE66">
        <v>4.5101396790917583E-3</v>
      </c>
      <c r="AK66">
        <v>2031</v>
      </c>
      <c r="AL66" t="s">
        <v>153</v>
      </c>
      <c r="AM66">
        <v>0.38905000000000001</v>
      </c>
      <c r="AN66" t="s">
        <v>236</v>
      </c>
    </row>
    <row r="67" spans="9:40" x14ac:dyDescent="0.45">
      <c r="I67" t="s">
        <v>173</v>
      </c>
      <c r="J67" t="s">
        <v>256</v>
      </c>
      <c r="K67">
        <v>0</v>
      </c>
      <c r="L67" t="s">
        <v>161</v>
      </c>
      <c r="N67" t="s">
        <v>196</v>
      </c>
      <c r="O67" t="s">
        <v>256</v>
      </c>
      <c r="P67">
        <v>1.0859718630282515E-3</v>
      </c>
      <c r="Q67" t="s">
        <v>161</v>
      </c>
      <c r="S67" t="s">
        <v>218</v>
      </c>
      <c r="T67" t="s">
        <v>256</v>
      </c>
      <c r="U67">
        <v>1.040849650247906E-3</v>
      </c>
      <c r="V67" t="s">
        <v>161</v>
      </c>
      <c r="AC67" t="s">
        <v>19</v>
      </c>
      <c r="AD67" t="s">
        <v>256</v>
      </c>
      <c r="AE67">
        <v>5.7510190654978159E-4</v>
      </c>
      <c r="AK67">
        <v>2031</v>
      </c>
      <c r="AL67" t="s">
        <v>155</v>
      </c>
      <c r="AM67">
        <v>0.35093333333333332</v>
      </c>
      <c r="AN67" t="s">
        <v>236</v>
      </c>
    </row>
    <row r="68" spans="9:40" x14ac:dyDescent="0.45">
      <c r="I68" t="s">
        <v>173</v>
      </c>
      <c r="J68" t="s">
        <v>257</v>
      </c>
      <c r="K68">
        <v>4.1160020598594504E-3</v>
      </c>
      <c r="L68" t="s">
        <v>161</v>
      </c>
      <c r="N68" t="s">
        <v>196</v>
      </c>
      <c r="O68" t="s">
        <v>257</v>
      </c>
      <c r="P68">
        <v>7.1162787223998771E-3</v>
      </c>
      <c r="Q68" t="s">
        <v>161</v>
      </c>
      <c r="S68" t="s">
        <v>218</v>
      </c>
      <c r="T68" t="s">
        <v>257</v>
      </c>
      <c r="U68">
        <v>7.2838765000247272E-3</v>
      </c>
      <c r="V68" t="s">
        <v>161</v>
      </c>
      <c r="AC68" t="s">
        <v>19</v>
      </c>
      <c r="AD68" t="s">
        <v>257</v>
      </c>
      <c r="AE68">
        <v>4.0250267347869935E-3</v>
      </c>
      <c r="AK68">
        <v>2031</v>
      </c>
      <c r="AL68" t="s">
        <v>157</v>
      </c>
      <c r="AM68">
        <v>0.28260000000000002</v>
      </c>
      <c r="AN68" t="s">
        <v>236</v>
      </c>
    </row>
    <row r="69" spans="9:40" x14ac:dyDescent="0.45">
      <c r="I69" t="s">
        <v>173</v>
      </c>
      <c r="J69" t="s">
        <v>258</v>
      </c>
      <c r="K69">
        <v>5.4062999652819573E-4</v>
      </c>
      <c r="L69" t="s">
        <v>161</v>
      </c>
      <c r="N69" t="s">
        <v>196</v>
      </c>
      <c r="O69" t="s">
        <v>258</v>
      </c>
      <c r="P69">
        <v>9.3573142513331286E-4</v>
      </c>
      <c r="Q69" t="s">
        <v>161</v>
      </c>
      <c r="S69" t="s">
        <v>218</v>
      </c>
      <c r="T69" t="s">
        <v>258</v>
      </c>
      <c r="U69">
        <v>1.0195210431846223E-3</v>
      </c>
      <c r="V69" t="s">
        <v>161</v>
      </c>
      <c r="AC69" t="s">
        <v>19</v>
      </c>
      <c r="AD69" t="s">
        <v>258</v>
      </c>
      <c r="AE69">
        <v>5.7624384746546612E-4</v>
      </c>
      <c r="AK69">
        <v>2031</v>
      </c>
      <c r="AL69" t="s">
        <v>239</v>
      </c>
      <c r="AM69">
        <v>0.29385</v>
      </c>
      <c r="AN69" t="s">
        <v>236</v>
      </c>
    </row>
    <row r="70" spans="9:40" x14ac:dyDescent="0.45">
      <c r="I70" t="s">
        <v>173</v>
      </c>
      <c r="J70" t="s">
        <v>259</v>
      </c>
      <c r="K70">
        <v>0</v>
      </c>
      <c r="L70" t="s">
        <v>161</v>
      </c>
      <c r="N70" t="s">
        <v>196</v>
      </c>
      <c r="O70" t="s">
        <v>259</v>
      </c>
      <c r="P70">
        <v>7.5235553733966577E-3</v>
      </c>
      <c r="Q70" t="s">
        <v>161</v>
      </c>
      <c r="S70" t="s">
        <v>218</v>
      </c>
      <c r="T70" t="s">
        <v>259</v>
      </c>
      <c r="U70">
        <v>7.119769591954395E-3</v>
      </c>
      <c r="V70" t="s">
        <v>161</v>
      </c>
      <c r="AC70" t="s">
        <v>19</v>
      </c>
      <c r="AD70" t="s">
        <v>259</v>
      </c>
      <c r="AE70">
        <v>4.0020998399607349E-3</v>
      </c>
      <c r="AK70">
        <v>2031</v>
      </c>
      <c r="AL70" t="s">
        <v>241</v>
      </c>
      <c r="AM70">
        <v>0.3281</v>
      </c>
      <c r="AN70" t="s">
        <v>236</v>
      </c>
    </row>
    <row r="71" spans="9:40" x14ac:dyDescent="0.45">
      <c r="I71" t="s">
        <v>174</v>
      </c>
      <c r="J71" t="s">
        <v>160</v>
      </c>
      <c r="K71">
        <v>4.7241265326189233E-3</v>
      </c>
      <c r="L71" t="s">
        <v>161</v>
      </c>
      <c r="N71" t="s">
        <v>197</v>
      </c>
      <c r="O71" t="s">
        <v>160</v>
      </c>
      <c r="P71">
        <v>0.1070265741027573</v>
      </c>
      <c r="Q71" t="s">
        <v>161</v>
      </c>
      <c r="S71" t="s">
        <v>219</v>
      </c>
      <c r="T71" t="s">
        <v>160</v>
      </c>
      <c r="U71">
        <v>0.10839054243530202</v>
      </c>
      <c r="V71" t="s">
        <v>161</v>
      </c>
      <c r="AK71">
        <v>2032</v>
      </c>
      <c r="AL71" t="s">
        <v>149</v>
      </c>
      <c r="AM71">
        <v>0.37257500000000005</v>
      </c>
      <c r="AN71" t="s">
        <v>236</v>
      </c>
    </row>
    <row r="72" spans="9:40" x14ac:dyDescent="0.45">
      <c r="I72" t="s">
        <v>174</v>
      </c>
      <c r="J72" t="s">
        <v>162</v>
      </c>
      <c r="K72">
        <v>9.9520351613067333E-3</v>
      </c>
      <c r="L72" t="s">
        <v>161</v>
      </c>
      <c r="N72" t="s">
        <v>197</v>
      </c>
      <c r="O72" t="s">
        <v>162</v>
      </c>
      <c r="P72">
        <v>1.2914032541363767E-2</v>
      </c>
      <c r="Q72" t="s">
        <v>161</v>
      </c>
      <c r="S72" t="s">
        <v>219</v>
      </c>
      <c r="T72" t="s">
        <v>162</v>
      </c>
      <c r="U72">
        <v>1.335167290777683E-2</v>
      </c>
      <c r="V72" t="s">
        <v>161</v>
      </c>
      <c r="AK72">
        <v>2032</v>
      </c>
      <c r="AL72" t="s">
        <v>153</v>
      </c>
      <c r="AM72">
        <v>0.41910000000000003</v>
      </c>
      <c r="AN72" t="s">
        <v>236</v>
      </c>
    </row>
    <row r="73" spans="9:40" x14ac:dyDescent="0.45">
      <c r="I73" t="s">
        <v>174</v>
      </c>
      <c r="J73" t="s">
        <v>163</v>
      </c>
      <c r="K73">
        <v>0.17941348231987098</v>
      </c>
      <c r="L73" t="s">
        <v>161</v>
      </c>
      <c r="N73" t="s">
        <v>197</v>
      </c>
      <c r="O73" t="s">
        <v>163</v>
      </c>
      <c r="P73">
        <v>8.886751040012543E-2</v>
      </c>
      <c r="Q73" t="s">
        <v>161</v>
      </c>
      <c r="S73" t="s">
        <v>219</v>
      </c>
      <c r="T73" t="s">
        <v>163</v>
      </c>
      <c r="U73">
        <v>9.2221878027890267E-2</v>
      </c>
      <c r="V73" t="s">
        <v>161</v>
      </c>
      <c r="AK73">
        <v>2032</v>
      </c>
      <c r="AL73" t="s">
        <v>155</v>
      </c>
      <c r="AM73">
        <v>0.40940000000000004</v>
      </c>
      <c r="AN73" t="s">
        <v>236</v>
      </c>
    </row>
    <row r="74" spans="9:40" x14ac:dyDescent="0.45">
      <c r="I74" t="s">
        <v>174</v>
      </c>
      <c r="J74" t="s">
        <v>242</v>
      </c>
      <c r="K74">
        <v>2.0837315574030953E-2</v>
      </c>
      <c r="L74" t="s">
        <v>161</v>
      </c>
      <c r="N74" t="s">
        <v>197</v>
      </c>
      <c r="O74" t="s">
        <v>242</v>
      </c>
      <c r="P74">
        <v>1.2901973006052548E-2</v>
      </c>
      <c r="Q74" t="s">
        <v>161</v>
      </c>
      <c r="S74" t="s">
        <v>219</v>
      </c>
      <c r="T74" t="s">
        <v>242</v>
      </c>
      <c r="U74">
        <v>1.3529253878775118E-2</v>
      </c>
      <c r="V74" t="s">
        <v>161</v>
      </c>
      <c r="AK74">
        <v>2032</v>
      </c>
      <c r="AL74" t="s">
        <v>157</v>
      </c>
      <c r="AM74">
        <v>0.36769999999999997</v>
      </c>
      <c r="AN74" t="s">
        <v>236</v>
      </c>
    </row>
    <row r="75" spans="9:40" x14ac:dyDescent="0.45">
      <c r="I75" t="s">
        <v>174</v>
      </c>
      <c r="J75" t="s">
        <v>243</v>
      </c>
      <c r="K75">
        <v>2.325051743589622E-2</v>
      </c>
      <c r="L75" t="s">
        <v>161</v>
      </c>
      <c r="N75" t="s">
        <v>197</v>
      </c>
      <c r="O75" t="s">
        <v>243</v>
      </c>
      <c r="P75">
        <v>9.7318985599847557E-2</v>
      </c>
      <c r="Q75" t="s">
        <v>161</v>
      </c>
      <c r="S75" t="s">
        <v>219</v>
      </c>
      <c r="T75" t="s">
        <v>243</v>
      </c>
      <c r="U75">
        <v>9.7763256538357796E-2</v>
      </c>
      <c r="V75" t="s">
        <v>161</v>
      </c>
      <c r="AK75">
        <v>2032</v>
      </c>
      <c r="AL75" t="s">
        <v>239</v>
      </c>
      <c r="AM75">
        <v>0.33655000000000002</v>
      </c>
      <c r="AN75" t="s">
        <v>236</v>
      </c>
    </row>
    <row r="76" spans="9:40" x14ac:dyDescent="0.45">
      <c r="I76" t="s">
        <v>174</v>
      </c>
      <c r="J76" t="s">
        <v>164</v>
      </c>
      <c r="K76">
        <v>3.4570730596020921E-2</v>
      </c>
      <c r="L76" t="s">
        <v>161</v>
      </c>
      <c r="N76" t="s">
        <v>197</v>
      </c>
      <c r="O76" t="s">
        <v>164</v>
      </c>
      <c r="P76">
        <v>6.3963292931517451E-2</v>
      </c>
      <c r="Q76" t="s">
        <v>161</v>
      </c>
      <c r="S76" t="s">
        <v>219</v>
      </c>
      <c r="T76" t="s">
        <v>164</v>
      </c>
      <c r="U76">
        <v>6.8595825490868637E-2</v>
      </c>
      <c r="V76" t="s">
        <v>161</v>
      </c>
      <c r="AK76">
        <v>2032</v>
      </c>
      <c r="AL76" t="s">
        <v>241</v>
      </c>
      <c r="AM76">
        <v>0.33439999999999998</v>
      </c>
      <c r="AN76" t="s">
        <v>236</v>
      </c>
    </row>
    <row r="77" spans="9:40" x14ac:dyDescent="0.45">
      <c r="I77" t="s">
        <v>174</v>
      </c>
      <c r="J77" t="s">
        <v>165</v>
      </c>
      <c r="K77">
        <v>2.8305371823816806E-2</v>
      </c>
      <c r="L77" t="s">
        <v>161</v>
      </c>
      <c r="N77" t="s">
        <v>197</v>
      </c>
      <c r="O77" t="s">
        <v>165</v>
      </c>
      <c r="P77">
        <v>6.5100307688920134E-3</v>
      </c>
      <c r="Q77" t="s">
        <v>161</v>
      </c>
      <c r="S77" t="s">
        <v>219</v>
      </c>
      <c r="T77" t="s">
        <v>165</v>
      </c>
      <c r="U77">
        <v>8.3914453006242867E-3</v>
      </c>
      <c r="V77" t="s">
        <v>161</v>
      </c>
      <c r="AK77">
        <v>2033</v>
      </c>
      <c r="AL77" t="s">
        <v>149</v>
      </c>
      <c r="AM77">
        <v>0.37180000000000002</v>
      </c>
      <c r="AN77" t="s">
        <v>236</v>
      </c>
    </row>
    <row r="78" spans="9:40" x14ac:dyDescent="0.45">
      <c r="I78" t="s">
        <v>174</v>
      </c>
      <c r="J78" t="s">
        <v>166</v>
      </c>
      <c r="K78">
        <v>0.25735680416607948</v>
      </c>
      <c r="L78" t="s">
        <v>161</v>
      </c>
      <c r="N78" t="s">
        <v>197</v>
      </c>
      <c r="O78" t="s">
        <v>166</v>
      </c>
      <c r="P78">
        <v>4.9481607746145614E-2</v>
      </c>
      <c r="Q78" t="s">
        <v>161</v>
      </c>
      <c r="S78" t="s">
        <v>219</v>
      </c>
      <c r="T78" t="s">
        <v>166</v>
      </c>
      <c r="U78">
        <v>5.7303840428842158E-2</v>
      </c>
      <c r="V78" t="s">
        <v>161</v>
      </c>
      <c r="AK78">
        <v>2033</v>
      </c>
      <c r="AL78" t="s">
        <v>153</v>
      </c>
      <c r="AM78">
        <v>0.44764999999999999</v>
      </c>
      <c r="AN78" t="s">
        <v>236</v>
      </c>
    </row>
    <row r="79" spans="9:40" x14ac:dyDescent="0.45">
      <c r="I79" t="s">
        <v>174</v>
      </c>
      <c r="J79" t="s">
        <v>244</v>
      </c>
      <c r="K79">
        <v>3.0924894970995872E-2</v>
      </c>
      <c r="L79" t="s">
        <v>161</v>
      </c>
      <c r="N79" t="s">
        <v>197</v>
      </c>
      <c r="O79" t="s">
        <v>244</v>
      </c>
      <c r="P79">
        <v>7.8564808536395053E-3</v>
      </c>
      <c r="Q79" t="s">
        <v>161</v>
      </c>
      <c r="S79" t="s">
        <v>219</v>
      </c>
      <c r="T79" t="s">
        <v>244</v>
      </c>
      <c r="U79">
        <v>8.8386139054889273E-3</v>
      </c>
      <c r="V79" t="s">
        <v>161</v>
      </c>
      <c r="AK79">
        <v>2033</v>
      </c>
      <c r="AL79" t="s">
        <v>155</v>
      </c>
      <c r="AM79">
        <v>0.4123666666666666</v>
      </c>
      <c r="AN79" t="s">
        <v>236</v>
      </c>
    </row>
    <row r="80" spans="9:40" x14ac:dyDescent="0.45">
      <c r="I80" t="s">
        <v>174</v>
      </c>
      <c r="J80" t="s">
        <v>245</v>
      </c>
      <c r="K80">
        <v>6.1516368849562617E-2</v>
      </c>
      <c r="L80" t="s">
        <v>161</v>
      </c>
      <c r="N80" t="s">
        <v>197</v>
      </c>
      <c r="O80" t="s">
        <v>245</v>
      </c>
      <c r="P80">
        <v>5.65788345469911E-2</v>
      </c>
      <c r="Q80" t="s">
        <v>161</v>
      </c>
      <c r="S80" t="s">
        <v>219</v>
      </c>
      <c r="T80" t="s">
        <v>245</v>
      </c>
      <c r="U80">
        <v>6.1712344382237223E-2</v>
      </c>
      <c r="V80" t="s">
        <v>161</v>
      </c>
      <c r="AK80">
        <v>2033</v>
      </c>
      <c r="AL80" t="s">
        <v>157</v>
      </c>
      <c r="AM80">
        <v>0.35426666666666667</v>
      </c>
      <c r="AN80" t="s">
        <v>236</v>
      </c>
    </row>
    <row r="81" spans="9:40" x14ac:dyDescent="0.45">
      <c r="I81" t="s">
        <v>174</v>
      </c>
      <c r="J81" t="s">
        <v>167</v>
      </c>
      <c r="K81">
        <v>1.1460519032518685E-2</v>
      </c>
      <c r="L81" t="s">
        <v>161</v>
      </c>
      <c r="N81" t="s">
        <v>197</v>
      </c>
      <c r="O81" t="s">
        <v>167</v>
      </c>
      <c r="P81">
        <v>3.7968040442564757E-2</v>
      </c>
      <c r="Q81" t="s">
        <v>161</v>
      </c>
      <c r="S81" t="s">
        <v>219</v>
      </c>
      <c r="T81" t="s">
        <v>167</v>
      </c>
      <c r="U81">
        <v>3.7016256715878562E-2</v>
      </c>
      <c r="V81" t="s">
        <v>161</v>
      </c>
      <c r="AK81">
        <v>2033</v>
      </c>
      <c r="AL81" t="s">
        <v>239</v>
      </c>
      <c r="AM81">
        <v>0.34389999999999998</v>
      </c>
      <c r="AN81" t="s">
        <v>236</v>
      </c>
    </row>
    <row r="82" spans="9:40" x14ac:dyDescent="0.45">
      <c r="I82" t="s">
        <v>174</v>
      </c>
      <c r="J82" t="s">
        <v>168</v>
      </c>
      <c r="K82">
        <v>1.2384035974887691E-2</v>
      </c>
      <c r="L82" t="s">
        <v>161</v>
      </c>
      <c r="N82" t="s">
        <v>197</v>
      </c>
      <c r="O82" t="s">
        <v>168</v>
      </c>
      <c r="P82">
        <v>3.8584981546685537E-3</v>
      </c>
      <c r="Q82" t="s">
        <v>161</v>
      </c>
      <c r="S82" t="s">
        <v>219</v>
      </c>
      <c r="T82" t="s">
        <v>168</v>
      </c>
      <c r="U82">
        <v>4.9259358930825578E-3</v>
      </c>
      <c r="V82" t="s">
        <v>161</v>
      </c>
      <c r="AK82">
        <v>2033</v>
      </c>
      <c r="AL82" t="s">
        <v>241</v>
      </c>
      <c r="AM82">
        <v>0.33360000000000001</v>
      </c>
      <c r="AN82" t="s">
        <v>236</v>
      </c>
    </row>
    <row r="83" spans="9:40" x14ac:dyDescent="0.45">
      <c r="I83" t="s">
        <v>174</v>
      </c>
      <c r="J83" t="s">
        <v>169</v>
      </c>
      <c r="K83">
        <v>0.12286692621271915</v>
      </c>
      <c r="L83" t="s">
        <v>161</v>
      </c>
      <c r="N83" t="s">
        <v>197</v>
      </c>
      <c r="O83" t="s">
        <v>169</v>
      </c>
      <c r="P83">
        <v>2.4964153023005753E-2</v>
      </c>
      <c r="Q83" t="s">
        <v>161</v>
      </c>
      <c r="S83" t="s">
        <v>219</v>
      </c>
      <c r="T83" t="s">
        <v>169</v>
      </c>
      <c r="U83">
        <v>3.3877635589853232E-2</v>
      </c>
      <c r="V83" t="s">
        <v>161</v>
      </c>
      <c r="AK83">
        <v>2034</v>
      </c>
      <c r="AL83" t="s">
        <v>149</v>
      </c>
      <c r="AM83">
        <v>0.34284999999999999</v>
      </c>
      <c r="AN83" t="s">
        <v>236</v>
      </c>
    </row>
    <row r="84" spans="9:40" x14ac:dyDescent="0.45">
      <c r="I84" t="s">
        <v>174</v>
      </c>
      <c r="J84" t="s">
        <v>246</v>
      </c>
      <c r="K84">
        <v>1.451251765280173E-2</v>
      </c>
      <c r="L84" t="s">
        <v>161</v>
      </c>
      <c r="N84" t="s">
        <v>197</v>
      </c>
      <c r="O84" t="s">
        <v>246</v>
      </c>
      <c r="P84">
        <v>3.4281871391398586E-3</v>
      </c>
      <c r="Q84" t="s">
        <v>161</v>
      </c>
      <c r="S84" t="s">
        <v>219</v>
      </c>
      <c r="T84" t="s">
        <v>246</v>
      </c>
      <c r="U84">
        <v>4.7843311543841307E-3</v>
      </c>
      <c r="V84" t="s">
        <v>161</v>
      </c>
      <c r="AK84">
        <v>2034</v>
      </c>
      <c r="AL84" t="s">
        <v>153</v>
      </c>
      <c r="AM84">
        <v>0.45304999999999995</v>
      </c>
      <c r="AN84" t="s">
        <v>236</v>
      </c>
    </row>
    <row r="85" spans="9:40" x14ac:dyDescent="0.45">
      <c r="I85" t="s">
        <v>174</v>
      </c>
      <c r="J85" t="s">
        <v>247</v>
      </c>
      <c r="K85">
        <v>2.5113273927327543E-2</v>
      </c>
      <c r="L85" t="s">
        <v>161</v>
      </c>
      <c r="N85" t="s">
        <v>197</v>
      </c>
      <c r="O85" t="s">
        <v>247</v>
      </c>
      <c r="P85">
        <v>2.712058414748298E-2</v>
      </c>
      <c r="Q85" t="s">
        <v>161</v>
      </c>
      <c r="S85" t="s">
        <v>219</v>
      </c>
      <c r="T85" t="s">
        <v>247</v>
      </c>
      <c r="U85">
        <v>3.218958578948003E-2</v>
      </c>
      <c r="V85" t="s">
        <v>161</v>
      </c>
      <c r="AK85">
        <v>2034</v>
      </c>
      <c r="AL85" t="s">
        <v>155</v>
      </c>
      <c r="AM85">
        <v>0.41433333333333328</v>
      </c>
      <c r="AN85" t="s">
        <v>236</v>
      </c>
    </row>
    <row r="86" spans="9:40" x14ac:dyDescent="0.45">
      <c r="I86" t="s">
        <v>174</v>
      </c>
      <c r="J86" t="s">
        <v>170</v>
      </c>
      <c r="K86">
        <v>1.7415575860765685E-3</v>
      </c>
      <c r="L86" t="s">
        <v>161</v>
      </c>
      <c r="N86" t="s">
        <v>197</v>
      </c>
      <c r="O86" t="s">
        <v>170</v>
      </c>
      <c r="P86">
        <v>5.2287828787736738E-2</v>
      </c>
      <c r="Q86" t="s">
        <v>161</v>
      </c>
      <c r="S86" t="s">
        <v>219</v>
      </c>
      <c r="T86" t="s">
        <v>170</v>
      </c>
      <c r="U86">
        <v>5.1344667677337121E-2</v>
      </c>
      <c r="V86" t="s">
        <v>161</v>
      </c>
      <c r="AK86">
        <v>2034</v>
      </c>
      <c r="AL86" t="s">
        <v>157</v>
      </c>
      <c r="AM86">
        <v>0.36840000000000001</v>
      </c>
      <c r="AN86" t="s">
        <v>236</v>
      </c>
    </row>
    <row r="87" spans="9:40" x14ac:dyDescent="0.45">
      <c r="I87" t="s">
        <v>174</v>
      </c>
      <c r="J87" t="s">
        <v>171</v>
      </c>
      <c r="K87">
        <v>4.7179009350531674E-3</v>
      </c>
      <c r="L87" t="s">
        <v>161</v>
      </c>
      <c r="N87" t="s">
        <v>197</v>
      </c>
      <c r="O87" t="s">
        <v>171</v>
      </c>
      <c r="P87">
        <v>6.6202864102646126E-3</v>
      </c>
      <c r="Q87" t="s">
        <v>161</v>
      </c>
      <c r="S87" t="s">
        <v>219</v>
      </c>
      <c r="T87" t="s">
        <v>171</v>
      </c>
      <c r="U87">
        <v>6.1739871082138846E-3</v>
      </c>
      <c r="V87" t="s">
        <v>161</v>
      </c>
      <c r="AK87">
        <v>2034</v>
      </c>
      <c r="AL87" t="s">
        <v>239</v>
      </c>
      <c r="AM87">
        <v>0.34555000000000002</v>
      </c>
      <c r="AN87" t="s">
        <v>236</v>
      </c>
    </row>
    <row r="88" spans="9:40" x14ac:dyDescent="0.45">
      <c r="I88" t="s">
        <v>174</v>
      </c>
      <c r="J88" t="s">
        <v>172</v>
      </c>
      <c r="K88">
        <v>7.5748598814143087E-2</v>
      </c>
      <c r="L88" t="s">
        <v>161</v>
      </c>
      <c r="N88" t="s">
        <v>197</v>
      </c>
      <c r="O88" t="s">
        <v>172</v>
      </c>
      <c r="P88">
        <v>4.101224757353835E-2</v>
      </c>
      <c r="Q88" t="s">
        <v>161</v>
      </c>
      <c r="S88" t="s">
        <v>219</v>
      </c>
      <c r="T88" t="s">
        <v>172</v>
      </c>
      <c r="U88">
        <v>4.1338351902938927E-2</v>
      </c>
      <c r="V88" t="s">
        <v>161</v>
      </c>
      <c r="AK88">
        <v>2034</v>
      </c>
      <c r="AL88" t="s">
        <v>241</v>
      </c>
      <c r="AM88">
        <v>0.34560000000000002</v>
      </c>
      <c r="AN88" t="s">
        <v>236</v>
      </c>
    </row>
    <row r="89" spans="9:40" x14ac:dyDescent="0.45">
      <c r="I89" t="s">
        <v>174</v>
      </c>
      <c r="J89" t="s">
        <v>248</v>
      </c>
      <c r="K89">
        <v>8.9304855491434774E-3</v>
      </c>
      <c r="L89" t="s">
        <v>161</v>
      </c>
      <c r="N89" t="s">
        <v>197</v>
      </c>
      <c r="O89" t="s">
        <v>248</v>
      </c>
      <c r="P89">
        <v>6.1224870278884522E-3</v>
      </c>
      <c r="Q89" t="s">
        <v>161</v>
      </c>
      <c r="S89" t="s">
        <v>219</v>
      </c>
      <c r="T89" t="s">
        <v>248</v>
      </c>
      <c r="U89">
        <v>6.1205857252900186E-3</v>
      </c>
      <c r="V89" t="s">
        <v>161</v>
      </c>
      <c r="AK89">
        <v>2035</v>
      </c>
      <c r="AL89" t="s">
        <v>149</v>
      </c>
      <c r="AM89">
        <v>0.35912499999999997</v>
      </c>
      <c r="AN89" t="s">
        <v>236</v>
      </c>
    </row>
    <row r="90" spans="9:40" x14ac:dyDescent="0.45">
      <c r="I90" t="s">
        <v>174</v>
      </c>
      <c r="J90" t="s">
        <v>249</v>
      </c>
      <c r="K90">
        <v>7.5429452547838604E-3</v>
      </c>
      <c r="L90" t="s">
        <v>161</v>
      </c>
      <c r="N90" t="s">
        <v>197</v>
      </c>
      <c r="O90" t="s">
        <v>249</v>
      </c>
      <c r="P90">
        <v>4.8509031993090659E-2</v>
      </c>
      <c r="Q90" t="s">
        <v>161</v>
      </c>
      <c r="S90" t="s">
        <v>219</v>
      </c>
      <c r="T90" t="s">
        <v>249</v>
      </c>
      <c r="U90">
        <v>4.5514222552460494E-2</v>
      </c>
      <c r="V90" t="s">
        <v>161</v>
      </c>
      <c r="AK90">
        <v>2035</v>
      </c>
      <c r="AL90" t="s">
        <v>153</v>
      </c>
      <c r="AM90">
        <v>0.44017499999999998</v>
      </c>
      <c r="AN90" t="s">
        <v>236</v>
      </c>
    </row>
    <row r="91" spans="9:40" x14ac:dyDescent="0.45">
      <c r="I91" t="s">
        <v>174</v>
      </c>
      <c r="J91" t="s">
        <v>250</v>
      </c>
      <c r="K91">
        <v>0</v>
      </c>
      <c r="L91" t="s">
        <v>161</v>
      </c>
      <c r="N91" t="s">
        <v>197</v>
      </c>
      <c r="O91" t="s">
        <v>250</v>
      </c>
      <c r="P91">
        <v>7.3933574114992073E-2</v>
      </c>
      <c r="Q91" t="s">
        <v>161</v>
      </c>
      <c r="S91" t="s">
        <v>219</v>
      </c>
      <c r="T91" t="s">
        <v>250</v>
      </c>
      <c r="U91">
        <v>6.1201266260300806E-2</v>
      </c>
      <c r="V91" t="s">
        <v>161</v>
      </c>
      <c r="AK91">
        <v>2035</v>
      </c>
      <c r="AL91" t="s">
        <v>155</v>
      </c>
      <c r="AM91">
        <v>0.40053333333333335</v>
      </c>
      <c r="AN91" t="s">
        <v>236</v>
      </c>
    </row>
    <row r="92" spans="9:40" x14ac:dyDescent="0.45">
      <c r="I92" t="s">
        <v>174</v>
      </c>
      <c r="J92" t="s">
        <v>251</v>
      </c>
      <c r="K92">
        <v>5.9558484831579686E-4</v>
      </c>
      <c r="L92" t="s">
        <v>161</v>
      </c>
      <c r="N92" t="s">
        <v>197</v>
      </c>
      <c r="O92" t="s">
        <v>251</v>
      </c>
      <c r="P92">
        <v>9.8564677632001704E-3</v>
      </c>
      <c r="Q92" t="s">
        <v>161</v>
      </c>
      <c r="S92" t="s">
        <v>219</v>
      </c>
      <c r="T92" t="s">
        <v>251</v>
      </c>
      <c r="U92">
        <v>7.6803476092443344E-3</v>
      </c>
      <c r="V92" t="s">
        <v>161</v>
      </c>
      <c r="AK92">
        <v>2035</v>
      </c>
      <c r="AL92" t="s">
        <v>157</v>
      </c>
      <c r="AM92">
        <v>0.33176666666666665</v>
      </c>
      <c r="AN92" t="s">
        <v>236</v>
      </c>
    </row>
    <row r="93" spans="9:40" x14ac:dyDescent="0.45">
      <c r="I93" t="s">
        <v>174</v>
      </c>
      <c r="J93" t="s">
        <v>252</v>
      </c>
      <c r="K93">
        <v>5.2715491515816018E-2</v>
      </c>
      <c r="L93" t="s">
        <v>161</v>
      </c>
      <c r="N93" t="s">
        <v>197</v>
      </c>
      <c r="O93" t="s">
        <v>252</v>
      </c>
      <c r="P93">
        <v>6.329181201994484E-2</v>
      </c>
      <c r="Q93" t="s">
        <v>161</v>
      </c>
      <c r="S93" t="s">
        <v>219</v>
      </c>
      <c r="T93" t="s">
        <v>252</v>
      </c>
      <c r="U93">
        <v>5.3206698388918387E-2</v>
      </c>
      <c r="V93" t="s">
        <v>161</v>
      </c>
      <c r="AK93">
        <v>2035</v>
      </c>
      <c r="AL93" t="s">
        <v>239</v>
      </c>
      <c r="AM93">
        <v>0.3614</v>
      </c>
      <c r="AN93" t="s">
        <v>236</v>
      </c>
    </row>
    <row r="94" spans="9:40" x14ac:dyDescent="0.45">
      <c r="I94" t="s">
        <v>174</v>
      </c>
      <c r="J94" t="s">
        <v>253</v>
      </c>
      <c r="K94">
        <v>4.4766470288318868E-3</v>
      </c>
      <c r="L94" t="s">
        <v>161</v>
      </c>
      <c r="N94" t="s">
        <v>197</v>
      </c>
      <c r="O94" t="s">
        <v>253</v>
      </c>
      <c r="P94">
        <v>9.011590442583272E-3</v>
      </c>
      <c r="Q94" t="s">
        <v>161</v>
      </c>
      <c r="S94" t="s">
        <v>219</v>
      </c>
      <c r="T94" t="s">
        <v>253</v>
      </c>
      <c r="U94">
        <v>7.565955506547606E-3</v>
      </c>
      <c r="V94" t="s">
        <v>161</v>
      </c>
      <c r="AK94">
        <v>2035</v>
      </c>
      <c r="AL94" t="s">
        <v>241</v>
      </c>
      <c r="AM94">
        <v>0.37880000000000003</v>
      </c>
      <c r="AN94" t="s">
        <v>236</v>
      </c>
    </row>
    <row r="95" spans="9:40" x14ac:dyDescent="0.45">
      <c r="I95" t="s">
        <v>174</v>
      </c>
      <c r="J95" t="s">
        <v>254</v>
      </c>
      <c r="K95">
        <v>2.0872301260597978E-4</v>
      </c>
      <c r="L95" t="s">
        <v>161</v>
      </c>
      <c r="N95" t="s">
        <v>197</v>
      </c>
      <c r="O95" t="s">
        <v>254</v>
      </c>
      <c r="P95">
        <v>6.502669996628338E-2</v>
      </c>
      <c r="Q95" t="s">
        <v>161</v>
      </c>
      <c r="S95" t="s">
        <v>219</v>
      </c>
      <c r="T95" t="s">
        <v>254</v>
      </c>
      <c r="U95">
        <v>5.2275421714349145E-2</v>
      </c>
      <c r="V95" t="s">
        <v>161</v>
      </c>
      <c r="AK95">
        <v>2036</v>
      </c>
      <c r="AL95" t="s">
        <v>149</v>
      </c>
      <c r="AM95">
        <v>0.37605000000000005</v>
      </c>
      <c r="AN95" t="s">
        <v>236</v>
      </c>
    </row>
    <row r="96" spans="9:40" x14ac:dyDescent="0.45">
      <c r="I96" t="s">
        <v>174</v>
      </c>
      <c r="J96" t="s">
        <v>255</v>
      </c>
      <c r="K96">
        <v>0</v>
      </c>
      <c r="L96" t="s">
        <v>161</v>
      </c>
      <c r="N96" t="s">
        <v>197</v>
      </c>
      <c r="O96" t="s">
        <v>255</v>
      </c>
      <c r="P96">
        <v>7.5993905562680127E-3</v>
      </c>
      <c r="Q96" t="s">
        <v>161</v>
      </c>
      <c r="S96" t="s">
        <v>219</v>
      </c>
      <c r="T96" t="s">
        <v>255</v>
      </c>
      <c r="U96">
        <v>8.0976799968540923E-3</v>
      </c>
      <c r="V96" t="s">
        <v>161</v>
      </c>
      <c r="AK96">
        <v>2036</v>
      </c>
      <c r="AL96" t="s">
        <v>153</v>
      </c>
      <c r="AM96">
        <v>0.42110000000000003</v>
      </c>
      <c r="AN96" t="s">
        <v>236</v>
      </c>
    </row>
    <row r="97" spans="9:40" x14ac:dyDescent="0.45">
      <c r="I97" t="s">
        <v>174</v>
      </c>
      <c r="J97" t="s">
        <v>256</v>
      </c>
      <c r="K97">
        <v>0</v>
      </c>
      <c r="L97" t="s">
        <v>161</v>
      </c>
      <c r="N97" t="s">
        <v>197</v>
      </c>
      <c r="O97" t="s">
        <v>256</v>
      </c>
      <c r="P97">
        <v>1.0267932203728688E-3</v>
      </c>
      <c r="Q97" t="s">
        <v>161</v>
      </c>
      <c r="S97" t="s">
        <v>219</v>
      </c>
      <c r="T97" t="s">
        <v>256</v>
      </c>
      <c r="U97">
        <v>1.0251833212123061E-3</v>
      </c>
      <c r="V97" t="s">
        <v>161</v>
      </c>
      <c r="AK97">
        <v>2036</v>
      </c>
      <c r="AL97" t="s">
        <v>155</v>
      </c>
      <c r="AM97">
        <v>0.40543333333333331</v>
      </c>
      <c r="AN97" t="s">
        <v>236</v>
      </c>
    </row>
    <row r="98" spans="9:40" x14ac:dyDescent="0.45">
      <c r="I98" t="s">
        <v>174</v>
      </c>
      <c r="J98" t="s">
        <v>257</v>
      </c>
      <c r="K98">
        <v>5.4319028524865655E-3</v>
      </c>
      <c r="L98" t="s">
        <v>161</v>
      </c>
      <c r="N98" t="s">
        <v>197</v>
      </c>
      <c r="O98" t="s">
        <v>257</v>
      </c>
      <c r="P98">
        <v>6.2829966382540623E-3</v>
      </c>
      <c r="Q98" t="s">
        <v>161</v>
      </c>
      <c r="S98" t="s">
        <v>219</v>
      </c>
      <c r="T98" t="s">
        <v>257</v>
      </c>
      <c r="U98">
        <v>7.3214604914118298E-3</v>
      </c>
      <c r="V98" t="s">
        <v>161</v>
      </c>
      <c r="AK98">
        <v>2036</v>
      </c>
      <c r="AL98" t="s">
        <v>157</v>
      </c>
      <c r="AM98">
        <v>0.36313333333333331</v>
      </c>
      <c r="AN98" t="s">
        <v>236</v>
      </c>
    </row>
    <row r="99" spans="9:40" x14ac:dyDescent="0.45">
      <c r="I99" t="s">
        <v>174</v>
      </c>
      <c r="J99" t="s">
        <v>258</v>
      </c>
      <c r="K99">
        <v>7.0124237228861739E-4</v>
      </c>
      <c r="L99" t="s">
        <v>161</v>
      </c>
      <c r="N99" t="s">
        <v>197</v>
      </c>
      <c r="O99" t="s">
        <v>258</v>
      </c>
      <c r="P99">
        <v>9.4623149592266954E-4</v>
      </c>
      <c r="Q99" t="s">
        <v>161</v>
      </c>
      <c r="S99" t="s">
        <v>219</v>
      </c>
      <c r="T99" t="s">
        <v>258</v>
      </c>
      <c r="U99">
        <v>1.0501421594938977E-3</v>
      </c>
      <c r="V99" t="s">
        <v>161</v>
      </c>
      <c r="AK99">
        <v>2036</v>
      </c>
      <c r="AL99" t="s">
        <v>239</v>
      </c>
      <c r="AM99">
        <v>0.35709999999999997</v>
      </c>
      <c r="AN99" t="s">
        <v>236</v>
      </c>
    </row>
    <row r="100" spans="9:40" x14ac:dyDescent="0.45">
      <c r="I100" t="s">
        <v>174</v>
      </c>
      <c r="J100" t="s">
        <v>259</v>
      </c>
      <c r="K100">
        <v>0</v>
      </c>
      <c r="L100" t="s">
        <v>161</v>
      </c>
      <c r="N100" t="s">
        <v>197</v>
      </c>
      <c r="O100" t="s">
        <v>259</v>
      </c>
      <c r="P100">
        <v>7.713776585467411E-3</v>
      </c>
      <c r="Q100" t="s">
        <v>161</v>
      </c>
      <c r="S100" t="s">
        <v>219</v>
      </c>
      <c r="T100" t="s">
        <v>259</v>
      </c>
      <c r="U100">
        <v>7.1916111465858317E-3</v>
      </c>
      <c r="V100" t="s">
        <v>161</v>
      </c>
      <c r="AK100">
        <v>2036</v>
      </c>
      <c r="AL100" t="s">
        <v>241</v>
      </c>
      <c r="AM100">
        <v>0.36759999999999998</v>
      </c>
      <c r="AN100" t="s">
        <v>236</v>
      </c>
    </row>
    <row r="101" spans="9:40" x14ac:dyDescent="0.45">
      <c r="I101" t="s">
        <v>175</v>
      </c>
      <c r="J101" t="s">
        <v>160</v>
      </c>
      <c r="K101">
        <v>1.2610282877585326E-2</v>
      </c>
      <c r="L101" t="s">
        <v>161</v>
      </c>
      <c r="N101" t="s">
        <v>198</v>
      </c>
      <c r="O101" t="s">
        <v>160</v>
      </c>
      <c r="P101">
        <v>0.11250764004140631</v>
      </c>
      <c r="Q101" t="s">
        <v>161</v>
      </c>
      <c r="S101" t="s">
        <v>220</v>
      </c>
      <c r="T101" t="s">
        <v>160</v>
      </c>
      <c r="U101">
        <v>0.11312360299430406</v>
      </c>
      <c r="V101" t="s">
        <v>161</v>
      </c>
      <c r="AK101">
        <v>2037</v>
      </c>
      <c r="AL101" t="s">
        <v>149</v>
      </c>
      <c r="AM101">
        <v>0.36432500000000001</v>
      </c>
      <c r="AN101" t="s">
        <v>236</v>
      </c>
    </row>
    <row r="102" spans="9:40" x14ac:dyDescent="0.45">
      <c r="I102" t="s">
        <v>175</v>
      </c>
      <c r="J102" t="s">
        <v>162</v>
      </c>
      <c r="K102">
        <v>1.732241942963041E-2</v>
      </c>
      <c r="L102" t="s">
        <v>161</v>
      </c>
      <c r="N102" t="s">
        <v>198</v>
      </c>
      <c r="O102" t="s">
        <v>162</v>
      </c>
      <c r="P102">
        <v>1.3639163655206192E-2</v>
      </c>
      <c r="Q102" t="s">
        <v>161</v>
      </c>
      <c r="S102" t="s">
        <v>220</v>
      </c>
      <c r="T102" t="s">
        <v>162</v>
      </c>
      <c r="U102">
        <v>1.3771054073558407E-2</v>
      </c>
      <c r="V102" t="s">
        <v>161</v>
      </c>
      <c r="AK102">
        <v>2037</v>
      </c>
      <c r="AL102" t="s">
        <v>153</v>
      </c>
      <c r="AM102">
        <v>0.42907499999999998</v>
      </c>
      <c r="AN102" t="s">
        <v>236</v>
      </c>
    </row>
    <row r="103" spans="9:40" x14ac:dyDescent="0.45">
      <c r="I103" t="s">
        <v>175</v>
      </c>
      <c r="J103" t="s">
        <v>163</v>
      </c>
      <c r="K103">
        <v>0.18610851317425439</v>
      </c>
      <c r="L103" t="s">
        <v>161</v>
      </c>
      <c r="N103" t="s">
        <v>198</v>
      </c>
      <c r="O103" t="s">
        <v>163</v>
      </c>
      <c r="P103">
        <v>9.3610743734264798E-2</v>
      </c>
      <c r="Q103" t="s">
        <v>161</v>
      </c>
      <c r="S103" t="s">
        <v>220</v>
      </c>
      <c r="T103" t="s">
        <v>163</v>
      </c>
      <c r="U103">
        <v>9.4579544745872129E-2</v>
      </c>
      <c r="V103" t="s">
        <v>161</v>
      </c>
      <c r="AK103">
        <v>2037</v>
      </c>
      <c r="AL103" t="s">
        <v>155</v>
      </c>
      <c r="AM103">
        <v>0.38369999999999999</v>
      </c>
      <c r="AN103" t="s">
        <v>236</v>
      </c>
    </row>
    <row r="104" spans="9:40" x14ac:dyDescent="0.45">
      <c r="I104" t="s">
        <v>175</v>
      </c>
      <c r="J104" t="s">
        <v>242</v>
      </c>
      <c r="K104">
        <v>1.4897675281078306E-2</v>
      </c>
      <c r="L104" t="s">
        <v>161</v>
      </c>
      <c r="N104" t="s">
        <v>198</v>
      </c>
      <c r="O104" t="s">
        <v>242</v>
      </c>
      <c r="P104">
        <v>1.3674546957707388E-2</v>
      </c>
      <c r="Q104" t="s">
        <v>161</v>
      </c>
      <c r="S104" t="s">
        <v>220</v>
      </c>
      <c r="T104" t="s">
        <v>242</v>
      </c>
      <c r="U104">
        <v>1.3949395913309964E-2</v>
      </c>
      <c r="V104" t="s">
        <v>161</v>
      </c>
      <c r="AK104">
        <v>2037</v>
      </c>
      <c r="AL104" t="s">
        <v>157</v>
      </c>
      <c r="AM104">
        <v>0.33513333333333334</v>
      </c>
      <c r="AN104" t="s">
        <v>236</v>
      </c>
    </row>
    <row r="105" spans="9:40" x14ac:dyDescent="0.45">
      <c r="I105" t="s">
        <v>175</v>
      </c>
      <c r="J105" t="s">
        <v>243</v>
      </c>
      <c r="K105">
        <v>1.0068960851051236E-2</v>
      </c>
      <c r="L105" t="s">
        <v>161</v>
      </c>
      <c r="N105" t="s">
        <v>198</v>
      </c>
      <c r="O105" t="s">
        <v>243</v>
      </c>
      <c r="P105">
        <v>0.10100862107962244</v>
      </c>
      <c r="Q105" t="s">
        <v>161</v>
      </c>
      <c r="S105" t="s">
        <v>220</v>
      </c>
      <c r="T105" t="s">
        <v>243</v>
      </c>
      <c r="U105">
        <v>0.10181953859791154</v>
      </c>
      <c r="V105" t="s">
        <v>161</v>
      </c>
      <c r="AK105">
        <v>2037</v>
      </c>
      <c r="AL105" t="s">
        <v>239</v>
      </c>
      <c r="AM105">
        <v>0.34394999999999998</v>
      </c>
      <c r="AN105" t="s">
        <v>236</v>
      </c>
    </row>
    <row r="106" spans="9:40" x14ac:dyDescent="0.45">
      <c r="I106" t="s">
        <v>175</v>
      </c>
      <c r="J106" t="s">
        <v>164</v>
      </c>
      <c r="K106">
        <v>6.0294711710018538E-2</v>
      </c>
      <c r="L106" t="s">
        <v>161</v>
      </c>
      <c r="N106" t="s">
        <v>198</v>
      </c>
      <c r="O106" t="s">
        <v>164</v>
      </c>
      <c r="P106">
        <v>6.4672607566759077E-2</v>
      </c>
      <c r="Q106" t="s">
        <v>161</v>
      </c>
      <c r="S106" t="s">
        <v>220</v>
      </c>
      <c r="T106" t="s">
        <v>164</v>
      </c>
      <c r="U106">
        <v>6.5650059790391513E-2</v>
      </c>
      <c r="V106" t="s">
        <v>161</v>
      </c>
      <c r="AK106">
        <v>2037</v>
      </c>
      <c r="AL106" t="s">
        <v>241</v>
      </c>
      <c r="AM106">
        <v>0.3654</v>
      </c>
      <c r="AN106" t="s">
        <v>236</v>
      </c>
    </row>
    <row r="107" spans="9:40" x14ac:dyDescent="0.45">
      <c r="I107" t="s">
        <v>175</v>
      </c>
      <c r="J107" t="s">
        <v>165</v>
      </c>
      <c r="K107">
        <v>3.3449159749663879E-2</v>
      </c>
      <c r="L107" t="s">
        <v>161</v>
      </c>
      <c r="N107" t="s">
        <v>198</v>
      </c>
      <c r="O107" t="s">
        <v>165</v>
      </c>
      <c r="P107">
        <v>7.8408040785736457E-3</v>
      </c>
      <c r="Q107" t="s">
        <v>161</v>
      </c>
      <c r="S107" t="s">
        <v>220</v>
      </c>
      <c r="T107" t="s">
        <v>165</v>
      </c>
      <c r="U107">
        <v>8.2487744827716494E-3</v>
      </c>
      <c r="V107" t="s">
        <v>161</v>
      </c>
      <c r="AK107">
        <v>2038</v>
      </c>
      <c r="AL107" t="s">
        <v>149</v>
      </c>
      <c r="AM107">
        <v>0.34567500000000001</v>
      </c>
      <c r="AN107" t="s">
        <v>236</v>
      </c>
    </row>
    <row r="108" spans="9:40" x14ac:dyDescent="0.45">
      <c r="I108" t="s">
        <v>175</v>
      </c>
      <c r="J108" t="s">
        <v>166</v>
      </c>
      <c r="K108">
        <v>0.25791331502999526</v>
      </c>
      <c r="L108" t="s">
        <v>161</v>
      </c>
      <c r="N108" t="s">
        <v>198</v>
      </c>
      <c r="O108" t="s">
        <v>166</v>
      </c>
      <c r="P108">
        <v>5.6362754408244745E-2</v>
      </c>
      <c r="Q108" t="s">
        <v>161</v>
      </c>
      <c r="S108" t="s">
        <v>220</v>
      </c>
      <c r="T108" t="s">
        <v>166</v>
      </c>
      <c r="U108">
        <v>5.515150935292526E-2</v>
      </c>
      <c r="V108" t="s">
        <v>161</v>
      </c>
      <c r="AK108">
        <v>2038</v>
      </c>
      <c r="AL108" t="s">
        <v>153</v>
      </c>
      <c r="AM108">
        <v>0.43670000000000003</v>
      </c>
      <c r="AN108" t="s">
        <v>236</v>
      </c>
    </row>
    <row r="109" spans="9:40" x14ac:dyDescent="0.45">
      <c r="I109" t="s">
        <v>175</v>
      </c>
      <c r="J109" t="s">
        <v>244</v>
      </c>
      <c r="K109">
        <v>2.7751574415349683E-2</v>
      </c>
      <c r="L109" t="s">
        <v>161</v>
      </c>
      <c r="N109" t="s">
        <v>198</v>
      </c>
      <c r="O109" t="s">
        <v>244</v>
      </c>
      <c r="P109">
        <v>8.389863026302893E-3</v>
      </c>
      <c r="Q109" t="s">
        <v>161</v>
      </c>
      <c r="S109" t="s">
        <v>220</v>
      </c>
      <c r="T109" t="s">
        <v>244</v>
      </c>
      <c r="U109">
        <v>7.9574593418400598E-3</v>
      </c>
      <c r="V109" t="s">
        <v>161</v>
      </c>
      <c r="AK109">
        <v>2038</v>
      </c>
      <c r="AL109" t="s">
        <v>155</v>
      </c>
      <c r="AM109">
        <v>0.39743333333333331</v>
      </c>
      <c r="AN109" t="s">
        <v>236</v>
      </c>
    </row>
    <row r="110" spans="9:40" x14ac:dyDescent="0.45">
      <c r="I110" t="s">
        <v>175</v>
      </c>
      <c r="J110" t="s">
        <v>245</v>
      </c>
      <c r="K110">
        <v>4.3410382831200432E-2</v>
      </c>
      <c r="L110" t="s">
        <v>161</v>
      </c>
      <c r="N110" t="s">
        <v>198</v>
      </c>
      <c r="O110" t="s">
        <v>245</v>
      </c>
      <c r="P110">
        <v>5.7550141973234666E-2</v>
      </c>
      <c r="Q110" t="s">
        <v>161</v>
      </c>
      <c r="S110" t="s">
        <v>220</v>
      </c>
      <c r="T110" t="s">
        <v>245</v>
      </c>
      <c r="U110">
        <v>5.7058658197230862E-2</v>
      </c>
      <c r="V110" t="s">
        <v>161</v>
      </c>
      <c r="AK110">
        <v>2038</v>
      </c>
      <c r="AL110" t="s">
        <v>157</v>
      </c>
      <c r="AM110">
        <v>0.34396666666666659</v>
      </c>
      <c r="AN110" t="s">
        <v>236</v>
      </c>
    </row>
    <row r="111" spans="9:40" x14ac:dyDescent="0.45">
      <c r="I111" t="s">
        <v>175</v>
      </c>
      <c r="J111" t="s">
        <v>167</v>
      </c>
      <c r="K111">
        <v>2.2453685232532473E-2</v>
      </c>
      <c r="L111" t="s">
        <v>161</v>
      </c>
      <c r="N111" t="s">
        <v>198</v>
      </c>
      <c r="O111" t="s">
        <v>167</v>
      </c>
      <c r="P111">
        <v>3.5855843177414207E-2</v>
      </c>
      <c r="Q111" t="s">
        <v>161</v>
      </c>
      <c r="S111" t="s">
        <v>220</v>
      </c>
      <c r="T111" t="s">
        <v>167</v>
      </c>
      <c r="U111">
        <v>3.5804570710091056E-2</v>
      </c>
      <c r="V111" t="s">
        <v>161</v>
      </c>
      <c r="AK111">
        <v>2038</v>
      </c>
      <c r="AL111" t="s">
        <v>239</v>
      </c>
      <c r="AM111">
        <v>0.33204999999999996</v>
      </c>
      <c r="AN111" t="s">
        <v>236</v>
      </c>
    </row>
    <row r="112" spans="9:40" x14ac:dyDescent="0.45">
      <c r="I112" t="s">
        <v>175</v>
      </c>
      <c r="J112" t="s">
        <v>168</v>
      </c>
      <c r="K112">
        <v>1.5158173658475858E-2</v>
      </c>
      <c r="L112" t="s">
        <v>161</v>
      </c>
      <c r="N112" t="s">
        <v>198</v>
      </c>
      <c r="O112" t="s">
        <v>168</v>
      </c>
      <c r="P112">
        <v>3.8968393301674524E-3</v>
      </c>
      <c r="Q112" t="s">
        <v>161</v>
      </c>
      <c r="S112" t="s">
        <v>220</v>
      </c>
      <c r="T112" t="s">
        <v>168</v>
      </c>
      <c r="U112">
        <v>4.3139409257015116E-3</v>
      </c>
      <c r="V112" t="s">
        <v>161</v>
      </c>
      <c r="AK112">
        <v>2038</v>
      </c>
      <c r="AL112" t="s">
        <v>241</v>
      </c>
      <c r="AM112">
        <v>0.33939999999999998</v>
      </c>
      <c r="AN112" t="s">
        <v>236</v>
      </c>
    </row>
    <row r="113" spans="9:40" x14ac:dyDescent="0.45">
      <c r="I113" t="s">
        <v>175</v>
      </c>
      <c r="J113" t="s">
        <v>169</v>
      </c>
      <c r="K113">
        <v>0.12300341382010913</v>
      </c>
      <c r="L113" t="s">
        <v>161</v>
      </c>
      <c r="N113" t="s">
        <v>198</v>
      </c>
      <c r="O113" t="s">
        <v>169</v>
      </c>
      <c r="P113">
        <v>3.138643802352728E-2</v>
      </c>
      <c r="Q113" t="s">
        <v>161</v>
      </c>
      <c r="S113" t="s">
        <v>220</v>
      </c>
      <c r="T113" t="s">
        <v>169</v>
      </c>
      <c r="U113">
        <v>3.1913152306625787E-2</v>
      </c>
      <c r="V113" t="s">
        <v>161</v>
      </c>
      <c r="AK113">
        <v>2039</v>
      </c>
      <c r="AL113" t="s">
        <v>149</v>
      </c>
      <c r="AM113">
        <v>0.37632500000000002</v>
      </c>
      <c r="AN113" t="s">
        <v>236</v>
      </c>
    </row>
    <row r="114" spans="9:40" x14ac:dyDescent="0.45">
      <c r="I114" t="s">
        <v>175</v>
      </c>
      <c r="J114" t="s">
        <v>246</v>
      </c>
      <c r="K114">
        <v>1.2687171825670529E-2</v>
      </c>
      <c r="L114" t="s">
        <v>161</v>
      </c>
      <c r="N114" t="s">
        <v>198</v>
      </c>
      <c r="O114" t="s">
        <v>246</v>
      </c>
      <c r="P114">
        <v>4.2439200776852107E-3</v>
      </c>
      <c r="Q114" t="s">
        <v>161</v>
      </c>
      <c r="S114" t="s">
        <v>220</v>
      </c>
      <c r="T114" t="s">
        <v>246</v>
      </c>
      <c r="U114">
        <v>4.3554721998169425E-3</v>
      </c>
      <c r="V114" t="s">
        <v>161</v>
      </c>
      <c r="AK114">
        <v>2039</v>
      </c>
      <c r="AL114" t="s">
        <v>153</v>
      </c>
      <c r="AM114">
        <v>0.43867499999999998</v>
      </c>
      <c r="AN114" t="s">
        <v>236</v>
      </c>
    </row>
    <row r="115" spans="9:40" x14ac:dyDescent="0.45">
      <c r="I115" t="s">
        <v>175</v>
      </c>
      <c r="J115" t="s">
        <v>247</v>
      </c>
      <c r="K115">
        <v>1.5735380533773602E-2</v>
      </c>
      <c r="L115" t="s">
        <v>161</v>
      </c>
      <c r="N115" t="s">
        <v>198</v>
      </c>
      <c r="O115" t="s">
        <v>247</v>
      </c>
      <c r="P115">
        <v>3.027173048406032E-2</v>
      </c>
      <c r="Q115" t="s">
        <v>161</v>
      </c>
      <c r="S115" t="s">
        <v>220</v>
      </c>
      <c r="T115" t="s">
        <v>247</v>
      </c>
      <c r="U115">
        <v>3.1186518482818937E-2</v>
      </c>
      <c r="V115" t="s">
        <v>161</v>
      </c>
      <c r="AK115">
        <v>2039</v>
      </c>
      <c r="AL115" t="s">
        <v>155</v>
      </c>
      <c r="AM115">
        <v>0.4093</v>
      </c>
      <c r="AN115" t="s">
        <v>236</v>
      </c>
    </row>
    <row r="116" spans="9:40" x14ac:dyDescent="0.45">
      <c r="I116" t="s">
        <v>175</v>
      </c>
      <c r="J116" t="s">
        <v>170</v>
      </c>
      <c r="K116">
        <v>5.2323103611188948E-3</v>
      </c>
      <c r="L116" t="s">
        <v>161</v>
      </c>
      <c r="N116" t="s">
        <v>198</v>
      </c>
      <c r="O116" t="s">
        <v>170</v>
      </c>
      <c r="P116">
        <v>5.3208396768031234E-2</v>
      </c>
      <c r="Q116" t="s">
        <v>161</v>
      </c>
      <c r="S116" t="s">
        <v>220</v>
      </c>
      <c r="T116" t="s">
        <v>170</v>
      </c>
      <c r="U116">
        <v>5.17433043579376E-2</v>
      </c>
      <c r="V116" t="s">
        <v>161</v>
      </c>
      <c r="AK116">
        <v>2039</v>
      </c>
      <c r="AL116" t="s">
        <v>157</v>
      </c>
      <c r="AM116">
        <v>0.34176666666666661</v>
      </c>
      <c r="AN116" t="s">
        <v>236</v>
      </c>
    </row>
    <row r="117" spans="9:40" x14ac:dyDescent="0.45">
      <c r="I117" t="s">
        <v>175</v>
      </c>
      <c r="J117" t="s">
        <v>171</v>
      </c>
      <c r="K117">
        <v>6.9016531349920043E-3</v>
      </c>
      <c r="L117" t="s">
        <v>161</v>
      </c>
      <c r="N117" t="s">
        <v>198</v>
      </c>
      <c r="O117" t="s">
        <v>171</v>
      </c>
      <c r="P117">
        <v>6.343618422071034E-3</v>
      </c>
      <c r="Q117" t="s">
        <v>161</v>
      </c>
      <c r="S117" t="s">
        <v>220</v>
      </c>
      <c r="T117" t="s">
        <v>171</v>
      </c>
      <c r="U117">
        <v>6.3844146134827548E-3</v>
      </c>
      <c r="V117" t="s">
        <v>161</v>
      </c>
      <c r="AK117">
        <v>2039</v>
      </c>
      <c r="AL117" t="s">
        <v>239</v>
      </c>
      <c r="AM117">
        <v>0.35004999999999997</v>
      </c>
      <c r="AN117" t="s">
        <v>236</v>
      </c>
    </row>
    <row r="118" spans="9:40" x14ac:dyDescent="0.45">
      <c r="I118" t="s">
        <v>175</v>
      </c>
      <c r="J118" t="s">
        <v>172</v>
      </c>
      <c r="K118">
        <v>7.4899548463536525E-2</v>
      </c>
      <c r="L118" t="s">
        <v>161</v>
      </c>
      <c r="N118" t="s">
        <v>198</v>
      </c>
      <c r="O118" t="s">
        <v>172</v>
      </c>
      <c r="P118">
        <v>4.1976430087356617E-2</v>
      </c>
      <c r="Q118" t="s">
        <v>161</v>
      </c>
      <c r="S118" t="s">
        <v>220</v>
      </c>
      <c r="T118" t="s">
        <v>172</v>
      </c>
      <c r="U118">
        <v>4.2205898233657169E-2</v>
      </c>
      <c r="V118" t="s">
        <v>161</v>
      </c>
      <c r="AK118">
        <v>2039</v>
      </c>
      <c r="AL118" t="s">
        <v>241</v>
      </c>
      <c r="AM118">
        <v>0.36969999999999997</v>
      </c>
      <c r="AN118" t="s">
        <v>236</v>
      </c>
    </row>
    <row r="119" spans="9:40" x14ac:dyDescent="0.45">
      <c r="I119" t="s">
        <v>175</v>
      </c>
      <c r="J119" t="s">
        <v>248</v>
      </c>
      <c r="K119">
        <v>6.3546143448076457E-3</v>
      </c>
      <c r="L119" t="s">
        <v>161</v>
      </c>
      <c r="N119" t="s">
        <v>198</v>
      </c>
      <c r="O119" t="s">
        <v>248</v>
      </c>
      <c r="P119">
        <v>6.102765999432126E-3</v>
      </c>
      <c r="Q119" t="s">
        <v>161</v>
      </c>
      <c r="S119" t="s">
        <v>220</v>
      </c>
      <c r="T119" t="s">
        <v>248</v>
      </c>
      <c r="U119">
        <v>6.1494790120421123E-3</v>
      </c>
      <c r="V119" t="s">
        <v>161</v>
      </c>
      <c r="AK119">
        <v>2040</v>
      </c>
      <c r="AL119" t="s">
        <v>149</v>
      </c>
      <c r="AM119">
        <v>0.37834999999999996</v>
      </c>
      <c r="AN119" t="s">
        <v>236</v>
      </c>
    </row>
    <row r="120" spans="9:40" x14ac:dyDescent="0.45">
      <c r="I120" t="s">
        <v>175</v>
      </c>
      <c r="J120" t="s">
        <v>249</v>
      </c>
      <c r="K120">
        <v>2.239515028257449E-3</v>
      </c>
      <c r="L120" t="s">
        <v>161</v>
      </c>
      <c r="N120" t="s">
        <v>198</v>
      </c>
      <c r="O120" t="s">
        <v>249</v>
      </c>
      <c r="P120">
        <v>4.7005609681070294E-2</v>
      </c>
      <c r="Q120" t="s">
        <v>161</v>
      </c>
      <c r="S120" t="s">
        <v>220</v>
      </c>
      <c r="T120" t="s">
        <v>249</v>
      </c>
      <c r="U120">
        <v>4.5529414080419967E-2</v>
      </c>
      <c r="V120" t="s">
        <v>161</v>
      </c>
      <c r="AK120">
        <v>2040</v>
      </c>
      <c r="AL120" t="s">
        <v>153</v>
      </c>
      <c r="AM120">
        <v>0.43035000000000001</v>
      </c>
      <c r="AN120" t="s">
        <v>236</v>
      </c>
    </row>
    <row r="121" spans="9:40" x14ac:dyDescent="0.45">
      <c r="I121" t="s">
        <v>175</v>
      </c>
      <c r="J121" t="s">
        <v>250</v>
      </c>
      <c r="K121">
        <v>8.3925718058765165E-5</v>
      </c>
      <c r="L121" t="s">
        <v>161</v>
      </c>
      <c r="N121" t="s">
        <v>198</v>
      </c>
      <c r="O121" t="s">
        <v>250</v>
      </c>
      <c r="P121">
        <v>6.4773676697895549E-2</v>
      </c>
      <c r="Q121" t="s">
        <v>161</v>
      </c>
      <c r="S121" t="s">
        <v>220</v>
      </c>
      <c r="T121" t="s">
        <v>250</v>
      </c>
      <c r="U121">
        <v>6.3058769767035644E-2</v>
      </c>
      <c r="V121" t="s">
        <v>161</v>
      </c>
      <c r="AK121">
        <v>2040</v>
      </c>
      <c r="AL121" t="s">
        <v>155</v>
      </c>
      <c r="AM121">
        <v>0.38369999999999999</v>
      </c>
      <c r="AN121" t="s">
        <v>236</v>
      </c>
    </row>
    <row r="122" spans="9:40" x14ac:dyDescent="0.45">
      <c r="I122" t="s">
        <v>175</v>
      </c>
      <c r="J122" t="s">
        <v>251</v>
      </c>
      <c r="K122">
        <v>2.515729355887546E-3</v>
      </c>
      <c r="L122" t="s">
        <v>161</v>
      </c>
      <c r="N122" t="s">
        <v>198</v>
      </c>
      <c r="O122" t="s">
        <v>251</v>
      </c>
      <c r="P122">
        <v>8.074006194630454E-3</v>
      </c>
      <c r="Q122" t="s">
        <v>161</v>
      </c>
      <c r="S122" t="s">
        <v>220</v>
      </c>
      <c r="T122" t="s">
        <v>251</v>
      </c>
      <c r="U122">
        <v>8.0859861530416782E-3</v>
      </c>
      <c r="V122" t="s">
        <v>161</v>
      </c>
      <c r="AK122">
        <v>2040</v>
      </c>
      <c r="AL122" t="s">
        <v>157</v>
      </c>
      <c r="AM122">
        <v>0.33959999999999996</v>
      </c>
      <c r="AN122" t="s">
        <v>236</v>
      </c>
    </row>
    <row r="123" spans="9:40" x14ac:dyDescent="0.45">
      <c r="I123" t="s">
        <v>175</v>
      </c>
      <c r="J123" t="s">
        <v>252</v>
      </c>
      <c r="K123">
        <v>4.286672487100792E-2</v>
      </c>
      <c r="L123" t="s">
        <v>161</v>
      </c>
      <c r="N123" t="s">
        <v>198</v>
      </c>
      <c r="O123" t="s">
        <v>252</v>
      </c>
      <c r="P123">
        <v>5.1425613410738577E-2</v>
      </c>
      <c r="Q123" t="s">
        <v>161</v>
      </c>
      <c r="S123" t="s">
        <v>220</v>
      </c>
      <c r="T123" t="s">
        <v>252</v>
      </c>
      <c r="U123">
        <v>5.2764134936014888E-2</v>
      </c>
      <c r="V123" t="s">
        <v>161</v>
      </c>
      <c r="AK123">
        <v>2040</v>
      </c>
      <c r="AL123" t="s">
        <v>239</v>
      </c>
      <c r="AM123">
        <v>0.36019999999999996</v>
      </c>
      <c r="AN123" t="s">
        <v>236</v>
      </c>
    </row>
    <row r="124" spans="9:40" x14ac:dyDescent="0.45">
      <c r="I124" t="s">
        <v>175</v>
      </c>
      <c r="J124" t="s">
        <v>253</v>
      </c>
      <c r="K124">
        <v>3.8681063725175784E-4</v>
      </c>
      <c r="L124" t="s">
        <v>161</v>
      </c>
      <c r="N124" t="s">
        <v>198</v>
      </c>
      <c r="O124" t="s">
        <v>253</v>
      </c>
      <c r="P124">
        <v>7.4060307051094058E-3</v>
      </c>
      <c r="Q124" t="s">
        <v>161</v>
      </c>
      <c r="S124" t="s">
        <v>220</v>
      </c>
      <c r="T124" t="s">
        <v>253</v>
      </c>
      <c r="U124">
        <v>7.5627456070003866E-3</v>
      </c>
      <c r="V124" t="s">
        <v>161</v>
      </c>
      <c r="AK124">
        <v>2040</v>
      </c>
      <c r="AL124" t="s">
        <v>241</v>
      </c>
      <c r="AM124">
        <v>0.3745</v>
      </c>
      <c r="AN124" t="s">
        <v>236</v>
      </c>
    </row>
    <row r="125" spans="9:40" x14ac:dyDescent="0.45">
      <c r="I125" t="s">
        <v>175</v>
      </c>
      <c r="J125" t="s">
        <v>254</v>
      </c>
      <c r="K125">
        <v>0</v>
      </c>
      <c r="L125" t="s">
        <v>161</v>
      </c>
      <c r="N125" t="s">
        <v>198</v>
      </c>
      <c r="O125" t="s">
        <v>254</v>
      </c>
      <c r="P125">
        <v>5.2397298958857801E-2</v>
      </c>
      <c r="Q125" t="s">
        <v>161</v>
      </c>
      <c r="S125" t="s">
        <v>220</v>
      </c>
      <c r="T125" t="s">
        <v>254</v>
      </c>
      <c r="U125">
        <v>5.1494157723181076E-2</v>
      </c>
      <c r="V125" t="s">
        <v>161</v>
      </c>
      <c r="AK125">
        <v>2041</v>
      </c>
      <c r="AL125" t="s">
        <v>149</v>
      </c>
      <c r="AM125">
        <v>0.373525</v>
      </c>
      <c r="AN125" t="s">
        <v>236</v>
      </c>
    </row>
    <row r="126" spans="9:40" x14ac:dyDescent="0.45">
      <c r="I126" t="s">
        <v>175</v>
      </c>
      <c r="J126" t="s">
        <v>255</v>
      </c>
      <c r="K126">
        <v>0</v>
      </c>
      <c r="L126" t="s">
        <v>161</v>
      </c>
      <c r="N126" t="s">
        <v>198</v>
      </c>
      <c r="O126" t="s">
        <v>255</v>
      </c>
      <c r="P126">
        <v>7.9328830744361065E-3</v>
      </c>
      <c r="Q126" t="s">
        <v>161</v>
      </c>
      <c r="S126" t="s">
        <v>220</v>
      </c>
      <c r="T126" t="s">
        <v>255</v>
      </c>
      <c r="U126">
        <v>8.0243795827390722E-3</v>
      </c>
      <c r="V126" t="s">
        <v>161</v>
      </c>
      <c r="AK126">
        <v>2041</v>
      </c>
      <c r="AL126" t="s">
        <v>153</v>
      </c>
      <c r="AM126">
        <v>0.43435000000000001</v>
      </c>
      <c r="AN126" t="s">
        <v>236</v>
      </c>
    </row>
    <row r="127" spans="9:40" x14ac:dyDescent="0.45">
      <c r="I127" t="s">
        <v>175</v>
      </c>
      <c r="J127" t="s">
        <v>256</v>
      </c>
      <c r="K127">
        <v>1.6108739925264556E-4</v>
      </c>
      <c r="L127" t="s">
        <v>161</v>
      </c>
      <c r="N127" t="s">
        <v>198</v>
      </c>
      <c r="O127" t="s">
        <v>256</v>
      </c>
      <c r="P127">
        <v>1.0721118683597801E-3</v>
      </c>
      <c r="Q127" t="s">
        <v>161</v>
      </c>
      <c r="S127" t="s">
        <v>220</v>
      </c>
      <c r="T127" t="s">
        <v>256</v>
      </c>
      <c r="U127">
        <v>1.0770123951470451E-3</v>
      </c>
      <c r="V127" t="s">
        <v>161</v>
      </c>
      <c r="AK127">
        <v>2041</v>
      </c>
      <c r="AL127" t="s">
        <v>155</v>
      </c>
      <c r="AM127">
        <v>0.37729999999999997</v>
      </c>
      <c r="AN127" t="s">
        <v>236</v>
      </c>
    </row>
    <row r="128" spans="9:40" x14ac:dyDescent="0.45">
      <c r="I128" t="s">
        <v>175</v>
      </c>
      <c r="J128" t="s">
        <v>257</v>
      </c>
      <c r="K128">
        <v>5.4932602654435923E-3</v>
      </c>
      <c r="L128" t="s">
        <v>161</v>
      </c>
      <c r="N128" t="s">
        <v>198</v>
      </c>
      <c r="O128" t="s">
        <v>257</v>
      </c>
      <c r="P128">
        <v>8.074437460343805E-3</v>
      </c>
      <c r="Q128" t="s">
        <v>161</v>
      </c>
      <c r="S128" t="s">
        <v>220</v>
      </c>
      <c r="T128" t="s">
        <v>257</v>
      </c>
      <c r="U128">
        <v>7.9363255839487862E-3</v>
      </c>
      <c r="V128" t="s">
        <v>161</v>
      </c>
      <c r="AK128">
        <v>2041</v>
      </c>
      <c r="AL128" t="s">
        <v>157</v>
      </c>
      <c r="AM128">
        <v>0.33723333333333333</v>
      </c>
      <c r="AN128" t="s">
        <v>236</v>
      </c>
    </row>
    <row r="129" spans="9:40" x14ac:dyDescent="0.45">
      <c r="I129" t="s">
        <v>175</v>
      </c>
      <c r="J129" t="s">
        <v>258</v>
      </c>
      <c r="K129">
        <v>0</v>
      </c>
      <c r="L129" t="s">
        <v>161</v>
      </c>
      <c r="N129" t="s">
        <v>198</v>
      </c>
      <c r="O129" t="s">
        <v>258</v>
      </c>
      <c r="P129">
        <v>1.1976068118966674E-3</v>
      </c>
      <c r="Q129" t="s">
        <v>161</v>
      </c>
      <c r="S129" t="s">
        <v>220</v>
      </c>
      <c r="T129" t="s">
        <v>258</v>
      </c>
      <c r="U129">
        <v>1.175489931503505E-3</v>
      </c>
      <c r="V129" t="s">
        <v>161</v>
      </c>
      <c r="AK129">
        <v>2041</v>
      </c>
      <c r="AL129" t="s">
        <v>239</v>
      </c>
      <c r="AM129">
        <v>0.35309999999999997</v>
      </c>
      <c r="AN129" t="s">
        <v>236</v>
      </c>
    </row>
    <row r="130" spans="9:40" x14ac:dyDescent="0.45">
      <c r="I130" t="s">
        <v>175</v>
      </c>
      <c r="J130" t="s">
        <v>259</v>
      </c>
      <c r="K130">
        <v>0</v>
      </c>
      <c r="L130" t="s">
        <v>161</v>
      </c>
      <c r="N130" t="s">
        <v>198</v>
      </c>
      <c r="O130" t="s">
        <v>259</v>
      </c>
      <c r="P130">
        <v>8.0978562455902708E-3</v>
      </c>
      <c r="Q130" t="s">
        <v>161</v>
      </c>
      <c r="S130" t="s">
        <v>220</v>
      </c>
      <c r="T130" t="s">
        <v>259</v>
      </c>
      <c r="U130">
        <v>7.9252359076818144E-3</v>
      </c>
      <c r="V130" t="s">
        <v>161</v>
      </c>
      <c r="AK130">
        <v>2041</v>
      </c>
      <c r="AL130" t="s">
        <v>241</v>
      </c>
      <c r="AM130">
        <v>0.35730000000000001</v>
      </c>
      <c r="AN130" t="s">
        <v>236</v>
      </c>
    </row>
    <row r="131" spans="9:40" x14ac:dyDescent="0.45">
      <c r="I131" t="s">
        <v>176</v>
      </c>
      <c r="J131" t="s">
        <v>160</v>
      </c>
      <c r="K131">
        <v>1.2978259056327372E-2</v>
      </c>
      <c r="L131" t="s">
        <v>161</v>
      </c>
      <c r="N131" t="s">
        <v>199</v>
      </c>
      <c r="O131" t="s">
        <v>160</v>
      </c>
      <c r="P131">
        <v>0.10814163457668478</v>
      </c>
      <c r="Q131" t="s">
        <v>161</v>
      </c>
      <c r="S131" t="s">
        <v>221</v>
      </c>
      <c r="T131" t="s">
        <v>160</v>
      </c>
      <c r="U131">
        <v>0.10842491638587523</v>
      </c>
      <c r="V131" t="s">
        <v>161</v>
      </c>
      <c r="AK131">
        <v>2042</v>
      </c>
      <c r="AL131" t="s">
        <v>149</v>
      </c>
      <c r="AM131">
        <v>0.36909999999999998</v>
      </c>
      <c r="AN131" t="s">
        <v>236</v>
      </c>
    </row>
    <row r="132" spans="9:40" x14ac:dyDescent="0.45">
      <c r="I132" t="s">
        <v>176</v>
      </c>
      <c r="J132" t="s">
        <v>162</v>
      </c>
      <c r="K132">
        <v>1.7656559269617265E-2</v>
      </c>
      <c r="L132" t="s">
        <v>161</v>
      </c>
      <c r="N132" t="s">
        <v>199</v>
      </c>
      <c r="O132" t="s">
        <v>162</v>
      </c>
      <c r="P132">
        <v>1.3543723561000705E-2</v>
      </c>
      <c r="Q132" t="s">
        <v>161</v>
      </c>
      <c r="S132" t="s">
        <v>221</v>
      </c>
      <c r="T132" t="s">
        <v>162</v>
      </c>
      <c r="U132">
        <v>1.3727723506187848E-2</v>
      </c>
      <c r="V132" t="s">
        <v>161</v>
      </c>
      <c r="AK132">
        <v>2042</v>
      </c>
      <c r="AL132" t="s">
        <v>153</v>
      </c>
      <c r="AM132">
        <v>0.44089999999999996</v>
      </c>
      <c r="AN132" t="s">
        <v>236</v>
      </c>
    </row>
    <row r="133" spans="9:40" x14ac:dyDescent="0.45">
      <c r="I133" t="s">
        <v>176</v>
      </c>
      <c r="J133" t="s">
        <v>163</v>
      </c>
      <c r="K133">
        <v>0.19601970935702837</v>
      </c>
      <c r="L133" t="s">
        <v>161</v>
      </c>
      <c r="N133" t="s">
        <v>199</v>
      </c>
      <c r="O133" t="s">
        <v>163</v>
      </c>
      <c r="P133">
        <v>9.545713043932412E-2</v>
      </c>
      <c r="Q133" t="s">
        <v>161</v>
      </c>
      <c r="S133" t="s">
        <v>221</v>
      </c>
      <c r="T133" t="s">
        <v>163</v>
      </c>
      <c r="U133">
        <v>9.7707172778416465E-2</v>
      </c>
      <c r="V133" t="s">
        <v>161</v>
      </c>
      <c r="AK133">
        <v>2042</v>
      </c>
      <c r="AL133" t="s">
        <v>155</v>
      </c>
      <c r="AM133">
        <v>0.38493333333333335</v>
      </c>
      <c r="AN133" t="s">
        <v>236</v>
      </c>
    </row>
    <row r="134" spans="9:40" x14ac:dyDescent="0.45">
      <c r="I134" t="s">
        <v>176</v>
      </c>
      <c r="J134" t="s">
        <v>242</v>
      </c>
      <c r="K134">
        <v>1.657582978058746E-2</v>
      </c>
      <c r="L134" t="s">
        <v>161</v>
      </c>
      <c r="N134" t="s">
        <v>199</v>
      </c>
      <c r="O134" t="s">
        <v>242</v>
      </c>
      <c r="P134">
        <v>1.4152693736214543E-2</v>
      </c>
      <c r="Q134" t="s">
        <v>161</v>
      </c>
      <c r="S134" t="s">
        <v>221</v>
      </c>
      <c r="T134" t="s">
        <v>242</v>
      </c>
      <c r="U134">
        <v>1.4575064751281662E-2</v>
      </c>
      <c r="V134" t="s">
        <v>161</v>
      </c>
      <c r="AK134">
        <v>2042</v>
      </c>
      <c r="AL134" t="s">
        <v>157</v>
      </c>
      <c r="AM134">
        <v>0.33936666666666665</v>
      </c>
      <c r="AN134" t="s">
        <v>236</v>
      </c>
    </row>
    <row r="135" spans="9:40" x14ac:dyDescent="0.45">
      <c r="I135" t="s">
        <v>176</v>
      </c>
      <c r="J135" t="s">
        <v>243</v>
      </c>
      <c r="K135">
        <v>1.0909749598392679E-2</v>
      </c>
      <c r="L135" t="s">
        <v>161</v>
      </c>
      <c r="N135" t="s">
        <v>199</v>
      </c>
      <c r="O135" t="s">
        <v>243</v>
      </c>
      <c r="P135">
        <v>0.1019004974749716</v>
      </c>
      <c r="Q135" t="s">
        <v>161</v>
      </c>
      <c r="S135" t="s">
        <v>221</v>
      </c>
      <c r="T135" t="s">
        <v>243</v>
      </c>
      <c r="U135">
        <v>0.10559085640495067</v>
      </c>
      <c r="V135" t="s">
        <v>161</v>
      </c>
      <c r="AK135">
        <v>2042</v>
      </c>
      <c r="AL135" t="s">
        <v>239</v>
      </c>
      <c r="AM135">
        <v>0.36675000000000002</v>
      </c>
      <c r="AN135" t="s">
        <v>236</v>
      </c>
    </row>
    <row r="136" spans="9:40" x14ac:dyDescent="0.45">
      <c r="I136" t="s">
        <v>176</v>
      </c>
      <c r="J136" t="s">
        <v>164</v>
      </c>
      <c r="K136">
        <v>5.466371358424494E-2</v>
      </c>
      <c r="L136" t="s">
        <v>161</v>
      </c>
      <c r="N136" t="s">
        <v>199</v>
      </c>
      <c r="O136" t="s">
        <v>164</v>
      </c>
      <c r="P136">
        <v>6.9540484430884744E-2</v>
      </c>
      <c r="Q136" t="s">
        <v>161</v>
      </c>
      <c r="S136" t="s">
        <v>221</v>
      </c>
      <c r="T136" t="s">
        <v>164</v>
      </c>
      <c r="U136">
        <v>7.0607057358523906E-2</v>
      </c>
      <c r="V136" t="s">
        <v>161</v>
      </c>
      <c r="AK136">
        <v>2042</v>
      </c>
      <c r="AL136" t="s">
        <v>241</v>
      </c>
      <c r="AM136">
        <v>0.37919999999999998</v>
      </c>
      <c r="AN136" t="s">
        <v>236</v>
      </c>
    </row>
    <row r="137" spans="9:40" x14ac:dyDescent="0.45">
      <c r="I137" t="s">
        <v>176</v>
      </c>
      <c r="J137" t="s">
        <v>165</v>
      </c>
      <c r="K137">
        <v>3.1394141747332675E-2</v>
      </c>
      <c r="L137" t="s">
        <v>161</v>
      </c>
      <c r="N137" t="s">
        <v>199</v>
      </c>
      <c r="O137" t="s">
        <v>165</v>
      </c>
      <c r="P137">
        <v>7.8718394085496874E-3</v>
      </c>
      <c r="Q137" t="s">
        <v>161</v>
      </c>
      <c r="S137" t="s">
        <v>221</v>
      </c>
      <c r="T137" t="s">
        <v>165</v>
      </c>
      <c r="U137">
        <v>8.3444365122382937E-3</v>
      </c>
      <c r="V137" t="s">
        <v>161</v>
      </c>
      <c r="AK137">
        <v>2043</v>
      </c>
      <c r="AL137" t="s">
        <v>149</v>
      </c>
      <c r="AM137">
        <v>0.37354999999999999</v>
      </c>
      <c r="AN137" t="s">
        <v>236</v>
      </c>
    </row>
    <row r="138" spans="9:40" x14ac:dyDescent="0.45">
      <c r="I138" t="s">
        <v>176</v>
      </c>
      <c r="J138" t="s">
        <v>166</v>
      </c>
      <c r="K138">
        <v>0.24195253802860417</v>
      </c>
      <c r="L138" t="s">
        <v>161</v>
      </c>
      <c r="N138" t="s">
        <v>199</v>
      </c>
      <c r="O138" t="s">
        <v>166</v>
      </c>
      <c r="P138">
        <v>5.5004203520174669E-2</v>
      </c>
      <c r="Q138" t="s">
        <v>161</v>
      </c>
      <c r="S138" t="s">
        <v>221</v>
      </c>
      <c r="T138" t="s">
        <v>166</v>
      </c>
      <c r="U138">
        <v>5.3804137872183765E-2</v>
      </c>
      <c r="V138" t="s">
        <v>161</v>
      </c>
      <c r="AK138">
        <v>2043</v>
      </c>
      <c r="AL138" t="s">
        <v>153</v>
      </c>
      <c r="AM138">
        <v>0.43384999999999996</v>
      </c>
      <c r="AN138" t="s">
        <v>236</v>
      </c>
    </row>
    <row r="139" spans="9:40" x14ac:dyDescent="0.45">
      <c r="I139" t="s">
        <v>176</v>
      </c>
      <c r="J139" t="s">
        <v>244</v>
      </c>
      <c r="K139">
        <v>2.4771750095995037E-2</v>
      </c>
      <c r="L139" t="s">
        <v>161</v>
      </c>
      <c r="N139" t="s">
        <v>199</v>
      </c>
      <c r="O139" t="s">
        <v>244</v>
      </c>
      <c r="P139">
        <v>8.660890018307426E-3</v>
      </c>
      <c r="Q139" t="s">
        <v>161</v>
      </c>
      <c r="S139" t="s">
        <v>221</v>
      </c>
      <c r="T139" t="s">
        <v>244</v>
      </c>
      <c r="U139">
        <v>8.5570011010381603E-3</v>
      </c>
      <c r="V139" t="s">
        <v>161</v>
      </c>
      <c r="AK139">
        <v>2043</v>
      </c>
      <c r="AL139" t="s">
        <v>155</v>
      </c>
      <c r="AM139">
        <v>0.40876666666666672</v>
      </c>
      <c r="AN139" t="s">
        <v>236</v>
      </c>
    </row>
    <row r="140" spans="9:40" x14ac:dyDescent="0.45">
      <c r="I140" t="s">
        <v>176</v>
      </c>
      <c r="J140" t="s">
        <v>245</v>
      </c>
      <c r="K140">
        <v>3.7731258828967072E-2</v>
      </c>
      <c r="L140" t="s">
        <v>161</v>
      </c>
      <c r="N140" t="s">
        <v>199</v>
      </c>
      <c r="O140" t="s">
        <v>245</v>
      </c>
      <c r="P140">
        <v>6.1979793984251345E-2</v>
      </c>
      <c r="Q140" t="s">
        <v>161</v>
      </c>
      <c r="S140" t="s">
        <v>221</v>
      </c>
      <c r="T140" t="s">
        <v>245</v>
      </c>
      <c r="U140">
        <v>6.450845464469955E-2</v>
      </c>
      <c r="V140" t="s">
        <v>161</v>
      </c>
      <c r="AK140">
        <v>2043</v>
      </c>
      <c r="AL140" t="s">
        <v>157</v>
      </c>
      <c r="AM140">
        <v>0.33693333333333331</v>
      </c>
      <c r="AN140" t="s">
        <v>236</v>
      </c>
    </row>
    <row r="141" spans="9:40" x14ac:dyDescent="0.45">
      <c r="I141" t="s">
        <v>176</v>
      </c>
      <c r="J141" t="s">
        <v>167</v>
      </c>
      <c r="K141">
        <v>2.0776819166661683E-2</v>
      </c>
      <c r="L141" t="s">
        <v>161</v>
      </c>
      <c r="N141" t="s">
        <v>199</v>
      </c>
      <c r="O141" t="s">
        <v>167</v>
      </c>
      <c r="P141">
        <v>3.6382751503636256E-2</v>
      </c>
      <c r="Q141" t="s">
        <v>161</v>
      </c>
      <c r="S141" t="s">
        <v>221</v>
      </c>
      <c r="T141" t="s">
        <v>167</v>
      </c>
      <c r="U141">
        <v>3.5106797672806923E-2</v>
      </c>
      <c r="V141" t="s">
        <v>161</v>
      </c>
      <c r="AK141">
        <v>2043</v>
      </c>
      <c r="AL141" t="s">
        <v>239</v>
      </c>
      <c r="AM141">
        <v>0.32569999999999999</v>
      </c>
      <c r="AN141" t="s">
        <v>236</v>
      </c>
    </row>
    <row r="142" spans="9:40" x14ac:dyDescent="0.45">
      <c r="I142" t="s">
        <v>176</v>
      </c>
      <c r="J142" t="s">
        <v>168</v>
      </c>
      <c r="K142">
        <v>1.4566023345551141E-2</v>
      </c>
      <c r="L142" t="s">
        <v>161</v>
      </c>
      <c r="N142" t="s">
        <v>199</v>
      </c>
      <c r="O142" t="s">
        <v>168</v>
      </c>
      <c r="P142">
        <v>4.0038096055787864E-3</v>
      </c>
      <c r="Q142" t="s">
        <v>161</v>
      </c>
      <c r="S142" t="s">
        <v>221</v>
      </c>
      <c r="T142" t="s">
        <v>168</v>
      </c>
      <c r="U142">
        <v>4.125193864634215E-3</v>
      </c>
      <c r="V142" t="s">
        <v>161</v>
      </c>
      <c r="AK142">
        <v>2043</v>
      </c>
      <c r="AL142" t="s">
        <v>241</v>
      </c>
      <c r="AM142">
        <v>0.34720000000000001</v>
      </c>
      <c r="AN142" t="s">
        <v>236</v>
      </c>
    </row>
    <row r="143" spans="9:40" x14ac:dyDescent="0.45">
      <c r="I143" t="s">
        <v>176</v>
      </c>
      <c r="J143" t="s">
        <v>169</v>
      </c>
      <c r="K143">
        <v>0.11686908907053649</v>
      </c>
      <c r="L143" t="s">
        <v>161</v>
      </c>
      <c r="N143" t="s">
        <v>199</v>
      </c>
      <c r="O143" t="s">
        <v>169</v>
      </c>
      <c r="P143">
        <v>2.8581474784349629E-2</v>
      </c>
      <c r="Q143" t="s">
        <v>161</v>
      </c>
      <c r="S143" t="s">
        <v>221</v>
      </c>
      <c r="T143" t="s">
        <v>169</v>
      </c>
      <c r="U143">
        <v>2.8057644883501813E-2</v>
      </c>
      <c r="V143" t="s">
        <v>161</v>
      </c>
      <c r="AK143">
        <v>2044</v>
      </c>
      <c r="AL143" t="s">
        <v>149</v>
      </c>
      <c r="AM143">
        <v>0.37664999999999998</v>
      </c>
      <c r="AN143" t="s">
        <v>236</v>
      </c>
    </row>
    <row r="144" spans="9:40" x14ac:dyDescent="0.45">
      <c r="I144" t="s">
        <v>176</v>
      </c>
      <c r="J144" t="s">
        <v>246</v>
      </c>
      <c r="K144">
        <v>1.2300964439234292E-2</v>
      </c>
      <c r="L144" t="s">
        <v>161</v>
      </c>
      <c r="N144" t="s">
        <v>199</v>
      </c>
      <c r="O144" t="s">
        <v>246</v>
      </c>
      <c r="P144">
        <v>4.5459261219544574E-3</v>
      </c>
      <c r="Q144" t="s">
        <v>161</v>
      </c>
      <c r="S144" t="s">
        <v>221</v>
      </c>
      <c r="T144" t="s">
        <v>246</v>
      </c>
      <c r="U144">
        <v>4.5566657868104828E-3</v>
      </c>
      <c r="V144" t="s">
        <v>161</v>
      </c>
      <c r="AK144">
        <v>2044</v>
      </c>
      <c r="AL144" t="s">
        <v>153</v>
      </c>
      <c r="AM144">
        <v>0.43532500000000002</v>
      </c>
      <c r="AN144" t="s">
        <v>236</v>
      </c>
    </row>
    <row r="145" spans="9:40" x14ac:dyDescent="0.45">
      <c r="I145" t="s">
        <v>176</v>
      </c>
      <c r="J145" t="s">
        <v>247</v>
      </c>
      <c r="K145">
        <v>1.5425786728101522E-2</v>
      </c>
      <c r="L145" t="s">
        <v>161</v>
      </c>
      <c r="N145" t="s">
        <v>199</v>
      </c>
      <c r="O145" t="s">
        <v>247</v>
      </c>
      <c r="P145">
        <v>3.4367929126637123E-2</v>
      </c>
      <c r="Q145" t="s">
        <v>161</v>
      </c>
      <c r="S145" t="s">
        <v>221</v>
      </c>
      <c r="T145" t="s">
        <v>247</v>
      </c>
      <c r="U145">
        <v>3.539420545324358E-2</v>
      </c>
      <c r="V145" t="s">
        <v>161</v>
      </c>
      <c r="AK145">
        <v>2044</v>
      </c>
      <c r="AL145" t="s">
        <v>155</v>
      </c>
      <c r="AM145">
        <v>0.39856666666666668</v>
      </c>
      <c r="AN145" t="s">
        <v>236</v>
      </c>
    </row>
    <row r="146" spans="9:40" x14ac:dyDescent="0.45">
      <c r="I146" t="s">
        <v>176</v>
      </c>
      <c r="J146" t="s">
        <v>170</v>
      </c>
      <c r="K146">
        <v>5.3587840803629022E-3</v>
      </c>
      <c r="L146" t="s">
        <v>161</v>
      </c>
      <c r="N146" t="s">
        <v>199</v>
      </c>
      <c r="O146" t="s">
        <v>170</v>
      </c>
      <c r="P146">
        <v>4.4273066279294566E-2</v>
      </c>
      <c r="Q146" t="s">
        <v>161</v>
      </c>
      <c r="S146" t="s">
        <v>221</v>
      </c>
      <c r="T146" t="s">
        <v>170</v>
      </c>
      <c r="U146">
        <v>4.279323441303181E-2</v>
      </c>
      <c r="V146" t="s">
        <v>161</v>
      </c>
      <c r="AK146">
        <v>2044</v>
      </c>
      <c r="AL146" t="s">
        <v>157</v>
      </c>
      <c r="AM146">
        <v>0.35416666666666669</v>
      </c>
      <c r="AN146" t="s">
        <v>236</v>
      </c>
    </row>
    <row r="147" spans="9:40" x14ac:dyDescent="0.45">
      <c r="I147" t="s">
        <v>176</v>
      </c>
      <c r="J147" t="s">
        <v>171</v>
      </c>
      <c r="K147">
        <v>6.9344031201463993E-3</v>
      </c>
      <c r="L147" t="s">
        <v>161</v>
      </c>
      <c r="N147" t="s">
        <v>199</v>
      </c>
      <c r="O147" t="s">
        <v>171</v>
      </c>
      <c r="P147">
        <v>5.7027431289978217E-3</v>
      </c>
      <c r="Q147" t="s">
        <v>161</v>
      </c>
      <c r="S147" t="s">
        <v>221</v>
      </c>
      <c r="T147" t="s">
        <v>171</v>
      </c>
      <c r="U147">
        <v>5.4667905041371149E-3</v>
      </c>
      <c r="V147" t="s">
        <v>161</v>
      </c>
      <c r="AK147">
        <v>2044</v>
      </c>
      <c r="AL147" t="s">
        <v>239</v>
      </c>
      <c r="AM147">
        <v>0.35575000000000001</v>
      </c>
      <c r="AN147" t="s">
        <v>236</v>
      </c>
    </row>
    <row r="148" spans="9:40" x14ac:dyDescent="0.45">
      <c r="I148" t="s">
        <v>176</v>
      </c>
      <c r="J148" t="s">
        <v>172</v>
      </c>
      <c r="K148">
        <v>7.5173001159349509E-2</v>
      </c>
      <c r="L148" t="s">
        <v>161</v>
      </c>
      <c r="N148" t="s">
        <v>199</v>
      </c>
      <c r="O148" t="s">
        <v>172</v>
      </c>
      <c r="P148">
        <v>3.8280688785084831E-2</v>
      </c>
      <c r="Q148" t="s">
        <v>161</v>
      </c>
      <c r="S148" t="s">
        <v>221</v>
      </c>
      <c r="T148" t="s">
        <v>172</v>
      </c>
      <c r="U148">
        <v>3.7531204265014641E-2</v>
      </c>
      <c r="V148" t="s">
        <v>161</v>
      </c>
      <c r="AK148">
        <v>2044</v>
      </c>
      <c r="AL148" t="s">
        <v>241</v>
      </c>
      <c r="AM148">
        <v>0.37430000000000002</v>
      </c>
      <c r="AN148" t="s">
        <v>236</v>
      </c>
    </row>
    <row r="149" spans="9:40" x14ac:dyDescent="0.45">
      <c r="I149" t="s">
        <v>176</v>
      </c>
      <c r="J149" t="s">
        <v>248</v>
      </c>
      <c r="K149">
        <v>6.7200057387374985E-3</v>
      </c>
      <c r="L149" t="s">
        <v>161</v>
      </c>
      <c r="N149" t="s">
        <v>199</v>
      </c>
      <c r="O149" t="s">
        <v>248</v>
      </c>
      <c r="P149">
        <v>5.6659194013705854E-3</v>
      </c>
      <c r="Q149" t="s">
        <v>161</v>
      </c>
      <c r="S149" t="s">
        <v>221</v>
      </c>
      <c r="T149" t="s">
        <v>248</v>
      </c>
      <c r="U149">
        <v>5.4215978649293159E-3</v>
      </c>
      <c r="V149" t="s">
        <v>161</v>
      </c>
      <c r="AK149">
        <v>2045</v>
      </c>
      <c r="AL149" t="s">
        <v>149</v>
      </c>
      <c r="AM149">
        <v>0.36857499999999999</v>
      </c>
      <c r="AN149" t="s">
        <v>236</v>
      </c>
    </row>
    <row r="150" spans="9:40" x14ac:dyDescent="0.45">
      <c r="I150" t="s">
        <v>176</v>
      </c>
      <c r="J150" t="s">
        <v>249</v>
      </c>
      <c r="K150">
        <v>2.0404743748881947E-3</v>
      </c>
      <c r="L150" t="s">
        <v>161</v>
      </c>
      <c r="N150" t="s">
        <v>199</v>
      </c>
      <c r="O150" t="s">
        <v>249</v>
      </c>
      <c r="P150">
        <v>4.3187636735682995E-2</v>
      </c>
      <c r="Q150" t="s">
        <v>161</v>
      </c>
      <c r="S150" t="s">
        <v>221</v>
      </c>
      <c r="T150" t="s">
        <v>249</v>
      </c>
      <c r="U150">
        <v>4.1671669324720932E-2</v>
      </c>
      <c r="V150" t="s">
        <v>161</v>
      </c>
      <c r="AK150">
        <v>2045</v>
      </c>
      <c r="AL150" t="s">
        <v>153</v>
      </c>
      <c r="AM150">
        <v>0.43390000000000001</v>
      </c>
      <c r="AN150" t="s">
        <v>236</v>
      </c>
    </row>
    <row r="151" spans="9:40" x14ac:dyDescent="0.45">
      <c r="I151" t="s">
        <v>176</v>
      </c>
      <c r="J151" t="s">
        <v>250</v>
      </c>
      <c r="K151">
        <v>3.3860597806650237E-4</v>
      </c>
      <c r="L151" t="s">
        <v>161</v>
      </c>
      <c r="N151" t="s">
        <v>199</v>
      </c>
      <c r="O151" t="s">
        <v>250</v>
      </c>
      <c r="P151">
        <v>6.504663948594662E-2</v>
      </c>
      <c r="Q151" t="s">
        <v>161</v>
      </c>
      <c r="S151" t="s">
        <v>221</v>
      </c>
      <c r="T151" t="s">
        <v>250</v>
      </c>
      <c r="U151">
        <v>6.2810001938216384E-2</v>
      </c>
      <c r="V151" t="s">
        <v>161</v>
      </c>
      <c r="AK151">
        <v>2045</v>
      </c>
      <c r="AL151" t="s">
        <v>155</v>
      </c>
      <c r="AM151">
        <v>0.3995333333333333</v>
      </c>
      <c r="AN151" t="s">
        <v>236</v>
      </c>
    </row>
    <row r="152" spans="9:40" x14ac:dyDescent="0.45">
      <c r="I152" t="s">
        <v>176</v>
      </c>
      <c r="J152" t="s">
        <v>251</v>
      </c>
      <c r="K152">
        <v>4.7062869019829402E-3</v>
      </c>
      <c r="L152" t="s">
        <v>161</v>
      </c>
      <c r="N152" t="s">
        <v>199</v>
      </c>
      <c r="O152" t="s">
        <v>251</v>
      </c>
      <c r="P152">
        <v>8.4452236070174363E-3</v>
      </c>
      <c r="Q152" t="s">
        <v>161</v>
      </c>
      <c r="S152" t="s">
        <v>221</v>
      </c>
      <c r="T152" t="s">
        <v>251</v>
      </c>
      <c r="U152">
        <v>7.9985346078105101E-3</v>
      </c>
      <c r="V152" t="s">
        <v>161</v>
      </c>
      <c r="AK152">
        <v>2045</v>
      </c>
      <c r="AL152" t="s">
        <v>157</v>
      </c>
      <c r="AM152">
        <v>0.33239999999999997</v>
      </c>
      <c r="AN152" t="s">
        <v>236</v>
      </c>
    </row>
    <row r="153" spans="9:40" x14ac:dyDescent="0.45">
      <c r="I153" t="s">
        <v>176</v>
      </c>
      <c r="J153" t="s">
        <v>252</v>
      </c>
      <c r="K153">
        <v>6.425730425162092E-2</v>
      </c>
      <c r="L153" t="s">
        <v>161</v>
      </c>
      <c r="N153" t="s">
        <v>199</v>
      </c>
      <c r="O153" t="s">
        <v>252</v>
      </c>
      <c r="P153">
        <v>5.7449284401644103E-2</v>
      </c>
      <c r="Q153" t="s">
        <v>161</v>
      </c>
      <c r="S153" t="s">
        <v>221</v>
      </c>
      <c r="T153" t="s">
        <v>252</v>
      </c>
      <c r="U153">
        <v>5.6310739624691034E-2</v>
      </c>
      <c r="V153" t="s">
        <v>161</v>
      </c>
      <c r="AK153">
        <v>2045</v>
      </c>
      <c r="AL153" t="s">
        <v>239</v>
      </c>
      <c r="AM153">
        <v>0.33829999999999999</v>
      </c>
      <c r="AN153" t="s">
        <v>236</v>
      </c>
    </row>
    <row r="154" spans="9:40" x14ac:dyDescent="0.45">
      <c r="I154" t="s">
        <v>176</v>
      </c>
      <c r="J154" t="s">
        <v>253</v>
      </c>
      <c r="K154">
        <v>7.838661865173733E-4</v>
      </c>
      <c r="L154" t="s">
        <v>161</v>
      </c>
      <c r="N154" t="s">
        <v>199</v>
      </c>
      <c r="O154" t="s">
        <v>253</v>
      </c>
      <c r="P154">
        <v>8.2819493590931478E-3</v>
      </c>
      <c r="Q154" t="s">
        <v>161</v>
      </c>
      <c r="S154" t="s">
        <v>221</v>
      </c>
      <c r="T154" t="s">
        <v>253</v>
      </c>
      <c r="U154">
        <v>8.2454821361908313E-3</v>
      </c>
      <c r="V154" t="s">
        <v>161</v>
      </c>
      <c r="AK154">
        <v>2045</v>
      </c>
      <c r="AL154" t="s">
        <v>241</v>
      </c>
      <c r="AM154">
        <v>0.3584</v>
      </c>
      <c r="AN154" t="s">
        <v>236</v>
      </c>
    </row>
    <row r="155" spans="9:40" x14ac:dyDescent="0.45">
      <c r="I155" t="s">
        <v>176</v>
      </c>
      <c r="J155" t="s">
        <v>254</v>
      </c>
      <c r="K155">
        <v>0</v>
      </c>
      <c r="L155" t="s">
        <v>161</v>
      </c>
      <c r="N155" t="s">
        <v>199</v>
      </c>
      <c r="O155" t="s">
        <v>254</v>
      </c>
      <c r="P155">
        <v>5.7795660765032203E-2</v>
      </c>
      <c r="Q155" t="s">
        <v>161</v>
      </c>
      <c r="S155" t="s">
        <v>221</v>
      </c>
      <c r="T155" t="s">
        <v>254</v>
      </c>
      <c r="U155">
        <v>5.7453732802719808E-2</v>
      </c>
      <c r="V155" t="s">
        <v>161</v>
      </c>
      <c r="AK155">
        <v>2046</v>
      </c>
      <c r="AL155" t="s">
        <v>149</v>
      </c>
      <c r="AM155">
        <v>0.37487500000000001</v>
      </c>
      <c r="AN155" t="s">
        <v>236</v>
      </c>
    </row>
    <row r="156" spans="9:40" x14ac:dyDescent="0.45">
      <c r="I156" t="s">
        <v>176</v>
      </c>
      <c r="J156" t="s">
        <v>255</v>
      </c>
      <c r="K156">
        <v>0</v>
      </c>
      <c r="L156" t="s">
        <v>161</v>
      </c>
      <c r="N156" t="s">
        <v>199</v>
      </c>
      <c r="O156" t="s">
        <v>255</v>
      </c>
      <c r="P156">
        <v>6.6599099139803362E-3</v>
      </c>
      <c r="Q156" t="s">
        <v>161</v>
      </c>
      <c r="S156" t="s">
        <v>221</v>
      </c>
      <c r="T156" t="s">
        <v>255</v>
      </c>
      <c r="U156">
        <v>6.3544538864941233E-3</v>
      </c>
      <c r="V156" t="s">
        <v>161</v>
      </c>
      <c r="AK156">
        <v>2046</v>
      </c>
      <c r="AL156" t="s">
        <v>153</v>
      </c>
      <c r="AM156">
        <v>0.43332499999999996</v>
      </c>
      <c r="AN156" t="s">
        <v>236</v>
      </c>
    </row>
    <row r="157" spans="9:40" x14ac:dyDescent="0.45">
      <c r="I157" t="s">
        <v>176</v>
      </c>
      <c r="J157" t="s">
        <v>256</v>
      </c>
      <c r="K157">
        <v>5.1766415533606707E-4</v>
      </c>
      <c r="L157" t="s">
        <v>161</v>
      </c>
      <c r="N157" t="s">
        <v>199</v>
      </c>
      <c r="O157" t="s">
        <v>256</v>
      </c>
      <c r="P157">
        <v>9.0605316136075709E-4</v>
      </c>
      <c r="Q157" t="s">
        <v>161</v>
      </c>
      <c r="S157" t="s">
        <v>221</v>
      </c>
      <c r="T157" t="s">
        <v>256</v>
      </c>
      <c r="U157">
        <v>8.8552306331753387E-4</v>
      </c>
      <c r="V157" t="s">
        <v>161</v>
      </c>
      <c r="AK157">
        <v>2046</v>
      </c>
      <c r="AL157" t="s">
        <v>155</v>
      </c>
      <c r="AM157">
        <v>0.39599999999999996</v>
      </c>
      <c r="AN157" t="s">
        <v>236</v>
      </c>
    </row>
    <row r="158" spans="9:40" x14ac:dyDescent="0.45">
      <c r="I158" t="s">
        <v>176</v>
      </c>
      <c r="J158" t="s">
        <v>257</v>
      </c>
      <c r="K158">
        <v>8.5774119558122731E-3</v>
      </c>
      <c r="L158" t="s">
        <v>161</v>
      </c>
      <c r="N158" t="s">
        <v>199</v>
      </c>
      <c r="O158" t="s">
        <v>257</v>
      </c>
      <c r="P158">
        <v>6.5030960419400086E-3</v>
      </c>
      <c r="Q158" t="s">
        <v>161</v>
      </c>
      <c r="S158" t="s">
        <v>221</v>
      </c>
      <c r="T158" t="s">
        <v>257</v>
      </c>
      <c r="U158">
        <v>6.5141645233597169E-3</v>
      </c>
      <c r="V158" t="s">
        <v>161</v>
      </c>
      <c r="AK158">
        <v>2046</v>
      </c>
      <c r="AL158" t="s">
        <v>157</v>
      </c>
      <c r="AM158">
        <v>0.35180000000000006</v>
      </c>
      <c r="AN158" t="s">
        <v>236</v>
      </c>
    </row>
    <row r="159" spans="9:40" x14ac:dyDescent="0.45">
      <c r="I159" t="s">
        <v>176</v>
      </c>
      <c r="J159" t="s">
        <v>258</v>
      </c>
      <c r="K159">
        <v>0</v>
      </c>
      <c r="L159" t="s">
        <v>161</v>
      </c>
      <c r="N159" t="s">
        <v>199</v>
      </c>
      <c r="O159" t="s">
        <v>258</v>
      </c>
      <c r="P159">
        <v>9.1606786288408743E-4</v>
      </c>
      <c r="Q159" t="s">
        <v>161</v>
      </c>
      <c r="S159" t="s">
        <v>221</v>
      </c>
      <c r="T159" t="s">
        <v>258</v>
      </c>
      <c r="U159">
        <v>9.0582071181027836E-4</v>
      </c>
      <c r="V159" t="s">
        <v>161</v>
      </c>
      <c r="AK159">
        <v>2046</v>
      </c>
      <c r="AL159" t="s">
        <v>239</v>
      </c>
      <c r="AM159">
        <v>0.32989999999999997</v>
      </c>
      <c r="AN159" t="s">
        <v>236</v>
      </c>
    </row>
    <row r="160" spans="9:40" x14ac:dyDescent="0.45">
      <c r="I160" t="s">
        <v>176</v>
      </c>
      <c r="J160" t="s">
        <v>259</v>
      </c>
      <c r="K160">
        <v>0</v>
      </c>
      <c r="L160" t="s">
        <v>161</v>
      </c>
      <c r="N160" t="s">
        <v>199</v>
      </c>
      <c r="O160" t="s">
        <v>259</v>
      </c>
      <c r="P160">
        <v>6.7512787781557589E-3</v>
      </c>
      <c r="Q160" t="s">
        <v>161</v>
      </c>
      <c r="S160" t="s">
        <v>221</v>
      </c>
      <c r="T160" t="s">
        <v>259</v>
      </c>
      <c r="U160">
        <v>6.5497213571661063E-3</v>
      </c>
      <c r="V160" t="s">
        <v>161</v>
      </c>
      <c r="AK160">
        <v>2046</v>
      </c>
      <c r="AL160" t="s">
        <v>241</v>
      </c>
      <c r="AM160">
        <v>0.33829999999999999</v>
      </c>
      <c r="AN160" t="s">
        <v>236</v>
      </c>
    </row>
    <row r="161" spans="9:40" x14ac:dyDescent="0.45">
      <c r="I161" t="s">
        <v>177</v>
      </c>
      <c r="J161" t="s">
        <v>160</v>
      </c>
      <c r="K161">
        <v>1.2591912665129778E-2</v>
      </c>
      <c r="L161" t="s">
        <v>161</v>
      </c>
      <c r="N161" t="s">
        <v>200</v>
      </c>
      <c r="O161" t="s">
        <v>160</v>
      </c>
      <c r="P161">
        <v>0.11257416170676365</v>
      </c>
      <c r="Q161" t="s">
        <v>161</v>
      </c>
      <c r="S161" t="s">
        <v>222</v>
      </c>
      <c r="T161" t="s">
        <v>160</v>
      </c>
      <c r="U161">
        <v>0.10468231177631576</v>
      </c>
      <c r="V161" t="s">
        <v>161</v>
      </c>
      <c r="AK161">
        <v>2047</v>
      </c>
      <c r="AL161" t="s">
        <v>149</v>
      </c>
      <c r="AM161">
        <v>0.34017500000000001</v>
      </c>
      <c r="AN161" t="s">
        <v>236</v>
      </c>
    </row>
    <row r="162" spans="9:40" x14ac:dyDescent="0.45">
      <c r="I162" t="s">
        <v>177</v>
      </c>
      <c r="J162" t="s">
        <v>162</v>
      </c>
      <c r="K162">
        <v>1.7681345982928972E-2</v>
      </c>
      <c r="L162" t="s">
        <v>161</v>
      </c>
      <c r="N162" t="s">
        <v>200</v>
      </c>
      <c r="O162" t="s">
        <v>162</v>
      </c>
      <c r="P162">
        <v>1.368717928398369E-2</v>
      </c>
      <c r="Q162" t="s">
        <v>161</v>
      </c>
      <c r="S162" t="s">
        <v>222</v>
      </c>
      <c r="T162" t="s">
        <v>162</v>
      </c>
      <c r="U162">
        <v>1.2568335608732533E-2</v>
      </c>
      <c r="V162" t="s">
        <v>161</v>
      </c>
      <c r="AK162">
        <v>2047</v>
      </c>
      <c r="AL162" t="s">
        <v>153</v>
      </c>
      <c r="AM162">
        <v>0.45174999999999998</v>
      </c>
      <c r="AN162" t="s">
        <v>236</v>
      </c>
    </row>
    <row r="163" spans="9:40" x14ac:dyDescent="0.45">
      <c r="I163" t="s">
        <v>177</v>
      </c>
      <c r="J163" t="s">
        <v>163</v>
      </c>
      <c r="K163">
        <v>0.18880058766408722</v>
      </c>
      <c r="L163" t="s">
        <v>161</v>
      </c>
      <c r="N163" t="s">
        <v>200</v>
      </c>
      <c r="O163" t="s">
        <v>163</v>
      </c>
      <c r="P163">
        <v>9.6827256623165062E-2</v>
      </c>
      <c r="Q163" t="s">
        <v>161</v>
      </c>
      <c r="S163" t="s">
        <v>222</v>
      </c>
      <c r="T163" t="s">
        <v>163</v>
      </c>
      <c r="U163">
        <v>8.4633210795987998E-2</v>
      </c>
      <c r="V163" t="s">
        <v>161</v>
      </c>
      <c r="AK163">
        <v>2047</v>
      </c>
      <c r="AL163" t="s">
        <v>155</v>
      </c>
      <c r="AM163">
        <v>0.42236666666666672</v>
      </c>
      <c r="AN163" t="s">
        <v>236</v>
      </c>
    </row>
    <row r="164" spans="9:40" x14ac:dyDescent="0.45">
      <c r="I164" t="s">
        <v>177</v>
      </c>
      <c r="J164" t="s">
        <v>242</v>
      </c>
      <c r="K164">
        <v>1.5618690766992568E-2</v>
      </c>
      <c r="L164" t="s">
        <v>161</v>
      </c>
      <c r="N164" t="s">
        <v>200</v>
      </c>
      <c r="O164" t="s">
        <v>242</v>
      </c>
      <c r="P164">
        <v>1.3926773388123656E-2</v>
      </c>
      <c r="Q164" t="s">
        <v>161</v>
      </c>
      <c r="S164" t="s">
        <v>222</v>
      </c>
      <c r="T164" t="s">
        <v>242</v>
      </c>
      <c r="U164">
        <v>1.2475575320999082E-2</v>
      </c>
      <c r="V164" t="s">
        <v>161</v>
      </c>
      <c r="AK164">
        <v>2047</v>
      </c>
      <c r="AL164" t="s">
        <v>157</v>
      </c>
      <c r="AM164">
        <v>0.33673333333333333</v>
      </c>
      <c r="AN164" t="s">
        <v>236</v>
      </c>
    </row>
    <row r="165" spans="9:40" x14ac:dyDescent="0.45">
      <c r="I165" t="s">
        <v>177</v>
      </c>
      <c r="J165" t="s">
        <v>243</v>
      </c>
      <c r="K165">
        <v>1.1022889154875471E-2</v>
      </c>
      <c r="L165" t="s">
        <v>161</v>
      </c>
      <c r="N165" t="s">
        <v>200</v>
      </c>
      <c r="O165" t="s">
        <v>243</v>
      </c>
      <c r="P165">
        <v>0.10128511552811999</v>
      </c>
      <c r="Q165" t="s">
        <v>161</v>
      </c>
      <c r="S165" t="s">
        <v>222</v>
      </c>
      <c r="T165" t="s">
        <v>243</v>
      </c>
      <c r="U165">
        <v>9.5486818235953397E-2</v>
      </c>
      <c r="V165" t="s">
        <v>161</v>
      </c>
      <c r="AK165">
        <v>2047</v>
      </c>
      <c r="AL165" t="s">
        <v>239</v>
      </c>
      <c r="AM165">
        <v>0.3367</v>
      </c>
      <c r="AN165" t="s">
        <v>236</v>
      </c>
    </row>
    <row r="166" spans="9:40" x14ac:dyDescent="0.45">
      <c r="I166" t="s">
        <v>177</v>
      </c>
      <c r="J166" t="s">
        <v>164</v>
      </c>
      <c r="K166">
        <v>5.196594285654367E-2</v>
      </c>
      <c r="L166" t="s">
        <v>161</v>
      </c>
      <c r="N166" t="s">
        <v>200</v>
      </c>
      <c r="O166" t="s">
        <v>164</v>
      </c>
      <c r="P166">
        <v>6.436933652740752E-2</v>
      </c>
      <c r="Q166" t="s">
        <v>161</v>
      </c>
      <c r="S166" t="s">
        <v>222</v>
      </c>
      <c r="T166" t="s">
        <v>164</v>
      </c>
      <c r="U166">
        <v>6.4552812151456335E-2</v>
      </c>
      <c r="V166" t="s">
        <v>161</v>
      </c>
      <c r="AK166">
        <v>2047</v>
      </c>
      <c r="AL166" t="s">
        <v>241</v>
      </c>
      <c r="AM166">
        <v>0.33610000000000001</v>
      </c>
      <c r="AN166" t="s">
        <v>236</v>
      </c>
    </row>
    <row r="167" spans="9:40" x14ac:dyDescent="0.45">
      <c r="I167" t="s">
        <v>177</v>
      </c>
      <c r="J167" t="s">
        <v>165</v>
      </c>
      <c r="K167">
        <v>3.112812922861638E-2</v>
      </c>
      <c r="L167" t="s">
        <v>161</v>
      </c>
      <c r="N167" t="s">
        <v>200</v>
      </c>
      <c r="O167" t="s">
        <v>165</v>
      </c>
      <c r="P167">
        <v>7.7736634521727715E-3</v>
      </c>
      <c r="Q167" t="s">
        <v>161</v>
      </c>
      <c r="S167" t="s">
        <v>222</v>
      </c>
      <c r="T167" t="s">
        <v>165</v>
      </c>
      <c r="U167">
        <v>6.9769618060453549E-3</v>
      </c>
      <c r="V167" t="s">
        <v>161</v>
      </c>
      <c r="AK167">
        <v>2048</v>
      </c>
      <c r="AL167" t="s">
        <v>149</v>
      </c>
      <c r="AM167">
        <v>0.36262500000000003</v>
      </c>
      <c r="AN167" t="s">
        <v>236</v>
      </c>
    </row>
    <row r="168" spans="9:40" x14ac:dyDescent="0.45">
      <c r="I168" t="s">
        <v>177</v>
      </c>
      <c r="J168" t="s">
        <v>166</v>
      </c>
      <c r="K168">
        <v>0.24922561883394059</v>
      </c>
      <c r="L168" t="s">
        <v>161</v>
      </c>
      <c r="N168" t="s">
        <v>200</v>
      </c>
      <c r="O168" t="s">
        <v>166</v>
      </c>
      <c r="P168">
        <v>5.4738975410961309E-2</v>
      </c>
      <c r="Q168" t="s">
        <v>161</v>
      </c>
      <c r="S168" t="s">
        <v>222</v>
      </c>
      <c r="T168" t="s">
        <v>166</v>
      </c>
      <c r="U168">
        <v>5.4237169482294505E-2</v>
      </c>
      <c r="V168" t="s">
        <v>161</v>
      </c>
      <c r="AK168">
        <v>2048</v>
      </c>
      <c r="AL168" t="s">
        <v>153</v>
      </c>
      <c r="AM168">
        <v>0.44475000000000003</v>
      </c>
      <c r="AN168" t="s">
        <v>236</v>
      </c>
    </row>
    <row r="169" spans="9:40" x14ac:dyDescent="0.45">
      <c r="I169" t="s">
        <v>177</v>
      </c>
      <c r="J169" t="s">
        <v>244</v>
      </c>
      <c r="K169">
        <v>2.7802997737385031E-2</v>
      </c>
      <c r="L169" t="s">
        <v>161</v>
      </c>
      <c r="N169" t="s">
        <v>200</v>
      </c>
      <c r="O169" t="s">
        <v>244</v>
      </c>
      <c r="P169">
        <v>7.8366188022533471E-3</v>
      </c>
      <c r="Q169" t="s">
        <v>161</v>
      </c>
      <c r="S169" t="s">
        <v>222</v>
      </c>
      <c r="T169" t="s">
        <v>244</v>
      </c>
      <c r="U169">
        <v>8.4237481990298256E-3</v>
      </c>
      <c r="V169" t="s">
        <v>161</v>
      </c>
      <c r="AK169">
        <v>2048</v>
      </c>
      <c r="AL169" t="s">
        <v>155</v>
      </c>
      <c r="AM169">
        <v>0.41416666666666663</v>
      </c>
      <c r="AN169" t="s">
        <v>236</v>
      </c>
    </row>
    <row r="170" spans="9:40" x14ac:dyDescent="0.45">
      <c r="I170" t="s">
        <v>177</v>
      </c>
      <c r="J170" t="s">
        <v>245</v>
      </c>
      <c r="K170">
        <v>4.4882991431709464E-2</v>
      </c>
      <c r="L170" t="s">
        <v>161</v>
      </c>
      <c r="N170" t="s">
        <v>200</v>
      </c>
      <c r="O170" t="s">
        <v>245</v>
      </c>
      <c r="P170">
        <v>5.5990882249667542E-2</v>
      </c>
      <c r="Q170" t="s">
        <v>161</v>
      </c>
      <c r="S170" t="s">
        <v>222</v>
      </c>
      <c r="T170" t="s">
        <v>245</v>
      </c>
      <c r="U170">
        <v>5.8305553733230174E-2</v>
      </c>
      <c r="V170" t="s">
        <v>161</v>
      </c>
      <c r="AK170">
        <v>2048</v>
      </c>
      <c r="AL170" t="s">
        <v>157</v>
      </c>
      <c r="AM170">
        <v>0.34603333333333336</v>
      </c>
      <c r="AN170" t="s">
        <v>236</v>
      </c>
    </row>
    <row r="171" spans="9:40" x14ac:dyDescent="0.45">
      <c r="I171" t="s">
        <v>177</v>
      </c>
      <c r="J171" t="s">
        <v>167</v>
      </c>
      <c r="K171">
        <v>1.999382858612414E-2</v>
      </c>
      <c r="L171" t="s">
        <v>161</v>
      </c>
      <c r="N171" t="s">
        <v>200</v>
      </c>
      <c r="O171" t="s">
        <v>167</v>
      </c>
      <c r="P171">
        <v>3.649014033290808E-2</v>
      </c>
      <c r="Q171" t="s">
        <v>161</v>
      </c>
      <c r="S171" t="s">
        <v>222</v>
      </c>
      <c r="T171" t="s">
        <v>167</v>
      </c>
      <c r="U171">
        <v>3.3643828982238992E-2</v>
      </c>
      <c r="V171" t="s">
        <v>161</v>
      </c>
      <c r="AK171">
        <v>2048</v>
      </c>
      <c r="AL171" t="s">
        <v>239</v>
      </c>
      <c r="AM171">
        <v>0.34609999999999996</v>
      </c>
      <c r="AN171" t="s">
        <v>236</v>
      </c>
    </row>
    <row r="172" spans="9:40" x14ac:dyDescent="0.45">
      <c r="I172" t="s">
        <v>177</v>
      </c>
      <c r="J172" t="s">
        <v>168</v>
      </c>
      <c r="K172">
        <v>1.4702554188893654E-2</v>
      </c>
      <c r="L172" t="s">
        <v>161</v>
      </c>
      <c r="N172" t="s">
        <v>200</v>
      </c>
      <c r="O172" t="s">
        <v>168</v>
      </c>
      <c r="P172">
        <v>4.1814998394933186E-3</v>
      </c>
      <c r="Q172" t="s">
        <v>161</v>
      </c>
      <c r="S172" t="s">
        <v>222</v>
      </c>
      <c r="T172" t="s">
        <v>168</v>
      </c>
      <c r="U172">
        <v>3.5364836974292615E-3</v>
      </c>
      <c r="V172" t="s">
        <v>161</v>
      </c>
      <c r="AK172">
        <v>2048</v>
      </c>
      <c r="AL172" t="s">
        <v>241</v>
      </c>
      <c r="AM172">
        <v>0.36759999999999998</v>
      </c>
      <c r="AN172" t="s">
        <v>236</v>
      </c>
    </row>
    <row r="173" spans="9:40" x14ac:dyDescent="0.45">
      <c r="I173" t="s">
        <v>177</v>
      </c>
      <c r="J173" t="s">
        <v>169</v>
      </c>
      <c r="K173">
        <v>0.12102522939593421</v>
      </c>
      <c r="L173" t="s">
        <v>161</v>
      </c>
      <c r="N173" t="s">
        <v>200</v>
      </c>
      <c r="O173" t="s">
        <v>169</v>
      </c>
      <c r="P173">
        <v>3.2778145087599679E-2</v>
      </c>
      <c r="Q173" t="s">
        <v>161</v>
      </c>
      <c r="S173" t="s">
        <v>222</v>
      </c>
      <c r="T173" t="s">
        <v>169</v>
      </c>
      <c r="U173">
        <v>2.5581876147354365E-2</v>
      </c>
      <c r="V173" t="s">
        <v>161</v>
      </c>
      <c r="AK173">
        <v>2049</v>
      </c>
      <c r="AL173" t="s">
        <v>149</v>
      </c>
      <c r="AM173">
        <v>0.37832500000000002</v>
      </c>
      <c r="AN173" t="s">
        <v>236</v>
      </c>
    </row>
    <row r="174" spans="9:40" x14ac:dyDescent="0.45">
      <c r="I174" t="s">
        <v>177</v>
      </c>
      <c r="J174" t="s">
        <v>246</v>
      </c>
      <c r="K174">
        <v>1.3278858393703498E-2</v>
      </c>
      <c r="L174" t="s">
        <v>161</v>
      </c>
      <c r="N174" t="s">
        <v>200</v>
      </c>
      <c r="O174" t="s">
        <v>246</v>
      </c>
      <c r="P174">
        <v>4.8611609301811185E-3</v>
      </c>
      <c r="Q174" t="s">
        <v>161</v>
      </c>
      <c r="S174" t="s">
        <v>222</v>
      </c>
      <c r="T174" t="s">
        <v>246</v>
      </c>
      <c r="U174">
        <v>3.5381060840956411E-3</v>
      </c>
      <c r="V174" t="s">
        <v>161</v>
      </c>
      <c r="AK174">
        <v>2049</v>
      </c>
      <c r="AL174" t="s">
        <v>153</v>
      </c>
      <c r="AM174">
        <v>0.43245</v>
      </c>
      <c r="AN174" t="s">
        <v>236</v>
      </c>
    </row>
    <row r="175" spans="9:40" x14ac:dyDescent="0.45">
      <c r="I175" t="s">
        <v>177</v>
      </c>
      <c r="J175" t="s">
        <v>247</v>
      </c>
      <c r="K175">
        <v>1.7987303014725484E-2</v>
      </c>
      <c r="L175" t="s">
        <v>161</v>
      </c>
      <c r="N175" t="s">
        <v>200</v>
      </c>
      <c r="O175" t="s">
        <v>247</v>
      </c>
      <c r="P175">
        <v>3.3979088597633274E-2</v>
      </c>
      <c r="Q175" t="s">
        <v>161</v>
      </c>
      <c r="S175" t="s">
        <v>222</v>
      </c>
      <c r="T175" t="s">
        <v>247</v>
      </c>
      <c r="U175">
        <v>2.8249364364294264E-2</v>
      </c>
      <c r="V175" t="s">
        <v>161</v>
      </c>
      <c r="AK175">
        <v>2049</v>
      </c>
      <c r="AL175" t="s">
        <v>155</v>
      </c>
      <c r="AM175">
        <v>0.39596666666666663</v>
      </c>
      <c r="AN175" t="s">
        <v>236</v>
      </c>
    </row>
    <row r="176" spans="9:40" x14ac:dyDescent="0.45">
      <c r="I176" t="s">
        <v>177</v>
      </c>
      <c r="J176" t="s">
        <v>170</v>
      </c>
      <c r="K176">
        <v>4.5774365089134121E-3</v>
      </c>
      <c r="L176" t="s">
        <v>161</v>
      </c>
      <c r="N176" t="s">
        <v>200</v>
      </c>
      <c r="O176" t="s">
        <v>170</v>
      </c>
      <c r="P176">
        <v>4.8826923498094095E-2</v>
      </c>
      <c r="Q176" t="s">
        <v>161</v>
      </c>
      <c r="S176" t="s">
        <v>222</v>
      </c>
      <c r="T176" t="s">
        <v>170</v>
      </c>
      <c r="U176">
        <v>4.9176598295157803E-2</v>
      </c>
      <c r="V176" t="s">
        <v>161</v>
      </c>
      <c r="AK176">
        <v>2049</v>
      </c>
      <c r="AL176" t="s">
        <v>157</v>
      </c>
      <c r="AM176">
        <v>0.35843333333333333</v>
      </c>
      <c r="AN176" t="s">
        <v>236</v>
      </c>
    </row>
    <row r="177" spans="9:40" x14ac:dyDescent="0.45">
      <c r="I177" t="s">
        <v>177</v>
      </c>
      <c r="J177" t="s">
        <v>171</v>
      </c>
      <c r="K177">
        <v>6.5959217507313541E-3</v>
      </c>
      <c r="L177" t="s">
        <v>161</v>
      </c>
      <c r="N177" t="s">
        <v>200</v>
      </c>
      <c r="O177" t="s">
        <v>171</v>
      </c>
      <c r="P177">
        <v>6.0710207848598628E-3</v>
      </c>
      <c r="Q177" t="s">
        <v>161</v>
      </c>
      <c r="S177" t="s">
        <v>222</v>
      </c>
      <c r="T177" t="s">
        <v>171</v>
      </c>
      <c r="U177">
        <v>5.8467320999864196E-3</v>
      </c>
      <c r="V177" t="s">
        <v>161</v>
      </c>
      <c r="AK177">
        <v>2049</v>
      </c>
      <c r="AL177" t="s">
        <v>239</v>
      </c>
      <c r="AM177">
        <v>0.34914999999999996</v>
      </c>
      <c r="AN177" t="s">
        <v>236</v>
      </c>
    </row>
    <row r="178" spans="9:40" x14ac:dyDescent="0.45">
      <c r="I178" t="s">
        <v>177</v>
      </c>
      <c r="J178" t="s">
        <v>172</v>
      </c>
      <c r="K178">
        <v>7.6398627448897541E-2</v>
      </c>
      <c r="L178" t="s">
        <v>161</v>
      </c>
      <c r="N178" t="s">
        <v>200</v>
      </c>
      <c r="O178" t="s">
        <v>172</v>
      </c>
      <c r="P178">
        <v>4.0754080372075813E-2</v>
      </c>
      <c r="Q178" t="s">
        <v>161</v>
      </c>
      <c r="S178" t="s">
        <v>222</v>
      </c>
      <c r="T178" t="s">
        <v>172</v>
      </c>
      <c r="U178">
        <v>4.0093557050419823E-2</v>
      </c>
      <c r="V178" t="s">
        <v>161</v>
      </c>
      <c r="AK178">
        <v>2049</v>
      </c>
      <c r="AL178" t="s">
        <v>241</v>
      </c>
      <c r="AM178">
        <v>0.38119999999999998</v>
      </c>
      <c r="AN178" t="s">
        <v>236</v>
      </c>
    </row>
    <row r="179" spans="9:40" x14ac:dyDescent="0.45">
      <c r="I179" t="s">
        <v>177</v>
      </c>
      <c r="J179" t="s">
        <v>248</v>
      </c>
      <c r="K179">
        <v>6.7474706589847836E-3</v>
      </c>
      <c r="L179" t="s">
        <v>161</v>
      </c>
      <c r="N179" t="s">
        <v>200</v>
      </c>
      <c r="O179" t="s">
        <v>248</v>
      </c>
      <c r="P179">
        <v>5.9929955806388626E-3</v>
      </c>
      <c r="Q179" t="s">
        <v>161</v>
      </c>
      <c r="S179" t="s">
        <v>222</v>
      </c>
      <c r="T179" t="s">
        <v>248</v>
      </c>
      <c r="U179">
        <v>6.194460090019469E-3</v>
      </c>
      <c r="V179" t="s">
        <v>161</v>
      </c>
      <c r="AK179">
        <v>2050</v>
      </c>
      <c r="AL179" t="s">
        <v>149</v>
      </c>
      <c r="AM179">
        <v>0.37019999999999997</v>
      </c>
      <c r="AN179" t="s">
        <v>236</v>
      </c>
    </row>
    <row r="180" spans="9:40" x14ac:dyDescent="0.45">
      <c r="I180" t="s">
        <v>177</v>
      </c>
      <c r="J180" t="s">
        <v>249</v>
      </c>
      <c r="K180">
        <v>2.4744780420126082E-3</v>
      </c>
      <c r="L180" t="s">
        <v>161</v>
      </c>
      <c r="N180" t="s">
        <v>200</v>
      </c>
      <c r="O180" t="s">
        <v>249</v>
      </c>
      <c r="P180">
        <v>4.4012541913072377E-2</v>
      </c>
      <c r="Q180" t="s">
        <v>161</v>
      </c>
      <c r="S180" t="s">
        <v>222</v>
      </c>
      <c r="T180" t="s">
        <v>249</v>
      </c>
      <c r="U180">
        <v>4.9298814996351782E-2</v>
      </c>
      <c r="V180" t="s">
        <v>161</v>
      </c>
      <c r="AK180">
        <v>2050</v>
      </c>
      <c r="AL180" t="s">
        <v>153</v>
      </c>
      <c r="AM180">
        <v>0.41244999999999998</v>
      </c>
      <c r="AN180" t="s">
        <v>236</v>
      </c>
    </row>
    <row r="181" spans="9:40" x14ac:dyDescent="0.45">
      <c r="I181" t="s">
        <v>177</v>
      </c>
      <c r="J181" t="s">
        <v>250</v>
      </c>
      <c r="K181">
        <v>7.241718305982581E-5</v>
      </c>
      <c r="L181" t="s">
        <v>161</v>
      </c>
      <c r="N181" t="s">
        <v>200</v>
      </c>
      <c r="O181" t="s">
        <v>250</v>
      </c>
      <c r="P181">
        <v>6.4532850184258417E-2</v>
      </c>
      <c r="Q181" t="s">
        <v>161</v>
      </c>
      <c r="S181" t="s">
        <v>222</v>
      </c>
      <c r="T181" t="s">
        <v>250</v>
      </c>
      <c r="U181">
        <v>7.3429545708641242E-2</v>
      </c>
      <c r="V181" t="s">
        <v>161</v>
      </c>
      <c r="AK181">
        <v>2050</v>
      </c>
      <c r="AL181" t="s">
        <v>155</v>
      </c>
      <c r="AM181">
        <v>0.39816666666666661</v>
      </c>
      <c r="AN181" t="s">
        <v>236</v>
      </c>
    </row>
    <row r="182" spans="9:40" x14ac:dyDescent="0.45">
      <c r="I182" t="s">
        <v>177</v>
      </c>
      <c r="J182" t="s">
        <v>251</v>
      </c>
      <c r="K182">
        <v>3.4439916545700531E-3</v>
      </c>
      <c r="L182" t="s">
        <v>161</v>
      </c>
      <c r="N182" t="s">
        <v>200</v>
      </c>
      <c r="O182" t="s">
        <v>251</v>
      </c>
      <c r="P182">
        <v>8.3094025744191256E-3</v>
      </c>
      <c r="Q182" t="s">
        <v>161</v>
      </c>
      <c r="S182" t="s">
        <v>222</v>
      </c>
      <c r="T182" t="s">
        <v>251</v>
      </c>
      <c r="U182">
        <v>1.0171145448109688E-2</v>
      </c>
      <c r="V182" t="s">
        <v>161</v>
      </c>
      <c r="AK182">
        <v>2050</v>
      </c>
      <c r="AL182" t="s">
        <v>157</v>
      </c>
      <c r="AM182">
        <v>0.33443333333333336</v>
      </c>
      <c r="AN182" t="s">
        <v>236</v>
      </c>
    </row>
    <row r="183" spans="9:40" x14ac:dyDescent="0.45">
      <c r="I183" t="s">
        <v>177</v>
      </c>
      <c r="J183" t="s">
        <v>252</v>
      </c>
      <c r="K183">
        <v>5.3911468099524844E-2</v>
      </c>
      <c r="L183" t="s">
        <v>161</v>
      </c>
      <c r="N183" t="s">
        <v>200</v>
      </c>
      <c r="O183" t="s">
        <v>252</v>
      </c>
      <c r="P183">
        <v>5.4475488776079398E-2</v>
      </c>
      <c r="Q183" t="s">
        <v>161</v>
      </c>
      <c r="S183" t="s">
        <v>222</v>
      </c>
      <c r="T183" t="s">
        <v>252</v>
      </c>
      <c r="U183">
        <v>6.7374979428763776E-2</v>
      </c>
      <c r="V183" t="s">
        <v>161</v>
      </c>
      <c r="AK183">
        <v>2050</v>
      </c>
      <c r="AL183" t="s">
        <v>239</v>
      </c>
      <c r="AM183">
        <v>0.32779999999999998</v>
      </c>
      <c r="AN183" t="s">
        <v>236</v>
      </c>
    </row>
    <row r="184" spans="9:40" x14ac:dyDescent="0.45">
      <c r="I184" t="s">
        <v>177</v>
      </c>
      <c r="J184" t="s">
        <v>253</v>
      </c>
      <c r="K184">
        <v>8.9581248601094466E-4</v>
      </c>
      <c r="L184" t="s">
        <v>161</v>
      </c>
      <c r="N184" t="s">
        <v>200</v>
      </c>
      <c r="O184" t="s">
        <v>253</v>
      </c>
      <c r="P184">
        <v>7.6532624677115024E-3</v>
      </c>
      <c r="Q184" t="s">
        <v>161</v>
      </c>
      <c r="S184" t="s">
        <v>222</v>
      </c>
      <c r="T184" t="s">
        <v>253</v>
      </c>
      <c r="U184">
        <v>9.7285349856848554E-3</v>
      </c>
      <c r="V184" t="s">
        <v>161</v>
      </c>
      <c r="AK184">
        <v>2050</v>
      </c>
      <c r="AL184" t="s">
        <v>241</v>
      </c>
      <c r="AM184">
        <v>0.36209999999999998</v>
      </c>
      <c r="AN184" t="s">
        <v>236</v>
      </c>
    </row>
    <row r="185" spans="9:40" x14ac:dyDescent="0.45">
      <c r="I185" t="s">
        <v>177</v>
      </c>
      <c r="J185" t="s">
        <v>254</v>
      </c>
      <c r="K185">
        <v>0</v>
      </c>
      <c r="L185" t="s">
        <v>161</v>
      </c>
      <c r="N185" t="s">
        <v>200</v>
      </c>
      <c r="O185" t="s">
        <v>254</v>
      </c>
      <c r="P185">
        <v>5.4047252874972029E-2</v>
      </c>
      <c r="Q185" t="s">
        <v>161</v>
      </c>
      <c r="S185" t="s">
        <v>222</v>
      </c>
      <c r="T185" t="s">
        <v>254</v>
      </c>
      <c r="U185">
        <v>6.7042811044122727E-2</v>
      </c>
      <c r="V185" t="s">
        <v>161</v>
      </c>
    </row>
    <row r="186" spans="9:40" x14ac:dyDescent="0.45">
      <c r="I186" t="s">
        <v>177</v>
      </c>
      <c r="J186" t="s">
        <v>255</v>
      </c>
      <c r="K186">
        <v>0</v>
      </c>
      <c r="L186" t="s">
        <v>161</v>
      </c>
      <c r="N186" t="s">
        <v>200</v>
      </c>
      <c r="O186" t="s">
        <v>255</v>
      </c>
      <c r="P186">
        <v>7.1227641118151927E-3</v>
      </c>
      <c r="Q186" t="s">
        <v>161</v>
      </c>
      <c r="S186" t="s">
        <v>222</v>
      </c>
      <c r="T186" t="s">
        <v>255</v>
      </c>
      <c r="U186">
        <v>7.9190326310110744E-3</v>
      </c>
      <c r="V186" t="s">
        <v>161</v>
      </c>
    </row>
    <row r="187" spans="9:40" x14ac:dyDescent="0.45">
      <c r="I187" t="s">
        <v>177</v>
      </c>
      <c r="J187" t="s">
        <v>256</v>
      </c>
      <c r="K187">
        <v>2.7765522378301997E-4</v>
      </c>
      <c r="L187" t="s">
        <v>161</v>
      </c>
      <c r="N187" t="s">
        <v>200</v>
      </c>
      <c r="O187" t="s">
        <v>256</v>
      </c>
      <c r="P187">
        <v>9.3382013599339572E-4</v>
      </c>
      <c r="Q187" t="s">
        <v>161</v>
      </c>
      <c r="S187" t="s">
        <v>222</v>
      </c>
      <c r="T187" t="s">
        <v>256</v>
      </c>
      <c r="U187">
        <v>8.9772050861613897E-4</v>
      </c>
      <c r="V187" t="s">
        <v>161</v>
      </c>
    </row>
    <row r="188" spans="9:40" x14ac:dyDescent="0.45">
      <c r="I188" t="s">
        <v>177</v>
      </c>
      <c r="J188" t="s">
        <v>257</v>
      </c>
      <c r="K188">
        <v>6.8281393259865177E-3</v>
      </c>
      <c r="L188" t="s">
        <v>161</v>
      </c>
      <c r="N188" t="s">
        <v>200</v>
      </c>
      <c r="O188" t="s">
        <v>257</v>
      </c>
      <c r="P188">
        <v>6.9955015700305457E-3</v>
      </c>
      <c r="Q188" t="s">
        <v>161</v>
      </c>
      <c r="S188" t="s">
        <v>222</v>
      </c>
      <c r="T188" t="s">
        <v>257</v>
      </c>
      <c r="U188">
        <v>7.0007460548157617E-3</v>
      </c>
      <c r="V188" t="s">
        <v>161</v>
      </c>
    </row>
    <row r="189" spans="9:40" x14ac:dyDescent="0.45">
      <c r="I189" t="s">
        <v>177</v>
      </c>
      <c r="J189" t="s">
        <v>258</v>
      </c>
      <c r="K189">
        <v>6.7701715935522571E-5</v>
      </c>
      <c r="L189" t="s">
        <v>161</v>
      </c>
      <c r="N189" t="s">
        <v>200</v>
      </c>
      <c r="O189" t="s">
        <v>258</v>
      </c>
      <c r="P189">
        <v>1.1160597856494582E-3</v>
      </c>
      <c r="Q189" t="s">
        <v>161</v>
      </c>
      <c r="S189" t="s">
        <v>222</v>
      </c>
      <c r="T189" t="s">
        <v>258</v>
      </c>
      <c r="U189">
        <v>1.1017284251906426E-3</v>
      </c>
      <c r="V189" t="s">
        <v>161</v>
      </c>
    </row>
    <row r="190" spans="9:40" x14ac:dyDescent="0.45">
      <c r="I190" t="s">
        <v>177</v>
      </c>
      <c r="J190" t="s">
        <v>259</v>
      </c>
      <c r="K190">
        <v>0</v>
      </c>
      <c r="L190" t="s">
        <v>161</v>
      </c>
      <c r="N190" t="s">
        <v>200</v>
      </c>
      <c r="O190" t="s">
        <v>259</v>
      </c>
      <c r="P190">
        <v>7.8560376098929727E-3</v>
      </c>
      <c r="Q190" t="s">
        <v>161</v>
      </c>
      <c r="S190" t="s">
        <v>222</v>
      </c>
      <c r="T190" t="s">
        <v>259</v>
      </c>
      <c r="U190">
        <v>7.8314368476490436E-3</v>
      </c>
      <c r="V190" t="s">
        <v>161</v>
      </c>
    </row>
    <row r="191" spans="9:40" x14ac:dyDescent="0.45">
      <c r="I191" t="s">
        <v>178</v>
      </c>
      <c r="J191" t="s">
        <v>160</v>
      </c>
      <c r="K191">
        <v>6.5893265256804882E-3</v>
      </c>
      <c r="L191" t="s">
        <v>161</v>
      </c>
      <c r="N191" t="s">
        <v>201</v>
      </c>
      <c r="O191" t="s">
        <v>160</v>
      </c>
      <c r="P191">
        <v>0.11688963154695735</v>
      </c>
      <c r="Q191" t="s">
        <v>161</v>
      </c>
      <c r="S191" t="s">
        <v>223</v>
      </c>
      <c r="T191" t="s">
        <v>160</v>
      </c>
      <c r="U191">
        <v>0.11537182734476013</v>
      </c>
      <c r="V191" t="s">
        <v>161</v>
      </c>
    </row>
    <row r="192" spans="9:40" x14ac:dyDescent="0.45">
      <c r="I192" t="s">
        <v>178</v>
      </c>
      <c r="J192" t="s">
        <v>162</v>
      </c>
      <c r="K192">
        <v>1.1981499854298767E-2</v>
      </c>
      <c r="L192" t="s">
        <v>161</v>
      </c>
      <c r="N192" t="s">
        <v>201</v>
      </c>
      <c r="O192" t="s">
        <v>162</v>
      </c>
      <c r="P192">
        <v>1.4276811690348749E-2</v>
      </c>
      <c r="Q192" t="s">
        <v>161</v>
      </c>
      <c r="S192" t="s">
        <v>223</v>
      </c>
      <c r="T192" t="s">
        <v>162</v>
      </c>
      <c r="U192">
        <v>1.3564894984494454E-2</v>
      </c>
      <c r="V192" t="s">
        <v>161</v>
      </c>
    </row>
    <row r="193" spans="9:22" x14ac:dyDescent="0.45">
      <c r="I193" t="s">
        <v>178</v>
      </c>
      <c r="J193" t="s">
        <v>163</v>
      </c>
      <c r="K193">
        <v>0.17826948623523017</v>
      </c>
      <c r="L193" t="s">
        <v>161</v>
      </c>
      <c r="N193" t="s">
        <v>201</v>
      </c>
      <c r="O193" t="s">
        <v>163</v>
      </c>
      <c r="P193">
        <v>9.2165558845004839E-2</v>
      </c>
      <c r="Q193" t="s">
        <v>161</v>
      </c>
      <c r="S193" t="s">
        <v>223</v>
      </c>
      <c r="T193" t="s">
        <v>163</v>
      </c>
      <c r="U193">
        <v>9.7803695303033442E-2</v>
      </c>
      <c r="V193" t="s">
        <v>161</v>
      </c>
    </row>
    <row r="194" spans="9:22" x14ac:dyDescent="0.45">
      <c r="I194" t="s">
        <v>178</v>
      </c>
      <c r="J194" t="s">
        <v>242</v>
      </c>
      <c r="K194">
        <v>1.9287783639274619E-2</v>
      </c>
      <c r="L194" t="s">
        <v>161</v>
      </c>
      <c r="N194" t="s">
        <v>201</v>
      </c>
      <c r="O194" t="s">
        <v>242</v>
      </c>
      <c r="P194">
        <v>1.3336274416525932E-2</v>
      </c>
      <c r="Q194" t="s">
        <v>161</v>
      </c>
      <c r="S194" t="s">
        <v>223</v>
      </c>
      <c r="T194" t="s">
        <v>242</v>
      </c>
      <c r="U194">
        <v>1.4373872986970892E-2</v>
      </c>
      <c r="V194" t="s">
        <v>161</v>
      </c>
    </row>
    <row r="195" spans="9:22" x14ac:dyDescent="0.45">
      <c r="I195" t="s">
        <v>178</v>
      </c>
      <c r="J195" t="s">
        <v>243</v>
      </c>
      <c r="K195">
        <v>2.3785282011271419E-2</v>
      </c>
      <c r="L195" t="s">
        <v>161</v>
      </c>
      <c r="N195" t="s">
        <v>201</v>
      </c>
      <c r="O195" t="s">
        <v>243</v>
      </c>
      <c r="P195">
        <v>0.10263766322176433</v>
      </c>
      <c r="Q195" t="s">
        <v>161</v>
      </c>
      <c r="S195" t="s">
        <v>223</v>
      </c>
      <c r="T195" t="s">
        <v>243</v>
      </c>
      <c r="U195">
        <v>0.10396258559368424</v>
      </c>
      <c r="V195" t="s">
        <v>161</v>
      </c>
    </row>
    <row r="196" spans="9:22" x14ac:dyDescent="0.45">
      <c r="I196" t="s">
        <v>178</v>
      </c>
      <c r="J196" t="s">
        <v>164</v>
      </c>
      <c r="K196">
        <v>4.2578084817314829E-2</v>
      </c>
      <c r="L196" t="s">
        <v>161</v>
      </c>
      <c r="N196" t="s">
        <v>201</v>
      </c>
      <c r="O196" t="s">
        <v>164</v>
      </c>
      <c r="P196">
        <v>6.0695974863018913E-2</v>
      </c>
      <c r="Q196" t="s">
        <v>161</v>
      </c>
      <c r="S196" t="s">
        <v>223</v>
      </c>
      <c r="T196" t="s">
        <v>164</v>
      </c>
      <c r="U196">
        <v>5.7517299486010094E-2</v>
      </c>
      <c r="V196" t="s">
        <v>161</v>
      </c>
    </row>
    <row r="197" spans="9:22" x14ac:dyDescent="0.45">
      <c r="I197" t="s">
        <v>178</v>
      </c>
      <c r="J197" t="s">
        <v>165</v>
      </c>
      <c r="K197">
        <v>2.9209767508315235E-2</v>
      </c>
      <c r="L197" t="s">
        <v>161</v>
      </c>
      <c r="N197" t="s">
        <v>201</v>
      </c>
      <c r="O197" t="s">
        <v>165</v>
      </c>
      <c r="P197">
        <v>7.0462036786904337E-3</v>
      </c>
      <c r="Q197" t="s">
        <v>161</v>
      </c>
      <c r="S197" t="s">
        <v>223</v>
      </c>
      <c r="T197" t="s">
        <v>165</v>
      </c>
      <c r="U197">
        <v>7.1964242395440511E-3</v>
      </c>
      <c r="V197" t="s">
        <v>161</v>
      </c>
    </row>
    <row r="198" spans="9:22" x14ac:dyDescent="0.45">
      <c r="I198" t="s">
        <v>178</v>
      </c>
      <c r="J198" t="s">
        <v>166</v>
      </c>
      <c r="K198">
        <v>0.2692232072164169</v>
      </c>
      <c r="L198" t="s">
        <v>161</v>
      </c>
      <c r="N198" t="s">
        <v>201</v>
      </c>
      <c r="O198" t="s">
        <v>166</v>
      </c>
      <c r="P198">
        <v>5.154567657453691E-2</v>
      </c>
      <c r="Q198" t="s">
        <v>161</v>
      </c>
      <c r="S198" t="s">
        <v>223</v>
      </c>
      <c r="T198" t="s">
        <v>166</v>
      </c>
      <c r="U198">
        <v>5.2505270091734155E-2</v>
      </c>
      <c r="V198" t="s">
        <v>161</v>
      </c>
    </row>
    <row r="199" spans="9:22" x14ac:dyDescent="0.45">
      <c r="I199" t="s">
        <v>178</v>
      </c>
      <c r="J199" t="s">
        <v>244</v>
      </c>
      <c r="K199">
        <v>3.2591723127796873E-2</v>
      </c>
      <c r="L199" t="s">
        <v>161</v>
      </c>
      <c r="N199" t="s">
        <v>201</v>
      </c>
      <c r="O199" t="s">
        <v>244</v>
      </c>
      <c r="P199">
        <v>7.8719892736922523E-3</v>
      </c>
      <c r="Q199" t="s">
        <v>161</v>
      </c>
      <c r="S199" t="s">
        <v>223</v>
      </c>
      <c r="T199" t="s">
        <v>244</v>
      </c>
      <c r="U199">
        <v>7.3686528341285829E-3</v>
      </c>
      <c r="V199" t="s">
        <v>161</v>
      </c>
    </row>
    <row r="200" spans="9:22" x14ac:dyDescent="0.45">
      <c r="I200" t="s">
        <v>178</v>
      </c>
      <c r="J200" t="s">
        <v>245</v>
      </c>
      <c r="K200">
        <v>7.2600667119021051E-2</v>
      </c>
      <c r="L200" t="s">
        <v>161</v>
      </c>
      <c r="N200" t="s">
        <v>201</v>
      </c>
      <c r="O200" t="s">
        <v>245</v>
      </c>
      <c r="P200">
        <v>5.6011767249049493E-2</v>
      </c>
      <c r="Q200" t="s">
        <v>161</v>
      </c>
      <c r="S200" t="s">
        <v>223</v>
      </c>
      <c r="T200" t="s">
        <v>245</v>
      </c>
      <c r="U200">
        <v>4.9082123247188164E-2</v>
      </c>
      <c r="V200" t="s">
        <v>161</v>
      </c>
    </row>
    <row r="201" spans="9:22" x14ac:dyDescent="0.45">
      <c r="I201" t="s">
        <v>178</v>
      </c>
      <c r="J201" t="s">
        <v>167</v>
      </c>
      <c r="K201">
        <v>1.245324276448889E-2</v>
      </c>
      <c r="L201" t="s">
        <v>161</v>
      </c>
      <c r="N201" t="s">
        <v>201</v>
      </c>
      <c r="O201" t="s">
        <v>167</v>
      </c>
      <c r="P201">
        <v>3.2779427875124292E-2</v>
      </c>
      <c r="Q201" t="s">
        <v>161</v>
      </c>
      <c r="S201" t="s">
        <v>223</v>
      </c>
      <c r="T201" t="s">
        <v>167</v>
      </c>
      <c r="U201">
        <v>3.2194602770319804E-2</v>
      </c>
      <c r="V201" t="s">
        <v>161</v>
      </c>
    </row>
    <row r="202" spans="9:22" x14ac:dyDescent="0.45">
      <c r="I202" t="s">
        <v>178</v>
      </c>
      <c r="J202" t="s">
        <v>168</v>
      </c>
      <c r="K202">
        <v>1.2893645501492478E-2</v>
      </c>
      <c r="L202" t="s">
        <v>161</v>
      </c>
      <c r="N202" t="s">
        <v>201</v>
      </c>
      <c r="O202" t="s">
        <v>168</v>
      </c>
      <c r="P202">
        <v>3.5151313358123301E-3</v>
      </c>
      <c r="Q202" t="s">
        <v>161</v>
      </c>
      <c r="S202" t="s">
        <v>223</v>
      </c>
      <c r="T202" t="s">
        <v>168</v>
      </c>
      <c r="U202">
        <v>3.5776726377694437E-3</v>
      </c>
      <c r="V202" t="s">
        <v>161</v>
      </c>
    </row>
    <row r="203" spans="9:22" x14ac:dyDescent="0.45">
      <c r="I203" t="s">
        <v>178</v>
      </c>
      <c r="J203" t="s">
        <v>169</v>
      </c>
      <c r="K203">
        <v>0.12137417342503591</v>
      </c>
      <c r="L203" t="s">
        <v>161</v>
      </c>
      <c r="N203" t="s">
        <v>201</v>
      </c>
      <c r="O203" t="s">
        <v>169</v>
      </c>
      <c r="P203">
        <v>3.0014718082525572E-2</v>
      </c>
      <c r="Q203" t="s">
        <v>161</v>
      </c>
      <c r="S203" t="s">
        <v>223</v>
      </c>
      <c r="T203" t="s">
        <v>169</v>
      </c>
      <c r="U203">
        <v>2.8760312090366565E-2</v>
      </c>
      <c r="V203" t="s">
        <v>161</v>
      </c>
    </row>
    <row r="204" spans="9:22" x14ac:dyDescent="0.45">
      <c r="I204" t="s">
        <v>178</v>
      </c>
      <c r="J204" t="s">
        <v>246</v>
      </c>
      <c r="K204">
        <v>1.4220321365108528E-2</v>
      </c>
      <c r="L204" t="s">
        <v>161</v>
      </c>
      <c r="N204" t="s">
        <v>201</v>
      </c>
      <c r="O204" t="s">
        <v>246</v>
      </c>
      <c r="P204">
        <v>4.1347842141160112E-3</v>
      </c>
      <c r="Q204" t="s">
        <v>161</v>
      </c>
      <c r="S204" t="s">
        <v>223</v>
      </c>
      <c r="T204" t="s">
        <v>246</v>
      </c>
      <c r="U204">
        <v>3.973942731480969E-3</v>
      </c>
      <c r="V204" t="s">
        <v>161</v>
      </c>
    </row>
    <row r="205" spans="9:22" x14ac:dyDescent="0.45">
      <c r="I205" t="s">
        <v>178</v>
      </c>
      <c r="J205" t="s">
        <v>247</v>
      </c>
      <c r="K205">
        <v>2.5382235488703737E-2</v>
      </c>
      <c r="L205" t="s">
        <v>161</v>
      </c>
      <c r="N205" t="s">
        <v>201</v>
      </c>
      <c r="O205" t="s">
        <v>247</v>
      </c>
      <c r="P205">
        <v>2.7172370286965331E-2</v>
      </c>
      <c r="Q205" t="s">
        <v>161</v>
      </c>
      <c r="S205" t="s">
        <v>223</v>
      </c>
      <c r="T205" t="s">
        <v>247</v>
      </c>
      <c r="U205">
        <v>2.9193658828676538E-2</v>
      </c>
      <c r="V205" t="s">
        <v>161</v>
      </c>
    </row>
    <row r="206" spans="9:22" x14ac:dyDescent="0.45">
      <c r="I206" t="s">
        <v>178</v>
      </c>
      <c r="J206" t="s">
        <v>170</v>
      </c>
      <c r="K206">
        <v>1.3573262681335261E-3</v>
      </c>
      <c r="L206" t="s">
        <v>161</v>
      </c>
      <c r="N206" t="s">
        <v>201</v>
      </c>
      <c r="O206" t="s">
        <v>170</v>
      </c>
      <c r="P206">
        <v>5.4149336570076659E-2</v>
      </c>
      <c r="Q206" t="s">
        <v>161</v>
      </c>
      <c r="S206" t="s">
        <v>223</v>
      </c>
      <c r="T206" t="s">
        <v>170</v>
      </c>
      <c r="U206">
        <v>5.0206238614596478E-2</v>
      </c>
      <c r="V206" t="s">
        <v>161</v>
      </c>
    </row>
    <row r="207" spans="9:22" x14ac:dyDescent="0.45">
      <c r="I207" t="s">
        <v>178</v>
      </c>
      <c r="J207" t="s">
        <v>171</v>
      </c>
      <c r="K207">
        <v>4.0148806319738918E-3</v>
      </c>
      <c r="L207" t="s">
        <v>161</v>
      </c>
      <c r="N207" t="s">
        <v>201</v>
      </c>
      <c r="O207" t="s">
        <v>171</v>
      </c>
      <c r="P207">
        <v>6.2118085003727841E-3</v>
      </c>
      <c r="Q207" t="s">
        <v>161</v>
      </c>
      <c r="S207" t="s">
        <v>223</v>
      </c>
      <c r="T207" t="s">
        <v>171</v>
      </c>
      <c r="U207">
        <v>6.5014174327406521E-3</v>
      </c>
      <c r="V207" t="s">
        <v>161</v>
      </c>
    </row>
    <row r="208" spans="9:22" x14ac:dyDescent="0.45">
      <c r="I208" t="s">
        <v>178</v>
      </c>
      <c r="J208" t="s">
        <v>172</v>
      </c>
      <c r="K208">
        <v>6.9083916823982627E-2</v>
      </c>
      <c r="L208" t="s">
        <v>161</v>
      </c>
      <c r="N208" t="s">
        <v>201</v>
      </c>
      <c r="O208" t="s">
        <v>172</v>
      </c>
      <c r="P208">
        <v>4.136963968341166E-2</v>
      </c>
      <c r="Q208" t="s">
        <v>161</v>
      </c>
      <c r="S208" t="s">
        <v>223</v>
      </c>
      <c r="T208" t="s">
        <v>172</v>
      </c>
      <c r="U208">
        <v>4.4235356367090355E-2</v>
      </c>
      <c r="V208" t="s">
        <v>161</v>
      </c>
    </row>
    <row r="209" spans="9:22" x14ac:dyDescent="0.45">
      <c r="I209" t="s">
        <v>178</v>
      </c>
      <c r="J209" t="s">
        <v>248</v>
      </c>
      <c r="K209">
        <v>7.488991000700539E-3</v>
      </c>
      <c r="L209" t="s">
        <v>161</v>
      </c>
      <c r="N209" t="s">
        <v>201</v>
      </c>
      <c r="O209" t="s">
        <v>248</v>
      </c>
      <c r="P209">
        <v>6.066434023641638E-3</v>
      </c>
      <c r="Q209" t="s">
        <v>161</v>
      </c>
      <c r="S209" t="s">
        <v>223</v>
      </c>
      <c r="T209" t="s">
        <v>248</v>
      </c>
      <c r="U209">
        <v>6.5404689087397369E-3</v>
      </c>
      <c r="V209" t="s">
        <v>161</v>
      </c>
    </row>
    <row r="210" spans="9:22" x14ac:dyDescent="0.45">
      <c r="I210" t="s">
        <v>178</v>
      </c>
      <c r="J210" t="s">
        <v>249</v>
      </c>
      <c r="K210">
        <v>5.6844923568564925E-3</v>
      </c>
      <c r="L210" t="s">
        <v>161</v>
      </c>
      <c r="N210" t="s">
        <v>201</v>
      </c>
      <c r="O210" t="s">
        <v>249</v>
      </c>
      <c r="P210">
        <v>4.922132882918924E-2</v>
      </c>
      <c r="Q210" t="s">
        <v>161</v>
      </c>
      <c r="S210" t="s">
        <v>223</v>
      </c>
      <c r="T210" t="s">
        <v>249</v>
      </c>
      <c r="U210">
        <v>4.6797296889237318E-2</v>
      </c>
      <c r="V210" t="s">
        <v>161</v>
      </c>
    </row>
    <row r="211" spans="9:22" x14ac:dyDescent="0.45">
      <c r="I211" t="s">
        <v>178</v>
      </c>
      <c r="J211" t="s">
        <v>250</v>
      </c>
      <c r="K211">
        <v>0</v>
      </c>
      <c r="L211" t="s">
        <v>161</v>
      </c>
      <c r="N211" t="s">
        <v>201</v>
      </c>
      <c r="O211" t="s">
        <v>250</v>
      </c>
      <c r="P211">
        <v>6.9240175671556409E-2</v>
      </c>
      <c r="Q211" t="s">
        <v>161</v>
      </c>
      <c r="S211" t="s">
        <v>223</v>
      </c>
      <c r="T211" t="s">
        <v>250</v>
      </c>
      <c r="U211">
        <v>7.0699943722588088E-2</v>
      </c>
      <c r="V211" t="s">
        <v>161</v>
      </c>
    </row>
    <row r="212" spans="9:22" x14ac:dyDescent="0.45">
      <c r="I212" t="s">
        <v>178</v>
      </c>
      <c r="J212" t="s">
        <v>251</v>
      </c>
      <c r="K212">
        <v>3.1680723223876283E-5</v>
      </c>
      <c r="L212" t="s">
        <v>161</v>
      </c>
      <c r="N212" t="s">
        <v>201</v>
      </c>
      <c r="O212" t="s">
        <v>251</v>
      </c>
      <c r="P212">
        <v>8.5010931431889446E-3</v>
      </c>
      <c r="Q212" t="s">
        <v>161</v>
      </c>
      <c r="S212" t="s">
        <v>223</v>
      </c>
      <c r="T212" t="s">
        <v>251</v>
      </c>
      <c r="U212">
        <v>9.4026743362593118E-3</v>
      </c>
      <c r="V212" t="s">
        <v>161</v>
      </c>
    </row>
    <row r="213" spans="9:22" x14ac:dyDescent="0.45">
      <c r="I213" t="s">
        <v>178</v>
      </c>
      <c r="J213" t="s">
        <v>252</v>
      </c>
      <c r="K213">
        <v>3.2673028683915112E-2</v>
      </c>
      <c r="L213" t="s">
        <v>161</v>
      </c>
      <c r="N213" t="s">
        <v>201</v>
      </c>
      <c r="O213" t="s">
        <v>252</v>
      </c>
      <c r="P213">
        <v>5.2734643868439984E-2</v>
      </c>
      <c r="Q213" t="s">
        <v>161</v>
      </c>
      <c r="S213" t="s">
        <v>223</v>
      </c>
      <c r="T213" t="s">
        <v>252</v>
      </c>
      <c r="U213">
        <v>5.7328546622211152E-2</v>
      </c>
      <c r="V213" t="s">
        <v>161</v>
      </c>
    </row>
    <row r="214" spans="9:22" x14ac:dyDescent="0.45">
      <c r="I214" t="s">
        <v>178</v>
      </c>
      <c r="J214" t="s">
        <v>253</v>
      </c>
      <c r="K214">
        <v>2.7436107815014044E-3</v>
      </c>
      <c r="L214" t="s">
        <v>161</v>
      </c>
      <c r="N214" t="s">
        <v>201</v>
      </c>
      <c r="O214" t="s">
        <v>253</v>
      </c>
      <c r="P214">
        <v>7.5254590024358787E-3</v>
      </c>
      <c r="Q214" t="s">
        <v>161</v>
      </c>
      <c r="S214" t="s">
        <v>223</v>
      </c>
      <c r="T214" t="s">
        <v>253</v>
      </c>
      <c r="U214">
        <v>8.2441218739209027E-3</v>
      </c>
      <c r="V214" t="s">
        <v>161</v>
      </c>
    </row>
    <row r="215" spans="9:22" x14ac:dyDescent="0.45">
      <c r="I215" t="s">
        <v>178</v>
      </c>
      <c r="J215" t="s">
        <v>254</v>
      </c>
      <c r="K215">
        <v>0</v>
      </c>
      <c r="L215" t="s">
        <v>161</v>
      </c>
      <c r="N215" t="s">
        <v>201</v>
      </c>
      <c r="O215" t="s">
        <v>254</v>
      </c>
      <c r="P215">
        <v>5.7841772094375909E-2</v>
      </c>
      <c r="Q215" t="s">
        <v>161</v>
      </c>
      <c r="S215" t="s">
        <v>223</v>
      </c>
      <c r="T215" t="s">
        <v>254</v>
      </c>
      <c r="U215">
        <v>5.7033710518094083E-2</v>
      </c>
      <c r="V215" t="s">
        <v>161</v>
      </c>
    </row>
    <row r="216" spans="9:22" x14ac:dyDescent="0.45">
      <c r="I216" t="s">
        <v>178</v>
      </c>
      <c r="J216" t="s">
        <v>255</v>
      </c>
      <c r="K216">
        <v>0</v>
      </c>
      <c r="L216" t="s">
        <v>161</v>
      </c>
      <c r="N216" t="s">
        <v>201</v>
      </c>
      <c r="O216" t="s">
        <v>255</v>
      </c>
      <c r="P216">
        <v>8.035160138391834E-3</v>
      </c>
      <c r="Q216" t="s">
        <v>161</v>
      </c>
      <c r="S216" t="s">
        <v>223</v>
      </c>
      <c r="T216" t="s">
        <v>255</v>
      </c>
      <c r="U216">
        <v>6.6500046835802698E-3</v>
      </c>
      <c r="V216" t="s">
        <v>161</v>
      </c>
    </row>
    <row r="217" spans="9:22" x14ac:dyDescent="0.45">
      <c r="I217" t="s">
        <v>178</v>
      </c>
      <c r="J217" t="s">
        <v>256</v>
      </c>
      <c r="K217">
        <v>0</v>
      </c>
      <c r="L217" t="s">
        <v>161</v>
      </c>
      <c r="N217" t="s">
        <v>201</v>
      </c>
      <c r="O217" t="s">
        <v>256</v>
      </c>
      <c r="P217">
        <v>1.0415529957141087E-3</v>
      </c>
      <c r="Q217" t="s">
        <v>161</v>
      </c>
      <c r="S217" t="s">
        <v>223</v>
      </c>
      <c r="T217" t="s">
        <v>256</v>
      </c>
      <c r="U217">
        <v>1.0108052618464499E-3</v>
      </c>
      <c r="V217" t="s">
        <v>161</v>
      </c>
    </row>
    <row r="218" spans="9:22" x14ac:dyDescent="0.45">
      <c r="I218" t="s">
        <v>178</v>
      </c>
      <c r="J218" t="s">
        <v>257</v>
      </c>
      <c r="K218">
        <v>4.1148439064803682E-3</v>
      </c>
      <c r="L218" t="s">
        <v>161</v>
      </c>
      <c r="N218" t="s">
        <v>201</v>
      </c>
      <c r="O218" t="s">
        <v>257</v>
      </c>
      <c r="P218">
        <v>8.0933370906724495E-3</v>
      </c>
      <c r="Q218" t="s">
        <v>161</v>
      </c>
      <c r="S218" t="s">
        <v>223</v>
      </c>
      <c r="T218" t="s">
        <v>257</v>
      </c>
      <c r="U218">
        <v>8.2167333980162557E-3</v>
      </c>
      <c r="V218" t="s">
        <v>161</v>
      </c>
    </row>
    <row r="219" spans="9:22" x14ac:dyDescent="0.45">
      <c r="I219" t="s">
        <v>178</v>
      </c>
      <c r="J219" t="s">
        <v>258</v>
      </c>
      <c r="K219">
        <v>3.6678222378211812E-4</v>
      </c>
      <c r="L219" t="s">
        <v>161</v>
      </c>
      <c r="N219" t="s">
        <v>201</v>
      </c>
      <c r="O219" t="s">
        <v>258</v>
      </c>
      <c r="P219">
        <v>1.2204039217171665E-3</v>
      </c>
      <c r="Q219" t="s">
        <v>161</v>
      </c>
      <c r="S219" t="s">
        <v>223</v>
      </c>
      <c r="T219" t="s">
        <v>258</v>
      </c>
      <c r="U219">
        <v>1.3779820516964458E-3</v>
      </c>
      <c r="V219" t="s">
        <v>161</v>
      </c>
    </row>
    <row r="220" spans="9:22" x14ac:dyDescent="0.45">
      <c r="I220" t="s">
        <v>178</v>
      </c>
      <c r="J220" t="s">
        <v>259</v>
      </c>
      <c r="K220">
        <v>0</v>
      </c>
      <c r="L220" t="s">
        <v>161</v>
      </c>
      <c r="N220" t="s">
        <v>201</v>
      </c>
      <c r="O220" t="s">
        <v>259</v>
      </c>
      <c r="P220">
        <v>8.6538713126791331E-3</v>
      </c>
      <c r="Q220" t="s">
        <v>161</v>
      </c>
      <c r="S220" t="s">
        <v>223</v>
      </c>
      <c r="T220" t="s">
        <v>259</v>
      </c>
      <c r="U220">
        <v>9.3078641492243229E-3</v>
      </c>
      <c r="V220" t="s">
        <v>161</v>
      </c>
    </row>
    <row r="221" spans="9:22" x14ac:dyDescent="0.45">
      <c r="I221" t="s">
        <v>179</v>
      </c>
      <c r="J221" t="s">
        <v>160</v>
      </c>
      <c r="K221">
        <v>7.3932386305469696E-3</v>
      </c>
      <c r="L221" t="s">
        <v>161</v>
      </c>
      <c r="N221" t="s">
        <v>202</v>
      </c>
      <c r="O221" t="s">
        <v>160</v>
      </c>
      <c r="P221">
        <v>0.11542672773409597</v>
      </c>
      <c r="Q221" t="s">
        <v>161</v>
      </c>
      <c r="S221" t="s">
        <v>224</v>
      </c>
      <c r="T221" t="s">
        <v>160</v>
      </c>
      <c r="U221">
        <v>0.11526279010567994</v>
      </c>
      <c r="V221" t="s">
        <v>161</v>
      </c>
    </row>
    <row r="222" spans="9:22" x14ac:dyDescent="0.45">
      <c r="I222" t="s">
        <v>179</v>
      </c>
      <c r="J222" t="s">
        <v>162</v>
      </c>
      <c r="K222">
        <v>1.3083805572317799E-2</v>
      </c>
      <c r="L222" t="s">
        <v>161</v>
      </c>
      <c r="N222" t="s">
        <v>202</v>
      </c>
      <c r="O222" t="s">
        <v>162</v>
      </c>
      <c r="P222">
        <v>1.3967945546190297E-2</v>
      </c>
      <c r="Q222" t="s">
        <v>161</v>
      </c>
      <c r="S222" t="s">
        <v>224</v>
      </c>
      <c r="T222" t="s">
        <v>162</v>
      </c>
      <c r="U222">
        <v>1.4426674334360007E-2</v>
      </c>
      <c r="V222" t="s">
        <v>161</v>
      </c>
    </row>
    <row r="223" spans="9:22" x14ac:dyDescent="0.45">
      <c r="I223" t="s">
        <v>179</v>
      </c>
      <c r="J223" t="s">
        <v>163</v>
      </c>
      <c r="K223">
        <v>0.17766802053404029</v>
      </c>
      <c r="L223" t="s">
        <v>161</v>
      </c>
      <c r="N223" t="s">
        <v>202</v>
      </c>
      <c r="O223" t="s">
        <v>163</v>
      </c>
      <c r="P223">
        <v>8.7974170261693768E-2</v>
      </c>
      <c r="Q223" t="s">
        <v>161</v>
      </c>
      <c r="S223" t="s">
        <v>224</v>
      </c>
      <c r="T223" t="s">
        <v>163</v>
      </c>
      <c r="U223">
        <v>9.7341893667310289E-2</v>
      </c>
      <c r="V223" t="s">
        <v>161</v>
      </c>
    </row>
    <row r="224" spans="9:22" x14ac:dyDescent="0.45">
      <c r="I224" t="s">
        <v>179</v>
      </c>
      <c r="J224" t="s">
        <v>242</v>
      </c>
      <c r="K224">
        <v>2.0160078987901581E-2</v>
      </c>
      <c r="L224" t="s">
        <v>161</v>
      </c>
      <c r="N224" t="s">
        <v>202</v>
      </c>
      <c r="O224" t="s">
        <v>242</v>
      </c>
      <c r="P224">
        <v>1.3376255017742715E-2</v>
      </c>
      <c r="Q224" t="s">
        <v>161</v>
      </c>
      <c r="S224" t="s">
        <v>224</v>
      </c>
      <c r="T224" t="s">
        <v>242</v>
      </c>
      <c r="U224">
        <v>1.4210043934201777E-2</v>
      </c>
      <c r="V224" t="s">
        <v>161</v>
      </c>
    </row>
    <row r="225" spans="9:22" x14ac:dyDescent="0.45">
      <c r="I225" t="s">
        <v>179</v>
      </c>
      <c r="J225" t="s">
        <v>243</v>
      </c>
      <c r="K225">
        <v>2.2779828918793606E-2</v>
      </c>
      <c r="L225" t="s">
        <v>161</v>
      </c>
      <c r="N225" t="s">
        <v>202</v>
      </c>
      <c r="O225" t="s">
        <v>243</v>
      </c>
      <c r="P225">
        <v>0.10066217443126359</v>
      </c>
      <c r="Q225" t="s">
        <v>161</v>
      </c>
      <c r="S225" t="s">
        <v>224</v>
      </c>
      <c r="T225" t="s">
        <v>243</v>
      </c>
      <c r="U225">
        <v>0.10290816083529616</v>
      </c>
      <c r="V225" t="s">
        <v>161</v>
      </c>
    </row>
    <row r="226" spans="9:22" x14ac:dyDescent="0.45">
      <c r="I226" t="s">
        <v>179</v>
      </c>
      <c r="J226" t="s">
        <v>164</v>
      </c>
      <c r="K226">
        <v>4.4457276198269322E-2</v>
      </c>
      <c r="L226" t="s">
        <v>161</v>
      </c>
      <c r="N226" t="s">
        <v>202</v>
      </c>
      <c r="O226" t="s">
        <v>164</v>
      </c>
      <c r="P226">
        <v>6.2073126462889011E-2</v>
      </c>
      <c r="Q226" t="s">
        <v>161</v>
      </c>
      <c r="S226" t="s">
        <v>224</v>
      </c>
      <c r="T226" t="s">
        <v>164</v>
      </c>
      <c r="U226">
        <v>6.3448611661217721E-2</v>
      </c>
      <c r="V226" t="s">
        <v>161</v>
      </c>
    </row>
    <row r="227" spans="9:22" x14ac:dyDescent="0.45">
      <c r="I227" t="s">
        <v>179</v>
      </c>
      <c r="J227" t="s">
        <v>165</v>
      </c>
      <c r="K227">
        <v>3.009248812477841E-2</v>
      </c>
      <c r="L227" t="s">
        <v>161</v>
      </c>
      <c r="N227" t="s">
        <v>202</v>
      </c>
      <c r="O227" t="s">
        <v>165</v>
      </c>
      <c r="P227">
        <v>7.3583001300508138E-3</v>
      </c>
      <c r="Q227" t="s">
        <v>161</v>
      </c>
      <c r="S227" t="s">
        <v>224</v>
      </c>
      <c r="T227" t="s">
        <v>165</v>
      </c>
      <c r="U227">
        <v>7.7173590164403118E-3</v>
      </c>
      <c r="V227" t="s">
        <v>161</v>
      </c>
    </row>
    <row r="228" spans="9:22" x14ac:dyDescent="0.45">
      <c r="I228" t="s">
        <v>179</v>
      </c>
      <c r="J228" t="s">
        <v>166</v>
      </c>
      <c r="K228">
        <v>0.27033916822513554</v>
      </c>
      <c r="L228" t="s">
        <v>161</v>
      </c>
      <c r="N228" t="s">
        <v>202</v>
      </c>
      <c r="O228" t="s">
        <v>166</v>
      </c>
      <c r="P228">
        <v>5.0373623999635346E-2</v>
      </c>
      <c r="Q228" t="s">
        <v>161</v>
      </c>
      <c r="S228" t="s">
        <v>224</v>
      </c>
      <c r="T228" t="s">
        <v>166</v>
      </c>
      <c r="U228">
        <v>4.9519732542394702E-2</v>
      </c>
      <c r="V228" t="s">
        <v>161</v>
      </c>
    </row>
    <row r="229" spans="9:22" x14ac:dyDescent="0.45">
      <c r="I229" t="s">
        <v>179</v>
      </c>
      <c r="J229" t="s">
        <v>244</v>
      </c>
      <c r="K229">
        <v>3.4326602019649599E-2</v>
      </c>
      <c r="L229" t="s">
        <v>161</v>
      </c>
      <c r="N229" t="s">
        <v>202</v>
      </c>
      <c r="O229" t="s">
        <v>244</v>
      </c>
      <c r="P229">
        <v>7.8599663592690029E-3</v>
      </c>
      <c r="Q229" t="s">
        <v>161</v>
      </c>
      <c r="S229" t="s">
        <v>224</v>
      </c>
      <c r="T229" t="s">
        <v>244</v>
      </c>
      <c r="U229">
        <v>7.2735631852614193E-3</v>
      </c>
      <c r="V229" t="s">
        <v>161</v>
      </c>
    </row>
    <row r="230" spans="9:22" x14ac:dyDescent="0.45">
      <c r="I230" t="s">
        <v>179</v>
      </c>
      <c r="J230" t="s">
        <v>245</v>
      </c>
      <c r="K230">
        <v>7.2699964835515649E-2</v>
      </c>
      <c r="L230" t="s">
        <v>161</v>
      </c>
      <c r="N230" t="s">
        <v>202</v>
      </c>
      <c r="O230" t="s">
        <v>245</v>
      </c>
      <c r="P230">
        <v>5.6895880673136209E-2</v>
      </c>
      <c r="Q230" t="s">
        <v>161</v>
      </c>
      <c r="S230" t="s">
        <v>224</v>
      </c>
      <c r="T230" t="s">
        <v>245</v>
      </c>
      <c r="U230">
        <v>5.5524959489649514E-2</v>
      </c>
      <c r="V230" t="s">
        <v>161</v>
      </c>
    </row>
    <row r="231" spans="9:22" x14ac:dyDescent="0.45">
      <c r="I231" t="s">
        <v>179</v>
      </c>
      <c r="J231" t="s">
        <v>167</v>
      </c>
      <c r="K231">
        <v>1.2499275283923075E-2</v>
      </c>
      <c r="L231" t="s">
        <v>161</v>
      </c>
      <c r="N231" t="s">
        <v>202</v>
      </c>
      <c r="O231" t="s">
        <v>167</v>
      </c>
      <c r="P231">
        <v>3.2544696389661336E-2</v>
      </c>
      <c r="Q231" t="s">
        <v>161</v>
      </c>
      <c r="S231" t="s">
        <v>224</v>
      </c>
      <c r="T231" t="s">
        <v>167</v>
      </c>
      <c r="U231">
        <v>3.5792481264054557E-2</v>
      </c>
      <c r="V231" t="s">
        <v>161</v>
      </c>
    </row>
    <row r="232" spans="9:22" x14ac:dyDescent="0.45">
      <c r="I232" t="s">
        <v>179</v>
      </c>
      <c r="J232" t="s">
        <v>168</v>
      </c>
      <c r="K232">
        <v>1.2765826595796774E-2</v>
      </c>
      <c r="L232" t="s">
        <v>161</v>
      </c>
      <c r="N232" t="s">
        <v>202</v>
      </c>
      <c r="O232" t="s">
        <v>168</v>
      </c>
      <c r="P232">
        <v>3.6720407982809588E-3</v>
      </c>
      <c r="Q232" t="s">
        <v>161</v>
      </c>
      <c r="S232" t="s">
        <v>224</v>
      </c>
      <c r="T232" t="s">
        <v>168</v>
      </c>
      <c r="U232">
        <v>4.1280988396300089E-3</v>
      </c>
      <c r="V232" t="s">
        <v>161</v>
      </c>
    </row>
    <row r="233" spans="9:22" x14ac:dyDescent="0.45">
      <c r="I233" t="s">
        <v>179</v>
      </c>
      <c r="J233" t="s">
        <v>169</v>
      </c>
      <c r="K233">
        <v>0.1184392438136142</v>
      </c>
      <c r="L233" t="s">
        <v>161</v>
      </c>
      <c r="N233" t="s">
        <v>202</v>
      </c>
      <c r="O233" t="s">
        <v>169</v>
      </c>
      <c r="P233">
        <v>2.4712555920759618E-2</v>
      </c>
      <c r="Q233" t="s">
        <v>161</v>
      </c>
      <c r="S233" t="s">
        <v>224</v>
      </c>
      <c r="T233" t="s">
        <v>169</v>
      </c>
      <c r="U233">
        <v>3.0594652765056237E-2</v>
      </c>
      <c r="V233" t="s">
        <v>161</v>
      </c>
    </row>
    <row r="234" spans="9:22" x14ac:dyDescent="0.45">
      <c r="I234" t="s">
        <v>179</v>
      </c>
      <c r="J234" t="s">
        <v>246</v>
      </c>
      <c r="K234">
        <v>1.3998763187365759E-2</v>
      </c>
      <c r="L234" t="s">
        <v>161</v>
      </c>
      <c r="N234" t="s">
        <v>202</v>
      </c>
      <c r="O234" t="s">
        <v>246</v>
      </c>
      <c r="P234">
        <v>3.5872891786906582E-3</v>
      </c>
      <c r="Q234" t="s">
        <v>161</v>
      </c>
      <c r="S234" t="s">
        <v>224</v>
      </c>
      <c r="T234" t="s">
        <v>246</v>
      </c>
      <c r="U234">
        <v>4.6521336575759591E-3</v>
      </c>
      <c r="V234" t="s">
        <v>161</v>
      </c>
    </row>
    <row r="235" spans="9:22" x14ac:dyDescent="0.45">
      <c r="I235" t="s">
        <v>179</v>
      </c>
      <c r="J235" t="s">
        <v>247</v>
      </c>
      <c r="K235">
        <v>2.3335673025255601E-2</v>
      </c>
      <c r="L235" t="s">
        <v>161</v>
      </c>
      <c r="N235" t="s">
        <v>202</v>
      </c>
      <c r="O235" t="s">
        <v>247</v>
      </c>
      <c r="P235">
        <v>2.5784619419150119E-2</v>
      </c>
      <c r="Q235" t="s">
        <v>161</v>
      </c>
      <c r="S235" t="s">
        <v>224</v>
      </c>
      <c r="T235" t="s">
        <v>247</v>
      </c>
      <c r="U235">
        <v>3.4257588745947316E-2</v>
      </c>
      <c r="V235" t="s">
        <v>161</v>
      </c>
    </row>
    <row r="236" spans="9:22" x14ac:dyDescent="0.45">
      <c r="I236" t="s">
        <v>179</v>
      </c>
      <c r="J236" t="s">
        <v>170</v>
      </c>
      <c r="K236">
        <v>1.7916409348791987E-3</v>
      </c>
      <c r="L236" t="s">
        <v>161</v>
      </c>
      <c r="N236" t="s">
        <v>202</v>
      </c>
      <c r="O236" t="s">
        <v>170</v>
      </c>
      <c r="P236">
        <v>5.4913509570803876E-2</v>
      </c>
      <c r="Q236" t="s">
        <v>161</v>
      </c>
      <c r="S236" t="s">
        <v>224</v>
      </c>
      <c r="T236" t="s">
        <v>170</v>
      </c>
      <c r="U236">
        <v>4.7300136317102101E-2</v>
      </c>
      <c r="V236" t="s">
        <v>161</v>
      </c>
    </row>
    <row r="237" spans="9:22" x14ac:dyDescent="0.45">
      <c r="I237" t="s">
        <v>179</v>
      </c>
      <c r="J237" t="s">
        <v>171</v>
      </c>
      <c r="K237">
        <v>4.4599028612877772E-3</v>
      </c>
      <c r="L237" t="s">
        <v>161</v>
      </c>
      <c r="N237" t="s">
        <v>202</v>
      </c>
      <c r="O237" t="s">
        <v>171</v>
      </c>
      <c r="P237">
        <v>6.789684759871694E-3</v>
      </c>
      <c r="Q237" t="s">
        <v>161</v>
      </c>
      <c r="S237" t="s">
        <v>224</v>
      </c>
      <c r="T237" t="s">
        <v>171</v>
      </c>
      <c r="U237">
        <v>6.1180822058338963E-3</v>
      </c>
      <c r="V237" t="s">
        <v>161</v>
      </c>
    </row>
    <row r="238" spans="9:22" x14ac:dyDescent="0.45">
      <c r="I238" t="s">
        <v>179</v>
      </c>
      <c r="J238" t="s">
        <v>172</v>
      </c>
      <c r="K238">
        <v>6.9939309618576057E-2</v>
      </c>
      <c r="L238" t="s">
        <v>161</v>
      </c>
      <c r="N238" t="s">
        <v>202</v>
      </c>
      <c r="O238" t="s">
        <v>172</v>
      </c>
      <c r="P238">
        <v>4.1624424768326604E-2</v>
      </c>
      <c r="Q238" t="s">
        <v>161</v>
      </c>
      <c r="S238" t="s">
        <v>224</v>
      </c>
      <c r="T238" t="s">
        <v>172</v>
      </c>
      <c r="U238">
        <v>4.1011972007128382E-2</v>
      </c>
      <c r="V238" t="s">
        <v>161</v>
      </c>
    </row>
    <row r="239" spans="9:22" x14ac:dyDescent="0.45">
      <c r="I239" t="s">
        <v>179</v>
      </c>
      <c r="J239" t="s">
        <v>248</v>
      </c>
      <c r="K239">
        <v>7.1893038681224266E-3</v>
      </c>
      <c r="L239" t="s">
        <v>161</v>
      </c>
      <c r="N239" t="s">
        <v>202</v>
      </c>
      <c r="O239" t="s">
        <v>248</v>
      </c>
      <c r="P239">
        <v>6.1372818239645568E-3</v>
      </c>
      <c r="Q239" t="s">
        <v>161</v>
      </c>
      <c r="S239" t="s">
        <v>224</v>
      </c>
      <c r="T239" t="s">
        <v>248</v>
      </c>
      <c r="U239">
        <v>5.9796392552988282E-3</v>
      </c>
      <c r="V239" t="s">
        <v>161</v>
      </c>
    </row>
    <row r="240" spans="9:22" x14ac:dyDescent="0.45">
      <c r="I240" t="s">
        <v>179</v>
      </c>
      <c r="J240" t="s">
        <v>249</v>
      </c>
      <c r="K240">
        <v>4.8338773649695497E-3</v>
      </c>
      <c r="L240" t="s">
        <v>161</v>
      </c>
      <c r="N240" t="s">
        <v>202</v>
      </c>
      <c r="O240" t="s">
        <v>249</v>
      </c>
      <c r="P240">
        <v>5.0464195657505991E-2</v>
      </c>
      <c r="Q240" t="s">
        <v>161</v>
      </c>
      <c r="S240" t="s">
        <v>224</v>
      </c>
      <c r="T240" t="s">
        <v>249</v>
      </c>
      <c r="U240">
        <v>4.3930893300696432E-2</v>
      </c>
      <c r="V240" t="s">
        <v>161</v>
      </c>
    </row>
    <row r="241" spans="9:22" x14ac:dyDescent="0.45">
      <c r="I241" t="s">
        <v>179</v>
      </c>
      <c r="J241" t="s">
        <v>250</v>
      </c>
      <c r="K241">
        <v>0</v>
      </c>
      <c r="L241" t="s">
        <v>161</v>
      </c>
      <c r="N241" t="s">
        <v>202</v>
      </c>
      <c r="O241" t="s">
        <v>250</v>
      </c>
      <c r="P241">
        <v>7.1418831261764126E-2</v>
      </c>
      <c r="Q241" t="s">
        <v>161</v>
      </c>
      <c r="S241" t="s">
        <v>224</v>
      </c>
      <c r="T241" t="s">
        <v>250</v>
      </c>
      <c r="U241">
        <v>6.6324932325204519E-2</v>
      </c>
      <c r="V241" t="s">
        <v>161</v>
      </c>
    </row>
    <row r="242" spans="9:22" x14ac:dyDescent="0.45">
      <c r="I242" t="s">
        <v>179</v>
      </c>
      <c r="J242" t="s">
        <v>251</v>
      </c>
      <c r="K242">
        <v>8.8044303403390193E-5</v>
      </c>
      <c r="L242" t="s">
        <v>161</v>
      </c>
      <c r="N242" t="s">
        <v>202</v>
      </c>
      <c r="O242" t="s">
        <v>251</v>
      </c>
      <c r="P242">
        <v>8.4002875848000931E-3</v>
      </c>
      <c r="Q242" t="s">
        <v>161</v>
      </c>
      <c r="S242" t="s">
        <v>224</v>
      </c>
      <c r="T242" t="s">
        <v>251</v>
      </c>
      <c r="U242">
        <v>8.5724377375355851E-3</v>
      </c>
      <c r="V242" t="s">
        <v>161</v>
      </c>
    </row>
    <row r="243" spans="9:22" x14ac:dyDescent="0.45">
      <c r="I243" t="s">
        <v>179</v>
      </c>
      <c r="J243" t="s">
        <v>252</v>
      </c>
      <c r="K243">
        <v>3.2185890754892817E-2</v>
      </c>
      <c r="L243" t="s">
        <v>161</v>
      </c>
      <c r="N243" t="s">
        <v>202</v>
      </c>
      <c r="O243" t="s">
        <v>252</v>
      </c>
      <c r="P243">
        <v>5.3525202267824742E-2</v>
      </c>
      <c r="Q243" t="s">
        <v>161</v>
      </c>
      <c r="S243" t="s">
        <v>224</v>
      </c>
      <c r="T243" t="s">
        <v>252</v>
      </c>
      <c r="U243">
        <v>5.7301846951159793E-2</v>
      </c>
      <c r="V243" t="s">
        <v>161</v>
      </c>
    </row>
    <row r="244" spans="9:22" x14ac:dyDescent="0.45">
      <c r="I244" t="s">
        <v>179</v>
      </c>
      <c r="J244" t="s">
        <v>253</v>
      </c>
      <c r="K244">
        <v>2.0300400180051259E-3</v>
      </c>
      <c r="L244" t="s">
        <v>161</v>
      </c>
      <c r="N244" t="s">
        <v>202</v>
      </c>
      <c r="O244" t="s">
        <v>253</v>
      </c>
      <c r="P244">
        <v>8.4007665965861074E-3</v>
      </c>
      <c r="Q244" t="s">
        <v>161</v>
      </c>
      <c r="S244" t="s">
        <v>224</v>
      </c>
      <c r="T244" t="s">
        <v>253</v>
      </c>
      <c r="U244">
        <v>7.8656348508967851E-3</v>
      </c>
      <c r="V244" t="s">
        <v>161</v>
      </c>
    </row>
    <row r="245" spans="9:22" x14ac:dyDescent="0.45">
      <c r="I245" t="s">
        <v>179</v>
      </c>
      <c r="J245" t="s">
        <v>254</v>
      </c>
      <c r="K245">
        <v>0</v>
      </c>
      <c r="L245" t="s">
        <v>161</v>
      </c>
      <c r="N245" t="s">
        <v>202</v>
      </c>
      <c r="O245" t="s">
        <v>254</v>
      </c>
      <c r="P245">
        <v>6.3382616303600384E-2</v>
      </c>
      <c r="Q245" t="s">
        <v>161</v>
      </c>
      <c r="S245" t="s">
        <v>224</v>
      </c>
      <c r="T245" t="s">
        <v>254</v>
      </c>
      <c r="U245">
        <v>5.4852525937347872E-2</v>
      </c>
      <c r="V245" t="s">
        <v>161</v>
      </c>
    </row>
    <row r="246" spans="9:22" x14ac:dyDescent="0.45">
      <c r="I246" t="s">
        <v>179</v>
      </c>
      <c r="J246" t="s">
        <v>255</v>
      </c>
      <c r="K246">
        <v>0</v>
      </c>
      <c r="L246" t="s">
        <v>161</v>
      </c>
      <c r="N246" t="s">
        <v>202</v>
      </c>
      <c r="O246" t="s">
        <v>255</v>
      </c>
      <c r="P246">
        <v>9.6324268562207986E-3</v>
      </c>
      <c r="Q246" t="s">
        <v>161</v>
      </c>
      <c r="S246" t="s">
        <v>224</v>
      </c>
      <c r="T246" t="s">
        <v>255</v>
      </c>
      <c r="U246">
        <v>6.6244278258581531E-3</v>
      </c>
      <c r="V246" t="s">
        <v>161</v>
      </c>
    </row>
    <row r="247" spans="9:22" x14ac:dyDescent="0.45">
      <c r="I247" t="s">
        <v>179</v>
      </c>
      <c r="J247" t="s">
        <v>256</v>
      </c>
      <c r="K247">
        <v>0</v>
      </c>
      <c r="L247" t="s">
        <v>161</v>
      </c>
      <c r="N247" t="s">
        <v>202</v>
      </c>
      <c r="O247" t="s">
        <v>256</v>
      </c>
      <c r="P247">
        <v>1.3075007102824711E-3</v>
      </c>
      <c r="Q247" t="s">
        <v>161</v>
      </c>
      <c r="S247" t="s">
        <v>224</v>
      </c>
      <c r="T247" t="s">
        <v>256</v>
      </c>
      <c r="U247">
        <v>8.3935936801812219E-4</v>
      </c>
      <c r="V247" t="s">
        <v>161</v>
      </c>
    </row>
    <row r="248" spans="9:22" x14ac:dyDescent="0.45">
      <c r="I248" t="s">
        <v>179</v>
      </c>
      <c r="J248" t="s">
        <v>257</v>
      </c>
      <c r="K248">
        <v>3.1514726952607147E-3</v>
      </c>
      <c r="L248" t="s">
        <v>161</v>
      </c>
      <c r="N248" t="s">
        <v>202</v>
      </c>
      <c r="O248" t="s">
        <v>257</v>
      </c>
      <c r="P248">
        <v>7.9957941922306972E-3</v>
      </c>
      <c r="Q248" t="s">
        <v>161</v>
      </c>
      <c r="S248" t="s">
        <v>224</v>
      </c>
      <c r="T248" t="s">
        <v>257</v>
      </c>
      <c r="U248">
        <v>6.8420138056858159E-3</v>
      </c>
      <c r="V248" t="s">
        <v>161</v>
      </c>
    </row>
    <row r="249" spans="9:22" x14ac:dyDescent="0.45">
      <c r="I249" t="s">
        <v>179</v>
      </c>
      <c r="J249" t="s">
        <v>258</v>
      </c>
      <c r="K249">
        <v>2.9126362769765161E-4</v>
      </c>
      <c r="L249" t="s">
        <v>161</v>
      </c>
      <c r="N249" t="s">
        <v>202</v>
      </c>
      <c r="O249" t="s">
        <v>258</v>
      </c>
      <c r="P249">
        <v>1.1519654041183022E-3</v>
      </c>
      <c r="Q249" t="s">
        <v>161</v>
      </c>
      <c r="S249" t="s">
        <v>224</v>
      </c>
      <c r="T249" t="s">
        <v>258</v>
      </c>
      <c r="U249">
        <v>1.1694323557915848E-3</v>
      </c>
      <c r="V249" t="s">
        <v>161</v>
      </c>
    </row>
    <row r="250" spans="9:22" x14ac:dyDescent="0.45">
      <c r="I250" t="s">
        <v>179</v>
      </c>
      <c r="J250" t="s">
        <v>259</v>
      </c>
      <c r="K250">
        <v>0</v>
      </c>
      <c r="L250" t="s">
        <v>161</v>
      </c>
      <c r="N250" t="s">
        <v>202</v>
      </c>
      <c r="O250" t="s">
        <v>259</v>
      </c>
      <c r="P250">
        <v>8.5861399195887363E-3</v>
      </c>
      <c r="Q250" t="s">
        <v>161</v>
      </c>
      <c r="S250" t="s">
        <v>224</v>
      </c>
      <c r="T250" t="s">
        <v>259</v>
      </c>
      <c r="U250">
        <v>8.2079217123681974E-3</v>
      </c>
      <c r="V250" t="s">
        <v>161</v>
      </c>
    </row>
    <row r="251" spans="9:22" x14ac:dyDescent="0.45">
      <c r="I251" t="s">
        <v>180</v>
      </c>
      <c r="J251" t="s">
        <v>160</v>
      </c>
      <c r="K251">
        <v>6.5949887284057779E-3</v>
      </c>
      <c r="L251" t="s">
        <v>161</v>
      </c>
      <c r="N251" t="s">
        <v>203</v>
      </c>
      <c r="O251" t="s">
        <v>160</v>
      </c>
      <c r="P251">
        <v>0.11368876606228964</v>
      </c>
      <c r="Q251" t="s">
        <v>161</v>
      </c>
      <c r="S251" t="s">
        <v>225</v>
      </c>
      <c r="T251" t="s">
        <v>160</v>
      </c>
      <c r="U251">
        <v>0.1120295880774719</v>
      </c>
      <c r="V251" t="s">
        <v>161</v>
      </c>
    </row>
    <row r="252" spans="9:22" x14ac:dyDescent="0.45">
      <c r="I252" t="s">
        <v>180</v>
      </c>
      <c r="J252" t="s">
        <v>162</v>
      </c>
      <c r="K252">
        <v>1.1777681085116874E-2</v>
      </c>
      <c r="L252" t="s">
        <v>161</v>
      </c>
      <c r="N252" t="s">
        <v>203</v>
      </c>
      <c r="O252" t="s">
        <v>162</v>
      </c>
      <c r="P252">
        <v>1.3470349980704377E-2</v>
      </c>
      <c r="Q252" t="s">
        <v>161</v>
      </c>
      <c r="S252" t="s">
        <v>225</v>
      </c>
      <c r="T252" t="s">
        <v>162</v>
      </c>
      <c r="U252">
        <v>1.422585705046287E-2</v>
      </c>
      <c r="V252" t="s">
        <v>161</v>
      </c>
    </row>
    <row r="253" spans="9:22" x14ac:dyDescent="0.45">
      <c r="I253" t="s">
        <v>180</v>
      </c>
      <c r="J253" t="s">
        <v>163</v>
      </c>
      <c r="K253">
        <v>0.1761071271937116</v>
      </c>
      <c r="L253" t="s">
        <v>161</v>
      </c>
      <c r="N253" t="s">
        <v>203</v>
      </c>
      <c r="O253" t="s">
        <v>163</v>
      </c>
      <c r="P253">
        <v>9.2697157983399739E-2</v>
      </c>
      <c r="Q253" t="s">
        <v>161</v>
      </c>
      <c r="S253" t="s">
        <v>225</v>
      </c>
      <c r="T253" t="s">
        <v>163</v>
      </c>
      <c r="U253">
        <v>9.6279742690947967E-2</v>
      </c>
      <c r="V253" t="s">
        <v>161</v>
      </c>
    </row>
    <row r="254" spans="9:22" x14ac:dyDescent="0.45">
      <c r="I254" t="s">
        <v>180</v>
      </c>
      <c r="J254" t="s">
        <v>242</v>
      </c>
      <c r="K254">
        <v>2.1413144568639728E-2</v>
      </c>
      <c r="L254" t="s">
        <v>161</v>
      </c>
      <c r="N254" t="s">
        <v>203</v>
      </c>
      <c r="O254" t="s">
        <v>242</v>
      </c>
      <c r="P254">
        <v>1.3317292584547511E-2</v>
      </c>
      <c r="Q254" t="s">
        <v>161</v>
      </c>
      <c r="S254" t="s">
        <v>225</v>
      </c>
      <c r="T254" t="s">
        <v>242</v>
      </c>
      <c r="U254">
        <v>1.3754600033063547E-2</v>
      </c>
      <c r="V254" t="s">
        <v>161</v>
      </c>
    </row>
    <row r="255" spans="9:22" x14ac:dyDescent="0.45">
      <c r="I255" t="s">
        <v>180</v>
      </c>
      <c r="J255" t="s">
        <v>243</v>
      </c>
      <c r="K255">
        <v>2.531111902448609E-2</v>
      </c>
      <c r="L255" t="s">
        <v>161</v>
      </c>
      <c r="N255" t="s">
        <v>203</v>
      </c>
      <c r="O255" t="s">
        <v>243</v>
      </c>
      <c r="P255">
        <v>0.1001079719313604</v>
      </c>
      <c r="Q255" t="s">
        <v>161</v>
      </c>
      <c r="S255" t="s">
        <v>225</v>
      </c>
      <c r="T255" t="s">
        <v>243</v>
      </c>
      <c r="U255">
        <v>9.9650728518186155E-2</v>
      </c>
      <c r="V255" t="s">
        <v>161</v>
      </c>
    </row>
    <row r="256" spans="9:22" x14ac:dyDescent="0.45">
      <c r="I256" t="s">
        <v>180</v>
      </c>
      <c r="J256" t="s">
        <v>164</v>
      </c>
      <c r="K256">
        <v>4.2316239700660521E-2</v>
      </c>
      <c r="L256" t="s">
        <v>161</v>
      </c>
      <c r="N256" t="s">
        <v>203</v>
      </c>
      <c r="O256" t="s">
        <v>164</v>
      </c>
      <c r="P256">
        <v>5.9682805009193152E-2</v>
      </c>
      <c r="Q256" t="s">
        <v>161</v>
      </c>
      <c r="S256" t="s">
        <v>225</v>
      </c>
      <c r="T256" t="s">
        <v>164</v>
      </c>
      <c r="U256">
        <v>6.5804261625036289E-2</v>
      </c>
      <c r="V256" t="s">
        <v>161</v>
      </c>
    </row>
    <row r="257" spans="9:22" x14ac:dyDescent="0.45">
      <c r="I257" t="s">
        <v>180</v>
      </c>
      <c r="J257" t="s">
        <v>165</v>
      </c>
      <c r="K257">
        <v>2.8542971075999964E-2</v>
      </c>
      <c r="L257" t="s">
        <v>161</v>
      </c>
      <c r="N257" t="s">
        <v>203</v>
      </c>
      <c r="O257" t="s">
        <v>165</v>
      </c>
      <c r="P257">
        <v>7.1631420226078088E-3</v>
      </c>
      <c r="Q257" t="s">
        <v>161</v>
      </c>
      <c r="S257" t="s">
        <v>225</v>
      </c>
      <c r="T257" t="s">
        <v>165</v>
      </c>
      <c r="U257">
        <v>7.6420187543346967E-3</v>
      </c>
      <c r="V257" t="s">
        <v>161</v>
      </c>
    </row>
    <row r="258" spans="9:22" x14ac:dyDescent="0.45">
      <c r="I258" t="s">
        <v>180</v>
      </c>
      <c r="J258" t="s">
        <v>166</v>
      </c>
      <c r="K258">
        <v>0.26686765880493951</v>
      </c>
      <c r="L258" t="s">
        <v>161</v>
      </c>
      <c r="N258" t="s">
        <v>203</v>
      </c>
      <c r="O258" t="s">
        <v>166</v>
      </c>
      <c r="P258">
        <v>5.3329697081351865E-2</v>
      </c>
      <c r="Q258" t="s">
        <v>161</v>
      </c>
      <c r="S258" t="s">
        <v>225</v>
      </c>
      <c r="T258" t="s">
        <v>166</v>
      </c>
      <c r="U258">
        <v>5.0392628833168973E-2</v>
      </c>
      <c r="V258" t="s">
        <v>161</v>
      </c>
    </row>
    <row r="259" spans="9:22" x14ac:dyDescent="0.45">
      <c r="I259" t="s">
        <v>180</v>
      </c>
      <c r="J259" t="s">
        <v>244</v>
      </c>
      <c r="K259">
        <v>3.5076080511339598E-2</v>
      </c>
      <c r="L259" t="s">
        <v>161</v>
      </c>
      <c r="N259" t="s">
        <v>203</v>
      </c>
      <c r="O259" t="s">
        <v>244</v>
      </c>
      <c r="P259">
        <v>7.755966810948158E-3</v>
      </c>
      <c r="Q259" t="s">
        <v>161</v>
      </c>
      <c r="S259" t="s">
        <v>225</v>
      </c>
      <c r="T259" t="s">
        <v>244</v>
      </c>
      <c r="U259">
        <v>7.5690113650769717E-3</v>
      </c>
      <c r="V259" t="s">
        <v>161</v>
      </c>
    </row>
    <row r="260" spans="9:22" x14ac:dyDescent="0.45">
      <c r="I260" t="s">
        <v>180</v>
      </c>
      <c r="J260" t="s">
        <v>245</v>
      </c>
      <c r="K260">
        <v>7.9201643059253202E-2</v>
      </c>
      <c r="L260" t="s">
        <v>161</v>
      </c>
      <c r="N260" t="s">
        <v>203</v>
      </c>
      <c r="O260" t="s">
        <v>245</v>
      </c>
      <c r="P260">
        <v>5.4409229243187689E-2</v>
      </c>
      <c r="Q260" t="s">
        <v>161</v>
      </c>
      <c r="S260" t="s">
        <v>225</v>
      </c>
      <c r="T260" t="s">
        <v>245</v>
      </c>
      <c r="U260">
        <v>5.5706813517586488E-2</v>
      </c>
      <c r="V260" t="s">
        <v>161</v>
      </c>
    </row>
    <row r="261" spans="9:22" x14ac:dyDescent="0.45">
      <c r="I261" t="s">
        <v>180</v>
      </c>
      <c r="J261" t="s">
        <v>167</v>
      </c>
      <c r="K261">
        <v>1.1954451573926413E-2</v>
      </c>
      <c r="L261" t="s">
        <v>161</v>
      </c>
      <c r="N261" t="s">
        <v>203</v>
      </c>
      <c r="O261" t="s">
        <v>167</v>
      </c>
      <c r="P261">
        <v>3.6544688135479286E-2</v>
      </c>
      <c r="Q261" t="s">
        <v>161</v>
      </c>
      <c r="S261" t="s">
        <v>225</v>
      </c>
      <c r="T261" t="s">
        <v>167</v>
      </c>
      <c r="U261">
        <v>3.7478971165611531E-2</v>
      </c>
      <c r="V261" t="s">
        <v>161</v>
      </c>
    </row>
    <row r="262" spans="9:22" x14ac:dyDescent="0.45">
      <c r="I262" t="s">
        <v>180</v>
      </c>
      <c r="J262" t="s">
        <v>168</v>
      </c>
      <c r="K262">
        <v>1.2489643086228274E-2</v>
      </c>
      <c r="L262" t="s">
        <v>161</v>
      </c>
      <c r="N262" t="s">
        <v>203</v>
      </c>
      <c r="O262" t="s">
        <v>168</v>
      </c>
      <c r="P262">
        <v>3.8648546148158337E-3</v>
      </c>
      <c r="Q262" t="s">
        <v>161</v>
      </c>
      <c r="S262" t="s">
        <v>225</v>
      </c>
      <c r="T262" t="s">
        <v>168</v>
      </c>
      <c r="U262">
        <v>4.1548854972466185E-3</v>
      </c>
      <c r="V262" t="s">
        <v>161</v>
      </c>
    </row>
    <row r="263" spans="9:22" x14ac:dyDescent="0.45">
      <c r="I263" t="s">
        <v>180</v>
      </c>
      <c r="J263" t="s">
        <v>169</v>
      </c>
      <c r="K263">
        <v>0.11812412232091447</v>
      </c>
      <c r="L263" t="s">
        <v>161</v>
      </c>
      <c r="N263" t="s">
        <v>203</v>
      </c>
      <c r="O263" t="s">
        <v>169</v>
      </c>
      <c r="P263">
        <v>2.9891491043275417E-2</v>
      </c>
      <c r="Q263" t="s">
        <v>161</v>
      </c>
      <c r="S263" t="s">
        <v>225</v>
      </c>
      <c r="T263" t="s">
        <v>169</v>
      </c>
      <c r="U263">
        <v>3.0117185398262965E-2</v>
      </c>
      <c r="V263" t="s">
        <v>161</v>
      </c>
    </row>
    <row r="264" spans="9:22" x14ac:dyDescent="0.45">
      <c r="I264" t="s">
        <v>180</v>
      </c>
      <c r="J264" t="s">
        <v>246</v>
      </c>
      <c r="K264">
        <v>1.4970018193616187E-2</v>
      </c>
      <c r="L264" t="s">
        <v>161</v>
      </c>
      <c r="N264" t="s">
        <v>203</v>
      </c>
      <c r="O264" t="s">
        <v>246</v>
      </c>
      <c r="P264">
        <v>4.000289959819576E-3</v>
      </c>
      <c r="Q264" t="s">
        <v>161</v>
      </c>
      <c r="S264" t="s">
        <v>225</v>
      </c>
      <c r="T264" t="s">
        <v>246</v>
      </c>
      <c r="U264">
        <v>4.658610280155402E-3</v>
      </c>
      <c r="V264" t="s">
        <v>161</v>
      </c>
    </row>
    <row r="265" spans="9:22" x14ac:dyDescent="0.45">
      <c r="I265" t="s">
        <v>180</v>
      </c>
      <c r="J265" t="s">
        <v>247</v>
      </c>
      <c r="K265">
        <v>2.6948277818075031E-2</v>
      </c>
      <c r="L265" t="s">
        <v>161</v>
      </c>
      <c r="N265" t="s">
        <v>203</v>
      </c>
      <c r="O265" t="s">
        <v>247</v>
      </c>
      <c r="P265">
        <v>3.0772156951181559E-2</v>
      </c>
      <c r="Q265" t="s">
        <v>161</v>
      </c>
      <c r="S265" t="s">
        <v>225</v>
      </c>
      <c r="T265" t="s">
        <v>247</v>
      </c>
      <c r="U265">
        <v>3.3516210638357254E-2</v>
      </c>
      <c r="V265" t="s">
        <v>161</v>
      </c>
    </row>
    <row r="266" spans="9:22" x14ac:dyDescent="0.45">
      <c r="I266" t="s">
        <v>180</v>
      </c>
      <c r="J266" t="s">
        <v>170</v>
      </c>
      <c r="K266">
        <v>1.459860606941778E-3</v>
      </c>
      <c r="L266" t="s">
        <v>161</v>
      </c>
      <c r="N266" t="s">
        <v>203</v>
      </c>
      <c r="O266" t="s">
        <v>170</v>
      </c>
      <c r="P266">
        <v>5.2057727929362051E-2</v>
      </c>
      <c r="Q266" t="s">
        <v>161</v>
      </c>
      <c r="S266" t="s">
        <v>225</v>
      </c>
      <c r="T266" t="s">
        <v>170</v>
      </c>
      <c r="U266">
        <v>4.6106637790641607E-2</v>
      </c>
      <c r="V266" t="s">
        <v>161</v>
      </c>
    </row>
    <row r="267" spans="9:22" x14ac:dyDescent="0.45">
      <c r="I267" t="s">
        <v>180</v>
      </c>
      <c r="J267" t="s">
        <v>171</v>
      </c>
      <c r="K267">
        <v>4.185089779343407E-3</v>
      </c>
      <c r="L267" t="s">
        <v>161</v>
      </c>
      <c r="N267" t="s">
        <v>203</v>
      </c>
      <c r="O267" t="s">
        <v>171</v>
      </c>
      <c r="P267">
        <v>6.3058550346889357E-3</v>
      </c>
      <c r="Q267" t="s">
        <v>161</v>
      </c>
      <c r="S267" t="s">
        <v>225</v>
      </c>
      <c r="T267" t="s">
        <v>171</v>
      </c>
      <c r="U267">
        <v>6.110615639021667E-3</v>
      </c>
      <c r="V267" t="s">
        <v>161</v>
      </c>
    </row>
    <row r="268" spans="9:22" x14ac:dyDescent="0.45">
      <c r="I268" t="s">
        <v>180</v>
      </c>
      <c r="J268" t="s">
        <v>172</v>
      </c>
      <c r="K268">
        <v>6.8010186204847833E-2</v>
      </c>
      <c r="L268" t="s">
        <v>161</v>
      </c>
      <c r="N268" t="s">
        <v>203</v>
      </c>
      <c r="O268" t="s">
        <v>172</v>
      </c>
      <c r="P268">
        <v>4.2085598474976275E-2</v>
      </c>
      <c r="Q268" t="s">
        <v>161</v>
      </c>
      <c r="S268" t="s">
        <v>225</v>
      </c>
      <c r="T268" t="s">
        <v>172</v>
      </c>
      <c r="U268">
        <v>4.0513194211547657E-2</v>
      </c>
      <c r="V268" t="s">
        <v>161</v>
      </c>
    </row>
    <row r="269" spans="9:22" x14ac:dyDescent="0.45">
      <c r="I269" t="s">
        <v>180</v>
      </c>
      <c r="J269" t="s">
        <v>248</v>
      </c>
      <c r="K269">
        <v>7.141911815157968E-3</v>
      </c>
      <c r="L269" t="s">
        <v>161</v>
      </c>
      <c r="N269" t="s">
        <v>203</v>
      </c>
      <c r="O269" t="s">
        <v>248</v>
      </c>
      <c r="P269">
        <v>6.057740081623744E-3</v>
      </c>
      <c r="Q269" t="s">
        <v>161</v>
      </c>
      <c r="S269" t="s">
        <v>225</v>
      </c>
      <c r="T269" t="s">
        <v>248</v>
      </c>
      <c r="U269">
        <v>5.7517332129725651E-3</v>
      </c>
      <c r="V269" t="s">
        <v>161</v>
      </c>
    </row>
    <row r="270" spans="9:22" x14ac:dyDescent="0.45">
      <c r="I270" t="s">
        <v>180</v>
      </c>
      <c r="J270" t="s">
        <v>249</v>
      </c>
      <c r="K270">
        <v>5.5336787488868416E-3</v>
      </c>
      <c r="L270" t="s">
        <v>161</v>
      </c>
      <c r="N270" t="s">
        <v>203</v>
      </c>
      <c r="O270" t="s">
        <v>249</v>
      </c>
      <c r="P270">
        <v>4.6784700894381609E-2</v>
      </c>
      <c r="Q270" t="s">
        <v>161</v>
      </c>
      <c r="S270" t="s">
        <v>225</v>
      </c>
      <c r="T270" t="s">
        <v>249</v>
      </c>
      <c r="U270">
        <v>4.3816889866953521E-2</v>
      </c>
      <c r="V270" t="s">
        <v>161</v>
      </c>
    </row>
    <row r="271" spans="9:22" x14ac:dyDescent="0.45">
      <c r="I271" t="s">
        <v>180</v>
      </c>
      <c r="J271" t="s">
        <v>250</v>
      </c>
      <c r="K271">
        <v>0</v>
      </c>
      <c r="L271" t="s">
        <v>161</v>
      </c>
      <c r="N271" t="s">
        <v>203</v>
      </c>
      <c r="O271" t="s">
        <v>250</v>
      </c>
      <c r="P271">
        <v>7.2233799784409067E-2</v>
      </c>
      <c r="Q271" t="s">
        <v>161</v>
      </c>
      <c r="S271" t="s">
        <v>225</v>
      </c>
      <c r="T271" t="s">
        <v>250</v>
      </c>
      <c r="U271">
        <v>6.6738792015460249E-2</v>
      </c>
      <c r="V271" t="s">
        <v>161</v>
      </c>
    </row>
    <row r="272" spans="9:22" x14ac:dyDescent="0.45">
      <c r="I272" t="s">
        <v>180</v>
      </c>
      <c r="J272" t="s">
        <v>251</v>
      </c>
      <c r="K272">
        <v>5.0445593651048777E-6</v>
      </c>
      <c r="L272" t="s">
        <v>161</v>
      </c>
      <c r="N272" t="s">
        <v>203</v>
      </c>
      <c r="O272" t="s">
        <v>251</v>
      </c>
      <c r="P272">
        <v>9.3779083408545589E-3</v>
      </c>
      <c r="Q272" t="s">
        <v>161</v>
      </c>
      <c r="S272" t="s">
        <v>225</v>
      </c>
      <c r="T272" t="s">
        <v>251</v>
      </c>
      <c r="U272">
        <v>8.8241754881193679E-3</v>
      </c>
      <c r="V272" t="s">
        <v>161</v>
      </c>
    </row>
    <row r="273" spans="9:22" x14ac:dyDescent="0.45">
      <c r="I273" t="s">
        <v>180</v>
      </c>
      <c r="J273" t="s">
        <v>252</v>
      </c>
      <c r="K273">
        <v>3.0494599768082758E-2</v>
      </c>
      <c r="L273" t="s">
        <v>161</v>
      </c>
      <c r="N273" t="s">
        <v>203</v>
      </c>
      <c r="O273" t="s">
        <v>252</v>
      </c>
      <c r="P273">
        <v>5.6916997349999138E-2</v>
      </c>
      <c r="Q273" t="s">
        <v>161</v>
      </c>
      <c r="S273" t="s">
        <v>225</v>
      </c>
      <c r="T273" t="s">
        <v>252</v>
      </c>
      <c r="U273">
        <v>6.0779003816650093E-2</v>
      </c>
      <c r="V273" t="s">
        <v>161</v>
      </c>
    </row>
    <row r="274" spans="9:22" x14ac:dyDescent="0.45">
      <c r="I274" t="s">
        <v>180</v>
      </c>
      <c r="J274" t="s">
        <v>253</v>
      </c>
      <c r="K274">
        <v>2.3769430735762946E-3</v>
      </c>
      <c r="L274" t="s">
        <v>161</v>
      </c>
      <c r="N274" t="s">
        <v>203</v>
      </c>
      <c r="O274" t="s">
        <v>253</v>
      </c>
      <c r="P274">
        <v>7.8419588681672269E-3</v>
      </c>
      <c r="Q274" t="s">
        <v>161</v>
      </c>
      <c r="S274" t="s">
        <v>225</v>
      </c>
      <c r="T274" t="s">
        <v>253</v>
      </c>
      <c r="U274">
        <v>8.2912638887573196E-3</v>
      </c>
      <c r="V274" t="s">
        <v>161</v>
      </c>
    </row>
    <row r="275" spans="9:22" x14ac:dyDescent="0.45">
      <c r="I275" t="s">
        <v>180</v>
      </c>
      <c r="J275" t="s">
        <v>254</v>
      </c>
      <c r="K275">
        <v>0</v>
      </c>
      <c r="L275" t="s">
        <v>161</v>
      </c>
      <c r="N275" t="s">
        <v>203</v>
      </c>
      <c r="O275" t="s">
        <v>254</v>
      </c>
      <c r="P275">
        <v>5.5716659976121817E-2</v>
      </c>
      <c r="Q275" t="s">
        <v>161</v>
      </c>
      <c r="S275" t="s">
        <v>225</v>
      </c>
      <c r="T275" t="s">
        <v>254</v>
      </c>
      <c r="U275">
        <v>5.67744627462623E-2</v>
      </c>
      <c r="V275" t="s">
        <v>161</v>
      </c>
    </row>
    <row r="276" spans="9:22" x14ac:dyDescent="0.45">
      <c r="I276" t="s">
        <v>180</v>
      </c>
      <c r="J276" t="s">
        <v>255</v>
      </c>
      <c r="K276">
        <v>0</v>
      </c>
      <c r="L276" t="s">
        <v>161</v>
      </c>
      <c r="N276" t="s">
        <v>203</v>
      </c>
      <c r="O276" t="s">
        <v>255</v>
      </c>
      <c r="P276">
        <v>7.0606781432585577E-3</v>
      </c>
      <c r="Q276" t="s">
        <v>161</v>
      </c>
      <c r="S276" t="s">
        <v>225</v>
      </c>
      <c r="T276" t="s">
        <v>255</v>
      </c>
      <c r="U276">
        <v>7.0659363507026623E-3</v>
      </c>
      <c r="V276" t="s">
        <v>161</v>
      </c>
    </row>
    <row r="277" spans="9:22" x14ac:dyDescent="0.45">
      <c r="I277" t="s">
        <v>180</v>
      </c>
      <c r="J277" t="s">
        <v>256</v>
      </c>
      <c r="K277">
        <v>0</v>
      </c>
      <c r="L277" t="s">
        <v>161</v>
      </c>
      <c r="N277" t="s">
        <v>203</v>
      </c>
      <c r="O277" t="s">
        <v>256</v>
      </c>
      <c r="P277">
        <v>9.569405686756171E-4</v>
      </c>
      <c r="Q277" t="s">
        <v>161</v>
      </c>
      <c r="S277" t="s">
        <v>225</v>
      </c>
      <c r="T277" t="s">
        <v>256</v>
      </c>
      <c r="U277">
        <v>9.2628125463517031E-4</v>
      </c>
      <c r="V277" t="s">
        <v>161</v>
      </c>
    </row>
    <row r="278" spans="9:22" x14ac:dyDescent="0.45">
      <c r="I278" t="s">
        <v>180</v>
      </c>
      <c r="J278" t="s">
        <v>257</v>
      </c>
      <c r="K278">
        <v>2.8873382237954055E-3</v>
      </c>
      <c r="L278" t="s">
        <v>161</v>
      </c>
      <c r="N278" t="s">
        <v>203</v>
      </c>
      <c r="O278" t="s">
        <v>257</v>
      </c>
      <c r="P278">
        <v>6.4948545428596726E-3</v>
      </c>
      <c r="Q278" t="s">
        <v>161</v>
      </c>
      <c r="S278" t="s">
        <v>225</v>
      </c>
      <c r="T278" t="s">
        <v>257</v>
      </c>
      <c r="U278">
        <v>6.3268801541455071E-3</v>
      </c>
      <c r="V278" t="s">
        <v>161</v>
      </c>
    </row>
    <row r="279" spans="9:22" x14ac:dyDescent="0.45">
      <c r="I279" t="s">
        <v>180</v>
      </c>
      <c r="J279" t="s">
        <v>258</v>
      </c>
      <c r="K279">
        <v>2.1018047468612783E-4</v>
      </c>
      <c r="L279" t="s">
        <v>161</v>
      </c>
      <c r="N279" t="s">
        <v>203</v>
      </c>
      <c r="O279" t="s">
        <v>258</v>
      </c>
      <c r="P279">
        <v>1.1145593204211753E-3</v>
      </c>
      <c r="Q279" t="s">
        <v>161</v>
      </c>
      <c r="S279" t="s">
        <v>225</v>
      </c>
      <c r="T279" t="s">
        <v>258</v>
      </c>
      <c r="U279">
        <v>9.805380714121778E-4</v>
      </c>
      <c r="V279" t="s">
        <v>161</v>
      </c>
    </row>
    <row r="280" spans="9:22" x14ac:dyDescent="0.45">
      <c r="I280" t="s">
        <v>180</v>
      </c>
      <c r="J280" t="s">
        <v>259</v>
      </c>
      <c r="K280">
        <v>0</v>
      </c>
      <c r="L280" t="s">
        <v>161</v>
      </c>
      <c r="N280" t="s">
        <v>203</v>
      </c>
      <c r="O280" t="s">
        <v>259</v>
      </c>
      <c r="P280">
        <v>8.2981612760422707E-3</v>
      </c>
      <c r="Q280" t="s">
        <v>161</v>
      </c>
      <c r="S280" t="s">
        <v>225</v>
      </c>
      <c r="T280" t="s">
        <v>259</v>
      </c>
      <c r="U280">
        <v>8.0124820477493475E-3</v>
      </c>
      <c r="V280" t="s">
        <v>161</v>
      </c>
    </row>
    <row r="281" spans="9:22" x14ac:dyDescent="0.45">
      <c r="I281" t="s">
        <v>181</v>
      </c>
      <c r="J281" t="s">
        <v>160</v>
      </c>
      <c r="K281">
        <v>5.2430622005067958E-3</v>
      </c>
      <c r="L281" t="s">
        <v>161</v>
      </c>
      <c r="N281" t="s">
        <v>204</v>
      </c>
      <c r="O281" t="s">
        <v>160</v>
      </c>
      <c r="P281">
        <v>0.10814865599015928</v>
      </c>
      <c r="Q281" t="s">
        <v>161</v>
      </c>
      <c r="S281" t="s">
        <v>226</v>
      </c>
      <c r="T281" t="s">
        <v>160</v>
      </c>
      <c r="U281">
        <v>0.1160564753979263</v>
      </c>
      <c r="V281" t="s">
        <v>161</v>
      </c>
    </row>
    <row r="282" spans="9:22" x14ac:dyDescent="0.45">
      <c r="I282" t="s">
        <v>181</v>
      </c>
      <c r="J282" t="s">
        <v>162</v>
      </c>
      <c r="K282">
        <v>9.4329096141664154E-3</v>
      </c>
      <c r="L282" t="s">
        <v>161</v>
      </c>
      <c r="N282" t="s">
        <v>204</v>
      </c>
      <c r="O282" t="s">
        <v>162</v>
      </c>
      <c r="P282">
        <v>1.3121579033018086E-2</v>
      </c>
      <c r="Q282" t="s">
        <v>161</v>
      </c>
      <c r="S282" t="s">
        <v>226</v>
      </c>
      <c r="T282" t="s">
        <v>162</v>
      </c>
      <c r="U282">
        <v>1.3712297560474696E-2</v>
      </c>
      <c r="V282" t="s">
        <v>161</v>
      </c>
    </row>
    <row r="283" spans="9:22" x14ac:dyDescent="0.45">
      <c r="I283" t="s">
        <v>181</v>
      </c>
      <c r="J283" t="s">
        <v>163</v>
      </c>
      <c r="K283">
        <v>0.17430257284525597</v>
      </c>
      <c r="L283" t="s">
        <v>161</v>
      </c>
      <c r="N283" t="s">
        <v>204</v>
      </c>
      <c r="O283" t="s">
        <v>163</v>
      </c>
      <c r="P283">
        <v>9.044753549508025E-2</v>
      </c>
      <c r="Q283" t="s">
        <v>161</v>
      </c>
      <c r="S283" t="s">
        <v>226</v>
      </c>
      <c r="T283" t="s">
        <v>163</v>
      </c>
      <c r="U283">
        <v>9.5475346606135922E-2</v>
      </c>
      <c r="V283" t="s">
        <v>161</v>
      </c>
    </row>
    <row r="284" spans="9:22" x14ac:dyDescent="0.45">
      <c r="I284" t="s">
        <v>181</v>
      </c>
      <c r="J284" t="s">
        <v>242</v>
      </c>
      <c r="K284">
        <v>1.9161560067030022E-2</v>
      </c>
      <c r="L284" t="s">
        <v>161</v>
      </c>
      <c r="N284" t="s">
        <v>204</v>
      </c>
      <c r="O284" t="s">
        <v>242</v>
      </c>
      <c r="P284">
        <v>1.2979708833391061E-2</v>
      </c>
      <c r="Q284" t="s">
        <v>161</v>
      </c>
      <c r="S284" t="s">
        <v>226</v>
      </c>
      <c r="T284" t="s">
        <v>242</v>
      </c>
      <c r="U284">
        <v>1.3875718453188515E-2</v>
      </c>
      <c r="V284" t="s">
        <v>161</v>
      </c>
    </row>
    <row r="285" spans="9:22" x14ac:dyDescent="0.45">
      <c r="I285" t="s">
        <v>181</v>
      </c>
      <c r="J285" t="s">
        <v>243</v>
      </c>
      <c r="K285">
        <v>2.0136098743351514E-2</v>
      </c>
      <c r="L285" t="s">
        <v>161</v>
      </c>
      <c r="N285" t="s">
        <v>204</v>
      </c>
      <c r="O285" t="s">
        <v>243</v>
      </c>
      <c r="P285">
        <v>9.4536080501516795E-2</v>
      </c>
      <c r="Q285" t="s">
        <v>161</v>
      </c>
      <c r="S285" t="s">
        <v>226</v>
      </c>
      <c r="T285" t="s">
        <v>243</v>
      </c>
      <c r="U285">
        <v>0.10131917659563075</v>
      </c>
      <c r="V285" t="s">
        <v>161</v>
      </c>
    </row>
    <row r="286" spans="9:22" x14ac:dyDescent="0.45">
      <c r="I286" t="s">
        <v>181</v>
      </c>
      <c r="J286" t="s">
        <v>164</v>
      </c>
      <c r="K286">
        <v>3.9423642987852621E-2</v>
      </c>
      <c r="L286" t="s">
        <v>161</v>
      </c>
      <c r="N286" t="s">
        <v>204</v>
      </c>
      <c r="O286" t="s">
        <v>164</v>
      </c>
      <c r="P286">
        <v>5.692055357472358E-2</v>
      </c>
      <c r="Q286" t="s">
        <v>161</v>
      </c>
      <c r="S286" t="s">
        <v>226</v>
      </c>
      <c r="T286" t="s">
        <v>164</v>
      </c>
      <c r="U286">
        <v>5.7729482912231282E-2</v>
      </c>
      <c r="V286" t="s">
        <v>161</v>
      </c>
    </row>
    <row r="287" spans="9:22" x14ac:dyDescent="0.45">
      <c r="I287" t="s">
        <v>181</v>
      </c>
      <c r="J287" t="s">
        <v>165</v>
      </c>
      <c r="K287">
        <v>3.0047914963205059E-2</v>
      </c>
      <c r="L287" t="s">
        <v>161</v>
      </c>
      <c r="N287" t="s">
        <v>204</v>
      </c>
      <c r="O287" t="s">
        <v>165</v>
      </c>
      <c r="P287">
        <v>6.9535364801071812E-3</v>
      </c>
      <c r="Q287" t="s">
        <v>161</v>
      </c>
      <c r="S287" t="s">
        <v>226</v>
      </c>
      <c r="T287" t="s">
        <v>165</v>
      </c>
      <c r="U287">
        <v>7.2188633377459812E-3</v>
      </c>
      <c r="V287" t="s">
        <v>161</v>
      </c>
    </row>
    <row r="288" spans="9:22" x14ac:dyDescent="0.45">
      <c r="I288" t="s">
        <v>181</v>
      </c>
      <c r="J288" t="s">
        <v>166</v>
      </c>
      <c r="K288">
        <v>0.26312586836211427</v>
      </c>
      <c r="L288" t="s">
        <v>161</v>
      </c>
      <c r="N288" t="s">
        <v>204</v>
      </c>
      <c r="O288" t="s">
        <v>166</v>
      </c>
      <c r="P288">
        <v>5.4726397607387622E-2</v>
      </c>
      <c r="Q288" t="s">
        <v>161</v>
      </c>
      <c r="S288" t="s">
        <v>226</v>
      </c>
      <c r="T288" t="s">
        <v>166</v>
      </c>
      <c r="U288">
        <v>5.0350698667112788E-2</v>
      </c>
      <c r="V288" t="s">
        <v>161</v>
      </c>
    </row>
    <row r="289" spans="9:22" x14ac:dyDescent="0.45">
      <c r="I289" t="s">
        <v>181</v>
      </c>
      <c r="J289" t="s">
        <v>244</v>
      </c>
      <c r="K289">
        <v>3.0914550246333095E-2</v>
      </c>
      <c r="L289" t="s">
        <v>161</v>
      </c>
      <c r="N289" t="s">
        <v>204</v>
      </c>
      <c r="O289" t="s">
        <v>244</v>
      </c>
      <c r="P289">
        <v>8.0229646380047277E-3</v>
      </c>
      <c r="Q289" t="s">
        <v>161</v>
      </c>
      <c r="S289" t="s">
        <v>226</v>
      </c>
      <c r="T289" t="s">
        <v>244</v>
      </c>
      <c r="U289">
        <v>7.2502914024162252E-3</v>
      </c>
      <c r="V289" t="s">
        <v>161</v>
      </c>
    </row>
    <row r="290" spans="9:22" x14ac:dyDescent="0.45">
      <c r="I290" t="s">
        <v>181</v>
      </c>
      <c r="J290" t="s">
        <v>245</v>
      </c>
      <c r="K290">
        <v>6.473454685452297E-2</v>
      </c>
      <c r="L290" t="s">
        <v>161</v>
      </c>
      <c r="N290" t="s">
        <v>204</v>
      </c>
      <c r="O290" t="s">
        <v>245</v>
      </c>
      <c r="P290">
        <v>5.1900877396811602E-2</v>
      </c>
      <c r="Q290" t="s">
        <v>161</v>
      </c>
      <c r="S290" t="s">
        <v>226</v>
      </c>
      <c r="T290" t="s">
        <v>245</v>
      </c>
      <c r="U290">
        <v>5.2838968816219405E-2</v>
      </c>
      <c r="V290" t="s">
        <v>161</v>
      </c>
    </row>
    <row r="291" spans="9:22" x14ac:dyDescent="0.45">
      <c r="I291" t="s">
        <v>181</v>
      </c>
      <c r="J291" t="s">
        <v>167</v>
      </c>
      <c r="K291">
        <v>1.2587540115925487E-2</v>
      </c>
      <c r="L291" t="s">
        <v>161</v>
      </c>
      <c r="N291" t="s">
        <v>204</v>
      </c>
      <c r="O291" t="s">
        <v>167</v>
      </c>
      <c r="P291">
        <v>3.3381220523222288E-2</v>
      </c>
      <c r="Q291" t="s">
        <v>161</v>
      </c>
      <c r="S291" t="s">
        <v>226</v>
      </c>
      <c r="T291" t="s">
        <v>167</v>
      </c>
      <c r="U291">
        <v>3.4824631861413137E-2</v>
      </c>
      <c r="V291" t="s">
        <v>161</v>
      </c>
    </row>
    <row r="292" spans="9:22" x14ac:dyDescent="0.45">
      <c r="I292" t="s">
        <v>181</v>
      </c>
      <c r="J292" t="s">
        <v>168</v>
      </c>
      <c r="K292">
        <v>1.3139155925469607E-2</v>
      </c>
      <c r="L292" t="s">
        <v>161</v>
      </c>
      <c r="N292" t="s">
        <v>204</v>
      </c>
      <c r="O292" t="s">
        <v>168</v>
      </c>
      <c r="P292">
        <v>3.9081607115979532E-3</v>
      </c>
      <c r="Q292" t="s">
        <v>161</v>
      </c>
      <c r="S292" t="s">
        <v>226</v>
      </c>
      <c r="T292" t="s">
        <v>168</v>
      </c>
      <c r="U292">
        <v>3.8987361689332787E-3</v>
      </c>
      <c r="V292" t="s">
        <v>161</v>
      </c>
    </row>
    <row r="293" spans="9:22" x14ac:dyDescent="0.45">
      <c r="I293" t="s">
        <v>181</v>
      </c>
      <c r="J293" t="s">
        <v>169</v>
      </c>
      <c r="K293">
        <v>0.1250020017457491</v>
      </c>
      <c r="L293" t="s">
        <v>161</v>
      </c>
      <c r="N293" t="s">
        <v>204</v>
      </c>
      <c r="O293" t="s">
        <v>169</v>
      </c>
      <c r="P293">
        <v>2.9965065640278704E-2</v>
      </c>
      <c r="Q293" t="s">
        <v>161</v>
      </c>
      <c r="S293" t="s">
        <v>226</v>
      </c>
      <c r="T293" t="s">
        <v>169</v>
      </c>
      <c r="U293">
        <v>2.8038152590336221E-2</v>
      </c>
      <c r="V293" t="s">
        <v>161</v>
      </c>
    </row>
    <row r="294" spans="9:22" x14ac:dyDescent="0.45">
      <c r="I294" t="s">
        <v>181</v>
      </c>
      <c r="J294" t="s">
        <v>246</v>
      </c>
      <c r="K294">
        <v>1.4173619587636646E-2</v>
      </c>
      <c r="L294" t="s">
        <v>161</v>
      </c>
      <c r="N294" t="s">
        <v>204</v>
      </c>
      <c r="O294" t="s">
        <v>246</v>
      </c>
      <c r="P294">
        <v>3.9959574395203815E-3</v>
      </c>
      <c r="Q294" t="s">
        <v>161</v>
      </c>
      <c r="S294" t="s">
        <v>226</v>
      </c>
      <c r="T294" t="s">
        <v>246</v>
      </c>
      <c r="U294">
        <v>3.9441236049374134E-3</v>
      </c>
      <c r="V294" t="s">
        <v>161</v>
      </c>
    </row>
    <row r="295" spans="9:22" x14ac:dyDescent="0.45">
      <c r="I295" t="s">
        <v>181</v>
      </c>
      <c r="J295" t="s">
        <v>247</v>
      </c>
      <c r="K295">
        <v>2.5583389885660654E-2</v>
      </c>
      <c r="L295" t="s">
        <v>161</v>
      </c>
      <c r="N295" t="s">
        <v>204</v>
      </c>
      <c r="O295" t="s">
        <v>247</v>
      </c>
      <c r="P295">
        <v>2.7954942066860118E-2</v>
      </c>
      <c r="Q295" t="s">
        <v>161</v>
      </c>
      <c r="S295" t="s">
        <v>226</v>
      </c>
      <c r="T295" t="s">
        <v>247</v>
      </c>
      <c r="U295">
        <v>3.1061333008952977E-2</v>
      </c>
      <c r="V295" t="s">
        <v>161</v>
      </c>
    </row>
    <row r="296" spans="9:22" x14ac:dyDescent="0.45">
      <c r="I296" t="s">
        <v>181</v>
      </c>
      <c r="J296" t="s">
        <v>170</v>
      </c>
      <c r="K296">
        <v>1.9936098108837199E-3</v>
      </c>
      <c r="L296" t="s">
        <v>161</v>
      </c>
      <c r="N296" t="s">
        <v>204</v>
      </c>
      <c r="O296" t="s">
        <v>170</v>
      </c>
      <c r="P296">
        <v>5.4126297316615529E-2</v>
      </c>
      <c r="Q296" t="s">
        <v>161</v>
      </c>
      <c r="S296" t="s">
        <v>226</v>
      </c>
      <c r="T296" t="s">
        <v>170</v>
      </c>
      <c r="U296">
        <v>4.8178499750205897E-2</v>
      </c>
      <c r="V296" t="s">
        <v>161</v>
      </c>
    </row>
    <row r="297" spans="9:22" x14ac:dyDescent="0.45">
      <c r="I297" t="s">
        <v>181</v>
      </c>
      <c r="J297" t="s">
        <v>171</v>
      </c>
      <c r="K297">
        <v>5.3734888520770019E-3</v>
      </c>
      <c r="L297" t="s">
        <v>161</v>
      </c>
      <c r="N297" t="s">
        <v>204</v>
      </c>
      <c r="O297" t="s">
        <v>171</v>
      </c>
      <c r="P297">
        <v>6.770474633740124E-3</v>
      </c>
      <c r="Q297" t="s">
        <v>161</v>
      </c>
      <c r="S297" t="s">
        <v>226</v>
      </c>
      <c r="T297" t="s">
        <v>171</v>
      </c>
      <c r="U297">
        <v>6.0958919409562478E-3</v>
      </c>
      <c r="V297" t="s">
        <v>161</v>
      </c>
    </row>
    <row r="298" spans="9:22" x14ac:dyDescent="0.45">
      <c r="I298" t="s">
        <v>181</v>
      </c>
      <c r="J298" t="s">
        <v>172</v>
      </c>
      <c r="K298">
        <v>8.0605060604732715E-2</v>
      </c>
      <c r="L298" t="s">
        <v>161</v>
      </c>
      <c r="N298" t="s">
        <v>204</v>
      </c>
      <c r="O298" t="s">
        <v>172</v>
      </c>
      <c r="P298">
        <v>4.2681911333850818E-2</v>
      </c>
      <c r="Q298" t="s">
        <v>161</v>
      </c>
      <c r="S298" t="s">
        <v>226</v>
      </c>
      <c r="T298" t="s">
        <v>172</v>
      </c>
      <c r="U298">
        <v>4.2492569664864532E-2</v>
      </c>
      <c r="V298" t="s">
        <v>161</v>
      </c>
    </row>
    <row r="299" spans="9:22" x14ac:dyDescent="0.45">
      <c r="I299" t="s">
        <v>181</v>
      </c>
      <c r="J299" t="s">
        <v>248</v>
      </c>
      <c r="K299">
        <v>8.5231009617479404E-3</v>
      </c>
      <c r="L299" t="s">
        <v>161</v>
      </c>
      <c r="N299" t="s">
        <v>204</v>
      </c>
      <c r="O299" t="s">
        <v>248</v>
      </c>
      <c r="P299">
        <v>6.1489166548895574E-3</v>
      </c>
      <c r="Q299" t="s">
        <v>161</v>
      </c>
      <c r="S299" t="s">
        <v>226</v>
      </c>
      <c r="T299" t="s">
        <v>248</v>
      </c>
      <c r="U299">
        <v>6.2682312427275125E-3</v>
      </c>
      <c r="V299" t="s">
        <v>161</v>
      </c>
    </row>
    <row r="300" spans="9:22" x14ac:dyDescent="0.45">
      <c r="I300" t="s">
        <v>181</v>
      </c>
      <c r="J300" t="s">
        <v>249</v>
      </c>
      <c r="K300">
        <v>6.5025914717577364E-3</v>
      </c>
      <c r="L300" t="s">
        <v>161</v>
      </c>
      <c r="N300" t="s">
        <v>204</v>
      </c>
      <c r="O300" t="s">
        <v>249</v>
      </c>
      <c r="P300">
        <v>4.83014605198702E-2</v>
      </c>
      <c r="Q300" t="s">
        <v>161</v>
      </c>
      <c r="S300" t="s">
        <v>226</v>
      </c>
      <c r="T300" t="s">
        <v>249</v>
      </c>
      <c r="U300">
        <v>4.6605989305741537E-2</v>
      </c>
      <c r="V300" t="s">
        <v>161</v>
      </c>
    </row>
    <row r="301" spans="9:22" x14ac:dyDescent="0.45">
      <c r="I301" t="s">
        <v>181</v>
      </c>
      <c r="J301" t="s">
        <v>250</v>
      </c>
      <c r="K301">
        <v>0</v>
      </c>
      <c r="L301" t="s">
        <v>161</v>
      </c>
      <c r="N301" t="s">
        <v>204</v>
      </c>
      <c r="O301" t="s">
        <v>250</v>
      </c>
      <c r="P301">
        <v>7.7960539721157296E-2</v>
      </c>
      <c r="Q301" t="s">
        <v>161</v>
      </c>
      <c r="S301" t="s">
        <v>226</v>
      </c>
      <c r="T301" t="s">
        <v>250</v>
      </c>
      <c r="U301">
        <v>7.177651530843257E-2</v>
      </c>
      <c r="V301" t="s">
        <v>161</v>
      </c>
    </row>
    <row r="302" spans="9:22" x14ac:dyDescent="0.45">
      <c r="I302" t="s">
        <v>181</v>
      </c>
      <c r="J302" t="s">
        <v>251</v>
      </c>
      <c r="K302">
        <v>1.2222210698245586E-4</v>
      </c>
      <c r="L302" t="s">
        <v>161</v>
      </c>
      <c r="N302" t="s">
        <v>204</v>
      </c>
      <c r="O302" t="s">
        <v>251</v>
      </c>
      <c r="P302">
        <v>9.690452125907344E-3</v>
      </c>
      <c r="Q302" t="s">
        <v>161</v>
      </c>
      <c r="S302" t="s">
        <v>226</v>
      </c>
      <c r="T302" t="s">
        <v>251</v>
      </c>
      <c r="U302">
        <v>9.6117171741825942E-3</v>
      </c>
      <c r="V302" t="s">
        <v>161</v>
      </c>
    </row>
    <row r="303" spans="9:22" x14ac:dyDescent="0.45">
      <c r="I303" t="s">
        <v>181</v>
      </c>
      <c r="J303" t="s">
        <v>252</v>
      </c>
      <c r="K303">
        <v>4.0946732121682719E-2</v>
      </c>
      <c r="L303" t="s">
        <v>161</v>
      </c>
      <c r="N303" t="s">
        <v>204</v>
      </c>
      <c r="O303" t="s">
        <v>252</v>
      </c>
      <c r="P303">
        <v>6.0206863970625336E-2</v>
      </c>
      <c r="Q303" t="s">
        <v>161</v>
      </c>
      <c r="S303" t="s">
        <v>226</v>
      </c>
      <c r="T303" t="s">
        <v>252</v>
      </c>
      <c r="U303">
        <v>6.1500517691483535E-2</v>
      </c>
      <c r="V303" t="s">
        <v>161</v>
      </c>
    </row>
    <row r="304" spans="9:22" x14ac:dyDescent="0.45">
      <c r="I304" t="s">
        <v>181</v>
      </c>
      <c r="J304" t="s">
        <v>253</v>
      </c>
      <c r="K304">
        <v>3.2703424422288871E-3</v>
      </c>
      <c r="L304" t="s">
        <v>161</v>
      </c>
      <c r="N304" t="s">
        <v>204</v>
      </c>
      <c r="O304" t="s">
        <v>253</v>
      </c>
      <c r="P304">
        <v>8.4808289547958701E-3</v>
      </c>
      <c r="Q304" t="s">
        <v>161</v>
      </c>
      <c r="S304" t="s">
        <v>226</v>
      </c>
      <c r="T304" t="s">
        <v>253</v>
      </c>
      <c r="U304">
        <v>8.4116750434667098E-3</v>
      </c>
      <c r="V304" t="s">
        <v>161</v>
      </c>
    </row>
    <row r="305" spans="9:22" x14ac:dyDescent="0.45">
      <c r="I305" t="s">
        <v>181</v>
      </c>
      <c r="J305" t="s">
        <v>254</v>
      </c>
      <c r="K305">
        <v>1.7887387541919891E-5</v>
      </c>
      <c r="L305" t="s">
        <v>161</v>
      </c>
      <c r="N305" t="s">
        <v>204</v>
      </c>
      <c r="O305" t="s">
        <v>254</v>
      </c>
      <c r="P305">
        <v>6.1864089305818618E-2</v>
      </c>
      <c r="Q305" t="s">
        <v>161</v>
      </c>
      <c r="S305" t="s">
        <v>226</v>
      </c>
      <c r="T305" t="s">
        <v>254</v>
      </c>
      <c r="U305">
        <v>5.7484379965761112E-2</v>
      </c>
      <c r="V305" t="s">
        <v>161</v>
      </c>
    </row>
    <row r="306" spans="9:22" x14ac:dyDescent="0.45">
      <c r="I306" t="s">
        <v>181</v>
      </c>
      <c r="J306" t="s">
        <v>255</v>
      </c>
      <c r="K306">
        <v>0</v>
      </c>
      <c r="L306" t="s">
        <v>161</v>
      </c>
      <c r="N306" t="s">
        <v>204</v>
      </c>
      <c r="O306" t="s">
        <v>255</v>
      </c>
      <c r="P306">
        <v>8.4785188897315237E-3</v>
      </c>
      <c r="Q306" t="s">
        <v>161</v>
      </c>
      <c r="S306" t="s">
        <v>226</v>
      </c>
      <c r="T306" t="s">
        <v>255</v>
      </c>
      <c r="U306">
        <v>6.5935420839356353E-3</v>
      </c>
      <c r="V306" t="s">
        <v>161</v>
      </c>
    </row>
    <row r="307" spans="9:22" x14ac:dyDescent="0.45">
      <c r="I307" t="s">
        <v>181</v>
      </c>
      <c r="J307" t="s">
        <v>256</v>
      </c>
      <c r="K307">
        <v>0</v>
      </c>
      <c r="L307" t="s">
        <v>161</v>
      </c>
      <c r="N307" t="s">
        <v>204</v>
      </c>
      <c r="O307" t="s">
        <v>256</v>
      </c>
      <c r="P307">
        <v>1.2797067685433102E-3</v>
      </c>
      <c r="Q307" t="s">
        <v>161</v>
      </c>
      <c r="S307" t="s">
        <v>226</v>
      </c>
      <c r="T307" t="s">
        <v>256</v>
      </c>
      <c r="U307">
        <v>8.2903662515499733E-4</v>
      </c>
      <c r="V307" t="s">
        <v>161</v>
      </c>
    </row>
    <row r="308" spans="9:22" x14ac:dyDescent="0.45">
      <c r="I308" t="s">
        <v>181</v>
      </c>
      <c r="J308" t="s">
        <v>257</v>
      </c>
      <c r="K308">
        <v>5.0990797547066447E-3</v>
      </c>
      <c r="L308" t="s">
        <v>161</v>
      </c>
      <c r="N308" t="s">
        <v>204</v>
      </c>
      <c r="O308" t="s">
        <v>257</v>
      </c>
      <c r="P308">
        <v>7.7231340295121718E-3</v>
      </c>
      <c r="Q308" t="s">
        <v>161</v>
      </c>
      <c r="S308" t="s">
        <v>226</v>
      </c>
      <c r="T308" t="s">
        <v>257</v>
      </c>
      <c r="U308">
        <v>6.5252087990563031E-3</v>
      </c>
      <c r="V308" t="s">
        <v>161</v>
      </c>
    </row>
    <row r="309" spans="9:22" x14ac:dyDescent="0.45">
      <c r="I309" t="s">
        <v>181</v>
      </c>
      <c r="J309" t="s">
        <v>258</v>
      </c>
      <c r="K309">
        <v>5.3745034087567434E-4</v>
      </c>
      <c r="L309" t="s">
        <v>161</v>
      </c>
      <c r="N309" t="s">
        <v>204</v>
      </c>
      <c r="O309" t="s">
        <v>258</v>
      </c>
      <c r="P309">
        <v>1.0925065826312261E-3</v>
      </c>
      <c r="Q309" t="s">
        <v>161</v>
      </c>
      <c r="S309" t="s">
        <v>226</v>
      </c>
      <c r="T309" t="s">
        <v>258</v>
      </c>
      <c r="U309">
        <v>1.1812484518613242E-3</v>
      </c>
      <c r="V309" t="s">
        <v>161</v>
      </c>
    </row>
    <row r="310" spans="9:22" x14ac:dyDescent="0.45">
      <c r="I310" t="s">
        <v>181</v>
      </c>
      <c r="J310" t="s">
        <v>259</v>
      </c>
      <c r="K310">
        <v>0</v>
      </c>
      <c r="L310" t="s">
        <v>161</v>
      </c>
      <c r="N310" t="s">
        <v>204</v>
      </c>
      <c r="O310" t="s">
        <v>259</v>
      </c>
      <c r="P310">
        <v>8.2310632606328836E-3</v>
      </c>
      <c r="Q310" t="s">
        <v>161</v>
      </c>
      <c r="S310" t="s">
        <v>226</v>
      </c>
      <c r="T310" t="s">
        <v>259</v>
      </c>
      <c r="U310">
        <v>8.8506799685171295E-3</v>
      </c>
      <c r="V310" t="s">
        <v>161</v>
      </c>
    </row>
    <row r="311" spans="9:22" x14ac:dyDescent="0.45">
      <c r="I311" t="s">
        <v>182</v>
      </c>
      <c r="J311" t="s">
        <v>160</v>
      </c>
      <c r="K311">
        <v>5.6149359154590781E-3</v>
      </c>
      <c r="L311" t="s">
        <v>161</v>
      </c>
      <c r="N311" t="s">
        <v>205</v>
      </c>
      <c r="O311" t="s">
        <v>160</v>
      </c>
      <c r="P311">
        <v>0.12334389812314291</v>
      </c>
      <c r="Q311" t="s">
        <v>161</v>
      </c>
    </row>
    <row r="312" spans="9:22" x14ac:dyDescent="0.45">
      <c r="I312" t="s">
        <v>182</v>
      </c>
      <c r="J312" t="s">
        <v>162</v>
      </c>
      <c r="K312">
        <v>1.0144602077876779E-2</v>
      </c>
      <c r="L312" t="s">
        <v>161</v>
      </c>
      <c r="N312" t="s">
        <v>205</v>
      </c>
      <c r="O312" t="s">
        <v>162</v>
      </c>
      <c r="P312">
        <v>1.4662351731298774E-2</v>
      </c>
      <c r="Q312" t="s">
        <v>161</v>
      </c>
    </row>
    <row r="313" spans="9:22" x14ac:dyDescent="0.45">
      <c r="I313" t="s">
        <v>182</v>
      </c>
      <c r="J313" t="s">
        <v>163</v>
      </c>
      <c r="K313">
        <v>0.1696157151060281</v>
      </c>
      <c r="L313" t="s">
        <v>161</v>
      </c>
      <c r="N313" t="s">
        <v>205</v>
      </c>
      <c r="O313" t="s">
        <v>163</v>
      </c>
      <c r="P313">
        <v>9.7829908833709622E-2</v>
      </c>
      <c r="Q313" t="s">
        <v>161</v>
      </c>
    </row>
    <row r="314" spans="9:22" x14ac:dyDescent="0.45">
      <c r="I314" t="s">
        <v>182</v>
      </c>
      <c r="J314" t="s">
        <v>242</v>
      </c>
      <c r="K314">
        <v>1.9065679960644094E-2</v>
      </c>
      <c r="L314" t="s">
        <v>161</v>
      </c>
      <c r="N314" t="s">
        <v>205</v>
      </c>
      <c r="O314" t="s">
        <v>242</v>
      </c>
      <c r="P314">
        <v>1.6227432240910201E-2</v>
      </c>
      <c r="Q314" t="s">
        <v>161</v>
      </c>
    </row>
    <row r="315" spans="9:22" x14ac:dyDescent="0.45">
      <c r="I315" t="s">
        <v>182</v>
      </c>
      <c r="J315" t="s">
        <v>243</v>
      </c>
      <c r="K315">
        <v>2.194850516525924E-2</v>
      </c>
      <c r="L315" t="s">
        <v>161</v>
      </c>
      <c r="N315" t="s">
        <v>205</v>
      </c>
      <c r="O315" t="s">
        <v>243</v>
      </c>
      <c r="P315">
        <v>0.11596894237364881</v>
      </c>
      <c r="Q315" t="s">
        <v>161</v>
      </c>
    </row>
    <row r="316" spans="9:22" x14ac:dyDescent="0.45">
      <c r="I316" t="s">
        <v>182</v>
      </c>
      <c r="J316" t="s">
        <v>164</v>
      </c>
      <c r="K316">
        <v>4.2006916430368017E-2</v>
      </c>
      <c r="L316" t="s">
        <v>161</v>
      </c>
      <c r="N316" t="s">
        <v>205</v>
      </c>
      <c r="O316" t="s">
        <v>164</v>
      </c>
      <c r="P316">
        <v>7.5482121729337798E-2</v>
      </c>
      <c r="Q316" t="s">
        <v>161</v>
      </c>
    </row>
    <row r="317" spans="9:22" x14ac:dyDescent="0.45">
      <c r="I317" t="s">
        <v>182</v>
      </c>
      <c r="J317" t="s">
        <v>165</v>
      </c>
      <c r="K317">
        <v>3.0004648065592446E-2</v>
      </c>
      <c r="L317" t="s">
        <v>161</v>
      </c>
      <c r="N317" t="s">
        <v>205</v>
      </c>
      <c r="O317" t="s">
        <v>165</v>
      </c>
      <c r="P317">
        <v>6.6327403659522076E-3</v>
      </c>
      <c r="Q317" t="s">
        <v>161</v>
      </c>
    </row>
    <row r="318" spans="9:22" x14ac:dyDescent="0.45">
      <c r="I318" t="s">
        <v>182</v>
      </c>
      <c r="J318" t="s">
        <v>166</v>
      </c>
      <c r="K318">
        <v>0.27264941921093588</v>
      </c>
      <c r="L318" t="s">
        <v>161</v>
      </c>
      <c r="N318" t="s">
        <v>205</v>
      </c>
      <c r="O318" t="s">
        <v>166</v>
      </c>
      <c r="P318">
        <v>5.8968895048788786E-2</v>
      </c>
      <c r="Q318" t="s">
        <v>161</v>
      </c>
    </row>
    <row r="319" spans="9:22" x14ac:dyDescent="0.45">
      <c r="I319" t="s">
        <v>182</v>
      </c>
      <c r="J319" t="s">
        <v>244</v>
      </c>
      <c r="K319">
        <v>3.2178819742898809E-2</v>
      </c>
      <c r="L319" t="s">
        <v>161</v>
      </c>
      <c r="N319" t="s">
        <v>205</v>
      </c>
      <c r="O319" t="s">
        <v>244</v>
      </c>
      <c r="P319">
        <v>1.1165364538013324E-2</v>
      </c>
      <c r="Q319" t="s">
        <v>161</v>
      </c>
    </row>
    <row r="320" spans="9:22" x14ac:dyDescent="0.45">
      <c r="I320" t="s">
        <v>182</v>
      </c>
      <c r="J320" t="s">
        <v>245</v>
      </c>
      <c r="K320">
        <v>6.8331584487814456E-2</v>
      </c>
      <c r="L320" t="s">
        <v>161</v>
      </c>
      <c r="N320" t="s">
        <v>205</v>
      </c>
      <c r="O320" t="s">
        <v>245</v>
      </c>
      <c r="P320">
        <v>8.3977822923485004E-2</v>
      </c>
      <c r="Q320" t="s">
        <v>161</v>
      </c>
    </row>
    <row r="321" spans="9:17" x14ac:dyDescent="0.45">
      <c r="I321" t="s">
        <v>182</v>
      </c>
      <c r="J321" t="s">
        <v>167</v>
      </c>
      <c r="K321">
        <v>1.1811220866102652E-2</v>
      </c>
      <c r="L321" t="s">
        <v>161</v>
      </c>
      <c r="N321" t="s">
        <v>205</v>
      </c>
      <c r="O321" t="s">
        <v>167</v>
      </c>
      <c r="P321">
        <v>3.7109879292311451E-2</v>
      </c>
      <c r="Q321" t="s">
        <v>161</v>
      </c>
    </row>
    <row r="322" spans="9:17" x14ac:dyDescent="0.45">
      <c r="I322" t="s">
        <v>182</v>
      </c>
      <c r="J322" t="s">
        <v>168</v>
      </c>
      <c r="K322">
        <v>1.2850110230522526E-2</v>
      </c>
      <c r="L322" t="s">
        <v>161</v>
      </c>
      <c r="N322" t="s">
        <v>205</v>
      </c>
      <c r="O322" t="s">
        <v>168</v>
      </c>
      <c r="P322">
        <v>3.3800036699925861E-3</v>
      </c>
      <c r="Q322" t="s">
        <v>161</v>
      </c>
    </row>
    <row r="323" spans="9:17" x14ac:dyDescent="0.45">
      <c r="I323" t="s">
        <v>182</v>
      </c>
      <c r="J323" t="s">
        <v>169</v>
      </c>
      <c r="K323">
        <v>0.1246101215659218</v>
      </c>
      <c r="L323" t="s">
        <v>161</v>
      </c>
      <c r="N323" t="s">
        <v>205</v>
      </c>
      <c r="O323" t="s">
        <v>169</v>
      </c>
      <c r="P323">
        <v>2.6943075492639725E-2</v>
      </c>
      <c r="Q323" t="s">
        <v>161</v>
      </c>
    </row>
    <row r="324" spans="9:17" x14ac:dyDescent="0.45">
      <c r="I324" t="s">
        <v>182</v>
      </c>
      <c r="J324" t="s">
        <v>246</v>
      </c>
      <c r="K324">
        <v>1.4402233086357012E-2</v>
      </c>
      <c r="L324" t="s">
        <v>161</v>
      </c>
      <c r="N324" t="s">
        <v>205</v>
      </c>
      <c r="O324" t="s">
        <v>246</v>
      </c>
      <c r="P324">
        <v>4.6501986263253331E-3</v>
      </c>
      <c r="Q324" t="s">
        <v>161</v>
      </c>
    </row>
    <row r="325" spans="9:17" x14ac:dyDescent="0.45">
      <c r="I325" t="s">
        <v>182</v>
      </c>
      <c r="J325" t="s">
        <v>247</v>
      </c>
      <c r="K325">
        <v>2.6389998339291853E-2</v>
      </c>
      <c r="L325" t="s">
        <v>161</v>
      </c>
      <c r="N325" t="s">
        <v>205</v>
      </c>
      <c r="O325" t="s">
        <v>247</v>
      </c>
      <c r="P325">
        <v>2.861539093209663E-2</v>
      </c>
      <c r="Q325" t="s">
        <v>161</v>
      </c>
    </row>
    <row r="326" spans="9:17" x14ac:dyDescent="0.45">
      <c r="I326" t="s">
        <v>182</v>
      </c>
      <c r="J326" t="s">
        <v>170</v>
      </c>
      <c r="K326">
        <v>1.4729184018602069E-3</v>
      </c>
      <c r="L326" t="s">
        <v>161</v>
      </c>
      <c r="N326" t="s">
        <v>205</v>
      </c>
      <c r="O326" t="s">
        <v>170</v>
      </c>
      <c r="P326">
        <v>3.5304139497058455E-2</v>
      </c>
      <c r="Q326" t="s">
        <v>161</v>
      </c>
    </row>
    <row r="327" spans="9:17" x14ac:dyDescent="0.45">
      <c r="I327" t="s">
        <v>182</v>
      </c>
      <c r="J327" t="s">
        <v>171</v>
      </c>
      <c r="K327">
        <v>4.6593096174537101E-3</v>
      </c>
      <c r="L327" t="s">
        <v>161</v>
      </c>
      <c r="N327" t="s">
        <v>205</v>
      </c>
      <c r="O327" t="s">
        <v>171</v>
      </c>
      <c r="P327">
        <v>4.5808073644203837E-3</v>
      </c>
      <c r="Q327" t="s">
        <v>161</v>
      </c>
    </row>
    <row r="328" spans="9:17" x14ac:dyDescent="0.45">
      <c r="I328" t="s">
        <v>182</v>
      </c>
      <c r="J328" t="s">
        <v>172</v>
      </c>
      <c r="K328">
        <v>7.2918780833836197E-2</v>
      </c>
      <c r="L328" t="s">
        <v>161</v>
      </c>
      <c r="N328" t="s">
        <v>205</v>
      </c>
      <c r="O328" t="s">
        <v>172</v>
      </c>
      <c r="P328">
        <v>2.6617358668280293E-2</v>
      </c>
      <c r="Q328" t="s">
        <v>161</v>
      </c>
    </row>
    <row r="329" spans="9:17" x14ac:dyDescent="0.45">
      <c r="I329" t="s">
        <v>182</v>
      </c>
      <c r="J329" t="s">
        <v>248</v>
      </c>
      <c r="K329">
        <v>7.8923780522562412E-3</v>
      </c>
      <c r="L329" t="s">
        <v>161</v>
      </c>
      <c r="N329" t="s">
        <v>205</v>
      </c>
      <c r="O329" t="s">
        <v>248</v>
      </c>
      <c r="P329">
        <v>4.5456099537019663E-3</v>
      </c>
      <c r="Q329" t="s">
        <v>161</v>
      </c>
    </row>
    <row r="330" spans="9:17" x14ac:dyDescent="0.45">
      <c r="I330" t="s">
        <v>182</v>
      </c>
      <c r="J330" t="s">
        <v>249</v>
      </c>
      <c r="K330">
        <v>6.1510115316576498E-3</v>
      </c>
      <c r="L330" t="s">
        <v>161</v>
      </c>
      <c r="N330" t="s">
        <v>205</v>
      </c>
      <c r="O330" t="s">
        <v>249</v>
      </c>
      <c r="P330">
        <v>3.0127713712627752E-2</v>
      </c>
      <c r="Q330" t="s">
        <v>161</v>
      </c>
    </row>
    <row r="331" spans="9:17" x14ac:dyDescent="0.45">
      <c r="I331" t="s">
        <v>182</v>
      </c>
      <c r="J331" t="s">
        <v>250</v>
      </c>
      <c r="K331">
        <v>0</v>
      </c>
      <c r="L331" t="s">
        <v>161</v>
      </c>
      <c r="N331" t="s">
        <v>205</v>
      </c>
      <c r="O331" t="s">
        <v>250</v>
      </c>
      <c r="P331">
        <v>7.0123570178323921E-2</v>
      </c>
      <c r="Q331" t="s">
        <v>161</v>
      </c>
    </row>
    <row r="332" spans="9:17" x14ac:dyDescent="0.45">
      <c r="I332" t="s">
        <v>182</v>
      </c>
      <c r="J332" t="s">
        <v>251</v>
      </c>
      <c r="K332">
        <v>8.732413704660603E-5</v>
      </c>
      <c r="L332" t="s">
        <v>161</v>
      </c>
      <c r="N332" t="s">
        <v>205</v>
      </c>
      <c r="O332" t="s">
        <v>251</v>
      </c>
      <c r="P332">
        <v>7.1775813194532821E-3</v>
      </c>
      <c r="Q332" t="s">
        <v>161</v>
      </c>
    </row>
    <row r="333" spans="9:17" x14ac:dyDescent="0.45">
      <c r="I333" t="s">
        <v>182</v>
      </c>
      <c r="J333" t="s">
        <v>252</v>
      </c>
      <c r="K333">
        <v>3.6316114123717699E-2</v>
      </c>
      <c r="L333" t="s">
        <v>161</v>
      </c>
      <c r="N333" t="s">
        <v>205</v>
      </c>
      <c r="O333" t="s">
        <v>252</v>
      </c>
      <c r="P333">
        <v>4.2148680564280221E-2</v>
      </c>
      <c r="Q333" t="s">
        <v>161</v>
      </c>
    </row>
    <row r="334" spans="9:17" x14ac:dyDescent="0.45">
      <c r="I334" t="s">
        <v>182</v>
      </c>
      <c r="J334" t="s">
        <v>253</v>
      </c>
      <c r="K334">
        <v>2.9152604747195218E-3</v>
      </c>
      <c r="L334" t="s">
        <v>161</v>
      </c>
      <c r="N334" t="s">
        <v>205</v>
      </c>
      <c r="O334" t="s">
        <v>253</v>
      </c>
      <c r="P334">
        <v>6.7956634503806004E-3</v>
      </c>
      <c r="Q334" t="s">
        <v>161</v>
      </c>
    </row>
    <row r="335" spans="9:17" x14ac:dyDescent="0.45">
      <c r="I335" t="s">
        <v>182</v>
      </c>
      <c r="J335" t="s">
        <v>254</v>
      </c>
      <c r="K335">
        <v>9.0171153538450303E-6</v>
      </c>
      <c r="L335" t="s">
        <v>161</v>
      </c>
      <c r="N335" t="s">
        <v>205</v>
      </c>
      <c r="O335" t="s">
        <v>254</v>
      </c>
      <c r="P335">
        <v>5.797574005819036E-2</v>
      </c>
      <c r="Q335" t="s">
        <v>161</v>
      </c>
    </row>
    <row r="336" spans="9:17" x14ac:dyDescent="0.45">
      <c r="I336" t="s">
        <v>182</v>
      </c>
      <c r="J336" t="s">
        <v>255</v>
      </c>
      <c r="K336">
        <v>0</v>
      </c>
      <c r="L336" t="s">
        <v>161</v>
      </c>
      <c r="N336" t="s">
        <v>205</v>
      </c>
      <c r="O336" t="s">
        <v>255</v>
      </c>
      <c r="P336">
        <v>6.2558949900401433E-3</v>
      </c>
      <c r="Q336" t="s">
        <v>161</v>
      </c>
    </row>
    <row r="337" spans="9:17" x14ac:dyDescent="0.45">
      <c r="I337" t="s">
        <v>182</v>
      </c>
      <c r="J337" t="s">
        <v>256</v>
      </c>
      <c r="K337">
        <v>0</v>
      </c>
      <c r="L337" t="s">
        <v>161</v>
      </c>
      <c r="N337" t="s">
        <v>205</v>
      </c>
      <c r="O337" t="s">
        <v>256</v>
      </c>
      <c r="P337">
        <v>4.5016374320847085E-4</v>
      </c>
      <c r="Q337" t="s">
        <v>161</v>
      </c>
    </row>
    <row r="338" spans="9:17" x14ac:dyDescent="0.45">
      <c r="I338" t="s">
        <v>182</v>
      </c>
      <c r="J338" t="s">
        <v>257</v>
      </c>
      <c r="K338">
        <v>5.3885380824695382E-3</v>
      </c>
      <c r="L338" t="s">
        <v>161</v>
      </c>
      <c r="N338" t="s">
        <v>205</v>
      </c>
      <c r="O338" t="s">
        <v>257</v>
      </c>
      <c r="P338">
        <v>1.1754158635235014E-3</v>
      </c>
      <c r="Q338" t="s">
        <v>161</v>
      </c>
    </row>
    <row r="339" spans="9:17" x14ac:dyDescent="0.45">
      <c r="I339" t="s">
        <v>182</v>
      </c>
      <c r="J339" t="s">
        <v>258</v>
      </c>
      <c r="K339">
        <v>5.6483737855262111E-4</v>
      </c>
      <c r="L339" t="s">
        <v>161</v>
      </c>
      <c r="N339" t="s">
        <v>205</v>
      </c>
      <c r="O339" t="s">
        <v>258</v>
      </c>
      <c r="P339">
        <v>1.4557996145084584E-4</v>
      </c>
      <c r="Q339" t="s">
        <v>161</v>
      </c>
    </row>
    <row r="340" spans="9:17" x14ac:dyDescent="0.45">
      <c r="I340" t="s">
        <v>182</v>
      </c>
      <c r="J340" t="s">
        <v>259</v>
      </c>
      <c r="K340">
        <v>0</v>
      </c>
      <c r="L340" t="s">
        <v>161</v>
      </c>
      <c r="N340" t="s">
        <v>205</v>
      </c>
      <c r="O340" t="s">
        <v>259</v>
      </c>
      <c r="P340">
        <v>1.6180547534032752E-3</v>
      </c>
      <c r="Q340" t="s">
        <v>161</v>
      </c>
    </row>
    <row r="341" spans="9:17" x14ac:dyDescent="0.45">
      <c r="I341" t="s">
        <v>183</v>
      </c>
      <c r="J341" t="s">
        <v>160</v>
      </c>
      <c r="K341">
        <v>6.8677508293313238E-3</v>
      </c>
      <c r="L341" t="s">
        <v>161</v>
      </c>
      <c r="N341" t="s">
        <v>206</v>
      </c>
      <c r="O341" t="s">
        <v>160</v>
      </c>
      <c r="P341">
        <v>0.11830802160734645</v>
      </c>
      <c r="Q341" t="s">
        <v>161</v>
      </c>
    </row>
    <row r="342" spans="9:17" x14ac:dyDescent="0.45">
      <c r="I342" t="s">
        <v>183</v>
      </c>
      <c r="J342" t="s">
        <v>162</v>
      </c>
      <c r="K342">
        <v>1.1852735230881281E-2</v>
      </c>
      <c r="L342" t="s">
        <v>161</v>
      </c>
      <c r="N342" t="s">
        <v>206</v>
      </c>
      <c r="O342" t="s">
        <v>162</v>
      </c>
      <c r="P342">
        <v>1.5260418335112822E-2</v>
      </c>
      <c r="Q342" t="s">
        <v>161</v>
      </c>
    </row>
    <row r="343" spans="9:17" x14ac:dyDescent="0.45">
      <c r="I343" t="s">
        <v>183</v>
      </c>
      <c r="J343" t="s">
        <v>163</v>
      </c>
      <c r="K343">
        <v>0.17442470320056958</v>
      </c>
      <c r="L343" t="s">
        <v>161</v>
      </c>
      <c r="N343" t="s">
        <v>206</v>
      </c>
      <c r="O343" t="s">
        <v>163</v>
      </c>
      <c r="P343">
        <v>9.8669528634834858E-2</v>
      </c>
      <c r="Q343" t="s">
        <v>161</v>
      </c>
    </row>
    <row r="344" spans="9:17" x14ac:dyDescent="0.45">
      <c r="I344" t="s">
        <v>183</v>
      </c>
      <c r="J344" t="s">
        <v>242</v>
      </c>
      <c r="K344">
        <v>1.7868894149438836E-2</v>
      </c>
      <c r="L344" t="s">
        <v>161</v>
      </c>
      <c r="N344" t="s">
        <v>206</v>
      </c>
      <c r="O344" t="s">
        <v>242</v>
      </c>
      <c r="P344">
        <v>1.3745660802556042E-2</v>
      </c>
      <c r="Q344" t="s">
        <v>161</v>
      </c>
    </row>
    <row r="345" spans="9:17" x14ac:dyDescent="0.45">
      <c r="I345" t="s">
        <v>183</v>
      </c>
      <c r="J345" t="s">
        <v>243</v>
      </c>
      <c r="K345">
        <v>2.0860512530239031E-2</v>
      </c>
      <c r="L345" t="s">
        <v>161</v>
      </c>
      <c r="N345" t="s">
        <v>206</v>
      </c>
      <c r="O345" t="s">
        <v>243</v>
      </c>
      <c r="P345">
        <v>0.10501754366155748</v>
      </c>
      <c r="Q345" t="s">
        <v>161</v>
      </c>
    </row>
    <row r="346" spans="9:17" x14ac:dyDescent="0.45">
      <c r="I346" t="s">
        <v>183</v>
      </c>
      <c r="J346" t="s">
        <v>164</v>
      </c>
      <c r="K346">
        <v>4.4753623777102916E-2</v>
      </c>
      <c r="L346" t="s">
        <v>161</v>
      </c>
      <c r="N346" t="s">
        <v>206</v>
      </c>
      <c r="O346" t="s">
        <v>164</v>
      </c>
      <c r="P346">
        <v>6.2965851928473121E-2</v>
      </c>
      <c r="Q346" t="s">
        <v>161</v>
      </c>
    </row>
    <row r="347" spans="9:17" x14ac:dyDescent="0.45">
      <c r="I347" t="s">
        <v>183</v>
      </c>
      <c r="J347" t="s">
        <v>165</v>
      </c>
      <c r="K347">
        <v>3.1382215208792197E-2</v>
      </c>
      <c r="L347" t="s">
        <v>161</v>
      </c>
      <c r="N347" t="s">
        <v>206</v>
      </c>
      <c r="O347" t="s">
        <v>165</v>
      </c>
      <c r="P347">
        <v>6.07778870409379E-3</v>
      </c>
      <c r="Q347" t="s">
        <v>161</v>
      </c>
    </row>
    <row r="348" spans="9:17" x14ac:dyDescent="0.45">
      <c r="I348" t="s">
        <v>183</v>
      </c>
      <c r="J348" t="s">
        <v>166</v>
      </c>
      <c r="K348">
        <v>0.27286808724012152</v>
      </c>
      <c r="L348" t="s">
        <v>161</v>
      </c>
      <c r="N348" t="s">
        <v>206</v>
      </c>
      <c r="O348" t="s">
        <v>166</v>
      </c>
      <c r="P348">
        <v>4.434952122976258E-2</v>
      </c>
      <c r="Q348" t="s">
        <v>161</v>
      </c>
    </row>
    <row r="349" spans="9:17" x14ac:dyDescent="0.45">
      <c r="I349" t="s">
        <v>183</v>
      </c>
      <c r="J349" t="s">
        <v>244</v>
      </c>
      <c r="K349">
        <v>3.2439899949352591E-2</v>
      </c>
      <c r="L349" t="s">
        <v>161</v>
      </c>
      <c r="N349" t="s">
        <v>206</v>
      </c>
      <c r="O349" t="s">
        <v>244</v>
      </c>
      <c r="P349">
        <v>7.7795767690304173E-3</v>
      </c>
      <c r="Q349" t="s">
        <v>161</v>
      </c>
    </row>
    <row r="350" spans="9:17" x14ac:dyDescent="0.45">
      <c r="I350" t="s">
        <v>183</v>
      </c>
      <c r="J350" t="s">
        <v>245</v>
      </c>
      <c r="K350">
        <v>6.6812141774134082E-2</v>
      </c>
      <c r="L350" t="s">
        <v>161</v>
      </c>
      <c r="N350" t="s">
        <v>206</v>
      </c>
      <c r="O350" t="s">
        <v>245</v>
      </c>
      <c r="P350">
        <v>6.3929286158043885E-2</v>
      </c>
      <c r="Q350" t="s">
        <v>161</v>
      </c>
    </row>
    <row r="351" spans="9:17" x14ac:dyDescent="0.45">
      <c r="I351" t="s">
        <v>183</v>
      </c>
      <c r="J351" t="s">
        <v>167</v>
      </c>
      <c r="K351">
        <v>1.2142568022416662E-2</v>
      </c>
      <c r="L351" t="s">
        <v>161</v>
      </c>
      <c r="N351" t="s">
        <v>206</v>
      </c>
      <c r="O351" t="s">
        <v>167</v>
      </c>
      <c r="P351">
        <v>3.0886067879761253E-2</v>
      </c>
      <c r="Q351" t="s">
        <v>161</v>
      </c>
    </row>
    <row r="352" spans="9:17" x14ac:dyDescent="0.45">
      <c r="I352" t="s">
        <v>183</v>
      </c>
      <c r="J352" t="s">
        <v>168</v>
      </c>
      <c r="K352">
        <v>1.2878794607629588E-2</v>
      </c>
      <c r="L352" t="s">
        <v>161</v>
      </c>
      <c r="N352" t="s">
        <v>206</v>
      </c>
      <c r="O352" t="s">
        <v>168</v>
      </c>
      <c r="P352">
        <v>3.5863434519501263E-3</v>
      </c>
      <c r="Q352" t="s">
        <v>161</v>
      </c>
    </row>
    <row r="353" spans="9:17" x14ac:dyDescent="0.45">
      <c r="I353" t="s">
        <v>183</v>
      </c>
      <c r="J353" t="s">
        <v>169</v>
      </c>
      <c r="K353">
        <v>0.12274727030759387</v>
      </c>
      <c r="L353" t="s">
        <v>161</v>
      </c>
      <c r="N353" t="s">
        <v>206</v>
      </c>
      <c r="O353" t="s">
        <v>169</v>
      </c>
      <c r="P353">
        <v>2.4190099581548472E-2</v>
      </c>
      <c r="Q353" t="s">
        <v>161</v>
      </c>
    </row>
    <row r="354" spans="9:17" x14ac:dyDescent="0.45">
      <c r="I354" t="s">
        <v>183</v>
      </c>
      <c r="J354" t="s">
        <v>246</v>
      </c>
      <c r="K354">
        <v>1.3715180860731877E-2</v>
      </c>
      <c r="L354" t="s">
        <v>161</v>
      </c>
      <c r="N354" t="s">
        <v>206</v>
      </c>
      <c r="O354" t="s">
        <v>246</v>
      </c>
      <c r="P354">
        <v>3.6279619592988117E-3</v>
      </c>
      <c r="Q354" t="s">
        <v>161</v>
      </c>
    </row>
    <row r="355" spans="9:17" x14ac:dyDescent="0.45">
      <c r="I355" t="s">
        <v>183</v>
      </c>
      <c r="J355" t="s">
        <v>247</v>
      </c>
      <c r="K355">
        <v>2.3805563364610642E-2</v>
      </c>
      <c r="L355" t="s">
        <v>161</v>
      </c>
      <c r="N355" t="s">
        <v>206</v>
      </c>
      <c r="O355" t="s">
        <v>247</v>
      </c>
      <c r="P355">
        <v>2.5556988813143965E-2</v>
      </c>
      <c r="Q355" t="s">
        <v>161</v>
      </c>
    </row>
    <row r="356" spans="9:17" x14ac:dyDescent="0.45">
      <c r="I356" t="s">
        <v>183</v>
      </c>
      <c r="J356" t="s">
        <v>170</v>
      </c>
      <c r="K356">
        <v>1.8890102469499592E-3</v>
      </c>
      <c r="L356" t="s">
        <v>161</v>
      </c>
      <c r="N356" t="s">
        <v>206</v>
      </c>
      <c r="O356" t="s">
        <v>170</v>
      </c>
      <c r="P356">
        <v>4.9076402057415043E-2</v>
      </c>
      <c r="Q356" t="s">
        <v>161</v>
      </c>
    </row>
    <row r="357" spans="9:17" x14ac:dyDescent="0.45">
      <c r="I357" t="s">
        <v>183</v>
      </c>
      <c r="J357" t="s">
        <v>171</v>
      </c>
      <c r="K357">
        <v>4.720682719714671E-3</v>
      </c>
      <c r="L357" t="s">
        <v>161</v>
      </c>
      <c r="N357" t="s">
        <v>206</v>
      </c>
      <c r="O357" t="s">
        <v>171</v>
      </c>
      <c r="P357">
        <v>6.6979578488860214E-3</v>
      </c>
      <c r="Q357" t="s">
        <v>161</v>
      </c>
    </row>
    <row r="358" spans="9:17" x14ac:dyDescent="0.45">
      <c r="I358" t="s">
        <v>183</v>
      </c>
      <c r="J358" t="s">
        <v>172</v>
      </c>
      <c r="K358">
        <v>7.261472672080227E-2</v>
      </c>
      <c r="L358" t="s">
        <v>161</v>
      </c>
      <c r="N358" t="s">
        <v>206</v>
      </c>
      <c r="O358" t="s">
        <v>172</v>
      </c>
      <c r="P358">
        <v>4.0687958611055994E-2</v>
      </c>
      <c r="Q358" t="s">
        <v>161</v>
      </c>
    </row>
    <row r="359" spans="9:17" x14ac:dyDescent="0.45">
      <c r="I359" t="s">
        <v>183</v>
      </c>
      <c r="J359" t="s">
        <v>248</v>
      </c>
      <c r="K359">
        <v>7.9034295330354856E-3</v>
      </c>
      <c r="L359" t="s">
        <v>161</v>
      </c>
      <c r="N359" t="s">
        <v>206</v>
      </c>
      <c r="O359" t="s">
        <v>248</v>
      </c>
      <c r="P359">
        <v>5.4867122367620088E-3</v>
      </c>
      <c r="Q359" t="s">
        <v>161</v>
      </c>
    </row>
    <row r="360" spans="9:17" x14ac:dyDescent="0.45">
      <c r="I360" t="s">
        <v>183</v>
      </c>
      <c r="J360" t="s">
        <v>249</v>
      </c>
      <c r="K360">
        <v>5.4206134739713E-3</v>
      </c>
      <c r="L360" t="s">
        <v>161</v>
      </c>
      <c r="N360" t="s">
        <v>206</v>
      </c>
      <c r="O360" t="s">
        <v>249</v>
      </c>
      <c r="P360">
        <v>4.5424912296021976E-2</v>
      </c>
      <c r="Q360" t="s">
        <v>161</v>
      </c>
    </row>
    <row r="361" spans="9:17" x14ac:dyDescent="0.45">
      <c r="I361" t="s">
        <v>183</v>
      </c>
      <c r="J361" t="s">
        <v>250</v>
      </c>
      <c r="K361">
        <v>0</v>
      </c>
      <c r="L361" t="s">
        <v>161</v>
      </c>
      <c r="N361" t="s">
        <v>206</v>
      </c>
      <c r="O361" t="s">
        <v>250</v>
      </c>
      <c r="P361">
        <v>7.4952001500914425E-2</v>
      </c>
      <c r="Q361" t="s">
        <v>161</v>
      </c>
    </row>
    <row r="362" spans="9:17" x14ac:dyDescent="0.45">
      <c r="I362" t="s">
        <v>183</v>
      </c>
      <c r="J362" t="s">
        <v>251</v>
      </c>
      <c r="K362">
        <v>7.3841552474211751E-5</v>
      </c>
      <c r="L362" t="s">
        <v>161</v>
      </c>
      <c r="N362" t="s">
        <v>206</v>
      </c>
      <c r="O362" t="s">
        <v>251</v>
      </c>
      <c r="P362">
        <v>9.9138079424823528E-3</v>
      </c>
      <c r="Q362" t="s">
        <v>161</v>
      </c>
    </row>
    <row r="363" spans="9:17" x14ac:dyDescent="0.45">
      <c r="I363" t="s">
        <v>183</v>
      </c>
      <c r="J363" t="s">
        <v>252</v>
      </c>
      <c r="K363">
        <v>3.4949017462901071E-2</v>
      </c>
      <c r="L363" t="s">
        <v>161</v>
      </c>
      <c r="N363" t="s">
        <v>206</v>
      </c>
      <c r="O363" t="s">
        <v>252</v>
      </c>
      <c r="P363">
        <v>5.8778734310468934E-2</v>
      </c>
      <c r="Q363" t="s">
        <v>161</v>
      </c>
    </row>
    <row r="364" spans="9:17" x14ac:dyDescent="0.45">
      <c r="I364" t="s">
        <v>183</v>
      </c>
      <c r="J364" t="s">
        <v>253</v>
      </c>
      <c r="K364">
        <v>2.2793828105295163E-3</v>
      </c>
      <c r="L364" t="s">
        <v>161</v>
      </c>
      <c r="N364" t="s">
        <v>206</v>
      </c>
      <c r="O364" t="s">
        <v>253</v>
      </c>
      <c r="P364">
        <v>8.0061414312507049E-3</v>
      </c>
      <c r="Q364" t="s">
        <v>161</v>
      </c>
    </row>
    <row r="365" spans="9:17" x14ac:dyDescent="0.45">
      <c r="I365" t="s">
        <v>183</v>
      </c>
      <c r="J365" t="s">
        <v>254</v>
      </c>
      <c r="K365">
        <v>0</v>
      </c>
      <c r="L365" t="s">
        <v>161</v>
      </c>
      <c r="N365" t="s">
        <v>206</v>
      </c>
      <c r="O365" t="s">
        <v>254</v>
      </c>
      <c r="P365">
        <v>6.2655830811969931E-2</v>
      </c>
      <c r="Q365" t="s">
        <v>161</v>
      </c>
    </row>
    <row r="366" spans="9:17" x14ac:dyDescent="0.45">
      <c r="I366" t="s">
        <v>183</v>
      </c>
      <c r="J366" t="s">
        <v>255</v>
      </c>
      <c r="K366">
        <v>0</v>
      </c>
      <c r="L366" t="s">
        <v>161</v>
      </c>
      <c r="N366" t="s">
        <v>206</v>
      </c>
      <c r="O366" t="s">
        <v>255</v>
      </c>
      <c r="P366">
        <v>6.1278427145331224E-3</v>
      </c>
      <c r="Q366" t="s">
        <v>161</v>
      </c>
    </row>
    <row r="367" spans="9:17" x14ac:dyDescent="0.45">
      <c r="I367" t="s">
        <v>183</v>
      </c>
      <c r="J367" t="s">
        <v>256</v>
      </c>
      <c r="K367">
        <v>0</v>
      </c>
      <c r="L367" t="s">
        <v>161</v>
      </c>
      <c r="N367" t="s">
        <v>206</v>
      </c>
      <c r="O367" t="s">
        <v>256</v>
      </c>
      <c r="P367">
        <v>6.132043853959311E-4</v>
      </c>
      <c r="Q367" t="s">
        <v>161</v>
      </c>
    </row>
    <row r="368" spans="9:17" x14ac:dyDescent="0.45">
      <c r="I368" t="s">
        <v>183</v>
      </c>
      <c r="J368" t="s">
        <v>257</v>
      </c>
      <c r="K368">
        <v>4.3123012190556809E-3</v>
      </c>
      <c r="L368" t="s">
        <v>161</v>
      </c>
      <c r="N368" t="s">
        <v>206</v>
      </c>
      <c r="O368" t="s">
        <v>257</v>
      </c>
      <c r="P368">
        <v>3.2657051871271179E-3</v>
      </c>
      <c r="Q368" t="s">
        <v>161</v>
      </c>
    </row>
    <row r="369" spans="9:17" x14ac:dyDescent="0.45">
      <c r="I369" t="s">
        <v>183</v>
      </c>
      <c r="J369" t="s">
        <v>258</v>
      </c>
      <c r="K369">
        <v>4.1705320761914228E-4</v>
      </c>
      <c r="L369" t="s">
        <v>161</v>
      </c>
      <c r="N369" t="s">
        <v>206</v>
      </c>
      <c r="O369" t="s">
        <v>258</v>
      </c>
      <c r="P369">
        <v>3.9339947003964664E-4</v>
      </c>
      <c r="Q369" t="s">
        <v>161</v>
      </c>
    </row>
    <row r="370" spans="9:17" x14ac:dyDescent="0.45">
      <c r="I370" t="s">
        <v>183</v>
      </c>
      <c r="J370" t="s">
        <v>259</v>
      </c>
      <c r="K370">
        <v>0</v>
      </c>
      <c r="L370" t="s">
        <v>161</v>
      </c>
      <c r="N370" t="s">
        <v>206</v>
      </c>
      <c r="O370" t="s">
        <v>259</v>
      </c>
      <c r="P370">
        <v>3.968729679163137E-3</v>
      </c>
      <c r="Q370" t="s">
        <v>161</v>
      </c>
    </row>
    <row r="371" spans="9:17" x14ac:dyDescent="0.45">
      <c r="I371" t="s">
        <v>184</v>
      </c>
      <c r="J371" t="s">
        <v>160</v>
      </c>
      <c r="K371">
        <v>1.3340588674905769E-2</v>
      </c>
      <c r="L371" t="s">
        <v>161</v>
      </c>
      <c r="N371" t="s">
        <v>207</v>
      </c>
      <c r="O371" t="s">
        <v>160</v>
      </c>
      <c r="P371">
        <v>0.13122171406261304</v>
      </c>
      <c r="Q371" t="s">
        <v>161</v>
      </c>
    </row>
    <row r="372" spans="9:17" x14ac:dyDescent="0.45">
      <c r="I372" t="s">
        <v>184</v>
      </c>
      <c r="J372" t="s">
        <v>162</v>
      </c>
      <c r="K372">
        <v>1.5983416282998507E-2</v>
      </c>
      <c r="L372" t="s">
        <v>161</v>
      </c>
      <c r="N372" t="s">
        <v>207</v>
      </c>
      <c r="O372" t="s">
        <v>162</v>
      </c>
      <c r="P372">
        <v>1.6147989767177771E-2</v>
      </c>
      <c r="Q372" t="s">
        <v>161</v>
      </c>
    </row>
    <row r="373" spans="9:17" x14ac:dyDescent="0.45">
      <c r="I373" t="s">
        <v>184</v>
      </c>
      <c r="J373" t="s">
        <v>163</v>
      </c>
      <c r="K373">
        <v>0.18375231250701579</v>
      </c>
      <c r="L373" t="s">
        <v>161</v>
      </c>
      <c r="N373" t="s">
        <v>207</v>
      </c>
      <c r="O373" t="s">
        <v>163</v>
      </c>
      <c r="P373">
        <v>9.1320629717143331E-2</v>
      </c>
      <c r="Q373" t="s">
        <v>161</v>
      </c>
    </row>
    <row r="374" spans="9:17" x14ac:dyDescent="0.45">
      <c r="I374" t="s">
        <v>184</v>
      </c>
      <c r="J374" t="s">
        <v>242</v>
      </c>
      <c r="K374">
        <v>1.7547997126432135E-2</v>
      </c>
      <c r="L374" t="s">
        <v>161</v>
      </c>
      <c r="N374" t="s">
        <v>207</v>
      </c>
      <c r="O374" t="s">
        <v>242</v>
      </c>
      <c r="P374">
        <v>1.281428701405553E-2</v>
      </c>
      <c r="Q374" t="s">
        <v>161</v>
      </c>
    </row>
    <row r="375" spans="9:17" x14ac:dyDescent="0.45">
      <c r="I375" t="s">
        <v>184</v>
      </c>
      <c r="J375" t="s">
        <v>243</v>
      </c>
      <c r="K375">
        <v>1.5080156672979477E-2</v>
      </c>
      <c r="L375" t="s">
        <v>161</v>
      </c>
      <c r="N375" t="s">
        <v>207</v>
      </c>
      <c r="O375" t="s">
        <v>243</v>
      </c>
      <c r="P375">
        <v>0.10996273038089949</v>
      </c>
      <c r="Q375" t="s">
        <v>161</v>
      </c>
    </row>
    <row r="376" spans="9:17" x14ac:dyDescent="0.45">
      <c r="I376" t="s">
        <v>184</v>
      </c>
      <c r="J376" t="s">
        <v>164</v>
      </c>
      <c r="K376">
        <v>4.9706560826251509E-2</v>
      </c>
      <c r="L376" t="s">
        <v>161</v>
      </c>
      <c r="N376" t="s">
        <v>207</v>
      </c>
      <c r="O376" t="s">
        <v>164</v>
      </c>
      <c r="P376">
        <v>7.5678166635623212E-2</v>
      </c>
      <c r="Q376" t="s">
        <v>161</v>
      </c>
    </row>
    <row r="377" spans="9:17" x14ac:dyDescent="0.45">
      <c r="I377" t="s">
        <v>184</v>
      </c>
      <c r="J377" t="s">
        <v>165</v>
      </c>
      <c r="K377">
        <v>2.8626514275549644E-2</v>
      </c>
      <c r="L377" t="s">
        <v>161</v>
      </c>
      <c r="N377" t="s">
        <v>207</v>
      </c>
      <c r="O377" t="s">
        <v>165</v>
      </c>
      <c r="P377">
        <v>5.9208743272068627E-3</v>
      </c>
      <c r="Q377" t="s">
        <v>161</v>
      </c>
    </row>
    <row r="378" spans="9:17" x14ac:dyDescent="0.45">
      <c r="I378" t="s">
        <v>184</v>
      </c>
      <c r="J378" t="s">
        <v>166</v>
      </c>
      <c r="K378">
        <v>0.26619960238745327</v>
      </c>
      <c r="L378" t="s">
        <v>161</v>
      </c>
      <c r="N378" t="s">
        <v>207</v>
      </c>
      <c r="O378" t="s">
        <v>166</v>
      </c>
      <c r="P378">
        <v>4.2528178404120993E-2</v>
      </c>
      <c r="Q378" t="s">
        <v>161</v>
      </c>
    </row>
    <row r="379" spans="9:17" x14ac:dyDescent="0.45">
      <c r="I379" t="s">
        <v>184</v>
      </c>
      <c r="J379" t="s">
        <v>244</v>
      </c>
      <c r="K379">
        <v>3.1919815410266644E-2</v>
      </c>
      <c r="L379" t="s">
        <v>161</v>
      </c>
      <c r="N379" t="s">
        <v>207</v>
      </c>
      <c r="O379" t="s">
        <v>244</v>
      </c>
      <c r="P379">
        <v>7.884117707644852E-3</v>
      </c>
      <c r="Q379" t="s">
        <v>161</v>
      </c>
    </row>
    <row r="380" spans="9:17" x14ac:dyDescent="0.45">
      <c r="I380" t="s">
        <v>184</v>
      </c>
      <c r="J380" t="s">
        <v>245</v>
      </c>
      <c r="K380">
        <v>5.8546714021829538E-2</v>
      </c>
      <c r="L380" t="s">
        <v>161</v>
      </c>
      <c r="N380" t="s">
        <v>207</v>
      </c>
      <c r="O380" t="s">
        <v>245</v>
      </c>
      <c r="P380">
        <v>7.2557453086308427E-2</v>
      </c>
      <c r="Q380" t="s">
        <v>161</v>
      </c>
    </row>
    <row r="381" spans="9:17" x14ac:dyDescent="0.45">
      <c r="I381" t="s">
        <v>184</v>
      </c>
      <c r="J381" t="s">
        <v>167</v>
      </c>
      <c r="K381">
        <v>1.6817390207082235E-2</v>
      </c>
      <c r="L381" t="s">
        <v>161</v>
      </c>
      <c r="N381" t="s">
        <v>207</v>
      </c>
      <c r="O381" t="s">
        <v>167</v>
      </c>
      <c r="P381">
        <v>3.6051519909489224E-2</v>
      </c>
      <c r="Q381" t="s">
        <v>161</v>
      </c>
    </row>
    <row r="382" spans="9:17" x14ac:dyDescent="0.45">
      <c r="I382" t="s">
        <v>184</v>
      </c>
      <c r="J382" t="s">
        <v>168</v>
      </c>
      <c r="K382">
        <v>1.3086263376984044E-2</v>
      </c>
      <c r="L382" t="s">
        <v>161</v>
      </c>
      <c r="N382" t="s">
        <v>207</v>
      </c>
      <c r="O382" t="s">
        <v>168</v>
      </c>
      <c r="P382">
        <v>2.9294566467651531E-3</v>
      </c>
      <c r="Q382" t="s">
        <v>161</v>
      </c>
    </row>
    <row r="383" spans="9:17" x14ac:dyDescent="0.45">
      <c r="I383" t="s">
        <v>184</v>
      </c>
      <c r="J383" t="s">
        <v>169</v>
      </c>
      <c r="K383">
        <v>0.11790717573321795</v>
      </c>
      <c r="L383" t="s">
        <v>161</v>
      </c>
      <c r="N383" t="s">
        <v>207</v>
      </c>
      <c r="O383" t="s">
        <v>169</v>
      </c>
      <c r="P383">
        <v>2.0842934833452825E-2</v>
      </c>
      <c r="Q383" t="s">
        <v>161</v>
      </c>
    </row>
    <row r="384" spans="9:17" x14ac:dyDescent="0.45">
      <c r="I384" t="s">
        <v>184</v>
      </c>
      <c r="J384" t="s">
        <v>246</v>
      </c>
      <c r="K384">
        <v>1.4216106809269286E-2</v>
      </c>
      <c r="L384" t="s">
        <v>161</v>
      </c>
      <c r="N384" t="s">
        <v>207</v>
      </c>
      <c r="O384" t="s">
        <v>246</v>
      </c>
      <c r="P384">
        <v>3.0327601472810465E-3</v>
      </c>
      <c r="Q384" t="s">
        <v>161</v>
      </c>
    </row>
    <row r="385" spans="9:17" x14ac:dyDescent="0.45">
      <c r="I385" t="s">
        <v>184</v>
      </c>
      <c r="J385" t="s">
        <v>247</v>
      </c>
      <c r="K385">
        <v>2.0370942334253603E-2</v>
      </c>
      <c r="L385" t="s">
        <v>161</v>
      </c>
      <c r="N385" t="s">
        <v>207</v>
      </c>
      <c r="O385" t="s">
        <v>247</v>
      </c>
      <c r="P385">
        <v>2.7531451444062657E-2</v>
      </c>
      <c r="Q385" t="s">
        <v>161</v>
      </c>
    </row>
    <row r="386" spans="9:17" x14ac:dyDescent="0.45">
      <c r="I386" t="s">
        <v>184</v>
      </c>
      <c r="J386" t="s">
        <v>170</v>
      </c>
      <c r="K386">
        <v>4.226004077384991E-3</v>
      </c>
      <c r="L386" t="s">
        <v>161</v>
      </c>
      <c r="N386" t="s">
        <v>207</v>
      </c>
      <c r="O386" t="s">
        <v>170</v>
      </c>
      <c r="P386">
        <v>4.6655895124488721E-2</v>
      </c>
      <c r="Q386" t="s">
        <v>161</v>
      </c>
    </row>
    <row r="387" spans="9:17" x14ac:dyDescent="0.45">
      <c r="I387" t="s">
        <v>184</v>
      </c>
      <c r="J387" t="s">
        <v>171</v>
      </c>
      <c r="K387">
        <v>7.4484324227632884E-3</v>
      </c>
      <c r="L387" t="s">
        <v>161</v>
      </c>
      <c r="N387" t="s">
        <v>207</v>
      </c>
      <c r="O387" t="s">
        <v>171</v>
      </c>
      <c r="P387">
        <v>5.9572142408353254E-3</v>
      </c>
      <c r="Q387" t="s">
        <v>161</v>
      </c>
    </row>
    <row r="388" spans="9:17" x14ac:dyDescent="0.45">
      <c r="I388" t="s">
        <v>184</v>
      </c>
      <c r="J388" t="s">
        <v>172</v>
      </c>
      <c r="K388">
        <v>7.4644403140791946E-2</v>
      </c>
      <c r="L388" t="s">
        <v>161</v>
      </c>
      <c r="N388" t="s">
        <v>207</v>
      </c>
      <c r="O388" t="s">
        <v>172</v>
      </c>
      <c r="P388">
        <v>3.1037038560195369E-2</v>
      </c>
      <c r="Q388" t="s">
        <v>161</v>
      </c>
    </row>
    <row r="389" spans="9:17" x14ac:dyDescent="0.45">
      <c r="I389" t="s">
        <v>184</v>
      </c>
      <c r="J389" t="s">
        <v>248</v>
      </c>
      <c r="K389">
        <v>6.755636434088024E-3</v>
      </c>
      <c r="L389" t="s">
        <v>161</v>
      </c>
      <c r="N389" t="s">
        <v>207</v>
      </c>
      <c r="O389" t="s">
        <v>248</v>
      </c>
      <c r="P389">
        <v>4.7203850831757359E-3</v>
      </c>
      <c r="Q389" t="s">
        <v>161</v>
      </c>
    </row>
    <row r="390" spans="9:17" x14ac:dyDescent="0.45">
      <c r="I390" t="s">
        <v>184</v>
      </c>
      <c r="J390" t="s">
        <v>249</v>
      </c>
      <c r="K390">
        <v>2.7874894958683292E-3</v>
      </c>
      <c r="L390" t="s">
        <v>161</v>
      </c>
      <c r="N390" t="s">
        <v>207</v>
      </c>
      <c r="O390" t="s">
        <v>249</v>
      </c>
      <c r="P390">
        <v>4.2586258741589202E-2</v>
      </c>
      <c r="Q390" t="s">
        <v>161</v>
      </c>
    </row>
    <row r="391" spans="9:17" x14ac:dyDescent="0.45">
      <c r="I391" t="s">
        <v>184</v>
      </c>
      <c r="J391" t="s">
        <v>250</v>
      </c>
      <c r="K391">
        <v>0</v>
      </c>
      <c r="L391" t="s">
        <v>161</v>
      </c>
      <c r="N391" t="s">
        <v>207</v>
      </c>
      <c r="O391" t="s">
        <v>250</v>
      </c>
      <c r="P391">
        <v>7.552968461269785E-2</v>
      </c>
      <c r="Q391" t="s">
        <v>161</v>
      </c>
    </row>
    <row r="392" spans="9:17" x14ac:dyDescent="0.45">
      <c r="I392" t="s">
        <v>184</v>
      </c>
      <c r="J392" t="s">
        <v>251</v>
      </c>
      <c r="K392">
        <v>1.6858081573298605E-3</v>
      </c>
      <c r="L392" t="s">
        <v>161</v>
      </c>
      <c r="N392" t="s">
        <v>207</v>
      </c>
      <c r="O392" t="s">
        <v>251</v>
      </c>
      <c r="P392">
        <v>8.6453675794480236E-3</v>
      </c>
      <c r="Q392" t="s">
        <v>161</v>
      </c>
    </row>
    <row r="393" spans="9:17" x14ac:dyDescent="0.45">
      <c r="I393" t="s">
        <v>184</v>
      </c>
      <c r="J393" t="s">
        <v>252</v>
      </c>
      <c r="K393">
        <v>3.6374941635086214E-2</v>
      </c>
      <c r="L393" t="s">
        <v>161</v>
      </c>
      <c r="N393" t="s">
        <v>207</v>
      </c>
      <c r="O393" t="s">
        <v>252</v>
      </c>
      <c r="P393">
        <v>4.5504198349216124E-2</v>
      </c>
      <c r="Q393" t="s">
        <v>161</v>
      </c>
    </row>
    <row r="394" spans="9:17" x14ac:dyDescent="0.45">
      <c r="I394" t="s">
        <v>184</v>
      </c>
      <c r="J394" t="s">
        <v>253</v>
      </c>
      <c r="K394">
        <v>2.7806355170446396E-4</v>
      </c>
      <c r="L394" t="s">
        <v>161</v>
      </c>
      <c r="N394" t="s">
        <v>207</v>
      </c>
      <c r="O394" t="s">
        <v>253</v>
      </c>
      <c r="P394">
        <v>6.7121792530780728E-3</v>
      </c>
      <c r="Q394" t="s">
        <v>161</v>
      </c>
    </row>
    <row r="395" spans="9:17" x14ac:dyDescent="0.45">
      <c r="I395" t="s">
        <v>184</v>
      </c>
      <c r="J395" t="s">
        <v>254</v>
      </c>
      <c r="K395">
        <v>0</v>
      </c>
      <c r="L395" t="s">
        <v>161</v>
      </c>
      <c r="N395" t="s">
        <v>207</v>
      </c>
      <c r="O395" t="s">
        <v>254</v>
      </c>
      <c r="P395">
        <v>6.382417598620567E-2</v>
      </c>
      <c r="Q395" t="s">
        <v>161</v>
      </c>
    </row>
    <row r="396" spans="9:17" x14ac:dyDescent="0.45">
      <c r="I396" t="s">
        <v>184</v>
      </c>
      <c r="J396" t="s">
        <v>255</v>
      </c>
      <c r="K396">
        <v>0</v>
      </c>
      <c r="L396" t="s">
        <v>161</v>
      </c>
      <c r="N396" t="s">
        <v>207</v>
      </c>
      <c r="O396" t="s">
        <v>255</v>
      </c>
      <c r="P396">
        <v>6.9324673874105822E-3</v>
      </c>
      <c r="Q396" t="s">
        <v>161</v>
      </c>
    </row>
    <row r="397" spans="9:17" x14ac:dyDescent="0.45">
      <c r="I397" t="s">
        <v>184</v>
      </c>
      <c r="J397" t="s">
        <v>256</v>
      </c>
      <c r="K397">
        <v>0</v>
      </c>
      <c r="L397" t="s">
        <v>161</v>
      </c>
      <c r="N397" t="s">
        <v>207</v>
      </c>
      <c r="O397" t="s">
        <v>256</v>
      </c>
      <c r="P397">
        <v>3.7935144368702402E-4</v>
      </c>
      <c r="Q397" t="s">
        <v>161</v>
      </c>
    </row>
    <row r="398" spans="9:17" x14ac:dyDescent="0.45">
      <c r="I398" t="s">
        <v>184</v>
      </c>
      <c r="J398" t="s">
        <v>257</v>
      </c>
      <c r="K398">
        <v>2.6976644384907392E-3</v>
      </c>
      <c r="L398" t="s">
        <v>161</v>
      </c>
      <c r="N398" t="s">
        <v>207</v>
      </c>
      <c r="O398" t="s">
        <v>257</v>
      </c>
      <c r="P398">
        <v>1.2970659101607007E-3</v>
      </c>
      <c r="Q398" t="s">
        <v>161</v>
      </c>
    </row>
    <row r="399" spans="9:17" x14ac:dyDescent="0.45">
      <c r="I399" t="s">
        <v>184</v>
      </c>
      <c r="J399" t="s">
        <v>258</v>
      </c>
      <c r="K399">
        <v>0</v>
      </c>
      <c r="L399" t="s">
        <v>161</v>
      </c>
      <c r="N399" t="s">
        <v>207</v>
      </c>
      <c r="O399" t="s">
        <v>258</v>
      </c>
      <c r="P399">
        <v>1.7706292111294831E-4</v>
      </c>
      <c r="Q399" t="s">
        <v>161</v>
      </c>
    </row>
    <row r="400" spans="9:17" x14ac:dyDescent="0.45">
      <c r="I400" t="s">
        <v>184</v>
      </c>
      <c r="J400" t="s">
        <v>259</v>
      </c>
      <c r="K400">
        <v>0</v>
      </c>
      <c r="L400" t="s">
        <v>161</v>
      </c>
      <c r="N400" t="s">
        <v>207</v>
      </c>
      <c r="O400" t="s">
        <v>259</v>
      </c>
      <c r="P400">
        <v>3.6173907228528785E-3</v>
      </c>
      <c r="Q400" t="s">
        <v>161</v>
      </c>
    </row>
    <row r="401" spans="9:17" x14ac:dyDescent="0.45">
      <c r="I401" t="s">
        <v>185</v>
      </c>
      <c r="J401" t="s">
        <v>160</v>
      </c>
      <c r="K401">
        <v>1.4343955362867885E-2</v>
      </c>
      <c r="L401" t="s">
        <v>161</v>
      </c>
      <c r="N401" t="s">
        <v>208</v>
      </c>
      <c r="O401" t="s">
        <v>160</v>
      </c>
      <c r="P401">
        <v>0.12156264342345419</v>
      </c>
      <c r="Q401" t="s">
        <v>161</v>
      </c>
    </row>
    <row r="402" spans="9:17" x14ac:dyDescent="0.45">
      <c r="I402" t="s">
        <v>185</v>
      </c>
      <c r="J402" t="s">
        <v>162</v>
      </c>
      <c r="K402">
        <v>1.7050212795346222E-2</v>
      </c>
      <c r="L402" t="s">
        <v>161</v>
      </c>
      <c r="N402" t="s">
        <v>208</v>
      </c>
      <c r="O402" t="s">
        <v>162</v>
      </c>
      <c r="P402">
        <v>1.5771709446987289E-2</v>
      </c>
      <c r="Q402" t="s">
        <v>161</v>
      </c>
    </row>
    <row r="403" spans="9:17" x14ac:dyDescent="0.45">
      <c r="I403" t="s">
        <v>185</v>
      </c>
      <c r="J403" t="s">
        <v>163</v>
      </c>
      <c r="K403">
        <v>0.18486945589467613</v>
      </c>
      <c r="L403" t="s">
        <v>161</v>
      </c>
      <c r="N403" t="s">
        <v>208</v>
      </c>
      <c r="O403" t="s">
        <v>163</v>
      </c>
      <c r="P403">
        <v>9.9905883909373008E-2</v>
      </c>
      <c r="Q403" t="s">
        <v>161</v>
      </c>
    </row>
    <row r="404" spans="9:17" x14ac:dyDescent="0.45">
      <c r="I404" t="s">
        <v>185</v>
      </c>
      <c r="J404" t="s">
        <v>242</v>
      </c>
      <c r="K404">
        <v>1.620129141500137E-2</v>
      </c>
      <c r="L404" t="s">
        <v>161</v>
      </c>
      <c r="N404" t="s">
        <v>208</v>
      </c>
      <c r="O404" t="s">
        <v>242</v>
      </c>
      <c r="P404">
        <v>1.4896812943634239E-2</v>
      </c>
      <c r="Q404" t="s">
        <v>161</v>
      </c>
    </row>
    <row r="405" spans="9:17" x14ac:dyDescent="0.45">
      <c r="I405" t="s">
        <v>185</v>
      </c>
      <c r="J405" t="s">
        <v>243</v>
      </c>
      <c r="K405">
        <v>1.2927011052495767E-2</v>
      </c>
      <c r="L405" t="s">
        <v>161</v>
      </c>
      <c r="N405" t="s">
        <v>208</v>
      </c>
      <c r="O405" t="s">
        <v>243</v>
      </c>
      <c r="P405">
        <v>0.10763733146620405</v>
      </c>
      <c r="Q405" t="s">
        <v>161</v>
      </c>
    </row>
    <row r="406" spans="9:17" x14ac:dyDescent="0.45">
      <c r="I406" t="s">
        <v>185</v>
      </c>
      <c r="J406" t="s">
        <v>164</v>
      </c>
      <c r="K406">
        <v>5.6579544773610435E-2</v>
      </c>
      <c r="L406" t="s">
        <v>161</v>
      </c>
      <c r="N406" t="s">
        <v>208</v>
      </c>
      <c r="O406" t="s">
        <v>164</v>
      </c>
      <c r="P406">
        <v>6.5394400674427505E-2</v>
      </c>
      <c r="Q406" t="s">
        <v>161</v>
      </c>
    </row>
    <row r="407" spans="9:17" x14ac:dyDescent="0.45">
      <c r="I407" t="s">
        <v>185</v>
      </c>
      <c r="J407" t="s">
        <v>165</v>
      </c>
      <c r="K407">
        <v>3.0976571507975489E-2</v>
      </c>
      <c r="L407" t="s">
        <v>161</v>
      </c>
      <c r="N407" t="s">
        <v>208</v>
      </c>
      <c r="O407" t="s">
        <v>165</v>
      </c>
      <c r="P407">
        <v>6.483323189294103E-3</v>
      </c>
      <c r="Q407" t="s">
        <v>161</v>
      </c>
    </row>
    <row r="408" spans="9:17" x14ac:dyDescent="0.45">
      <c r="I408" t="s">
        <v>185</v>
      </c>
      <c r="J408" t="s">
        <v>166</v>
      </c>
      <c r="K408">
        <v>0.26323002960129799</v>
      </c>
      <c r="L408" t="s">
        <v>161</v>
      </c>
      <c r="N408" t="s">
        <v>208</v>
      </c>
      <c r="O408" t="s">
        <v>166</v>
      </c>
      <c r="P408">
        <v>4.9287230774702623E-2</v>
      </c>
      <c r="Q408" t="s">
        <v>161</v>
      </c>
    </row>
    <row r="409" spans="9:17" x14ac:dyDescent="0.45">
      <c r="I409" t="s">
        <v>185</v>
      </c>
      <c r="J409" t="s">
        <v>244</v>
      </c>
      <c r="K409">
        <v>2.9126564993091741E-2</v>
      </c>
      <c r="L409" t="s">
        <v>161</v>
      </c>
      <c r="N409" t="s">
        <v>208</v>
      </c>
      <c r="O409" t="s">
        <v>244</v>
      </c>
      <c r="P409">
        <v>9.0162929640089633E-3</v>
      </c>
      <c r="Q409" t="s">
        <v>161</v>
      </c>
    </row>
    <row r="410" spans="9:17" x14ac:dyDescent="0.45">
      <c r="I410" t="s">
        <v>185</v>
      </c>
      <c r="J410" t="s">
        <v>245</v>
      </c>
      <c r="K410">
        <v>5.3478912701935437E-2</v>
      </c>
      <c r="L410" t="s">
        <v>161</v>
      </c>
      <c r="N410" t="s">
        <v>208</v>
      </c>
      <c r="O410" t="s">
        <v>245</v>
      </c>
      <c r="P410">
        <v>6.9192358163150572E-2</v>
      </c>
      <c r="Q410" t="s">
        <v>161</v>
      </c>
    </row>
    <row r="411" spans="9:17" x14ac:dyDescent="0.45">
      <c r="I411" t="s">
        <v>185</v>
      </c>
      <c r="J411" t="s">
        <v>167</v>
      </c>
      <c r="K411">
        <v>1.9631872601681689E-2</v>
      </c>
      <c r="L411" t="s">
        <v>161</v>
      </c>
      <c r="N411" t="s">
        <v>208</v>
      </c>
      <c r="O411" t="s">
        <v>167</v>
      </c>
      <c r="P411">
        <v>3.3453869397953626E-2</v>
      </c>
      <c r="Q411" t="s">
        <v>161</v>
      </c>
    </row>
    <row r="412" spans="9:17" x14ac:dyDescent="0.45">
      <c r="I412" t="s">
        <v>185</v>
      </c>
      <c r="J412" t="s">
        <v>168</v>
      </c>
      <c r="K412">
        <v>1.4123119123968185E-2</v>
      </c>
      <c r="L412" t="s">
        <v>161</v>
      </c>
      <c r="N412" t="s">
        <v>208</v>
      </c>
      <c r="O412" t="s">
        <v>168</v>
      </c>
      <c r="P412">
        <v>3.2873960607078838E-3</v>
      </c>
      <c r="Q412" t="s">
        <v>161</v>
      </c>
    </row>
    <row r="413" spans="9:17" x14ac:dyDescent="0.45">
      <c r="I413" t="s">
        <v>185</v>
      </c>
      <c r="J413" t="s">
        <v>169</v>
      </c>
      <c r="K413">
        <v>0.11828652456633039</v>
      </c>
      <c r="L413" t="s">
        <v>161</v>
      </c>
      <c r="N413" t="s">
        <v>208</v>
      </c>
      <c r="O413" t="s">
        <v>169</v>
      </c>
      <c r="P413">
        <v>2.4427392641754843E-2</v>
      </c>
      <c r="Q413" t="s">
        <v>161</v>
      </c>
    </row>
    <row r="414" spans="9:17" x14ac:dyDescent="0.45">
      <c r="I414" t="s">
        <v>185</v>
      </c>
      <c r="J414" t="s">
        <v>246</v>
      </c>
      <c r="K414">
        <v>1.3796105083155877E-2</v>
      </c>
      <c r="L414" t="s">
        <v>161</v>
      </c>
      <c r="N414" t="s">
        <v>208</v>
      </c>
      <c r="O414" t="s">
        <v>246</v>
      </c>
      <c r="P414">
        <v>3.897570571976336E-3</v>
      </c>
      <c r="Q414" t="s">
        <v>161</v>
      </c>
    </row>
    <row r="415" spans="9:17" x14ac:dyDescent="0.45">
      <c r="I415" t="s">
        <v>185</v>
      </c>
      <c r="J415" t="s">
        <v>247</v>
      </c>
      <c r="K415">
        <v>1.8351976285873085E-2</v>
      </c>
      <c r="L415" t="s">
        <v>161</v>
      </c>
      <c r="N415" t="s">
        <v>208</v>
      </c>
      <c r="O415" t="s">
        <v>247</v>
      </c>
      <c r="P415">
        <v>2.7309379644258978E-2</v>
      </c>
      <c r="Q415" t="s">
        <v>161</v>
      </c>
    </row>
    <row r="416" spans="9:17" x14ac:dyDescent="0.45">
      <c r="I416" t="s">
        <v>185</v>
      </c>
      <c r="J416" t="s">
        <v>170</v>
      </c>
      <c r="K416">
        <v>4.5596296378322063E-3</v>
      </c>
      <c r="L416" t="s">
        <v>161</v>
      </c>
      <c r="N416" t="s">
        <v>208</v>
      </c>
      <c r="O416" t="s">
        <v>170</v>
      </c>
      <c r="P416">
        <v>4.2626819537166079E-2</v>
      </c>
      <c r="Q416" t="s">
        <v>161</v>
      </c>
    </row>
    <row r="417" spans="9:17" x14ac:dyDescent="0.45">
      <c r="I417" t="s">
        <v>185</v>
      </c>
      <c r="J417" t="s">
        <v>171</v>
      </c>
      <c r="K417">
        <v>7.8255520876699541E-3</v>
      </c>
      <c r="L417" t="s">
        <v>161</v>
      </c>
      <c r="N417" t="s">
        <v>208</v>
      </c>
      <c r="O417" t="s">
        <v>171</v>
      </c>
      <c r="P417">
        <v>5.5406449485912012E-3</v>
      </c>
      <c r="Q417" t="s">
        <v>161</v>
      </c>
    </row>
    <row r="418" spans="9:17" x14ac:dyDescent="0.45">
      <c r="I418" t="s">
        <v>185</v>
      </c>
      <c r="J418" t="s">
        <v>172</v>
      </c>
      <c r="K418">
        <v>7.5170230361347082E-2</v>
      </c>
      <c r="L418" t="s">
        <v>161</v>
      </c>
      <c r="N418" t="s">
        <v>208</v>
      </c>
      <c r="O418" t="s">
        <v>172</v>
      </c>
      <c r="P418">
        <v>3.6375632370520113E-2</v>
      </c>
      <c r="Q418" t="s">
        <v>161</v>
      </c>
    </row>
    <row r="419" spans="9:17" x14ac:dyDescent="0.45">
      <c r="I419" t="s">
        <v>185</v>
      </c>
      <c r="J419" t="s">
        <v>248</v>
      </c>
      <c r="K419">
        <v>6.0331982894917154E-3</v>
      </c>
      <c r="L419" t="s">
        <v>161</v>
      </c>
      <c r="N419" t="s">
        <v>208</v>
      </c>
      <c r="O419" t="s">
        <v>248</v>
      </c>
      <c r="P419">
        <v>5.1107721000041174E-3</v>
      </c>
      <c r="Q419" t="s">
        <v>161</v>
      </c>
    </row>
    <row r="420" spans="9:17" x14ac:dyDescent="0.45">
      <c r="I420" t="s">
        <v>185</v>
      </c>
      <c r="J420" t="s">
        <v>249</v>
      </c>
      <c r="K420">
        <v>2.2768578974194263E-3</v>
      </c>
      <c r="L420" t="s">
        <v>161</v>
      </c>
      <c r="N420" t="s">
        <v>208</v>
      </c>
      <c r="O420" t="s">
        <v>249</v>
      </c>
      <c r="P420">
        <v>4.130998156220099E-2</v>
      </c>
      <c r="Q420" t="s">
        <v>161</v>
      </c>
    </row>
    <row r="421" spans="9:17" x14ac:dyDescent="0.45">
      <c r="I421" t="s">
        <v>185</v>
      </c>
      <c r="J421" t="s">
        <v>250</v>
      </c>
      <c r="K421">
        <v>0</v>
      </c>
      <c r="L421" t="s">
        <v>161</v>
      </c>
      <c r="N421" t="s">
        <v>208</v>
      </c>
      <c r="O421" t="s">
        <v>250</v>
      </c>
      <c r="P421">
        <v>7.5206395401859916E-2</v>
      </c>
      <c r="Q421" t="s">
        <v>161</v>
      </c>
    </row>
    <row r="422" spans="9:17" x14ac:dyDescent="0.45">
      <c r="I422" t="s">
        <v>185</v>
      </c>
      <c r="J422" t="s">
        <v>251</v>
      </c>
      <c r="K422">
        <v>1.9513961261331642E-3</v>
      </c>
      <c r="L422" t="s">
        <v>161</v>
      </c>
      <c r="N422" t="s">
        <v>208</v>
      </c>
      <c r="O422" t="s">
        <v>251</v>
      </c>
      <c r="P422">
        <v>9.7694614806882255E-3</v>
      </c>
      <c r="Q422" t="s">
        <v>161</v>
      </c>
    </row>
    <row r="423" spans="9:17" x14ac:dyDescent="0.45">
      <c r="I423" t="s">
        <v>185</v>
      </c>
      <c r="J423" t="s">
        <v>252</v>
      </c>
      <c r="K423">
        <v>3.6078763761797313E-2</v>
      </c>
      <c r="L423" t="s">
        <v>161</v>
      </c>
      <c r="N423" t="s">
        <v>208</v>
      </c>
      <c r="O423" t="s">
        <v>252</v>
      </c>
      <c r="P423">
        <v>5.6278874997208184E-2</v>
      </c>
      <c r="Q423" t="s">
        <v>161</v>
      </c>
    </row>
    <row r="424" spans="9:17" x14ac:dyDescent="0.45">
      <c r="I424" t="s">
        <v>185</v>
      </c>
      <c r="J424" t="s">
        <v>253</v>
      </c>
      <c r="K424">
        <v>1.9024790052778832E-4</v>
      </c>
      <c r="L424" t="s">
        <v>161</v>
      </c>
      <c r="N424" t="s">
        <v>208</v>
      </c>
      <c r="O424" t="s">
        <v>253</v>
      </c>
      <c r="P424">
        <v>7.5925845484394322E-3</v>
      </c>
      <c r="Q424" t="s">
        <v>161</v>
      </c>
    </row>
    <row r="425" spans="9:17" x14ac:dyDescent="0.45">
      <c r="I425" t="s">
        <v>185</v>
      </c>
      <c r="J425" t="s">
        <v>254</v>
      </c>
      <c r="K425">
        <v>0</v>
      </c>
      <c r="L425" t="s">
        <v>161</v>
      </c>
      <c r="N425" t="s">
        <v>208</v>
      </c>
      <c r="O425" t="s">
        <v>254</v>
      </c>
      <c r="P425">
        <v>6.0099624751183044E-2</v>
      </c>
      <c r="Q425" t="s">
        <v>161</v>
      </c>
    </row>
    <row r="426" spans="9:17" x14ac:dyDescent="0.45">
      <c r="I426" t="s">
        <v>185</v>
      </c>
      <c r="J426" t="s">
        <v>255</v>
      </c>
      <c r="K426">
        <v>0</v>
      </c>
      <c r="L426" t="s">
        <v>161</v>
      </c>
      <c r="N426" t="s">
        <v>208</v>
      </c>
      <c r="O426" t="s">
        <v>255</v>
      </c>
      <c r="P426">
        <v>4.2511897757166418E-3</v>
      </c>
      <c r="Q426" t="s">
        <v>161</v>
      </c>
    </row>
    <row r="427" spans="9:17" x14ac:dyDescent="0.45">
      <c r="I427" t="s">
        <v>185</v>
      </c>
      <c r="J427" t="s">
        <v>256</v>
      </c>
      <c r="K427">
        <v>0</v>
      </c>
      <c r="L427" t="s">
        <v>161</v>
      </c>
      <c r="N427" t="s">
        <v>208</v>
      </c>
      <c r="O427" t="s">
        <v>256</v>
      </c>
      <c r="P427">
        <v>5.4887136294244317E-4</v>
      </c>
      <c r="Q427" t="s">
        <v>161</v>
      </c>
    </row>
    <row r="428" spans="9:17" x14ac:dyDescent="0.45">
      <c r="I428" t="s">
        <v>185</v>
      </c>
      <c r="J428" t="s">
        <v>257</v>
      </c>
      <c r="K428">
        <v>2.9409761784765136E-3</v>
      </c>
      <c r="L428" t="s">
        <v>161</v>
      </c>
      <c r="N428" t="s">
        <v>208</v>
      </c>
      <c r="O428" t="s">
        <v>257</v>
      </c>
      <c r="P428">
        <v>1.6406141354611086E-3</v>
      </c>
      <c r="Q428" t="s">
        <v>161</v>
      </c>
    </row>
    <row r="429" spans="9:17" x14ac:dyDescent="0.45">
      <c r="I429" t="s">
        <v>185</v>
      </c>
      <c r="J429" t="s">
        <v>258</v>
      </c>
      <c r="K429">
        <v>0</v>
      </c>
      <c r="L429" t="s">
        <v>161</v>
      </c>
      <c r="N429" t="s">
        <v>208</v>
      </c>
      <c r="O429" t="s">
        <v>258</v>
      </c>
      <c r="P429">
        <v>1.5157608828336811E-4</v>
      </c>
      <c r="Q429" t="s">
        <v>161</v>
      </c>
    </row>
    <row r="430" spans="9:17" x14ac:dyDescent="0.45">
      <c r="I430" t="s">
        <v>185</v>
      </c>
      <c r="J430" t="s">
        <v>259</v>
      </c>
      <c r="K430">
        <v>0</v>
      </c>
      <c r="L430" t="s">
        <v>161</v>
      </c>
      <c r="N430" t="s">
        <v>208</v>
      </c>
      <c r="O430" t="s">
        <v>259</v>
      </c>
      <c r="P430">
        <v>1.9733616678454945E-3</v>
      </c>
      <c r="Q430" t="s">
        <v>161</v>
      </c>
    </row>
    <row r="431" spans="9:17" x14ac:dyDescent="0.45">
      <c r="I431" t="s">
        <v>186</v>
      </c>
      <c r="J431" t="s">
        <v>160</v>
      </c>
      <c r="K431">
        <v>1.66103267121256E-2</v>
      </c>
      <c r="L431" t="s">
        <v>161</v>
      </c>
      <c r="N431" t="s">
        <v>209</v>
      </c>
      <c r="O431" t="s">
        <v>160</v>
      </c>
      <c r="P431">
        <v>0.121197869508104</v>
      </c>
      <c r="Q431" t="s">
        <v>161</v>
      </c>
    </row>
    <row r="432" spans="9:17" x14ac:dyDescent="0.45">
      <c r="I432" t="s">
        <v>186</v>
      </c>
      <c r="J432" t="s">
        <v>162</v>
      </c>
      <c r="K432">
        <v>1.8050747860733029E-2</v>
      </c>
      <c r="L432" t="s">
        <v>161</v>
      </c>
      <c r="N432" t="s">
        <v>209</v>
      </c>
      <c r="O432" t="s">
        <v>162</v>
      </c>
      <c r="P432">
        <v>1.4533163983154304E-2</v>
      </c>
      <c r="Q432" t="s">
        <v>161</v>
      </c>
    </row>
    <row r="433" spans="9:17" x14ac:dyDescent="0.45">
      <c r="I433" t="s">
        <v>186</v>
      </c>
      <c r="J433" t="s">
        <v>163</v>
      </c>
      <c r="K433">
        <v>0.18197567595316566</v>
      </c>
      <c r="L433" t="s">
        <v>161</v>
      </c>
      <c r="N433" t="s">
        <v>209</v>
      </c>
      <c r="O433" t="s">
        <v>163</v>
      </c>
      <c r="P433">
        <v>8.7733582597063944E-2</v>
      </c>
      <c r="Q433" t="s">
        <v>161</v>
      </c>
    </row>
    <row r="434" spans="9:17" x14ac:dyDescent="0.45">
      <c r="I434" t="s">
        <v>186</v>
      </c>
      <c r="J434" t="s">
        <v>242</v>
      </c>
      <c r="K434">
        <v>1.5656381834926066E-2</v>
      </c>
      <c r="L434" t="s">
        <v>161</v>
      </c>
      <c r="N434" t="s">
        <v>209</v>
      </c>
      <c r="O434" t="s">
        <v>242</v>
      </c>
      <c r="P434">
        <v>1.3643217298286988E-2</v>
      </c>
      <c r="Q434" t="s">
        <v>161</v>
      </c>
    </row>
    <row r="435" spans="9:17" x14ac:dyDescent="0.45">
      <c r="I435" t="s">
        <v>186</v>
      </c>
      <c r="J435" t="s">
        <v>243</v>
      </c>
      <c r="K435">
        <v>1.2224696928061239E-2</v>
      </c>
      <c r="L435" t="s">
        <v>161</v>
      </c>
      <c r="N435" t="s">
        <v>209</v>
      </c>
      <c r="O435" t="s">
        <v>243</v>
      </c>
      <c r="P435">
        <v>0.10381059484491925</v>
      </c>
      <c r="Q435" t="s">
        <v>161</v>
      </c>
    </row>
    <row r="436" spans="9:17" x14ac:dyDescent="0.45">
      <c r="I436" t="s">
        <v>186</v>
      </c>
      <c r="J436" t="s">
        <v>164</v>
      </c>
      <c r="K436">
        <v>6.5472172303405865E-2</v>
      </c>
      <c r="L436" t="s">
        <v>161</v>
      </c>
      <c r="N436" t="s">
        <v>209</v>
      </c>
      <c r="O436" t="s">
        <v>164</v>
      </c>
      <c r="P436">
        <v>6.8496253032396578E-2</v>
      </c>
      <c r="Q436" t="s">
        <v>161</v>
      </c>
    </row>
    <row r="437" spans="9:17" x14ac:dyDescent="0.45">
      <c r="I437" t="s">
        <v>186</v>
      </c>
      <c r="J437" t="s">
        <v>165</v>
      </c>
      <c r="K437">
        <v>3.3553714605410359E-2</v>
      </c>
      <c r="L437" t="s">
        <v>161</v>
      </c>
      <c r="N437" t="s">
        <v>209</v>
      </c>
      <c r="O437" t="s">
        <v>165</v>
      </c>
      <c r="P437">
        <v>7.3047042406450841E-3</v>
      </c>
      <c r="Q437" t="s">
        <v>161</v>
      </c>
    </row>
    <row r="438" spans="9:17" x14ac:dyDescent="0.45">
      <c r="I438" t="s">
        <v>186</v>
      </c>
      <c r="J438" t="s">
        <v>166</v>
      </c>
      <c r="K438">
        <v>0.26483229254052426</v>
      </c>
      <c r="L438" t="s">
        <v>161</v>
      </c>
      <c r="N438" t="s">
        <v>209</v>
      </c>
      <c r="O438" t="s">
        <v>166</v>
      </c>
      <c r="P438">
        <v>5.1568880145741444E-2</v>
      </c>
      <c r="Q438" t="s">
        <v>161</v>
      </c>
    </row>
    <row r="439" spans="9:17" x14ac:dyDescent="0.45">
      <c r="I439" t="s">
        <v>186</v>
      </c>
      <c r="J439" t="s">
        <v>244</v>
      </c>
      <c r="K439">
        <v>2.8809714813585668E-2</v>
      </c>
      <c r="L439" t="s">
        <v>161</v>
      </c>
      <c r="N439" t="s">
        <v>209</v>
      </c>
      <c r="O439" t="s">
        <v>244</v>
      </c>
      <c r="P439">
        <v>8.0147886860878342E-3</v>
      </c>
      <c r="Q439" t="s">
        <v>161</v>
      </c>
    </row>
    <row r="440" spans="9:17" x14ac:dyDescent="0.45">
      <c r="I440" t="s">
        <v>186</v>
      </c>
      <c r="J440" t="s">
        <v>245</v>
      </c>
      <c r="K440">
        <v>4.9458165495658374E-2</v>
      </c>
      <c r="L440" t="s">
        <v>161</v>
      </c>
      <c r="N440" t="s">
        <v>209</v>
      </c>
      <c r="O440" t="s">
        <v>245</v>
      </c>
      <c r="P440">
        <v>6.2932716496379326E-2</v>
      </c>
      <c r="Q440" t="s">
        <v>161</v>
      </c>
    </row>
    <row r="441" spans="9:17" x14ac:dyDescent="0.45">
      <c r="I441" t="s">
        <v>186</v>
      </c>
      <c r="J441" t="s">
        <v>167</v>
      </c>
      <c r="K441">
        <v>2.247644281390879E-2</v>
      </c>
      <c r="L441" t="s">
        <v>161</v>
      </c>
      <c r="N441" t="s">
        <v>209</v>
      </c>
      <c r="O441" t="s">
        <v>167</v>
      </c>
      <c r="P441">
        <v>2.9128084729255235E-2</v>
      </c>
      <c r="Q441" t="s">
        <v>161</v>
      </c>
    </row>
    <row r="442" spans="9:17" x14ac:dyDescent="0.45">
      <c r="I442" t="s">
        <v>186</v>
      </c>
      <c r="J442" t="s">
        <v>168</v>
      </c>
      <c r="K442">
        <v>1.4925380986144297E-2</v>
      </c>
      <c r="L442" t="s">
        <v>161</v>
      </c>
      <c r="N442" t="s">
        <v>209</v>
      </c>
      <c r="O442" t="s">
        <v>168</v>
      </c>
      <c r="P442">
        <v>3.0394135782985349E-3</v>
      </c>
      <c r="Q442" t="s">
        <v>161</v>
      </c>
    </row>
    <row r="443" spans="9:17" x14ac:dyDescent="0.45">
      <c r="I443" t="s">
        <v>186</v>
      </c>
      <c r="J443" t="s">
        <v>169</v>
      </c>
      <c r="K443">
        <v>0.11639734185175879</v>
      </c>
      <c r="L443" t="s">
        <v>161</v>
      </c>
      <c r="N443" t="s">
        <v>209</v>
      </c>
      <c r="O443" t="s">
        <v>169</v>
      </c>
      <c r="P443">
        <v>1.9765182716401597E-2</v>
      </c>
      <c r="Q443" t="s">
        <v>161</v>
      </c>
    </row>
    <row r="444" spans="9:17" x14ac:dyDescent="0.45">
      <c r="I444" t="s">
        <v>186</v>
      </c>
      <c r="J444" t="s">
        <v>246</v>
      </c>
      <c r="K444">
        <v>1.2118198605731913E-2</v>
      </c>
      <c r="L444" t="s">
        <v>161</v>
      </c>
      <c r="N444" t="s">
        <v>209</v>
      </c>
      <c r="O444" t="s">
        <v>246</v>
      </c>
      <c r="P444">
        <v>3.0428277710482367E-3</v>
      </c>
      <c r="Q444" t="s">
        <v>161</v>
      </c>
    </row>
    <row r="445" spans="9:17" x14ac:dyDescent="0.45">
      <c r="I445" t="s">
        <v>186</v>
      </c>
      <c r="J445" t="s">
        <v>247</v>
      </c>
      <c r="K445">
        <v>1.6611926073173463E-2</v>
      </c>
      <c r="L445" t="s">
        <v>161</v>
      </c>
      <c r="N445" t="s">
        <v>209</v>
      </c>
      <c r="O445" t="s">
        <v>247</v>
      </c>
      <c r="P445">
        <v>2.4086790746377654E-2</v>
      </c>
      <c r="Q445" t="s">
        <v>161</v>
      </c>
    </row>
    <row r="446" spans="9:17" x14ac:dyDescent="0.45">
      <c r="I446" t="s">
        <v>186</v>
      </c>
      <c r="J446" t="s">
        <v>170</v>
      </c>
      <c r="K446">
        <v>4.65660366424354E-3</v>
      </c>
      <c r="L446" t="s">
        <v>161</v>
      </c>
      <c r="N446" t="s">
        <v>209</v>
      </c>
      <c r="O446" t="s">
        <v>170</v>
      </c>
      <c r="P446">
        <v>5.158887895847987E-2</v>
      </c>
      <c r="Q446" t="s">
        <v>161</v>
      </c>
    </row>
    <row r="447" spans="9:17" x14ac:dyDescent="0.45">
      <c r="I447" t="s">
        <v>186</v>
      </c>
      <c r="J447" t="s">
        <v>171</v>
      </c>
      <c r="K447">
        <v>7.3309709373379434E-3</v>
      </c>
      <c r="L447" t="s">
        <v>161</v>
      </c>
      <c r="N447" t="s">
        <v>209</v>
      </c>
      <c r="O447" t="s">
        <v>171</v>
      </c>
      <c r="P447">
        <v>6.1625895330889198E-3</v>
      </c>
      <c r="Q447" t="s">
        <v>161</v>
      </c>
    </row>
    <row r="448" spans="9:17" x14ac:dyDescent="0.45">
      <c r="I448" t="s">
        <v>186</v>
      </c>
      <c r="J448" t="s">
        <v>172</v>
      </c>
      <c r="K448">
        <v>7.0827651747053563E-2</v>
      </c>
      <c r="L448" t="s">
        <v>161</v>
      </c>
      <c r="N448" t="s">
        <v>209</v>
      </c>
      <c r="O448" t="s">
        <v>172</v>
      </c>
      <c r="P448">
        <v>3.6947952115824564E-2</v>
      </c>
      <c r="Q448" t="s">
        <v>161</v>
      </c>
    </row>
    <row r="449" spans="9:17" x14ac:dyDescent="0.45">
      <c r="I449" t="s">
        <v>186</v>
      </c>
      <c r="J449" t="s">
        <v>248</v>
      </c>
      <c r="K449">
        <v>5.234491107209467E-3</v>
      </c>
      <c r="L449" t="s">
        <v>161</v>
      </c>
      <c r="N449" t="s">
        <v>209</v>
      </c>
      <c r="O449" t="s">
        <v>248</v>
      </c>
      <c r="P449">
        <v>5.6388912801688534E-3</v>
      </c>
      <c r="Q449" t="s">
        <v>161</v>
      </c>
    </row>
    <row r="450" spans="9:17" x14ac:dyDescent="0.45">
      <c r="I450" t="s">
        <v>186</v>
      </c>
      <c r="J450" t="s">
        <v>249</v>
      </c>
      <c r="K450">
        <v>1.9304386862527142E-3</v>
      </c>
      <c r="L450" t="s">
        <v>161</v>
      </c>
      <c r="N450" t="s">
        <v>209</v>
      </c>
      <c r="O450" t="s">
        <v>249</v>
      </c>
      <c r="P450">
        <v>4.554481451075431E-2</v>
      </c>
      <c r="Q450" t="s">
        <v>161</v>
      </c>
    </row>
    <row r="451" spans="9:17" x14ac:dyDescent="0.45">
      <c r="I451" t="s">
        <v>186</v>
      </c>
      <c r="J451" t="s">
        <v>250</v>
      </c>
      <c r="K451">
        <v>4.3753041276753114E-9</v>
      </c>
      <c r="L451" t="s">
        <v>161</v>
      </c>
      <c r="N451" t="s">
        <v>209</v>
      </c>
      <c r="O451" t="s">
        <v>250</v>
      </c>
      <c r="P451">
        <v>7.2594449717840778E-2</v>
      </c>
      <c r="Q451" t="s">
        <v>161</v>
      </c>
    </row>
    <row r="452" spans="9:17" x14ac:dyDescent="0.45">
      <c r="I452" t="s">
        <v>186</v>
      </c>
      <c r="J452" t="s">
        <v>251</v>
      </c>
      <c r="K452">
        <v>1.899296000337104E-3</v>
      </c>
      <c r="L452" t="s">
        <v>161</v>
      </c>
      <c r="N452" t="s">
        <v>209</v>
      </c>
      <c r="O452" t="s">
        <v>251</v>
      </c>
      <c r="P452">
        <v>8.2316792975972476E-3</v>
      </c>
      <c r="Q452" t="s">
        <v>161</v>
      </c>
    </row>
    <row r="453" spans="9:17" x14ac:dyDescent="0.45">
      <c r="I453" t="s">
        <v>186</v>
      </c>
      <c r="J453" t="s">
        <v>252</v>
      </c>
      <c r="K453">
        <v>3.520204025999514E-2</v>
      </c>
      <c r="L453" t="s">
        <v>161</v>
      </c>
      <c r="N453" t="s">
        <v>209</v>
      </c>
      <c r="O453" t="s">
        <v>252</v>
      </c>
      <c r="P453">
        <v>5.385226977002687E-2</v>
      </c>
      <c r="Q453" t="s">
        <v>161</v>
      </c>
    </row>
    <row r="454" spans="9:17" x14ac:dyDescent="0.45">
      <c r="I454" t="s">
        <v>186</v>
      </c>
      <c r="J454" t="s">
        <v>253</v>
      </c>
      <c r="K454">
        <v>3.7914751457427632E-5</v>
      </c>
      <c r="L454" t="s">
        <v>161</v>
      </c>
      <c r="N454" t="s">
        <v>209</v>
      </c>
      <c r="O454" t="s">
        <v>253</v>
      </c>
      <c r="P454">
        <v>8.9423265297521627E-3</v>
      </c>
      <c r="Q454" t="s">
        <v>161</v>
      </c>
    </row>
    <row r="455" spans="9:17" x14ac:dyDescent="0.45">
      <c r="I455" t="s">
        <v>186</v>
      </c>
      <c r="J455" t="s">
        <v>254</v>
      </c>
      <c r="K455">
        <v>0</v>
      </c>
      <c r="L455" t="s">
        <v>161</v>
      </c>
      <c r="N455" t="s">
        <v>209</v>
      </c>
      <c r="O455" t="s">
        <v>254</v>
      </c>
      <c r="P455">
        <v>6.6633363645001761E-2</v>
      </c>
      <c r="Q455" t="s">
        <v>161</v>
      </c>
    </row>
    <row r="456" spans="9:17" x14ac:dyDescent="0.45">
      <c r="I456" t="s">
        <v>186</v>
      </c>
      <c r="J456" t="s">
        <v>255</v>
      </c>
      <c r="K456">
        <v>0</v>
      </c>
      <c r="L456" t="s">
        <v>161</v>
      </c>
      <c r="N456" t="s">
        <v>209</v>
      </c>
      <c r="O456" t="s">
        <v>255</v>
      </c>
      <c r="P456">
        <v>8.8134526577344358E-3</v>
      </c>
      <c r="Q456" t="s">
        <v>161</v>
      </c>
    </row>
    <row r="457" spans="9:17" x14ac:dyDescent="0.45">
      <c r="I457" t="s">
        <v>186</v>
      </c>
      <c r="J457" t="s">
        <v>256</v>
      </c>
      <c r="K457">
        <v>0</v>
      </c>
      <c r="L457" t="s">
        <v>161</v>
      </c>
      <c r="N457" t="s">
        <v>209</v>
      </c>
      <c r="O457" t="s">
        <v>256</v>
      </c>
      <c r="P457">
        <v>1.2054498665621592E-3</v>
      </c>
      <c r="Q457" t="s">
        <v>161</v>
      </c>
    </row>
    <row r="458" spans="9:17" x14ac:dyDescent="0.45">
      <c r="I458" t="s">
        <v>186</v>
      </c>
      <c r="J458" t="s">
        <v>257</v>
      </c>
      <c r="K458">
        <v>3.7074090924945099E-3</v>
      </c>
      <c r="L458" t="s">
        <v>161</v>
      </c>
      <c r="N458" t="s">
        <v>209</v>
      </c>
      <c r="O458" t="s">
        <v>257</v>
      </c>
      <c r="P458">
        <v>6.7186540809573373E-3</v>
      </c>
      <c r="Q458" t="s">
        <v>161</v>
      </c>
    </row>
    <row r="459" spans="9:17" x14ac:dyDescent="0.45">
      <c r="I459" t="s">
        <v>186</v>
      </c>
      <c r="J459" t="s">
        <v>258</v>
      </c>
      <c r="K459">
        <v>0</v>
      </c>
      <c r="L459" t="s">
        <v>161</v>
      </c>
      <c r="N459" t="s">
        <v>209</v>
      </c>
      <c r="O459" t="s">
        <v>258</v>
      </c>
      <c r="P459">
        <v>1.0102797863020855E-3</v>
      </c>
      <c r="Q459" t="s">
        <v>161</v>
      </c>
    </row>
    <row r="460" spans="9:17" x14ac:dyDescent="0.45">
      <c r="I460" t="s">
        <v>186</v>
      </c>
      <c r="J460" t="s">
        <v>259</v>
      </c>
      <c r="K460">
        <v>0</v>
      </c>
      <c r="L460" t="s">
        <v>161</v>
      </c>
      <c r="N460" t="s">
        <v>209</v>
      </c>
      <c r="O460" t="s">
        <v>259</v>
      </c>
      <c r="P460">
        <v>7.8168778757473998E-3</v>
      </c>
      <c r="Q460" t="s">
        <v>161</v>
      </c>
    </row>
    <row r="461" spans="9:17" x14ac:dyDescent="0.45">
      <c r="I461" t="s">
        <v>187</v>
      </c>
      <c r="J461" t="s">
        <v>160</v>
      </c>
      <c r="K461">
        <v>1.6742728142402657E-2</v>
      </c>
      <c r="L461" t="s">
        <v>161</v>
      </c>
      <c r="N461" t="s">
        <v>210</v>
      </c>
      <c r="O461" t="s">
        <v>160</v>
      </c>
      <c r="P461">
        <v>0.12007407086175123</v>
      </c>
      <c r="Q461" t="s">
        <v>161</v>
      </c>
    </row>
    <row r="462" spans="9:17" x14ac:dyDescent="0.45">
      <c r="I462" t="s">
        <v>187</v>
      </c>
      <c r="J462" t="s">
        <v>162</v>
      </c>
      <c r="K462">
        <v>1.7565896260164811E-2</v>
      </c>
      <c r="L462" t="s">
        <v>161</v>
      </c>
      <c r="N462" t="s">
        <v>210</v>
      </c>
      <c r="O462" t="s">
        <v>162</v>
      </c>
      <c r="P462">
        <v>1.4704790091726566E-2</v>
      </c>
      <c r="Q462" t="s">
        <v>161</v>
      </c>
    </row>
    <row r="463" spans="9:17" x14ac:dyDescent="0.45">
      <c r="I463" t="s">
        <v>187</v>
      </c>
      <c r="J463" t="s">
        <v>163</v>
      </c>
      <c r="K463">
        <v>0.17923554728971139</v>
      </c>
      <c r="L463" t="s">
        <v>161</v>
      </c>
      <c r="N463" t="s">
        <v>210</v>
      </c>
      <c r="O463" t="s">
        <v>163</v>
      </c>
      <c r="P463">
        <v>9.0453337164236092E-2</v>
      </c>
      <c r="Q463" t="s">
        <v>161</v>
      </c>
    </row>
    <row r="464" spans="9:17" x14ac:dyDescent="0.45">
      <c r="I464" t="s">
        <v>187</v>
      </c>
      <c r="J464" t="s">
        <v>242</v>
      </c>
      <c r="K464">
        <v>1.6262547369214047E-2</v>
      </c>
      <c r="L464" t="s">
        <v>161</v>
      </c>
      <c r="N464" t="s">
        <v>210</v>
      </c>
      <c r="O464" t="s">
        <v>242</v>
      </c>
      <c r="P464">
        <v>1.4025928328047253E-2</v>
      </c>
      <c r="Q464" t="s">
        <v>161</v>
      </c>
    </row>
    <row r="465" spans="9:17" x14ac:dyDescent="0.45">
      <c r="I465" t="s">
        <v>187</v>
      </c>
      <c r="J465" t="s">
        <v>243</v>
      </c>
      <c r="K465">
        <v>1.3850392843150674E-2</v>
      </c>
      <c r="L465" t="s">
        <v>161</v>
      </c>
      <c r="N465" t="s">
        <v>210</v>
      </c>
      <c r="O465" t="s">
        <v>243</v>
      </c>
      <c r="P465">
        <v>0.10572914025262356</v>
      </c>
      <c r="Q465" t="s">
        <v>161</v>
      </c>
    </row>
    <row r="466" spans="9:17" x14ac:dyDescent="0.45">
      <c r="I466" t="s">
        <v>187</v>
      </c>
      <c r="J466" t="s">
        <v>164</v>
      </c>
      <c r="K466">
        <v>6.2346161747632321E-2</v>
      </c>
      <c r="L466" t="s">
        <v>161</v>
      </c>
      <c r="N466" t="s">
        <v>210</v>
      </c>
      <c r="O466" t="s">
        <v>164</v>
      </c>
      <c r="P466">
        <v>6.2564322309708528E-2</v>
      </c>
      <c r="Q466" t="s">
        <v>161</v>
      </c>
    </row>
    <row r="467" spans="9:17" x14ac:dyDescent="0.45">
      <c r="I467" t="s">
        <v>187</v>
      </c>
      <c r="J467" t="s">
        <v>165</v>
      </c>
      <c r="K467">
        <v>3.1283734436433938E-2</v>
      </c>
      <c r="L467" t="s">
        <v>161</v>
      </c>
      <c r="N467" t="s">
        <v>210</v>
      </c>
      <c r="O467" t="s">
        <v>165</v>
      </c>
      <c r="P467">
        <v>6.7351330634240055E-3</v>
      </c>
      <c r="Q467" t="s">
        <v>161</v>
      </c>
    </row>
    <row r="468" spans="9:17" x14ac:dyDescent="0.45">
      <c r="I468" t="s">
        <v>187</v>
      </c>
      <c r="J468" t="s">
        <v>166</v>
      </c>
      <c r="K468">
        <v>0.26581696891320633</v>
      </c>
      <c r="L468" t="s">
        <v>161</v>
      </c>
      <c r="N468" t="s">
        <v>210</v>
      </c>
      <c r="O468" t="s">
        <v>166</v>
      </c>
      <c r="P468">
        <v>4.8272149484774429E-2</v>
      </c>
      <c r="Q468" t="s">
        <v>161</v>
      </c>
    </row>
    <row r="469" spans="9:17" x14ac:dyDescent="0.45">
      <c r="I469" t="s">
        <v>187</v>
      </c>
      <c r="J469" t="s">
        <v>244</v>
      </c>
      <c r="K469">
        <v>3.2009789572713047E-2</v>
      </c>
      <c r="L469" t="s">
        <v>161</v>
      </c>
      <c r="N469" t="s">
        <v>210</v>
      </c>
      <c r="O469" t="s">
        <v>244</v>
      </c>
      <c r="P469">
        <v>7.8833024324472725E-3</v>
      </c>
      <c r="Q469" t="s">
        <v>161</v>
      </c>
    </row>
    <row r="470" spans="9:17" x14ac:dyDescent="0.45">
      <c r="I470" t="s">
        <v>187</v>
      </c>
      <c r="J470" t="s">
        <v>245</v>
      </c>
      <c r="K470">
        <v>5.7566467857110455E-2</v>
      </c>
      <c r="L470" t="s">
        <v>161</v>
      </c>
      <c r="N470" t="s">
        <v>210</v>
      </c>
      <c r="O470" t="s">
        <v>245</v>
      </c>
      <c r="P470">
        <v>6.3486800968589635E-2</v>
      </c>
      <c r="Q470" t="s">
        <v>161</v>
      </c>
    </row>
    <row r="471" spans="9:17" x14ac:dyDescent="0.45">
      <c r="I471" t="s">
        <v>187</v>
      </c>
      <c r="J471" t="s">
        <v>167</v>
      </c>
      <c r="K471">
        <v>2.0749737071427705E-2</v>
      </c>
      <c r="L471" t="s">
        <v>161</v>
      </c>
      <c r="N471" t="s">
        <v>210</v>
      </c>
      <c r="O471" t="s">
        <v>167</v>
      </c>
      <c r="P471">
        <v>3.0040039620996589E-2</v>
      </c>
      <c r="Q471" t="s">
        <v>161</v>
      </c>
    </row>
    <row r="472" spans="9:17" x14ac:dyDescent="0.45">
      <c r="I472" t="s">
        <v>187</v>
      </c>
      <c r="J472" t="s">
        <v>168</v>
      </c>
      <c r="K472">
        <v>1.3964462509030056E-2</v>
      </c>
      <c r="L472" t="s">
        <v>161</v>
      </c>
      <c r="N472" t="s">
        <v>210</v>
      </c>
      <c r="O472" t="s">
        <v>168</v>
      </c>
      <c r="P472">
        <v>3.1373978030930266E-3</v>
      </c>
      <c r="Q472" t="s">
        <v>161</v>
      </c>
    </row>
    <row r="473" spans="9:17" x14ac:dyDescent="0.45">
      <c r="I473" t="s">
        <v>187</v>
      </c>
      <c r="J473" t="s">
        <v>169</v>
      </c>
      <c r="K473">
        <v>0.11340499961447537</v>
      </c>
      <c r="L473" t="s">
        <v>161</v>
      </c>
      <c r="N473" t="s">
        <v>210</v>
      </c>
      <c r="O473" t="s">
        <v>169</v>
      </c>
      <c r="P473">
        <v>1.9195199913303436E-2</v>
      </c>
      <c r="Q473" t="s">
        <v>161</v>
      </c>
    </row>
    <row r="474" spans="9:17" x14ac:dyDescent="0.45">
      <c r="I474" t="s">
        <v>187</v>
      </c>
      <c r="J474" t="s">
        <v>246</v>
      </c>
      <c r="K474">
        <v>1.3858724894421002E-2</v>
      </c>
      <c r="L474" t="s">
        <v>161</v>
      </c>
      <c r="N474" t="s">
        <v>210</v>
      </c>
      <c r="O474" t="s">
        <v>246</v>
      </c>
      <c r="P474">
        <v>2.9922377961056224E-3</v>
      </c>
      <c r="Q474" t="s">
        <v>161</v>
      </c>
    </row>
    <row r="475" spans="9:17" x14ac:dyDescent="0.45">
      <c r="I475" t="s">
        <v>187</v>
      </c>
      <c r="J475" t="s">
        <v>247</v>
      </c>
      <c r="K475">
        <v>1.8934476447106011E-2</v>
      </c>
      <c r="L475" t="s">
        <v>161</v>
      </c>
      <c r="N475" t="s">
        <v>210</v>
      </c>
      <c r="O475" t="s">
        <v>247</v>
      </c>
      <c r="P475">
        <v>2.3956583747755122E-2</v>
      </c>
      <c r="Q475" t="s">
        <v>161</v>
      </c>
    </row>
    <row r="476" spans="9:17" x14ac:dyDescent="0.45">
      <c r="I476" t="s">
        <v>187</v>
      </c>
      <c r="J476" t="s">
        <v>170</v>
      </c>
      <c r="K476">
        <v>4.7983696945753281E-3</v>
      </c>
      <c r="L476" t="s">
        <v>161</v>
      </c>
      <c r="N476" t="s">
        <v>210</v>
      </c>
      <c r="O476" t="s">
        <v>170</v>
      </c>
      <c r="P476">
        <v>5.4086404282382594E-2</v>
      </c>
      <c r="Q476" t="s">
        <v>161</v>
      </c>
    </row>
    <row r="477" spans="9:17" x14ac:dyDescent="0.45">
      <c r="I477" t="s">
        <v>187</v>
      </c>
      <c r="J477" t="s">
        <v>171</v>
      </c>
      <c r="K477">
        <v>7.4160780372115615E-3</v>
      </c>
      <c r="L477" t="s">
        <v>161</v>
      </c>
      <c r="N477" t="s">
        <v>210</v>
      </c>
      <c r="O477" t="s">
        <v>171</v>
      </c>
      <c r="P477">
        <v>6.5724704172395948E-3</v>
      </c>
      <c r="Q477" t="s">
        <v>161</v>
      </c>
    </row>
    <row r="478" spans="9:17" x14ac:dyDescent="0.45">
      <c r="I478" t="s">
        <v>187</v>
      </c>
      <c r="J478" t="s">
        <v>172</v>
      </c>
      <c r="K478">
        <v>6.7616440628127203E-2</v>
      </c>
      <c r="L478" t="s">
        <v>161</v>
      </c>
      <c r="N478" t="s">
        <v>210</v>
      </c>
      <c r="O478" t="s">
        <v>172</v>
      </c>
      <c r="P478">
        <v>3.6676443883287377E-2</v>
      </c>
      <c r="Q478" t="s">
        <v>161</v>
      </c>
    </row>
    <row r="479" spans="9:17" x14ac:dyDescent="0.45">
      <c r="I479" t="s">
        <v>187</v>
      </c>
      <c r="J479" t="s">
        <v>248</v>
      </c>
      <c r="K479">
        <v>5.1209502982553301E-3</v>
      </c>
      <c r="L479" t="s">
        <v>161</v>
      </c>
      <c r="N479" t="s">
        <v>210</v>
      </c>
      <c r="O479" t="s">
        <v>248</v>
      </c>
      <c r="P479">
        <v>5.4360365777397371E-3</v>
      </c>
      <c r="Q479" t="s">
        <v>161</v>
      </c>
    </row>
    <row r="480" spans="9:17" x14ac:dyDescent="0.45">
      <c r="I480" t="s">
        <v>187</v>
      </c>
      <c r="J480" t="s">
        <v>249</v>
      </c>
      <c r="K480">
        <v>1.9844561798111394E-3</v>
      </c>
      <c r="L480" t="s">
        <v>161</v>
      </c>
      <c r="N480" t="s">
        <v>210</v>
      </c>
      <c r="O480" t="s">
        <v>249</v>
      </c>
      <c r="P480">
        <v>4.8450604761761912E-2</v>
      </c>
      <c r="Q480" t="s">
        <v>161</v>
      </c>
    </row>
    <row r="481" spans="9:17" x14ac:dyDescent="0.45">
      <c r="I481" t="s">
        <v>187</v>
      </c>
      <c r="J481" t="s">
        <v>250</v>
      </c>
      <c r="K481">
        <v>0</v>
      </c>
      <c r="L481" t="s">
        <v>161</v>
      </c>
      <c r="N481" t="s">
        <v>210</v>
      </c>
      <c r="O481" t="s">
        <v>250</v>
      </c>
      <c r="P481">
        <v>7.4687581794488492E-2</v>
      </c>
      <c r="Q481" t="s">
        <v>161</v>
      </c>
    </row>
    <row r="482" spans="9:17" x14ac:dyDescent="0.45">
      <c r="I482" t="s">
        <v>187</v>
      </c>
      <c r="J482" t="s">
        <v>251</v>
      </c>
      <c r="K482">
        <v>1.7125350670200894E-3</v>
      </c>
      <c r="L482" t="s">
        <v>161</v>
      </c>
      <c r="N482" t="s">
        <v>210</v>
      </c>
      <c r="O482" t="s">
        <v>251</v>
      </c>
      <c r="P482">
        <v>8.7156765430405295E-3</v>
      </c>
      <c r="Q482" t="s">
        <v>161</v>
      </c>
    </row>
    <row r="483" spans="9:17" x14ac:dyDescent="0.45">
      <c r="I483" t="s">
        <v>187</v>
      </c>
      <c r="J483" t="s">
        <v>252</v>
      </c>
      <c r="K483">
        <v>3.4754353411969953E-2</v>
      </c>
      <c r="L483" t="s">
        <v>161</v>
      </c>
      <c r="N483" t="s">
        <v>210</v>
      </c>
      <c r="O483" t="s">
        <v>252</v>
      </c>
      <c r="P483">
        <v>5.4589600177532074E-2</v>
      </c>
      <c r="Q483" t="s">
        <v>161</v>
      </c>
    </row>
    <row r="484" spans="9:17" x14ac:dyDescent="0.45">
      <c r="I484" t="s">
        <v>187</v>
      </c>
      <c r="J484" t="s">
        <v>253</v>
      </c>
      <c r="K484">
        <v>3.5969989251436045E-6</v>
      </c>
      <c r="L484" t="s">
        <v>161</v>
      </c>
      <c r="N484" t="s">
        <v>210</v>
      </c>
      <c r="O484" t="s">
        <v>253</v>
      </c>
      <c r="P484">
        <v>8.2990256344090824E-3</v>
      </c>
      <c r="Q484" t="s">
        <v>161</v>
      </c>
    </row>
    <row r="485" spans="9:17" x14ac:dyDescent="0.45">
      <c r="I485" t="s">
        <v>187</v>
      </c>
      <c r="J485" t="s">
        <v>254</v>
      </c>
      <c r="K485">
        <v>0</v>
      </c>
      <c r="L485" t="s">
        <v>161</v>
      </c>
      <c r="N485" t="s">
        <v>210</v>
      </c>
      <c r="O485" t="s">
        <v>254</v>
      </c>
      <c r="P485">
        <v>6.5869283498235606E-2</v>
      </c>
      <c r="Q485" t="s">
        <v>161</v>
      </c>
    </row>
    <row r="486" spans="9:17" x14ac:dyDescent="0.45">
      <c r="I486" t="s">
        <v>187</v>
      </c>
      <c r="J486" t="s">
        <v>255</v>
      </c>
      <c r="K486">
        <v>0</v>
      </c>
      <c r="L486" t="s">
        <v>161</v>
      </c>
      <c r="N486" t="s">
        <v>210</v>
      </c>
      <c r="O486" t="s">
        <v>255</v>
      </c>
      <c r="P486">
        <v>8.3295878436172918E-3</v>
      </c>
      <c r="Q486" t="s">
        <v>161</v>
      </c>
    </row>
    <row r="487" spans="9:17" x14ac:dyDescent="0.45">
      <c r="I487" t="s">
        <v>187</v>
      </c>
      <c r="J487" t="s">
        <v>256</v>
      </c>
      <c r="K487">
        <v>0</v>
      </c>
      <c r="L487" t="s">
        <v>161</v>
      </c>
      <c r="N487" t="s">
        <v>210</v>
      </c>
      <c r="O487" t="s">
        <v>256</v>
      </c>
      <c r="P487">
        <v>9.5241088716196379E-4</v>
      </c>
      <c r="Q487" t="s">
        <v>161</v>
      </c>
    </row>
    <row r="488" spans="9:17" x14ac:dyDescent="0.45">
      <c r="I488" t="s">
        <v>187</v>
      </c>
      <c r="J488" t="s">
        <v>257</v>
      </c>
      <c r="K488">
        <v>3.0005847159080444E-3</v>
      </c>
      <c r="L488" t="s">
        <v>161</v>
      </c>
      <c r="N488" t="s">
        <v>210</v>
      </c>
      <c r="O488" t="s">
        <v>257</v>
      </c>
      <c r="P488">
        <v>5.6050802042284572E-3</v>
      </c>
      <c r="Q488" t="s">
        <v>161</v>
      </c>
    </row>
    <row r="489" spans="9:17" x14ac:dyDescent="0.45">
      <c r="I489" t="s">
        <v>187</v>
      </c>
      <c r="J489" t="s">
        <v>258</v>
      </c>
      <c r="K489">
        <v>0</v>
      </c>
      <c r="L489" t="s">
        <v>161</v>
      </c>
      <c r="N489" t="s">
        <v>210</v>
      </c>
      <c r="O489" t="s">
        <v>258</v>
      </c>
      <c r="P489">
        <v>9.7714201772930377E-4</v>
      </c>
      <c r="Q489" t="s">
        <v>161</v>
      </c>
    </row>
    <row r="490" spans="9:17" x14ac:dyDescent="0.45">
      <c r="I490" t="s">
        <v>187</v>
      </c>
      <c r="J490" t="s">
        <v>259</v>
      </c>
      <c r="K490">
        <v>0</v>
      </c>
      <c r="L490" t="s">
        <v>161</v>
      </c>
      <c r="N490" t="s">
        <v>210</v>
      </c>
      <c r="O490" t="s">
        <v>259</v>
      </c>
      <c r="P490">
        <v>7.502217638563167E-3</v>
      </c>
      <c r="Q490" t="s">
        <v>161</v>
      </c>
    </row>
    <row r="491" spans="9:17" x14ac:dyDescent="0.45">
      <c r="I491" t="s">
        <v>188</v>
      </c>
      <c r="J491" t="s">
        <v>160</v>
      </c>
      <c r="K491">
        <v>1.2096046878407825E-2</v>
      </c>
      <c r="L491" t="s">
        <v>161</v>
      </c>
      <c r="N491" t="s">
        <v>211</v>
      </c>
      <c r="O491" t="s">
        <v>160</v>
      </c>
      <c r="P491">
        <v>0.10997125090857571</v>
      </c>
      <c r="Q491" t="s">
        <v>161</v>
      </c>
    </row>
    <row r="492" spans="9:17" x14ac:dyDescent="0.45">
      <c r="I492" t="s">
        <v>188</v>
      </c>
      <c r="J492" t="s">
        <v>162</v>
      </c>
      <c r="K492">
        <v>1.6582463298276298E-2</v>
      </c>
      <c r="L492" t="s">
        <v>161</v>
      </c>
      <c r="N492" t="s">
        <v>211</v>
      </c>
      <c r="O492" t="s">
        <v>162</v>
      </c>
      <c r="P492">
        <v>1.3656423147832863E-2</v>
      </c>
      <c r="Q492" t="s">
        <v>161</v>
      </c>
    </row>
    <row r="493" spans="9:17" x14ac:dyDescent="0.45">
      <c r="I493" t="s">
        <v>188</v>
      </c>
      <c r="J493" t="s">
        <v>163</v>
      </c>
      <c r="K493">
        <v>0.19044775625094063</v>
      </c>
      <c r="L493" t="s">
        <v>161</v>
      </c>
      <c r="N493" t="s">
        <v>211</v>
      </c>
      <c r="O493" t="s">
        <v>163</v>
      </c>
      <c r="P493">
        <v>9.1927460505124431E-2</v>
      </c>
      <c r="Q493" t="s">
        <v>161</v>
      </c>
    </row>
    <row r="494" spans="9:17" x14ac:dyDescent="0.45">
      <c r="I494" t="s">
        <v>188</v>
      </c>
      <c r="J494" t="s">
        <v>242</v>
      </c>
      <c r="K494">
        <v>1.6203768406028624E-2</v>
      </c>
      <c r="L494" t="s">
        <v>161</v>
      </c>
      <c r="N494" t="s">
        <v>211</v>
      </c>
      <c r="O494" t="s">
        <v>242</v>
      </c>
      <c r="P494">
        <v>1.3993406267225481E-2</v>
      </c>
      <c r="Q494" t="s">
        <v>161</v>
      </c>
    </row>
    <row r="495" spans="9:17" x14ac:dyDescent="0.45">
      <c r="I495" t="s">
        <v>188</v>
      </c>
      <c r="J495" t="s">
        <v>243</v>
      </c>
      <c r="K495">
        <v>1.2205128485879405E-2</v>
      </c>
      <c r="L495" t="s">
        <v>161</v>
      </c>
      <c r="N495" t="s">
        <v>211</v>
      </c>
      <c r="O495" t="s">
        <v>243</v>
      </c>
      <c r="P495">
        <v>9.7633317718408191E-2</v>
      </c>
      <c r="Q495" t="s">
        <v>161</v>
      </c>
    </row>
    <row r="496" spans="9:17" x14ac:dyDescent="0.45">
      <c r="I496" t="s">
        <v>188</v>
      </c>
      <c r="J496" t="s">
        <v>164</v>
      </c>
      <c r="K496">
        <v>5.2061022045423413E-2</v>
      </c>
      <c r="L496" t="s">
        <v>161</v>
      </c>
      <c r="N496" t="s">
        <v>211</v>
      </c>
      <c r="O496" t="s">
        <v>164</v>
      </c>
      <c r="P496">
        <v>6.020284957834901E-2</v>
      </c>
      <c r="Q496" t="s">
        <v>161</v>
      </c>
    </row>
    <row r="497" spans="9:17" x14ac:dyDescent="0.45">
      <c r="I497" t="s">
        <v>188</v>
      </c>
      <c r="J497" t="s">
        <v>165</v>
      </c>
      <c r="K497">
        <v>3.1708538211330517E-2</v>
      </c>
      <c r="L497" t="s">
        <v>161</v>
      </c>
      <c r="N497" t="s">
        <v>211</v>
      </c>
      <c r="O497" t="s">
        <v>165</v>
      </c>
      <c r="P497">
        <v>7.4473414959041855E-3</v>
      </c>
      <c r="Q497" t="s">
        <v>161</v>
      </c>
    </row>
    <row r="498" spans="9:17" x14ac:dyDescent="0.45">
      <c r="I498" t="s">
        <v>188</v>
      </c>
      <c r="J498" t="s">
        <v>166</v>
      </c>
      <c r="K498">
        <v>0.25894982513915854</v>
      </c>
      <c r="L498" t="s">
        <v>161</v>
      </c>
      <c r="N498" t="s">
        <v>211</v>
      </c>
      <c r="O498" t="s">
        <v>166</v>
      </c>
      <c r="P498">
        <v>5.6263392286591211E-2</v>
      </c>
      <c r="Q498" t="s">
        <v>161</v>
      </c>
    </row>
    <row r="499" spans="9:17" x14ac:dyDescent="0.45">
      <c r="I499" t="s">
        <v>188</v>
      </c>
      <c r="J499" t="s">
        <v>244</v>
      </c>
      <c r="K499">
        <v>2.9093353980604E-2</v>
      </c>
      <c r="L499" t="s">
        <v>161</v>
      </c>
      <c r="N499" t="s">
        <v>211</v>
      </c>
      <c r="O499" t="s">
        <v>244</v>
      </c>
      <c r="P499">
        <v>8.4992970201523219E-3</v>
      </c>
      <c r="Q499" t="s">
        <v>161</v>
      </c>
    </row>
    <row r="500" spans="9:17" x14ac:dyDescent="0.45">
      <c r="I500" t="s">
        <v>188</v>
      </c>
      <c r="J500" t="s">
        <v>245</v>
      </c>
      <c r="K500">
        <v>4.9565151096945585E-2</v>
      </c>
      <c r="L500" t="s">
        <v>161</v>
      </c>
      <c r="N500" t="s">
        <v>211</v>
      </c>
      <c r="O500" t="s">
        <v>245</v>
      </c>
      <c r="P500">
        <v>5.6786626623730657E-2</v>
      </c>
      <c r="Q500" t="s">
        <v>161</v>
      </c>
    </row>
    <row r="501" spans="9:17" x14ac:dyDescent="0.45">
      <c r="I501" t="s">
        <v>188</v>
      </c>
      <c r="J501" t="s">
        <v>167</v>
      </c>
      <c r="K501">
        <v>2.0555940661237698E-2</v>
      </c>
      <c r="L501" t="s">
        <v>161</v>
      </c>
      <c r="N501" t="s">
        <v>211</v>
      </c>
      <c r="O501" t="s">
        <v>167</v>
      </c>
      <c r="P501">
        <v>2.9184086288672528E-2</v>
      </c>
      <c r="Q501" t="s">
        <v>161</v>
      </c>
    </row>
    <row r="502" spans="9:17" x14ac:dyDescent="0.45">
      <c r="I502" t="s">
        <v>188</v>
      </c>
      <c r="J502" t="s">
        <v>168</v>
      </c>
      <c r="K502">
        <v>1.5476779126701571E-2</v>
      </c>
      <c r="L502" t="s">
        <v>161</v>
      </c>
      <c r="N502" t="s">
        <v>211</v>
      </c>
      <c r="O502" t="s">
        <v>168</v>
      </c>
      <c r="P502">
        <v>3.4783084590683335E-3</v>
      </c>
      <c r="Q502" t="s">
        <v>161</v>
      </c>
    </row>
    <row r="503" spans="9:17" x14ac:dyDescent="0.45">
      <c r="I503" t="s">
        <v>188</v>
      </c>
      <c r="J503" t="s">
        <v>169</v>
      </c>
      <c r="K503">
        <v>0.12546235763867242</v>
      </c>
      <c r="L503" t="s">
        <v>161</v>
      </c>
      <c r="N503" t="s">
        <v>211</v>
      </c>
      <c r="O503" t="s">
        <v>169</v>
      </c>
      <c r="P503">
        <v>2.4419958811507072E-2</v>
      </c>
      <c r="Q503" t="s">
        <v>161</v>
      </c>
    </row>
    <row r="504" spans="9:17" x14ac:dyDescent="0.45">
      <c r="I504" t="s">
        <v>188</v>
      </c>
      <c r="J504" t="s">
        <v>246</v>
      </c>
      <c r="K504">
        <v>1.2543415115818692E-2</v>
      </c>
      <c r="L504" t="s">
        <v>161</v>
      </c>
      <c r="N504" t="s">
        <v>211</v>
      </c>
      <c r="O504" t="s">
        <v>246</v>
      </c>
      <c r="P504">
        <v>3.5384140847304841E-3</v>
      </c>
      <c r="Q504" t="s">
        <v>161</v>
      </c>
    </row>
    <row r="505" spans="9:17" x14ac:dyDescent="0.45">
      <c r="I505" t="s">
        <v>188</v>
      </c>
      <c r="J505" t="s">
        <v>247</v>
      </c>
      <c r="K505">
        <v>1.8081993901615266E-2</v>
      </c>
      <c r="L505" t="s">
        <v>161</v>
      </c>
      <c r="N505" t="s">
        <v>211</v>
      </c>
      <c r="O505" t="s">
        <v>247</v>
      </c>
      <c r="P505">
        <v>2.4550932077431985E-2</v>
      </c>
      <c r="Q505" t="s">
        <v>161</v>
      </c>
    </row>
    <row r="506" spans="9:17" x14ac:dyDescent="0.45">
      <c r="I506" t="s">
        <v>188</v>
      </c>
      <c r="J506" t="s">
        <v>170</v>
      </c>
      <c r="K506">
        <v>3.8653624634440074E-3</v>
      </c>
      <c r="L506" t="s">
        <v>161</v>
      </c>
      <c r="N506" t="s">
        <v>211</v>
      </c>
      <c r="O506" t="s">
        <v>170</v>
      </c>
      <c r="P506">
        <v>5.1323754220149939E-2</v>
      </c>
      <c r="Q506" t="s">
        <v>161</v>
      </c>
    </row>
    <row r="507" spans="9:17" x14ac:dyDescent="0.45">
      <c r="I507" t="s">
        <v>188</v>
      </c>
      <c r="J507" t="s">
        <v>171</v>
      </c>
      <c r="K507">
        <v>6.6687831875391016E-3</v>
      </c>
      <c r="L507" t="s">
        <v>161</v>
      </c>
      <c r="N507" t="s">
        <v>211</v>
      </c>
      <c r="O507" t="s">
        <v>171</v>
      </c>
      <c r="P507">
        <v>6.5862179635786397E-3</v>
      </c>
      <c r="Q507" t="s">
        <v>161</v>
      </c>
    </row>
    <row r="508" spans="9:17" x14ac:dyDescent="0.45">
      <c r="I508" t="s">
        <v>188</v>
      </c>
      <c r="J508" t="s">
        <v>172</v>
      </c>
      <c r="K508">
        <v>7.3102374996802541E-2</v>
      </c>
      <c r="L508" t="s">
        <v>161</v>
      </c>
      <c r="N508" t="s">
        <v>211</v>
      </c>
      <c r="O508" t="s">
        <v>172</v>
      </c>
      <c r="P508">
        <v>4.1562973645768365E-2</v>
      </c>
      <c r="Q508" t="s">
        <v>161</v>
      </c>
    </row>
    <row r="509" spans="9:17" x14ac:dyDescent="0.45">
      <c r="I509" t="s">
        <v>188</v>
      </c>
      <c r="J509" t="s">
        <v>248</v>
      </c>
      <c r="K509">
        <v>6.2418964555726441E-3</v>
      </c>
      <c r="L509" t="s">
        <v>161</v>
      </c>
      <c r="N509" t="s">
        <v>211</v>
      </c>
      <c r="O509" t="s">
        <v>248</v>
      </c>
      <c r="P509">
        <v>5.9880290279465571E-3</v>
      </c>
      <c r="Q509" t="s">
        <v>161</v>
      </c>
    </row>
    <row r="510" spans="9:17" x14ac:dyDescent="0.45">
      <c r="I510" t="s">
        <v>188</v>
      </c>
      <c r="J510" t="s">
        <v>249</v>
      </c>
      <c r="K510">
        <v>2.248822383475616E-3</v>
      </c>
      <c r="L510" t="s">
        <v>161</v>
      </c>
      <c r="N510" t="s">
        <v>211</v>
      </c>
      <c r="O510" t="s">
        <v>249</v>
      </c>
      <c r="P510">
        <v>4.824452421567977E-2</v>
      </c>
      <c r="Q510" t="s">
        <v>161</v>
      </c>
    </row>
    <row r="511" spans="9:17" x14ac:dyDescent="0.45">
      <c r="I511" t="s">
        <v>188</v>
      </c>
      <c r="J511" t="s">
        <v>250</v>
      </c>
      <c r="K511">
        <v>0</v>
      </c>
      <c r="L511" t="s">
        <v>161</v>
      </c>
      <c r="N511" t="s">
        <v>211</v>
      </c>
      <c r="O511" t="s">
        <v>250</v>
      </c>
      <c r="P511">
        <v>7.5855287718316081E-2</v>
      </c>
      <c r="Q511" t="s">
        <v>161</v>
      </c>
    </row>
    <row r="512" spans="9:17" x14ac:dyDescent="0.45">
      <c r="I512" t="s">
        <v>188</v>
      </c>
      <c r="J512" t="s">
        <v>251</v>
      </c>
      <c r="K512">
        <v>1.8323947446471998E-3</v>
      </c>
      <c r="L512" t="s">
        <v>161</v>
      </c>
      <c r="N512" t="s">
        <v>211</v>
      </c>
      <c r="O512" t="s">
        <v>251</v>
      </c>
      <c r="P512">
        <v>8.9852493249530218E-3</v>
      </c>
      <c r="Q512" t="s">
        <v>161</v>
      </c>
    </row>
    <row r="513" spans="9:17" x14ac:dyDescent="0.45">
      <c r="I513" t="s">
        <v>188</v>
      </c>
      <c r="J513" t="s">
        <v>252</v>
      </c>
      <c r="K513">
        <v>4.0762513479615445E-2</v>
      </c>
      <c r="L513" t="s">
        <v>161</v>
      </c>
      <c r="N513" t="s">
        <v>211</v>
      </c>
      <c r="O513" t="s">
        <v>252</v>
      </c>
      <c r="P513">
        <v>5.8459550385849546E-2</v>
      </c>
      <c r="Q513" t="s">
        <v>161</v>
      </c>
    </row>
    <row r="514" spans="9:17" x14ac:dyDescent="0.45">
      <c r="I514" t="s">
        <v>188</v>
      </c>
      <c r="J514" t="s">
        <v>253</v>
      </c>
      <c r="K514">
        <v>6.7134346540074379E-4</v>
      </c>
      <c r="L514" t="s">
        <v>161</v>
      </c>
      <c r="N514" t="s">
        <v>211</v>
      </c>
      <c r="O514" t="s">
        <v>253</v>
      </c>
      <c r="P514">
        <v>8.7629364424968541E-3</v>
      </c>
      <c r="Q514" t="s">
        <v>161</v>
      </c>
    </row>
    <row r="515" spans="9:17" x14ac:dyDescent="0.45">
      <c r="I515" t="s">
        <v>188</v>
      </c>
      <c r="J515" t="s">
        <v>254</v>
      </c>
      <c r="K515">
        <v>0</v>
      </c>
      <c r="L515" t="s">
        <v>161</v>
      </c>
      <c r="N515" t="s">
        <v>211</v>
      </c>
      <c r="O515" t="s">
        <v>254</v>
      </c>
      <c r="P515">
        <v>6.4978102925465339E-2</v>
      </c>
      <c r="Q515" t="s">
        <v>161</v>
      </c>
    </row>
    <row r="516" spans="9:17" x14ac:dyDescent="0.45">
      <c r="I516" t="s">
        <v>188</v>
      </c>
      <c r="J516" t="s">
        <v>255</v>
      </c>
      <c r="K516">
        <v>0</v>
      </c>
      <c r="L516" t="s">
        <v>161</v>
      </c>
      <c r="N516" t="s">
        <v>211</v>
      </c>
      <c r="O516" t="s">
        <v>255</v>
      </c>
      <c r="P516">
        <v>9.113414420054056E-3</v>
      </c>
      <c r="Q516" t="s">
        <v>161</v>
      </c>
    </row>
    <row r="517" spans="9:17" x14ac:dyDescent="0.45">
      <c r="I517" t="s">
        <v>188</v>
      </c>
      <c r="J517" t="s">
        <v>256</v>
      </c>
      <c r="K517">
        <v>0</v>
      </c>
      <c r="L517" t="s">
        <v>161</v>
      </c>
      <c r="N517" t="s">
        <v>211</v>
      </c>
      <c r="O517" t="s">
        <v>256</v>
      </c>
      <c r="P517">
        <v>1.3244739187918129E-3</v>
      </c>
      <c r="Q517" t="s">
        <v>161</v>
      </c>
    </row>
    <row r="518" spans="9:17" x14ac:dyDescent="0.45">
      <c r="I518" t="s">
        <v>188</v>
      </c>
      <c r="J518" t="s">
        <v>257</v>
      </c>
      <c r="K518">
        <v>3.5729685864610799E-3</v>
      </c>
      <c r="L518" t="s">
        <v>161</v>
      </c>
      <c r="N518" t="s">
        <v>211</v>
      </c>
      <c r="O518" t="s">
        <v>257</v>
      </c>
      <c r="P518">
        <v>8.1219420055669549E-3</v>
      </c>
      <c r="Q518" t="s">
        <v>161</v>
      </c>
    </row>
    <row r="519" spans="9:17" x14ac:dyDescent="0.45">
      <c r="I519" t="s">
        <v>188</v>
      </c>
      <c r="J519" t="s">
        <v>258</v>
      </c>
      <c r="K519">
        <v>0</v>
      </c>
      <c r="L519" t="s">
        <v>161</v>
      </c>
      <c r="N519" t="s">
        <v>211</v>
      </c>
      <c r="O519" t="s">
        <v>258</v>
      </c>
      <c r="P519">
        <v>1.065385761567764E-3</v>
      </c>
      <c r="Q519" t="s">
        <v>161</v>
      </c>
    </row>
    <row r="520" spans="9:17" x14ac:dyDescent="0.45">
      <c r="I520" t="s">
        <v>188</v>
      </c>
      <c r="J520" t="s">
        <v>259</v>
      </c>
      <c r="K520">
        <v>0</v>
      </c>
      <c r="L520" t="s">
        <v>161</v>
      </c>
      <c r="N520" t="s">
        <v>211</v>
      </c>
      <c r="O520" t="s">
        <v>259</v>
      </c>
      <c r="P520">
        <v>8.075092750511971E-3</v>
      </c>
      <c r="Q520" t="s">
        <v>161</v>
      </c>
    </row>
    <row r="521" spans="9:17" x14ac:dyDescent="0.45">
      <c r="I521" t="s">
        <v>189</v>
      </c>
      <c r="J521" t="s">
        <v>160</v>
      </c>
      <c r="K521">
        <v>1.1825227323897321E-2</v>
      </c>
      <c r="L521" t="s">
        <v>161</v>
      </c>
      <c r="N521" t="s">
        <v>212</v>
      </c>
      <c r="O521" t="s">
        <v>160</v>
      </c>
      <c r="P521">
        <v>0.12742835130775432</v>
      </c>
      <c r="Q521" t="s">
        <v>161</v>
      </c>
    </row>
    <row r="522" spans="9:17" x14ac:dyDescent="0.45">
      <c r="I522" t="s">
        <v>189</v>
      </c>
      <c r="J522" t="s">
        <v>162</v>
      </c>
      <c r="K522">
        <v>1.7321500527227047E-2</v>
      </c>
      <c r="L522" t="s">
        <v>161</v>
      </c>
      <c r="N522" t="s">
        <v>212</v>
      </c>
      <c r="O522" t="s">
        <v>162</v>
      </c>
      <c r="P522">
        <v>1.4574055353358898E-2</v>
      </c>
      <c r="Q522" t="s">
        <v>161</v>
      </c>
    </row>
    <row r="523" spans="9:17" x14ac:dyDescent="0.45">
      <c r="I523" t="s">
        <v>189</v>
      </c>
      <c r="J523" t="s">
        <v>163</v>
      </c>
      <c r="K523">
        <v>0.18570299301234441</v>
      </c>
      <c r="L523" t="s">
        <v>161</v>
      </c>
      <c r="N523" t="s">
        <v>212</v>
      </c>
      <c r="O523" t="s">
        <v>163</v>
      </c>
      <c r="P523">
        <v>8.9688219466659197E-2</v>
      </c>
      <c r="Q523" t="s">
        <v>161</v>
      </c>
    </row>
    <row r="524" spans="9:17" x14ac:dyDescent="0.45">
      <c r="I524" t="s">
        <v>189</v>
      </c>
      <c r="J524" t="s">
        <v>242</v>
      </c>
      <c r="K524">
        <v>1.5409530005974689E-2</v>
      </c>
      <c r="L524" t="s">
        <v>161</v>
      </c>
      <c r="N524" t="s">
        <v>212</v>
      </c>
      <c r="O524" t="s">
        <v>242</v>
      </c>
      <c r="P524">
        <v>1.3464186273004207E-2</v>
      </c>
      <c r="Q524" t="s">
        <v>161</v>
      </c>
    </row>
    <row r="525" spans="9:17" x14ac:dyDescent="0.45">
      <c r="I525" t="s">
        <v>189</v>
      </c>
      <c r="J525" t="s">
        <v>243</v>
      </c>
      <c r="K525">
        <v>1.1549496277684937E-2</v>
      </c>
      <c r="L525" t="s">
        <v>161</v>
      </c>
      <c r="N525" t="s">
        <v>212</v>
      </c>
      <c r="O525" t="s">
        <v>243</v>
      </c>
      <c r="P525">
        <v>0.11305115448332691</v>
      </c>
      <c r="Q525" t="s">
        <v>161</v>
      </c>
    </row>
    <row r="526" spans="9:17" x14ac:dyDescent="0.45">
      <c r="I526" t="s">
        <v>189</v>
      </c>
      <c r="J526" t="s">
        <v>164</v>
      </c>
      <c r="K526">
        <v>5.1829668153088218E-2</v>
      </c>
      <c r="L526" t="s">
        <v>161</v>
      </c>
      <c r="N526" t="s">
        <v>212</v>
      </c>
      <c r="O526" t="s">
        <v>164</v>
      </c>
      <c r="P526">
        <v>6.2537803295437094E-2</v>
      </c>
      <c r="Q526" t="s">
        <v>161</v>
      </c>
    </row>
    <row r="527" spans="9:17" x14ac:dyDescent="0.45">
      <c r="I527" t="s">
        <v>189</v>
      </c>
      <c r="J527" t="s">
        <v>165</v>
      </c>
      <c r="K527">
        <v>3.1396733044808632E-2</v>
      </c>
      <c r="L527" t="s">
        <v>161</v>
      </c>
      <c r="N527" t="s">
        <v>212</v>
      </c>
      <c r="O527" t="s">
        <v>165</v>
      </c>
      <c r="P527">
        <v>6.5884284465572446E-3</v>
      </c>
      <c r="Q527" t="s">
        <v>161</v>
      </c>
    </row>
    <row r="528" spans="9:17" x14ac:dyDescent="0.45">
      <c r="I528" t="s">
        <v>189</v>
      </c>
      <c r="J528" t="s">
        <v>166</v>
      </c>
      <c r="K528">
        <v>0.2576839400291252</v>
      </c>
      <c r="L528" t="s">
        <v>161</v>
      </c>
      <c r="N528" t="s">
        <v>212</v>
      </c>
      <c r="O528" t="s">
        <v>166</v>
      </c>
      <c r="P528">
        <v>5.8449246309125902E-2</v>
      </c>
      <c r="Q528" t="s">
        <v>161</v>
      </c>
    </row>
    <row r="529" spans="9:17" x14ac:dyDescent="0.45">
      <c r="I529" t="s">
        <v>189</v>
      </c>
      <c r="J529" t="s">
        <v>244</v>
      </c>
      <c r="K529">
        <v>2.9616922580314627E-2</v>
      </c>
      <c r="L529" t="s">
        <v>161</v>
      </c>
      <c r="N529" t="s">
        <v>212</v>
      </c>
      <c r="O529" t="s">
        <v>244</v>
      </c>
      <c r="P529">
        <v>9.1608892806482167E-3</v>
      </c>
      <c r="Q529" t="s">
        <v>161</v>
      </c>
    </row>
    <row r="530" spans="9:17" x14ac:dyDescent="0.45">
      <c r="I530" t="s">
        <v>189</v>
      </c>
      <c r="J530" t="s">
        <v>245</v>
      </c>
      <c r="K530">
        <v>4.9389939639192769E-2</v>
      </c>
      <c r="L530" t="s">
        <v>161</v>
      </c>
      <c r="N530" t="s">
        <v>212</v>
      </c>
      <c r="O530" t="s">
        <v>245</v>
      </c>
      <c r="P530">
        <v>6.8725755569362015E-2</v>
      </c>
      <c r="Q530" t="s">
        <v>161</v>
      </c>
    </row>
    <row r="531" spans="9:17" x14ac:dyDescent="0.45">
      <c r="I531" t="s">
        <v>189</v>
      </c>
      <c r="J531" t="s">
        <v>167</v>
      </c>
      <c r="K531">
        <v>2.0565560986049183E-2</v>
      </c>
      <c r="L531" t="s">
        <v>161</v>
      </c>
      <c r="N531" t="s">
        <v>212</v>
      </c>
      <c r="O531" t="s">
        <v>167</v>
      </c>
      <c r="P531">
        <v>3.6853345986024098E-2</v>
      </c>
      <c r="Q531" t="s">
        <v>161</v>
      </c>
    </row>
    <row r="532" spans="9:17" x14ac:dyDescent="0.45">
      <c r="I532" t="s">
        <v>189</v>
      </c>
      <c r="J532" t="s">
        <v>168</v>
      </c>
      <c r="K532">
        <v>1.5437196836132939E-2</v>
      </c>
      <c r="L532" t="s">
        <v>161</v>
      </c>
      <c r="N532" t="s">
        <v>212</v>
      </c>
      <c r="O532" t="s">
        <v>168</v>
      </c>
      <c r="P532">
        <v>3.7371934630328562E-3</v>
      </c>
      <c r="Q532" t="s">
        <v>161</v>
      </c>
    </row>
    <row r="533" spans="9:17" x14ac:dyDescent="0.45">
      <c r="I533" t="s">
        <v>189</v>
      </c>
      <c r="J533" t="s">
        <v>169</v>
      </c>
      <c r="K533">
        <v>0.12649437999421262</v>
      </c>
      <c r="L533" t="s">
        <v>161</v>
      </c>
      <c r="N533" t="s">
        <v>212</v>
      </c>
      <c r="O533" t="s">
        <v>169</v>
      </c>
      <c r="P533">
        <v>2.5750399253817436E-2</v>
      </c>
      <c r="Q533" t="s">
        <v>161</v>
      </c>
    </row>
    <row r="534" spans="9:17" x14ac:dyDescent="0.45">
      <c r="I534" t="s">
        <v>189</v>
      </c>
      <c r="J534" t="s">
        <v>246</v>
      </c>
      <c r="K534">
        <v>1.357482270489283E-2</v>
      </c>
      <c r="L534" t="s">
        <v>161</v>
      </c>
      <c r="N534" t="s">
        <v>212</v>
      </c>
      <c r="O534" t="s">
        <v>246</v>
      </c>
      <c r="P534">
        <v>3.6271997389262654E-3</v>
      </c>
      <c r="Q534" t="s">
        <v>161</v>
      </c>
    </row>
    <row r="535" spans="9:17" x14ac:dyDescent="0.45">
      <c r="I535" t="s">
        <v>189</v>
      </c>
      <c r="J535" t="s">
        <v>247</v>
      </c>
      <c r="K535">
        <v>1.8800536613738858E-2</v>
      </c>
      <c r="L535" t="s">
        <v>161</v>
      </c>
      <c r="N535" t="s">
        <v>212</v>
      </c>
      <c r="O535" t="s">
        <v>247</v>
      </c>
      <c r="P535">
        <v>2.9864571690103064E-2</v>
      </c>
      <c r="Q535" t="s">
        <v>161</v>
      </c>
    </row>
    <row r="536" spans="9:17" x14ac:dyDescent="0.45">
      <c r="I536" t="s">
        <v>189</v>
      </c>
      <c r="J536" t="s">
        <v>170</v>
      </c>
      <c r="K536">
        <v>4.0626708684498008E-3</v>
      </c>
      <c r="L536" t="s">
        <v>161</v>
      </c>
      <c r="N536" t="s">
        <v>212</v>
      </c>
      <c r="O536" t="s">
        <v>170</v>
      </c>
      <c r="P536">
        <v>4.421349477080621E-2</v>
      </c>
      <c r="Q536" t="s">
        <v>161</v>
      </c>
    </row>
    <row r="537" spans="9:17" x14ac:dyDescent="0.45">
      <c r="I537" t="s">
        <v>189</v>
      </c>
      <c r="J537" t="s">
        <v>171</v>
      </c>
      <c r="K537">
        <v>6.6289992808220627E-3</v>
      </c>
      <c r="L537" t="s">
        <v>161</v>
      </c>
      <c r="N537" t="s">
        <v>212</v>
      </c>
      <c r="O537" t="s">
        <v>171</v>
      </c>
      <c r="P537">
        <v>4.6175767708102836E-3</v>
      </c>
      <c r="Q537" t="s">
        <v>161</v>
      </c>
    </row>
    <row r="538" spans="9:17" x14ac:dyDescent="0.45">
      <c r="I538" t="s">
        <v>189</v>
      </c>
      <c r="J538" t="s">
        <v>172</v>
      </c>
      <c r="K538">
        <v>7.311488921998778E-2</v>
      </c>
      <c r="L538" t="s">
        <v>161</v>
      </c>
      <c r="N538" t="s">
        <v>212</v>
      </c>
      <c r="O538" t="s">
        <v>172</v>
      </c>
      <c r="P538">
        <v>2.9212490504107243E-2</v>
      </c>
      <c r="Q538" t="s">
        <v>161</v>
      </c>
    </row>
    <row r="539" spans="9:17" x14ac:dyDescent="0.45">
      <c r="I539" t="s">
        <v>189</v>
      </c>
      <c r="J539" t="s">
        <v>248</v>
      </c>
      <c r="K539">
        <v>6.4730701807310153E-3</v>
      </c>
      <c r="L539" t="s">
        <v>161</v>
      </c>
      <c r="N539" t="s">
        <v>212</v>
      </c>
      <c r="O539" t="s">
        <v>248</v>
      </c>
      <c r="P539">
        <v>4.8657840301120497E-3</v>
      </c>
      <c r="Q539" t="s">
        <v>161</v>
      </c>
    </row>
    <row r="540" spans="9:17" x14ac:dyDescent="0.45">
      <c r="I540" t="s">
        <v>189</v>
      </c>
      <c r="J540" t="s">
        <v>249</v>
      </c>
      <c r="K540">
        <v>2.4148764836060461E-3</v>
      </c>
      <c r="L540" t="s">
        <v>161</v>
      </c>
      <c r="N540" t="s">
        <v>212</v>
      </c>
      <c r="O540" t="s">
        <v>249</v>
      </c>
      <c r="P540">
        <v>3.9735902710611302E-2</v>
      </c>
      <c r="Q540" t="s">
        <v>161</v>
      </c>
    </row>
    <row r="541" spans="9:17" x14ac:dyDescent="0.45">
      <c r="I541" t="s">
        <v>189</v>
      </c>
      <c r="J541" t="s">
        <v>250</v>
      </c>
      <c r="K541">
        <v>6.1471339709829036E-7</v>
      </c>
      <c r="L541" t="s">
        <v>161</v>
      </c>
      <c r="N541" t="s">
        <v>212</v>
      </c>
      <c r="O541" t="s">
        <v>250</v>
      </c>
      <c r="P541">
        <v>7.2741189646945856E-2</v>
      </c>
      <c r="Q541" t="s">
        <v>161</v>
      </c>
    </row>
    <row r="542" spans="9:17" x14ac:dyDescent="0.45">
      <c r="I542" t="s">
        <v>189</v>
      </c>
      <c r="J542" t="s">
        <v>251</v>
      </c>
      <c r="K542">
        <v>2.0002759590094696E-3</v>
      </c>
      <c r="L542" t="s">
        <v>161</v>
      </c>
      <c r="N542" t="s">
        <v>212</v>
      </c>
      <c r="O542" t="s">
        <v>251</v>
      </c>
      <c r="P542">
        <v>8.0986151758443755E-3</v>
      </c>
      <c r="Q542" t="s">
        <v>161</v>
      </c>
    </row>
    <row r="543" spans="9:17" x14ac:dyDescent="0.45">
      <c r="I543" t="s">
        <v>189</v>
      </c>
      <c r="J543" t="s">
        <v>252</v>
      </c>
      <c r="K543">
        <v>4.3343351673880134E-2</v>
      </c>
      <c r="L543" t="s">
        <v>161</v>
      </c>
      <c r="N543" t="s">
        <v>212</v>
      </c>
      <c r="O543" t="s">
        <v>252</v>
      </c>
      <c r="P543">
        <v>4.8678449842646784E-2</v>
      </c>
      <c r="Q543" t="s">
        <v>161</v>
      </c>
    </row>
    <row r="544" spans="9:17" x14ac:dyDescent="0.45">
      <c r="I544" t="s">
        <v>189</v>
      </c>
      <c r="J544" t="s">
        <v>253</v>
      </c>
      <c r="K544">
        <v>8.71731158328213E-4</v>
      </c>
      <c r="L544" t="s">
        <v>161</v>
      </c>
      <c r="N544" t="s">
        <v>212</v>
      </c>
      <c r="O544" t="s">
        <v>253</v>
      </c>
      <c r="P544">
        <v>8.9791999418495014E-3</v>
      </c>
      <c r="Q544" t="s">
        <v>161</v>
      </c>
    </row>
    <row r="545" spans="9:17" x14ac:dyDescent="0.45">
      <c r="I545" t="s">
        <v>189</v>
      </c>
      <c r="J545" t="s">
        <v>254</v>
      </c>
      <c r="K545">
        <v>0</v>
      </c>
      <c r="L545" t="s">
        <v>161</v>
      </c>
      <c r="N545" t="s">
        <v>212</v>
      </c>
      <c r="O545" t="s">
        <v>254</v>
      </c>
      <c r="P545">
        <v>6.2930721671558068E-2</v>
      </c>
      <c r="Q545" t="s">
        <v>161</v>
      </c>
    </row>
    <row r="546" spans="9:17" x14ac:dyDescent="0.45">
      <c r="I546" t="s">
        <v>189</v>
      </c>
      <c r="J546" t="s">
        <v>255</v>
      </c>
      <c r="K546">
        <v>0</v>
      </c>
      <c r="L546" t="s">
        <v>161</v>
      </c>
      <c r="N546" t="s">
        <v>212</v>
      </c>
      <c r="O546" t="s">
        <v>255</v>
      </c>
      <c r="P546">
        <v>6.2936428487310641E-3</v>
      </c>
      <c r="Q546" t="s">
        <v>161</v>
      </c>
    </row>
    <row r="547" spans="9:17" x14ac:dyDescent="0.45">
      <c r="I547" t="s">
        <v>189</v>
      </c>
      <c r="J547" t="s">
        <v>256</v>
      </c>
      <c r="K547">
        <v>0</v>
      </c>
      <c r="L547" t="s">
        <v>161</v>
      </c>
      <c r="N547" t="s">
        <v>212</v>
      </c>
      <c r="O547" t="s">
        <v>256</v>
      </c>
      <c r="P547">
        <v>4.9241656870904651E-4</v>
      </c>
      <c r="Q547" t="s">
        <v>161</v>
      </c>
    </row>
    <row r="548" spans="9:17" x14ac:dyDescent="0.45">
      <c r="I548" t="s">
        <v>189</v>
      </c>
      <c r="J548" t="s">
        <v>257</v>
      </c>
      <c r="K548">
        <v>4.4790868313950476E-3</v>
      </c>
      <c r="L548" t="s">
        <v>161</v>
      </c>
      <c r="N548" t="s">
        <v>212</v>
      </c>
      <c r="O548" t="s">
        <v>257</v>
      </c>
      <c r="P548">
        <v>1.2780331021153028E-3</v>
      </c>
      <c r="Q548" t="s">
        <v>161</v>
      </c>
    </row>
    <row r="549" spans="9:17" x14ac:dyDescent="0.45">
      <c r="I549" t="s">
        <v>189</v>
      </c>
      <c r="J549" t="s">
        <v>258</v>
      </c>
      <c r="K549">
        <v>1.1985901709345212E-5</v>
      </c>
      <c r="L549" t="s">
        <v>161</v>
      </c>
      <c r="N549" t="s">
        <v>212</v>
      </c>
      <c r="O549" t="s">
        <v>258</v>
      </c>
      <c r="P549">
        <v>2.5247882866021823E-4</v>
      </c>
      <c r="Q549" t="s">
        <v>161</v>
      </c>
    </row>
    <row r="550" spans="9:17" x14ac:dyDescent="0.45">
      <c r="I550" t="s">
        <v>189</v>
      </c>
      <c r="J550" t="s">
        <v>259</v>
      </c>
      <c r="K550">
        <v>0</v>
      </c>
      <c r="L550" t="s">
        <v>161</v>
      </c>
      <c r="N550" t="s">
        <v>212</v>
      </c>
      <c r="O550" t="s">
        <v>259</v>
      </c>
      <c r="P550">
        <v>4.1092036693529546E-3</v>
      </c>
      <c r="Q550" t="s">
        <v>161</v>
      </c>
    </row>
    <row r="551" spans="9:17" x14ac:dyDescent="0.45">
      <c r="I551" t="s">
        <v>190</v>
      </c>
      <c r="J551" t="s">
        <v>160</v>
      </c>
      <c r="K551">
        <v>1.3916261118647272E-2</v>
      </c>
      <c r="L551" t="s">
        <v>161</v>
      </c>
      <c r="N551" t="s">
        <v>213</v>
      </c>
      <c r="O551" t="s">
        <v>160</v>
      </c>
      <c r="P551">
        <v>0.12805891565490241</v>
      </c>
      <c r="Q551" t="s">
        <v>161</v>
      </c>
    </row>
    <row r="552" spans="9:17" x14ac:dyDescent="0.45">
      <c r="I552" t="s">
        <v>190</v>
      </c>
      <c r="J552" t="s">
        <v>162</v>
      </c>
      <c r="K552">
        <v>1.6395284567611308E-2</v>
      </c>
      <c r="L552" t="s">
        <v>161</v>
      </c>
      <c r="N552" t="s">
        <v>213</v>
      </c>
      <c r="O552" t="s">
        <v>162</v>
      </c>
      <c r="P552">
        <v>1.491060725412712E-2</v>
      </c>
      <c r="Q552" t="s">
        <v>161</v>
      </c>
    </row>
    <row r="553" spans="9:17" x14ac:dyDescent="0.45">
      <c r="I553" t="s">
        <v>190</v>
      </c>
      <c r="J553" t="s">
        <v>163</v>
      </c>
      <c r="K553">
        <v>0.17653091006633295</v>
      </c>
      <c r="L553" t="s">
        <v>161</v>
      </c>
      <c r="N553" t="s">
        <v>213</v>
      </c>
      <c r="O553" t="s">
        <v>163</v>
      </c>
      <c r="P553">
        <v>8.6051504830086029E-2</v>
      </c>
      <c r="Q553" t="s">
        <v>161</v>
      </c>
    </row>
    <row r="554" spans="9:17" x14ac:dyDescent="0.45">
      <c r="I554" t="s">
        <v>190</v>
      </c>
      <c r="J554" t="s">
        <v>242</v>
      </c>
      <c r="K554">
        <v>1.492294553708128E-2</v>
      </c>
      <c r="L554" t="s">
        <v>161</v>
      </c>
      <c r="N554" t="s">
        <v>213</v>
      </c>
      <c r="O554" t="s">
        <v>242</v>
      </c>
      <c r="P554">
        <v>1.3143060926517465E-2</v>
      </c>
      <c r="Q554" t="s">
        <v>161</v>
      </c>
    </row>
    <row r="555" spans="9:17" x14ac:dyDescent="0.45">
      <c r="I555" t="s">
        <v>190</v>
      </c>
      <c r="J555" t="s">
        <v>243</v>
      </c>
      <c r="K555">
        <v>1.0077805032049076E-2</v>
      </c>
      <c r="L555" t="s">
        <v>161</v>
      </c>
      <c r="N555" t="s">
        <v>213</v>
      </c>
      <c r="O555" t="s">
        <v>243</v>
      </c>
      <c r="P555">
        <v>0.11082353414029085</v>
      </c>
      <c r="Q555" t="s">
        <v>161</v>
      </c>
    </row>
    <row r="556" spans="9:17" x14ac:dyDescent="0.45">
      <c r="I556" t="s">
        <v>190</v>
      </c>
      <c r="J556" t="s">
        <v>164</v>
      </c>
      <c r="K556">
        <v>6.6197705539267626E-2</v>
      </c>
      <c r="L556" t="s">
        <v>161</v>
      </c>
      <c r="N556" t="s">
        <v>213</v>
      </c>
      <c r="O556" t="s">
        <v>164</v>
      </c>
      <c r="P556">
        <v>6.3012543882967925E-2</v>
      </c>
      <c r="Q556" t="s">
        <v>161</v>
      </c>
    </row>
    <row r="557" spans="9:17" x14ac:dyDescent="0.45">
      <c r="I557" t="s">
        <v>190</v>
      </c>
      <c r="J557" t="s">
        <v>165</v>
      </c>
      <c r="K557">
        <v>3.4562638126357986E-2</v>
      </c>
      <c r="L557" t="s">
        <v>161</v>
      </c>
      <c r="N557" t="s">
        <v>213</v>
      </c>
      <c r="O557" t="s">
        <v>165</v>
      </c>
      <c r="P557">
        <v>6.0668398854821365E-3</v>
      </c>
      <c r="Q557" t="s">
        <v>161</v>
      </c>
    </row>
    <row r="558" spans="9:17" x14ac:dyDescent="0.45">
      <c r="I558" t="s">
        <v>190</v>
      </c>
      <c r="J558" t="s">
        <v>166</v>
      </c>
      <c r="K558">
        <v>0.26940577366064478</v>
      </c>
      <c r="L558" t="s">
        <v>161</v>
      </c>
      <c r="N558" t="s">
        <v>213</v>
      </c>
      <c r="O558" t="s">
        <v>166</v>
      </c>
      <c r="P558">
        <v>4.6868413059596957E-2</v>
      </c>
      <c r="Q558" t="s">
        <v>161</v>
      </c>
    </row>
    <row r="559" spans="9:17" x14ac:dyDescent="0.45">
      <c r="I559" t="s">
        <v>190</v>
      </c>
      <c r="J559" t="s">
        <v>244</v>
      </c>
      <c r="K559">
        <v>2.7812777713126836E-2</v>
      </c>
      <c r="L559" t="s">
        <v>161</v>
      </c>
      <c r="N559" t="s">
        <v>213</v>
      </c>
      <c r="O559" t="s">
        <v>244</v>
      </c>
      <c r="P559">
        <v>7.6951615831642711E-3</v>
      </c>
      <c r="Q559" t="s">
        <v>161</v>
      </c>
    </row>
    <row r="560" spans="9:17" x14ac:dyDescent="0.45">
      <c r="I560" t="s">
        <v>190</v>
      </c>
      <c r="J560" t="s">
        <v>245</v>
      </c>
      <c r="K560">
        <v>4.4289579010747801E-2</v>
      </c>
      <c r="L560" t="s">
        <v>161</v>
      </c>
      <c r="N560" t="s">
        <v>213</v>
      </c>
      <c r="O560" t="s">
        <v>245</v>
      </c>
      <c r="P560">
        <v>6.7492314632626796E-2</v>
      </c>
      <c r="Q560" t="s">
        <v>161</v>
      </c>
    </row>
    <row r="561" spans="9:17" x14ac:dyDescent="0.45">
      <c r="I561" t="s">
        <v>190</v>
      </c>
      <c r="J561" t="s">
        <v>167</v>
      </c>
      <c r="K561">
        <v>2.2653143096631682E-2</v>
      </c>
      <c r="L561" t="s">
        <v>161</v>
      </c>
      <c r="N561" t="s">
        <v>213</v>
      </c>
      <c r="O561" t="s">
        <v>167</v>
      </c>
      <c r="P561">
        <v>3.236384097659703E-2</v>
      </c>
      <c r="Q561" t="s">
        <v>161</v>
      </c>
    </row>
    <row r="562" spans="9:17" x14ac:dyDescent="0.45">
      <c r="I562" t="s">
        <v>190</v>
      </c>
      <c r="J562" t="s">
        <v>168</v>
      </c>
      <c r="K562">
        <v>1.5257810250791802E-2</v>
      </c>
      <c r="L562" t="s">
        <v>161</v>
      </c>
      <c r="N562" t="s">
        <v>213</v>
      </c>
      <c r="O562" t="s">
        <v>168</v>
      </c>
      <c r="P562">
        <v>3.4514691951379999E-3</v>
      </c>
      <c r="Q562" t="s">
        <v>161</v>
      </c>
    </row>
    <row r="563" spans="9:17" x14ac:dyDescent="0.45">
      <c r="I563" t="s">
        <v>190</v>
      </c>
      <c r="J563" t="s">
        <v>169</v>
      </c>
      <c r="K563">
        <v>0.12284672417017059</v>
      </c>
      <c r="L563" t="s">
        <v>161</v>
      </c>
      <c r="N563" t="s">
        <v>213</v>
      </c>
      <c r="O563" t="s">
        <v>169</v>
      </c>
      <c r="P563">
        <v>2.0173075525745422E-2</v>
      </c>
      <c r="Q563" t="s">
        <v>161</v>
      </c>
    </row>
    <row r="564" spans="9:17" x14ac:dyDescent="0.45">
      <c r="I564" t="s">
        <v>190</v>
      </c>
      <c r="J564" t="s">
        <v>246</v>
      </c>
      <c r="K564">
        <v>1.2536707216931365E-2</v>
      </c>
      <c r="L564" t="s">
        <v>161</v>
      </c>
      <c r="N564" t="s">
        <v>213</v>
      </c>
      <c r="O564" t="s">
        <v>246</v>
      </c>
      <c r="P564">
        <v>3.1692538506569146E-3</v>
      </c>
      <c r="Q564" t="s">
        <v>161</v>
      </c>
    </row>
    <row r="565" spans="9:17" x14ac:dyDescent="0.45">
      <c r="I565" t="s">
        <v>190</v>
      </c>
      <c r="J565" t="s">
        <v>247</v>
      </c>
      <c r="K565">
        <v>1.5595722184167611E-2</v>
      </c>
      <c r="L565" t="s">
        <v>161</v>
      </c>
      <c r="N565" t="s">
        <v>213</v>
      </c>
      <c r="O565" t="s">
        <v>247</v>
      </c>
      <c r="P565">
        <v>2.6723354232180398E-2</v>
      </c>
      <c r="Q565" t="s">
        <v>161</v>
      </c>
    </row>
    <row r="566" spans="9:17" x14ac:dyDescent="0.45">
      <c r="I566" t="s">
        <v>190</v>
      </c>
      <c r="J566" t="s">
        <v>170</v>
      </c>
      <c r="K566">
        <v>5.136276512724843E-3</v>
      </c>
      <c r="L566" t="s">
        <v>161</v>
      </c>
      <c r="N566" t="s">
        <v>213</v>
      </c>
      <c r="O566" t="s">
        <v>170</v>
      </c>
      <c r="P566">
        <v>5.3060339437507577E-2</v>
      </c>
      <c r="Q566" t="s">
        <v>161</v>
      </c>
    </row>
    <row r="567" spans="9:17" x14ac:dyDescent="0.45">
      <c r="I567" t="s">
        <v>190</v>
      </c>
      <c r="J567" t="s">
        <v>171</v>
      </c>
      <c r="K567">
        <v>7.4093631654898427E-3</v>
      </c>
      <c r="L567" t="s">
        <v>161</v>
      </c>
      <c r="N567" t="s">
        <v>213</v>
      </c>
      <c r="O567" t="s">
        <v>171</v>
      </c>
      <c r="P567">
        <v>6.089240611332025E-3</v>
      </c>
      <c r="Q567" t="s">
        <v>161</v>
      </c>
    </row>
    <row r="568" spans="9:17" x14ac:dyDescent="0.45">
      <c r="I568" t="s">
        <v>190</v>
      </c>
      <c r="J568" t="s">
        <v>172</v>
      </c>
      <c r="K568">
        <v>7.333932324151704E-2</v>
      </c>
      <c r="L568" t="s">
        <v>161</v>
      </c>
      <c r="N568" t="s">
        <v>213</v>
      </c>
      <c r="O568" t="s">
        <v>172</v>
      </c>
      <c r="P568">
        <v>3.3609242692967216E-2</v>
      </c>
      <c r="Q568" t="s">
        <v>161</v>
      </c>
    </row>
    <row r="569" spans="9:17" x14ac:dyDescent="0.45">
      <c r="I569" t="s">
        <v>190</v>
      </c>
      <c r="J569" t="s">
        <v>248</v>
      </c>
      <c r="K569">
        <v>5.0477997634476007E-3</v>
      </c>
      <c r="L569" t="s">
        <v>161</v>
      </c>
      <c r="N569" t="s">
        <v>213</v>
      </c>
      <c r="O569" t="s">
        <v>248</v>
      </c>
      <c r="P569">
        <v>5.2314328358812725E-3</v>
      </c>
      <c r="Q569" t="s">
        <v>161</v>
      </c>
    </row>
    <row r="570" spans="9:17" x14ac:dyDescent="0.45">
      <c r="I570" t="s">
        <v>190</v>
      </c>
      <c r="J570" t="s">
        <v>249</v>
      </c>
      <c r="K570">
        <v>1.5444067464391881E-3</v>
      </c>
      <c r="L570" t="s">
        <v>161</v>
      </c>
      <c r="N570" t="s">
        <v>213</v>
      </c>
      <c r="O570" t="s">
        <v>249</v>
      </c>
      <c r="P570">
        <v>4.358386446302507E-2</v>
      </c>
      <c r="Q570" t="s">
        <v>161</v>
      </c>
    </row>
    <row r="571" spans="9:17" x14ac:dyDescent="0.45">
      <c r="I571" t="s">
        <v>190</v>
      </c>
      <c r="J571" t="s">
        <v>250</v>
      </c>
      <c r="K571">
        <v>3.912015407843669E-6</v>
      </c>
      <c r="L571" t="s">
        <v>161</v>
      </c>
      <c r="N571" t="s">
        <v>213</v>
      </c>
      <c r="O571" t="s">
        <v>250</v>
      </c>
      <c r="P571">
        <v>7.458197109513573E-2</v>
      </c>
      <c r="Q571" t="s">
        <v>161</v>
      </c>
    </row>
    <row r="572" spans="9:17" x14ac:dyDescent="0.45">
      <c r="I572" t="s">
        <v>190</v>
      </c>
      <c r="J572" t="s">
        <v>251</v>
      </c>
      <c r="K572">
        <v>1.8716677774813107E-3</v>
      </c>
      <c r="L572" t="s">
        <v>161</v>
      </c>
      <c r="N572" t="s">
        <v>213</v>
      </c>
      <c r="O572" t="s">
        <v>251</v>
      </c>
      <c r="P572">
        <v>8.4296493352035134E-3</v>
      </c>
      <c r="Q572" t="s">
        <v>161</v>
      </c>
    </row>
    <row r="573" spans="9:17" x14ac:dyDescent="0.45">
      <c r="I573" t="s">
        <v>190</v>
      </c>
      <c r="J573" t="s">
        <v>252</v>
      </c>
      <c r="K573">
        <v>3.7482996656226591E-2</v>
      </c>
      <c r="L573" t="s">
        <v>161</v>
      </c>
      <c r="N573" t="s">
        <v>213</v>
      </c>
      <c r="O573" t="s">
        <v>252</v>
      </c>
      <c r="P573">
        <v>5.1088731982274066E-2</v>
      </c>
      <c r="Q573" t="s">
        <v>161</v>
      </c>
    </row>
    <row r="574" spans="9:17" x14ac:dyDescent="0.45">
      <c r="I574" t="s">
        <v>190</v>
      </c>
      <c r="J574" t="s">
        <v>253</v>
      </c>
      <c r="K574">
        <v>1.5005857531796089E-4</v>
      </c>
      <c r="L574" t="s">
        <v>161</v>
      </c>
      <c r="N574" t="s">
        <v>213</v>
      </c>
      <c r="O574" t="s">
        <v>253</v>
      </c>
      <c r="P574">
        <v>8.8779541181170027E-3</v>
      </c>
      <c r="Q574" t="s">
        <v>161</v>
      </c>
    </row>
    <row r="575" spans="9:17" x14ac:dyDescent="0.45">
      <c r="I575" t="s">
        <v>190</v>
      </c>
      <c r="J575" t="s">
        <v>254</v>
      </c>
      <c r="K575">
        <v>0</v>
      </c>
      <c r="L575" t="s">
        <v>161</v>
      </c>
      <c r="N575" t="s">
        <v>213</v>
      </c>
      <c r="O575" t="s">
        <v>254</v>
      </c>
      <c r="P575">
        <v>6.8247644914235697E-2</v>
      </c>
      <c r="Q575" t="s">
        <v>161</v>
      </c>
    </row>
    <row r="576" spans="9:17" x14ac:dyDescent="0.45">
      <c r="I576" t="s">
        <v>190</v>
      </c>
      <c r="J576" t="s">
        <v>255</v>
      </c>
      <c r="K576">
        <v>0</v>
      </c>
      <c r="L576" t="s">
        <v>161</v>
      </c>
      <c r="N576" t="s">
        <v>213</v>
      </c>
      <c r="O576" t="s">
        <v>255</v>
      </c>
      <c r="P576">
        <v>6.8462660240192624E-3</v>
      </c>
      <c r="Q576" t="s">
        <v>161</v>
      </c>
    </row>
    <row r="577" spans="9:17" x14ac:dyDescent="0.45">
      <c r="I577" t="s">
        <v>190</v>
      </c>
      <c r="J577" t="s">
        <v>256</v>
      </c>
      <c r="K577">
        <v>0</v>
      </c>
      <c r="L577" t="s">
        <v>161</v>
      </c>
      <c r="N577" t="s">
        <v>213</v>
      </c>
      <c r="O577" t="s">
        <v>256</v>
      </c>
      <c r="P577">
        <v>6.2970484276735875E-4</v>
      </c>
      <c r="Q577" t="s">
        <v>161</v>
      </c>
    </row>
    <row r="578" spans="9:17" x14ac:dyDescent="0.45">
      <c r="I578" t="s">
        <v>190</v>
      </c>
      <c r="J578" t="s">
        <v>257</v>
      </c>
      <c r="K578">
        <v>5.0124082553892084E-3</v>
      </c>
      <c r="L578" t="s">
        <v>161</v>
      </c>
      <c r="N578" t="s">
        <v>213</v>
      </c>
      <c r="O578" t="s">
        <v>257</v>
      </c>
      <c r="P578">
        <v>2.7580994865645872E-3</v>
      </c>
      <c r="Q578" t="s">
        <v>161</v>
      </c>
    </row>
    <row r="579" spans="9:17" x14ac:dyDescent="0.45">
      <c r="I579" t="s">
        <v>190</v>
      </c>
      <c r="J579" t="s">
        <v>258</v>
      </c>
      <c r="K579">
        <v>0</v>
      </c>
      <c r="L579" t="s">
        <v>161</v>
      </c>
      <c r="N579" t="s">
        <v>213</v>
      </c>
      <c r="O579" t="s">
        <v>258</v>
      </c>
      <c r="P579">
        <v>6.5909939717924296E-4</v>
      </c>
      <c r="Q579" t="s">
        <v>161</v>
      </c>
    </row>
    <row r="580" spans="9:17" x14ac:dyDescent="0.45">
      <c r="I580" t="s">
        <v>190</v>
      </c>
      <c r="J580" t="s">
        <v>259</v>
      </c>
      <c r="K580">
        <v>0</v>
      </c>
      <c r="L580" t="s">
        <v>161</v>
      </c>
      <c r="N580" t="s">
        <v>213</v>
      </c>
      <c r="O580" t="s">
        <v>259</v>
      </c>
      <c r="P580">
        <v>6.3028691337155109E-3</v>
      </c>
      <c r="Q580" t="s">
        <v>161</v>
      </c>
    </row>
    <row r="581" spans="9:17" x14ac:dyDescent="0.45">
      <c r="I581" t="s">
        <v>191</v>
      </c>
      <c r="J581" t="s">
        <v>160</v>
      </c>
      <c r="K581">
        <v>1.180746707001408E-2</v>
      </c>
      <c r="L581" t="s">
        <v>161</v>
      </c>
      <c r="N581" t="s">
        <v>214</v>
      </c>
      <c r="O581" t="s">
        <v>160</v>
      </c>
      <c r="P581">
        <v>0.1192941034227355</v>
      </c>
      <c r="Q581" t="s">
        <v>161</v>
      </c>
    </row>
    <row r="582" spans="9:17" x14ac:dyDescent="0.45">
      <c r="I582" t="s">
        <v>191</v>
      </c>
      <c r="J582" t="s">
        <v>162</v>
      </c>
      <c r="K582">
        <v>1.5527332219027487E-2</v>
      </c>
      <c r="L582" t="s">
        <v>161</v>
      </c>
      <c r="N582" t="s">
        <v>214</v>
      </c>
      <c r="O582" t="s">
        <v>162</v>
      </c>
      <c r="P582">
        <v>1.3533756413917679E-2</v>
      </c>
      <c r="Q582" t="s">
        <v>161</v>
      </c>
    </row>
    <row r="583" spans="9:17" x14ac:dyDescent="0.45">
      <c r="I583" t="s">
        <v>191</v>
      </c>
      <c r="J583" t="s">
        <v>163</v>
      </c>
      <c r="K583">
        <v>0.18113926019659859</v>
      </c>
      <c r="L583" t="s">
        <v>161</v>
      </c>
      <c r="N583" t="s">
        <v>214</v>
      </c>
      <c r="O583" t="s">
        <v>163</v>
      </c>
      <c r="P583">
        <v>9.3897183899909795E-2</v>
      </c>
      <c r="Q583" t="s">
        <v>161</v>
      </c>
    </row>
    <row r="584" spans="9:17" x14ac:dyDescent="0.45">
      <c r="I584" t="s">
        <v>191</v>
      </c>
      <c r="J584" t="s">
        <v>242</v>
      </c>
      <c r="K584">
        <v>1.5022678509603668E-2</v>
      </c>
      <c r="L584" t="s">
        <v>161</v>
      </c>
      <c r="N584" t="s">
        <v>214</v>
      </c>
      <c r="O584" t="s">
        <v>242</v>
      </c>
      <c r="P584">
        <v>1.5607635891041131E-2</v>
      </c>
      <c r="Q584" t="s">
        <v>161</v>
      </c>
    </row>
    <row r="585" spans="9:17" x14ac:dyDescent="0.45">
      <c r="I585" t="s">
        <v>191</v>
      </c>
      <c r="J585" t="s">
        <v>243</v>
      </c>
      <c r="K585">
        <v>1.0539722442262076E-2</v>
      </c>
      <c r="L585" t="s">
        <v>161</v>
      </c>
      <c r="N585" t="s">
        <v>214</v>
      </c>
      <c r="O585" t="s">
        <v>243</v>
      </c>
      <c r="P585">
        <v>0.12289189603607734</v>
      </c>
      <c r="Q585" t="s">
        <v>161</v>
      </c>
    </row>
    <row r="586" spans="9:17" x14ac:dyDescent="0.45">
      <c r="I586" t="s">
        <v>191</v>
      </c>
      <c r="J586" t="s">
        <v>164</v>
      </c>
      <c r="K586">
        <v>6.2256422552615008E-2</v>
      </c>
      <c r="L586" t="s">
        <v>161</v>
      </c>
      <c r="N586" t="s">
        <v>214</v>
      </c>
      <c r="O586" t="s">
        <v>164</v>
      </c>
      <c r="P586">
        <v>5.6364490111553721E-2</v>
      </c>
      <c r="Q586" t="s">
        <v>161</v>
      </c>
    </row>
    <row r="587" spans="9:17" x14ac:dyDescent="0.45">
      <c r="I587" t="s">
        <v>191</v>
      </c>
      <c r="J587" t="s">
        <v>165</v>
      </c>
      <c r="K587">
        <v>3.4007586758655423E-2</v>
      </c>
      <c r="L587" t="s">
        <v>161</v>
      </c>
      <c r="N587" t="s">
        <v>214</v>
      </c>
      <c r="O587" t="s">
        <v>165</v>
      </c>
      <c r="P587">
        <v>7.5160529455845348E-3</v>
      </c>
      <c r="Q587" t="s">
        <v>161</v>
      </c>
    </row>
    <row r="588" spans="9:17" x14ac:dyDescent="0.45">
      <c r="I588" t="s">
        <v>191</v>
      </c>
      <c r="J588" t="s">
        <v>166</v>
      </c>
      <c r="K588">
        <v>0.26668932815191349</v>
      </c>
      <c r="L588" t="s">
        <v>161</v>
      </c>
      <c r="N588" t="s">
        <v>214</v>
      </c>
      <c r="O588" t="s">
        <v>166</v>
      </c>
      <c r="P588">
        <v>7.3295426103387434E-2</v>
      </c>
      <c r="Q588" t="s">
        <v>161</v>
      </c>
    </row>
    <row r="589" spans="9:17" x14ac:dyDescent="0.45">
      <c r="I589" t="s">
        <v>191</v>
      </c>
      <c r="J589" t="s">
        <v>244</v>
      </c>
      <c r="K589">
        <v>2.7587058731544815E-2</v>
      </c>
      <c r="L589" t="s">
        <v>161</v>
      </c>
      <c r="N589" t="s">
        <v>214</v>
      </c>
      <c r="O589" t="s">
        <v>244</v>
      </c>
      <c r="P589">
        <v>1.1421991555685386E-2</v>
      </c>
      <c r="Q589" t="s">
        <v>161</v>
      </c>
    </row>
    <row r="590" spans="9:17" x14ac:dyDescent="0.45">
      <c r="I590" t="s">
        <v>191</v>
      </c>
      <c r="J590" t="s">
        <v>245</v>
      </c>
      <c r="K590">
        <v>4.4454322344617825E-2</v>
      </c>
      <c r="L590" t="s">
        <v>161</v>
      </c>
      <c r="N590" t="s">
        <v>214</v>
      </c>
      <c r="O590" t="s">
        <v>245</v>
      </c>
      <c r="P590">
        <v>6.7830732573286243E-2</v>
      </c>
      <c r="Q590" t="s">
        <v>161</v>
      </c>
    </row>
    <row r="591" spans="9:17" x14ac:dyDescent="0.45">
      <c r="I591" t="s">
        <v>191</v>
      </c>
      <c r="J591" t="s">
        <v>167</v>
      </c>
      <c r="K591">
        <v>2.2667605548070773E-2</v>
      </c>
      <c r="L591" t="s">
        <v>161</v>
      </c>
      <c r="N591" t="s">
        <v>214</v>
      </c>
      <c r="O591" t="s">
        <v>167</v>
      </c>
      <c r="P591">
        <v>2.7195891855480318E-2</v>
      </c>
      <c r="Q591" t="s">
        <v>161</v>
      </c>
    </row>
    <row r="592" spans="9:17" x14ac:dyDescent="0.45">
      <c r="I592" t="s">
        <v>191</v>
      </c>
      <c r="J592" t="s">
        <v>168</v>
      </c>
      <c r="K592">
        <v>1.5240953282897034E-2</v>
      </c>
      <c r="L592" t="s">
        <v>161</v>
      </c>
      <c r="N592" t="s">
        <v>214</v>
      </c>
      <c r="O592" t="s">
        <v>168</v>
      </c>
      <c r="P592">
        <v>2.698389621201721E-3</v>
      </c>
      <c r="Q592" t="s">
        <v>161</v>
      </c>
    </row>
    <row r="593" spans="9:17" x14ac:dyDescent="0.45">
      <c r="I593" t="s">
        <v>191</v>
      </c>
      <c r="J593" t="s">
        <v>169</v>
      </c>
      <c r="K593">
        <v>0.12349069351235192</v>
      </c>
      <c r="L593" t="s">
        <v>161</v>
      </c>
      <c r="N593" t="s">
        <v>214</v>
      </c>
      <c r="O593" t="s">
        <v>169</v>
      </c>
      <c r="P593">
        <v>2.0198906784072854E-2</v>
      </c>
      <c r="Q593" t="s">
        <v>161</v>
      </c>
    </row>
    <row r="594" spans="9:17" x14ac:dyDescent="0.45">
      <c r="I594" t="s">
        <v>191</v>
      </c>
      <c r="J594" t="s">
        <v>246</v>
      </c>
      <c r="K594">
        <v>1.2418901489560673E-2</v>
      </c>
      <c r="L594" t="s">
        <v>161</v>
      </c>
      <c r="N594" t="s">
        <v>214</v>
      </c>
      <c r="O594" t="s">
        <v>246</v>
      </c>
      <c r="P594">
        <v>3.762300274561761E-3</v>
      </c>
      <c r="Q594" t="s">
        <v>161</v>
      </c>
    </row>
    <row r="595" spans="9:17" x14ac:dyDescent="0.45">
      <c r="I595" t="s">
        <v>191</v>
      </c>
      <c r="J595" t="s">
        <v>247</v>
      </c>
      <c r="K595">
        <v>1.5515760883628459E-2</v>
      </c>
      <c r="L595" t="s">
        <v>161</v>
      </c>
      <c r="N595" t="s">
        <v>214</v>
      </c>
      <c r="O595" t="s">
        <v>247</v>
      </c>
      <c r="P595">
        <v>2.5638939258008593E-2</v>
      </c>
      <c r="Q595" t="s">
        <v>161</v>
      </c>
    </row>
    <row r="596" spans="9:17" x14ac:dyDescent="0.45">
      <c r="I596" t="s">
        <v>191</v>
      </c>
      <c r="J596" t="s">
        <v>170</v>
      </c>
      <c r="K596">
        <v>5.2857927775597302E-3</v>
      </c>
      <c r="L596" t="s">
        <v>161</v>
      </c>
      <c r="N596" t="s">
        <v>214</v>
      </c>
      <c r="O596" t="s">
        <v>170</v>
      </c>
      <c r="P596">
        <v>3.5444395308806179E-2</v>
      </c>
      <c r="Q596" t="s">
        <v>161</v>
      </c>
    </row>
    <row r="597" spans="9:17" x14ac:dyDescent="0.45">
      <c r="I597" t="s">
        <v>191</v>
      </c>
      <c r="J597" t="s">
        <v>171</v>
      </c>
      <c r="K597">
        <v>7.4474263351533366E-3</v>
      </c>
      <c r="L597" t="s">
        <v>161</v>
      </c>
      <c r="N597" t="s">
        <v>214</v>
      </c>
      <c r="O597" t="s">
        <v>171</v>
      </c>
      <c r="P597">
        <v>4.1953330147347714E-3</v>
      </c>
      <c r="Q597" t="s">
        <v>161</v>
      </c>
    </row>
    <row r="598" spans="9:17" x14ac:dyDescent="0.45">
      <c r="I598" t="s">
        <v>191</v>
      </c>
      <c r="J598" t="s">
        <v>172</v>
      </c>
      <c r="K598">
        <v>7.4512085293211017E-2</v>
      </c>
      <c r="L598" t="s">
        <v>161</v>
      </c>
      <c r="N598" t="s">
        <v>214</v>
      </c>
      <c r="O598" t="s">
        <v>172</v>
      </c>
      <c r="P598">
        <v>3.2934737155401676E-2</v>
      </c>
      <c r="Q598" t="s">
        <v>161</v>
      </c>
    </row>
    <row r="599" spans="9:17" x14ac:dyDescent="0.45">
      <c r="I599" t="s">
        <v>191</v>
      </c>
      <c r="J599" t="s">
        <v>248</v>
      </c>
      <c r="K599">
        <v>5.7641998555014676E-3</v>
      </c>
      <c r="L599" t="s">
        <v>161</v>
      </c>
      <c r="N599" t="s">
        <v>214</v>
      </c>
      <c r="O599" t="s">
        <v>248</v>
      </c>
      <c r="P599">
        <v>5.8784315700170075E-3</v>
      </c>
      <c r="Q599" t="s">
        <v>161</v>
      </c>
    </row>
    <row r="600" spans="9:17" x14ac:dyDescent="0.45">
      <c r="I600" t="s">
        <v>191</v>
      </c>
      <c r="J600" t="s">
        <v>249</v>
      </c>
      <c r="K600">
        <v>2.0147691559137342E-3</v>
      </c>
      <c r="L600" t="s">
        <v>161</v>
      </c>
      <c r="N600" t="s">
        <v>214</v>
      </c>
      <c r="O600" t="s">
        <v>249</v>
      </c>
      <c r="P600">
        <v>3.3689964008320604E-2</v>
      </c>
      <c r="Q600" t="s">
        <v>161</v>
      </c>
    </row>
    <row r="601" spans="9:17" x14ac:dyDescent="0.45">
      <c r="I601" t="s">
        <v>191</v>
      </c>
      <c r="J601" t="s">
        <v>250</v>
      </c>
      <c r="K601">
        <v>1.5822344212179259E-5</v>
      </c>
      <c r="L601" t="s">
        <v>161</v>
      </c>
      <c r="N601" t="s">
        <v>214</v>
      </c>
      <c r="O601" t="s">
        <v>250</v>
      </c>
      <c r="P601">
        <v>7.0424931720671352E-2</v>
      </c>
      <c r="Q601" t="s">
        <v>161</v>
      </c>
    </row>
    <row r="602" spans="9:17" x14ac:dyDescent="0.45">
      <c r="I602" t="s">
        <v>191</v>
      </c>
      <c r="J602" t="s">
        <v>251</v>
      </c>
      <c r="K602">
        <v>1.8915498121585186E-3</v>
      </c>
      <c r="L602" t="s">
        <v>161</v>
      </c>
      <c r="N602" t="s">
        <v>214</v>
      </c>
      <c r="O602" t="s">
        <v>251</v>
      </c>
      <c r="P602">
        <v>8.1527599307077217E-3</v>
      </c>
      <c r="Q602" t="s">
        <v>161</v>
      </c>
    </row>
    <row r="603" spans="9:17" x14ac:dyDescent="0.45">
      <c r="I603" t="s">
        <v>191</v>
      </c>
      <c r="J603" t="s">
        <v>252</v>
      </c>
      <c r="K603">
        <v>3.9492842571699979E-2</v>
      </c>
      <c r="L603" t="s">
        <v>161</v>
      </c>
      <c r="N603" t="s">
        <v>214</v>
      </c>
      <c r="O603" t="s">
        <v>252</v>
      </c>
      <c r="P603">
        <v>6.3082074518559475E-2</v>
      </c>
      <c r="Q603" t="s">
        <v>161</v>
      </c>
    </row>
    <row r="604" spans="9:17" x14ac:dyDescent="0.45">
      <c r="I604" t="s">
        <v>191</v>
      </c>
      <c r="J604" t="s">
        <v>253</v>
      </c>
      <c r="K604">
        <v>2.4023010820179618E-4</v>
      </c>
      <c r="L604" t="s">
        <v>161</v>
      </c>
      <c r="N604" t="s">
        <v>214</v>
      </c>
      <c r="O604" t="s">
        <v>253</v>
      </c>
      <c r="P604">
        <v>9.1297127447838404E-3</v>
      </c>
      <c r="Q604" t="s">
        <v>161</v>
      </c>
    </row>
    <row r="605" spans="9:17" x14ac:dyDescent="0.45">
      <c r="I605" t="s">
        <v>191</v>
      </c>
      <c r="J605" t="s">
        <v>254</v>
      </c>
      <c r="K605">
        <v>0</v>
      </c>
      <c r="L605" t="s">
        <v>161</v>
      </c>
      <c r="N605" t="s">
        <v>214</v>
      </c>
      <c r="O605" t="s">
        <v>254</v>
      </c>
      <c r="P605">
        <v>6.6053311120551308E-2</v>
      </c>
      <c r="Q605" t="s">
        <v>161</v>
      </c>
    </row>
    <row r="606" spans="9:17" x14ac:dyDescent="0.45">
      <c r="I606" t="s">
        <v>191</v>
      </c>
      <c r="J606" t="s">
        <v>255</v>
      </c>
      <c r="K606">
        <v>0</v>
      </c>
      <c r="L606" t="s">
        <v>161</v>
      </c>
      <c r="N606" t="s">
        <v>214</v>
      </c>
      <c r="O606" t="s">
        <v>255</v>
      </c>
      <c r="P606">
        <v>3.1368127767810732E-3</v>
      </c>
      <c r="Q606" t="s">
        <v>161</v>
      </c>
    </row>
    <row r="607" spans="9:17" x14ac:dyDescent="0.45">
      <c r="I607" t="s">
        <v>191</v>
      </c>
      <c r="J607" t="s">
        <v>256</v>
      </c>
      <c r="K607">
        <v>3.3920347480313798E-6</v>
      </c>
      <c r="L607" t="s">
        <v>161</v>
      </c>
      <c r="N607" t="s">
        <v>214</v>
      </c>
      <c r="O607" t="s">
        <v>256</v>
      </c>
      <c r="P607">
        <v>2.3720010001595262E-4</v>
      </c>
      <c r="Q607" t="s">
        <v>161</v>
      </c>
    </row>
    <row r="608" spans="9:17" x14ac:dyDescent="0.45">
      <c r="I608" t="s">
        <v>191</v>
      </c>
      <c r="J608" t="s">
        <v>257</v>
      </c>
      <c r="K608">
        <v>4.9667960182807258E-3</v>
      </c>
      <c r="L608" t="s">
        <v>161</v>
      </c>
      <c r="N608" t="s">
        <v>214</v>
      </c>
      <c r="O608" t="s">
        <v>257</v>
      </c>
      <c r="P608">
        <v>1.1088775251647542E-3</v>
      </c>
      <c r="Q608" t="s">
        <v>161</v>
      </c>
    </row>
    <row r="609" spans="9:17" x14ac:dyDescent="0.45">
      <c r="I609" t="s">
        <v>191</v>
      </c>
      <c r="J609" t="s">
        <v>258</v>
      </c>
      <c r="K609">
        <v>0</v>
      </c>
      <c r="L609" t="s">
        <v>161</v>
      </c>
      <c r="N609" t="s">
        <v>214</v>
      </c>
      <c r="O609" t="s">
        <v>258</v>
      </c>
      <c r="P609">
        <v>2.8806249541621614E-4</v>
      </c>
      <c r="Q609" t="s">
        <v>161</v>
      </c>
    </row>
    <row r="610" spans="9:17" x14ac:dyDescent="0.45">
      <c r="I610" t="s">
        <v>191</v>
      </c>
      <c r="J610" t="s">
        <v>259</v>
      </c>
      <c r="K610">
        <v>0</v>
      </c>
      <c r="L610" t="s">
        <v>161</v>
      </c>
      <c r="N610" t="s">
        <v>214</v>
      </c>
      <c r="O610" t="s">
        <v>259</v>
      </c>
      <c r="P610">
        <v>5.0956992635649446E-3</v>
      </c>
      <c r="Q610" t="s">
        <v>161</v>
      </c>
    </row>
    <row r="611" spans="9:17" x14ac:dyDescent="0.45">
      <c r="I611" t="s">
        <v>192</v>
      </c>
      <c r="J611" t="s">
        <v>160</v>
      </c>
      <c r="K611">
        <v>1.3822192305170363E-2</v>
      </c>
      <c r="L611" t="s">
        <v>161</v>
      </c>
      <c r="N611" t="s">
        <v>215</v>
      </c>
      <c r="O611" t="s">
        <v>160</v>
      </c>
      <c r="P611">
        <v>0.12806426303663723</v>
      </c>
      <c r="Q611" t="s">
        <v>161</v>
      </c>
    </row>
    <row r="612" spans="9:17" x14ac:dyDescent="0.45">
      <c r="I612" t="s">
        <v>192</v>
      </c>
      <c r="J612" t="s">
        <v>162</v>
      </c>
      <c r="K612">
        <v>1.6350094277963446E-2</v>
      </c>
      <c r="L612" t="s">
        <v>161</v>
      </c>
      <c r="N612" t="s">
        <v>215</v>
      </c>
      <c r="O612" t="s">
        <v>162</v>
      </c>
      <c r="P612">
        <v>1.3499391866205721E-2</v>
      </c>
      <c r="Q612" t="s">
        <v>161</v>
      </c>
    </row>
    <row r="613" spans="9:17" x14ac:dyDescent="0.45">
      <c r="I613" t="s">
        <v>192</v>
      </c>
      <c r="J613" t="s">
        <v>163</v>
      </c>
      <c r="K613">
        <v>0.18380342263637253</v>
      </c>
      <c r="L613" t="s">
        <v>161</v>
      </c>
      <c r="N613" t="s">
        <v>215</v>
      </c>
      <c r="O613" t="s">
        <v>163</v>
      </c>
      <c r="P613">
        <v>8.3603603637461138E-2</v>
      </c>
      <c r="Q613" t="s">
        <v>161</v>
      </c>
    </row>
    <row r="614" spans="9:17" x14ac:dyDescent="0.45">
      <c r="I614" t="s">
        <v>192</v>
      </c>
      <c r="J614" t="s">
        <v>242</v>
      </c>
      <c r="K614">
        <v>1.5987851974204045E-2</v>
      </c>
      <c r="L614" t="s">
        <v>161</v>
      </c>
      <c r="N614" t="s">
        <v>215</v>
      </c>
      <c r="O614" t="s">
        <v>242</v>
      </c>
      <c r="P614">
        <v>1.3538574007855389E-2</v>
      </c>
      <c r="Q614" t="s">
        <v>161</v>
      </c>
    </row>
    <row r="615" spans="9:17" x14ac:dyDescent="0.45">
      <c r="I615" t="s">
        <v>192</v>
      </c>
      <c r="J615" t="s">
        <v>243</v>
      </c>
      <c r="K615">
        <v>1.2076460911138627E-2</v>
      </c>
      <c r="L615" t="s">
        <v>161</v>
      </c>
      <c r="N615" t="s">
        <v>215</v>
      </c>
      <c r="O615" t="s">
        <v>243</v>
      </c>
      <c r="P615">
        <v>0.11909099301202786</v>
      </c>
      <c r="Q615" t="s">
        <v>161</v>
      </c>
    </row>
    <row r="616" spans="9:17" x14ac:dyDescent="0.45">
      <c r="I616" t="s">
        <v>192</v>
      </c>
      <c r="J616" t="s">
        <v>164</v>
      </c>
      <c r="K616">
        <v>5.9218770561737466E-2</v>
      </c>
      <c r="L616" t="s">
        <v>161</v>
      </c>
      <c r="N616" t="s">
        <v>215</v>
      </c>
      <c r="O616" t="s">
        <v>164</v>
      </c>
      <c r="P616">
        <v>7.032292122505035E-2</v>
      </c>
      <c r="Q616" t="s">
        <v>161</v>
      </c>
    </row>
    <row r="617" spans="9:17" x14ac:dyDescent="0.45">
      <c r="I617" t="s">
        <v>192</v>
      </c>
      <c r="J617" t="s">
        <v>165</v>
      </c>
      <c r="K617">
        <v>3.2328229909841431E-2</v>
      </c>
      <c r="L617" t="s">
        <v>161</v>
      </c>
      <c r="N617" t="s">
        <v>215</v>
      </c>
      <c r="O617" t="s">
        <v>165</v>
      </c>
      <c r="P617">
        <v>7.7205149551658582E-3</v>
      </c>
      <c r="Q617" t="s">
        <v>161</v>
      </c>
    </row>
    <row r="618" spans="9:17" x14ac:dyDescent="0.45">
      <c r="I618" t="s">
        <v>192</v>
      </c>
      <c r="J618" t="s">
        <v>166</v>
      </c>
      <c r="K618">
        <v>0.26314439442047466</v>
      </c>
      <c r="L618" t="s">
        <v>161</v>
      </c>
      <c r="N618" t="s">
        <v>215</v>
      </c>
      <c r="O618" t="s">
        <v>166</v>
      </c>
      <c r="P618">
        <v>5.8923265126363915E-2</v>
      </c>
      <c r="Q618" t="s">
        <v>161</v>
      </c>
    </row>
    <row r="619" spans="9:17" x14ac:dyDescent="0.45">
      <c r="I619" t="s">
        <v>192</v>
      </c>
      <c r="J619" t="s">
        <v>244</v>
      </c>
      <c r="K619">
        <v>2.8335164772061633E-2</v>
      </c>
      <c r="L619" t="s">
        <v>161</v>
      </c>
      <c r="N619" t="s">
        <v>215</v>
      </c>
      <c r="O619" t="s">
        <v>244</v>
      </c>
      <c r="P619">
        <v>8.7496894381862041E-3</v>
      </c>
      <c r="Q619" t="s">
        <v>161</v>
      </c>
    </row>
    <row r="620" spans="9:17" x14ac:dyDescent="0.45">
      <c r="I620" t="s">
        <v>192</v>
      </c>
      <c r="J620" t="s">
        <v>245</v>
      </c>
      <c r="K620">
        <v>4.8559005086401361E-2</v>
      </c>
      <c r="L620" t="s">
        <v>161</v>
      </c>
      <c r="N620" t="s">
        <v>215</v>
      </c>
      <c r="O620" t="s">
        <v>245</v>
      </c>
      <c r="P620">
        <v>7.0117805066177638E-2</v>
      </c>
      <c r="Q620" t="s">
        <v>161</v>
      </c>
    </row>
    <row r="621" spans="9:17" x14ac:dyDescent="0.45">
      <c r="I621" t="s">
        <v>192</v>
      </c>
      <c r="J621" t="s">
        <v>167</v>
      </c>
      <c r="K621">
        <v>2.0545655956939534E-2</v>
      </c>
      <c r="L621" t="s">
        <v>161</v>
      </c>
      <c r="N621" t="s">
        <v>215</v>
      </c>
      <c r="O621" t="s">
        <v>167</v>
      </c>
      <c r="P621">
        <v>3.1796487458336319E-2</v>
      </c>
      <c r="Q621" t="s">
        <v>161</v>
      </c>
    </row>
    <row r="622" spans="9:17" x14ac:dyDescent="0.45">
      <c r="I622" t="s">
        <v>192</v>
      </c>
      <c r="J622" t="s">
        <v>168</v>
      </c>
      <c r="K622">
        <v>1.4689199302848621E-2</v>
      </c>
      <c r="L622" t="s">
        <v>161</v>
      </c>
      <c r="N622" t="s">
        <v>215</v>
      </c>
      <c r="O622" t="s">
        <v>168</v>
      </c>
      <c r="P622">
        <v>3.3369321849523593E-3</v>
      </c>
      <c r="Q622" t="s">
        <v>161</v>
      </c>
    </row>
    <row r="623" spans="9:17" x14ac:dyDescent="0.45">
      <c r="I623" t="s">
        <v>192</v>
      </c>
      <c r="J623" t="s">
        <v>169</v>
      </c>
      <c r="K623">
        <v>0.11823450720913151</v>
      </c>
      <c r="L623" t="s">
        <v>161</v>
      </c>
      <c r="N623" t="s">
        <v>215</v>
      </c>
      <c r="O623" t="s">
        <v>169</v>
      </c>
      <c r="P623">
        <v>2.0449611402465238E-2</v>
      </c>
      <c r="Q623" t="s">
        <v>161</v>
      </c>
    </row>
    <row r="624" spans="9:17" x14ac:dyDescent="0.45">
      <c r="I624" t="s">
        <v>192</v>
      </c>
      <c r="J624" t="s">
        <v>246</v>
      </c>
      <c r="K624">
        <v>1.2681915530780385E-2</v>
      </c>
      <c r="L624" t="s">
        <v>161</v>
      </c>
      <c r="N624" t="s">
        <v>215</v>
      </c>
      <c r="O624" t="s">
        <v>246</v>
      </c>
      <c r="P624">
        <v>3.3538628575575996E-3</v>
      </c>
      <c r="Q624" t="s">
        <v>161</v>
      </c>
    </row>
    <row r="625" spans="9:17" x14ac:dyDescent="0.45">
      <c r="I625" t="s">
        <v>192</v>
      </c>
      <c r="J625" t="s">
        <v>247</v>
      </c>
      <c r="K625">
        <v>1.6915644276487146E-2</v>
      </c>
      <c r="L625" t="s">
        <v>161</v>
      </c>
      <c r="N625" t="s">
        <v>215</v>
      </c>
      <c r="O625" t="s">
        <v>247</v>
      </c>
      <c r="P625">
        <v>2.7737979653643097E-2</v>
      </c>
      <c r="Q625" t="s">
        <v>161</v>
      </c>
    </row>
    <row r="626" spans="9:17" x14ac:dyDescent="0.45">
      <c r="I626" t="s">
        <v>192</v>
      </c>
      <c r="J626" t="s">
        <v>170</v>
      </c>
      <c r="K626">
        <v>4.9442995021952837E-3</v>
      </c>
      <c r="L626" t="s">
        <v>161</v>
      </c>
      <c r="N626" t="s">
        <v>215</v>
      </c>
      <c r="O626" t="s">
        <v>170</v>
      </c>
      <c r="P626">
        <v>4.109504587232414E-2</v>
      </c>
      <c r="Q626" t="s">
        <v>161</v>
      </c>
    </row>
    <row r="627" spans="9:17" x14ac:dyDescent="0.45">
      <c r="I627" t="s">
        <v>192</v>
      </c>
      <c r="J627" t="s">
        <v>171</v>
      </c>
      <c r="K627">
        <v>8.3054346877787823E-3</v>
      </c>
      <c r="L627" t="s">
        <v>161</v>
      </c>
      <c r="N627" t="s">
        <v>215</v>
      </c>
      <c r="O627" t="s">
        <v>171</v>
      </c>
      <c r="P627">
        <v>4.435806452662297E-3</v>
      </c>
      <c r="Q627" t="s">
        <v>161</v>
      </c>
    </row>
    <row r="628" spans="9:17" x14ac:dyDescent="0.45">
      <c r="I628" t="s">
        <v>192</v>
      </c>
      <c r="J628" t="s">
        <v>172</v>
      </c>
      <c r="K628">
        <v>7.7298323812923161E-2</v>
      </c>
      <c r="L628" t="s">
        <v>161</v>
      </c>
      <c r="N628" t="s">
        <v>215</v>
      </c>
      <c r="O628" t="s">
        <v>172</v>
      </c>
      <c r="P628">
        <v>2.8213825885510049E-2</v>
      </c>
      <c r="Q628" t="s">
        <v>161</v>
      </c>
    </row>
    <row r="629" spans="9:17" x14ac:dyDescent="0.45">
      <c r="I629" t="s">
        <v>192</v>
      </c>
      <c r="J629" t="s">
        <v>248</v>
      </c>
      <c r="K629">
        <v>6.1873517160254366E-3</v>
      </c>
      <c r="L629" t="s">
        <v>161</v>
      </c>
      <c r="N629" t="s">
        <v>215</v>
      </c>
      <c r="O629" t="s">
        <v>248</v>
      </c>
      <c r="P629">
        <v>5.1467584193998286E-3</v>
      </c>
      <c r="Q629" t="s">
        <v>161</v>
      </c>
    </row>
    <row r="630" spans="9:17" x14ac:dyDescent="0.45">
      <c r="I630" t="s">
        <v>192</v>
      </c>
      <c r="J630" t="s">
        <v>249</v>
      </c>
      <c r="K630">
        <v>2.1331455829744074E-3</v>
      </c>
      <c r="L630" t="s">
        <v>161</v>
      </c>
      <c r="N630" t="s">
        <v>215</v>
      </c>
      <c r="O630" t="s">
        <v>249</v>
      </c>
      <c r="P630">
        <v>3.8605669587352044E-2</v>
      </c>
      <c r="Q630" t="s">
        <v>161</v>
      </c>
    </row>
    <row r="631" spans="9:17" x14ac:dyDescent="0.45">
      <c r="I631" t="s">
        <v>192</v>
      </c>
      <c r="J631" t="s">
        <v>250</v>
      </c>
      <c r="K631">
        <v>0</v>
      </c>
      <c r="L631" t="s">
        <v>161</v>
      </c>
      <c r="N631" t="s">
        <v>215</v>
      </c>
      <c r="O631" t="s">
        <v>250</v>
      </c>
      <c r="P631">
        <v>7.3169232582380742E-2</v>
      </c>
      <c r="Q631" t="s">
        <v>161</v>
      </c>
    </row>
    <row r="632" spans="9:17" x14ac:dyDescent="0.45">
      <c r="I632" t="s">
        <v>192</v>
      </c>
      <c r="J632" t="s">
        <v>251</v>
      </c>
      <c r="K632">
        <v>1.7958985181040282E-3</v>
      </c>
      <c r="L632" t="s">
        <v>161</v>
      </c>
      <c r="N632" t="s">
        <v>215</v>
      </c>
      <c r="O632" t="s">
        <v>251</v>
      </c>
      <c r="P632">
        <v>8.0532023861350742E-3</v>
      </c>
      <c r="Q632" t="s">
        <v>161</v>
      </c>
    </row>
    <row r="633" spans="9:17" x14ac:dyDescent="0.45">
      <c r="I633" t="s">
        <v>192</v>
      </c>
      <c r="J633" t="s">
        <v>252</v>
      </c>
      <c r="K633">
        <v>3.8911932853639523E-2</v>
      </c>
      <c r="L633" t="s">
        <v>161</v>
      </c>
      <c r="N633" t="s">
        <v>215</v>
      </c>
      <c r="O633" t="s">
        <v>252</v>
      </c>
      <c r="P633">
        <v>5.3569996792912064E-2</v>
      </c>
      <c r="Q633" t="s">
        <v>161</v>
      </c>
    </row>
    <row r="634" spans="9:17" x14ac:dyDescent="0.45">
      <c r="I634" t="s">
        <v>192</v>
      </c>
      <c r="J634" t="s">
        <v>253</v>
      </c>
      <c r="K634">
        <v>1.8668962015216565E-4</v>
      </c>
      <c r="L634" t="s">
        <v>161</v>
      </c>
      <c r="N634" t="s">
        <v>215</v>
      </c>
      <c r="O634" t="s">
        <v>253</v>
      </c>
      <c r="P634">
        <v>9.35822800226053E-3</v>
      </c>
      <c r="Q634" t="s">
        <v>161</v>
      </c>
    </row>
    <row r="635" spans="9:17" x14ac:dyDescent="0.45">
      <c r="I635" t="s">
        <v>192</v>
      </c>
      <c r="J635" t="s">
        <v>254</v>
      </c>
      <c r="K635">
        <v>0</v>
      </c>
      <c r="L635" t="s">
        <v>161</v>
      </c>
      <c r="N635" t="s">
        <v>215</v>
      </c>
      <c r="O635" t="s">
        <v>254</v>
      </c>
      <c r="P635">
        <v>6.7043491769815014E-2</v>
      </c>
      <c r="Q635" t="s">
        <v>161</v>
      </c>
    </row>
    <row r="636" spans="9:17" x14ac:dyDescent="0.45">
      <c r="I636" t="s">
        <v>192</v>
      </c>
      <c r="J636" t="s">
        <v>255</v>
      </c>
      <c r="K636">
        <v>0</v>
      </c>
      <c r="L636" t="s">
        <v>161</v>
      </c>
      <c r="N636" t="s">
        <v>215</v>
      </c>
      <c r="O636" t="s">
        <v>255</v>
      </c>
      <c r="P636">
        <v>4.0515347187067997E-3</v>
      </c>
      <c r="Q636" t="s">
        <v>161</v>
      </c>
    </row>
    <row r="637" spans="9:17" x14ac:dyDescent="0.45">
      <c r="I637" t="s">
        <v>192</v>
      </c>
      <c r="J637" t="s">
        <v>256</v>
      </c>
      <c r="K637">
        <v>0</v>
      </c>
      <c r="L637" t="s">
        <v>161</v>
      </c>
      <c r="N637" t="s">
        <v>215</v>
      </c>
      <c r="O637" t="s">
        <v>256</v>
      </c>
      <c r="P637">
        <v>4.2827228405981066E-4</v>
      </c>
      <c r="Q637" t="s">
        <v>161</v>
      </c>
    </row>
    <row r="638" spans="9:17" x14ac:dyDescent="0.45">
      <c r="I638" t="s">
        <v>192</v>
      </c>
      <c r="J638" t="s">
        <v>257</v>
      </c>
      <c r="K638">
        <v>3.5444145746558004E-3</v>
      </c>
      <c r="L638" t="s">
        <v>161</v>
      </c>
      <c r="N638" t="s">
        <v>215</v>
      </c>
      <c r="O638" t="s">
        <v>257</v>
      </c>
      <c r="P638">
        <v>1.5670548987052515E-3</v>
      </c>
      <c r="Q638" t="s">
        <v>161</v>
      </c>
    </row>
    <row r="639" spans="9:17" x14ac:dyDescent="0.45">
      <c r="I639" t="s">
        <v>192</v>
      </c>
      <c r="J639" t="s">
        <v>258</v>
      </c>
      <c r="K639">
        <v>0</v>
      </c>
      <c r="L639" t="s">
        <v>161</v>
      </c>
      <c r="N639" t="s">
        <v>215</v>
      </c>
      <c r="O639" t="s">
        <v>258</v>
      </c>
      <c r="P639">
        <v>3.0126523527416771E-4</v>
      </c>
      <c r="Q639" t="s">
        <v>161</v>
      </c>
    </row>
    <row r="640" spans="9:17" x14ac:dyDescent="0.45">
      <c r="I640" t="s">
        <v>192</v>
      </c>
      <c r="J640" t="s">
        <v>259</v>
      </c>
      <c r="K640">
        <v>0</v>
      </c>
      <c r="L640" t="s">
        <v>161</v>
      </c>
      <c r="N640" t="s">
        <v>215</v>
      </c>
      <c r="O640" t="s">
        <v>259</v>
      </c>
      <c r="P640">
        <v>4.6547201844173176E-3</v>
      </c>
      <c r="Q640" t="s">
        <v>161</v>
      </c>
    </row>
    <row r="641" spans="9:17" x14ac:dyDescent="0.45">
      <c r="I641" t="s">
        <v>193</v>
      </c>
      <c r="J641" t="s">
        <v>160</v>
      </c>
      <c r="K641">
        <v>1.3156134208145747E-2</v>
      </c>
      <c r="L641" t="s">
        <v>161</v>
      </c>
      <c r="N641" t="s">
        <v>216</v>
      </c>
      <c r="O641" t="s">
        <v>160</v>
      </c>
      <c r="P641">
        <v>0.11711288534081477</v>
      </c>
      <c r="Q641" t="s">
        <v>161</v>
      </c>
    </row>
    <row r="642" spans="9:17" x14ac:dyDescent="0.45">
      <c r="I642" t="s">
        <v>193</v>
      </c>
      <c r="J642" t="s">
        <v>162</v>
      </c>
      <c r="K642">
        <v>1.7487660357772758E-2</v>
      </c>
      <c r="L642" t="s">
        <v>161</v>
      </c>
      <c r="N642" t="s">
        <v>216</v>
      </c>
      <c r="O642" t="s">
        <v>162</v>
      </c>
      <c r="P642">
        <v>1.421107269032303E-2</v>
      </c>
      <c r="Q642" t="s">
        <v>161</v>
      </c>
    </row>
    <row r="643" spans="9:17" x14ac:dyDescent="0.45">
      <c r="I643" t="s">
        <v>193</v>
      </c>
      <c r="J643" t="s">
        <v>163</v>
      </c>
      <c r="K643">
        <v>0.1879697241977131</v>
      </c>
      <c r="L643" t="s">
        <v>161</v>
      </c>
      <c r="N643" t="s">
        <v>216</v>
      </c>
      <c r="O643" t="s">
        <v>163</v>
      </c>
      <c r="P643">
        <v>8.728518453438866E-2</v>
      </c>
      <c r="Q643" t="s">
        <v>161</v>
      </c>
    </row>
    <row r="644" spans="9:17" x14ac:dyDescent="0.45">
      <c r="I644" t="s">
        <v>193</v>
      </c>
      <c r="J644" t="s">
        <v>242</v>
      </c>
      <c r="K644">
        <v>1.6143144314620019E-2</v>
      </c>
      <c r="L644" t="s">
        <v>161</v>
      </c>
      <c r="N644" t="s">
        <v>216</v>
      </c>
      <c r="O644" t="s">
        <v>242</v>
      </c>
      <c r="P644">
        <v>1.3692778241283062E-2</v>
      </c>
      <c r="Q644" t="s">
        <v>161</v>
      </c>
    </row>
    <row r="645" spans="9:17" x14ac:dyDescent="0.45">
      <c r="I645" t="s">
        <v>193</v>
      </c>
      <c r="J645" t="s">
        <v>243</v>
      </c>
      <c r="K645">
        <v>1.2622665336101777E-2</v>
      </c>
      <c r="L645" t="s">
        <v>161</v>
      </c>
      <c r="N645" t="s">
        <v>216</v>
      </c>
      <c r="O645" t="s">
        <v>243</v>
      </c>
      <c r="P645">
        <v>0.10537182672650848</v>
      </c>
      <c r="Q645" t="s">
        <v>161</v>
      </c>
    </row>
    <row r="646" spans="9:17" x14ac:dyDescent="0.45">
      <c r="I646" t="s">
        <v>193</v>
      </c>
      <c r="J646" t="s">
        <v>164</v>
      </c>
      <c r="K646">
        <v>5.1735609083762513E-2</v>
      </c>
      <c r="L646" t="s">
        <v>161</v>
      </c>
      <c r="N646" t="s">
        <v>216</v>
      </c>
      <c r="O646" t="s">
        <v>164</v>
      </c>
      <c r="P646">
        <v>5.6590685610410113E-2</v>
      </c>
      <c r="Q646" t="s">
        <v>161</v>
      </c>
    </row>
    <row r="647" spans="9:17" x14ac:dyDescent="0.45">
      <c r="I647" t="s">
        <v>193</v>
      </c>
      <c r="J647" t="s">
        <v>165</v>
      </c>
      <c r="K647">
        <v>3.0093776493677789E-2</v>
      </c>
      <c r="L647" t="s">
        <v>161</v>
      </c>
      <c r="N647" t="s">
        <v>216</v>
      </c>
      <c r="O647" t="s">
        <v>165</v>
      </c>
      <c r="P647">
        <v>7.3245007524018633E-3</v>
      </c>
      <c r="Q647" t="s">
        <v>161</v>
      </c>
    </row>
    <row r="648" spans="9:17" x14ac:dyDescent="0.45">
      <c r="I648" t="s">
        <v>193</v>
      </c>
      <c r="J648" t="s">
        <v>166</v>
      </c>
      <c r="K648">
        <v>0.25757478600523043</v>
      </c>
      <c r="L648" t="s">
        <v>161</v>
      </c>
      <c r="N648" t="s">
        <v>216</v>
      </c>
      <c r="O648" t="s">
        <v>166</v>
      </c>
      <c r="P648">
        <v>5.0051045046757343E-2</v>
      </c>
      <c r="Q648" t="s">
        <v>161</v>
      </c>
    </row>
    <row r="649" spans="9:17" x14ac:dyDescent="0.45">
      <c r="I649" t="s">
        <v>193</v>
      </c>
      <c r="J649" t="s">
        <v>244</v>
      </c>
      <c r="K649">
        <v>3.0123665603965139E-2</v>
      </c>
      <c r="L649" t="s">
        <v>161</v>
      </c>
      <c r="N649" t="s">
        <v>216</v>
      </c>
      <c r="O649" t="s">
        <v>244</v>
      </c>
      <c r="P649">
        <v>8.5591305763017683E-3</v>
      </c>
      <c r="Q649" t="s">
        <v>161</v>
      </c>
    </row>
    <row r="650" spans="9:17" x14ac:dyDescent="0.45">
      <c r="I650" t="s">
        <v>193</v>
      </c>
      <c r="J650" t="s">
        <v>245</v>
      </c>
      <c r="K650">
        <v>5.4291423119128199E-2</v>
      </c>
      <c r="L650" t="s">
        <v>161</v>
      </c>
      <c r="N650" t="s">
        <v>216</v>
      </c>
      <c r="O650" t="s">
        <v>245</v>
      </c>
      <c r="P650">
        <v>6.1272761120327812E-2</v>
      </c>
      <c r="Q650" t="s">
        <v>161</v>
      </c>
    </row>
    <row r="651" spans="9:17" x14ac:dyDescent="0.45">
      <c r="I651" t="s">
        <v>193</v>
      </c>
      <c r="J651" t="s">
        <v>167</v>
      </c>
      <c r="K651">
        <v>1.9207028742246772E-2</v>
      </c>
      <c r="L651" t="s">
        <v>161</v>
      </c>
      <c r="N651" t="s">
        <v>216</v>
      </c>
      <c r="O651" t="s">
        <v>167</v>
      </c>
      <c r="P651">
        <v>2.7343743025971919E-2</v>
      </c>
      <c r="Q651" t="s">
        <v>161</v>
      </c>
    </row>
    <row r="652" spans="9:17" x14ac:dyDescent="0.45">
      <c r="I652" t="s">
        <v>193</v>
      </c>
      <c r="J652" t="s">
        <v>168</v>
      </c>
      <c r="K652">
        <v>1.438059888811704E-2</v>
      </c>
      <c r="L652" t="s">
        <v>161</v>
      </c>
      <c r="N652" t="s">
        <v>216</v>
      </c>
      <c r="O652" t="s">
        <v>168</v>
      </c>
      <c r="P652">
        <v>3.2626725128799892E-3</v>
      </c>
      <c r="Q652" t="s">
        <v>161</v>
      </c>
    </row>
    <row r="653" spans="9:17" x14ac:dyDescent="0.45">
      <c r="I653" t="s">
        <v>193</v>
      </c>
      <c r="J653" t="s">
        <v>169</v>
      </c>
      <c r="K653">
        <v>0.11826543488720766</v>
      </c>
      <c r="L653" t="s">
        <v>161</v>
      </c>
      <c r="N653" t="s">
        <v>216</v>
      </c>
      <c r="O653" t="s">
        <v>169</v>
      </c>
      <c r="P653">
        <v>2.0315234483948223E-2</v>
      </c>
      <c r="Q653" t="s">
        <v>161</v>
      </c>
    </row>
    <row r="654" spans="9:17" x14ac:dyDescent="0.45">
      <c r="I654" t="s">
        <v>193</v>
      </c>
      <c r="J654" t="s">
        <v>246</v>
      </c>
      <c r="K654">
        <v>1.3065358070020364E-2</v>
      </c>
      <c r="L654" t="s">
        <v>161</v>
      </c>
      <c r="N654" t="s">
        <v>216</v>
      </c>
      <c r="O654" t="s">
        <v>246</v>
      </c>
      <c r="P654">
        <v>3.3819472331326947E-3</v>
      </c>
      <c r="Q654" t="s">
        <v>161</v>
      </c>
    </row>
    <row r="655" spans="9:17" x14ac:dyDescent="0.45">
      <c r="I655" t="s">
        <v>193</v>
      </c>
      <c r="J655" t="s">
        <v>247</v>
      </c>
      <c r="K655">
        <v>1.8743403562781386E-2</v>
      </c>
      <c r="L655" t="s">
        <v>161</v>
      </c>
      <c r="N655" t="s">
        <v>216</v>
      </c>
      <c r="O655" t="s">
        <v>247</v>
      </c>
      <c r="P655">
        <v>2.3205647747879705E-2</v>
      </c>
      <c r="Q655" t="s">
        <v>161</v>
      </c>
    </row>
    <row r="656" spans="9:17" x14ac:dyDescent="0.45">
      <c r="I656" t="s">
        <v>193</v>
      </c>
      <c r="J656" t="s">
        <v>170</v>
      </c>
      <c r="K656">
        <v>4.7460863928769324E-3</v>
      </c>
      <c r="L656" t="s">
        <v>161</v>
      </c>
      <c r="N656" t="s">
        <v>216</v>
      </c>
      <c r="O656" t="s">
        <v>170</v>
      </c>
      <c r="P656">
        <v>5.3861078588372767E-2</v>
      </c>
      <c r="Q656" t="s">
        <v>161</v>
      </c>
    </row>
    <row r="657" spans="9:17" x14ac:dyDescent="0.45">
      <c r="I657" t="s">
        <v>193</v>
      </c>
      <c r="J657" t="s">
        <v>171</v>
      </c>
      <c r="K657">
        <v>8.5301542732464739E-3</v>
      </c>
      <c r="L657" t="s">
        <v>161</v>
      </c>
      <c r="N657" t="s">
        <v>216</v>
      </c>
      <c r="O657" t="s">
        <v>171</v>
      </c>
      <c r="P657">
        <v>6.0362090284002655E-3</v>
      </c>
      <c r="Q657" t="s">
        <v>161</v>
      </c>
    </row>
    <row r="658" spans="9:17" x14ac:dyDescent="0.45">
      <c r="I658" t="s">
        <v>193</v>
      </c>
      <c r="J658" t="s">
        <v>172</v>
      </c>
      <c r="K658">
        <v>7.8057497753301577E-2</v>
      </c>
      <c r="L658" t="s">
        <v>161</v>
      </c>
      <c r="N658" t="s">
        <v>216</v>
      </c>
      <c r="O658" t="s">
        <v>172</v>
      </c>
      <c r="P658">
        <v>3.7509152514041161E-2</v>
      </c>
      <c r="Q658" t="s">
        <v>161</v>
      </c>
    </row>
    <row r="659" spans="9:17" x14ac:dyDescent="0.45">
      <c r="I659" t="s">
        <v>193</v>
      </c>
      <c r="J659" t="s">
        <v>248</v>
      </c>
      <c r="K659">
        <v>6.4236242302497127E-3</v>
      </c>
      <c r="L659" t="s">
        <v>161</v>
      </c>
      <c r="N659" t="s">
        <v>216</v>
      </c>
      <c r="O659" t="s">
        <v>248</v>
      </c>
      <c r="P659">
        <v>5.9292841996500352E-3</v>
      </c>
      <c r="Q659" t="s">
        <v>161</v>
      </c>
    </row>
    <row r="660" spans="9:17" x14ac:dyDescent="0.45">
      <c r="I660" t="s">
        <v>193</v>
      </c>
      <c r="J660" t="s">
        <v>249</v>
      </c>
      <c r="K660">
        <v>2.3883150709556856E-3</v>
      </c>
      <c r="L660" t="s">
        <v>161</v>
      </c>
      <c r="N660" t="s">
        <v>216</v>
      </c>
      <c r="O660" t="s">
        <v>249</v>
      </c>
      <c r="P660">
        <v>4.2397401725252623E-2</v>
      </c>
      <c r="Q660" t="s">
        <v>161</v>
      </c>
    </row>
    <row r="661" spans="9:17" x14ac:dyDescent="0.45">
      <c r="I661" t="s">
        <v>193</v>
      </c>
      <c r="J661" t="s">
        <v>250</v>
      </c>
      <c r="K661">
        <v>0</v>
      </c>
      <c r="L661" t="s">
        <v>161</v>
      </c>
      <c r="N661" t="s">
        <v>216</v>
      </c>
      <c r="O661" t="s">
        <v>250</v>
      </c>
      <c r="P661">
        <v>7.9348181039334484E-2</v>
      </c>
      <c r="Q661" t="s">
        <v>161</v>
      </c>
    </row>
    <row r="662" spans="9:17" x14ac:dyDescent="0.45">
      <c r="I662" t="s">
        <v>193</v>
      </c>
      <c r="J662" t="s">
        <v>251</v>
      </c>
      <c r="K662">
        <v>1.6737719084035513E-3</v>
      </c>
      <c r="L662" t="s">
        <v>161</v>
      </c>
      <c r="N662" t="s">
        <v>216</v>
      </c>
      <c r="O662" t="s">
        <v>251</v>
      </c>
      <c r="P662">
        <v>8.9473139473295518E-3</v>
      </c>
      <c r="Q662" t="s">
        <v>161</v>
      </c>
    </row>
    <row r="663" spans="9:17" x14ac:dyDescent="0.45">
      <c r="I663" t="s">
        <v>193</v>
      </c>
      <c r="J663" t="s">
        <v>252</v>
      </c>
      <c r="K663">
        <v>3.9954533102313214E-2</v>
      </c>
      <c r="L663" t="s">
        <v>161</v>
      </c>
      <c r="N663" t="s">
        <v>216</v>
      </c>
      <c r="O663" t="s">
        <v>252</v>
      </c>
      <c r="P663">
        <v>6.0709438438257879E-2</v>
      </c>
      <c r="Q663" t="s">
        <v>161</v>
      </c>
    </row>
    <row r="664" spans="9:17" x14ac:dyDescent="0.45">
      <c r="I664" t="s">
        <v>193</v>
      </c>
      <c r="J664" t="s">
        <v>253</v>
      </c>
      <c r="K664">
        <v>3.7524215029345495E-4</v>
      </c>
      <c r="L664" t="s">
        <v>161</v>
      </c>
      <c r="N664" t="s">
        <v>216</v>
      </c>
      <c r="O664" t="s">
        <v>253</v>
      </c>
      <c r="P664">
        <v>1.00452698788847E-2</v>
      </c>
      <c r="Q664" t="s">
        <v>161</v>
      </c>
    </row>
    <row r="665" spans="9:17" x14ac:dyDescent="0.45">
      <c r="I665" t="s">
        <v>193</v>
      </c>
      <c r="J665" t="s">
        <v>254</v>
      </c>
      <c r="K665">
        <v>0</v>
      </c>
      <c r="L665" t="s">
        <v>161</v>
      </c>
      <c r="N665" t="s">
        <v>216</v>
      </c>
      <c r="O665" t="s">
        <v>254</v>
      </c>
      <c r="P665">
        <v>7.2813169555866378E-2</v>
      </c>
      <c r="Q665" t="s">
        <v>161</v>
      </c>
    </row>
    <row r="666" spans="9:17" x14ac:dyDescent="0.45">
      <c r="I666" t="s">
        <v>193</v>
      </c>
      <c r="J666" t="s">
        <v>255</v>
      </c>
      <c r="K666">
        <v>0</v>
      </c>
      <c r="L666" t="s">
        <v>161</v>
      </c>
      <c r="N666" t="s">
        <v>216</v>
      </c>
      <c r="O666" t="s">
        <v>255</v>
      </c>
      <c r="P666">
        <v>7.8892746966681155E-3</v>
      </c>
      <c r="Q666" t="s">
        <v>161</v>
      </c>
    </row>
    <row r="667" spans="9:17" x14ac:dyDescent="0.45">
      <c r="I667" t="s">
        <v>193</v>
      </c>
      <c r="J667" t="s">
        <v>256</v>
      </c>
      <c r="K667">
        <v>0</v>
      </c>
      <c r="L667" t="s">
        <v>161</v>
      </c>
      <c r="N667" t="s">
        <v>216</v>
      </c>
      <c r="O667" t="s">
        <v>256</v>
      </c>
      <c r="P667">
        <v>9.6915222995748224E-4</v>
      </c>
      <c r="Q667" t="s">
        <v>161</v>
      </c>
    </row>
    <row r="668" spans="9:17" x14ac:dyDescent="0.45">
      <c r="I668" t="s">
        <v>193</v>
      </c>
      <c r="J668" t="s">
        <v>257</v>
      </c>
      <c r="K668">
        <v>2.9903622478700165E-3</v>
      </c>
      <c r="L668" t="s">
        <v>161</v>
      </c>
      <c r="N668" t="s">
        <v>216</v>
      </c>
      <c r="O668" t="s">
        <v>257</v>
      </c>
      <c r="P668">
        <v>4.4535709947066439E-3</v>
      </c>
      <c r="Q668" t="s">
        <v>161</v>
      </c>
    </row>
    <row r="669" spans="9:17" x14ac:dyDescent="0.45">
      <c r="I669" t="s">
        <v>193</v>
      </c>
      <c r="J669" t="s">
        <v>258</v>
      </c>
      <c r="K669">
        <v>0</v>
      </c>
      <c r="L669" t="s">
        <v>161</v>
      </c>
      <c r="N669" t="s">
        <v>216</v>
      </c>
      <c r="O669" t="s">
        <v>258</v>
      </c>
      <c r="P669">
        <v>9.078372343746243E-4</v>
      </c>
      <c r="Q669" t="s">
        <v>161</v>
      </c>
    </row>
    <row r="670" spans="9:17" x14ac:dyDescent="0.45">
      <c r="I670" t="s">
        <v>193</v>
      </c>
      <c r="J670" t="s">
        <v>259</v>
      </c>
      <c r="K670">
        <v>0</v>
      </c>
      <c r="L670" t="s">
        <v>161</v>
      </c>
      <c r="N670" t="s">
        <v>216</v>
      </c>
      <c r="O670" t="s">
        <v>259</v>
      </c>
      <c r="P670">
        <v>9.2025502855746094E-3</v>
      </c>
      <c r="Q670" t="s">
        <v>161</v>
      </c>
    </row>
    <row r="671" spans="9:17" x14ac:dyDescent="0.45">
      <c r="I671" t="s">
        <v>194</v>
      </c>
      <c r="J671" t="s">
        <v>160</v>
      </c>
      <c r="K671">
        <v>1.3013908907462946E-2</v>
      </c>
      <c r="L671" t="s">
        <v>161</v>
      </c>
    </row>
    <row r="672" spans="9:17" x14ac:dyDescent="0.45">
      <c r="I672" t="s">
        <v>194</v>
      </c>
      <c r="J672" t="s">
        <v>162</v>
      </c>
      <c r="K672">
        <v>1.7001279672118452E-2</v>
      </c>
      <c r="L672" t="s">
        <v>161</v>
      </c>
    </row>
    <row r="673" spans="9:12" x14ac:dyDescent="0.45">
      <c r="I673" t="s">
        <v>194</v>
      </c>
      <c r="J673" t="s">
        <v>163</v>
      </c>
      <c r="K673">
        <v>0.19028053791454516</v>
      </c>
      <c r="L673" t="s">
        <v>161</v>
      </c>
    </row>
    <row r="674" spans="9:12" x14ac:dyDescent="0.45">
      <c r="I674" t="s">
        <v>194</v>
      </c>
      <c r="J674" t="s">
        <v>242</v>
      </c>
      <c r="K674">
        <v>1.6419749885783604E-2</v>
      </c>
      <c r="L674" t="s">
        <v>161</v>
      </c>
    </row>
    <row r="675" spans="9:12" x14ac:dyDescent="0.45">
      <c r="I675" t="s">
        <v>194</v>
      </c>
      <c r="J675" t="s">
        <v>243</v>
      </c>
      <c r="K675">
        <v>1.2152336186716742E-2</v>
      </c>
      <c r="L675" t="s">
        <v>161</v>
      </c>
    </row>
    <row r="676" spans="9:12" x14ac:dyDescent="0.45">
      <c r="I676" t="s">
        <v>194</v>
      </c>
      <c r="J676" t="s">
        <v>164</v>
      </c>
      <c r="K676">
        <v>5.2476301422582729E-2</v>
      </c>
      <c r="L676" t="s">
        <v>161</v>
      </c>
    </row>
    <row r="677" spans="9:12" x14ac:dyDescent="0.45">
      <c r="I677" t="s">
        <v>194</v>
      </c>
      <c r="J677" t="s">
        <v>165</v>
      </c>
      <c r="K677">
        <v>3.1604919626916007E-2</v>
      </c>
      <c r="L677" t="s">
        <v>161</v>
      </c>
    </row>
    <row r="678" spans="9:12" x14ac:dyDescent="0.45">
      <c r="I678" t="s">
        <v>194</v>
      </c>
      <c r="J678" t="s">
        <v>166</v>
      </c>
      <c r="K678">
        <v>0.25709454805301707</v>
      </c>
      <c r="L678" t="s">
        <v>161</v>
      </c>
    </row>
    <row r="679" spans="9:12" x14ac:dyDescent="0.45">
      <c r="I679" t="s">
        <v>194</v>
      </c>
      <c r="J679" t="s">
        <v>244</v>
      </c>
      <c r="K679">
        <v>2.8932383869390371E-2</v>
      </c>
      <c r="L679" t="s">
        <v>161</v>
      </c>
    </row>
    <row r="680" spans="9:12" x14ac:dyDescent="0.45">
      <c r="I680" t="s">
        <v>194</v>
      </c>
      <c r="J680" t="s">
        <v>245</v>
      </c>
      <c r="K680">
        <v>5.074977798244068E-2</v>
      </c>
      <c r="L680" t="s">
        <v>161</v>
      </c>
    </row>
    <row r="681" spans="9:12" x14ac:dyDescent="0.45">
      <c r="I681" t="s">
        <v>194</v>
      </c>
      <c r="J681" t="s">
        <v>167</v>
      </c>
      <c r="K681">
        <v>1.9661842723263507E-2</v>
      </c>
      <c r="L681" t="s">
        <v>161</v>
      </c>
    </row>
    <row r="682" spans="9:12" x14ac:dyDescent="0.45">
      <c r="I682" t="s">
        <v>194</v>
      </c>
      <c r="J682" t="s">
        <v>168</v>
      </c>
      <c r="K682">
        <v>1.4593150511668724E-2</v>
      </c>
      <c r="L682" t="s">
        <v>161</v>
      </c>
    </row>
    <row r="683" spans="9:12" x14ac:dyDescent="0.45">
      <c r="I683" t="s">
        <v>194</v>
      </c>
      <c r="J683" t="s">
        <v>169</v>
      </c>
      <c r="K683">
        <v>0.12069860857587571</v>
      </c>
      <c r="L683" t="s">
        <v>161</v>
      </c>
    </row>
    <row r="684" spans="9:12" x14ac:dyDescent="0.45">
      <c r="I684" t="s">
        <v>194</v>
      </c>
      <c r="J684" t="s">
        <v>246</v>
      </c>
      <c r="K684">
        <v>1.2167432265130998E-2</v>
      </c>
      <c r="L684" t="s">
        <v>161</v>
      </c>
    </row>
    <row r="685" spans="9:12" x14ac:dyDescent="0.45">
      <c r="I685" t="s">
        <v>194</v>
      </c>
      <c r="J685" t="s">
        <v>247</v>
      </c>
      <c r="K685">
        <v>1.7774527950974884E-2</v>
      </c>
      <c r="L685" t="s">
        <v>161</v>
      </c>
    </row>
    <row r="686" spans="9:12" x14ac:dyDescent="0.45">
      <c r="I686" t="s">
        <v>194</v>
      </c>
      <c r="J686" t="s">
        <v>170</v>
      </c>
      <c r="K686">
        <v>4.3827188164030336E-3</v>
      </c>
      <c r="L686" t="s">
        <v>161</v>
      </c>
    </row>
    <row r="687" spans="9:12" x14ac:dyDescent="0.45">
      <c r="I687" t="s">
        <v>194</v>
      </c>
      <c r="J687" t="s">
        <v>171</v>
      </c>
      <c r="K687">
        <v>8.0027425084771512E-3</v>
      </c>
      <c r="L687" t="s">
        <v>161</v>
      </c>
    </row>
    <row r="688" spans="9:12" x14ac:dyDescent="0.45">
      <c r="I688" t="s">
        <v>194</v>
      </c>
      <c r="J688" t="s">
        <v>172</v>
      </c>
      <c r="K688">
        <v>7.7793568035924826E-2</v>
      </c>
      <c r="L688" t="s">
        <v>161</v>
      </c>
    </row>
    <row r="689" spans="9:12" x14ac:dyDescent="0.45">
      <c r="I689" t="s">
        <v>194</v>
      </c>
      <c r="J689" t="s">
        <v>248</v>
      </c>
      <c r="K689">
        <v>6.02613668670303E-3</v>
      </c>
      <c r="L689" t="s">
        <v>161</v>
      </c>
    </row>
    <row r="690" spans="9:12" x14ac:dyDescent="0.45">
      <c r="I690" t="s">
        <v>194</v>
      </c>
      <c r="J690" t="s">
        <v>249</v>
      </c>
      <c r="K690">
        <v>2.0292777178340204E-3</v>
      </c>
      <c r="L690" t="s">
        <v>161</v>
      </c>
    </row>
    <row r="691" spans="9:12" x14ac:dyDescent="0.45">
      <c r="I691" t="s">
        <v>194</v>
      </c>
      <c r="J691" t="s">
        <v>250</v>
      </c>
      <c r="K691">
        <v>0</v>
      </c>
      <c r="L691" t="s">
        <v>161</v>
      </c>
    </row>
    <row r="692" spans="9:12" x14ac:dyDescent="0.45">
      <c r="I692" t="s">
        <v>194</v>
      </c>
      <c r="J692" t="s">
        <v>251</v>
      </c>
      <c r="K692">
        <v>1.7000009299708509E-3</v>
      </c>
      <c r="L692" t="s">
        <v>161</v>
      </c>
    </row>
    <row r="693" spans="9:12" x14ac:dyDescent="0.45">
      <c r="I693" t="s">
        <v>194</v>
      </c>
      <c r="J693" t="s">
        <v>252</v>
      </c>
      <c r="K693">
        <v>4.1589891201668304E-2</v>
      </c>
      <c r="L693" t="s">
        <v>161</v>
      </c>
    </row>
    <row r="694" spans="9:12" x14ac:dyDescent="0.45">
      <c r="I694" t="s">
        <v>194</v>
      </c>
      <c r="J694" t="s">
        <v>253</v>
      </c>
      <c r="K694">
        <v>4.1960103551149877E-4</v>
      </c>
      <c r="L694" t="s">
        <v>161</v>
      </c>
    </row>
    <row r="695" spans="9:12" x14ac:dyDescent="0.45">
      <c r="I695" t="s">
        <v>194</v>
      </c>
      <c r="J695" t="s">
        <v>254</v>
      </c>
      <c r="K695">
        <v>0</v>
      </c>
      <c r="L695" t="s">
        <v>161</v>
      </c>
    </row>
    <row r="696" spans="9:12" x14ac:dyDescent="0.45">
      <c r="I696" t="s">
        <v>194</v>
      </c>
      <c r="J696" t="s">
        <v>255</v>
      </c>
      <c r="K696">
        <v>0</v>
      </c>
      <c r="L696" t="s">
        <v>161</v>
      </c>
    </row>
    <row r="697" spans="9:12" x14ac:dyDescent="0.45">
      <c r="I697" t="s">
        <v>194</v>
      </c>
      <c r="J697" t="s">
        <v>256</v>
      </c>
      <c r="K697">
        <v>0</v>
      </c>
      <c r="L697" t="s">
        <v>161</v>
      </c>
    </row>
    <row r="698" spans="9:12" x14ac:dyDescent="0.45">
      <c r="I698" t="s">
        <v>194</v>
      </c>
      <c r="J698" t="s">
        <v>257</v>
      </c>
      <c r="K698">
        <v>3.434757519620918E-3</v>
      </c>
      <c r="L698" t="s">
        <v>161</v>
      </c>
    </row>
    <row r="699" spans="9:12" x14ac:dyDescent="0.45">
      <c r="I699" t="s">
        <v>194</v>
      </c>
      <c r="J699" t="s">
        <v>258</v>
      </c>
      <c r="K699">
        <v>0</v>
      </c>
      <c r="L699" t="s">
        <v>161</v>
      </c>
    </row>
    <row r="700" spans="9:12" x14ac:dyDescent="0.45">
      <c r="I700" t="s">
        <v>194</v>
      </c>
      <c r="J700" t="s">
        <v>259</v>
      </c>
      <c r="K700">
        <v>0</v>
      </c>
      <c r="L700" t="s">
        <v>161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A8B87-5F55-4B01-B5A0-7278AAEF642C}">
  <dimension ref="A9:AN11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144</v>
      </c>
      <c r="D10" t="s">
        <v>145</v>
      </c>
      <c r="E10" t="s">
        <v>146</v>
      </c>
      <c r="F10" t="s">
        <v>147</v>
      </c>
      <c r="G10" t="s">
        <v>148</v>
      </c>
      <c r="I10" t="s">
        <v>13</v>
      </c>
      <c r="J10" t="s">
        <v>120</v>
      </c>
      <c r="K10" t="s">
        <v>158</v>
      </c>
      <c r="L10" t="s">
        <v>30</v>
      </c>
      <c r="N10" t="s">
        <v>13</v>
      </c>
      <c r="O10" t="s">
        <v>120</v>
      </c>
      <c r="P10" t="s">
        <v>158</v>
      </c>
      <c r="Q10" t="s">
        <v>30</v>
      </c>
      <c r="S10" t="s">
        <v>13</v>
      </c>
      <c r="T10" t="s">
        <v>120</v>
      </c>
      <c r="U10" t="s">
        <v>158</v>
      </c>
      <c r="V10" t="s">
        <v>30</v>
      </c>
      <c r="X10" t="s">
        <v>227</v>
      </c>
      <c r="Y10" t="s">
        <v>158</v>
      </c>
      <c r="Z10" t="s">
        <v>120</v>
      </c>
      <c r="AA10" t="s">
        <v>13</v>
      </c>
      <c r="AC10" t="s">
        <v>13</v>
      </c>
      <c r="AD10" t="s">
        <v>120</v>
      </c>
      <c r="AE10" t="s">
        <v>158</v>
      </c>
      <c r="AG10" t="s">
        <v>13</v>
      </c>
      <c r="AH10" t="s">
        <v>120</v>
      </c>
      <c r="AI10" t="s">
        <v>233</v>
      </c>
      <c r="AK10" t="s">
        <v>47</v>
      </c>
      <c r="AL10" t="s">
        <v>120</v>
      </c>
      <c r="AM10" t="s">
        <v>234</v>
      </c>
      <c r="AN10" t="s">
        <v>235</v>
      </c>
    </row>
    <row r="11" spans="1:40" x14ac:dyDescent="0.45">
      <c r="A11" t="str">
        <f>IFERROR(IF(Veda!D5=A10,"ok","x"),"")</f>
        <v>x</v>
      </c>
      <c r="C11" t="s">
        <v>149</v>
      </c>
      <c r="D11" t="s">
        <v>150</v>
      </c>
      <c r="E11" t="s">
        <v>151</v>
      </c>
      <c r="F11" t="s">
        <v>262</v>
      </c>
      <c r="G11" t="s">
        <v>150</v>
      </c>
      <c r="I11" t="s">
        <v>159</v>
      </c>
      <c r="J11" t="s">
        <v>160</v>
      </c>
      <c r="K11">
        <v>7.7486934622781249E-8</v>
      </c>
      <c r="L11" t="s">
        <v>161</v>
      </c>
      <c r="N11" t="s">
        <v>195</v>
      </c>
      <c r="O11" t="s">
        <v>160</v>
      </c>
      <c r="P11">
        <v>7.2998701609337371E-2</v>
      </c>
      <c r="Q11" t="s">
        <v>161</v>
      </c>
      <c r="S11" t="s">
        <v>217</v>
      </c>
      <c r="T11" t="s">
        <v>160</v>
      </c>
      <c r="U11">
        <v>6.6955643461941564E-2</v>
      </c>
      <c r="V11" t="s">
        <v>161</v>
      </c>
      <c r="X11">
        <v>6.7579908675799091E-2</v>
      </c>
      <c r="Y11">
        <v>3.7457176242448355E-2</v>
      </c>
      <c r="Z11" t="s">
        <v>160</v>
      </c>
      <c r="AA11" t="s">
        <v>25</v>
      </c>
      <c r="AC11" t="s">
        <v>22</v>
      </c>
      <c r="AD11" t="s">
        <v>160</v>
      </c>
      <c r="AE11">
        <v>6.8001327417265695E-2</v>
      </c>
      <c r="AG11" t="s">
        <v>100</v>
      </c>
      <c r="AH11" t="s">
        <v>160</v>
      </c>
      <c r="AI11">
        <v>0.30891218732001535</v>
      </c>
      <c r="AK11">
        <v>2020</v>
      </c>
      <c r="AL11" t="s">
        <v>149</v>
      </c>
      <c r="AM11">
        <v>0.42036173390073239</v>
      </c>
      <c r="AN11" t="s">
        <v>236</v>
      </c>
    </row>
    <row r="12" spans="1:40" x14ac:dyDescent="0.45">
      <c r="C12" t="s">
        <v>153</v>
      </c>
      <c r="E12" t="s">
        <v>154</v>
      </c>
      <c r="G12" t="s">
        <v>150</v>
      </c>
      <c r="I12" t="s">
        <v>159</v>
      </c>
      <c r="J12" t="s">
        <v>162</v>
      </c>
      <c r="K12">
        <v>2.9730618125330295E-3</v>
      </c>
      <c r="L12" t="s">
        <v>161</v>
      </c>
      <c r="N12" t="s">
        <v>195</v>
      </c>
      <c r="O12" t="s">
        <v>162</v>
      </c>
      <c r="P12">
        <v>9.2097996524964486E-3</v>
      </c>
      <c r="Q12" t="s">
        <v>161</v>
      </c>
      <c r="S12" t="s">
        <v>217</v>
      </c>
      <c r="T12" t="s">
        <v>162</v>
      </c>
      <c r="U12">
        <v>8.5304376543275228E-3</v>
      </c>
      <c r="V12" t="s">
        <v>161</v>
      </c>
      <c r="X12">
        <v>8.4474885844748864E-3</v>
      </c>
      <c r="Y12">
        <v>1.0793161458203852E-2</v>
      </c>
      <c r="Z12" t="s">
        <v>162</v>
      </c>
      <c r="AA12" t="s">
        <v>25</v>
      </c>
      <c r="AC12" t="s">
        <v>22</v>
      </c>
      <c r="AD12" t="s">
        <v>162</v>
      </c>
      <c r="AE12">
        <v>1.1818794795019886E-2</v>
      </c>
      <c r="AG12" t="s">
        <v>100</v>
      </c>
      <c r="AH12" t="s">
        <v>162</v>
      </c>
      <c r="AI12">
        <v>9.1269101271528319E-2</v>
      </c>
      <c r="AK12">
        <v>2020</v>
      </c>
      <c r="AL12" t="s">
        <v>153</v>
      </c>
      <c r="AM12">
        <v>0.39878662326131986</v>
      </c>
      <c r="AN12" t="s">
        <v>236</v>
      </c>
    </row>
    <row r="13" spans="1:40" x14ac:dyDescent="0.45">
      <c r="C13" t="s">
        <v>155</v>
      </c>
      <c r="E13" t="s">
        <v>156</v>
      </c>
      <c r="G13" t="s">
        <v>150</v>
      </c>
      <c r="I13" t="s">
        <v>159</v>
      </c>
      <c r="J13" t="s">
        <v>163</v>
      </c>
      <c r="K13">
        <v>0.10057564218279502</v>
      </c>
      <c r="L13" t="s">
        <v>161</v>
      </c>
      <c r="N13" t="s">
        <v>195</v>
      </c>
      <c r="O13" t="s">
        <v>163</v>
      </c>
      <c r="P13">
        <v>5.9755211922593282E-2</v>
      </c>
      <c r="Q13" t="s">
        <v>161</v>
      </c>
      <c r="S13" t="s">
        <v>217</v>
      </c>
      <c r="T13" t="s">
        <v>163</v>
      </c>
      <c r="U13">
        <v>6.0108554271947084E-2</v>
      </c>
      <c r="V13" t="s">
        <v>161</v>
      </c>
      <c r="X13">
        <v>5.9132420091324203E-2</v>
      </c>
      <c r="Y13">
        <v>7.6974865126917452E-2</v>
      </c>
      <c r="Z13" t="s">
        <v>163</v>
      </c>
      <c r="AA13" t="s">
        <v>25</v>
      </c>
      <c r="AC13" t="s">
        <v>22</v>
      </c>
      <c r="AD13" t="s">
        <v>163</v>
      </c>
      <c r="AE13">
        <v>8.2829965443806899E-2</v>
      </c>
      <c r="AG13" t="s">
        <v>100</v>
      </c>
      <c r="AH13" t="s">
        <v>163</v>
      </c>
      <c r="AI13">
        <v>8.7096333986433683E-2</v>
      </c>
      <c r="AK13">
        <v>2020</v>
      </c>
      <c r="AL13" t="s">
        <v>155</v>
      </c>
      <c r="AM13">
        <v>0.39905379632369864</v>
      </c>
      <c r="AN13" t="s">
        <v>236</v>
      </c>
    </row>
    <row r="14" spans="1:40" x14ac:dyDescent="0.45">
      <c r="C14" t="s">
        <v>157</v>
      </c>
      <c r="E14" t="s">
        <v>238</v>
      </c>
      <c r="G14" t="s">
        <v>150</v>
      </c>
      <c r="I14" t="s">
        <v>159</v>
      </c>
      <c r="J14" t="s">
        <v>242</v>
      </c>
      <c r="K14">
        <v>1.1811424051156705E-2</v>
      </c>
      <c r="L14" t="s">
        <v>161</v>
      </c>
      <c r="N14" t="s">
        <v>195</v>
      </c>
      <c r="O14" t="s">
        <v>242</v>
      </c>
      <c r="P14">
        <v>8.516728894681292E-3</v>
      </c>
      <c r="Q14" t="s">
        <v>161</v>
      </c>
      <c r="S14" t="s">
        <v>217</v>
      </c>
      <c r="T14" t="s">
        <v>242</v>
      </c>
      <c r="U14">
        <v>8.6253340741745434E-3</v>
      </c>
      <c r="V14" t="s">
        <v>161</v>
      </c>
      <c r="X14">
        <v>8.4474885844748864E-3</v>
      </c>
      <c r="Y14">
        <v>1.6435041311355859E-2</v>
      </c>
      <c r="Z14" t="s">
        <v>242</v>
      </c>
      <c r="AA14" t="s">
        <v>25</v>
      </c>
      <c r="AC14" t="s">
        <v>22</v>
      </c>
      <c r="AD14" t="s">
        <v>242</v>
      </c>
      <c r="AE14">
        <v>1.2082588989808943E-2</v>
      </c>
      <c r="AG14" t="s">
        <v>100</v>
      </c>
      <c r="AH14" t="s">
        <v>242</v>
      </c>
      <c r="AI14">
        <v>8.2436627004655927E-2</v>
      </c>
      <c r="AK14">
        <v>2020</v>
      </c>
      <c r="AL14" t="s">
        <v>157</v>
      </c>
      <c r="AM14">
        <v>0.38461960036390336</v>
      </c>
      <c r="AN14" t="s">
        <v>236</v>
      </c>
    </row>
    <row r="15" spans="1:40" x14ac:dyDescent="0.45">
      <c r="C15" t="s">
        <v>239</v>
      </c>
      <c r="E15" t="s">
        <v>240</v>
      </c>
      <c r="G15" t="s">
        <v>150</v>
      </c>
      <c r="I15" t="s">
        <v>159</v>
      </c>
      <c r="J15" t="s">
        <v>243</v>
      </c>
      <c r="K15">
        <v>7.6816263654135627E-3</v>
      </c>
      <c r="L15" t="s">
        <v>161</v>
      </c>
      <c r="N15" t="s">
        <v>195</v>
      </c>
      <c r="O15" t="s">
        <v>243</v>
      </c>
      <c r="P15">
        <v>8.6812323293427827E-3</v>
      </c>
      <c r="Q15" t="s">
        <v>161</v>
      </c>
      <c r="S15" t="s">
        <v>217</v>
      </c>
      <c r="T15" t="s">
        <v>243</v>
      </c>
      <c r="U15">
        <v>8.7373809864527714E-3</v>
      </c>
      <c r="V15" t="s">
        <v>161</v>
      </c>
      <c r="X15">
        <v>8.4474885844748864E-3</v>
      </c>
      <c r="Y15">
        <v>1.6435041311355859E-2</v>
      </c>
      <c r="Z15" t="s">
        <v>243</v>
      </c>
      <c r="AA15" t="s">
        <v>25</v>
      </c>
      <c r="AC15" t="s">
        <v>22</v>
      </c>
      <c r="AD15" t="s">
        <v>243</v>
      </c>
      <c r="AE15">
        <v>1.2164420967786947E-2</v>
      </c>
      <c r="AG15" t="s">
        <v>100</v>
      </c>
      <c r="AH15" t="s">
        <v>243</v>
      </c>
      <c r="AI15">
        <v>7.9956709890349087E-2</v>
      </c>
      <c r="AK15">
        <v>2020</v>
      </c>
      <c r="AL15" t="s">
        <v>239</v>
      </c>
      <c r="AM15">
        <v>0.376892133328949</v>
      </c>
      <c r="AN15" t="s">
        <v>236</v>
      </c>
    </row>
    <row r="16" spans="1:40" x14ac:dyDescent="0.45">
      <c r="C16" t="s">
        <v>241</v>
      </c>
      <c r="E16" t="s">
        <v>263</v>
      </c>
      <c r="G16" t="s">
        <v>150</v>
      </c>
      <c r="I16" t="s">
        <v>159</v>
      </c>
      <c r="J16" t="s">
        <v>266</v>
      </c>
      <c r="K16">
        <v>2.5672884626531424E-3</v>
      </c>
      <c r="L16" t="s">
        <v>161</v>
      </c>
      <c r="N16" t="s">
        <v>195</v>
      </c>
      <c r="O16" t="s">
        <v>266</v>
      </c>
      <c r="P16">
        <v>5.5392127624778423E-2</v>
      </c>
      <c r="Q16" t="s">
        <v>161</v>
      </c>
      <c r="S16" t="s">
        <v>217</v>
      </c>
      <c r="T16" t="s">
        <v>266</v>
      </c>
      <c r="U16">
        <v>5.2582249441583497E-2</v>
      </c>
      <c r="V16" t="s">
        <v>161</v>
      </c>
      <c r="X16">
        <v>5.0684931506849315E-2</v>
      </c>
      <c r="Y16">
        <v>4.4644440577115911E-2</v>
      </c>
      <c r="Z16" t="s">
        <v>266</v>
      </c>
      <c r="AA16" t="s">
        <v>25</v>
      </c>
      <c r="AC16" t="s">
        <v>22</v>
      </c>
      <c r="AD16" t="s">
        <v>266</v>
      </c>
      <c r="AE16">
        <v>6.3323112209997728E-2</v>
      </c>
      <c r="AG16" t="s">
        <v>100</v>
      </c>
      <c r="AH16" t="s">
        <v>266</v>
      </c>
      <c r="AI16">
        <v>0.18238122154077208</v>
      </c>
      <c r="AK16">
        <v>2020</v>
      </c>
      <c r="AL16" t="s">
        <v>241</v>
      </c>
      <c r="AM16">
        <v>0.3336786031370228</v>
      </c>
      <c r="AN16" t="s">
        <v>236</v>
      </c>
    </row>
    <row r="17" spans="3:40" x14ac:dyDescent="0.45">
      <c r="C17" t="s">
        <v>264</v>
      </c>
      <c r="I17" t="s">
        <v>159</v>
      </c>
      <c r="J17" t="s">
        <v>164</v>
      </c>
      <c r="K17">
        <v>4.3617000409275821E-3</v>
      </c>
      <c r="L17" t="s">
        <v>161</v>
      </c>
      <c r="N17" t="s">
        <v>195</v>
      </c>
      <c r="O17" t="s">
        <v>164</v>
      </c>
      <c r="P17">
        <v>3.7095395792151528E-2</v>
      </c>
      <c r="Q17" t="s">
        <v>161</v>
      </c>
      <c r="S17" t="s">
        <v>217</v>
      </c>
      <c r="T17" t="s">
        <v>164</v>
      </c>
      <c r="U17">
        <v>3.6171560141925366E-2</v>
      </c>
      <c r="V17" t="s">
        <v>161</v>
      </c>
      <c r="X17">
        <v>3.4703196347031964E-2</v>
      </c>
      <c r="Y17">
        <v>1.923476617855456E-2</v>
      </c>
      <c r="Z17" t="s">
        <v>164</v>
      </c>
      <c r="AA17" t="s">
        <v>25</v>
      </c>
      <c r="AC17" t="s">
        <v>22</v>
      </c>
      <c r="AD17" t="s">
        <v>164</v>
      </c>
      <c r="AE17">
        <v>3.2021468186342744E-2</v>
      </c>
      <c r="AG17" t="s">
        <v>100</v>
      </c>
      <c r="AH17" t="s">
        <v>164</v>
      </c>
      <c r="AI17">
        <v>0.3637764965843775</v>
      </c>
      <c r="AK17">
        <v>2020</v>
      </c>
      <c r="AL17" t="s">
        <v>264</v>
      </c>
      <c r="AM17">
        <v>0.31567524908750122</v>
      </c>
      <c r="AN17" t="s">
        <v>236</v>
      </c>
    </row>
    <row r="18" spans="3:40" x14ac:dyDescent="0.45">
      <c r="C18" t="s">
        <v>265</v>
      </c>
      <c r="I18" t="s">
        <v>159</v>
      </c>
      <c r="J18" t="s">
        <v>165</v>
      </c>
      <c r="K18">
        <v>7.1571070894123371E-3</v>
      </c>
      <c r="L18" t="s">
        <v>161</v>
      </c>
      <c r="N18" t="s">
        <v>195</v>
      </c>
      <c r="O18" t="s">
        <v>165</v>
      </c>
      <c r="P18">
        <v>3.8585268584841763E-3</v>
      </c>
      <c r="Q18" t="s">
        <v>161</v>
      </c>
      <c r="S18" t="s">
        <v>217</v>
      </c>
      <c r="T18" t="s">
        <v>165</v>
      </c>
      <c r="U18">
        <v>4.5067883370576217E-3</v>
      </c>
      <c r="V18" t="s">
        <v>161</v>
      </c>
      <c r="X18">
        <v>4.3378995433789955E-3</v>
      </c>
      <c r="Y18">
        <v>5.5424342623208965E-3</v>
      </c>
      <c r="Z18" t="s">
        <v>165</v>
      </c>
      <c r="AA18" t="s">
        <v>25</v>
      </c>
      <c r="AC18" t="s">
        <v>22</v>
      </c>
      <c r="AD18" t="s">
        <v>165</v>
      </c>
      <c r="AE18">
        <v>5.5159008261199075E-3</v>
      </c>
      <c r="AG18" t="s">
        <v>100</v>
      </c>
      <c r="AH18" t="s">
        <v>165</v>
      </c>
      <c r="AI18">
        <v>0.14950163116292714</v>
      </c>
      <c r="AK18">
        <v>2020</v>
      </c>
      <c r="AL18" t="s">
        <v>265</v>
      </c>
      <c r="AM18">
        <v>0.31567524908750122</v>
      </c>
      <c r="AN18" t="s">
        <v>236</v>
      </c>
    </row>
    <row r="19" spans="3:40" x14ac:dyDescent="0.45">
      <c r="I19" t="s">
        <v>159</v>
      </c>
      <c r="J19" t="s">
        <v>166</v>
      </c>
      <c r="K19">
        <v>8.6328965014418474E-2</v>
      </c>
      <c r="L19" t="s">
        <v>161</v>
      </c>
      <c r="N19" t="s">
        <v>195</v>
      </c>
      <c r="O19" t="s">
        <v>166</v>
      </c>
      <c r="P19">
        <v>2.8397667979102266E-2</v>
      </c>
      <c r="Q19" t="s">
        <v>161</v>
      </c>
      <c r="S19" t="s">
        <v>217</v>
      </c>
      <c r="T19" t="s">
        <v>166</v>
      </c>
      <c r="U19">
        <v>3.1506118167826301E-2</v>
      </c>
      <c r="V19" t="s">
        <v>161</v>
      </c>
      <c r="X19">
        <v>3.0365296803652967E-2</v>
      </c>
      <c r="Y19">
        <v>3.9527633443552208E-2</v>
      </c>
      <c r="Z19" t="s">
        <v>166</v>
      </c>
      <c r="AA19" t="s">
        <v>25</v>
      </c>
      <c r="AC19" t="s">
        <v>22</v>
      </c>
      <c r="AD19" t="s">
        <v>166</v>
      </c>
      <c r="AE19">
        <v>3.7771947589106306E-2</v>
      </c>
      <c r="AG19" t="s">
        <v>100</v>
      </c>
      <c r="AH19" t="s">
        <v>166</v>
      </c>
      <c r="AI19">
        <v>0.15732511492297641</v>
      </c>
      <c r="AK19">
        <v>2021</v>
      </c>
      <c r="AL19" t="s">
        <v>149</v>
      </c>
      <c r="AM19">
        <v>0.38411201486294028</v>
      </c>
      <c r="AN19" t="s">
        <v>236</v>
      </c>
    </row>
    <row r="20" spans="3:40" x14ac:dyDescent="0.45">
      <c r="I20" t="s">
        <v>159</v>
      </c>
      <c r="J20" t="s">
        <v>244</v>
      </c>
      <c r="K20">
        <v>1.051753284237108E-2</v>
      </c>
      <c r="L20" t="s">
        <v>161</v>
      </c>
      <c r="N20" t="s">
        <v>195</v>
      </c>
      <c r="O20" t="s">
        <v>244</v>
      </c>
      <c r="P20">
        <v>4.3135281749784229E-3</v>
      </c>
      <c r="Q20" t="s">
        <v>161</v>
      </c>
      <c r="S20" t="s">
        <v>217</v>
      </c>
      <c r="T20" t="s">
        <v>244</v>
      </c>
      <c r="U20">
        <v>4.559287775223058E-3</v>
      </c>
      <c r="V20" t="s">
        <v>161</v>
      </c>
      <c r="X20">
        <v>4.3378995433789955E-3</v>
      </c>
      <c r="Y20">
        <v>8.4396158085340914E-3</v>
      </c>
      <c r="Z20" t="s">
        <v>244</v>
      </c>
      <c r="AA20" t="s">
        <v>25</v>
      </c>
      <c r="AC20" t="s">
        <v>22</v>
      </c>
      <c r="AD20" t="s">
        <v>244</v>
      </c>
      <c r="AE20">
        <v>5.4116804215224223E-3</v>
      </c>
      <c r="AG20" t="s">
        <v>100</v>
      </c>
      <c r="AH20" t="s">
        <v>244</v>
      </c>
      <c r="AI20">
        <v>0.15151965568248427</v>
      </c>
      <c r="AK20">
        <v>2021</v>
      </c>
      <c r="AL20" t="s">
        <v>153</v>
      </c>
      <c r="AM20">
        <v>0.35801489838154743</v>
      </c>
      <c r="AN20" t="s">
        <v>236</v>
      </c>
    </row>
    <row r="21" spans="3:40" x14ac:dyDescent="0.45">
      <c r="I21" t="s">
        <v>159</v>
      </c>
      <c r="J21" t="s">
        <v>245</v>
      </c>
      <c r="K21">
        <v>8.4227970913997256E-3</v>
      </c>
      <c r="L21" t="s">
        <v>161</v>
      </c>
      <c r="N21" t="s">
        <v>195</v>
      </c>
      <c r="O21" t="s">
        <v>245</v>
      </c>
      <c r="P21">
        <v>3.9637479126210995E-3</v>
      </c>
      <c r="Q21" t="s">
        <v>161</v>
      </c>
      <c r="S21" t="s">
        <v>217</v>
      </c>
      <c r="T21" t="s">
        <v>245</v>
      </c>
      <c r="U21">
        <v>4.5819580828605003E-3</v>
      </c>
      <c r="V21" t="s">
        <v>161</v>
      </c>
      <c r="X21">
        <v>4.3378995433789955E-3</v>
      </c>
      <c r="Y21">
        <v>8.4396158085340914E-3</v>
      </c>
      <c r="Z21" t="s">
        <v>245</v>
      </c>
      <c r="AA21" t="s">
        <v>25</v>
      </c>
      <c r="AC21" t="s">
        <v>22</v>
      </c>
      <c r="AD21" t="s">
        <v>245</v>
      </c>
      <c r="AE21">
        <v>5.4523298475008478E-3</v>
      </c>
      <c r="AG21" t="s">
        <v>100</v>
      </c>
      <c r="AH21" t="s">
        <v>245</v>
      </c>
      <c r="AI21">
        <v>0.15539407562763441</v>
      </c>
      <c r="AK21">
        <v>2021</v>
      </c>
      <c r="AL21" t="s">
        <v>155</v>
      </c>
      <c r="AM21">
        <v>0.46341180771817125</v>
      </c>
      <c r="AN21" t="s">
        <v>236</v>
      </c>
    </row>
    <row r="22" spans="3:40" x14ac:dyDescent="0.45">
      <c r="I22" t="s">
        <v>159</v>
      </c>
      <c r="J22" t="s">
        <v>267</v>
      </c>
      <c r="K22">
        <v>7.6199498155536923E-3</v>
      </c>
      <c r="L22" t="s">
        <v>161</v>
      </c>
      <c r="N22" t="s">
        <v>195</v>
      </c>
      <c r="O22" t="s">
        <v>267</v>
      </c>
      <c r="P22">
        <v>2.8812966299076651E-2</v>
      </c>
      <c r="Q22" t="s">
        <v>161</v>
      </c>
      <c r="S22" t="s">
        <v>217</v>
      </c>
      <c r="T22" t="s">
        <v>267</v>
      </c>
      <c r="U22">
        <v>2.8707907781325342E-2</v>
      </c>
      <c r="V22" t="s">
        <v>161</v>
      </c>
      <c r="X22">
        <v>2.6027397260273973E-2</v>
      </c>
      <c r="Y22">
        <v>2.2925523539600066E-2</v>
      </c>
      <c r="Z22" t="s">
        <v>267</v>
      </c>
      <c r="AA22" t="s">
        <v>25</v>
      </c>
      <c r="AC22" t="s">
        <v>22</v>
      </c>
      <c r="AD22" t="s">
        <v>267</v>
      </c>
      <c r="AE22">
        <v>2.8201918597820244E-2</v>
      </c>
      <c r="AG22" t="s">
        <v>100</v>
      </c>
      <c r="AH22" t="s">
        <v>267</v>
      </c>
      <c r="AI22">
        <v>0.2661624136760079</v>
      </c>
      <c r="AK22">
        <v>2021</v>
      </c>
      <c r="AL22" t="s">
        <v>157</v>
      </c>
      <c r="AM22">
        <v>0.47928459042508048</v>
      </c>
      <c r="AN22" t="s">
        <v>236</v>
      </c>
    </row>
    <row r="23" spans="3:40" x14ac:dyDescent="0.45">
      <c r="I23" t="s">
        <v>159</v>
      </c>
      <c r="J23" t="s">
        <v>167</v>
      </c>
      <c r="K23">
        <v>3.0740220777479489E-2</v>
      </c>
      <c r="L23" t="s">
        <v>161</v>
      </c>
      <c r="N23" t="s">
        <v>195</v>
      </c>
      <c r="O23" t="s">
        <v>167</v>
      </c>
      <c r="P23">
        <v>6.374495678744517E-2</v>
      </c>
      <c r="Q23" t="s">
        <v>161</v>
      </c>
      <c r="S23" t="s">
        <v>217</v>
      </c>
      <c r="T23" t="s">
        <v>167</v>
      </c>
      <c r="U23">
        <v>7.007934921952795E-2</v>
      </c>
      <c r="V23" t="s">
        <v>161</v>
      </c>
      <c r="X23">
        <v>8.9497716894977167E-2</v>
      </c>
      <c r="Y23">
        <v>4.960544961837754E-2</v>
      </c>
      <c r="Z23" t="s">
        <v>167</v>
      </c>
      <c r="AA23" t="s">
        <v>25</v>
      </c>
      <c r="AC23" t="s">
        <v>22</v>
      </c>
      <c r="AD23" t="s">
        <v>167</v>
      </c>
      <c r="AE23">
        <v>6.134381720157786E-2</v>
      </c>
      <c r="AG23" t="s">
        <v>100</v>
      </c>
      <c r="AH23" t="s">
        <v>167</v>
      </c>
      <c r="AI23">
        <v>0.30621757897479296</v>
      </c>
      <c r="AK23">
        <v>2021</v>
      </c>
      <c r="AL23" t="s">
        <v>239</v>
      </c>
      <c r="AM23">
        <v>0.32311381832505282</v>
      </c>
      <c r="AN23" t="s">
        <v>236</v>
      </c>
    </row>
    <row r="24" spans="3:40" x14ac:dyDescent="0.45">
      <c r="I24" t="s">
        <v>159</v>
      </c>
      <c r="J24" t="s">
        <v>168</v>
      </c>
      <c r="K24">
        <v>2.673182192358425E-2</v>
      </c>
      <c r="L24" t="s">
        <v>161</v>
      </c>
      <c r="N24" t="s">
        <v>195</v>
      </c>
      <c r="O24" t="s">
        <v>168</v>
      </c>
      <c r="P24">
        <v>6.5982677521499609E-3</v>
      </c>
      <c r="Q24" t="s">
        <v>161</v>
      </c>
      <c r="S24" t="s">
        <v>217</v>
      </c>
      <c r="T24" t="s">
        <v>168</v>
      </c>
      <c r="U24">
        <v>8.6202255454239807E-3</v>
      </c>
      <c r="V24" t="s">
        <v>161</v>
      </c>
      <c r="X24">
        <v>1.1187214611872146E-2</v>
      </c>
      <c r="Y24">
        <v>1.4293646255459154E-2</v>
      </c>
      <c r="Z24" t="s">
        <v>168</v>
      </c>
      <c r="AA24" t="s">
        <v>25</v>
      </c>
      <c r="AC24" t="s">
        <v>22</v>
      </c>
      <c r="AD24" t="s">
        <v>168</v>
      </c>
      <c r="AE24">
        <v>1.1318828084170479E-2</v>
      </c>
      <c r="AG24" t="s">
        <v>100</v>
      </c>
      <c r="AH24" t="s">
        <v>168</v>
      </c>
      <c r="AI24">
        <v>8.6113612277584295E-2</v>
      </c>
      <c r="AK24">
        <v>2021</v>
      </c>
      <c r="AL24" t="s">
        <v>241</v>
      </c>
      <c r="AM24">
        <v>0.32027113487540071</v>
      </c>
      <c r="AN24" t="s">
        <v>236</v>
      </c>
    </row>
    <row r="25" spans="3:40" x14ac:dyDescent="0.45">
      <c r="I25" t="s">
        <v>159</v>
      </c>
      <c r="J25" t="s">
        <v>169</v>
      </c>
      <c r="K25">
        <v>0.25114599807941002</v>
      </c>
      <c r="L25" t="s">
        <v>161</v>
      </c>
      <c r="N25" t="s">
        <v>195</v>
      </c>
      <c r="O25" t="s">
        <v>169</v>
      </c>
      <c r="P25">
        <v>5.2879976705383233E-2</v>
      </c>
      <c r="Q25" t="s">
        <v>161</v>
      </c>
      <c r="S25" t="s">
        <v>217</v>
      </c>
      <c r="T25" t="s">
        <v>169</v>
      </c>
      <c r="U25">
        <v>6.0346040442204589E-2</v>
      </c>
      <c r="V25" t="s">
        <v>161</v>
      </c>
      <c r="X25">
        <v>7.831050228310503E-2</v>
      </c>
      <c r="Y25">
        <v>0.10193968624916096</v>
      </c>
      <c r="Z25" t="s">
        <v>169</v>
      </c>
      <c r="AA25" t="s">
        <v>25</v>
      </c>
      <c r="AC25" t="s">
        <v>22</v>
      </c>
      <c r="AD25" t="s">
        <v>169</v>
      </c>
      <c r="AE25">
        <v>7.9595678028781494E-2</v>
      </c>
      <c r="AG25" t="s">
        <v>100</v>
      </c>
      <c r="AH25" t="s">
        <v>169</v>
      </c>
      <c r="AI25">
        <v>9.1079017692326847E-2</v>
      </c>
      <c r="AK25">
        <v>2021</v>
      </c>
      <c r="AL25" t="s">
        <v>264</v>
      </c>
      <c r="AM25">
        <v>0.36478837377832618</v>
      </c>
      <c r="AN25" t="s">
        <v>236</v>
      </c>
    </row>
    <row r="26" spans="3:40" x14ac:dyDescent="0.45">
      <c r="I26" t="s">
        <v>159</v>
      </c>
      <c r="J26" t="s">
        <v>246</v>
      </c>
      <c r="K26">
        <v>2.9986373109986381E-2</v>
      </c>
      <c r="L26" t="s">
        <v>161</v>
      </c>
      <c r="N26" t="s">
        <v>195</v>
      </c>
      <c r="O26" t="s">
        <v>246</v>
      </c>
      <c r="P26">
        <v>8.7169627254551144E-3</v>
      </c>
      <c r="Q26" t="s">
        <v>161</v>
      </c>
      <c r="S26" t="s">
        <v>217</v>
      </c>
      <c r="T26" t="s">
        <v>246</v>
      </c>
      <c r="U26">
        <v>9.4638698526827991E-3</v>
      </c>
      <c r="V26" t="s">
        <v>161</v>
      </c>
      <c r="X26">
        <v>1.1187214611872146E-2</v>
      </c>
      <c r="Y26">
        <v>2.1765324979903709E-2</v>
      </c>
      <c r="Z26" t="s">
        <v>246</v>
      </c>
      <c r="AA26" t="s">
        <v>25</v>
      </c>
      <c r="AC26" t="s">
        <v>22</v>
      </c>
      <c r="AD26" t="s">
        <v>246</v>
      </c>
      <c r="AE26">
        <v>1.1256171445340385E-2</v>
      </c>
      <c r="AG26" t="s">
        <v>100</v>
      </c>
      <c r="AH26" t="s">
        <v>246</v>
      </c>
      <c r="AI26">
        <v>7.1611762079551555E-2</v>
      </c>
      <c r="AK26">
        <v>2021</v>
      </c>
      <c r="AL26" t="s">
        <v>265</v>
      </c>
      <c r="AM26">
        <v>0.36478837377832618</v>
      </c>
      <c r="AN26" t="s">
        <v>236</v>
      </c>
    </row>
    <row r="27" spans="3:40" x14ac:dyDescent="0.45">
      <c r="I27" t="s">
        <v>159</v>
      </c>
      <c r="J27" t="s">
        <v>247</v>
      </c>
      <c r="K27">
        <v>2.4058146736238396E-2</v>
      </c>
      <c r="L27" t="s">
        <v>161</v>
      </c>
      <c r="N27" t="s">
        <v>195</v>
      </c>
      <c r="O27" t="s">
        <v>247</v>
      </c>
      <c r="P27">
        <v>8.1534606004956701E-3</v>
      </c>
      <c r="Q27" t="s">
        <v>161</v>
      </c>
      <c r="S27" t="s">
        <v>217</v>
      </c>
      <c r="T27" t="s">
        <v>247</v>
      </c>
      <c r="U27">
        <v>9.4803105206921322E-3</v>
      </c>
      <c r="V27" t="s">
        <v>161</v>
      </c>
      <c r="X27">
        <v>1.1187214611872146E-2</v>
      </c>
      <c r="Y27">
        <v>2.1765324979903709E-2</v>
      </c>
      <c r="Z27" t="s">
        <v>247</v>
      </c>
      <c r="AA27" t="s">
        <v>25</v>
      </c>
      <c r="AC27" t="s">
        <v>22</v>
      </c>
      <c r="AD27" t="s">
        <v>247</v>
      </c>
      <c r="AE27">
        <v>1.1243046799905666E-2</v>
      </c>
      <c r="AG27" t="s">
        <v>100</v>
      </c>
      <c r="AH27" t="s">
        <v>247</v>
      </c>
      <c r="AI27">
        <v>7.2312609790651683E-2</v>
      </c>
      <c r="AK27">
        <v>2022</v>
      </c>
      <c r="AL27" t="s">
        <v>149</v>
      </c>
      <c r="AM27">
        <v>0.36799508193435421</v>
      </c>
      <c r="AN27" t="s">
        <v>236</v>
      </c>
    </row>
    <row r="28" spans="3:40" x14ac:dyDescent="0.45">
      <c r="I28" t="s">
        <v>159</v>
      </c>
      <c r="J28" t="s">
        <v>268</v>
      </c>
      <c r="K28">
        <v>3.3114468659472568E-2</v>
      </c>
      <c r="L28" t="s">
        <v>161</v>
      </c>
      <c r="N28" t="s">
        <v>195</v>
      </c>
      <c r="O28" t="s">
        <v>268</v>
      </c>
      <c r="P28">
        <v>5.2066465532299343E-2</v>
      </c>
      <c r="Q28" t="s">
        <v>161</v>
      </c>
      <c r="S28" t="s">
        <v>217</v>
      </c>
      <c r="T28" t="s">
        <v>268</v>
      </c>
      <c r="U28">
        <v>5.4516579879425126E-2</v>
      </c>
      <c r="V28" t="s">
        <v>161</v>
      </c>
      <c r="X28">
        <v>6.7123287671232879E-2</v>
      </c>
      <c r="Y28">
        <v>5.9123718602126486E-2</v>
      </c>
      <c r="Z28" t="s">
        <v>268</v>
      </c>
      <c r="AA28" t="s">
        <v>25</v>
      </c>
      <c r="AC28" t="s">
        <v>22</v>
      </c>
      <c r="AD28" t="s">
        <v>268</v>
      </c>
      <c r="AE28">
        <v>5.7973667924890289E-2</v>
      </c>
      <c r="AG28" t="s">
        <v>100</v>
      </c>
      <c r="AH28" t="s">
        <v>268</v>
      </c>
      <c r="AI28">
        <v>0.15784877111384366</v>
      </c>
      <c r="AK28">
        <v>2022</v>
      </c>
      <c r="AL28" t="s">
        <v>153</v>
      </c>
      <c r="AM28">
        <v>0.35300195155550451</v>
      </c>
      <c r="AN28" t="s">
        <v>236</v>
      </c>
    </row>
    <row r="29" spans="3:40" x14ac:dyDescent="0.45">
      <c r="I29" t="s">
        <v>159</v>
      </c>
      <c r="J29" t="s">
        <v>170</v>
      </c>
      <c r="K29">
        <v>1.0064839170673114E-2</v>
      </c>
      <c r="L29" t="s">
        <v>161</v>
      </c>
      <c r="N29" t="s">
        <v>195</v>
      </c>
      <c r="O29" t="s">
        <v>170</v>
      </c>
      <c r="P29">
        <v>3.8065724921515109E-2</v>
      </c>
      <c r="Q29" t="s">
        <v>161</v>
      </c>
      <c r="S29" t="s">
        <v>217</v>
      </c>
      <c r="T29" t="s">
        <v>170</v>
      </c>
      <c r="U29">
        <v>3.6415292430887494E-2</v>
      </c>
      <c r="V29" t="s">
        <v>161</v>
      </c>
      <c r="X29">
        <v>4.5662100456621002E-2</v>
      </c>
      <c r="Y29">
        <v>2.5308902866519156E-2</v>
      </c>
      <c r="Z29" t="s">
        <v>170</v>
      </c>
      <c r="AA29" t="s">
        <v>25</v>
      </c>
      <c r="AC29" t="s">
        <v>22</v>
      </c>
      <c r="AD29" t="s">
        <v>170</v>
      </c>
      <c r="AE29">
        <v>3.07909988021309E-2</v>
      </c>
      <c r="AG29" t="s">
        <v>100</v>
      </c>
      <c r="AH29" t="s">
        <v>170</v>
      </c>
      <c r="AI29">
        <v>0.29118990536732192</v>
      </c>
      <c r="AK29">
        <v>2022</v>
      </c>
      <c r="AL29" t="s">
        <v>155</v>
      </c>
      <c r="AM29">
        <v>0.37891108304952864</v>
      </c>
      <c r="AN29" t="s">
        <v>236</v>
      </c>
    </row>
    <row r="30" spans="3:40" x14ac:dyDescent="0.45">
      <c r="I30" t="s">
        <v>159</v>
      </c>
      <c r="J30" t="s">
        <v>171</v>
      </c>
      <c r="K30">
        <v>1.1137209773192684E-2</v>
      </c>
      <c r="L30" t="s">
        <v>161</v>
      </c>
      <c r="N30" t="s">
        <v>195</v>
      </c>
      <c r="O30" t="s">
        <v>171</v>
      </c>
      <c r="P30">
        <v>3.9387812268459731E-3</v>
      </c>
      <c r="Q30" t="s">
        <v>161</v>
      </c>
      <c r="S30" t="s">
        <v>217</v>
      </c>
      <c r="T30" t="s">
        <v>171</v>
      </c>
      <c r="U30">
        <v>5.0011898639197765E-3</v>
      </c>
      <c r="V30" t="s">
        <v>161</v>
      </c>
      <c r="X30">
        <v>5.7077625570776253E-3</v>
      </c>
      <c r="Y30">
        <v>7.2926766609485473E-3</v>
      </c>
      <c r="Z30" t="s">
        <v>171</v>
      </c>
      <c r="AA30" t="s">
        <v>25</v>
      </c>
      <c r="AC30" t="s">
        <v>22</v>
      </c>
      <c r="AD30" t="s">
        <v>171</v>
      </c>
      <c r="AE30">
        <v>5.7399061676711959E-3</v>
      </c>
      <c r="AG30" t="s">
        <v>100</v>
      </c>
      <c r="AH30" t="s">
        <v>171</v>
      </c>
      <c r="AI30">
        <v>8.4532245285299457E-2</v>
      </c>
      <c r="AK30">
        <v>2022</v>
      </c>
      <c r="AL30" t="s">
        <v>157</v>
      </c>
      <c r="AM30">
        <v>0.30405362313294809</v>
      </c>
      <c r="AN30" t="s">
        <v>236</v>
      </c>
    </row>
    <row r="31" spans="3:40" x14ac:dyDescent="0.45">
      <c r="I31" t="s">
        <v>159</v>
      </c>
      <c r="J31" t="s">
        <v>172</v>
      </c>
      <c r="K31">
        <v>0.11754619323583765</v>
      </c>
      <c r="L31" t="s">
        <v>161</v>
      </c>
      <c r="N31" t="s">
        <v>195</v>
      </c>
      <c r="O31" t="s">
        <v>172</v>
      </c>
      <c r="P31">
        <v>2.7373483807514018E-2</v>
      </c>
      <c r="Q31" t="s">
        <v>161</v>
      </c>
      <c r="S31" t="s">
        <v>217</v>
      </c>
      <c r="T31" t="s">
        <v>172</v>
      </c>
      <c r="U31">
        <v>3.6269396384001784E-2</v>
      </c>
      <c r="V31" t="s">
        <v>161</v>
      </c>
      <c r="X31">
        <v>3.9954337899543377E-2</v>
      </c>
      <c r="Y31">
        <v>5.2010044004673954E-2</v>
      </c>
      <c r="Z31" t="s">
        <v>172</v>
      </c>
      <c r="AA31" t="s">
        <v>25</v>
      </c>
      <c r="AC31" t="s">
        <v>22</v>
      </c>
      <c r="AD31" t="s">
        <v>172</v>
      </c>
      <c r="AE31">
        <v>4.0505028713512969E-2</v>
      </c>
      <c r="AG31" t="s">
        <v>100</v>
      </c>
      <c r="AH31" t="s">
        <v>172</v>
      </c>
      <c r="AI31">
        <v>9.8623379695728763E-2</v>
      </c>
      <c r="AK31">
        <v>2022</v>
      </c>
      <c r="AL31" t="s">
        <v>239</v>
      </c>
      <c r="AM31">
        <v>0.34502991109580478</v>
      </c>
      <c r="AN31" t="s">
        <v>236</v>
      </c>
    </row>
    <row r="32" spans="3:40" x14ac:dyDescent="0.45">
      <c r="I32" t="s">
        <v>159</v>
      </c>
      <c r="J32" t="s">
        <v>248</v>
      </c>
      <c r="K32">
        <v>1.3906890752272099E-2</v>
      </c>
      <c r="L32" t="s">
        <v>161</v>
      </c>
      <c r="N32" t="s">
        <v>195</v>
      </c>
      <c r="O32" t="s">
        <v>248</v>
      </c>
      <c r="P32">
        <v>3.9664117054803352E-3</v>
      </c>
      <c r="Q32" t="s">
        <v>161</v>
      </c>
      <c r="S32" t="s">
        <v>217</v>
      </c>
      <c r="T32" t="s">
        <v>248</v>
      </c>
      <c r="U32">
        <v>5.069059053810227E-3</v>
      </c>
      <c r="V32" t="s">
        <v>161</v>
      </c>
      <c r="X32">
        <v>5.7077625570776253E-3</v>
      </c>
      <c r="Y32">
        <v>1.1104757642808012E-2</v>
      </c>
      <c r="Z32" t="s">
        <v>248</v>
      </c>
      <c r="AA32" t="s">
        <v>25</v>
      </c>
      <c r="AC32" t="s">
        <v>22</v>
      </c>
      <c r="AD32" t="s">
        <v>248</v>
      </c>
      <c r="AE32">
        <v>5.721444529487087E-3</v>
      </c>
      <c r="AG32" t="s">
        <v>100</v>
      </c>
      <c r="AH32" t="s">
        <v>248</v>
      </c>
      <c r="AI32">
        <v>7.6217988621352983E-2</v>
      </c>
      <c r="AK32">
        <v>2022</v>
      </c>
      <c r="AL32" t="s">
        <v>241</v>
      </c>
      <c r="AM32">
        <v>0.33171660352810617</v>
      </c>
      <c r="AN32" t="s">
        <v>236</v>
      </c>
    </row>
    <row r="33" spans="9:40" x14ac:dyDescent="0.45">
      <c r="I33" t="s">
        <v>159</v>
      </c>
      <c r="J33" t="s">
        <v>249</v>
      </c>
      <c r="K33">
        <v>1.190473880294457E-2</v>
      </c>
      <c r="L33" t="s">
        <v>161</v>
      </c>
      <c r="N33" t="s">
        <v>195</v>
      </c>
      <c r="O33" t="s">
        <v>249</v>
      </c>
      <c r="P33">
        <v>3.662303859608845E-3</v>
      </c>
      <c r="Q33" t="s">
        <v>161</v>
      </c>
      <c r="S33" t="s">
        <v>217</v>
      </c>
      <c r="T33" t="s">
        <v>249</v>
      </c>
      <c r="U33">
        <v>4.8907998241450477E-3</v>
      </c>
      <c r="V33" t="s">
        <v>161</v>
      </c>
      <c r="X33">
        <v>5.7077625570776253E-3</v>
      </c>
      <c r="Y33">
        <v>1.1104757642808012E-2</v>
      </c>
      <c r="Z33" t="s">
        <v>249</v>
      </c>
      <c r="AA33" t="s">
        <v>25</v>
      </c>
      <c r="AC33" t="s">
        <v>22</v>
      </c>
      <c r="AD33" t="s">
        <v>249</v>
      </c>
      <c r="AE33">
        <v>5.7107275499543465E-3</v>
      </c>
      <c r="AG33" t="s">
        <v>100</v>
      </c>
      <c r="AH33" t="s">
        <v>249</v>
      </c>
      <c r="AI33">
        <v>7.7346996721819217E-2</v>
      </c>
      <c r="AK33">
        <v>2022</v>
      </c>
      <c r="AL33" t="s">
        <v>264</v>
      </c>
      <c r="AM33">
        <v>0.33721731144529898</v>
      </c>
      <c r="AN33" t="s">
        <v>236</v>
      </c>
    </row>
    <row r="34" spans="9:40" x14ac:dyDescent="0.45">
      <c r="I34" t="s">
        <v>159</v>
      </c>
      <c r="J34" t="s">
        <v>269</v>
      </c>
      <c r="K34">
        <v>1.3329101246137584E-2</v>
      </c>
      <c r="L34" t="s">
        <v>161</v>
      </c>
      <c r="N34" t="s">
        <v>195</v>
      </c>
      <c r="O34" t="s">
        <v>269</v>
      </c>
      <c r="P34">
        <v>2.6909768751858975E-2</v>
      </c>
      <c r="Q34" t="s">
        <v>161</v>
      </c>
      <c r="S34" t="s">
        <v>217</v>
      </c>
      <c r="T34" t="s">
        <v>269</v>
      </c>
      <c r="U34">
        <v>2.7294518732221912E-2</v>
      </c>
      <c r="V34" t="s">
        <v>161</v>
      </c>
      <c r="X34">
        <v>3.4246575342465752E-2</v>
      </c>
      <c r="Y34">
        <v>3.016516255210535E-2</v>
      </c>
      <c r="Z34" t="s">
        <v>269</v>
      </c>
      <c r="AA34" t="s">
        <v>25</v>
      </c>
      <c r="AC34" t="s">
        <v>22</v>
      </c>
      <c r="AD34" t="s">
        <v>269</v>
      </c>
      <c r="AE34">
        <v>2.9381928407555605E-2</v>
      </c>
      <c r="AG34" t="s">
        <v>100</v>
      </c>
      <c r="AH34" t="s">
        <v>269</v>
      </c>
      <c r="AI34">
        <v>0.16318168931216048</v>
      </c>
      <c r="AK34">
        <v>2022</v>
      </c>
      <c r="AL34" t="s">
        <v>265</v>
      </c>
      <c r="AM34">
        <v>0.33721731144529898</v>
      </c>
      <c r="AN34" t="s">
        <v>236</v>
      </c>
    </row>
    <row r="35" spans="9:40" x14ac:dyDescent="0.45">
      <c r="I35" t="s">
        <v>159</v>
      </c>
      <c r="J35" t="s">
        <v>250</v>
      </c>
      <c r="K35">
        <v>1.4607966896262423E-3</v>
      </c>
      <c r="L35" t="s">
        <v>161</v>
      </c>
      <c r="N35" t="s">
        <v>195</v>
      </c>
      <c r="O35" t="s">
        <v>250</v>
      </c>
      <c r="P35">
        <v>4.9531388278345898E-2</v>
      </c>
      <c r="Q35" t="s">
        <v>161</v>
      </c>
      <c r="S35" t="s">
        <v>217</v>
      </c>
      <c r="T35" t="s">
        <v>250</v>
      </c>
      <c r="U35">
        <v>5.0216796309900655E-2</v>
      </c>
      <c r="V35" t="s">
        <v>161</v>
      </c>
      <c r="X35">
        <v>4.2009132420091327E-2</v>
      </c>
      <c r="Y35">
        <v>2.3284190637197624E-2</v>
      </c>
      <c r="Z35" t="s">
        <v>250</v>
      </c>
      <c r="AA35" t="s">
        <v>25</v>
      </c>
      <c r="AC35" t="s">
        <v>22</v>
      </c>
      <c r="AD35" t="s">
        <v>250</v>
      </c>
      <c r="AE35">
        <v>3.0131403433004106E-2</v>
      </c>
      <c r="AG35" t="s">
        <v>100</v>
      </c>
      <c r="AH35" t="s">
        <v>250</v>
      </c>
      <c r="AI35">
        <v>0.31569448129128497</v>
      </c>
      <c r="AK35">
        <v>2025</v>
      </c>
      <c r="AL35" t="s">
        <v>149</v>
      </c>
      <c r="AM35">
        <v>0.36756666666666665</v>
      </c>
      <c r="AN35" t="s">
        <v>236</v>
      </c>
    </row>
    <row r="36" spans="9:40" x14ac:dyDescent="0.45">
      <c r="I36" t="s">
        <v>159</v>
      </c>
      <c r="J36" t="s">
        <v>251</v>
      </c>
      <c r="K36">
        <v>4.6239794188877867E-3</v>
      </c>
      <c r="L36" t="s">
        <v>161</v>
      </c>
      <c r="N36" t="s">
        <v>195</v>
      </c>
      <c r="O36" t="s">
        <v>251</v>
      </c>
      <c r="P36">
        <v>6.231064858780183E-3</v>
      </c>
      <c r="Q36" t="s">
        <v>161</v>
      </c>
      <c r="S36" t="s">
        <v>217</v>
      </c>
      <c r="T36" t="s">
        <v>251</v>
      </c>
      <c r="U36">
        <v>5.9915510155900669E-3</v>
      </c>
      <c r="V36" t="s">
        <v>161</v>
      </c>
      <c r="X36">
        <v>5.2511415525114159E-3</v>
      </c>
      <c r="Y36">
        <v>6.7092625280726625E-3</v>
      </c>
      <c r="Z36" t="s">
        <v>251</v>
      </c>
      <c r="AA36" t="s">
        <v>25</v>
      </c>
      <c r="AC36" t="s">
        <v>22</v>
      </c>
      <c r="AD36" t="s">
        <v>251</v>
      </c>
      <c r="AE36">
        <v>5.4895790169622594E-3</v>
      </c>
      <c r="AG36" t="s">
        <v>100</v>
      </c>
      <c r="AH36" t="s">
        <v>251</v>
      </c>
      <c r="AI36">
        <v>8.812232243987439E-2</v>
      </c>
      <c r="AK36">
        <v>2025</v>
      </c>
      <c r="AL36" t="s">
        <v>153</v>
      </c>
      <c r="AM36">
        <v>0.41699999999999998</v>
      </c>
      <c r="AN36" t="s">
        <v>236</v>
      </c>
    </row>
    <row r="37" spans="9:40" x14ac:dyDescent="0.45">
      <c r="I37" t="s">
        <v>159</v>
      </c>
      <c r="J37" t="s">
        <v>252</v>
      </c>
      <c r="K37">
        <v>7.5188542945499676E-2</v>
      </c>
      <c r="L37" t="s">
        <v>161</v>
      </c>
      <c r="N37" t="s">
        <v>195</v>
      </c>
      <c r="O37" t="s">
        <v>252</v>
      </c>
      <c r="P37">
        <v>3.9980700663777395E-2</v>
      </c>
      <c r="Q37" t="s">
        <v>161</v>
      </c>
      <c r="S37" t="s">
        <v>217</v>
      </c>
      <c r="T37" t="s">
        <v>252</v>
      </c>
      <c r="U37">
        <v>4.1644796294791238E-2</v>
      </c>
      <c r="V37" t="s">
        <v>161</v>
      </c>
      <c r="X37">
        <v>3.6757990867579908E-2</v>
      </c>
      <c r="Y37">
        <v>4.7849240484300039E-2</v>
      </c>
      <c r="Z37" t="s">
        <v>252</v>
      </c>
      <c r="AA37" t="s">
        <v>25</v>
      </c>
      <c r="AC37" t="s">
        <v>22</v>
      </c>
      <c r="AD37" t="s">
        <v>252</v>
      </c>
      <c r="AE37">
        <v>3.7873011933194159E-2</v>
      </c>
      <c r="AG37" t="s">
        <v>100</v>
      </c>
      <c r="AH37" t="s">
        <v>252</v>
      </c>
      <c r="AI37">
        <v>0.10178345931774935</v>
      </c>
      <c r="AK37">
        <v>2025</v>
      </c>
      <c r="AL37" t="s">
        <v>155</v>
      </c>
      <c r="AM37">
        <v>0.46252499999999996</v>
      </c>
      <c r="AN37" t="s">
        <v>236</v>
      </c>
    </row>
    <row r="38" spans="9:40" x14ac:dyDescent="0.45">
      <c r="I38" t="s">
        <v>159</v>
      </c>
      <c r="J38" t="s">
        <v>253</v>
      </c>
      <c r="K38">
        <v>9.1094721375783051E-3</v>
      </c>
      <c r="L38" t="s">
        <v>161</v>
      </c>
      <c r="N38" t="s">
        <v>195</v>
      </c>
      <c r="O38" t="s">
        <v>253</v>
      </c>
      <c r="P38">
        <v>6.1082689173602225E-3</v>
      </c>
      <c r="Q38" t="s">
        <v>161</v>
      </c>
      <c r="S38" t="s">
        <v>217</v>
      </c>
      <c r="T38" t="s">
        <v>253</v>
      </c>
      <c r="U38">
        <v>6.0307367329274029E-3</v>
      </c>
      <c r="V38" t="s">
        <v>161</v>
      </c>
      <c r="X38">
        <v>5.2511415525114159E-3</v>
      </c>
      <c r="Y38">
        <v>1.0216377031383372E-2</v>
      </c>
      <c r="Z38" t="s">
        <v>253</v>
      </c>
      <c r="AA38" t="s">
        <v>25</v>
      </c>
      <c r="AC38" t="s">
        <v>22</v>
      </c>
      <c r="AD38" t="s">
        <v>253</v>
      </c>
      <c r="AE38">
        <v>5.3824149541727116E-3</v>
      </c>
      <c r="AG38" t="s">
        <v>100</v>
      </c>
      <c r="AH38" t="s">
        <v>253</v>
      </c>
      <c r="AI38">
        <v>9.1036650728076429E-2</v>
      </c>
      <c r="AK38">
        <v>2025</v>
      </c>
      <c r="AL38" t="s">
        <v>157</v>
      </c>
      <c r="AM38">
        <v>0.42266666666666669</v>
      </c>
      <c r="AN38" t="s">
        <v>236</v>
      </c>
    </row>
    <row r="39" spans="9:40" x14ac:dyDescent="0.45">
      <c r="I39" t="s">
        <v>159</v>
      </c>
      <c r="J39" t="s">
        <v>254</v>
      </c>
      <c r="K39">
        <v>6.2557242647700538E-3</v>
      </c>
      <c r="L39" t="s">
        <v>161</v>
      </c>
      <c r="N39" t="s">
        <v>195</v>
      </c>
      <c r="O39" t="s">
        <v>254</v>
      </c>
      <c r="P39">
        <v>6.304444108953697E-3</v>
      </c>
      <c r="Q39" t="s">
        <v>161</v>
      </c>
      <c r="S39" t="s">
        <v>217</v>
      </c>
      <c r="T39" t="s">
        <v>254</v>
      </c>
      <c r="U39">
        <v>6.0634061589771807E-3</v>
      </c>
      <c r="V39" t="s">
        <v>161</v>
      </c>
      <c r="X39">
        <v>5.2511415525114159E-3</v>
      </c>
      <c r="Y39">
        <v>1.0216377031383372E-2</v>
      </c>
      <c r="Z39" t="s">
        <v>254</v>
      </c>
      <c r="AA39" t="s">
        <v>25</v>
      </c>
      <c r="AC39" t="s">
        <v>22</v>
      </c>
      <c r="AD39" t="s">
        <v>254</v>
      </c>
      <c r="AE39">
        <v>5.4380148388948587E-3</v>
      </c>
      <c r="AG39" t="s">
        <v>100</v>
      </c>
      <c r="AH39" t="s">
        <v>254</v>
      </c>
      <c r="AI39">
        <v>8.6449903277315387E-2</v>
      </c>
      <c r="AK39">
        <v>2025</v>
      </c>
      <c r="AL39" t="s">
        <v>239</v>
      </c>
      <c r="AM39">
        <v>0.35933333333333334</v>
      </c>
      <c r="AN39" t="s">
        <v>236</v>
      </c>
    </row>
    <row r="40" spans="9:40" x14ac:dyDescent="0.45">
      <c r="I40" t="s">
        <v>159</v>
      </c>
      <c r="J40" t="s">
        <v>270</v>
      </c>
      <c r="K40">
        <v>1.7113279557538507E-3</v>
      </c>
      <c r="L40" t="s">
        <v>161</v>
      </c>
      <c r="N40" t="s">
        <v>195</v>
      </c>
      <c r="O40" t="s">
        <v>270</v>
      </c>
      <c r="P40">
        <v>4.1090300371669268E-2</v>
      </c>
      <c r="Q40" t="s">
        <v>161</v>
      </c>
      <c r="S40" t="s">
        <v>217</v>
      </c>
      <c r="T40" t="s">
        <v>270</v>
      </c>
      <c r="U40">
        <v>3.8203659281526088E-2</v>
      </c>
      <c r="V40" t="s">
        <v>161</v>
      </c>
      <c r="X40">
        <v>3.1506849315068496E-2</v>
      </c>
      <c r="Y40">
        <v>2.775194954793692E-2</v>
      </c>
      <c r="Z40" t="s">
        <v>270</v>
      </c>
      <c r="AA40" t="s">
        <v>25</v>
      </c>
      <c r="AC40" t="s">
        <v>22</v>
      </c>
      <c r="AD40" t="s">
        <v>270</v>
      </c>
      <c r="AE40">
        <v>2.8017884631720395E-2</v>
      </c>
      <c r="AG40" t="s">
        <v>100</v>
      </c>
      <c r="AH40" t="s">
        <v>270</v>
      </c>
      <c r="AI40">
        <v>0.18295120967641321</v>
      </c>
      <c r="AK40">
        <v>2025</v>
      </c>
      <c r="AL40" t="s">
        <v>241</v>
      </c>
      <c r="AM40">
        <v>0.35270000000000001</v>
      </c>
      <c r="AN40" t="s">
        <v>236</v>
      </c>
    </row>
    <row r="41" spans="9:40" x14ac:dyDescent="0.45">
      <c r="I41" t="s">
        <v>159</v>
      </c>
      <c r="J41" t="s">
        <v>255</v>
      </c>
      <c r="K41">
        <v>0</v>
      </c>
      <c r="L41" t="s">
        <v>161</v>
      </c>
      <c r="N41" t="s">
        <v>195</v>
      </c>
      <c r="O41" t="s">
        <v>255</v>
      </c>
      <c r="P41">
        <v>5.0916040249627426E-2</v>
      </c>
      <c r="Q41" t="s">
        <v>161</v>
      </c>
      <c r="S41" t="s">
        <v>217</v>
      </c>
      <c r="T41" t="s">
        <v>255</v>
      </c>
      <c r="U41">
        <v>4.9686155898159889E-2</v>
      </c>
      <c r="V41" t="s">
        <v>161</v>
      </c>
      <c r="X41">
        <v>4.0182648401826483E-2</v>
      </c>
      <c r="Y41">
        <v>2.2271834522536858E-2</v>
      </c>
      <c r="Z41" t="s">
        <v>255</v>
      </c>
      <c r="AA41" t="s">
        <v>25</v>
      </c>
      <c r="AC41" t="s">
        <v>22</v>
      </c>
      <c r="AD41" t="s">
        <v>255</v>
      </c>
      <c r="AE41">
        <v>3.4471970053721268E-2</v>
      </c>
      <c r="AG41" t="s">
        <v>100</v>
      </c>
      <c r="AH41" t="s">
        <v>255</v>
      </c>
      <c r="AI41">
        <v>0.28143698552966234</v>
      </c>
      <c r="AK41">
        <v>2025</v>
      </c>
      <c r="AL41" t="s">
        <v>264</v>
      </c>
      <c r="AM41">
        <v>0.37540000000000001</v>
      </c>
      <c r="AN41" t="s">
        <v>236</v>
      </c>
    </row>
    <row r="42" spans="9:40" x14ac:dyDescent="0.45">
      <c r="I42" t="s">
        <v>159</v>
      </c>
      <c r="J42" t="s">
        <v>256</v>
      </c>
      <c r="K42">
        <v>7.1330286919232279E-4</v>
      </c>
      <c r="L42" t="s">
        <v>161</v>
      </c>
      <c r="N42" t="s">
        <v>195</v>
      </c>
      <c r="O42" t="s">
        <v>256</v>
      </c>
      <c r="P42">
        <v>6.9550969055640873E-3</v>
      </c>
      <c r="Q42" t="s">
        <v>161</v>
      </c>
      <c r="S42" t="s">
        <v>217</v>
      </c>
      <c r="T42" t="s">
        <v>256</v>
      </c>
      <c r="U42">
        <v>6.1219675907464898E-3</v>
      </c>
      <c r="V42" t="s">
        <v>161</v>
      </c>
      <c r="X42">
        <v>5.0228310502283104E-3</v>
      </c>
      <c r="Y42">
        <v>6.417555461634721E-3</v>
      </c>
      <c r="Z42" t="s">
        <v>256</v>
      </c>
      <c r="AA42" t="s">
        <v>25</v>
      </c>
      <c r="AC42" t="s">
        <v>22</v>
      </c>
      <c r="AD42" t="s">
        <v>256</v>
      </c>
      <c r="AE42">
        <v>6.1136138652558994E-3</v>
      </c>
      <c r="AG42" t="s">
        <v>100</v>
      </c>
      <c r="AH42" t="s">
        <v>256</v>
      </c>
      <c r="AI42">
        <v>8.1947025080065572E-2</v>
      </c>
      <c r="AK42">
        <v>2025</v>
      </c>
      <c r="AL42" t="s">
        <v>265</v>
      </c>
      <c r="AM42">
        <v>0.37540000000000001</v>
      </c>
      <c r="AN42" t="s">
        <v>236</v>
      </c>
    </row>
    <row r="43" spans="9:40" x14ac:dyDescent="0.45">
      <c r="I43" t="s">
        <v>159</v>
      </c>
      <c r="J43" t="s">
        <v>257</v>
      </c>
      <c r="K43">
        <v>5.119935911268747E-2</v>
      </c>
      <c r="L43" t="s">
        <v>161</v>
      </c>
      <c r="N43" t="s">
        <v>195</v>
      </c>
      <c r="O43" t="s">
        <v>257</v>
      </c>
      <c r="P43">
        <v>4.7467838150138227E-2</v>
      </c>
      <c r="Q43" t="s">
        <v>161</v>
      </c>
      <c r="S43" t="s">
        <v>217</v>
      </c>
      <c r="T43" t="s">
        <v>257</v>
      </c>
      <c r="U43">
        <v>4.1499301835840184E-2</v>
      </c>
      <c r="V43" t="s">
        <v>161</v>
      </c>
      <c r="X43">
        <v>3.515981735159817E-2</v>
      </c>
      <c r="Y43">
        <v>4.5768838724113074E-2</v>
      </c>
      <c r="Z43" t="s">
        <v>257</v>
      </c>
      <c r="AA43" t="s">
        <v>25</v>
      </c>
      <c r="AC43" t="s">
        <v>22</v>
      </c>
      <c r="AD43" t="s">
        <v>257</v>
      </c>
      <c r="AE43">
        <v>4.2852350139861425E-2</v>
      </c>
      <c r="AG43" t="s">
        <v>100</v>
      </c>
      <c r="AH43" t="s">
        <v>257</v>
      </c>
      <c r="AI43">
        <v>9.5571067253686692E-2</v>
      </c>
      <c r="AK43">
        <v>2026</v>
      </c>
      <c r="AL43" t="s">
        <v>149</v>
      </c>
      <c r="AM43">
        <v>0.29299999999999998</v>
      </c>
      <c r="AN43" t="s">
        <v>236</v>
      </c>
    </row>
    <row r="44" spans="9:40" x14ac:dyDescent="0.45">
      <c r="I44" t="s">
        <v>159</v>
      </c>
      <c r="J44" t="s">
        <v>258</v>
      </c>
      <c r="K44">
        <v>4.6887120121143792E-3</v>
      </c>
      <c r="L44" t="s">
        <v>161</v>
      </c>
      <c r="N44" t="s">
        <v>195</v>
      </c>
      <c r="O44" t="s">
        <v>258</v>
      </c>
      <c r="P44">
        <v>6.8210016466676753E-3</v>
      </c>
      <c r="Q44" t="s">
        <v>161</v>
      </c>
      <c r="S44" t="s">
        <v>217</v>
      </c>
      <c r="T44" t="s">
        <v>258</v>
      </c>
      <c r="U44">
        <v>6.1055938270248586E-3</v>
      </c>
      <c r="V44" t="s">
        <v>161</v>
      </c>
      <c r="X44">
        <v>5.0228310502283104E-3</v>
      </c>
      <c r="Y44">
        <v>9.7721867256710514E-3</v>
      </c>
      <c r="Z44" t="s">
        <v>258</v>
      </c>
      <c r="AA44" t="s">
        <v>25</v>
      </c>
      <c r="AC44" t="s">
        <v>22</v>
      </c>
      <c r="AD44" t="s">
        <v>258</v>
      </c>
      <c r="AE44">
        <v>6.2491539904616384E-3</v>
      </c>
      <c r="AG44" t="s">
        <v>100</v>
      </c>
      <c r="AH44" t="s">
        <v>258</v>
      </c>
      <c r="AI44">
        <v>8.2408277290820564E-2</v>
      </c>
      <c r="AK44">
        <v>2026</v>
      </c>
      <c r="AL44" t="s">
        <v>153</v>
      </c>
      <c r="AM44">
        <v>0.33479999999999999</v>
      </c>
      <c r="AN44" t="s">
        <v>236</v>
      </c>
    </row>
    <row r="45" spans="9:40" x14ac:dyDescent="0.45">
      <c r="I45" t="s">
        <v>159</v>
      </c>
      <c r="J45" t="s">
        <v>259</v>
      </c>
      <c r="K45">
        <v>2.8740934118050076E-4</v>
      </c>
      <c r="L45" t="s">
        <v>161</v>
      </c>
      <c r="N45" t="s">
        <v>195</v>
      </c>
      <c r="O45" t="s">
        <v>259</v>
      </c>
      <c r="P45">
        <v>6.8617509860346496E-3</v>
      </c>
      <c r="Q45" t="s">
        <v>161</v>
      </c>
      <c r="S45" t="s">
        <v>217</v>
      </c>
      <c r="T45" t="s">
        <v>259</v>
      </c>
      <c r="U45">
        <v>6.0895106777991712E-3</v>
      </c>
      <c r="V45" t="s">
        <v>161</v>
      </c>
      <c r="X45">
        <v>5.0228310502283104E-3</v>
      </c>
      <c r="Y45">
        <v>9.7721867256710514E-3</v>
      </c>
      <c r="Z45" t="s">
        <v>259</v>
      </c>
      <c r="AA45" t="s">
        <v>25</v>
      </c>
      <c r="AC45" t="s">
        <v>22</v>
      </c>
      <c r="AD45" t="s">
        <v>259</v>
      </c>
      <c r="AE45">
        <v>6.2847473180459058E-3</v>
      </c>
      <c r="AG45" t="s">
        <v>100</v>
      </c>
      <c r="AH45" t="s">
        <v>259</v>
      </c>
      <c r="AI45">
        <v>8.0252453378231836E-2</v>
      </c>
      <c r="AK45">
        <v>2026</v>
      </c>
      <c r="AL45" t="s">
        <v>155</v>
      </c>
      <c r="AM45">
        <v>0.38075000000000003</v>
      </c>
      <c r="AN45" t="s">
        <v>236</v>
      </c>
    </row>
    <row r="46" spans="9:40" x14ac:dyDescent="0.45">
      <c r="I46" t="s">
        <v>159</v>
      </c>
      <c r="J46" t="s">
        <v>271</v>
      </c>
      <c r="K46">
        <v>0</v>
      </c>
      <c r="L46" t="s">
        <v>161</v>
      </c>
      <c r="N46" t="s">
        <v>195</v>
      </c>
      <c r="O46" t="s">
        <v>271</v>
      </c>
      <c r="P46">
        <v>3.9021038416796057E-2</v>
      </c>
      <c r="Q46" t="s">
        <v>161</v>
      </c>
      <c r="S46" t="s">
        <v>217</v>
      </c>
      <c r="T46" t="s">
        <v>271</v>
      </c>
      <c r="U46">
        <v>3.7118540964213027E-2</v>
      </c>
      <c r="V46" t="s">
        <v>161</v>
      </c>
      <c r="X46">
        <v>3.0136986301369864E-2</v>
      </c>
      <c r="Y46">
        <v>2.654534304585271E-2</v>
      </c>
      <c r="Z46" t="s">
        <v>271</v>
      </c>
      <c r="AA46" t="s">
        <v>25</v>
      </c>
      <c r="AC46" t="s">
        <v>22</v>
      </c>
      <c r="AD46" t="s">
        <v>271</v>
      </c>
      <c r="AE46">
        <v>3.2454813596708994E-2</v>
      </c>
      <c r="AG46" t="s">
        <v>100</v>
      </c>
      <c r="AH46" t="s">
        <v>271</v>
      </c>
      <c r="AI46">
        <v>0.18066776961312536</v>
      </c>
      <c r="AK46">
        <v>2026</v>
      </c>
      <c r="AL46" t="s">
        <v>157</v>
      </c>
      <c r="AM46">
        <v>0.31150000000000005</v>
      </c>
      <c r="AN46" t="s">
        <v>236</v>
      </c>
    </row>
    <row r="47" spans="9:40" x14ac:dyDescent="0.45">
      <c r="I47" t="s">
        <v>159</v>
      </c>
      <c r="J47" t="s">
        <v>272</v>
      </c>
      <c r="K47">
        <v>0</v>
      </c>
      <c r="L47" t="s">
        <v>161</v>
      </c>
      <c r="N47" t="s">
        <v>195</v>
      </c>
      <c r="O47" t="s">
        <v>272</v>
      </c>
      <c r="P47">
        <v>1.8557454269428484E-2</v>
      </c>
      <c r="Q47" t="s">
        <v>161</v>
      </c>
      <c r="S47" t="s">
        <v>217</v>
      </c>
      <c r="T47" t="s">
        <v>272</v>
      </c>
      <c r="U47">
        <v>1.2633058091016912E-2</v>
      </c>
      <c r="V47" t="s">
        <v>161</v>
      </c>
      <c r="X47">
        <v>9.1324200913242004E-3</v>
      </c>
      <c r="Y47">
        <v>5.0617805733038316E-3</v>
      </c>
      <c r="Z47" t="s">
        <v>272</v>
      </c>
      <c r="AA47" t="s">
        <v>25</v>
      </c>
      <c r="AC47" t="s">
        <v>22</v>
      </c>
      <c r="AD47" t="s">
        <v>272</v>
      </c>
      <c r="AE47">
        <v>8.0754146367034343E-3</v>
      </c>
      <c r="AG47" t="s">
        <v>100</v>
      </c>
      <c r="AH47" t="s">
        <v>272</v>
      </c>
      <c r="AI47">
        <v>0.25517095434886383</v>
      </c>
      <c r="AK47">
        <v>2026</v>
      </c>
      <c r="AL47" t="s">
        <v>239</v>
      </c>
      <c r="AM47">
        <v>0.28350000000000003</v>
      </c>
      <c r="AN47" t="s">
        <v>236</v>
      </c>
    </row>
    <row r="48" spans="9:40" x14ac:dyDescent="0.45">
      <c r="I48" t="s">
        <v>159</v>
      </c>
      <c r="J48" t="s">
        <v>273</v>
      </c>
      <c r="K48">
        <v>0</v>
      </c>
      <c r="L48" t="s">
        <v>161</v>
      </c>
      <c r="N48" t="s">
        <v>195</v>
      </c>
      <c r="O48" t="s">
        <v>273</v>
      </c>
      <c r="P48">
        <v>2.5014097383538186E-3</v>
      </c>
      <c r="Q48" t="s">
        <v>161</v>
      </c>
      <c r="S48" t="s">
        <v>217</v>
      </c>
      <c r="T48" t="s">
        <v>273</v>
      </c>
      <c r="U48">
        <v>1.5214926573147115E-3</v>
      </c>
      <c r="V48" t="s">
        <v>161</v>
      </c>
      <c r="X48">
        <v>1.1415525114155251E-3</v>
      </c>
      <c r="Y48">
        <v>1.4585353321897095E-3</v>
      </c>
      <c r="Z48" t="s">
        <v>273</v>
      </c>
      <c r="AA48" t="s">
        <v>25</v>
      </c>
      <c r="AC48" t="s">
        <v>22</v>
      </c>
      <c r="AD48" t="s">
        <v>273</v>
      </c>
      <c r="AE48">
        <v>1.4130480130525442E-3</v>
      </c>
      <c r="AG48" t="s">
        <v>100</v>
      </c>
      <c r="AH48" t="s">
        <v>273</v>
      </c>
      <c r="AI48">
        <v>4.7794575167628306E-2</v>
      </c>
      <c r="AK48">
        <v>2026</v>
      </c>
      <c r="AL48" t="s">
        <v>241</v>
      </c>
      <c r="AM48">
        <v>0.31040000000000001</v>
      </c>
      <c r="AN48" t="s">
        <v>236</v>
      </c>
    </row>
    <row r="49" spans="9:40" x14ac:dyDescent="0.45">
      <c r="I49" t="s">
        <v>159</v>
      </c>
      <c r="J49" t="s">
        <v>274</v>
      </c>
      <c r="K49">
        <v>1.2038186070179705E-2</v>
      </c>
      <c r="L49" t="s">
        <v>161</v>
      </c>
      <c r="N49" t="s">
        <v>195</v>
      </c>
      <c r="O49" t="s">
        <v>274</v>
      </c>
      <c r="P49">
        <v>1.4498744065979891E-2</v>
      </c>
      <c r="Q49" t="s">
        <v>161</v>
      </c>
      <c r="S49" t="s">
        <v>217</v>
      </c>
      <c r="T49" t="s">
        <v>274</v>
      </c>
      <c r="U49">
        <v>1.1613837390288968E-2</v>
      </c>
      <c r="V49" t="s">
        <v>161</v>
      </c>
      <c r="X49">
        <v>7.9908675799086754E-3</v>
      </c>
      <c r="Y49">
        <v>1.040200880093479E-2</v>
      </c>
      <c r="Z49" t="s">
        <v>274</v>
      </c>
      <c r="AA49" t="s">
        <v>25</v>
      </c>
      <c r="AC49" t="s">
        <v>22</v>
      </c>
      <c r="AD49" t="s">
        <v>274</v>
      </c>
      <c r="AE49">
        <v>9.79861802399014E-3</v>
      </c>
      <c r="AG49" t="s">
        <v>100</v>
      </c>
      <c r="AH49" t="s">
        <v>274</v>
      </c>
      <c r="AI49">
        <v>5.4305689661338308E-2</v>
      </c>
      <c r="AK49">
        <v>2026</v>
      </c>
      <c r="AL49" t="s">
        <v>264</v>
      </c>
      <c r="AM49">
        <v>0.32519999999999999</v>
      </c>
      <c r="AN49" t="s">
        <v>236</v>
      </c>
    </row>
    <row r="50" spans="9:40" x14ac:dyDescent="0.45">
      <c r="I50" t="s">
        <v>159</v>
      </c>
      <c r="J50" t="s">
        <v>275</v>
      </c>
      <c r="K50">
        <v>9.6487988478714554E-4</v>
      </c>
      <c r="L50" t="s">
        <v>161</v>
      </c>
      <c r="N50" t="s">
        <v>195</v>
      </c>
      <c r="O50" t="s">
        <v>275</v>
      </c>
      <c r="P50">
        <v>1.9456236922917734E-3</v>
      </c>
      <c r="Q50" t="s">
        <v>161</v>
      </c>
      <c r="S50" t="s">
        <v>217</v>
      </c>
      <c r="T50" t="s">
        <v>275</v>
      </c>
      <c r="U50">
        <v>1.6560918772853944E-3</v>
      </c>
      <c r="V50" t="s">
        <v>161</v>
      </c>
      <c r="X50">
        <v>1.1415525114155251E-3</v>
      </c>
      <c r="Y50">
        <v>2.220951528561603E-3</v>
      </c>
      <c r="Z50" t="s">
        <v>275</v>
      </c>
      <c r="AA50" t="s">
        <v>25</v>
      </c>
      <c r="AC50" t="s">
        <v>22</v>
      </c>
      <c r="AD50" t="s">
        <v>275</v>
      </c>
      <c r="AE50">
        <v>1.4197178208548143E-3</v>
      </c>
      <c r="AG50" t="s">
        <v>100</v>
      </c>
      <c r="AH50" t="s">
        <v>275</v>
      </c>
      <c r="AI50">
        <v>3.4581599744878622E-2</v>
      </c>
      <c r="AK50">
        <v>2026</v>
      </c>
      <c r="AL50" t="s">
        <v>265</v>
      </c>
      <c r="AM50">
        <v>0.32519999999999999</v>
      </c>
      <c r="AN50" t="s">
        <v>236</v>
      </c>
    </row>
    <row r="51" spans="9:40" x14ac:dyDescent="0.45">
      <c r="I51" t="s">
        <v>159</v>
      </c>
      <c r="J51" t="s">
        <v>276</v>
      </c>
      <c r="K51">
        <v>0</v>
      </c>
      <c r="L51" t="s">
        <v>161</v>
      </c>
      <c r="N51" t="s">
        <v>195</v>
      </c>
      <c r="O51" t="s">
        <v>276</v>
      </c>
      <c r="P51">
        <v>2.0641480703669406E-3</v>
      </c>
      <c r="Q51" t="s">
        <v>161</v>
      </c>
      <c r="S51" t="s">
        <v>217</v>
      </c>
      <c r="T51" t="s">
        <v>276</v>
      </c>
      <c r="U51">
        <v>1.6629964726023036E-3</v>
      </c>
      <c r="V51" t="s">
        <v>161</v>
      </c>
      <c r="X51">
        <v>1.1415525114155251E-3</v>
      </c>
      <c r="Y51">
        <v>2.220951528561603E-3</v>
      </c>
      <c r="Z51" t="s">
        <v>276</v>
      </c>
      <c r="AA51" t="s">
        <v>25</v>
      </c>
      <c r="AC51" t="s">
        <v>22</v>
      </c>
      <c r="AD51" t="s">
        <v>276</v>
      </c>
      <c r="AE51">
        <v>1.4276975135585188E-3</v>
      </c>
      <c r="AG51" t="s">
        <v>100</v>
      </c>
      <c r="AH51" t="s">
        <v>276</v>
      </c>
      <c r="AI51">
        <v>3.2380127987139407E-2</v>
      </c>
      <c r="AK51">
        <v>2027</v>
      </c>
      <c r="AL51" t="s">
        <v>149</v>
      </c>
      <c r="AM51">
        <v>0.29746666666666666</v>
      </c>
      <c r="AN51" t="s">
        <v>236</v>
      </c>
    </row>
    <row r="52" spans="9:40" x14ac:dyDescent="0.45">
      <c r="I52" t="s">
        <v>159</v>
      </c>
      <c r="J52" t="s">
        <v>277</v>
      </c>
      <c r="K52">
        <v>0</v>
      </c>
      <c r="L52" t="s">
        <v>161</v>
      </c>
      <c r="N52" t="s">
        <v>195</v>
      </c>
      <c r="O52" t="s">
        <v>277</v>
      </c>
      <c r="P52">
        <v>1.2265383388051687E-2</v>
      </c>
      <c r="Q52" t="s">
        <v>161</v>
      </c>
      <c r="S52" t="s">
        <v>217</v>
      </c>
      <c r="T52" t="s">
        <v>277</v>
      </c>
      <c r="U52">
        <v>9.7239604009745247E-3</v>
      </c>
      <c r="V52" t="s">
        <v>161</v>
      </c>
      <c r="X52">
        <v>6.8493150684931503E-3</v>
      </c>
      <c r="Y52">
        <v>6.0330325104210707E-3</v>
      </c>
      <c r="Z52" t="s">
        <v>277</v>
      </c>
      <c r="AA52" t="s">
        <v>25</v>
      </c>
      <c r="AC52" t="s">
        <v>22</v>
      </c>
      <c r="AD52" t="s">
        <v>277</v>
      </c>
      <c r="AE52">
        <v>7.363859787818886E-3</v>
      </c>
      <c r="AG52" t="s">
        <v>100</v>
      </c>
      <c r="AH52" t="s">
        <v>277</v>
      </c>
      <c r="AI52">
        <v>0.13131055169725236</v>
      </c>
      <c r="AK52">
        <v>2027</v>
      </c>
      <c r="AL52" t="s">
        <v>153</v>
      </c>
      <c r="AM52">
        <v>0.31414999999999998</v>
      </c>
      <c r="AN52" t="s">
        <v>236</v>
      </c>
    </row>
    <row r="53" spans="9:40" x14ac:dyDescent="0.45">
      <c r="I53" t="s">
        <v>159</v>
      </c>
      <c r="J53" t="s">
        <v>278</v>
      </c>
      <c r="K53">
        <v>0</v>
      </c>
      <c r="L53" t="s">
        <v>161</v>
      </c>
      <c r="N53" t="s">
        <v>195</v>
      </c>
      <c r="O53" t="s">
        <v>278</v>
      </c>
      <c r="P53">
        <v>7.5413151440181757E-3</v>
      </c>
      <c r="Q53" t="s">
        <v>161</v>
      </c>
      <c r="S53" t="s">
        <v>217</v>
      </c>
      <c r="T53" t="s">
        <v>278</v>
      </c>
      <c r="U53">
        <v>7.9416014917219301E-3</v>
      </c>
      <c r="V53" t="s">
        <v>161</v>
      </c>
      <c r="X53">
        <v>4.5662100456621002E-3</v>
      </c>
      <c r="Y53">
        <v>2.5308902866519158E-3</v>
      </c>
      <c r="Z53" t="s">
        <v>278</v>
      </c>
      <c r="AA53" t="s">
        <v>25</v>
      </c>
      <c r="AC53" t="s">
        <v>22</v>
      </c>
      <c r="AD53" t="s">
        <v>278</v>
      </c>
      <c r="AE53">
        <v>3.9149493194434526E-3</v>
      </c>
      <c r="AG53" t="s">
        <v>100</v>
      </c>
      <c r="AH53" t="s">
        <v>278</v>
      </c>
      <c r="AI53">
        <v>0.27578209440612667</v>
      </c>
      <c r="AK53">
        <v>2027</v>
      </c>
      <c r="AL53" t="s">
        <v>155</v>
      </c>
      <c r="AM53">
        <v>0.36385000000000001</v>
      </c>
      <c r="AN53" t="s">
        <v>236</v>
      </c>
    </row>
    <row r="54" spans="9:40" x14ac:dyDescent="0.45">
      <c r="I54" t="s">
        <v>159</v>
      </c>
      <c r="J54" t="s">
        <v>279</v>
      </c>
      <c r="K54">
        <v>0</v>
      </c>
      <c r="L54" t="s">
        <v>161</v>
      </c>
      <c r="N54" t="s">
        <v>195</v>
      </c>
      <c r="O54" t="s">
        <v>279</v>
      </c>
      <c r="P54">
        <v>9.0851275134984258E-4</v>
      </c>
      <c r="Q54" t="s">
        <v>161</v>
      </c>
      <c r="S54" t="s">
        <v>217</v>
      </c>
      <c r="T54" t="s">
        <v>279</v>
      </c>
      <c r="U54">
        <v>9.178860953391627E-4</v>
      </c>
      <c r="V54" t="s">
        <v>161</v>
      </c>
      <c r="X54">
        <v>5.7077625570776253E-4</v>
      </c>
      <c r="Y54">
        <v>7.2926766609485475E-4</v>
      </c>
      <c r="Z54" t="s">
        <v>279</v>
      </c>
      <c r="AA54" t="s">
        <v>25</v>
      </c>
      <c r="AC54" t="s">
        <v>22</v>
      </c>
      <c r="AD54" t="s">
        <v>279</v>
      </c>
      <c r="AE54">
        <v>6.9150189105927678E-4</v>
      </c>
      <c r="AG54" t="s">
        <v>100</v>
      </c>
      <c r="AH54" t="s">
        <v>279</v>
      </c>
      <c r="AI54">
        <v>6.9939804459059784E-2</v>
      </c>
      <c r="AK54">
        <v>2027</v>
      </c>
      <c r="AL54" t="s">
        <v>157</v>
      </c>
      <c r="AM54">
        <v>0.35366666666666663</v>
      </c>
      <c r="AN54" t="s">
        <v>236</v>
      </c>
    </row>
    <row r="55" spans="9:40" x14ac:dyDescent="0.45">
      <c r="I55" t="s">
        <v>159</v>
      </c>
      <c r="J55" t="s">
        <v>280</v>
      </c>
      <c r="K55">
        <v>7.1920110801175444E-3</v>
      </c>
      <c r="L55" t="s">
        <v>161</v>
      </c>
      <c r="N55" t="s">
        <v>195</v>
      </c>
      <c r="O55" t="s">
        <v>280</v>
      </c>
      <c r="P55">
        <v>6.7589391816084412E-3</v>
      </c>
      <c r="Q55" t="s">
        <v>161</v>
      </c>
      <c r="S55" t="s">
        <v>217</v>
      </c>
      <c r="T55" t="s">
        <v>280</v>
      </c>
      <c r="U55">
        <v>6.7760702324795767E-3</v>
      </c>
      <c r="V55" t="s">
        <v>161</v>
      </c>
      <c r="X55">
        <v>3.9954337899543377E-3</v>
      </c>
      <c r="Y55">
        <v>5.2010044004673949E-3</v>
      </c>
      <c r="Z55" t="s">
        <v>280</v>
      </c>
      <c r="AA55" t="s">
        <v>25</v>
      </c>
      <c r="AC55" t="s">
        <v>22</v>
      </c>
      <c r="AD55" t="s">
        <v>280</v>
      </c>
      <c r="AE55">
        <v>4.8282685365420115E-3</v>
      </c>
      <c r="AG55" t="s">
        <v>100</v>
      </c>
      <c r="AH55" t="s">
        <v>280</v>
      </c>
      <c r="AI55">
        <v>8.1792810069582833E-2</v>
      </c>
      <c r="AK55">
        <v>2027</v>
      </c>
      <c r="AL55" t="s">
        <v>239</v>
      </c>
      <c r="AM55">
        <v>0.2959</v>
      </c>
      <c r="AN55" t="s">
        <v>236</v>
      </c>
    </row>
    <row r="56" spans="9:40" x14ac:dyDescent="0.45">
      <c r="I56" t="s">
        <v>159</v>
      </c>
      <c r="J56" t="s">
        <v>281</v>
      </c>
      <c r="K56">
        <v>8.8312169482660798E-4</v>
      </c>
      <c r="L56" t="s">
        <v>161</v>
      </c>
      <c r="N56" t="s">
        <v>195</v>
      </c>
      <c r="O56" t="s">
        <v>281</v>
      </c>
      <c r="P56">
        <v>9.8583920677667572E-4</v>
      </c>
      <c r="Q56" t="s">
        <v>161</v>
      </c>
      <c r="S56" t="s">
        <v>217</v>
      </c>
      <c r="T56" t="s">
        <v>281</v>
      </c>
      <c r="U56">
        <v>9.6259312662638275E-4</v>
      </c>
      <c r="V56" t="s">
        <v>161</v>
      </c>
      <c r="X56">
        <v>5.7077625570776253E-4</v>
      </c>
      <c r="Y56">
        <v>1.1104757642808013E-3</v>
      </c>
      <c r="Z56" t="s">
        <v>281</v>
      </c>
      <c r="AA56" t="s">
        <v>25</v>
      </c>
      <c r="AC56" t="s">
        <v>22</v>
      </c>
      <c r="AD56" t="s">
        <v>281</v>
      </c>
      <c r="AE56">
        <v>7.1186673181352245E-4</v>
      </c>
      <c r="AG56" t="s">
        <v>100</v>
      </c>
      <c r="AH56" t="s">
        <v>281</v>
      </c>
      <c r="AI56">
        <v>4.7588728737557151E-2</v>
      </c>
      <c r="AK56">
        <v>2027</v>
      </c>
      <c r="AL56" t="s">
        <v>241</v>
      </c>
      <c r="AM56">
        <v>0.29035</v>
      </c>
      <c r="AN56" t="s">
        <v>236</v>
      </c>
    </row>
    <row r="57" spans="9:40" x14ac:dyDescent="0.45">
      <c r="I57" t="s">
        <v>159</v>
      </c>
      <c r="J57" t="s">
        <v>282</v>
      </c>
      <c r="K57">
        <v>0</v>
      </c>
      <c r="L57" t="s">
        <v>161</v>
      </c>
      <c r="N57" t="s">
        <v>195</v>
      </c>
      <c r="O57" t="s">
        <v>282</v>
      </c>
      <c r="P57">
        <v>1.010683798705703E-3</v>
      </c>
      <c r="Q57" t="s">
        <v>161</v>
      </c>
      <c r="S57" t="s">
        <v>217</v>
      </c>
      <c r="T57" t="s">
        <v>282</v>
      </c>
      <c r="U57">
        <v>9.4144258005468572E-4</v>
      </c>
      <c r="V57" t="s">
        <v>161</v>
      </c>
      <c r="X57">
        <v>5.7077625570776253E-4</v>
      </c>
      <c r="Y57">
        <v>1.1104757642808013E-3</v>
      </c>
      <c r="Z57" t="s">
        <v>282</v>
      </c>
      <c r="AA57" t="s">
        <v>25</v>
      </c>
      <c r="AC57" t="s">
        <v>22</v>
      </c>
      <c r="AD57" t="s">
        <v>282</v>
      </c>
      <c r="AE57">
        <v>7.1534924856460043E-4</v>
      </c>
      <c r="AG57" t="s">
        <v>100</v>
      </c>
      <c r="AH57" t="s">
        <v>282</v>
      </c>
      <c r="AI57">
        <v>4.6309721114160096E-2</v>
      </c>
      <c r="AK57">
        <v>2027</v>
      </c>
      <c r="AL57" t="s">
        <v>264</v>
      </c>
      <c r="AM57">
        <v>0.30130000000000001</v>
      </c>
      <c r="AN57" t="s">
        <v>236</v>
      </c>
    </row>
    <row r="58" spans="9:40" x14ac:dyDescent="0.45">
      <c r="I58" t="s">
        <v>159</v>
      </c>
      <c r="J58" t="s">
        <v>283</v>
      </c>
      <c r="K58">
        <v>0</v>
      </c>
      <c r="L58" t="s">
        <v>161</v>
      </c>
      <c r="N58" t="s">
        <v>195</v>
      </c>
      <c r="O58" t="s">
        <v>283</v>
      </c>
      <c r="P58">
        <v>6.6008137136589762E-3</v>
      </c>
      <c r="Q58" t="s">
        <v>161</v>
      </c>
      <c r="S58" t="s">
        <v>217</v>
      </c>
      <c r="T58" t="s">
        <v>283</v>
      </c>
      <c r="U58">
        <v>5.857101071211129E-3</v>
      </c>
      <c r="V58" t="s">
        <v>161</v>
      </c>
      <c r="X58">
        <v>3.4246575342465752E-3</v>
      </c>
      <c r="Y58">
        <v>3.0165162552105349E-3</v>
      </c>
      <c r="Z58" t="s">
        <v>283</v>
      </c>
      <c r="AA58" t="s">
        <v>25</v>
      </c>
      <c r="AC58" t="s">
        <v>22</v>
      </c>
      <c r="AD58" t="s">
        <v>283</v>
      </c>
      <c r="AE58">
        <v>3.7040517575183478E-3</v>
      </c>
      <c r="AG58" t="s">
        <v>100</v>
      </c>
      <c r="AH58" t="s">
        <v>283</v>
      </c>
      <c r="AI58">
        <v>0.14579726853254882</v>
      </c>
      <c r="AK58">
        <v>2027</v>
      </c>
      <c r="AL58" t="s">
        <v>265</v>
      </c>
      <c r="AM58">
        <v>0.30130000000000001</v>
      </c>
      <c r="AN58" t="s">
        <v>236</v>
      </c>
    </row>
    <row r="59" spans="9:40" x14ac:dyDescent="0.45">
      <c r="I59" t="s">
        <v>173</v>
      </c>
      <c r="J59" t="s">
        <v>160</v>
      </c>
      <c r="K59">
        <v>0</v>
      </c>
      <c r="L59" t="s">
        <v>161</v>
      </c>
      <c r="N59" t="s">
        <v>196</v>
      </c>
      <c r="O59" t="s">
        <v>160</v>
      </c>
      <c r="P59">
        <v>6.9540246883055365E-2</v>
      </c>
      <c r="Q59" t="s">
        <v>161</v>
      </c>
      <c r="S59" t="s">
        <v>218</v>
      </c>
      <c r="T59" t="s">
        <v>160</v>
      </c>
      <c r="U59">
        <v>7.0052871301559183E-2</v>
      </c>
      <c r="V59" t="s">
        <v>161</v>
      </c>
      <c r="AC59" t="s">
        <v>19</v>
      </c>
      <c r="AD59" t="s">
        <v>160</v>
      </c>
      <c r="AE59">
        <v>6.6794909257383947E-2</v>
      </c>
      <c r="AK59">
        <v>2028</v>
      </c>
      <c r="AL59" t="s">
        <v>149</v>
      </c>
      <c r="AM59">
        <v>0.29943333333333333</v>
      </c>
      <c r="AN59" t="s">
        <v>236</v>
      </c>
    </row>
    <row r="60" spans="9:40" x14ac:dyDescent="0.45">
      <c r="I60" t="s">
        <v>173</v>
      </c>
      <c r="J60" t="s">
        <v>162</v>
      </c>
      <c r="K60">
        <v>2.2474930741735078E-3</v>
      </c>
      <c r="L60" t="s">
        <v>161</v>
      </c>
      <c r="N60" t="s">
        <v>196</v>
      </c>
      <c r="O60" t="s">
        <v>162</v>
      </c>
      <c r="P60">
        <v>8.6874060276859698E-3</v>
      </c>
      <c r="Q60" t="s">
        <v>161</v>
      </c>
      <c r="S60" t="s">
        <v>218</v>
      </c>
      <c r="T60" t="s">
        <v>162</v>
      </c>
      <c r="U60">
        <v>8.7372975172925367E-3</v>
      </c>
      <c r="V60" t="s">
        <v>161</v>
      </c>
      <c r="AC60" t="s">
        <v>19</v>
      </c>
      <c r="AD60" t="s">
        <v>162</v>
      </c>
      <c r="AE60">
        <v>8.5354529143351395E-3</v>
      </c>
      <c r="AK60">
        <v>2028</v>
      </c>
      <c r="AL60" t="s">
        <v>153</v>
      </c>
      <c r="AM60">
        <v>0.32604999999999995</v>
      </c>
      <c r="AN60" t="s">
        <v>236</v>
      </c>
    </row>
    <row r="61" spans="9:40" x14ac:dyDescent="0.45">
      <c r="I61" t="s">
        <v>173</v>
      </c>
      <c r="J61" t="s">
        <v>163</v>
      </c>
      <c r="K61">
        <v>9.1357000107260319E-2</v>
      </c>
      <c r="L61" t="s">
        <v>161</v>
      </c>
      <c r="N61" t="s">
        <v>196</v>
      </c>
      <c r="O61" t="s">
        <v>163</v>
      </c>
      <c r="P61">
        <v>5.8133676497175442E-2</v>
      </c>
      <c r="Q61" t="s">
        <v>161</v>
      </c>
      <c r="S61" t="s">
        <v>218</v>
      </c>
      <c r="T61" t="s">
        <v>163</v>
      </c>
      <c r="U61">
        <v>6.1496576520939962E-2</v>
      </c>
      <c r="V61" t="s">
        <v>161</v>
      </c>
      <c r="AC61" t="s">
        <v>19</v>
      </c>
      <c r="AD61" t="s">
        <v>163</v>
      </c>
      <c r="AE61">
        <v>5.9753688200990071E-2</v>
      </c>
      <c r="AK61">
        <v>2028</v>
      </c>
      <c r="AL61" t="s">
        <v>155</v>
      </c>
      <c r="AM61">
        <v>0.37559999999999999</v>
      </c>
      <c r="AN61" t="s">
        <v>236</v>
      </c>
    </row>
    <row r="62" spans="9:40" x14ac:dyDescent="0.45">
      <c r="I62" t="s">
        <v>173</v>
      </c>
      <c r="J62" t="s">
        <v>242</v>
      </c>
      <c r="K62">
        <v>1.0351864269708164E-2</v>
      </c>
      <c r="L62" t="s">
        <v>161</v>
      </c>
      <c r="N62" t="s">
        <v>196</v>
      </c>
      <c r="O62" t="s">
        <v>242</v>
      </c>
      <c r="P62">
        <v>8.3361295235446654E-3</v>
      </c>
      <c r="Q62" t="s">
        <v>161</v>
      </c>
      <c r="S62" t="s">
        <v>218</v>
      </c>
      <c r="T62" t="s">
        <v>242</v>
      </c>
      <c r="U62">
        <v>8.9669128154702144E-3</v>
      </c>
      <c r="V62" t="s">
        <v>161</v>
      </c>
      <c r="AC62" t="s">
        <v>19</v>
      </c>
      <c r="AD62" t="s">
        <v>242</v>
      </c>
      <c r="AE62">
        <v>8.5502449467396574E-3</v>
      </c>
      <c r="AK62">
        <v>2028</v>
      </c>
      <c r="AL62" t="s">
        <v>157</v>
      </c>
      <c r="AM62">
        <v>0.34876666666666667</v>
      </c>
      <c r="AN62" t="s">
        <v>236</v>
      </c>
    </row>
    <row r="63" spans="9:40" x14ac:dyDescent="0.45">
      <c r="I63" t="s">
        <v>173</v>
      </c>
      <c r="J63" t="s">
        <v>243</v>
      </c>
      <c r="K63">
        <v>6.1709114164732615E-3</v>
      </c>
      <c r="L63" t="s">
        <v>161</v>
      </c>
      <c r="N63" t="s">
        <v>196</v>
      </c>
      <c r="O63" t="s">
        <v>243</v>
      </c>
      <c r="P63">
        <v>8.5228485058030101E-3</v>
      </c>
      <c r="Q63" t="s">
        <v>161</v>
      </c>
      <c r="S63" t="s">
        <v>218</v>
      </c>
      <c r="T63" t="s">
        <v>243</v>
      </c>
      <c r="U63">
        <v>9.1163503116045291E-3</v>
      </c>
      <c r="V63" t="s">
        <v>161</v>
      </c>
      <c r="AC63" t="s">
        <v>19</v>
      </c>
      <c r="AD63" t="s">
        <v>243</v>
      </c>
      <c r="AE63">
        <v>8.5548336044655969E-3</v>
      </c>
      <c r="AK63">
        <v>2028</v>
      </c>
      <c r="AL63" t="s">
        <v>239</v>
      </c>
      <c r="AM63">
        <v>0.29223333333333334</v>
      </c>
      <c r="AN63" t="s">
        <v>236</v>
      </c>
    </row>
    <row r="64" spans="9:40" x14ac:dyDescent="0.45">
      <c r="I64" t="s">
        <v>173</v>
      </c>
      <c r="J64" t="s">
        <v>266</v>
      </c>
      <c r="K64">
        <v>2.0691065523652788E-3</v>
      </c>
      <c r="L64" t="s">
        <v>161</v>
      </c>
      <c r="N64" t="s">
        <v>196</v>
      </c>
      <c r="O64" t="s">
        <v>266</v>
      </c>
      <c r="P64">
        <v>5.30951451743603E-2</v>
      </c>
      <c r="Q64" t="s">
        <v>161</v>
      </c>
      <c r="S64" t="s">
        <v>218</v>
      </c>
      <c r="T64" t="s">
        <v>266</v>
      </c>
      <c r="U64">
        <v>5.45631996757985E-2</v>
      </c>
      <c r="V64" t="s">
        <v>161</v>
      </c>
      <c r="AC64" t="s">
        <v>19</v>
      </c>
      <c r="AD64" t="s">
        <v>266</v>
      </c>
      <c r="AE64">
        <v>5.07871340274125E-2</v>
      </c>
      <c r="AK64">
        <v>2028</v>
      </c>
      <c r="AL64" t="s">
        <v>241</v>
      </c>
      <c r="AM64">
        <v>0.2757</v>
      </c>
      <c r="AN64" t="s">
        <v>236</v>
      </c>
    </row>
    <row r="65" spans="9:40" x14ac:dyDescent="0.45">
      <c r="I65" t="s">
        <v>173</v>
      </c>
      <c r="J65" t="s">
        <v>164</v>
      </c>
      <c r="K65">
        <v>4.206707957634101E-3</v>
      </c>
      <c r="L65" t="s">
        <v>161</v>
      </c>
      <c r="N65" t="s">
        <v>196</v>
      </c>
      <c r="O65" t="s">
        <v>164</v>
      </c>
      <c r="P65">
        <v>3.598740746530496E-2</v>
      </c>
      <c r="Q65" t="s">
        <v>161</v>
      </c>
      <c r="S65" t="s">
        <v>218</v>
      </c>
      <c r="T65" t="s">
        <v>164</v>
      </c>
      <c r="U65">
        <v>3.6311664239221886E-2</v>
      </c>
      <c r="V65" t="s">
        <v>161</v>
      </c>
      <c r="AC65" t="s">
        <v>19</v>
      </c>
      <c r="AD65" t="s">
        <v>164</v>
      </c>
      <c r="AE65">
        <v>3.4394156082735654E-2</v>
      </c>
      <c r="AK65">
        <v>2028</v>
      </c>
      <c r="AL65" t="s">
        <v>264</v>
      </c>
      <c r="AM65">
        <v>0.27650000000000002</v>
      </c>
      <c r="AN65" t="s">
        <v>236</v>
      </c>
    </row>
    <row r="66" spans="9:40" x14ac:dyDescent="0.45">
      <c r="I66" t="s">
        <v>173</v>
      </c>
      <c r="J66" t="s">
        <v>165</v>
      </c>
      <c r="K66">
        <v>6.7332572499843113E-3</v>
      </c>
      <c r="L66" t="s">
        <v>161</v>
      </c>
      <c r="N66" t="s">
        <v>196</v>
      </c>
      <c r="O66" t="s">
        <v>165</v>
      </c>
      <c r="P66">
        <v>4.5337565343784633E-3</v>
      </c>
      <c r="Q66" t="s">
        <v>161</v>
      </c>
      <c r="S66" t="s">
        <v>218</v>
      </c>
      <c r="T66" t="s">
        <v>165</v>
      </c>
      <c r="U66">
        <v>4.4471168267119264E-3</v>
      </c>
      <c r="V66" t="s">
        <v>161</v>
      </c>
      <c r="AC66" t="s">
        <v>19</v>
      </c>
      <c r="AD66" t="s">
        <v>165</v>
      </c>
      <c r="AE66">
        <v>4.3841218680536033E-3</v>
      </c>
      <c r="AK66">
        <v>2028</v>
      </c>
      <c r="AL66" t="s">
        <v>265</v>
      </c>
      <c r="AM66">
        <v>0.27650000000000002</v>
      </c>
      <c r="AN66" t="s">
        <v>236</v>
      </c>
    </row>
    <row r="67" spans="9:40" x14ac:dyDescent="0.45">
      <c r="I67" t="s">
        <v>173</v>
      </c>
      <c r="J67" t="s">
        <v>166</v>
      </c>
      <c r="K67">
        <v>8.9223702947752892E-2</v>
      </c>
      <c r="L67" t="s">
        <v>161</v>
      </c>
      <c r="N67" t="s">
        <v>196</v>
      </c>
      <c r="O67" t="s">
        <v>166</v>
      </c>
      <c r="P67">
        <v>2.9403180270149262E-2</v>
      </c>
      <c r="Q67" t="s">
        <v>161</v>
      </c>
      <c r="S67" t="s">
        <v>218</v>
      </c>
      <c r="T67" t="s">
        <v>166</v>
      </c>
      <c r="U67">
        <v>3.1113937980181805E-2</v>
      </c>
      <c r="V67" t="s">
        <v>161</v>
      </c>
      <c r="AC67" t="s">
        <v>19</v>
      </c>
      <c r="AD67" t="s">
        <v>166</v>
      </c>
      <c r="AE67">
        <v>3.0641786788162831E-2</v>
      </c>
      <c r="AK67">
        <v>2029</v>
      </c>
      <c r="AL67" t="s">
        <v>149</v>
      </c>
      <c r="AM67">
        <v>0.32450000000000001</v>
      </c>
      <c r="AN67" t="s">
        <v>236</v>
      </c>
    </row>
    <row r="68" spans="9:40" x14ac:dyDescent="0.45">
      <c r="I68" t="s">
        <v>173</v>
      </c>
      <c r="J68" t="s">
        <v>244</v>
      </c>
      <c r="K68">
        <v>9.4849248975457795E-3</v>
      </c>
      <c r="L68" t="s">
        <v>161</v>
      </c>
      <c r="N68" t="s">
        <v>196</v>
      </c>
      <c r="O68" t="s">
        <v>244</v>
      </c>
      <c r="P68">
        <v>4.4460337938925926E-3</v>
      </c>
      <c r="Q68" t="s">
        <v>161</v>
      </c>
      <c r="S68" t="s">
        <v>218</v>
      </c>
      <c r="T68" t="s">
        <v>244</v>
      </c>
      <c r="U68">
        <v>4.8668764765210249E-3</v>
      </c>
      <c r="V68" t="s">
        <v>161</v>
      </c>
      <c r="AC68" t="s">
        <v>19</v>
      </c>
      <c r="AD68" t="s">
        <v>244</v>
      </c>
      <c r="AE68">
        <v>4.3782777985764462E-3</v>
      </c>
      <c r="AK68">
        <v>2029</v>
      </c>
      <c r="AL68" t="s">
        <v>153</v>
      </c>
      <c r="AM68">
        <v>0.33300000000000002</v>
      </c>
      <c r="AN68" t="s">
        <v>236</v>
      </c>
    </row>
    <row r="69" spans="9:40" x14ac:dyDescent="0.45">
      <c r="I69" t="s">
        <v>173</v>
      </c>
      <c r="J69" t="s">
        <v>245</v>
      </c>
      <c r="K69">
        <v>7.2980578317990213E-3</v>
      </c>
      <c r="L69" t="s">
        <v>161</v>
      </c>
      <c r="N69" t="s">
        <v>196</v>
      </c>
      <c r="O69" t="s">
        <v>245</v>
      </c>
      <c r="P69">
        <v>4.1202298183708654E-3</v>
      </c>
      <c r="Q69" t="s">
        <v>161</v>
      </c>
      <c r="S69" t="s">
        <v>218</v>
      </c>
      <c r="T69" t="s">
        <v>245</v>
      </c>
      <c r="U69">
        <v>4.9460407703007013E-3</v>
      </c>
      <c r="V69" t="s">
        <v>161</v>
      </c>
      <c r="AC69" t="s">
        <v>19</v>
      </c>
      <c r="AD69" t="s">
        <v>245</v>
      </c>
      <c r="AE69">
        <v>4.3805571801480495E-3</v>
      </c>
      <c r="AK69">
        <v>2029</v>
      </c>
      <c r="AL69" t="s">
        <v>155</v>
      </c>
      <c r="AM69">
        <v>0.37572499999999998</v>
      </c>
      <c r="AN69" t="s">
        <v>236</v>
      </c>
    </row>
    <row r="70" spans="9:40" x14ac:dyDescent="0.45">
      <c r="I70" t="s">
        <v>173</v>
      </c>
      <c r="J70" t="s">
        <v>267</v>
      </c>
      <c r="K70">
        <v>6.4339124096641316E-3</v>
      </c>
      <c r="L70" t="s">
        <v>161</v>
      </c>
      <c r="N70" t="s">
        <v>196</v>
      </c>
      <c r="O70" t="s">
        <v>267</v>
      </c>
      <c r="P70">
        <v>2.7744278684960495E-2</v>
      </c>
      <c r="Q70" t="s">
        <v>161</v>
      </c>
      <c r="S70" t="s">
        <v>218</v>
      </c>
      <c r="T70" t="s">
        <v>267</v>
      </c>
      <c r="U70">
        <v>2.9309553461958598E-2</v>
      </c>
      <c r="V70" t="s">
        <v>161</v>
      </c>
      <c r="AC70" t="s">
        <v>19</v>
      </c>
      <c r="AD70" t="s">
        <v>267</v>
      </c>
      <c r="AE70">
        <v>2.6030333172952454E-2</v>
      </c>
      <c r="AK70">
        <v>2029</v>
      </c>
      <c r="AL70" t="s">
        <v>157</v>
      </c>
      <c r="AM70">
        <v>0.33100000000000002</v>
      </c>
      <c r="AN70" t="s">
        <v>236</v>
      </c>
    </row>
    <row r="71" spans="9:40" x14ac:dyDescent="0.45">
      <c r="I71" t="s">
        <v>173</v>
      </c>
      <c r="J71" t="s">
        <v>167</v>
      </c>
      <c r="K71">
        <v>3.5245222266626283E-2</v>
      </c>
      <c r="L71" t="s">
        <v>161</v>
      </c>
      <c r="N71" t="s">
        <v>196</v>
      </c>
      <c r="O71" t="s">
        <v>167</v>
      </c>
      <c r="P71">
        <v>6.2652942613380017E-2</v>
      </c>
      <c r="Q71" t="s">
        <v>161</v>
      </c>
      <c r="S71" t="s">
        <v>218</v>
      </c>
      <c r="T71" t="s">
        <v>167</v>
      </c>
      <c r="U71">
        <v>6.9357720599159636E-2</v>
      </c>
      <c r="V71" t="s">
        <v>161</v>
      </c>
      <c r="AC71" t="s">
        <v>19</v>
      </c>
      <c r="AD71" t="s">
        <v>167</v>
      </c>
      <c r="AE71">
        <v>8.8509810425533367E-2</v>
      </c>
      <c r="AK71">
        <v>2029</v>
      </c>
      <c r="AL71" t="s">
        <v>239</v>
      </c>
      <c r="AM71">
        <v>0.28889999999999999</v>
      </c>
      <c r="AN71" t="s">
        <v>236</v>
      </c>
    </row>
    <row r="72" spans="9:40" x14ac:dyDescent="0.45">
      <c r="I72" t="s">
        <v>173</v>
      </c>
      <c r="J72" t="s">
        <v>168</v>
      </c>
      <c r="K72">
        <v>2.9023472459236213E-2</v>
      </c>
      <c r="L72" t="s">
        <v>161</v>
      </c>
      <c r="N72" t="s">
        <v>196</v>
      </c>
      <c r="O72" t="s">
        <v>168</v>
      </c>
      <c r="P72">
        <v>6.5915782600639242E-3</v>
      </c>
      <c r="Q72" t="s">
        <v>161</v>
      </c>
      <c r="S72" t="s">
        <v>218</v>
      </c>
      <c r="T72" t="s">
        <v>168</v>
      </c>
      <c r="U72">
        <v>8.5334625962219211E-3</v>
      </c>
      <c r="V72" t="s">
        <v>161</v>
      </c>
      <c r="AC72" t="s">
        <v>19</v>
      </c>
      <c r="AD72" t="s">
        <v>168</v>
      </c>
      <c r="AE72">
        <v>1.1268444626741531E-2</v>
      </c>
      <c r="AK72">
        <v>2029</v>
      </c>
      <c r="AL72" t="s">
        <v>241</v>
      </c>
      <c r="AM72">
        <v>0.29915000000000003</v>
      </c>
      <c r="AN72" t="s">
        <v>236</v>
      </c>
    </row>
    <row r="73" spans="9:40" x14ac:dyDescent="0.45">
      <c r="I73" t="s">
        <v>173</v>
      </c>
      <c r="J73" t="s">
        <v>169</v>
      </c>
      <c r="K73">
        <v>0.26282558068763734</v>
      </c>
      <c r="L73" t="s">
        <v>161</v>
      </c>
      <c r="N73" t="s">
        <v>196</v>
      </c>
      <c r="O73" t="s">
        <v>169</v>
      </c>
      <c r="P73">
        <v>4.8295518346035474E-2</v>
      </c>
      <c r="Q73" t="s">
        <v>161</v>
      </c>
      <c r="S73" t="s">
        <v>218</v>
      </c>
      <c r="T73" t="s">
        <v>169</v>
      </c>
      <c r="U73">
        <v>5.8947530957070365E-2</v>
      </c>
      <c r="V73" t="s">
        <v>161</v>
      </c>
      <c r="AC73" t="s">
        <v>19</v>
      </c>
      <c r="AD73" t="s">
        <v>169</v>
      </c>
      <c r="AE73">
        <v>7.8899516725694424E-2</v>
      </c>
      <c r="AK73">
        <v>2029</v>
      </c>
      <c r="AL73" t="s">
        <v>264</v>
      </c>
      <c r="AM73">
        <v>0.3135</v>
      </c>
      <c r="AN73" t="s">
        <v>236</v>
      </c>
    </row>
    <row r="74" spans="9:40" x14ac:dyDescent="0.45">
      <c r="I74" t="s">
        <v>173</v>
      </c>
      <c r="J74" t="s">
        <v>246</v>
      </c>
      <c r="K74">
        <v>3.1115980022854563E-2</v>
      </c>
      <c r="L74" t="s">
        <v>161</v>
      </c>
      <c r="N74" t="s">
        <v>196</v>
      </c>
      <c r="O74" t="s">
        <v>246</v>
      </c>
      <c r="P74">
        <v>7.693442022995425E-3</v>
      </c>
      <c r="Q74" t="s">
        <v>161</v>
      </c>
      <c r="S74" t="s">
        <v>218</v>
      </c>
      <c r="T74" t="s">
        <v>246</v>
      </c>
      <c r="U74">
        <v>8.6286849962190111E-3</v>
      </c>
      <c r="V74" t="s">
        <v>161</v>
      </c>
      <c r="AC74" t="s">
        <v>19</v>
      </c>
      <c r="AD74" t="s">
        <v>246</v>
      </c>
      <c r="AE74">
        <v>1.1264931209652598E-2</v>
      </c>
      <c r="AK74">
        <v>2029</v>
      </c>
      <c r="AL74" t="s">
        <v>265</v>
      </c>
      <c r="AM74">
        <v>0.3135</v>
      </c>
      <c r="AN74" t="s">
        <v>236</v>
      </c>
    </row>
    <row r="75" spans="9:40" x14ac:dyDescent="0.45">
      <c r="I75" t="s">
        <v>173</v>
      </c>
      <c r="J75" t="s">
        <v>247</v>
      </c>
      <c r="K75">
        <v>2.6074277573578379E-2</v>
      </c>
      <c r="L75" t="s">
        <v>161</v>
      </c>
      <c r="N75" t="s">
        <v>196</v>
      </c>
      <c r="O75" t="s">
        <v>247</v>
      </c>
      <c r="P75">
        <v>7.2503059000351457E-3</v>
      </c>
      <c r="Q75" t="s">
        <v>161</v>
      </c>
      <c r="S75" t="s">
        <v>218</v>
      </c>
      <c r="T75" t="s">
        <v>247</v>
      </c>
      <c r="U75">
        <v>8.6577319992527622E-3</v>
      </c>
      <c r="V75" t="s">
        <v>161</v>
      </c>
      <c r="AC75" t="s">
        <v>19</v>
      </c>
      <c r="AD75" t="s">
        <v>247</v>
      </c>
      <c r="AE75">
        <v>1.1264195256457254E-2</v>
      </c>
      <c r="AK75">
        <v>2030</v>
      </c>
      <c r="AL75" t="s">
        <v>149</v>
      </c>
      <c r="AM75">
        <v>0.30453333333333332</v>
      </c>
      <c r="AN75" t="s">
        <v>236</v>
      </c>
    </row>
    <row r="76" spans="9:40" x14ac:dyDescent="0.45">
      <c r="I76" t="s">
        <v>173</v>
      </c>
      <c r="J76" t="s">
        <v>268</v>
      </c>
      <c r="K76">
        <v>3.9279362975444862E-2</v>
      </c>
      <c r="L76" t="s">
        <v>161</v>
      </c>
      <c r="N76" t="s">
        <v>196</v>
      </c>
      <c r="O76" t="s">
        <v>268</v>
      </c>
      <c r="P76">
        <v>4.6651245753605436E-2</v>
      </c>
      <c r="Q76" t="s">
        <v>161</v>
      </c>
      <c r="S76" t="s">
        <v>218</v>
      </c>
      <c r="T76" t="s">
        <v>268</v>
      </c>
      <c r="U76">
        <v>5.2261562054776681E-2</v>
      </c>
      <c r="V76" t="s">
        <v>161</v>
      </c>
      <c r="AC76" t="s">
        <v>19</v>
      </c>
      <c r="AD76" t="s">
        <v>268</v>
      </c>
      <c r="AE76">
        <v>6.7053330035950945E-2</v>
      </c>
      <c r="AK76">
        <v>2030</v>
      </c>
      <c r="AL76" t="s">
        <v>153</v>
      </c>
      <c r="AM76">
        <v>0.33479999999999999</v>
      </c>
      <c r="AN76" t="s">
        <v>236</v>
      </c>
    </row>
    <row r="77" spans="9:40" x14ac:dyDescent="0.45">
      <c r="I77" t="s">
        <v>173</v>
      </c>
      <c r="J77" t="s">
        <v>170</v>
      </c>
      <c r="K77">
        <v>1.1853803179341491E-2</v>
      </c>
      <c r="L77" t="s">
        <v>161</v>
      </c>
      <c r="N77" t="s">
        <v>196</v>
      </c>
      <c r="O77" t="s">
        <v>170</v>
      </c>
      <c r="P77">
        <v>3.5221709244985584E-2</v>
      </c>
      <c r="Q77" t="s">
        <v>161</v>
      </c>
      <c r="S77" t="s">
        <v>218</v>
      </c>
      <c r="T77" t="s">
        <v>170</v>
      </c>
      <c r="U77">
        <v>3.8040265210983429E-2</v>
      </c>
      <c r="V77" t="s">
        <v>161</v>
      </c>
      <c r="AC77" t="s">
        <v>19</v>
      </c>
      <c r="AD77" t="s">
        <v>170</v>
      </c>
      <c r="AE77">
        <v>4.5155521941729178E-2</v>
      </c>
      <c r="AK77">
        <v>2030</v>
      </c>
      <c r="AL77" t="s">
        <v>155</v>
      </c>
      <c r="AM77">
        <v>0.38885000000000003</v>
      </c>
      <c r="AN77" t="s">
        <v>236</v>
      </c>
    </row>
    <row r="78" spans="9:40" x14ac:dyDescent="0.45">
      <c r="I78" t="s">
        <v>173</v>
      </c>
      <c r="J78" t="s">
        <v>171</v>
      </c>
      <c r="K78">
        <v>1.28598058049786E-2</v>
      </c>
      <c r="L78" t="s">
        <v>161</v>
      </c>
      <c r="N78" t="s">
        <v>196</v>
      </c>
      <c r="O78" t="s">
        <v>171</v>
      </c>
      <c r="P78">
        <v>3.7557465308236892E-3</v>
      </c>
      <c r="Q78" t="s">
        <v>161</v>
      </c>
      <c r="S78" t="s">
        <v>218</v>
      </c>
      <c r="T78" t="s">
        <v>171</v>
      </c>
      <c r="U78">
        <v>4.9177635701032792E-3</v>
      </c>
      <c r="V78" t="s">
        <v>161</v>
      </c>
      <c r="AC78" t="s">
        <v>19</v>
      </c>
      <c r="AD78" t="s">
        <v>171</v>
      </c>
      <c r="AE78">
        <v>5.7504781960811963E-3</v>
      </c>
      <c r="AK78">
        <v>2030</v>
      </c>
      <c r="AL78" t="s">
        <v>157</v>
      </c>
      <c r="AM78">
        <v>0.35053333333333336</v>
      </c>
      <c r="AN78" t="s">
        <v>236</v>
      </c>
    </row>
    <row r="79" spans="9:40" x14ac:dyDescent="0.45">
      <c r="I79" t="s">
        <v>173</v>
      </c>
      <c r="J79" t="s">
        <v>172</v>
      </c>
      <c r="K79">
        <v>0.12292352735266719</v>
      </c>
      <c r="L79" t="s">
        <v>161</v>
      </c>
      <c r="N79" t="s">
        <v>196</v>
      </c>
      <c r="O79" t="s">
        <v>172</v>
      </c>
      <c r="P79">
        <v>2.3936437705077068E-2</v>
      </c>
      <c r="Q79" t="s">
        <v>161</v>
      </c>
      <c r="S79" t="s">
        <v>218</v>
      </c>
      <c r="T79" t="s">
        <v>172</v>
      </c>
      <c r="U79">
        <v>3.5332391318840771E-2</v>
      </c>
      <c r="V79" t="s">
        <v>161</v>
      </c>
      <c r="AC79" t="s">
        <v>19</v>
      </c>
      <c r="AD79" t="s">
        <v>172</v>
      </c>
      <c r="AE79">
        <v>4.0271609908870479E-2</v>
      </c>
      <c r="AK79">
        <v>2030</v>
      </c>
      <c r="AL79" t="s">
        <v>239</v>
      </c>
      <c r="AM79">
        <v>0.29209999999999997</v>
      </c>
      <c r="AN79" t="s">
        <v>236</v>
      </c>
    </row>
    <row r="80" spans="9:40" x14ac:dyDescent="0.45">
      <c r="I80" t="s">
        <v>173</v>
      </c>
      <c r="J80" t="s">
        <v>248</v>
      </c>
      <c r="K80">
        <v>1.4736179737363209E-2</v>
      </c>
      <c r="L80" t="s">
        <v>161</v>
      </c>
      <c r="N80" t="s">
        <v>196</v>
      </c>
      <c r="O80" t="s">
        <v>248</v>
      </c>
      <c r="P80">
        <v>3.3061077346027709E-3</v>
      </c>
      <c r="Q80" t="s">
        <v>161</v>
      </c>
      <c r="S80" t="s">
        <v>218</v>
      </c>
      <c r="T80" t="s">
        <v>248</v>
      </c>
      <c r="U80">
        <v>5.0376392271711777E-3</v>
      </c>
      <c r="V80" t="s">
        <v>161</v>
      </c>
      <c r="AC80" t="s">
        <v>19</v>
      </c>
      <c r="AD80" t="s">
        <v>248</v>
      </c>
      <c r="AE80">
        <v>5.7494429756113968E-3</v>
      </c>
      <c r="AK80">
        <v>2030</v>
      </c>
      <c r="AL80" t="s">
        <v>241</v>
      </c>
      <c r="AM80">
        <v>0.26619999999999999</v>
      </c>
      <c r="AN80" t="s">
        <v>236</v>
      </c>
    </row>
    <row r="81" spans="9:40" x14ac:dyDescent="0.45">
      <c r="I81" t="s">
        <v>173</v>
      </c>
      <c r="J81" t="s">
        <v>249</v>
      </c>
      <c r="K81">
        <v>1.2242683605100972E-2</v>
      </c>
      <c r="L81" t="s">
        <v>161</v>
      </c>
      <c r="N81" t="s">
        <v>196</v>
      </c>
      <c r="O81" t="s">
        <v>249</v>
      </c>
      <c r="P81">
        <v>3.0664015494378609E-3</v>
      </c>
      <c r="Q81" t="s">
        <v>161</v>
      </c>
      <c r="S81" t="s">
        <v>218</v>
      </c>
      <c r="T81" t="s">
        <v>249</v>
      </c>
      <c r="U81">
        <v>4.9453325955570613E-3</v>
      </c>
      <c r="V81" t="s">
        <v>161</v>
      </c>
      <c r="AC81" t="s">
        <v>19</v>
      </c>
      <c r="AD81" t="s">
        <v>249</v>
      </c>
      <c r="AE81">
        <v>5.7488420302090407E-3</v>
      </c>
      <c r="AK81">
        <v>2030</v>
      </c>
      <c r="AL81" t="s">
        <v>264</v>
      </c>
      <c r="AM81">
        <v>0.27739999999999998</v>
      </c>
      <c r="AN81" t="s">
        <v>236</v>
      </c>
    </row>
    <row r="82" spans="9:40" x14ac:dyDescent="0.45">
      <c r="I82" t="s">
        <v>173</v>
      </c>
      <c r="J82" t="s">
        <v>269</v>
      </c>
      <c r="K82">
        <v>1.391320819720325E-2</v>
      </c>
      <c r="L82" t="s">
        <v>161</v>
      </c>
      <c r="N82" t="s">
        <v>196</v>
      </c>
      <c r="O82" t="s">
        <v>269</v>
      </c>
      <c r="P82">
        <v>2.2496895629108796E-2</v>
      </c>
      <c r="Q82" t="s">
        <v>161</v>
      </c>
      <c r="S82" t="s">
        <v>218</v>
      </c>
      <c r="T82" t="s">
        <v>269</v>
      </c>
      <c r="U82">
        <v>2.9207837455571543E-2</v>
      </c>
      <c r="V82" t="s">
        <v>161</v>
      </c>
      <c r="AC82" t="s">
        <v>19</v>
      </c>
      <c r="AD82" t="s">
        <v>269</v>
      </c>
      <c r="AE82">
        <v>3.4219273735220747E-2</v>
      </c>
      <c r="AK82">
        <v>2030</v>
      </c>
      <c r="AL82" t="s">
        <v>265</v>
      </c>
      <c r="AM82">
        <v>0.27739999999999998</v>
      </c>
      <c r="AN82" t="s">
        <v>236</v>
      </c>
    </row>
    <row r="83" spans="9:40" x14ac:dyDescent="0.45">
      <c r="I83" t="s">
        <v>173</v>
      </c>
      <c r="J83" t="s">
        <v>250</v>
      </c>
      <c r="K83">
        <v>1.6062217229606914E-3</v>
      </c>
      <c r="L83" t="s">
        <v>161</v>
      </c>
      <c r="N83" t="s">
        <v>196</v>
      </c>
      <c r="O83" t="s">
        <v>250</v>
      </c>
      <c r="P83">
        <v>5.581793519674183E-2</v>
      </c>
      <c r="Q83" t="s">
        <v>161</v>
      </c>
      <c r="S83" t="s">
        <v>218</v>
      </c>
      <c r="T83" t="s">
        <v>250</v>
      </c>
      <c r="U83">
        <v>5.1021974803208095E-2</v>
      </c>
      <c r="V83" t="s">
        <v>161</v>
      </c>
      <c r="AC83" t="s">
        <v>19</v>
      </c>
      <c r="AD83" t="s">
        <v>250</v>
      </c>
      <c r="AE83">
        <v>4.1566690628086961E-2</v>
      </c>
      <c r="AK83">
        <v>2031</v>
      </c>
      <c r="AL83" t="s">
        <v>149</v>
      </c>
      <c r="AM83">
        <v>0.29723333333333329</v>
      </c>
      <c r="AN83" t="s">
        <v>236</v>
      </c>
    </row>
    <row r="84" spans="9:40" x14ac:dyDescent="0.45">
      <c r="I84" t="s">
        <v>173</v>
      </c>
      <c r="J84" t="s">
        <v>251</v>
      </c>
      <c r="K84">
        <v>4.6635691609217319E-3</v>
      </c>
      <c r="L84" t="s">
        <v>161</v>
      </c>
      <c r="N84" t="s">
        <v>196</v>
      </c>
      <c r="O84" t="s">
        <v>251</v>
      </c>
      <c r="P84">
        <v>7.2294116723709556E-3</v>
      </c>
      <c r="Q84" t="s">
        <v>161</v>
      </c>
      <c r="S84" t="s">
        <v>218</v>
      </c>
      <c r="T84" t="s">
        <v>251</v>
      </c>
      <c r="U84">
        <v>6.1623614588879588E-3</v>
      </c>
      <c r="V84" t="s">
        <v>161</v>
      </c>
      <c r="AC84" t="s">
        <v>19</v>
      </c>
      <c r="AD84" t="s">
        <v>251</v>
      </c>
      <c r="AE84">
        <v>5.2924606826958692E-3</v>
      </c>
      <c r="AK84">
        <v>2031</v>
      </c>
      <c r="AL84" t="s">
        <v>153</v>
      </c>
      <c r="AM84">
        <v>0.33565</v>
      </c>
      <c r="AN84" t="s">
        <v>236</v>
      </c>
    </row>
    <row r="85" spans="9:40" x14ac:dyDescent="0.45">
      <c r="I85" t="s">
        <v>173</v>
      </c>
      <c r="J85" t="s">
        <v>252</v>
      </c>
      <c r="K85">
        <v>7.817249303632752E-2</v>
      </c>
      <c r="L85" t="s">
        <v>161</v>
      </c>
      <c r="N85" t="s">
        <v>196</v>
      </c>
      <c r="O85" t="s">
        <v>252</v>
      </c>
      <c r="P85">
        <v>4.2517900625041113E-2</v>
      </c>
      <c r="Q85" t="s">
        <v>161</v>
      </c>
      <c r="S85" t="s">
        <v>218</v>
      </c>
      <c r="T85" t="s">
        <v>252</v>
      </c>
      <c r="U85">
        <v>4.054625000557429E-2</v>
      </c>
      <c r="V85" t="s">
        <v>161</v>
      </c>
      <c r="AC85" t="s">
        <v>19</v>
      </c>
      <c r="AD85" t="s">
        <v>252</v>
      </c>
      <c r="AE85">
        <v>3.7016157396298377E-2</v>
      </c>
      <c r="AK85">
        <v>2031</v>
      </c>
      <c r="AL85" t="s">
        <v>155</v>
      </c>
      <c r="AM85">
        <v>0.38905000000000001</v>
      </c>
      <c r="AN85" t="s">
        <v>236</v>
      </c>
    </row>
    <row r="86" spans="9:40" x14ac:dyDescent="0.45">
      <c r="I86" t="s">
        <v>173</v>
      </c>
      <c r="J86" t="s">
        <v>253</v>
      </c>
      <c r="K86">
        <v>9.3652230189498788E-3</v>
      </c>
      <c r="L86" t="s">
        <v>161</v>
      </c>
      <c r="N86" t="s">
        <v>196</v>
      </c>
      <c r="O86" t="s">
        <v>253</v>
      </c>
      <c r="P86">
        <v>5.8913257192575227E-3</v>
      </c>
      <c r="Q86" t="s">
        <v>161</v>
      </c>
      <c r="S86" t="s">
        <v>218</v>
      </c>
      <c r="T86" t="s">
        <v>253</v>
      </c>
      <c r="U86">
        <v>6.0178710081997466E-3</v>
      </c>
      <c r="V86" t="s">
        <v>161</v>
      </c>
      <c r="AC86" t="s">
        <v>19</v>
      </c>
      <c r="AD86" t="s">
        <v>253</v>
      </c>
      <c r="AE86">
        <v>5.2864515501194276E-3</v>
      </c>
      <c r="AK86">
        <v>2031</v>
      </c>
      <c r="AL86" t="s">
        <v>157</v>
      </c>
      <c r="AM86">
        <v>0.35093333333333332</v>
      </c>
      <c r="AN86" t="s">
        <v>236</v>
      </c>
    </row>
    <row r="87" spans="9:40" x14ac:dyDescent="0.45">
      <c r="I87" t="s">
        <v>173</v>
      </c>
      <c r="J87" t="s">
        <v>254</v>
      </c>
      <c r="K87">
        <v>6.1382268311380144E-3</v>
      </c>
      <c r="L87" t="s">
        <v>161</v>
      </c>
      <c r="N87" t="s">
        <v>196</v>
      </c>
      <c r="O87" t="s">
        <v>254</v>
      </c>
      <c r="P87">
        <v>6.0254337664278875E-3</v>
      </c>
      <c r="Q87" t="s">
        <v>161</v>
      </c>
      <c r="S87" t="s">
        <v>218</v>
      </c>
      <c r="T87" t="s">
        <v>254</v>
      </c>
      <c r="U87">
        <v>6.0561976804828976E-3</v>
      </c>
      <c r="V87" t="s">
        <v>161</v>
      </c>
      <c r="AC87" t="s">
        <v>19</v>
      </c>
      <c r="AD87" t="s">
        <v>254</v>
      </c>
      <c r="AE87">
        <v>5.2895692657960562E-3</v>
      </c>
      <c r="AK87">
        <v>2031</v>
      </c>
      <c r="AL87" t="s">
        <v>239</v>
      </c>
      <c r="AM87">
        <v>0.28260000000000002</v>
      </c>
      <c r="AN87" t="s">
        <v>236</v>
      </c>
    </row>
    <row r="88" spans="9:40" x14ac:dyDescent="0.45">
      <c r="I88" t="s">
        <v>173</v>
      </c>
      <c r="J88" t="s">
        <v>270</v>
      </c>
      <c r="K88">
        <v>2.0033750186718544E-3</v>
      </c>
      <c r="L88" t="s">
        <v>161</v>
      </c>
      <c r="N88" t="s">
        <v>196</v>
      </c>
      <c r="O88" t="s">
        <v>270</v>
      </c>
      <c r="P88">
        <v>4.2191320512733443E-2</v>
      </c>
      <c r="Q88" t="s">
        <v>161</v>
      </c>
      <c r="S88" t="s">
        <v>218</v>
      </c>
      <c r="T88" t="s">
        <v>270</v>
      </c>
      <c r="U88">
        <v>3.7988204070520643E-2</v>
      </c>
      <c r="V88" t="s">
        <v>161</v>
      </c>
      <c r="AC88" t="s">
        <v>19</v>
      </c>
      <c r="AD88" t="s">
        <v>270</v>
      </c>
      <c r="AE88">
        <v>3.1478902351317069E-2</v>
      </c>
      <c r="AK88">
        <v>2031</v>
      </c>
      <c r="AL88" t="s">
        <v>241</v>
      </c>
      <c r="AM88">
        <v>0.29385</v>
      </c>
      <c r="AN88" t="s">
        <v>236</v>
      </c>
    </row>
    <row r="89" spans="9:40" x14ac:dyDescent="0.45">
      <c r="I89" t="s">
        <v>173</v>
      </c>
      <c r="J89" t="s">
        <v>255</v>
      </c>
      <c r="K89">
        <v>0</v>
      </c>
      <c r="L89" t="s">
        <v>161</v>
      </c>
      <c r="N89" t="s">
        <v>196</v>
      </c>
      <c r="O89" t="s">
        <v>255</v>
      </c>
      <c r="P89">
        <v>5.8718923386516193E-2</v>
      </c>
      <c r="Q89" t="s">
        <v>161</v>
      </c>
      <c r="S89" t="s">
        <v>218</v>
      </c>
      <c r="T89" t="s">
        <v>255</v>
      </c>
      <c r="U89">
        <v>4.7073654164308143E-2</v>
      </c>
      <c r="V89" t="s">
        <v>161</v>
      </c>
      <c r="AC89" t="s">
        <v>19</v>
      </c>
      <c r="AD89" t="s">
        <v>255</v>
      </c>
      <c r="AE89">
        <v>3.9746679684429465E-2</v>
      </c>
      <c r="AK89">
        <v>2031</v>
      </c>
      <c r="AL89" t="s">
        <v>264</v>
      </c>
      <c r="AM89">
        <v>0.3281</v>
      </c>
      <c r="AN89" t="s">
        <v>236</v>
      </c>
    </row>
    <row r="90" spans="9:40" x14ac:dyDescent="0.45">
      <c r="I90" t="s">
        <v>173</v>
      </c>
      <c r="J90" t="s">
        <v>256</v>
      </c>
      <c r="K90">
        <v>1.775158985982657E-4</v>
      </c>
      <c r="L90" t="s">
        <v>161</v>
      </c>
      <c r="N90" t="s">
        <v>196</v>
      </c>
      <c r="O90" t="s">
        <v>256</v>
      </c>
      <c r="P90">
        <v>7.4301505463244049E-3</v>
      </c>
      <c r="Q90" t="s">
        <v>161</v>
      </c>
      <c r="S90" t="s">
        <v>218</v>
      </c>
      <c r="T90" t="s">
        <v>256</v>
      </c>
      <c r="U90">
        <v>5.9611752741962473E-3</v>
      </c>
      <c r="V90" t="s">
        <v>161</v>
      </c>
      <c r="AC90" t="s">
        <v>19</v>
      </c>
      <c r="AD90" t="s">
        <v>256</v>
      </c>
      <c r="AE90">
        <v>5.06952733957721E-3</v>
      </c>
      <c r="AK90">
        <v>2031</v>
      </c>
      <c r="AL90" t="s">
        <v>265</v>
      </c>
      <c r="AM90">
        <v>0.3281</v>
      </c>
      <c r="AN90" t="s">
        <v>236</v>
      </c>
    </row>
    <row r="91" spans="9:40" x14ac:dyDescent="0.45">
      <c r="I91" t="s">
        <v>173</v>
      </c>
      <c r="J91" t="s">
        <v>257</v>
      </c>
      <c r="K91">
        <v>3.4447581428883704E-2</v>
      </c>
      <c r="L91" t="s">
        <v>161</v>
      </c>
      <c r="N91" t="s">
        <v>196</v>
      </c>
      <c r="O91" t="s">
        <v>257</v>
      </c>
      <c r="P91">
        <v>4.7268742139457795E-2</v>
      </c>
      <c r="Q91" t="s">
        <v>161</v>
      </c>
      <c r="S91" t="s">
        <v>218</v>
      </c>
      <c r="T91" t="s">
        <v>257</v>
      </c>
      <c r="U91">
        <v>3.9801898314754426E-2</v>
      </c>
      <c r="V91" t="s">
        <v>161</v>
      </c>
      <c r="AC91" t="s">
        <v>19</v>
      </c>
      <c r="AD91" t="s">
        <v>257</v>
      </c>
      <c r="AE91">
        <v>3.5489890579563574E-2</v>
      </c>
      <c r="AK91">
        <v>2032</v>
      </c>
      <c r="AL91" t="s">
        <v>149</v>
      </c>
      <c r="AM91">
        <v>0.37376666666666664</v>
      </c>
      <c r="AN91" t="s">
        <v>236</v>
      </c>
    </row>
    <row r="92" spans="9:40" x14ac:dyDescent="0.45">
      <c r="I92" t="s">
        <v>173</v>
      </c>
      <c r="J92" t="s">
        <v>258</v>
      </c>
      <c r="K92">
        <v>2.9461772610174905E-3</v>
      </c>
      <c r="L92" t="s">
        <v>161</v>
      </c>
      <c r="N92" t="s">
        <v>196</v>
      </c>
      <c r="O92" t="s">
        <v>258</v>
      </c>
      <c r="P92">
        <v>6.8143001268939178E-3</v>
      </c>
      <c r="Q92" t="s">
        <v>161</v>
      </c>
      <c r="S92" t="s">
        <v>218</v>
      </c>
      <c r="T92" t="s">
        <v>258</v>
      </c>
      <c r="U92">
        <v>5.7024697584287746E-3</v>
      </c>
      <c r="V92" t="s">
        <v>161</v>
      </c>
      <c r="AC92" t="s">
        <v>19</v>
      </c>
      <c r="AD92" t="s">
        <v>258</v>
      </c>
      <c r="AE92">
        <v>5.077127635428144E-3</v>
      </c>
      <c r="AK92">
        <v>2032</v>
      </c>
      <c r="AL92" t="s">
        <v>153</v>
      </c>
      <c r="AM92">
        <v>0.36985000000000001</v>
      </c>
      <c r="AN92" t="s">
        <v>236</v>
      </c>
    </row>
    <row r="93" spans="9:40" x14ac:dyDescent="0.45">
      <c r="I93" t="s">
        <v>173</v>
      </c>
      <c r="J93" t="s">
        <v>259</v>
      </c>
      <c r="K93">
        <v>2.0112526572433441E-4</v>
      </c>
      <c r="L93" t="s">
        <v>161</v>
      </c>
      <c r="N93" t="s">
        <v>196</v>
      </c>
      <c r="O93" t="s">
        <v>259</v>
      </c>
      <c r="P93">
        <v>7.0291652943967331E-3</v>
      </c>
      <c r="Q93" t="s">
        <v>161</v>
      </c>
      <c r="S93" t="s">
        <v>218</v>
      </c>
      <c r="T93" t="s">
        <v>259</v>
      </c>
      <c r="U93">
        <v>5.6927928560571378E-3</v>
      </c>
      <c r="V93" t="s">
        <v>161</v>
      </c>
      <c r="AC93" t="s">
        <v>19</v>
      </c>
      <c r="AD93" t="s">
        <v>259</v>
      </c>
      <c r="AE93">
        <v>5.0791235006344736E-3</v>
      </c>
      <c r="AK93">
        <v>2032</v>
      </c>
      <c r="AL93" t="s">
        <v>155</v>
      </c>
      <c r="AM93">
        <v>0.41910000000000003</v>
      </c>
      <c r="AN93" t="s">
        <v>236</v>
      </c>
    </row>
    <row r="94" spans="9:40" x14ac:dyDescent="0.45">
      <c r="I94" t="s">
        <v>173</v>
      </c>
      <c r="J94" t="s">
        <v>271</v>
      </c>
      <c r="K94">
        <v>0</v>
      </c>
      <c r="L94" t="s">
        <v>161</v>
      </c>
      <c r="N94" t="s">
        <v>196</v>
      </c>
      <c r="O94" t="s">
        <v>271</v>
      </c>
      <c r="P94">
        <v>4.2856911353545496E-2</v>
      </c>
      <c r="Q94" t="s">
        <v>161</v>
      </c>
      <c r="S94" t="s">
        <v>218</v>
      </c>
      <c r="T94" t="s">
        <v>271</v>
      </c>
      <c r="U94">
        <v>3.5151962210245316E-2</v>
      </c>
      <c r="V94" t="s">
        <v>161</v>
      </c>
      <c r="AC94" t="s">
        <v>19</v>
      </c>
      <c r="AD94" t="s">
        <v>271</v>
      </c>
      <c r="AE94">
        <v>3.0180145963330331E-2</v>
      </c>
      <c r="AK94">
        <v>2032</v>
      </c>
      <c r="AL94" t="s">
        <v>157</v>
      </c>
      <c r="AM94">
        <v>0.40939999999999999</v>
      </c>
      <c r="AN94" t="s">
        <v>236</v>
      </c>
    </row>
    <row r="95" spans="9:40" x14ac:dyDescent="0.45">
      <c r="I95" t="s">
        <v>173</v>
      </c>
      <c r="J95" t="s">
        <v>272</v>
      </c>
      <c r="K95">
        <v>0</v>
      </c>
      <c r="L95" t="s">
        <v>161</v>
      </c>
      <c r="N95" t="s">
        <v>196</v>
      </c>
      <c r="O95" t="s">
        <v>272</v>
      </c>
      <c r="P95">
        <v>2.2500657937683643E-2</v>
      </c>
      <c r="Q95" t="s">
        <v>161</v>
      </c>
      <c r="S95" t="s">
        <v>218</v>
      </c>
      <c r="T95" t="s">
        <v>272</v>
      </c>
      <c r="U95">
        <v>1.3375034993849202E-2</v>
      </c>
      <c r="V95" t="s">
        <v>161</v>
      </c>
      <c r="AC95" t="s">
        <v>19</v>
      </c>
      <c r="AD95" t="s">
        <v>272</v>
      </c>
      <c r="AE95">
        <v>9.0340464564262722E-3</v>
      </c>
      <c r="AK95">
        <v>2032</v>
      </c>
      <c r="AL95" t="s">
        <v>239</v>
      </c>
      <c r="AM95">
        <v>0.36769999999999997</v>
      </c>
      <c r="AN95" t="s">
        <v>236</v>
      </c>
    </row>
    <row r="96" spans="9:40" x14ac:dyDescent="0.45">
      <c r="I96" t="s">
        <v>173</v>
      </c>
      <c r="J96" t="s">
        <v>273</v>
      </c>
      <c r="K96">
        <v>0</v>
      </c>
      <c r="L96" t="s">
        <v>161</v>
      </c>
      <c r="N96" t="s">
        <v>196</v>
      </c>
      <c r="O96" t="s">
        <v>273</v>
      </c>
      <c r="P96">
        <v>2.8560320037011098E-3</v>
      </c>
      <c r="Q96" t="s">
        <v>161</v>
      </c>
      <c r="S96" t="s">
        <v>218</v>
      </c>
      <c r="T96" t="s">
        <v>273</v>
      </c>
      <c r="U96">
        <v>1.6217412250303471E-3</v>
      </c>
      <c r="V96" t="s">
        <v>161</v>
      </c>
      <c r="AC96" t="s">
        <v>19</v>
      </c>
      <c r="AD96" t="s">
        <v>273</v>
      </c>
      <c r="AE96">
        <v>1.1518885174877692E-3</v>
      </c>
      <c r="AK96">
        <v>2032</v>
      </c>
      <c r="AL96" t="s">
        <v>241</v>
      </c>
      <c r="AM96">
        <v>0.33655000000000002</v>
      </c>
      <c r="AN96" t="s">
        <v>236</v>
      </c>
    </row>
    <row r="97" spans="9:40" x14ac:dyDescent="0.45">
      <c r="I97" t="s">
        <v>173</v>
      </c>
      <c r="J97" t="s">
        <v>274</v>
      </c>
      <c r="K97">
        <v>7.3208393816695146E-3</v>
      </c>
      <c r="L97" t="s">
        <v>161</v>
      </c>
      <c r="N97" t="s">
        <v>196</v>
      </c>
      <c r="O97" t="s">
        <v>274</v>
      </c>
      <c r="P97">
        <v>1.6797569232642955E-2</v>
      </c>
      <c r="Q97" t="s">
        <v>161</v>
      </c>
      <c r="S97" t="s">
        <v>218</v>
      </c>
      <c r="T97" t="s">
        <v>274</v>
      </c>
      <c r="U97">
        <v>1.2002386019286371E-2</v>
      </c>
      <c r="V97" t="s">
        <v>161</v>
      </c>
      <c r="AC97" t="s">
        <v>19</v>
      </c>
      <c r="AD97" t="s">
        <v>274</v>
      </c>
      <c r="AE97">
        <v>8.0580205365958692E-3</v>
      </c>
      <c r="AK97">
        <v>2032</v>
      </c>
      <c r="AL97" t="s">
        <v>264</v>
      </c>
      <c r="AM97">
        <v>0.33439999999999998</v>
      </c>
      <c r="AN97" t="s">
        <v>236</v>
      </c>
    </row>
    <row r="98" spans="9:40" x14ac:dyDescent="0.45">
      <c r="I98" t="s">
        <v>173</v>
      </c>
      <c r="J98" t="s">
        <v>275</v>
      </c>
      <c r="K98">
        <v>6.3097734235854441E-4</v>
      </c>
      <c r="L98" t="s">
        <v>161</v>
      </c>
      <c r="N98" t="s">
        <v>196</v>
      </c>
      <c r="O98" t="s">
        <v>275</v>
      </c>
      <c r="P98">
        <v>2.2708342813327811E-3</v>
      </c>
      <c r="Q98" t="s">
        <v>161</v>
      </c>
      <c r="S98" t="s">
        <v>218</v>
      </c>
      <c r="T98" t="s">
        <v>275</v>
      </c>
      <c r="U98">
        <v>1.6850605606279451E-3</v>
      </c>
      <c r="V98" t="s">
        <v>161</v>
      </c>
      <c r="AC98" t="s">
        <v>19</v>
      </c>
      <c r="AD98" t="s">
        <v>275</v>
      </c>
      <c r="AE98">
        <v>1.1522625212190569E-3</v>
      </c>
      <c r="AK98">
        <v>2032</v>
      </c>
      <c r="AL98" t="s">
        <v>265</v>
      </c>
      <c r="AM98">
        <v>0.33439999999999998</v>
      </c>
      <c r="AN98" t="s">
        <v>236</v>
      </c>
    </row>
    <row r="99" spans="9:40" x14ac:dyDescent="0.45">
      <c r="I99" t="s">
        <v>173</v>
      </c>
      <c r="J99" t="s">
        <v>276</v>
      </c>
      <c r="K99">
        <v>0</v>
      </c>
      <c r="L99" t="s">
        <v>161</v>
      </c>
      <c r="N99" t="s">
        <v>196</v>
      </c>
      <c r="O99" t="s">
        <v>276</v>
      </c>
      <c r="P99">
        <v>2.3186100612448287E-3</v>
      </c>
      <c r="Q99" t="s">
        <v>161</v>
      </c>
      <c r="S99" t="s">
        <v>218</v>
      </c>
      <c r="T99" t="s">
        <v>276</v>
      </c>
      <c r="U99">
        <v>1.681066102334964E-3</v>
      </c>
      <c r="V99" t="s">
        <v>161</v>
      </c>
      <c r="AC99" t="s">
        <v>19</v>
      </c>
      <c r="AD99" t="s">
        <v>276</v>
      </c>
      <c r="AE99">
        <v>1.152709975618672E-3</v>
      </c>
      <c r="AK99">
        <v>2033</v>
      </c>
      <c r="AL99" t="s">
        <v>149</v>
      </c>
      <c r="AM99">
        <v>0.36050000000000004</v>
      </c>
      <c r="AN99" t="s">
        <v>236</v>
      </c>
    </row>
    <row r="100" spans="9:40" x14ac:dyDescent="0.45">
      <c r="I100" t="s">
        <v>173</v>
      </c>
      <c r="J100" t="s">
        <v>277</v>
      </c>
      <c r="K100">
        <v>0</v>
      </c>
      <c r="L100" t="s">
        <v>161</v>
      </c>
      <c r="N100" t="s">
        <v>196</v>
      </c>
      <c r="O100" t="s">
        <v>277</v>
      </c>
      <c r="P100">
        <v>1.4785725053399167E-2</v>
      </c>
      <c r="Q100" t="s">
        <v>161</v>
      </c>
      <c r="S100" t="s">
        <v>218</v>
      </c>
      <c r="T100" t="s">
        <v>277</v>
      </c>
      <c r="U100">
        <v>1.0033979021618872E-2</v>
      </c>
      <c r="V100" t="s">
        <v>161</v>
      </c>
      <c r="AC100" t="s">
        <v>19</v>
      </c>
      <c r="AD100" t="s">
        <v>277</v>
      </c>
      <c r="AE100">
        <v>6.8488404978125474E-3</v>
      </c>
      <c r="AK100">
        <v>2033</v>
      </c>
      <c r="AL100" t="s">
        <v>153</v>
      </c>
      <c r="AM100">
        <v>0.38885000000000003</v>
      </c>
      <c r="AN100" t="s">
        <v>236</v>
      </c>
    </row>
    <row r="101" spans="9:40" x14ac:dyDescent="0.45">
      <c r="I101" t="s">
        <v>173</v>
      </c>
      <c r="J101" t="s">
        <v>278</v>
      </c>
      <c r="K101">
        <v>0</v>
      </c>
      <c r="L101" t="s">
        <v>161</v>
      </c>
      <c r="N101" t="s">
        <v>196</v>
      </c>
      <c r="O101" t="s">
        <v>278</v>
      </c>
      <c r="P101">
        <v>8.5488432374982454E-3</v>
      </c>
      <c r="Q101" t="s">
        <v>161</v>
      </c>
      <c r="S101" t="s">
        <v>218</v>
      </c>
      <c r="T101" t="s">
        <v>278</v>
      </c>
      <c r="U101">
        <v>8.163583208492432E-3</v>
      </c>
      <c r="V101" t="s">
        <v>161</v>
      </c>
      <c r="AC101" t="s">
        <v>19</v>
      </c>
      <c r="AD101" t="s">
        <v>278</v>
      </c>
      <c r="AE101">
        <v>4.5101396790917583E-3</v>
      </c>
      <c r="AK101">
        <v>2033</v>
      </c>
      <c r="AL101" t="s">
        <v>155</v>
      </c>
      <c r="AM101">
        <v>0.44764999999999999</v>
      </c>
      <c r="AN101" t="s">
        <v>236</v>
      </c>
    </row>
    <row r="102" spans="9:40" x14ac:dyDescent="0.45">
      <c r="I102" t="s">
        <v>173</v>
      </c>
      <c r="J102" t="s">
        <v>279</v>
      </c>
      <c r="K102">
        <v>0</v>
      </c>
      <c r="L102" t="s">
        <v>161</v>
      </c>
      <c r="N102" t="s">
        <v>196</v>
      </c>
      <c r="O102" t="s">
        <v>279</v>
      </c>
      <c r="P102">
        <v>1.0859718630282515E-3</v>
      </c>
      <c r="Q102" t="s">
        <v>161</v>
      </c>
      <c r="S102" t="s">
        <v>218</v>
      </c>
      <c r="T102" t="s">
        <v>279</v>
      </c>
      <c r="U102">
        <v>1.040849650247906E-3</v>
      </c>
      <c r="V102" t="s">
        <v>161</v>
      </c>
      <c r="AC102" t="s">
        <v>19</v>
      </c>
      <c r="AD102" t="s">
        <v>279</v>
      </c>
      <c r="AE102">
        <v>5.7510190654978159E-4</v>
      </c>
      <c r="AK102">
        <v>2033</v>
      </c>
      <c r="AL102" t="s">
        <v>157</v>
      </c>
      <c r="AM102">
        <v>0.4123666666666666</v>
      </c>
      <c r="AN102" t="s">
        <v>236</v>
      </c>
    </row>
    <row r="103" spans="9:40" x14ac:dyDescent="0.45">
      <c r="I103" t="s">
        <v>173</v>
      </c>
      <c r="J103" t="s">
        <v>280</v>
      </c>
      <c r="K103">
        <v>4.1160020598594504E-3</v>
      </c>
      <c r="L103" t="s">
        <v>161</v>
      </c>
      <c r="N103" t="s">
        <v>196</v>
      </c>
      <c r="O103" t="s">
        <v>280</v>
      </c>
      <c r="P103">
        <v>7.1162787223998771E-3</v>
      </c>
      <c r="Q103" t="s">
        <v>161</v>
      </c>
      <c r="S103" t="s">
        <v>218</v>
      </c>
      <c r="T103" t="s">
        <v>280</v>
      </c>
      <c r="U103">
        <v>7.2838765000247272E-3</v>
      </c>
      <c r="V103" t="s">
        <v>161</v>
      </c>
      <c r="AC103" t="s">
        <v>19</v>
      </c>
      <c r="AD103" t="s">
        <v>280</v>
      </c>
      <c r="AE103">
        <v>4.0250267347869935E-3</v>
      </c>
      <c r="AK103">
        <v>2033</v>
      </c>
      <c r="AL103" t="s">
        <v>239</v>
      </c>
      <c r="AM103">
        <v>0.35426666666666667</v>
      </c>
      <c r="AN103" t="s">
        <v>236</v>
      </c>
    </row>
    <row r="104" spans="9:40" x14ac:dyDescent="0.45">
      <c r="I104" t="s">
        <v>173</v>
      </c>
      <c r="J104" t="s">
        <v>281</v>
      </c>
      <c r="K104">
        <v>5.4062999652819573E-4</v>
      </c>
      <c r="L104" t="s">
        <v>161</v>
      </c>
      <c r="N104" t="s">
        <v>196</v>
      </c>
      <c r="O104" t="s">
        <v>281</v>
      </c>
      <c r="P104">
        <v>9.3573142513331286E-4</v>
      </c>
      <c r="Q104" t="s">
        <v>161</v>
      </c>
      <c r="S104" t="s">
        <v>218</v>
      </c>
      <c r="T104" t="s">
        <v>281</v>
      </c>
      <c r="U104">
        <v>1.0195210431846223E-3</v>
      </c>
      <c r="V104" t="s">
        <v>161</v>
      </c>
      <c r="AC104" t="s">
        <v>19</v>
      </c>
      <c r="AD104" t="s">
        <v>281</v>
      </c>
      <c r="AE104">
        <v>5.7624384746546612E-4</v>
      </c>
      <c r="AK104">
        <v>2033</v>
      </c>
      <c r="AL104" t="s">
        <v>241</v>
      </c>
      <c r="AM104">
        <v>0.34389999999999998</v>
      </c>
      <c r="AN104" t="s">
        <v>236</v>
      </c>
    </row>
    <row r="105" spans="9:40" x14ac:dyDescent="0.45">
      <c r="I105" t="s">
        <v>173</v>
      </c>
      <c r="J105" t="s">
        <v>282</v>
      </c>
      <c r="K105">
        <v>0</v>
      </c>
      <c r="L105" t="s">
        <v>161</v>
      </c>
      <c r="N105" t="s">
        <v>196</v>
      </c>
      <c r="O105" t="s">
        <v>282</v>
      </c>
      <c r="P105">
        <v>1.0110740731564521E-3</v>
      </c>
      <c r="Q105" t="s">
        <v>161</v>
      </c>
      <c r="S105" t="s">
        <v>218</v>
      </c>
      <c r="T105" t="s">
        <v>282</v>
      </c>
      <c r="U105">
        <v>1.0247742190221693E-3</v>
      </c>
      <c r="V105" t="s">
        <v>161</v>
      </c>
      <c r="AC105" t="s">
        <v>19</v>
      </c>
      <c r="AD105" t="s">
        <v>282</v>
      </c>
      <c r="AE105">
        <v>5.7643912659460848E-4</v>
      </c>
      <c r="AK105">
        <v>2033</v>
      </c>
      <c r="AL105" t="s">
        <v>264</v>
      </c>
      <c r="AM105">
        <v>0.33360000000000001</v>
      </c>
      <c r="AN105" t="s">
        <v>236</v>
      </c>
    </row>
    <row r="106" spans="9:40" x14ac:dyDescent="0.45">
      <c r="I106" t="s">
        <v>173</v>
      </c>
      <c r="J106" t="s">
        <v>283</v>
      </c>
      <c r="K106">
        <v>0</v>
      </c>
      <c r="L106" t="s">
        <v>161</v>
      </c>
      <c r="N106" t="s">
        <v>196</v>
      </c>
      <c r="O106" t="s">
        <v>283</v>
      </c>
      <c r="P106">
        <v>6.5124813002402056E-3</v>
      </c>
      <c r="Q106" t="s">
        <v>161</v>
      </c>
      <c r="S106" t="s">
        <v>218</v>
      </c>
      <c r="T106" t="s">
        <v>283</v>
      </c>
      <c r="U106">
        <v>6.0949953729322257E-3</v>
      </c>
      <c r="V106" t="s">
        <v>161</v>
      </c>
      <c r="AC106" t="s">
        <v>19</v>
      </c>
      <c r="AD106" t="s">
        <v>283</v>
      </c>
      <c r="AE106">
        <v>3.4256607133661267E-3</v>
      </c>
      <c r="AK106">
        <v>2033</v>
      </c>
      <c r="AL106" t="s">
        <v>265</v>
      </c>
      <c r="AM106">
        <v>0.33360000000000001</v>
      </c>
      <c r="AN106" t="s">
        <v>236</v>
      </c>
    </row>
    <row r="107" spans="9:40" x14ac:dyDescent="0.45">
      <c r="I107" t="s">
        <v>174</v>
      </c>
      <c r="J107" t="s">
        <v>160</v>
      </c>
      <c r="K107">
        <v>3.5303715671331845E-6</v>
      </c>
      <c r="L107" t="s">
        <v>161</v>
      </c>
      <c r="N107" t="s">
        <v>197</v>
      </c>
      <c r="O107" t="s">
        <v>160</v>
      </c>
      <c r="P107">
        <v>7.1474236709906921E-2</v>
      </c>
      <c r="Q107" t="s">
        <v>161</v>
      </c>
      <c r="S107" t="s">
        <v>219</v>
      </c>
      <c r="T107" t="s">
        <v>160</v>
      </c>
      <c r="U107">
        <v>7.0701615188113368E-2</v>
      </c>
      <c r="V107" t="s">
        <v>161</v>
      </c>
      <c r="AK107">
        <v>2034</v>
      </c>
      <c r="AL107" t="s">
        <v>149</v>
      </c>
      <c r="AM107">
        <v>0.33800000000000002</v>
      </c>
      <c r="AN107" t="s">
        <v>236</v>
      </c>
    </row>
    <row r="108" spans="9:40" x14ac:dyDescent="0.45">
      <c r="I108" t="s">
        <v>174</v>
      </c>
      <c r="J108" t="s">
        <v>162</v>
      </c>
      <c r="K108">
        <v>2.7972892507552387E-3</v>
      </c>
      <c r="L108" t="s">
        <v>161</v>
      </c>
      <c r="N108" t="s">
        <v>197</v>
      </c>
      <c r="O108" t="s">
        <v>162</v>
      </c>
      <c r="P108">
        <v>9.0504307391052925E-3</v>
      </c>
      <c r="Q108" t="s">
        <v>161</v>
      </c>
      <c r="S108" t="s">
        <v>219</v>
      </c>
      <c r="T108" t="s">
        <v>162</v>
      </c>
      <c r="U108">
        <v>8.7419670845380743E-3</v>
      </c>
      <c r="V108" t="s">
        <v>161</v>
      </c>
      <c r="AK108">
        <v>2034</v>
      </c>
      <c r="AL108" t="s">
        <v>153</v>
      </c>
      <c r="AM108">
        <v>0.35309999999999997</v>
      </c>
      <c r="AN108" t="s">
        <v>236</v>
      </c>
    </row>
    <row r="109" spans="9:40" x14ac:dyDescent="0.45">
      <c r="I109" t="s">
        <v>174</v>
      </c>
      <c r="J109" t="s">
        <v>163</v>
      </c>
      <c r="K109">
        <v>9.175583808146387E-2</v>
      </c>
      <c r="L109" t="s">
        <v>161</v>
      </c>
      <c r="N109" t="s">
        <v>197</v>
      </c>
      <c r="O109" t="s">
        <v>163</v>
      </c>
      <c r="P109">
        <v>6.0355300378289498E-2</v>
      </c>
      <c r="Q109" t="s">
        <v>161</v>
      </c>
      <c r="S109" t="s">
        <v>219</v>
      </c>
      <c r="T109" t="s">
        <v>163</v>
      </c>
      <c r="U109">
        <v>6.0664529313027064E-2</v>
      </c>
      <c r="V109" t="s">
        <v>161</v>
      </c>
      <c r="AK109">
        <v>2034</v>
      </c>
      <c r="AL109" t="s">
        <v>155</v>
      </c>
      <c r="AM109">
        <v>0.45305000000000001</v>
      </c>
      <c r="AN109" t="s">
        <v>236</v>
      </c>
    </row>
    <row r="110" spans="9:40" x14ac:dyDescent="0.45">
      <c r="I110" t="s">
        <v>174</v>
      </c>
      <c r="J110" t="s">
        <v>242</v>
      </c>
      <c r="K110">
        <v>1.071118260316194E-2</v>
      </c>
      <c r="L110" t="s">
        <v>161</v>
      </c>
      <c r="N110" t="s">
        <v>197</v>
      </c>
      <c r="O110" t="s">
        <v>242</v>
      </c>
      <c r="P110">
        <v>8.5761748513758784E-3</v>
      </c>
      <c r="Q110" t="s">
        <v>161</v>
      </c>
      <c r="S110" t="s">
        <v>219</v>
      </c>
      <c r="T110" t="s">
        <v>242</v>
      </c>
      <c r="U110">
        <v>8.7902758999753132E-3</v>
      </c>
      <c r="V110" t="s">
        <v>161</v>
      </c>
      <c r="AK110">
        <v>2034</v>
      </c>
      <c r="AL110" t="s">
        <v>157</v>
      </c>
      <c r="AM110">
        <v>0.41433333333333328</v>
      </c>
      <c r="AN110" t="s">
        <v>236</v>
      </c>
    </row>
    <row r="111" spans="9:40" x14ac:dyDescent="0.45">
      <c r="I111" t="s">
        <v>174</v>
      </c>
      <c r="J111" t="s">
        <v>243</v>
      </c>
      <c r="K111">
        <v>6.4790798640529564E-3</v>
      </c>
      <c r="L111" t="s">
        <v>161</v>
      </c>
      <c r="N111" t="s">
        <v>197</v>
      </c>
      <c r="O111" t="s">
        <v>243</v>
      </c>
      <c r="P111">
        <v>8.8055569553173278E-3</v>
      </c>
      <c r="Q111" t="s">
        <v>161</v>
      </c>
      <c r="S111" t="s">
        <v>219</v>
      </c>
      <c r="T111" t="s">
        <v>243</v>
      </c>
      <c r="U111">
        <v>8.9098048364731151E-3</v>
      </c>
      <c r="V111" t="s">
        <v>161</v>
      </c>
      <c r="AK111">
        <v>2034</v>
      </c>
      <c r="AL111" t="s">
        <v>239</v>
      </c>
      <c r="AM111">
        <v>0.36840000000000001</v>
      </c>
      <c r="AN111" t="s">
        <v>236</v>
      </c>
    </row>
    <row r="112" spans="9:40" x14ac:dyDescent="0.45">
      <c r="I112" t="s">
        <v>174</v>
      </c>
      <c r="J112" t="s">
        <v>266</v>
      </c>
      <c r="K112">
        <v>2.1442457859561716E-3</v>
      </c>
      <c r="L112" t="s">
        <v>161</v>
      </c>
      <c r="N112" t="s">
        <v>197</v>
      </c>
      <c r="O112" t="s">
        <v>266</v>
      </c>
      <c r="P112">
        <v>5.507063359175237E-2</v>
      </c>
      <c r="Q112" t="s">
        <v>161</v>
      </c>
      <c r="S112" t="s">
        <v>219</v>
      </c>
      <c r="T112" t="s">
        <v>266</v>
      </c>
      <c r="U112">
        <v>5.4022569143597592E-2</v>
      </c>
      <c r="V112" t="s">
        <v>161</v>
      </c>
      <c r="AK112">
        <v>2034</v>
      </c>
      <c r="AL112" t="s">
        <v>241</v>
      </c>
      <c r="AM112">
        <v>0.34555000000000002</v>
      </c>
      <c r="AN112" t="s">
        <v>236</v>
      </c>
    </row>
    <row r="113" spans="9:40" x14ac:dyDescent="0.45">
      <c r="I113" t="s">
        <v>174</v>
      </c>
      <c r="J113" t="s">
        <v>164</v>
      </c>
      <c r="K113">
        <v>4.7205961610517905E-3</v>
      </c>
      <c r="L113" t="s">
        <v>161</v>
      </c>
      <c r="N113" t="s">
        <v>197</v>
      </c>
      <c r="O113" t="s">
        <v>164</v>
      </c>
      <c r="P113">
        <v>3.5552337392850387E-2</v>
      </c>
      <c r="Q113" t="s">
        <v>161</v>
      </c>
      <c r="S113" t="s">
        <v>219</v>
      </c>
      <c r="T113" t="s">
        <v>164</v>
      </c>
      <c r="U113">
        <v>3.7688927247188662E-2</v>
      </c>
      <c r="V113" t="s">
        <v>161</v>
      </c>
      <c r="AK113">
        <v>2034</v>
      </c>
      <c r="AL113" t="s">
        <v>264</v>
      </c>
      <c r="AM113">
        <v>0.34560000000000002</v>
      </c>
      <c r="AN113" t="s">
        <v>236</v>
      </c>
    </row>
    <row r="114" spans="9:40" x14ac:dyDescent="0.45">
      <c r="I114" t="s">
        <v>174</v>
      </c>
      <c r="J114" t="s">
        <v>165</v>
      </c>
      <c r="K114">
        <v>7.154745910551495E-3</v>
      </c>
      <c r="L114" t="s">
        <v>161</v>
      </c>
      <c r="N114" t="s">
        <v>197</v>
      </c>
      <c r="O114" t="s">
        <v>165</v>
      </c>
      <c r="P114">
        <v>3.8636018022584744E-3</v>
      </c>
      <c r="Q114" t="s">
        <v>161</v>
      </c>
      <c r="S114" t="s">
        <v>219</v>
      </c>
      <c r="T114" t="s">
        <v>165</v>
      </c>
      <c r="U114">
        <v>4.6097058232387553E-3</v>
      </c>
      <c r="V114" t="s">
        <v>161</v>
      </c>
      <c r="AK114">
        <v>2034</v>
      </c>
      <c r="AL114" t="s">
        <v>265</v>
      </c>
      <c r="AM114">
        <v>0.34560000000000002</v>
      </c>
      <c r="AN114" t="s">
        <v>236</v>
      </c>
    </row>
    <row r="115" spans="9:40" x14ac:dyDescent="0.45">
      <c r="I115" t="s">
        <v>174</v>
      </c>
      <c r="J115" t="s">
        <v>166</v>
      </c>
      <c r="K115">
        <v>8.765764423840712E-2</v>
      </c>
      <c r="L115" t="s">
        <v>161</v>
      </c>
      <c r="N115" t="s">
        <v>197</v>
      </c>
      <c r="O115" t="s">
        <v>166</v>
      </c>
      <c r="P115">
        <v>2.8512210021835925E-2</v>
      </c>
      <c r="Q115" t="s">
        <v>161</v>
      </c>
      <c r="S115" t="s">
        <v>219</v>
      </c>
      <c r="T115" t="s">
        <v>166</v>
      </c>
      <c r="U115">
        <v>3.1557348714863202E-2</v>
      </c>
      <c r="V115" t="s">
        <v>161</v>
      </c>
      <c r="AK115">
        <v>2035</v>
      </c>
      <c r="AL115" t="s">
        <v>149</v>
      </c>
      <c r="AM115">
        <v>0.34759999999999996</v>
      </c>
      <c r="AN115" t="s">
        <v>236</v>
      </c>
    </row>
    <row r="116" spans="9:40" x14ac:dyDescent="0.45">
      <c r="I116" t="s">
        <v>174</v>
      </c>
      <c r="J116" t="s">
        <v>244</v>
      </c>
      <c r="K116">
        <v>1.0126132970869013E-2</v>
      </c>
      <c r="L116" t="s">
        <v>161</v>
      </c>
      <c r="N116" t="s">
        <v>197</v>
      </c>
      <c r="O116" t="s">
        <v>244</v>
      </c>
      <c r="P116">
        <v>4.3257981546766695E-3</v>
      </c>
      <c r="Q116" t="s">
        <v>161</v>
      </c>
      <c r="S116" t="s">
        <v>219</v>
      </c>
      <c r="T116" t="s">
        <v>244</v>
      </c>
      <c r="U116">
        <v>4.7389779787998043E-3</v>
      </c>
      <c r="V116" t="s">
        <v>161</v>
      </c>
      <c r="AK116">
        <v>2035</v>
      </c>
      <c r="AL116" t="s">
        <v>153</v>
      </c>
      <c r="AM116">
        <v>0.37040000000000001</v>
      </c>
      <c r="AN116" t="s">
        <v>236</v>
      </c>
    </row>
    <row r="117" spans="9:40" x14ac:dyDescent="0.45">
      <c r="I117" t="s">
        <v>174</v>
      </c>
      <c r="J117" t="s">
        <v>245</v>
      </c>
      <c r="K117">
        <v>7.7981387616125053E-3</v>
      </c>
      <c r="L117" t="s">
        <v>161</v>
      </c>
      <c r="N117" t="s">
        <v>197</v>
      </c>
      <c r="O117" t="s">
        <v>245</v>
      </c>
      <c r="P117">
        <v>3.9642478353729997E-3</v>
      </c>
      <c r="Q117" t="s">
        <v>161</v>
      </c>
      <c r="S117" t="s">
        <v>219</v>
      </c>
      <c r="T117" t="s">
        <v>245</v>
      </c>
      <c r="U117">
        <v>4.8342054770976021E-3</v>
      </c>
      <c r="V117" t="s">
        <v>161</v>
      </c>
      <c r="AK117">
        <v>2035</v>
      </c>
      <c r="AL117" t="s">
        <v>155</v>
      </c>
      <c r="AM117">
        <v>0.44017499999999998</v>
      </c>
      <c r="AN117" t="s">
        <v>236</v>
      </c>
    </row>
    <row r="118" spans="9:40" x14ac:dyDescent="0.45">
      <c r="I118" t="s">
        <v>174</v>
      </c>
      <c r="J118" t="s">
        <v>267</v>
      </c>
      <c r="K118">
        <v>6.8290530242745857E-3</v>
      </c>
      <c r="L118" t="s">
        <v>161</v>
      </c>
      <c r="N118" t="s">
        <v>197</v>
      </c>
      <c r="O118" t="s">
        <v>267</v>
      </c>
      <c r="P118">
        <v>2.9478547217404866E-2</v>
      </c>
      <c r="Q118" t="s">
        <v>161</v>
      </c>
      <c r="S118" t="s">
        <v>219</v>
      </c>
      <c r="T118" t="s">
        <v>267</v>
      </c>
      <c r="U118">
        <v>2.9996677081189482E-2</v>
      </c>
      <c r="V118" t="s">
        <v>161</v>
      </c>
      <c r="AK118">
        <v>2035</v>
      </c>
      <c r="AL118" t="s">
        <v>157</v>
      </c>
      <c r="AM118">
        <v>0.40053333333333335</v>
      </c>
      <c r="AN118" t="s">
        <v>236</v>
      </c>
    </row>
    <row r="119" spans="9:40" x14ac:dyDescent="0.45">
      <c r="I119" t="s">
        <v>174</v>
      </c>
      <c r="J119" t="s">
        <v>167</v>
      </c>
      <c r="K119">
        <v>3.4570730596020921E-2</v>
      </c>
      <c r="L119" t="s">
        <v>161</v>
      </c>
      <c r="N119" t="s">
        <v>197</v>
      </c>
      <c r="O119" t="s">
        <v>167</v>
      </c>
      <c r="P119">
        <v>6.3963292931517451E-2</v>
      </c>
      <c r="Q119" t="s">
        <v>161</v>
      </c>
      <c r="S119" t="s">
        <v>219</v>
      </c>
      <c r="T119" t="s">
        <v>167</v>
      </c>
      <c r="U119">
        <v>6.8595825490868637E-2</v>
      </c>
      <c r="V119" t="s">
        <v>161</v>
      </c>
      <c r="AK119">
        <v>2035</v>
      </c>
      <c r="AL119" t="s">
        <v>239</v>
      </c>
      <c r="AM119">
        <v>0.33176666666666665</v>
      </c>
      <c r="AN119" t="s">
        <v>236</v>
      </c>
    </row>
    <row r="120" spans="9:40" x14ac:dyDescent="0.45">
      <c r="I120" t="s">
        <v>174</v>
      </c>
      <c r="J120" t="s">
        <v>168</v>
      </c>
      <c r="K120">
        <v>2.8305371823816806E-2</v>
      </c>
      <c r="L120" t="s">
        <v>161</v>
      </c>
      <c r="N120" t="s">
        <v>197</v>
      </c>
      <c r="O120" t="s">
        <v>168</v>
      </c>
      <c r="P120">
        <v>6.5100307688920134E-3</v>
      </c>
      <c r="Q120" t="s">
        <v>161</v>
      </c>
      <c r="S120" t="s">
        <v>219</v>
      </c>
      <c r="T120" t="s">
        <v>168</v>
      </c>
      <c r="U120">
        <v>8.3914453006242867E-3</v>
      </c>
      <c r="V120" t="s">
        <v>161</v>
      </c>
      <c r="AK120">
        <v>2035</v>
      </c>
      <c r="AL120" t="s">
        <v>241</v>
      </c>
      <c r="AM120">
        <v>0.3614</v>
      </c>
      <c r="AN120" t="s">
        <v>236</v>
      </c>
    </row>
    <row r="121" spans="9:40" x14ac:dyDescent="0.45">
      <c r="I121" t="s">
        <v>174</v>
      </c>
      <c r="J121" t="s">
        <v>169</v>
      </c>
      <c r="K121">
        <v>0.25735680416607948</v>
      </c>
      <c r="L121" t="s">
        <v>161</v>
      </c>
      <c r="N121" t="s">
        <v>197</v>
      </c>
      <c r="O121" t="s">
        <v>169</v>
      </c>
      <c r="P121">
        <v>4.9481607746145614E-2</v>
      </c>
      <c r="Q121" t="s">
        <v>161</v>
      </c>
      <c r="S121" t="s">
        <v>219</v>
      </c>
      <c r="T121" t="s">
        <v>169</v>
      </c>
      <c r="U121">
        <v>5.7303840428842158E-2</v>
      </c>
      <c r="V121" t="s">
        <v>161</v>
      </c>
      <c r="AK121">
        <v>2035</v>
      </c>
      <c r="AL121" t="s">
        <v>264</v>
      </c>
      <c r="AM121">
        <v>0.37880000000000003</v>
      </c>
      <c r="AN121" t="s">
        <v>236</v>
      </c>
    </row>
    <row r="122" spans="9:40" x14ac:dyDescent="0.45">
      <c r="I122" t="s">
        <v>174</v>
      </c>
      <c r="J122" t="s">
        <v>246</v>
      </c>
      <c r="K122">
        <v>3.0924894970995872E-2</v>
      </c>
      <c r="L122" t="s">
        <v>161</v>
      </c>
      <c r="N122" t="s">
        <v>197</v>
      </c>
      <c r="O122" t="s">
        <v>246</v>
      </c>
      <c r="P122">
        <v>7.8564808536395053E-3</v>
      </c>
      <c r="Q122" t="s">
        <v>161</v>
      </c>
      <c r="S122" t="s">
        <v>219</v>
      </c>
      <c r="T122" t="s">
        <v>246</v>
      </c>
      <c r="U122">
        <v>8.8386139054889273E-3</v>
      </c>
      <c r="V122" t="s">
        <v>161</v>
      </c>
      <c r="AK122">
        <v>2035</v>
      </c>
      <c r="AL122" t="s">
        <v>265</v>
      </c>
      <c r="AM122">
        <v>0.37880000000000003</v>
      </c>
      <c r="AN122" t="s">
        <v>236</v>
      </c>
    </row>
    <row r="123" spans="9:40" x14ac:dyDescent="0.45">
      <c r="I123" t="s">
        <v>174</v>
      </c>
      <c r="J123" t="s">
        <v>247</v>
      </c>
      <c r="K123">
        <v>2.583335053860809E-2</v>
      </c>
      <c r="L123" t="s">
        <v>161</v>
      </c>
      <c r="N123" t="s">
        <v>197</v>
      </c>
      <c r="O123" t="s">
        <v>247</v>
      </c>
      <c r="P123">
        <v>7.3756674473261126E-3</v>
      </c>
      <c r="Q123" t="s">
        <v>161</v>
      </c>
      <c r="S123" t="s">
        <v>219</v>
      </c>
      <c r="T123" t="s">
        <v>247</v>
      </c>
      <c r="U123">
        <v>9.0220067989506027E-3</v>
      </c>
      <c r="V123" t="s">
        <v>161</v>
      </c>
      <c r="AK123">
        <v>2036</v>
      </c>
      <c r="AL123" t="s">
        <v>149</v>
      </c>
      <c r="AM123">
        <v>0.37133333333333335</v>
      </c>
      <c r="AN123" t="s">
        <v>236</v>
      </c>
    </row>
    <row r="124" spans="9:40" x14ac:dyDescent="0.45">
      <c r="I124" t="s">
        <v>174</v>
      </c>
      <c r="J124" t="s">
        <v>268</v>
      </c>
      <c r="K124">
        <v>3.568301831095453E-2</v>
      </c>
      <c r="L124" t="s">
        <v>161</v>
      </c>
      <c r="N124" t="s">
        <v>197</v>
      </c>
      <c r="O124" t="s">
        <v>268</v>
      </c>
      <c r="P124">
        <v>4.9203167099664991E-2</v>
      </c>
      <c r="Q124" t="s">
        <v>161</v>
      </c>
      <c r="S124" t="s">
        <v>219</v>
      </c>
      <c r="T124" t="s">
        <v>268</v>
      </c>
      <c r="U124">
        <v>5.2690337583286624E-2</v>
      </c>
      <c r="V124" t="s">
        <v>161</v>
      </c>
      <c r="AK124">
        <v>2036</v>
      </c>
      <c r="AL124" t="s">
        <v>153</v>
      </c>
      <c r="AM124">
        <v>0.38034999999999997</v>
      </c>
      <c r="AN124" t="s">
        <v>236</v>
      </c>
    </row>
    <row r="125" spans="9:40" x14ac:dyDescent="0.45">
      <c r="I125" t="s">
        <v>174</v>
      </c>
      <c r="J125" t="s">
        <v>170</v>
      </c>
      <c r="K125">
        <v>1.1460519032518685E-2</v>
      </c>
      <c r="L125" t="s">
        <v>161</v>
      </c>
      <c r="N125" t="s">
        <v>197</v>
      </c>
      <c r="O125" t="s">
        <v>170</v>
      </c>
      <c r="P125">
        <v>3.7968040442564757E-2</v>
      </c>
      <c r="Q125" t="s">
        <v>161</v>
      </c>
      <c r="S125" t="s">
        <v>219</v>
      </c>
      <c r="T125" t="s">
        <v>170</v>
      </c>
      <c r="U125">
        <v>3.7016256715878562E-2</v>
      </c>
      <c r="V125" t="s">
        <v>161</v>
      </c>
      <c r="AK125">
        <v>2036</v>
      </c>
      <c r="AL125" t="s">
        <v>155</v>
      </c>
      <c r="AM125">
        <v>0.42109999999999992</v>
      </c>
      <c r="AN125" t="s">
        <v>236</v>
      </c>
    </row>
    <row r="126" spans="9:40" x14ac:dyDescent="0.45">
      <c r="I126" t="s">
        <v>174</v>
      </c>
      <c r="J126" t="s">
        <v>171</v>
      </c>
      <c r="K126">
        <v>1.2384035974887691E-2</v>
      </c>
      <c r="L126" t="s">
        <v>161</v>
      </c>
      <c r="N126" t="s">
        <v>197</v>
      </c>
      <c r="O126" t="s">
        <v>171</v>
      </c>
      <c r="P126">
        <v>3.8584981546685537E-3</v>
      </c>
      <c r="Q126" t="s">
        <v>161</v>
      </c>
      <c r="S126" t="s">
        <v>219</v>
      </c>
      <c r="T126" t="s">
        <v>171</v>
      </c>
      <c r="U126">
        <v>4.9259358930825578E-3</v>
      </c>
      <c r="V126" t="s">
        <v>161</v>
      </c>
      <c r="AK126">
        <v>2036</v>
      </c>
      <c r="AL126" t="s">
        <v>157</v>
      </c>
      <c r="AM126">
        <v>0.40543333333333331</v>
      </c>
      <c r="AN126" t="s">
        <v>236</v>
      </c>
    </row>
    <row r="127" spans="9:40" x14ac:dyDescent="0.45">
      <c r="I127" t="s">
        <v>174</v>
      </c>
      <c r="J127" t="s">
        <v>172</v>
      </c>
      <c r="K127">
        <v>0.12286692621271915</v>
      </c>
      <c r="L127" t="s">
        <v>161</v>
      </c>
      <c r="N127" t="s">
        <v>197</v>
      </c>
      <c r="O127" t="s">
        <v>172</v>
      </c>
      <c r="P127">
        <v>2.4964153023005753E-2</v>
      </c>
      <c r="Q127" t="s">
        <v>161</v>
      </c>
      <c r="S127" t="s">
        <v>219</v>
      </c>
      <c r="T127" t="s">
        <v>172</v>
      </c>
      <c r="U127">
        <v>3.3877635589853232E-2</v>
      </c>
      <c r="V127" t="s">
        <v>161</v>
      </c>
      <c r="AK127">
        <v>2036</v>
      </c>
      <c r="AL127" t="s">
        <v>239</v>
      </c>
      <c r="AM127">
        <v>0.36313333333333331</v>
      </c>
      <c r="AN127" t="s">
        <v>236</v>
      </c>
    </row>
    <row r="128" spans="9:40" x14ac:dyDescent="0.45">
      <c r="I128" t="s">
        <v>174</v>
      </c>
      <c r="J128" t="s">
        <v>248</v>
      </c>
      <c r="K128">
        <v>1.451251765280173E-2</v>
      </c>
      <c r="L128" t="s">
        <v>161</v>
      </c>
      <c r="N128" t="s">
        <v>197</v>
      </c>
      <c r="O128" t="s">
        <v>248</v>
      </c>
      <c r="P128">
        <v>3.4281871391398586E-3</v>
      </c>
      <c r="Q128" t="s">
        <v>161</v>
      </c>
      <c r="S128" t="s">
        <v>219</v>
      </c>
      <c r="T128" t="s">
        <v>248</v>
      </c>
      <c r="U128">
        <v>4.7843311543841307E-3</v>
      </c>
      <c r="V128" t="s">
        <v>161</v>
      </c>
      <c r="AK128">
        <v>2036</v>
      </c>
      <c r="AL128" t="s">
        <v>241</v>
      </c>
      <c r="AM128">
        <v>0.35709999999999997</v>
      </c>
      <c r="AN128" t="s">
        <v>236</v>
      </c>
    </row>
    <row r="129" spans="9:40" x14ac:dyDescent="0.45">
      <c r="I129" t="s">
        <v>174</v>
      </c>
      <c r="J129" t="s">
        <v>249</v>
      </c>
      <c r="K129">
        <v>1.1907762398546878E-2</v>
      </c>
      <c r="L129" t="s">
        <v>161</v>
      </c>
      <c r="N129" t="s">
        <v>197</v>
      </c>
      <c r="O129" t="s">
        <v>249</v>
      </c>
      <c r="P129">
        <v>3.1361160305462556E-3</v>
      </c>
      <c r="Q129" t="s">
        <v>161</v>
      </c>
      <c r="S129" t="s">
        <v>219</v>
      </c>
      <c r="T129" t="s">
        <v>249</v>
      </c>
      <c r="U129">
        <v>4.6097419234439798E-3</v>
      </c>
      <c r="V129" t="s">
        <v>161</v>
      </c>
      <c r="AK129">
        <v>2036</v>
      </c>
      <c r="AL129" t="s">
        <v>264</v>
      </c>
      <c r="AM129">
        <v>0.36759999999999998</v>
      </c>
      <c r="AN129" t="s">
        <v>236</v>
      </c>
    </row>
    <row r="130" spans="9:40" x14ac:dyDescent="0.45">
      <c r="I130" t="s">
        <v>174</v>
      </c>
      <c r="J130" t="s">
        <v>269</v>
      </c>
      <c r="K130">
        <v>1.3205511528780665E-2</v>
      </c>
      <c r="L130" t="s">
        <v>161</v>
      </c>
      <c r="N130" t="s">
        <v>197</v>
      </c>
      <c r="O130" t="s">
        <v>269</v>
      </c>
      <c r="P130">
        <v>2.3984468116936726E-2</v>
      </c>
      <c r="Q130" t="s">
        <v>161</v>
      </c>
      <c r="S130" t="s">
        <v>219</v>
      </c>
      <c r="T130" t="s">
        <v>269</v>
      </c>
      <c r="U130">
        <v>2.7579843866036048E-2</v>
      </c>
      <c r="V130" t="s">
        <v>161</v>
      </c>
      <c r="AK130">
        <v>2036</v>
      </c>
      <c r="AL130" t="s">
        <v>265</v>
      </c>
      <c r="AM130">
        <v>0.36759999999999998</v>
      </c>
      <c r="AN130" t="s">
        <v>236</v>
      </c>
    </row>
    <row r="131" spans="9:40" x14ac:dyDescent="0.45">
      <c r="I131" t="s">
        <v>174</v>
      </c>
      <c r="J131" t="s">
        <v>250</v>
      </c>
      <c r="K131">
        <v>1.7415575860765685E-3</v>
      </c>
      <c r="L131" t="s">
        <v>161</v>
      </c>
      <c r="N131" t="s">
        <v>197</v>
      </c>
      <c r="O131" t="s">
        <v>250</v>
      </c>
      <c r="P131">
        <v>5.2287828787736738E-2</v>
      </c>
      <c r="Q131" t="s">
        <v>161</v>
      </c>
      <c r="S131" t="s">
        <v>219</v>
      </c>
      <c r="T131" t="s">
        <v>250</v>
      </c>
      <c r="U131">
        <v>5.1344667677337121E-2</v>
      </c>
      <c r="V131" t="s">
        <v>161</v>
      </c>
      <c r="AK131">
        <v>2037</v>
      </c>
      <c r="AL131" t="s">
        <v>149</v>
      </c>
      <c r="AM131">
        <v>0.35639999999999999</v>
      </c>
      <c r="AN131" t="s">
        <v>236</v>
      </c>
    </row>
    <row r="132" spans="9:40" x14ac:dyDescent="0.45">
      <c r="I132" t="s">
        <v>174</v>
      </c>
      <c r="J132" t="s">
        <v>251</v>
      </c>
      <c r="K132">
        <v>4.7179009350531674E-3</v>
      </c>
      <c r="L132" t="s">
        <v>161</v>
      </c>
      <c r="N132" t="s">
        <v>197</v>
      </c>
      <c r="O132" t="s">
        <v>251</v>
      </c>
      <c r="P132">
        <v>6.6202864102646126E-3</v>
      </c>
      <c r="Q132" t="s">
        <v>161</v>
      </c>
      <c r="S132" t="s">
        <v>219</v>
      </c>
      <c r="T132" t="s">
        <v>251</v>
      </c>
      <c r="U132">
        <v>6.1739871082138846E-3</v>
      </c>
      <c r="V132" t="s">
        <v>161</v>
      </c>
      <c r="AK132">
        <v>2037</v>
      </c>
      <c r="AL132" t="s">
        <v>153</v>
      </c>
      <c r="AM132">
        <v>0.38919999999999999</v>
      </c>
      <c r="AN132" t="s">
        <v>236</v>
      </c>
    </row>
    <row r="133" spans="9:40" x14ac:dyDescent="0.45">
      <c r="I133" t="s">
        <v>174</v>
      </c>
      <c r="J133" t="s">
        <v>252</v>
      </c>
      <c r="K133">
        <v>7.5748598814143087E-2</v>
      </c>
      <c r="L133" t="s">
        <v>161</v>
      </c>
      <c r="N133" t="s">
        <v>197</v>
      </c>
      <c r="O133" t="s">
        <v>252</v>
      </c>
      <c r="P133">
        <v>4.101224757353835E-2</v>
      </c>
      <c r="Q133" t="s">
        <v>161</v>
      </c>
      <c r="S133" t="s">
        <v>219</v>
      </c>
      <c r="T133" t="s">
        <v>252</v>
      </c>
      <c r="U133">
        <v>4.1338351902938927E-2</v>
      </c>
      <c r="V133" t="s">
        <v>161</v>
      </c>
      <c r="AK133">
        <v>2037</v>
      </c>
      <c r="AL133" t="s">
        <v>155</v>
      </c>
      <c r="AM133">
        <v>0.42907499999999998</v>
      </c>
      <c r="AN133" t="s">
        <v>236</v>
      </c>
    </row>
    <row r="134" spans="9:40" x14ac:dyDescent="0.45">
      <c r="I134" t="s">
        <v>174</v>
      </c>
      <c r="J134" t="s">
        <v>253</v>
      </c>
      <c r="K134">
        <v>8.9304855491434774E-3</v>
      </c>
      <c r="L134" t="s">
        <v>161</v>
      </c>
      <c r="N134" t="s">
        <v>197</v>
      </c>
      <c r="O134" t="s">
        <v>253</v>
      </c>
      <c r="P134">
        <v>6.1224870278884522E-3</v>
      </c>
      <c r="Q134" t="s">
        <v>161</v>
      </c>
      <c r="S134" t="s">
        <v>219</v>
      </c>
      <c r="T134" t="s">
        <v>253</v>
      </c>
      <c r="U134">
        <v>6.1205857252900186E-3</v>
      </c>
      <c r="V134" t="s">
        <v>161</v>
      </c>
      <c r="AK134">
        <v>2037</v>
      </c>
      <c r="AL134" t="s">
        <v>157</v>
      </c>
      <c r="AM134">
        <v>0.38369999999999999</v>
      </c>
      <c r="AN134" t="s">
        <v>236</v>
      </c>
    </row>
    <row r="135" spans="9:40" x14ac:dyDescent="0.45">
      <c r="I135" t="s">
        <v>174</v>
      </c>
      <c r="J135" t="s">
        <v>254</v>
      </c>
      <c r="K135">
        <v>5.975925205826297E-3</v>
      </c>
      <c r="L135" t="s">
        <v>161</v>
      </c>
      <c r="N135" t="s">
        <v>197</v>
      </c>
      <c r="O135" t="s">
        <v>254</v>
      </c>
      <c r="P135">
        <v>6.3968825633553428E-3</v>
      </c>
      <c r="Q135" t="s">
        <v>161</v>
      </c>
      <c r="S135" t="s">
        <v>219</v>
      </c>
      <c r="T135" t="s">
        <v>254</v>
      </c>
      <c r="U135">
        <v>6.1799953773954515E-3</v>
      </c>
      <c r="V135" t="s">
        <v>161</v>
      </c>
      <c r="AK135">
        <v>2037</v>
      </c>
      <c r="AL135" t="s">
        <v>239</v>
      </c>
      <c r="AM135">
        <v>0.33513333333333334</v>
      </c>
      <c r="AN135" t="s">
        <v>236</v>
      </c>
    </row>
    <row r="136" spans="9:40" x14ac:dyDescent="0.45">
      <c r="I136" t="s">
        <v>174</v>
      </c>
      <c r="J136" t="s">
        <v>270</v>
      </c>
      <c r="K136">
        <v>1.5670200489575627E-3</v>
      </c>
      <c r="L136" t="s">
        <v>161</v>
      </c>
      <c r="N136" t="s">
        <v>197</v>
      </c>
      <c r="O136" t="s">
        <v>270</v>
      </c>
      <c r="P136">
        <v>4.2112149429735311E-2</v>
      </c>
      <c r="Q136" t="s">
        <v>161</v>
      </c>
      <c r="S136" t="s">
        <v>219</v>
      </c>
      <c r="T136" t="s">
        <v>270</v>
      </c>
      <c r="U136">
        <v>3.9334227175065045E-2</v>
      </c>
      <c r="V136" t="s">
        <v>161</v>
      </c>
      <c r="AK136">
        <v>2037</v>
      </c>
      <c r="AL136" t="s">
        <v>241</v>
      </c>
      <c r="AM136">
        <v>0.34394999999999998</v>
      </c>
      <c r="AN136" t="s">
        <v>236</v>
      </c>
    </row>
    <row r="137" spans="9:40" x14ac:dyDescent="0.45">
      <c r="I137" t="s">
        <v>174</v>
      </c>
      <c r="J137" t="s">
        <v>255</v>
      </c>
      <c r="K137">
        <v>0</v>
      </c>
      <c r="L137" t="s">
        <v>161</v>
      </c>
      <c r="N137" t="s">
        <v>197</v>
      </c>
      <c r="O137" t="s">
        <v>255</v>
      </c>
      <c r="P137">
        <v>5.2961093234321001E-2</v>
      </c>
      <c r="Q137" t="s">
        <v>161</v>
      </c>
      <c r="S137" t="s">
        <v>219</v>
      </c>
      <c r="T137" t="s">
        <v>255</v>
      </c>
      <c r="U137">
        <v>4.7955539501568417E-2</v>
      </c>
      <c r="V137" t="s">
        <v>161</v>
      </c>
      <c r="AK137">
        <v>2037</v>
      </c>
      <c r="AL137" t="s">
        <v>264</v>
      </c>
      <c r="AM137">
        <v>0.3654</v>
      </c>
      <c r="AN137" t="s">
        <v>236</v>
      </c>
    </row>
    <row r="138" spans="9:40" x14ac:dyDescent="0.45">
      <c r="I138" t="s">
        <v>174</v>
      </c>
      <c r="J138" t="s">
        <v>256</v>
      </c>
      <c r="K138">
        <v>5.9558484831579686E-4</v>
      </c>
      <c r="L138" t="s">
        <v>161</v>
      </c>
      <c r="N138" t="s">
        <v>197</v>
      </c>
      <c r="O138" t="s">
        <v>256</v>
      </c>
      <c r="P138">
        <v>7.1064871688631716E-3</v>
      </c>
      <c r="Q138" t="s">
        <v>161</v>
      </c>
      <c r="S138" t="s">
        <v>219</v>
      </c>
      <c r="T138" t="s">
        <v>256</v>
      </c>
      <c r="U138">
        <v>6.0555680812300833E-3</v>
      </c>
      <c r="V138" t="s">
        <v>161</v>
      </c>
      <c r="AK138">
        <v>2037</v>
      </c>
      <c r="AL138" t="s">
        <v>265</v>
      </c>
      <c r="AM138">
        <v>0.3654</v>
      </c>
      <c r="AN138" t="s">
        <v>236</v>
      </c>
    </row>
    <row r="139" spans="9:40" x14ac:dyDescent="0.45">
      <c r="I139" t="s">
        <v>174</v>
      </c>
      <c r="J139" t="s">
        <v>257</v>
      </c>
      <c r="K139">
        <v>4.2203315426686067E-2</v>
      </c>
      <c r="L139" t="s">
        <v>161</v>
      </c>
      <c r="N139" t="s">
        <v>197</v>
      </c>
      <c r="O139" t="s">
        <v>257</v>
      </c>
      <c r="P139">
        <v>4.6883679444586025E-2</v>
      </c>
      <c r="Q139" t="s">
        <v>161</v>
      </c>
      <c r="S139" t="s">
        <v>219</v>
      </c>
      <c r="T139" t="s">
        <v>257</v>
      </c>
      <c r="U139">
        <v>4.1343434885460661E-2</v>
      </c>
      <c r="V139" t="s">
        <v>161</v>
      </c>
      <c r="AK139">
        <v>2038</v>
      </c>
      <c r="AL139" t="s">
        <v>149</v>
      </c>
      <c r="AM139">
        <v>0.33946666666666664</v>
      </c>
      <c r="AN139" t="s">
        <v>236</v>
      </c>
    </row>
    <row r="140" spans="9:40" x14ac:dyDescent="0.45">
      <c r="I140" t="s">
        <v>174</v>
      </c>
      <c r="J140" t="s">
        <v>258</v>
      </c>
      <c r="K140">
        <v>3.6488700504588739E-3</v>
      </c>
      <c r="L140" t="s">
        <v>161</v>
      </c>
      <c r="N140" t="s">
        <v>197</v>
      </c>
      <c r="O140" t="s">
        <v>258</v>
      </c>
      <c r="P140">
        <v>6.7801831218623192E-3</v>
      </c>
      <c r="Q140" t="s">
        <v>161</v>
      </c>
      <c r="S140" t="s">
        <v>219</v>
      </c>
      <c r="T140" t="s">
        <v>258</v>
      </c>
      <c r="U140">
        <v>5.8928034372428342E-3</v>
      </c>
      <c r="V140" t="s">
        <v>161</v>
      </c>
      <c r="AK140">
        <v>2038</v>
      </c>
      <c r="AL140" t="s">
        <v>153</v>
      </c>
      <c r="AM140">
        <v>0.35365000000000002</v>
      </c>
      <c r="AN140" t="s">
        <v>236</v>
      </c>
    </row>
    <row r="141" spans="9:40" x14ac:dyDescent="0.45">
      <c r="I141" t="s">
        <v>174</v>
      </c>
      <c r="J141" t="s">
        <v>259</v>
      </c>
      <c r="K141">
        <v>2.0872301260597978E-4</v>
      </c>
      <c r="L141" t="s">
        <v>161</v>
      </c>
      <c r="N141" t="s">
        <v>197</v>
      </c>
      <c r="O141" t="s">
        <v>259</v>
      </c>
      <c r="P141">
        <v>6.9863959245764547E-3</v>
      </c>
      <c r="Q141" t="s">
        <v>161</v>
      </c>
      <c r="S141" t="s">
        <v>219</v>
      </c>
      <c r="T141" t="s">
        <v>259</v>
      </c>
      <c r="U141">
        <v>5.7913843713101407E-3</v>
      </c>
      <c r="V141" t="s">
        <v>161</v>
      </c>
      <c r="AK141">
        <v>2038</v>
      </c>
      <c r="AL141" t="s">
        <v>155</v>
      </c>
      <c r="AM141">
        <v>0.43670000000000003</v>
      </c>
      <c r="AN141" t="s">
        <v>236</v>
      </c>
    </row>
    <row r="142" spans="9:40" x14ac:dyDescent="0.45">
      <c r="I142" t="s">
        <v>174</v>
      </c>
      <c r="J142" t="s">
        <v>271</v>
      </c>
      <c r="K142">
        <v>0</v>
      </c>
      <c r="L142" t="s">
        <v>161</v>
      </c>
      <c r="N142" t="s">
        <v>197</v>
      </c>
      <c r="O142" t="s">
        <v>271</v>
      </c>
      <c r="P142">
        <v>4.1480980179624705E-2</v>
      </c>
      <c r="Q142" t="s">
        <v>161</v>
      </c>
      <c r="S142" t="s">
        <v>219</v>
      </c>
      <c r="T142" t="s">
        <v>271</v>
      </c>
      <c r="U142">
        <v>3.4807061990241028E-2</v>
      </c>
      <c r="V142" t="s">
        <v>161</v>
      </c>
      <c r="AK142">
        <v>2038</v>
      </c>
      <c r="AL142" t="s">
        <v>157</v>
      </c>
      <c r="AM142">
        <v>0.39743333333333331</v>
      </c>
      <c r="AN142" t="s">
        <v>236</v>
      </c>
    </row>
    <row r="143" spans="9:40" x14ac:dyDescent="0.45">
      <c r="I143" t="s">
        <v>174</v>
      </c>
      <c r="J143" t="s">
        <v>272</v>
      </c>
      <c r="K143">
        <v>0</v>
      </c>
      <c r="L143" t="s">
        <v>161</v>
      </c>
      <c r="N143" t="s">
        <v>197</v>
      </c>
      <c r="O143" t="s">
        <v>272</v>
      </c>
      <c r="P143">
        <v>2.0972480880671066E-2</v>
      </c>
      <c r="Q143" t="s">
        <v>161</v>
      </c>
      <c r="S143" t="s">
        <v>219</v>
      </c>
      <c r="T143" t="s">
        <v>272</v>
      </c>
      <c r="U143">
        <v>1.324572675873239E-2</v>
      </c>
      <c r="V143" t="s">
        <v>161</v>
      </c>
      <c r="AK143">
        <v>2038</v>
      </c>
      <c r="AL143" t="s">
        <v>239</v>
      </c>
      <c r="AM143">
        <v>0.34396666666666659</v>
      </c>
      <c r="AN143" t="s">
        <v>236</v>
      </c>
    </row>
    <row r="144" spans="9:40" x14ac:dyDescent="0.45">
      <c r="I144" t="s">
        <v>174</v>
      </c>
      <c r="J144" t="s">
        <v>273</v>
      </c>
      <c r="K144">
        <v>0</v>
      </c>
      <c r="L144" t="s">
        <v>161</v>
      </c>
      <c r="N144" t="s">
        <v>197</v>
      </c>
      <c r="O144" t="s">
        <v>273</v>
      </c>
      <c r="P144">
        <v>2.7499805943369993E-3</v>
      </c>
      <c r="Q144" t="s">
        <v>161</v>
      </c>
      <c r="S144" t="s">
        <v>219</v>
      </c>
      <c r="T144" t="s">
        <v>273</v>
      </c>
      <c r="U144">
        <v>1.6247795280142513E-3</v>
      </c>
      <c r="V144" t="s">
        <v>161</v>
      </c>
      <c r="AK144">
        <v>2038</v>
      </c>
      <c r="AL144" t="s">
        <v>241</v>
      </c>
      <c r="AM144">
        <v>0.33204999999999996</v>
      </c>
      <c r="AN144" t="s">
        <v>236</v>
      </c>
    </row>
    <row r="145" spans="9:40" x14ac:dyDescent="0.45">
      <c r="I145" t="s">
        <v>174</v>
      </c>
      <c r="J145" t="s">
        <v>274</v>
      </c>
      <c r="K145">
        <v>1.0512176089129953E-2</v>
      </c>
      <c r="L145" t="s">
        <v>161</v>
      </c>
      <c r="N145" t="s">
        <v>197</v>
      </c>
      <c r="O145" t="s">
        <v>274</v>
      </c>
      <c r="P145">
        <v>1.6408132575358822E-2</v>
      </c>
      <c r="Q145" t="s">
        <v>161</v>
      </c>
      <c r="S145" t="s">
        <v>219</v>
      </c>
      <c r="T145" t="s">
        <v>274</v>
      </c>
      <c r="U145">
        <v>1.1863263503457724E-2</v>
      </c>
      <c r="V145" t="s">
        <v>161</v>
      </c>
      <c r="AK145">
        <v>2038</v>
      </c>
      <c r="AL145" t="s">
        <v>264</v>
      </c>
      <c r="AM145">
        <v>0.33939999999999998</v>
      </c>
      <c r="AN145" t="s">
        <v>236</v>
      </c>
    </row>
    <row r="146" spans="9:40" x14ac:dyDescent="0.45">
      <c r="I146" t="s">
        <v>174</v>
      </c>
      <c r="J146" t="s">
        <v>275</v>
      </c>
      <c r="K146">
        <v>8.2777697837301326E-4</v>
      </c>
      <c r="L146" t="s">
        <v>161</v>
      </c>
      <c r="N146" t="s">
        <v>197</v>
      </c>
      <c r="O146" t="s">
        <v>275</v>
      </c>
      <c r="P146">
        <v>2.2314073207209528E-3</v>
      </c>
      <c r="Q146" t="s">
        <v>161</v>
      </c>
      <c r="S146" t="s">
        <v>219</v>
      </c>
      <c r="T146" t="s">
        <v>275</v>
      </c>
      <c r="U146">
        <v>1.6731520693047718E-3</v>
      </c>
      <c r="V146" t="s">
        <v>161</v>
      </c>
      <c r="AK146">
        <v>2038</v>
      </c>
      <c r="AL146" t="s">
        <v>265</v>
      </c>
      <c r="AM146">
        <v>0.33939999999999998</v>
      </c>
      <c r="AN146" t="s">
        <v>236</v>
      </c>
    </row>
    <row r="147" spans="9:40" x14ac:dyDescent="0.45">
      <c r="I147" t="s">
        <v>174</v>
      </c>
      <c r="J147" t="s">
        <v>276</v>
      </c>
      <c r="K147">
        <v>0</v>
      </c>
      <c r="L147" t="s">
        <v>161</v>
      </c>
      <c r="N147" t="s">
        <v>197</v>
      </c>
      <c r="O147" t="s">
        <v>276</v>
      </c>
      <c r="P147">
        <v>2.3221148469934156E-3</v>
      </c>
      <c r="Q147" t="s">
        <v>161</v>
      </c>
      <c r="S147" t="s">
        <v>219</v>
      </c>
      <c r="T147" t="s">
        <v>276</v>
      </c>
      <c r="U147">
        <v>1.6598604882016805E-3</v>
      </c>
      <c r="V147" t="s">
        <v>161</v>
      </c>
      <c r="AK147">
        <v>2039</v>
      </c>
      <c r="AL147" t="s">
        <v>149</v>
      </c>
      <c r="AM147">
        <v>0.36626666666666668</v>
      </c>
      <c r="AN147" t="s">
        <v>236</v>
      </c>
    </row>
    <row r="148" spans="9:40" x14ac:dyDescent="0.45">
      <c r="I148" t="s">
        <v>174</v>
      </c>
      <c r="J148" t="s">
        <v>277</v>
      </c>
      <c r="K148">
        <v>0</v>
      </c>
      <c r="L148" t="s">
        <v>161</v>
      </c>
      <c r="N148" t="s">
        <v>197</v>
      </c>
      <c r="O148" t="s">
        <v>277</v>
      </c>
      <c r="P148">
        <v>1.4237209015088795E-2</v>
      </c>
      <c r="Q148" t="s">
        <v>161</v>
      </c>
      <c r="S148" t="s">
        <v>219</v>
      </c>
      <c r="T148" t="s">
        <v>277</v>
      </c>
      <c r="U148">
        <v>1.0017114864596293E-2</v>
      </c>
      <c r="V148" t="s">
        <v>161</v>
      </c>
      <c r="AK148">
        <v>2039</v>
      </c>
      <c r="AL148" t="s">
        <v>153</v>
      </c>
      <c r="AM148">
        <v>0.40959999999999996</v>
      </c>
      <c r="AN148" t="s">
        <v>236</v>
      </c>
    </row>
    <row r="149" spans="9:40" x14ac:dyDescent="0.45">
      <c r="I149" t="s">
        <v>174</v>
      </c>
      <c r="J149" t="s">
        <v>278</v>
      </c>
      <c r="K149">
        <v>0</v>
      </c>
      <c r="L149" t="s">
        <v>161</v>
      </c>
      <c r="N149" t="s">
        <v>197</v>
      </c>
      <c r="O149" t="s">
        <v>278</v>
      </c>
      <c r="P149">
        <v>7.5993905562680127E-3</v>
      </c>
      <c r="Q149" t="s">
        <v>161</v>
      </c>
      <c r="S149" t="s">
        <v>219</v>
      </c>
      <c r="T149" t="s">
        <v>278</v>
      </c>
      <c r="U149">
        <v>8.0976799968540923E-3</v>
      </c>
      <c r="V149" t="s">
        <v>161</v>
      </c>
      <c r="AK149">
        <v>2039</v>
      </c>
      <c r="AL149" t="s">
        <v>155</v>
      </c>
      <c r="AM149">
        <v>0.43867499999999998</v>
      </c>
      <c r="AN149" t="s">
        <v>236</v>
      </c>
    </row>
    <row r="150" spans="9:40" x14ac:dyDescent="0.45">
      <c r="I150" t="s">
        <v>174</v>
      </c>
      <c r="J150" t="s">
        <v>279</v>
      </c>
      <c r="K150">
        <v>0</v>
      </c>
      <c r="L150" t="s">
        <v>161</v>
      </c>
      <c r="N150" t="s">
        <v>197</v>
      </c>
      <c r="O150" t="s">
        <v>279</v>
      </c>
      <c r="P150">
        <v>1.0267932203728688E-3</v>
      </c>
      <c r="Q150" t="s">
        <v>161</v>
      </c>
      <c r="S150" t="s">
        <v>219</v>
      </c>
      <c r="T150" t="s">
        <v>279</v>
      </c>
      <c r="U150">
        <v>1.0251833212123061E-3</v>
      </c>
      <c r="V150" t="s">
        <v>161</v>
      </c>
      <c r="AK150">
        <v>2039</v>
      </c>
      <c r="AL150" t="s">
        <v>157</v>
      </c>
      <c r="AM150">
        <v>0.4093</v>
      </c>
      <c r="AN150" t="s">
        <v>236</v>
      </c>
    </row>
    <row r="151" spans="9:40" x14ac:dyDescent="0.45">
      <c r="I151" t="s">
        <v>174</v>
      </c>
      <c r="J151" t="s">
        <v>280</v>
      </c>
      <c r="K151">
        <v>5.4319028524865655E-3</v>
      </c>
      <c r="L151" t="s">
        <v>161</v>
      </c>
      <c r="N151" t="s">
        <v>197</v>
      </c>
      <c r="O151" t="s">
        <v>280</v>
      </c>
      <c r="P151">
        <v>6.2829966382540623E-3</v>
      </c>
      <c r="Q151" t="s">
        <v>161</v>
      </c>
      <c r="S151" t="s">
        <v>219</v>
      </c>
      <c r="T151" t="s">
        <v>280</v>
      </c>
      <c r="U151">
        <v>7.3214604914118298E-3</v>
      </c>
      <c r="V151" t="s">
        <v>161</v>
      </c>
      <c r="AK151">
        <v>2039</v>
      </c>
      <c r="AL151" t="s">
        <v>239</v>
      </c>
      <c r="AM151">
        <v>0.34176666666666661</v>
      </c>
      <c r="AN151" t="s">
        <v>236</v>
      </c>
    </row>
    <row r="152" spans="9:40" x14ac:dyDescent="0.45">
      <c r="I152" t="s">
        <v>174</v>
      </c>
      <c r="J152" t="s">
        <v>281</v>
      </c>
      <c r="K152">
        <v>7.0124237228861739E-4</v>
      </c>
      <c r="L152" t="s">
        <v>161</v>
      </c>
      <c r="N152" t="s">
        <v>197</v>
      </c>
      <c r="O152" t="s">
        <v>281</v>
      </c>
      <c r="P152">
        <v>9.4623149592266954E-4</v>
      </c>
      <c r="Q152" t="s">
        <v>161</v>
      </c>
      <c r="S152" t="s">
        <v>219</v>
      </c>
      <c r="T152" t="s">
        <v>281</v>
      </c>
      <c r="U152">
        <v>1.0501421594938977E-3</v>
      </c>
      <c r="V152" t="s">
        <v>161</v>
      </c>
      <c r="AK152">
        <v>2039</v>
      </c>
      <c r="AL152" t="s">
        <v>241</v>
      </c>
      <c r="AM152">
        <v>0.35004999999999997</v>
      </c>
      <c r="AN152" t="s">
        <v>236</v>
      </c>
    </row>
    <row r="153" spans="9:40" x14ac:dyDescent="0.45">
      <c r="I153" t="s">
        <v>174</v>
      </c>
      <c r="J153" t="s">
        <v>282</v>
      </c>
      <c r="K153">
        <v>0</v>
      </c>
      <c r="L153" t="s">
        <v>161</v>
      </c>
      <c r="N153" t="s">
        <v>197</v>
      </c>
      <c r="O153" t="s">
        <v>282</v>
      </c>
      <c r="P153">
        <v>1.0496810781007123E-3</v>
      </c>
      <c r="Q153" t="s">
        <v>161</v>
      </c>
      <c r="S153" t="s">
        <v>219</v>
      </c>
      <c r="T153" t="s">
        <v>282</v>
      </c>
      <c r="U153">
        <v>1.0453425505109158E-3</v>
      </c>
      <c r="V153" t="s">
        <v>161</v>
      </c>
      <c r="AK153">
        <v>2039</v>
      </c>
      <c r="AL153" t="s">
        <v>264</v>
      </c>
      <c r="AM153">
        <v>0.36969999999999997</v>
      </c>
      <c r="AN153" t="s">
        <v>236</v>
      </c>
    </row>
    <row r="154" spans="9:40" x14ac:dyDescent="0.45">
      <c r="I154" t="s">
        <v>174</v>
      </c>
      <c r="J154" t="s">
        <v>283</v>
      </c>
      <c r="K154">
        <v>0</v>
      </c>
      <c r="L154" t="s">
        <v>161</v>
      </c>
      <c r="N154" t="s">
        <v>197</v>
      </c>
      <c r="O154" t="s">
        <v>283</v>
      </c>
      <c r="P154">
        <v>6.6640955073666982E-3</v>
      </c>
      <c r="Q154" t="s">
        <v>161</v>
      </c>
      <c r="S154" t="s">
        <v>219</v>
      </c>
      <c r="T154" t="s">
        <v>283</v>
      </c>
      <c r="U154">
        <v>6.146268596074915E-3</v>
      </c>
      <c r="V154" t="s">
        <v>161</v>
      </c>
      <c r="AK154">
        <v>2039</v>
      </c>
      <c r="AL154" t="s">
        <v>265</v>
      </c>
      <c r="AM154">
        <v>0.36969999999999997</v>
      </c>
      <c r="AN154" t="s">
        <v>236</v>
      </c>
    </row>
    <row r="155" spans="9:40" x14ac:dyDescent="0.45">
      <c r="I155" t="s">
        <v>175</v>
      </c>
      <c r="J155" t="s">
        <v>160</v>
      </c>
      <c r="K155">
        <v>2.1798549224292976E-3</v>
      </c>
      <c r="L155" t="s">
        <v>161</v>
      </c>
      <c r="N155" t="s">
        <v>198</v>
      </c>
      <c r="O155" t="s">
        <v>160</v>
      </c>
      <c r="P155">
        <v>7.3764968060917827E-2</v>
      </c>
      <c r="Q155" t="s">
        <v>161</v>
      </c>
      <c r="S155" t="s">
        <v>220</v>
      </c>
      <c r="T155" t="s">
        <v>160</v>
      </c>
      <c r="U155">
        <v>7.4989488590239545E-2</v>
      </c>
      <c r="V155" t="s">
        <v>161</v>
      </c>
      <c r="AK155">
        <v>2040</v>
      </c>
      <c r="AL155" t="s">
        <v>149</v>
      </c>
      <c r="AM155">
        <v>0.36956666666666665</v>
      </c>
      <c r="AN155" t="s">
        <v>236</v>
      </c>
    </row>
    <row r="156" spans="9:40" x14ac:dyDescent="0.45">
      <c r="I156" t="s">
        <v>175</v>
      </c>
      <c r="J156" t="s">
        <v>162</v>
      </c>
      <c r="K156">
        <v>7.2613227663718477E-3</v>
      </c>
      <c r="L156" t="s">
        <v>161</v>
      </c>
      <c r="N156" t="s">
        <v>198</v>
      </c>
      <c r="O156" t="s">
        <v>162</v>
      </c>
      <c r="P156">
        <v>9.202327356986598E-3</v>
      </c>
      <c r="Q156" t="s">
        <v>161</v>
      </c>
      <c r="S156" t="s">
        <v>220</v>
      </c>
      <c r="T156" t="s">
        <v>162</v>
      </c>
      <c r="U156">
        <v>9.1857842509900835E-3</v>
      </c>
      <c r="V156" t="s">
        <v>161</v>
      </c>
      <c r="AK156">
        <v>2040</v>
      </c>
      <c r="AL156" t="s">
        <v>153</v>
      </c>
      <c r="AM156">
        <v>0.40720000000000001</v>
      </c>
      <c r="AN156" t="s">
        <v>236</v>
      </c>
    </row>
    <row r="157" spans="9:40" x14ac:dyDescent="0.45">
      <c r="I157" t="s">
        <v>175</v>
      </c>
      <c r="J157" t="s">
        <v>163</v>
      </c>
      <c r="K157">
        <v>9.7195633953022775E-2</v>
      </c>
      <c r="L157" t="s">
        <v>161</v>
      </c>
      <c r="N157" t="s">
        <v>198</v>
      </c>
      <c r="O157" t="s">
        <v>163</v>
      </c>
      <c r="P157">
        <v>6.2631834352818272E-2</v>
      </c>
      <c r="Q157" t="s">
        <v>161</v>
      </c>
      <c r="S157" t="s">
        <v>220</v>
      </c>
      <c r="T157" t="s">
        <v>163</v>
      </c>
      <c r="U157">
        <v>6.3593541912220428E-2</v>
      </c>
      <c r="V157" t="s">
        <v>161</v>
      </c>
      <c r="AK157">
        <v>2040</v>
      </c>
      <c r="AL157" t="s">
        <v>155</v>
      </c>
      <c r="AM157">
        <v>0.43035000000000001</v>
      </c>
      <c r="AN157" t="s">
        <v>236</v>
      </c>
    </row>
    <row r="158" spans="9:40" x14ac:dyDescent="0.45">
      <c r="I158" t="s">
        <v>175</v>
      </c>
      <c r="J158" t="s">
        <v>242</v>
      </c>
      <c r="K158">
        <v>7.0809727783779789E-3</v>
      </c>
      <c r="L158" t="s">
        <v>161</v>
      </c>
      <c r="N158" t="s">
        <v>198</v>
      </c>
      <c r="O158" t="s">
        <v>242</v>
      </c>
      <c r="P158">
        <v>8.993585508349505E-3</v>
      </c>
      <c r="Q158" t="s">
        <v>161</v>
      </c>
      <c r="S158" t="s">
        <v>220</v>
      </c>
      <c r="T158" t="s">
        <v>242</v>
      </c>
      <c r="U158">
        <v>9.2330505035815441E-3</v>
      </c>
      <c r="V158" t="s">
        <v>161</v>
      </c>
      <c r="AK158">
        <v>2040</v>
      </c>
      <c r="AL158" t="s">
        <v>157</v>
      </c>
      <c r="AM158">
        <v>0.38369999999999999</v>
      </c>
      <c r="AN158" t="s">
        <v>236</v>
      </c>
    </row>
    <row r="159" spans="9:40" x14ac:dyDescent="0.45">
      <c r="I159" t="s">
        <v>175</v>
      </c>
      <c r="J159" t="s">
        <v>243</v>
      </c>
      <c r="K159">
        <v>2.6400174406770427E-3</v>
      </c>
      <c r="L159" t="s">
        <v>161</v>
      </c>
      <c r="N159" t="s">
        <v>198</v>
      </c>
      <c r="O159" t="s">
        <v>243</v>
      </c>
      <c r="P159">
        <v>9.2289027189570837E-3</v>
      </c>
      <c r="Q159" t="s">
        <v>161</v>
      </c>
      <c r="S159" t="s">
        <v>220</v>
      </c>
      <c r="T159" t="s">
        <v>243</v>
      </c>
      <c r="U159">
        <v>9.4347855433902349E-3</v>
      </c>
      <c r="V159" t="s">
        <v>161</v>
      </c>
      <c r="AK159">
        <v>2040</v>
      </c>
      <c r="AL159" t="s">
        <v>239</v>
      </c>
      <c r="AM159">
        <v>0.33959999999999996</v>
      </c>
      <c r="AN159" t="s">
        <v>236</v>
      </c>
    </row>
    <row r="160" spans="9:40" x14ac:dyDescent="0.45">
      <c r="I160" t="s">
        <v>175</v>
      </c>
      <c r="J160" t="s">
        <v>266</v>
      </c>
      <c r="K160">
        <v>0</v>
      </c>
      <c r="L160" t="s">
        <v>161</v>
      </c>
      <c r="N160" t="s">
        <v>198</v>
      </c>
      <c r="O160" t="s">
        <v>266</v>
      </c>
      <c r="P160">
        <v>5.6216557159475822E-2</v>
      </c>
      <c r="Q160" t="s">
        <v>161</v>
      </c>
      <c r="S160" t="s">
        <v>220</v>
      </c>
      <c r="T160" t="s">
        <v>266</v>
      </c>
      <c r="U160">
        <v>5.6802507563452266E-2</v>
      </c>
      <c r="V160" t="s">
        <v>161</v>
      </c>
      <c r="AK160">
        <v>2040</v>
      </c>
      <c r="AL160" t="s">
        <v>241</v>
      </c>
      <c r="AM160">
        <v>0.36019999999999996</v>
      </c>
      <c r="AN160" t="s">
        <v>236</v>
      </c>
    </row>
    <row r="161" spans="9:40" x14ac:dyDescent="0.45">
      <c r="I161" t="s">
        <v>175</v>
      </c>
      <c r="J161" t="s">
        <v>164</v>
      </c>
      <c r="K161">
        <v>1.0430427955156028E-2</v>
      </c>
      <c r="L161" t="s">
        <v>161</v>
      </c>
      <c r="N161" t="s">
        <v>198</v>
      </c>
      <c r="O161" t="s">
        <v>164</v>
      </c>
      <c r="P161">
        <v>3.8742671980488488E-2</v>
      </c>
      <c r="Q161" t="s">
        <v>161</v>
      </c>
      <c r="S161" t="s">
        <v>220</v>
      </c>
      <c r="T161" t="s">
        <v>164</v>
      </c>
      <c r="U161">
        <v>3.8134114404064508E-2</v>
      </c>
      <c r="V161" t="s">
        <v>161</v>
      </c>
      <c r="AK161">
        <v>2040</v>
      </c>
      <c r="AL161" t="s">
        <v>264</v>
      </c>
      <c r="AM161">
        <v>0.3745</v>
      </c>
      <c r="AN161" t="s">
        <v>236</v>
      </c>
    </row>
    <row r="162" spans="9:40" x14ac:dyDescent="0.45">
      <c r="I162" t="s">
        <v>175</v>
      </c>
      <c r="J162" t="s">
        <v>165</v>
      </c>
      <c r="K162">
        <v>1.0061096663258561E-2</v>
      </c>
      <c r="L162" t="s">
        <v>161</v>
      </c>
      <c r="N162" t="s">
        <v>198</v>
      </c>
      <c r="O162" t="s">
        <v>165</v>
      </c>
      <c r="P162">
        <v>4.4368362982195944E-3</v>
      </c>
      <c r="Q162" t="s">
        <v>161</v>
      </c>
      <c r="S162" t="s">
        <v>220</v>
      </c>
      <c r="T162" t="s">
        <v>165</v>
      </c>
      <c r="U162">
        <v>4.5852698225683237E-3</v>
      </c>
      <c r="V162" t="s">
        <v>161</v>
      </c>
      <c r="AK162">
        <v>2040</v>
      </c>
      <c r="AL162" t="s">
        <v>265</v>
      </c>
      <c r="AM162">
        <v>0.3745</v>
      </c>
      <c r="AN162" t="s">
        <v>236</v>
      </c>
    </row>
    <row r="163" spans="9:40" x14ac:dyDescent="0.45">
      <c r="I163" t="s">
        <v>175</v>
      </c>
      <c r="J163" t="s">
        <v>166</v>
      </c>
      <c r="K163">
        <v>8.8912879221231603E-2</v>
      </c>
      <c r="L163" t="s">
        <v>161</v>
      </c>
      <c r="N163" t="s">
        <v>198</v>
      </c>
      <c r="O163" t="s">
        <v>166</v>
      </c>
      <c r="P163">
        <v>3.097890938144653E-2</v>
      </c>
      <c r="Q163" t="s">
        <v>161</v>
      </c>
      <c r="S163" t="s">
        <v>220</v>
      </c>
      <c r="T163" t="s">
        <v>166</v>
      </c>
      <c r="U163">
        <v>3.0986002833651702E-2</v>
      </c>
      <c r="V163" t="s">
        <v>161</v>
      </c>
      <c r="AK163">
        <v>2041</v>
      </c>
      <c r="AL163" t="s">
        <v>149</v>
      </c>
      <c r="AM163">
        <v>0.36230000000000001</v>
      </c>
      <c r="AN163" t="s">
        <v>236</v>
      </c>
    </row>
    <row r="164" spans="9:40" x14ac:dyDescent="0.45">
      <c r="I164" t="s">
        <v>175</v>
      </c>
      <c r="J164" t="s">
        <v>244</v>
      </c>
      <c r="K164">
        <v>7.8167025027003258E-3</v>
      </c>
      <c r="L164" t="s">
        <v>161</v>
      </c>
      <c r="N164" t="s">
        <v>198</v>
      </c>
      <c r="O164" t="s">
        <v>244</v>
      </c>
      <c r="P164">
        <v>4.6809614493578833E-3</v>
      </c>
      <c r="Q164" t="s">
        <v>161</v>
      </c>
      <c r="S164" t="s">
        <v>220</v>
      </c>
      <c r="T164" t="s">
        <v>244</v>
      </c>
      <c r="U164">
        <v>4.7163454097284199E-3</v>
      </c>
      <c r="V164" t="s">
        <v>161</v>
      </c>
      <c r="AK164">
        <v>2041</v>
      </c>
      <c r="AL164" t="s">
        <v>153</v>
      </c>
      <c r="AM164">
        <v>0.40010000000000001</v>
      </c>
      <c r="AN164" t="s">
        <v>236</v>
      </c>
    </row>
    <row r="165" spans="9:40" x14ac:dyDescent="0.45">
      <c r="I165" t="s">
        <v>175</v>
      </c>
      <c r="J165" t="s">
        <v>245</v>
      </c>
      <c r="K165">
        <v>5.2720568907383795E-3</v>
      </c>
      <c r="L165" t="s">
        <v>161</v>
      </c>
      <c r="N165" t="s">
        <v>198</v>
      </c>
      <c r="O165" t="s">
        <v>245</v>
      </c>
      <c r="P165">
        <v>4.7544873057999452E-3</v>
      </c>
      <c r="Q165" t="s">
        <v>161</v>
      </c>
      <c r="S165" t="s">
        <v>220</v>
      </c>
      <c r="T165" t="s">
        <v>245</v>
      </c>
      <c r="U165">
        <v>4.8784801670673228E-3</v>
      </c>
      <c r="V165" t="s">
        <v>161</v>
      </c>
      <c r="AK165">
        <v>2041</v>
      </c>
      <c r="AL165" t="s">
        <v>155</v>
      </c>
      <c r="AM165">
        <v>0.43435000000000001</v>
      </c>
      <c r="AN165" t="s">
        <v>236</v>
      </c>
    </row>
    <row r="166" spans="9:40" x14ac:dyDescent="0.45">
      <c r="I166" t="s">
        <v>175</v>
      </c>
      <c r="J166" t="s">
        <v>267</v>
      </c>
      <c r="K166">
        <v>2.1568865196358133E-3</v>
      </c>
      <c r="L166" t="s">
        <v>161</v>
      </c>
      <c r="N166" t="s">
        <v>198</v>
      </c>
      <c r="O166" t="s">
        <v>267</v>
      </c>
      <c r="P166">
        <v>3.0808673895389594E-2</v>
      </c>
      <c r="Q166" t="s">
        <v>161</v>
      </c>
      <c r="S166" t="s">
        <v>220</v>
      </c>
      <c r="T166" t="s">
        <v>267</v>
      </c>
      <c r="U166">
        <v>3.0703765324001712E-2</v>
      </c>
      <c r="V166" t="s">
        <v>161</v>
      </c>
      <c r="AK166">
        <v>2041</v>
      </c>
      <c r="AL166" t="s">
        <v>157</v>
      </c>
      <c r="AM166">
        <v>0.37730000000000002</v>
      </c>
      <c r="AN166" t="s">
        <v>236</v>
      </c>
    </row>
    <row r="167" spans="9:40" x14ac:dyDescent="0.45">
      <c r="I167" t="s">
        <v>175</v>
      </c>
      <c r="J167" t="s">
        <v>167</v>
      </c>
      <c r="K167">
        <v>6.0294711710018538E-2</v>
      </c>
      <c r="L167" t="s">
        <v>161</v>
      </c>
      <c r="N167" t="s">
        <v>198</v>
      </c>
      <c r="O167" t="s">
        <v>167</v>
      </c>
      <c r="P167">
        <v>6.4672607566759077E-2</v>
      </c>
      <c r="Q167" t="s">
        <v>161</v>
      </c>
      <c r="S167" t="s">
        <v>220</v>
      </c>
      <c r="T167" t="s">
        <v>167</v>
      </c>
      <c r="U167">
        <v>6.5650059790391513E-2</v>
      </c>
      <c r="V167" t="s">
        <v>161</v>
      </c>
      <c r="AK167">
        <v>2041</v>
      </c>
      <c r="AL167" t="s">
        <v>239</v>
      </c>
      <c r="AM167">
        <v>0.33723333333333333</v>
      </c>
      <c r="AN167" t="s">
        <v>236</v>
      </c>
    </row>
    <row r="168" spans="9:40" x14ac:dyDescent="0.45">
      <c r="I168" t="s">
        <v>175</v>
      </c>
      <c r="J168" t="s">
        <v>168</v>
      </c>
      <c r="K168">
        <v>3.3449159749663879E-2</v>
      </c>
      <c r="L168" t="s">
        <v>161</v>
      </c>
      <c r="N168" t="s">
        <v>198</v>
      </c>
      <c r="O168" t="s">
        <v>168</v>
      </c>
      <c r="P168">
        <v>7.8408040785736457E-3</v>
      </c>
      <c r="Q168" t="s">
        <v>161</v>
      </c>
      <c r="S168" t="s">
        <v>220</v>
      </c>
      <c r="T168" t="s">
        <v>168</v>
      </c>
      <c r="U168">
        <v>8.2487744827716494E-3</v>
      </c>
      <c r="V168" t="s">
        <v>161</v>
      </c>
      <c r="AK168">
        <v>2041</v>
      </c>
      <c r="AL168" t="s">
        <v>241</v>
      </c>
      <c r="AM168">
        <v>0.35309999999999997</v>
      </c>
      <c r="AN168" t="s">
        <v>236</v>
      </c>
    </row>
    <row r="169" spans="9:40" x14ac:dyDescent="0.45">
      <c r="I169" t="s">
        <v>175</v>
      </c>
      <c r="J169" t="s">
        <v>169</v>
      </c>
      <c r="K169">
        <v>0.25791331502999526</v>
      </c>
      <c r="L169" t="s">
        <v>161</v>
      </c>
      <c r="N169" t="s">
        <v>198</v>
      </c>
      <c r="O169" t="s">
        <v>169</v>
      </c>
      <c r="P169">
        <v>5.6362754408244745E-2</v>
      </c>
      <c r="Q169" t="s">
        <v>161</v>
      </c>
      <c r="S169" t="s">
        <v>220</v>
      </c>
      <c r="T169" t="s">
        <v>169</v>
      </c>
      <c r="U169">
        <v>5.515150935292526E-2</v>
      </c>
      <c r="V169" t="s">
        <v>161</v>
      </c>
      <c r="AK169">
        <v>2041</v>
      </c>
      <c r="AL169" t="s">
        <v>264</v>
      </c>
      <c r="AM169">
        <v>0.35730000000000001</v>
      </c>
      <c r="AN169" t="s">
        <v>236</v>
      </c>
    </row>
    <row r="170" spans="9:40" x14ac:dyDescent="0.45">
      <c r="I170" t="s">
        <v>175</v>
      </c>
      <c r="J170" t="s">
        <v>246</v>
      </c>
      <c r="K170">
        <v>2.7751574415349683E-2</v>
      </c>
      <c r="L170" t="s">
        <v>161</v>
      </c>
      <c r="N170" t="s">
        <v>198</v>
      </c>
      <c r="O170" t="s">
        <v>246</v>
      </c>
      <c r="P170">
        <v>8.389863026302893E-3</v>
      </c>
      <c r="Q170" t="s">
        <v>161</v>
      </c>
      <c r="S170" t="s">
        <v>220</v>
      </c>
      <c r="T170" t="s">
        <v>246</v>
      </c>
      <c r="U170">
        <v>7.9574593418400598E-3</v>
      </c>
      <c r="V170" t="s">
        <v>161</v>
      </c>
      <c r="AK170">
        <v>2041</v>
      </c>
      <c r="AL170" t="s">
        <v>265</v>
      </c>
      <c r="AM170">
        <v>0.35730000000000001</v>
      </c>
      <c r="AN170" t="s">
        <v>236</v>
      </c>
    </row>
    <row r="171" spans="9:40" x14ac:dyDescent="0.45">
      <c r="I171" t="s">
        <v>175</v>
      </c>
      <c r="J171" t="s">
        <v>247</v>
      </c>
      <c r="K171">
        <v>2.1743399416684624E-2</v>
      </c>
      <c r="L171" t="s">
        <v>161</v>
      </c>
      <c r="N171" t="s">
        <v>198</v>
      </c>
      <c r="O171" t="s">
        <v>247</v>
      </c>
      <c r="P171">
        <v>8.143522167962337E-3</v>
      </c>
      <c r="Q171" t="s">
        <v>161</v>
      </c>
      <c r="S171" t="s">
        <v>220</v>
      </c>
      <c r="T171" t="s">
        <v>247</v>
      </c>
      <c r="U171">
        <v>8.037693111745698E-3</v>
      </c>
      <c r="V171" t="s">
        <v>161</v>
      </c>
      <c r="AK171">
        <v>2042</v>
      </c>
      <c r="AL171" t="s">
        <v>149</v>
      </c>
      <c r="AM171">
        <v>0.35810000000000003</v>
      </c>
      <c r="AN171" t="s">
        <v>236</v>
      </c>
    </row>
    <row r="172" spans="9:40" x14ac:dyDescent="0.45">
      <c r="I172" t="s">
        <v>175</v>
      </c>
      <c r="J172" t="s">
        <v>268</v>
      </c>
      <c r="K172">
        <v>2.1666983414515804E-2</v>
      </c>
      <c r="L172" t="s">
        <v>161</v>
      </c>
      <c r="N172" t="s">
        <v>198</v>
      </c>
      <c r="O172" t="s">
        <v>268</v>
      </c>
      <c r="P172">
        <v>4.9406619805272327E-2</v>
      </c>
      <c r="Q172" t="s">
        <v>161</v>
      </c>
      <c r="S172" t="s">
        <v>220</v>
      </c>
      <c r="T172" t="s">
        <v>268</v>
      </c>
      <c r="U172">
        <v>4.902096508548516E-2</v>
      </c>
      <c r="V172" t="s">
        <v>161</v>
      </c>
      <c r="AK172">
        <v>2042</v>
      </c>
      <c r="AL172" t="s">
        <v>153</v>
      </c>
      <c r="AM172">
        <v>0.38</v>
      </c>
      <c r="AN172" t="s">
        <v>236</v>
      </c>
    </row>
    <row r="173" spans="9:40" x14ac:dyDescent="0.45">
      <c r="I173" t="s">
        <v>175</v>
      </c>
      <c r="J173" t="s">
        <v>170</v>
      </c>
      <c r="K173">
        <v>2.2453685232532473E-2</v>
      </c>
      <c r="L173" t="s">
        <v>161</v>
      </c>
      <c r="N173" t="s">
        <v>198</v>
      </c>
      <c r="O173" t="s">
        <v>170</v>
      </c>
      <c r="P173">
        <v>3.5855843177414207E-2</v>
      </c>
      <c r="Q173" t="s">
        <v>161</v>
      </c>
      <c r="S173" t="s">
        <v>220</v>
      </c>
      <c r="T173" t="s">
        <v>170</v>
      </c>
      <c r="U173">
        <v>3.5804570710091056E-2</v>
      </c>
      <c r="V173" t="s">
        <v>161</v>
      </c>
      <c r="AK173">
        <v>2042</v>
      </c>
      <c r="AL173" t="s">
        <v>155</v>
      </c>
      <c r="AM173">
        <v>0.44089999999999996</v>
      </c>
      <c r="AN173" t="s">
        <v>236</v>
      </c>
    </row>
    <row r="174" spans="9:40" x14ac:dyDescent="0.45">
      <c r="I174" t="s">
        <v>175</v>
      </c>
      <c r="J174" t="s">
        <v>171</v>
      </c>
      <c r="K174">
        <v>1.5158173658475858E-2</v>
      </c>
      <c r="L174" t="s">
        <v>161</v>
      </c>
      <c r="N174" t="s">
        <v>198</v>
      </c>
      <c r="O174" t="s">
        <v>171</v>
      </c>
      <c r="P174">
        <v>3.8968393301674524E-3</v>
      </c>
      <c r="Q174" t="s">
        <v>161</v>
      </c>
      <c r="S174" t="s">
        <v>220</v>
      </c>
      <c r="T174" t="s">
        <v>171</v>
      </c>
      <c r="U174">
        <v>4.3139409257015116E-3</v>
      </c>
      <c r="V174" t="s">
        <v>161</v>
      </c>
      <c r="AK174">
        <v>2042</v>
      </c>
      <c r="AL174" t="s">
        <v>157</v>
      </c>
      <c r="AM174">
        <v>0.38493333333333335</v>
      </c>
      <c r="AN174" t="s">
        <v>236</v>
      </c>
    </row>
    <row r="175" spans="9:40" x14ac:dyDescent="0.45">
      <c r="I175" t="s">
        <v>175</v>
      </c>
      <c r="J175" t="s">
        <v>172</v>
      </c>
      <c r="K175">
        <v>0.12300341382010913</v>
      </c>
      <c r="L175" t="s">
        <v>161</v>
      </c>
      <c r="N175" t="s">
        <v>198</v>
      </c>
      <c r="O175" t="s">
        <v>172</v>
      </c>
      <c r="P175">
        <v>3.138643802352728E-2</v>
      </c>
      <c r="Q175" t="s">
        <v>161</v>
      </c>
      <c r="S175" t="s">
        <v>220</v>
      </c>
      <c r="T175" t="s">
        <v>172</v>
      </c>
      <c r="U175">
        <v>3.1913152306625787E-2</v>
      </c>
      <c r="V175" t="s">
        <v>161</v>
      </c>
      <c r="AK175">
        <v>2042</v>
      </c>
      <c r="AL175" t="s">
        <v>239</v>
      </c>
      <c r="AM175">
        <v>0.33936666666666665</v>
      </c>
      <c r="AN175" t="s">
        <v>236</v>
      </c>
    </row>
    <row r="176" spans="9:40" x14ac:dyDescent="0.45">
      <c r="I176" t="s">
        <v>175</v>
      </c>
      <c r="J176" t="s">
        <v>248</v>
      </c>
      <c r="K176">
        <v>1.2687171825670529E-2</v>
      </c>
      <c r="L176" t="s">
        <v>161</v>
      </c>
      <c r="N176" t="s">
        <v>198</v>
      </c>
      <c r="O176" t="s">
        <v>248</v>
      </c>
      <c r="P176">
        <v>4.2439200776852107E-3</v>
      </c>
      <c r="Q176" t="s">
        <v>161</v>
      </c>
      <c r="S176" t="s">
        <v>220</v>
      </c>
      <c r="T176" t="s">
        <v>248</v>
      </c>
      <c r="U176">
        <v>4.3554721998169425E-3</v>
      </c>
      <c r="V176" t="s">
        <v>161</v>
      </c>
      <c r="AK176">
        <v>2042</v>
      </c>
      <c r="AL176" t="s">
        <v>241</v>
      </c>
      <c r="AM176">
        <v>0.36675000000000002</v>
      </c>
      <c r="AN176" t="s">
        <v>236</v>
      </c>
    </row>
    <row r="177" spans="9:40" x14ac:dyDescent="0.45">
      <c r="I177" t="s">
        <v>175</v>
      </c>
      <c r="J177" t="s">
        <v>249</v>
      </c>
      <c r="K177">
        <v>9.3096992131871999E-3</v>
      </c>
      <c r="L177" t="s">
        <v>161</v>
      </c>
      <c r="N177" t="s">
        <v>198</v>
      </c>
      <c r="O177" t="s">
        <v>249</v>
      </c>
      <c r="P177">
        <v>4.0259771264926731E-3</v>
      </c>
      <c r="Q177" t="s">
        <v>161</v>
      </c>
      <c r="S177" t="s">
        <v>220</v>
      </c>
      <c r="T177" t="s">
        <v>249</v>
      </c>
      <c r="U177">
        <v>4.2741645094787738E-3</v>
      </c>
      <c r="V177" t="s">
        <v>161</v>
      </c>
      <c r="AK177">
        <v>2042</v>
      </c>
      <c r="AL177" t="s">
        <v>264</v>
      </c>
      <c r="AM177">
        <v>0.37919999999999998</v>
      </c>
      <c r="AN177" t="s">
        <v>236</v>
      </c>
    </row>
    <row r="178" spans="9:40" x14ac:dyDescent="0.45">
      <c r="I178" t="s">
        <v>175</v>
      </c>
      <c r="J178" t="s">
        <v>269</v>
      </c>
      <c r="K178">
        <v>6.4256813205864011E-3</v>
      </c>
      <c r="L178" t="s">
        <v>161</v>
      </c>
      <c r="N178" t="s">
        <v>198</v>
      </c>
      <c r="O178" t="s">
        <v>269</v>
      </c>
      <c r="P178">
        <v>2.6245753357567646E-2</v>
      </c>
      <c r="Q178" t="s">
        <v>161</v>
      </c>
      <c r="S178" t="s">
        <v>220</v>
      </c>
      <c r="T178" t="s">
        <v>269</v>
      </c>
      <c r="U178">
        <v>2.6912353973340165E-2</v>
      </c>
      <c r="V178" t="s">
        <v>161</v>
      </c>
      <c r="AK178">
        <v>2042</v>
      </c>
      <c r="AL178" t="s">
        <v>265</v>
      </c>
      <c r="AM178">
        <v>0.37919999999999998</v>
      </c>
      <c r="AN178" t="s">
        <v>236</v>
      </c>
    </row>
    <row r="179" spans="9:40" x14ac:dyDescent="0.45">
      <c r="I179" t="s">
        <v>175</v>
      </c>
      <c r="J179" t="s">
        <v>250</v>
      </c>
      <c r="K179">
        <v>5.2323103611188948E-3</v>
      </c>
      <c r="L179" t="s">
        <v>161</v>
      </c>
      <c r="N179" t="s">
        <v>198</v>
      </c>
      <c r="O179" t="s">
        <v>250</v>
      </c>
      <c r="P179">
        <v>5.3208396768031234E-2</v>
      </c>
      <c r="Q179" t="s">
        <v>161</v>
      </c>
      <c r="S179" t="s">
        <v>220</v>
      </c>
      <c r="T179" t="s">
        <v>250</v>
      </c>
      <c r="U179">
        <v>5.17433043579376E-2</v>
      </c>
      <c r="V179" t="s">
        <v>161</v>
      </c>
      <c r="AK179">
        <v>2043</v>
      </c>
      <c r="AL179" t="s">
        <v>149</v>
      </c>
      <c r="AM179">
        <v>0.37056666666666666</v>
      </c>
      <c r="AN179" t="s">
        <v>236</v>
      </c>
    </row>
    <row r="180" spans="9:40" x14ac:dyDescent="0.45">
      <c r="I180" t="s">
        <v>175</v>
      </c>
      <c r="J180" t="s">
        <v>251</v>
      </c>
      <c r="K180">
        <v>6.9016531349920043E-3</v>
      </c>
      <c r="L180" t="s">
        <v>161</v>
      </c>
      <c r="N180" t="s">
        <v>198</v>
      </c>
      <c r="O180" t="s">
        <v>251</v>
      </c>
      <c r="P180">
        <v>6.343618422071034E-3</v>
      </c>
      <c r="Q180" t="s">
        <v>161</v>
      </c>
      <c r="S180" t="s">
        <v>220</v>
      </c>
      <c r="T180" t="s">
        <v>251</v>
      </c>
      <c r="U180">
        <v>6.3844146134827548E-3</v>
      </c>
      <c r="V180" t="s">
        <v>161</v>
      </c>
      <c r="AK180">
        <v>2043</v>
      </c>
      <c r="AL180" t="s">
        <v>153</v>
      </c>
      <c r="AM180">
        <v>0.39690000000000003</v>
      </c>
      <c r="AN180" t="s">
        <v>236</v>
      </c>
    </row>
    <row r="181" spans="9:40" x14ac:dyDescent="0.45">
      <c r="I181" t="s">
        <v>175</v>
      </c>
      <c r="J181" t="s">
        <v>252</v>
      </c>
      <c r="K181">
        <v>7.4899548463536525E-2</v>
      </c>
      <c r="L181" t="s">
        <v>161</v>
      </c>
      <c r="N181" t="s">
        <v>198</v>
      </c>
      <c r="O181" t="s">
        <v>252</v>
      </c>
      <c r="P181">
        <v>4.1976430087356617E-2</v>
      </c>
      <c r="Q181" t="s">
        <v>161</v>
      </c>
      <c r="S181" t="s">
        <v>220</v>
      </c>
      <c r="T181" t="s">
        <v>252</v>
      </c>
      <c r="U181">
        <v>4.2205898233657169E-2</v>
      </c>
      <c r="V181" t="s">
        <v>161</v>
      </c>
      <c r="AK181">
        <v>2043</v>
      </c>
      <c r="AL181" t="s">
        <v>155</v>
      </c>
      <c r="AM181">
        <v>0.43385000000000001</v>
      </c>
      <c r="AN181" t="s">
        <v>236</v>
      </c>
    </row>
    <row r="182" spans="9:40" x14ac:dyDescent="0.45">
      <c r="I182" t="s">
        <v>175</v>
      </c>
      <c r="J182" t="s">
        <v>253</v>
      </c>
      <c r="K182">
        <v>6.3546143448076457E-3</v>
      </c>
      <c r="L182" t="s">
        <v>161</v>
      </c>
      <c r="N182" t="s">
        <v>198</v>
      </c>
      <c r="O182" t="s">
        <v>253</v>
      </c>
      <c r="P182">
        <v>6.102765999432126E-3</v>
      </c>
      <c r="Q182" t="s">
        <v>161</v>
      </c>
      <c r="S182" t="s">
        <v>220</v>
      </c>
      <c r="T182" t="s">
        <v>253</v>
      </c>
      <c r="U182">
        <v>6.1494790120421123E-3</v>
      </c>
      <c r="V182" t="s">
        <v>161</v>
      </c>
      <c r="AK182">
        <v>2043</v>
      </c>
      <c r="AL182" t="s">
        <v>157</v>
      </c>
      <c r="AM182">
        <v>0.40876666666666672</v>
      </c>
      <c r="AN182" t="s">
        <v>236</v>
      </c>
    </row>
    <row r="183" spans="9:40" x14ac:dyDescent="0.45">
      <c r="I183" t="s">
        <v>175</v>
      </c>
      <c r="J183" t="s">
        <v>254</v>
      </c>
      <c r="K183">
        <v>2.239515028257449E-3</v>
      </c>
      <c r="L183" t="s">
        <v>161</v>
      </c>
      <c r="N183" t="s">
        <v>198</v>
      </c>
      <c r="O183" t="s">
        <v>254</v>
      </c>
      <c r="P183">
        <v>6.3178780340948822E-3</v>
      </c>
      <c r="Q183" t="s">
        <v>161</v>
      </c>
      <c r="S183" t="s">
        <v>220</v>
      </c>
      <c r="T183" t="s">
        <v>254</v>
      </c>
      <c r="U183">
        <v>6.2592338585599726E-3</v>
      </c>
      <c r="V183" t="s">
        <v>161</v>
      </c>
      <c r="AK183">
        <v>2043</v>
      </c>
      <c r="AL183" t="s">
        <v>239</v>
      </c>
      <c r="AM183">
        <v>0.33693333333333331</v>
      </c>
      <c r="AN183" t="s">
        <v>236</v>
      </c>
    </row>
    <row r="184" spans="9:40" x14ac:dyDescent="0.45">
      <c r="I184" t="s">
        <v>175</v>
      </c>
      <c r="J184" t="s">
        <v>270</v>
      </c>
      <c r="K184">
        <v>0</v>
      </c>
      <c r="L184" t="s">
        <v>161</v>
      </c>
      <c r="N184" t="s">
        <v>198</v>
      </c>
      <c r="O184" t="s">
        <v>270</v>
      </c>
      <c r="P184">
        <v>4.0687731646975409E-2</v>
      </c>
      <c r="Q184" t="s">
        <v>161</v>
      </c>
      <c r="S184" t="s">
        <v>220</v>
      </c>
      <c r="T184" t="s">
        <v>270</v>
      </c>
      <c r="U184">
        <v>3.927018022185999E-2</v>
      </c>
      <c r="V184" t="s">
        <v>161</v>
      </c>
      <c r="AK184">
        <v>2043</v>
      </c>
      <c r="AL184" t="s">
        <v>241</v>
      </c>
      <c r="AM184">
        <v>0.32569999999999999</v>
      </c>
      <c r="AN184" t="s">
        <v>236</v>
      </c>
    </row>
    <row r="185" spans="9:40" x14ac:dyDescent="0.45">
      <c r="I185" t="s">
        <v>175</v>
      </c>
      <c r="J185" t="s">
        <v>255</v>
      </c>
      <c r="K185">
        <v>8.3925718058765165E-5</v>
      </c>
      <c r="L185" t="s">
        <v>161</v>
      </c>
      <c r="N185" t="s">
        <v>198</v>
      </c>
      <c r="O185" t="s">
        <v>255</v>
      </c>
      <c r="P185">
        <v>4.8631622545557043E-2</v>
      </c>
      <c r="Q185" t="s">
        <v>161</v>
      </c>
      <c r="S185" t="s">
        <v>220</v>
      </c>
      <c r="T185" t="s">
        <v>255</v>
      </c>
      <c r="U185">
        <v>4.831081593024409E-2</v>
      </c>
      <c r="V185" t="s">
        <v>161</v>
      </c>
      <c r="AK185">
        <v>2043</v>
      </c>
      <c r="AL185" t="s">
        <v>264</v>
      </c>
      <c r="AM185">
        <v>0.34720000000000001</v>
      </c>
      <c r="AN185" t="s">
        <v>236</v>
      </c>
    </row>
    <row r="186" spans="9:40" x14ac:dyDescent="0.45">
      <c r="I186" t="s">
        <v>175</v>
      </c>
      <c r="J186" t="s">
        <v>256</v>
      </c>
      <c r="K186">
        <v>2.2323159072752067E-3</v>
      </c>
      <c r="L186" t="s">
        <v>161</v>
      </c>
      <c r="N186" t="s">
        <v>198</v>
      </c>
      <c r="O186" t="s">
        <v>256</v>
      </c>
      <c r="P186">
        <v>5.9814801706063745E-3</v>
      </c>
      <c r="Q186" t="s">
        <v>161</v>
      </c>
      <c r="S186" t="s">
        <v>220</v>
      </c>
      <c r="T186" t="s">
        <v>256</v>
      </c>
      <c r="U186">
        <v>6.1144373921359872E-3</v>
      </c>
      <c r="V186" t="s">
        <v>161</v>
      </c>
      <c r="AK186">
        <v>2043</v>
      </c>
      <c r="AL186" t="s">
        <v>265</v>
      </c>
      <c r="AM186">
        <v>0.34720000000000001</v>
      </c>
      <c r="AN186" t="s">
        <v>236</v>
      </c>
    </row>
    <row r="187" spans="9:40" x14ac:dyDescent="0.45">
      <c r="I187" t="s">
        <v>175</v>
      </c>
      <c r="J187" t="s">
        <v>257</v>
      </c>
      <c r="K187">
        <v>3.6216914471218498E-2</v>
      </c>
      <c r="L187" t="s">
        <v>161</v>
      </c>
      <c r="N187" t="s">
        <v>198</v>
      </c>
      <c r="O187" t="s">
        <v>257</v>
      </c>
      <c r="P187">
        <v>3.7936680488866163E-2</v>
      </c>
      <c r="Q187" t="s">
        <v>161</v>
      </c>
      <c r="S187" t="s">
        <v>220</v>
      </c>
      <c r="T187" t="s">
        <v>257</v>
      </c>
      <c r="U187">
        <v>3.9597013162031798E-2</v>
      </c>
      <c r="V187" t="s">
        <v>161</v>
      </c>
      <c r="AK187">
        <v>2044</v>
      </c>
      <c r="AL187" t="s">
        <v>149</v>
      </c>
      <c r="AM187">
        <v>0.37013333333333326</v>
      </c>
      <c r="AN187" t="s">
        <v>236</v>
      </c>
    </row>
    <row r="188" spans="9:40" x14ac:dyDescent="0.45">
      <c r="I188" t="s">
        <v>175</v>
      </c>
      <c r="J188" t="s">
        <v>258</v>
      </c>
      <c r="K188">
        <v>3.8681063725175784E-4</v>
      </c>
      <c r="L188" t="s">
        <v>161</v>
      </c>
      <c r="N188" t="s">
        <v>198</v>
      </c>
      <c r="O188" t="s">
        <v>258</v>
      </c>
      <c r="P188">
        <v>5.5574581720378591E-3</v>
      </c>
      <c r="Q188" t="s">
        <v>161</v>
      </c>
      <c r="S188" t="s">
        <v>220</v>
      </c>
      <c r="T188" t="s">
        <v>258</v>
      </c>
      <c r="U188">
        <v>5.7469661888539785E-3</v>
      </c>
      <c r="V188" t="s">
        <v>161</v>
      </c>
      <c r="AK188">
        <v>2044</v>
      </c>
      <c r="AL188" t="s">
        <v>153</v>
      </c>
      <c r="AM188">
        <v>0.39485000000000003</v>
      </c>
      <c r="AN188" t="s">
        <v>236</v>
      </c>
    </row>
    <row r="189" spans="9:40" x14ac:dyDescent="0.45">
      <c r="I189" t="s">
        <v>175</v>
      </c>
      <c r="J189" t="s">
        <v>259</v>
      </c>
      <c r="K189">
        <v>0</v>
      </c>
      <c r="L189" t="s">
        <v>161</v>
      </c>
      <c r="N189" t="s">
        <v>198</v>
      </c>
      <c r="O189" t="s">
        <v>259</v>
      </c>
      <c r="P189">
        <v>5.6490075976152517E-3</v>
      </c>
      <c r="Q189" t="s">
        <v>161</v>
      </c>
      <c r="S189" t="s">
        <v>220</v>
      </c>
      <c r="T189" t="s">
        <v>259</v>
      </c>
      <c r="U189">
        <v>5.6976364747678724E-3</v>
      </c>
      <c r="V189" t="s">
        <v>161</v>
      </c>
      <c r="AK189">
        <v>2044</v>
      </c>
      <c r="AL189" t="s">
        <v>155</v>
      </c>
      <c r="AM189">
        <v>0.43532500000000002</v>
      </c>
      <c r="AN189" t="s">
        <v>236</v>
      </c>
    </row>
    <row r="190" spans="9:40" x14ac:dyDescent="0.45">
      <c r="I190" t="s">
        <v>175</v>
      </c>
      <c r="J190" t="s">
        <v>271</v>
      </c>
      <c r="K190">
        <v>0</v>
      </c>
      <c r="L190" t="s">
        <v>161</v>
      </c>
      <c r="N190" t="s">
        <v>198</v>
      </c>
      <c r="O190" t="s">
        <v>271</v>
      </c>
      <c r="P190">
        <v>3.3808088471556814E-2</v>
      </c>
      <c r="Q190" t="s">
        <v>161</v>
      </c>
      <c r="S190" t="s">
        <v>220</v>
      </c>
      <c r="T190" t="s">
        <v>271</v>
      </c>
      <c r="U190">
        <v>3.3545128867587731E-2</v>
      </c>
      <c r="V190" t="s">
        <v>161</v>
      </c>
      <c r="AK190">
        <v>2044</v>
      </c>
      <c r="AL190" t="s">
        <v>157</v>
      </c>
      <c r="AM190">
        <v>0.39856666666666668</v>
      </c>
      <c r="AN190" t="s">
        <v>236</v>
      </c>
    </row>
    <row r="191" spans="9:40" x14ac:dyDescent="0.45">
      <c r="I191" t="s">
        <v>175</v>
      </c>
      <c r="J191" t="s">
        <v>272</v>
      </c>
      <c r="K191">
        <v>0</v>
      </c>
      <c r="L191" t="s">
        <v>161</v>
      </c>
      <c r="N191" t="s">
        <v>198</v>
      </c>
      <c r="O191" t="s">
        <v>272</v>
      </c>
      <c r="P191">
        <v>1.6142054152338509E-2</v>
      </c>
      <c r="Q191" t="s">
        <v>161</v>
      </c>
      <c r="S191" t="s">
        <v>220</v>
      </c>
      <c r="T191" t="s">
        <v>272</v>
      </c>
      <c r="U191">
        <v>1.474795383679155E-2</v>
      </c>
      <c r="V191" t="s">
        <v>161</v>
      </c>
      <c r="AK191">
        <v>2044</v>
      </c>
      <c r="AL191" t="s">
        <v>239</v>
      </c>
      <c r="AM191">
        <v>0.35416666666666669</v>
      </c>
      <c r="AN191" t="s">
        <v>236</v>
      </c>
    </row>
    <row r="192" spans="9:40" x14ac:dyDescent="0.45">
      <c r="I192" t="s">
        <v>175</v>
      </c>
      <c r="J192" t="s">
        <v>273</v>
      </c>
      <c r="K192">
        <v>2.8341344861233916E-4</v>
      </c>
      <c r="L192" t="s">
        <v>161</v>
      </c>
      <c r="N192" t="s">
        <v>198</v>
      </c>
      <c r="O192" t="s">
        <v>273</v>
      </c>
      <c r="P192">
        <v>2.0925260240240804E-3</v>
      </c>
      <c r="Q192" t="s">
        <v>161</v>
      </c>
      <c r="S192" t="s">
        <v>220</v>
      </c>
      <c r="T192" t="s">
        <v>273</v>
      </c>
      <c r="U192">
        <v>1.9715487609056901E-3</v>
      </c>
      <c r="V192" t="s">
        <v>161</v>
      </c>
      <c r="AK192">
        <v>2044</v>
      </c>
      <c r="AL192" t="s">
        <v>241</v>
      </c>
      <c r="AM192">
        <v>0.35575000000000001</v>
      </c>
      <c r="AN192" t="s">
        <v>236</v>
      </c>
    </row>
    <row r="193" spans="9:40" x14ac:dyDescent="0.45">
      <c r="I193" t="s">
        <v>175</v>
      </c>
      <c r="J193" t="s">
        <v>274</v>
      </c>
      <c r="K193">
        <v>6.6498103997894176E-3</v>
      </c>
      <c r="L193" t="s">
        <v>161</v>
      </c>
      <c r="N193" t="s">
        <v>198</v>
      </c>
      <c r="O193" t="s">
        <v>274</v>
      </c>
      <c r="P193">
        <v>1.3488932921872414E-2</v>
      </c>
      <c r="Q193" t="s">
        <v>161</v>
      </c>
      <c r="S193" t="s">
        <v>220</v>
      </c>
      <c r="T193" t="s">
        <v>274</v>
      </c>
      <c r="U193">
        <v>1.316712177398309E-2</v>
      </c>
      <c r="V193" t="s">
        <v>161</v>
      </c>
      <c r="AK193">
        <v>2044</v>
      </c>
      <c r="AL193" t="s">
        <v>264</v>
      </c>
      <c r="AM193">
        <v>0.37430000000000002</v>
      </c>
      <c r="AN193" t="s">
        <v>236</v>
      </c>
    </row>
    <row r="194" spans="9:40" x14ac:dyDescent="0.45">
      <c r="I194" t="s">
        <v>175</v>
      </c>
      <c r="J194" t="s">
        <v>275</v>
      </c>
      <c r="K194">
        <v>0</v>
      </c>
      <c r="L194" t="s">
        <v>161</v>
      </c>
      <c r="N194" t="s">
        <v>198</v>
      </c>
      <c r="O194" t="s">
        <v>275</v>
      </c>
      <c r="P194">
        <v>1.8485725330715465E-3</v>
      </c>
      <c r="Q194" t="s">
        <v>161</v>
      </c>
      <c r="S194" t="s">
        <v>220</v>
      </c>
      <c r="T194" t="s">
        <v>275</v>
      </c>
      <c r="U194">
        <v>1.8157794181464086E-3</v>
      </c>
      <c r="V194" t="s">
        <v>161</v>
      </c>
      <c r="AK194">
        <v>2044</v>
      </c>
      <c r="AL194" t="s">
        <v>265</v>
      </c>
      <c r="AM194">
        <v>0.37430000000000002</v>
      </c>
      <c r="AN194" t="s">
        <v>236</v>
      </c>
    </row>
    <row r="195" spans="9:40" x14ac:dyDescent="0.45">
      <c r="I195" t="s">
        <v>175</v>
      </c>
      <c r="J195" t="s">
        <v>276</v>
      </c>
      <c r="K195">
        <v>0</v>
      </c>
      <c r="L195" t="s">
        <v>161</v>
      </c>
      <c r="N195" t="s">
        <v>198</v>
      </c>
      <c r="O195" t="s">
        <v>276</v>
      </c>
      <c r="P195">
        <v>1.8286351004826152E-3</v>
      </c>
      <c r="Q195" t="s">
        <v>161</v>
      </c>
      <c r="S195" t="s">
        <v>220</v>
      </c>
      <c r="T195" t="s">
        <v>276</v>
      </c>
      <c r="U195">
        <v>1.7851168316978959E-3</v>
      </c>
      <c r="V195" t="s">
        <v>161</v>
      </c>
      <c r="AK195">
        <v>2045</v>
      </c>
      <c r="AL195" t="s">
        <v>149</v>
      </c>
      <c r="AM195">
        <v>0.3666666666666667</v>
      </c>
      <c r="AN195" t="s">
        <v>236</v>
      </c>
    </row>
    <row r="196" spans="9:40" x14ac:dyDescent="0.45">
      <c r="I196" t="s">
        <v>175</v>
      </c>
      <c r="J196" t="s">
        <v>277</v>
      </c>
      <c r="K196">
        <v>0</v>
      </c>
      <c r="L196" t="s">
        <v>161</v>
      </c>
      <c r="N196" t="s">
        <v>198</v>
      </c>
      <c r="O196" t="s">
        <v>277</v>
      </c>
      <c r="P196">
        <v>1.1111567789203115E-2</v>
      </c>
      <c r="Q196" t="s">
        <v>161</v>
      </c>
      <c r="S196" t="s">
        <v>220</v>
      </c>
      <c r="T196" t="s">
        <v>277</v>
      </c>
      <c r="U196">
        <v>1.0466275549127577E-2</v>
      </c>
      <c r="V196" t="s">
        <v>161</v>
      </c>
      <c r="AK196">
        <v>2045</v>
      </c>
      <c r="AL196" t="s">
        <v>153</v>
      </c>
      <c r="AM196">
        <v>0.36560000000000004</v>
      </c>
      <c r="AN196" t="s">
        <v>236</v>
      </c>
    </row>
    <row r="197" spans="9:40" x14ac:dyDescent="0.45">
      <c r="I197" t="s">
        <v>175</v>
      </c>
      <c r="J197" t="s">
        <v>278</v>
      </c>
      <c r="K197">
        <v>0</v>
      </c>
      <c r="L197" t="s">
        <v>161</v>
      </c>
      <c r="N197" t="s">
        <v>198</v>
      </c>
      <c r="O197" t="s">
        <v>278</v>
      </c>
      <c r="P197">
        <v>7.9328830744361065E-3</v>
      </c>
      <c r="Q197" t="s">
        <v>161</v>
      </c>
      <c r="S197" t="s">
        <v>220</v>
      </c>
      <c r="T197" t="s">
        <v>278</v>
      </c>
      <c r="U197">
        <v>8.0243795827390722E-3</v>
      </c>
      <c r="V197" t="s">
        <v>161</v>
      </c>
      <c r="AK197">
        <v>2045</v>
      </c>
      <c r="AL197" t="s">
        <v>155</v>
      </c>
      <c r="AM197">
        <v>0.43390000000000001</v>
      </c>
      <c r="AN197" t="s">
        <v>236</v>
      </c>
    </row>
    <row r="198" spans="9:40" x14ac:dyDescent="0.45">
      <c r="I198" t="s">
        <v>175</v>
      </c>
      <c r="J198" t="s">
        <v>279</v>
      </c>
      <c r="K198">
        <v>1.6108739925264556E-4</v>
      </c>
      <c r="L198" t="s">
        <v>161</v>
      </c>
      <c r="N198" t="s">
        <v>198</v>
      </c>
      <c r="O198" t="s">
        <v>279</v>
      </c>
      <c r="P198">
        <v>1.0721118683597801E-3</v>
      </c>
      <c r="Q198" t="s">
        <v>161</v>
      </c>
      <c r="S198" t="s">
        <v>220</v>
      </c>
      <c r="T198" t="s">
        <v>279</v>
      </c>
      <c r="U198">
        <v>1.0770123951470451E-3</v>
      </c>
      <c r="V198" t="s">
        <v>161</v>
      </c>
      <c r="AK198">
        <v>2045</v>
      </c>
      <c r="AL198" t="s">
        <v>157</v>
      </c>
      <c r="AM198">
        <v>0.3995333333333333</v>
      </c>
      <c r="AN198" t="s">
        <v>236</v>
      </c>
    </row>
    <row r="199" spans="9:40" x14ac:dyDescent="0.45">
      <c r="I199" t="s">
        <v>175</v>
      </c>
      <c r="J199" t="s">
        <v>280</v>
      </c>
      <c r="K199">
        <v>5.4932602654435923E-3</v>
      </c>
      <c r="L199" t="s">
        <v>161</v>
      </c>
      <c r="N199" t="s">
        <v>198</v>
      </c>
      <c r="O199" t="s">
        <v>280</v>
      </c>
      <c r="P199">
        <v>8.074437460343805E-3</v>
      </c>
      <c r="Q199" t="s">
        <v>161</v>
      </c>
      <c r="S199" t="s">
        <v>220</v>
      </c>
      <c r="T199" t="s">
        <v>280</v>
      </c>
      <c r="U199">
        <v>7.9363255839487862E-3</v>
      </c>
      <c r="V199" t="s">
        <v>161</v>
      </c>
      <c r="AK199">
        <v>2045</v>
      </c>
      <c r="AL199" t="s">
        <v>239</v>
      </c>
      <c r="AM199">
        <v>0.33239999999999997</v>
      </c>
      <c r="AN199" t="s">
        <v>236</v>
      </c>
    </row>
    <row r="200" spans="9:40" x14ac:dyDescent="0.45">
      <c r="I200" t="s">
        <v>175</v>
      </c>
      <c r="J200" t="s">
        <v>281</v>
      </c>
      <c r="K200">
        <v>0</v>
      </c>
      <c r="L200" t="s">
        <v>161</v>
      </c>
      <c r="N200" t="s">
        <v>198</v>
      </c>
      <c r="O200" t="s">
        <v>281</v>
      </c>
      <c r="P200">
        <v>1.1976068118966674E-3</v>
      </c>
      <c r="Q200" t="s">
        <v>161</v>
      </c>
      <c r="S200" t="s">
        <v>220</v>
      </c>
      <c r="T200" t="s">
        <v>281</v>
      </c>
      <c r="U200">
        <v>1.175489931503505E-3</v>
      </c>
      <c r="V200" t="s">
        <v>161</v>
      </c>
      <c r="AK200">
        <v>2045</v>
      </c>
      <c r="AL200" t="s">
        <v>241</v>
      </c>
      <c r="AM200">
        <v>0.33829999999999999</v>
      </c>
      <c r="AN200" t="s">
        <v>236</v>
      </c>
    </row>
    <row r="201" spans="9:40" x14ac:dyDescent="0.45">
      <c r="I201" t="s">
        <v>175</v>
      </c>
      <c r="J201" t="s">
        <v>282</v>
      </c>
      <c r="K201">
        <v>0</v>
      </c>
      <c r="L201" t="s">
        <v>161</v>
      </c>
      <c r="N201" t="s">
        <v>198</v>
      </c>
      <c r="O201" t="s">
        <v>282</v>
      </c>
      <c r="P201">
        <v>1.1989069630644086E-3</v>
      </c>
      <c r="Q201" t="s">
        <v>161</v>
      </c>
      <c r="S201" t="s">
        <v>220</v>
      </c>
      <c r="T201" t="s">
        <v>282</v>
      </c>
      <c r="U201">
        <v>1.1847110950982201E-3</v>
      </c>
      <c r="V201" t="s">
        <v>161</v>
      </c>
      <c r="AK201">
        <v>2045</v>
      </c>
      <c r="AL201" t="s">
        <v>264</v>
      </c>
      <c r="AM201">
        <v>0.3584</v>
      </c>
      <c r="AN201" t="s">
        <v>236</v>
      </c>
    </row>
    <row r="202" spans="9:40" x14ac:dyDescent="0.45">
      <c r="I202" t="s">
        <v>175</v>
      </c>
      <c r="J202" t="s">
        <v>283</v>
      </c>
      <c r="K202">
        <v>0</v>
      </c>
      <c r="L202" t="s">
        <v>161</v>
      </c>
      <c r="N202" t="s">
        <v>198</v>
      </c>
      <c r="O202" t="s">
        <v>283</v>
      </c>
      <c r="P202">
        <v>6.8989492825258627E-3</v>
      </c>
      <c r="Q202" t="s">
        <v>161</v>
      </c>
      <c r="S202" t="s">
        <v>220</v>
      </c>
      <c r="T202" t="s">
        <v>283</v>
      </c>
      <c r="U202">
        <v>6.7405248125835945E-3</v>
      </c>
      <c r="V202" t="s">
        <v>161</v>
      </c>
      <c r="AK202">
        <v>2045</v>
      </c>
      <c r="AL202" t="s">
        <v>265</v>
      </c>
      <c r="AM202">
        <v>0.3584</v>
      </c>
      <c r="AN202" t="s">
        <v>236</v>
      </c>
    </row>
    <row r="203" spans="9:40" x14ac:dyDescent="0.45">
      <c r="I203" t="s">
        <v>176</v>
      </c>
      <c r="J203" t="s">
        <v>160</v>
      </c>
      <c r="K203">
        <v>2.7894767702783371E-3</v>
      </c>
      <c r="L203" t="s">
        <v>161</v>
      </c>
      <c r="N203" t="s">
        <v>199</v>
      </c>
      <c r="O203" t="s">
        <v>160</v>
      </c>
      <c r="P203">
        <v>7.1030782982253654E-2</v>
      </c>
      <c r="Q203" t="s">
        <v>161</v>
      </c>
      <c r="S203" t="s">
        <v>221</v>
      </c>
      <c r="T203" t="s">
        <v>160</v>
      </c>
      <c r="U203">
        <v>7.1182202466742631E-2</v>
      </c>
      <c r="V203" t="s">
        <v>161</v>
      </c>
      <c r="AK203">
        <v>2046</v>
      </c>
      <c r="AL203" t="s">
        <v>149</v>
      </c>
      <c r="AM203">
        <v>0.37096666666666667</v>
      </c>
      <c r="AN203" t="s">
        <v>236</v>
      </c>
    </row>
    <row r="204" spans="9:40" x14ac:dyDescent="0.45">
      <c r="I204" t="s">
        <v>176</v>
      </c>
      <c r="J204" t="s">
        <v>162</v>
      </c>
      <c r="K204">
        <v>8.10040602467774E-3</v>
      </c>
      <c r="L204" t="s">
        <v>161</v>
      </c>
      <c r="N204" t="s">
        <v>199</v>
      </c>
      <c r="O204" t="s">
        <v>162</v>
      </c>
      <c r="P204">
        <v>8.9990638435739137E-3</v>
      </c>
      <c r="Q204" t="s">
        <v>161</v>
      </c>
      <c r="S204" t="s">
        <v>221</v>
      </c>
      <c r="T204" t="s">
        <v>162</v>
      </c>
      <c r="U204">
        <v>8.9608964501329547E-3</v>
      </c>
      <c r="V204" t="s">
        <v>161</v>
      </c>
      <c r="AK204">
        <v>2046</v>
      </c>
      <c r="AL204" t="s">
        <v>153</v>
      </c>
      <c r="AM204">
        <v>0.38300000000000001</v>
      </c>
      <c r="AN204" t="s">
        <v>236</v>
      </c>
    </row>
    <row r="205" spans="9:40" x14ac:dyDescent="0.45">
      <c r="I205" t="s">
        <v>176</v>
      </c>
      <c r="J205" t="s">
        <v>163</v>
      </c>
      <c r="K205">
        <v>0.10942654078415658</v>
      </c>
      <c r="L205" t="s">
        <v>161</v>
      </c>
      <c r="N205" t="s">
        <v>199</v>
      </c>
      <c r="O205" t="s">
        <v>163</v>
      </c>
      <c r="P205">
        <v>6.2564326709734136E-2</v>
      </c>
      <c r="Q205" t="s">
        <v>161</v>
      </c>
      <c r="S205" t="s">
        <v>221</v>
      </c>
      <c r="T205" t="s">
        <v>163</v>
      </c>
      <c r="U205">
        <v>6.4420071429928269E-2</v>
      </c>
      <c r="V205" t="s">
        <v>161</v>
      </c>
      <c r="AK205">
        <v>2046</v>
      </c>
      <c r="AL205" t="s">
        <v>155</v>
      </c>
      <c r="AM205">
        <v>0.43332500000000002</v>
      </c>
      <c r="AN205" t="s">
        <v>236</v>
      </c>
    </row>
    <row r="206" spans="9:40" x14ac:dyDescent="0.45">
      <c r="I206" t="s">
        <v>176</v>
      </c>
      <c r="J206" t="s">
        <v>242</v>
      </c>
      <c r="K206">
        <v>8.4180348469575263E-3</v>
      </c>
      <c r="L206" t="s">
        <v>161</v>
      </c>
      <c r="N206" t="s">
        <v>199</v>
      </c>
      <c r="O206" t="s">
        <v>242</v>
      </c>
      <c r="P206">
        <v>9.1207539655799343E-3</v>
      </c>
      <c r="Q206" t="s">
        <v>161</v>
      </c>
      <c r="S206" t="s">
        <v>221</v>
      </c>
      <c r="T206" t="s">
        <v>242</v>
      </c>
      <c r="U206">
        <v>9.3839161061041367E-3</v>
      </c>
      <c r="V206" t="s">
        <v>161</v>
      </c>
      <c r="AK206">
        <v>2046</v>
      </c>
      <c r="AL206" t="s">
        <v>157</v>
      </c>
      <c r="AM206">
        <v>0.39599999999999996</v>
      </c>
      <c r="AN206" t="s">
        <v>236</v>
      </c>
    </row>
    <row r="207" spans="9:40" x14ac:dyDescent="0.45">
      <c r="I207" t="s">
        <v>176</v>
      </c>
      <c r="J207" t="s">
        <v>243</v>
      </c>
      <c r="K207">
        <v>3.0145291048053126E-3</v>
      </c>
      <c r="L207" t="s">
        <v>161</v>
      </c>
      <c r="N207" t="s">
        <v>199</v>
      </c>
      <c r="O207" t="s">
        <v>243</v>
      </c>
      <c r="P207">
        <v>9.2901543874258988E-3</v>
      </c>
      <c r="Q207" t="s">
        <v>161</v>
      </c>
      <c r="S207" t="s">
        <v>221</v>
      </c>
      <c r="T207" t="s">
        <v>243</v>
      </c>
      <c r="U207">
        <v>9.5596950580014578E-3</v>
      </c>
      <c r="V207" t="s">
        <v>161</v>
      </c>
      <c r="AK207">
        <v>2046</v>
      </c>
      <c r="AL207" t="s">
        <v>239</v>
      </c>
      <c r="AM207">
        <v>0.35180000000000006</v>
      </c>
      <c r="AN207" t="s">
        <v>236</v>
      </c>
    </row>
    <row r="208" spans="9:40" x14ac:dyDescent="0.45">
      <c r="I208" t="s">
        <v>176</v>
      </c>
      <c r="J208" t="s">
        <v>266</v>
      </c>
      <c r="K208">
        <v>0</v>
      </c>
      <c r="L208" t="s">
        <v>161</v>
      </c>
      <c r="N208" t="s">
        <v>199</v>
      </c>
      <c r="O208" t="s">
        <v>266</v>
      </c>
      <c r="P208">
        <v>5.6752983522360745E-2</v>
      </c>
      <c r="Q208" t="s">
        <v>161</v>
      </c>
      <c r="S208" t="s">
        <v>221</v>
      </c>
      <c r="T208" t="s">
        <v>266</v>
      </c>
      <c r="U208">
        <v>5.7739736485404772E-2</v>
      </c>
      <c r="V208" t="s">
        <v>161</v>
      </c>
      <c r="AK208">
        <v>2046</v>
      </c>
      <c r="AL208" t="s">
        <v>241</v>
      </c>
      <c r="AM208">
        <v>0.32989999999999997</v>
      </c>
      <c r="AN208" t="s">
        <v>236</v>
      </c>
    </row>
    <row r="209" spans="9:40" x14ac:dyDescent="0.45">
      <c r="I209" t="s">
        <v>176</v>
      </c>
      <c r="J209" t="s">
        <v>164</v>
      </c>
      <c r="K209">
        <v>1.0188782286049036E-2</v>
      </c>
      <c r="L209" t="s">
        <v>161</v>
      </c>
      <c r="N209" t="s">
        <v>199</v>
      </c>
      <c r="O209" t="s">
        <v>164</v>
      </c>
      <c r="P209">
        <v>3.711085159443113E-2</v>
      </c>
      <c r="Q209" t="s">
        <v>161</v>
      </c>
      <c r="S209" t="s">
        <v>221</v>
      </c>
      <c r="T209" t="s">
        <v>164</v>
      </c>
      <c r="U209">
        <v>3.72427139191326E-2</v>
      </c>
      <c r="V209" t="s">
        <v>161</v>
      </c>
      <c r="AK209">
        <v>2046</v>
      </c>
      <c r="AL209" t="s">
        <v>264</v>
      </c>
      <c r="AM209">
        <v>0.33829999999999999</v>
      </c>
      <c r="AN209" t="s">
        <v>236</v>
      </c>
    </row>
    <row r="210" spans="9:40" x14ac:dyDescent="0.45">
      <c r="I210" t="s">
        <v>176</v>
      </c>
      <c r="J210" t="s">
        <v>165</v>
      </c>
      <c r="K210">
        <v>9.5561532449395248E-3</v>
      </c>
      <c r="L210" t="s">
        <v>161</v>
      </c>
      <c r="N210" t="s">
        <v>199</v>
      </c>
      <c r="O210" t="s">
        <v>165</v>
      </c>
      <c r="P210">
        <v>4.544659717426792E-3</v>
      </c>
      <c r="Q210" t="s">
        <v>161</v>
      </c>
      <c r="S210" t="s">
        <v>221</v>
      </c>
      <c r="T210" t="s">
        <v>165</v>
      </c>
      <c r="U210">
        <v>4.7668270560548929E-3</v>
      </c>
      <c r="V210" t="s">
        <v>161</v>
      </c>
      <c r="AK210">
        <v>2046</v>
      </c>
      <c r="AL210" t="s">
        <v>265</v>
      </c>
      <c r="AM210">
        <v>0.33829999999999999</v>
      </c>
      <c r="AN210" t="s">
        <v>236</v>
      </c>
    </row>
    <row r="211" spans="9:40" x14ac:dyDescent="0.45">
      <c r="I211" t="s">
        <v>176</v>
      </c>
      <c r="J211" t="s">
        <v>166</v>
      </c>
      <c r="K211">
        <v>8.6593168572871776E-2</v>
      </c>
      <c r="L211" t="s">
        <v>161</v>
      </c>
      <c r="N211" t="s">
        <v>199</v>
      </c>
      <c r="O211" t="s">
        <v>166</v>
      </c>
      <c r="P211">
        <v>3.289280372958997E-2</v>
      </c>
      <c r="Q211" t="s">
        <v>161</v>
      </c>
      <c r="S211" t="s">
        <v>221</v>
      </c>
      <c r="T211" t="s">
        <v>166</v>
      </c>
      <c r="U211">
        <v>3.3287101348488196E-2</v>
      </c>
      <c r="V211" t="s">
        <v>161</v>
      </c>
      <c r="AK211">
        <v>2047</v>
      </c>
      <c r="AL211" t="s">
        <v>149</v>
      </c>
      <c r="AM211">
        <v>0.33453333333333335</v>
      </c>
      <c r="AN211" t="s">
        <v>236</v>
      </c>
    </row>
    <row r="212" spans="9:40" x14ac:dyDescent="0.45">
      <c r="I212" t="s">
        <v>176</v>
      </c>
      <c r="J212" t="s">
        <v>244</v>
      </c>
      <c r="K212">
        <v>8.1577949336299332E-3</v>
      </c>
      <c r="L212" t="s">
        <v>161</v>
      </c>
      <c r="N212" t="s">
        <v>199</v>
      </c>
      <c r="O212" t="s">
        <v>244</v>
      </c>
      <c r="P212">
        <v>5.0319397706346091E-3</v>
      </c>
      <c r="Q212" t="s">
        <v>161</v>
      </c>
      <c r="S212" t="s">
        <v>221</v>
      </c>
      <c r="T212" t="s">
        <v>244</v>
      </c>
      <c r="U212">
        <v>5.1911486451775273E-3</v>
      </c>
      <c r="V212" t="s">
        <v>161</v>
      </c>
      <c r="AK212">
        <v>2047</v>
      </c>
      <c r="AL212" t="s">
        <v>153</v>
      </c>
      <c r="AM212">
        <v>0.35034999999999999</v>
      </c>
      <c r="AN212" t="s">
        <v>236</v>
      </c>
    </row>
    <row r="213" spans="9:40" x14ac:dyDescent="0.45">
      <c r="I213" t="s">
        <v>176</v>
      </c>
      <c r="J213" t="s">
        <v>245</v>
      </c>
      <c r="K213">
        <v>5.5651904164228626E-3</v>
      </c>
      <c r="L213" t="s">
        <v>161</v>
      </c>
      <c r="N213" t="s">
        <v>199</v>
      </c>
      <c r="O213" t="s">
        <v>245</v>
      </c>
      <c r="P213">
        <v>5.0229495182512098E-3</v>
      </c>
      <c r="Q213" t="s">
        <v>161</v>
      </c>
      <c r="S213" t="s">
        <v>221</v>
      </c>
      <c r="T213" t="s">
        <v>245</v>
      </c>
      <c r="U213">
        <v>5.3580027642888273E-3</v>
      </c>
      <c r="V213" t="s">
        <v>161</v>
      </c>
      <c r="AK213">
        <v>2047</v>
      </c>
      <c r="AL213" t="s">
        <v>155</v>
      </c>
      <c r="AM213">
        <v>0.45174999999999998</v>
      </c>
      <c r="AN213" t="s">
        <v>236</v>
      </c>
    </row>
    <row r="214" spans="9:40" x14ac:dyDescent="0.45">
      <c r="I214" t="s">
        <v>176</v>
      </c>
      <c r="J214" t="s">
        <v>267</v>
      </c>
      <c r="K214">
        <v>2.3300300771645025E-3</v>
      </c>
      <c r="L214" t="s">
        <v>161</v>
      </c>
      <c r="N214" t="s">
        <v>199</v>
      </c>
      <c r="O214" t="s">
        <v>267</v>
      </c>
      <c r="P214">
        <v>3.0834410046933734E-2</v>
      </c>
      <c r="Q214" t="s">
        <v>161</v>
      </c>
      <c r="S214" t="s">
        <v>221</v>
      </c>
      <c r="T214" t="s">
        <v>267</v>
      </c>
      <c r="U214">
        <v>3.2933422097255603E-2</v>
      </c>
      <c r="V214" t="s">
        <v>161</v>
      </c>
      <c r="AK214">
        <v>2047</v>
      </c>
      <c r="AL214" t="s">
        <v>157</v>
      </c>
      <c r="AM214">
        <v>0.42236666666666672</v>
      </c>
      <c r="AN214" t="s">
        <v>236</v>
      </c>
    </row>
    <row r="215" spans="9:40" x14ac:dyDescent="0.45">
      <c r="I215" t="s">
        <v>176</v>
      </c>
      <c r="J215" t="s">
        <v>167</v>
      </c>
      <c r="K215">
        <v>5.466371358424494E-2</v>
      </c>
      <c r="L215" t="s">
        <v>161</v>
      </c>
      <c r="N215" t="s">
        <v>199</v>
      </c>
      <c r="O215" t="s">
        <v>167</v>
      </c>
      <c r="P215">
        <v>6.9540484430884744E-2</v>
      </c>
      <c r="Q215" t="s">
        <v>161</v>
      </c>
      <c r="S215" t="s">
        <v>221</v>
      </c>
      <c r="T215" t="s">
        <v>167</v>
      </c>
      <c r="U215">
        <v>7.0607057358523906E-2</v>
      </c>
      <c r="V215" t="s">
        <v>161</v>
      </c>
      <c r="AK215">
        <v>2047</v>
      </c>
      <c r="AL215" t="s">
        <v>239</v>
      </c>
      <c r="AM215">
        <v>0.33673333333333333</v>
      </c>
      <c r="AN215" t="s">
        <v>236</v>
      </c>
    </row>
    <row r="216" spans="9:40" x14ac:dyDescent="0.45">
      <c r="I216" t="s">
        <v>176</v>
      </c>
      <c r="J216" t="s">
        <v>168</v>
      </c>
      <c r="K216">
        <v>3.1394141747332675E-2</v>
      </c>
      <c r="L216" t="s">
        <v>161</v>
      </c>
      <c r="N216" t="s">
        <v>199</v>
      </c>
      <c r="O216" t="s">
        <v>168</v>
      </c>
      <c r="P216">
        <v>7.8718394085496874E-3</v>
      </c>
      <c r="Q216" t="s">
        <v>161</v>
      </c>
      <c r="S216" t="s">
        <v>221</v>
      </c>
      <c r="T216" t="s">
        <v>168</v>
      </c>
      <c r="U216">
        <v>8.3444365122382937E-3</v>
      </c>
      <c r="V216" t="s">
        <v>161</v>
      </c>
      <c r="AK216">
        <v>2047</v>
      </c>
      <c r="AL216" t="s">
        <v>241</v>
      </c>
      <c r="AM216">
        <v>0.3367</v>
      </c>
      <c r="AN216" t="s">
        <v>236</v>
      </c>
    </row>
    <row r="217" spans="9:40" x14ac:dyDescent="0.45">
      <c r="I217" t="s">
        <v>176</v>
      </c>
      <c r="J217" t="s">
        <v>169</v>
      </c>
      <c r="K217">
        <v>0.24195253802860417</v>
      </c>
      <c r="L217" t="s">
        <v>161</v>
      </c>
      <c r="N217" t="s">
        <v>199</v>
      </c>
      <c r="O217" t="s">
        <v>169</v>
      </c>
      <c r="P217">
        <v>5.5004203520174669E-2</v>
      </c>
      <c r="Q217" t="s">
        <v>161</v>
      </c>
      <c r="S217" t="s">
        <v>221</v>
      </c>
      <c r="T217" t="s">
        <v>169</v>
      </c>
      <c r="U217">
        <v>5.3804137872183765E-2</v>
      </c>
      <c r="V217" t="s">
        <v>161</v>
      </c>
      <c r="AK217">
        <v>2047</v>
      </c>
      <c r="AL217" t="s">
        <v>264</v>
      </c>
      <c r="AM217">
        <v>0.33610000000000001</v>
      </c>
      <c r="AN217" t="s">
        <v>236</v>
      </c>
    </row>
    <row r="218" spans="9:40" x14ac:dyDescent="0.45">
      <c r="I218" t="s">
        <v>176</v>
      </c>
      <c r="J218" t="s">
        <v>246</v>
      </c>
      <c r="K218">
        <v>2.4771750095995037E-2</v>
      </c>
      <c r="L218" t="s">
        <v>161</v>
      </c>
      <c r="N218" t="s">
        <v>199</v>
      </c>
      <c r="O218" t="s">
        <v>246</v>
      </c>
      <c r="P218">
        <v>8.660890018307426E-3</v>
      </c>
      <c r="Q218" t="s">
        <v>161</v>
      </c>
      <c r="S218" t="s">
        <v>221</v>
      </c>
      <c r="T218" t="s">
        <v>246</v>
      </c>
      <c r="U218">
        <v>8.5570011010381603E-3</v>
      </c>
      <c r="V218" t="s">
        <v>161</v>
      </c>
      <c r="AK218">
        <v>2047</v>
      </c>
      <c r="AL218" t="s">
        <v>265</v>
      </c>
      <c r="AM218">
        <v>0.33610000000000001</v>
      </c>
      <c r="AN218" t="s">
        <v>236</v>
      </c>
    </row>
    <row r="219" spans="9:40" x14ac:dyDescent="0.45">
      <c r="I219" t="s">
        <v>176</v>
      </c>
      <c r="J219" t="s">
        <v>247</v>
      </c>
      <c r="K219">
        <v>1.9305956760177202E-2</v>
      </c>
      <c r="L219" t="s">
        <v>161</v>
      </c>
      <c r="N219" t="s">
        <v>199</v>
      </c>
      <c r="O219" t="s">
        <v>247</v>
      </c>
      <c r="P219">
        <v>8.6123460216491719E-3</v>
      </c>
      <c r="Q219" t="s">
        <v>161</v>
      </c>
      <c r="S219" t="s">
        <v>221</v>
      </c>
      <c r="T219" t="s">
        <v>247</v>
      </c>
      <c r="U219">
        <v>8.7937238949014219E-3</v>
      </c>
      <c r="V219" t="s">
        <v>161</v>
      </c>
      <c r="AK219">
        <v>2048</v>
      </c>
      <c r="AL219" t="s">
        <v>149</v>
      </c>
      <c r="AM219">
        <v>0.35470000000000002</v>
      </c>
      <c r="AN219" t="s">
        <v>236</v>
      </c>
    </row>
    <row r="220" spans="9:40" x14ac:dyDescent="0.45">
      <c r="I220" t="s">
        <v>176</v>
      </c>
      <c r="J220" t="s">
        <v>268</v>
      </c>
      <c r="K220">
        <v>1.8425302068789874E-2</v>
      </c>
      <c r="L220" t="s">
        <v>161</v>
      </c>
      <c r="N220" t="s">
        <v>199</v>
      </c>
      <c r="O220" t="s">
        <v>268</v>
      </c>
      <c r="P220">
        <v>5.3367447962602177E-2</v>
      </c>
      <c r="Q220" t="s">
        <v>161</v>
      </c>
      <c r="S220" t="s">
        <v>221</v>
      </c>
      <c r="T220" t="s">
        <v>268</v>
      </c>
      <c r="U220">
        <v>5.571473074979813E-2</v>
      </c>
      <c r="V220" t="s">
        <v>161</v>
      </c>
      <c r="AK220">
        <v>2048</v>
      </c>
      <c r="AL220" t="s">
        <v>153</v>
      </c>
      <c r="AM220">
        <v>0.38565000000000005</v>
      </c>
      <c r="AN220" t="s">
        <v>236</v>
      </c>
    </row>
    <row r="221" spans="9:40" x14ac:dyDescent="0.45">
      <c r="I221" t="s">
        <v>176</v>
      </c>
      <c r="J221" t="s">
        <v>170</v>
      </c>
      <c r="K221">
        <v>2.0776819166661683E-2</v>
      </c>
      <c r="L221" t="s">
        <v>161</v>
      </c>
      <c r="N221" t="s">
        <v>199</v>
      </c>
      <c r="O221" t="s">
        <v>170</v>
      </c>
      <c r="P221">
        <v>3.6382751503636256E-2</v>
      </c>
      <c r="Q221" t="s">
        <v>161</v>
      </c>
      <c r="S221" t="s">
        <v>221</v>
      </c>
      <c r="T221" t="s">
        <v>170</v>
      </c>
      <c r="U221">
        <v>3.5106797672806923E-2</v>
      </c>
      <c r="V221" t="s">
        <v>161</v>
      </c>
      <c r="AK221">
        <v>2048</v>
      </c>
      <c r="AL221" t="s">
        <v>155</v>
      </c>
      <c r="AM221">
        <v>0.44475000000000003</v>
      </c>
      <c r="AN221" t="s">
        <v>236</v>
      </c>
    </row>
    <row r="222" spans="9:40" x14ac:dyDescent="0.45">
      <c r="I222" t="s">
        <v>176</v>
      </c>
      <c r="J222" t="s">
        <v>171</v>
      </c>
      <c r="K222">
        <v>1.4566023345551141E-2</v>
      </c>
      <c r="L222" t="s">
        <v>161</v>
      </c>
      <c r="N222" t="s">
        <v>199</v>
      </c>
      <c r="O222" t="s">
        <v>171</v>
      </c>
      <c r="P222">
        <v>4.0038096055787864E-3</v>
      </c>
      <c r="Q222" t="s">
        <v>161</v>
      </c>
      <c r="S222" t="s">
        <v>221</v>
      </c>
      <c r="T222" t="s">
        <v>171</v>
      </c>
      <c r="U222">
        <v>4.125193864634215E-3</v>
      </c>
      <c r="V222" t="s">
        <v>161</v>
      </c>
      <c r="AK222">
        <v>2048</v>
      </c>
      <c r="AL222" t="s">
        <v>157</v>
      </c>
      <c r="AM222">
        <v>0.41416666666666674</v>
      </c>
      <c r="AN222" t="s">
        <v>236</v>
      </c>
    </row>
    <row r="223" spans="9:40" x14ac:dyDescent="0.45">
      <c r="I223" t="s">
        <v>176</v>
      </c>
      <c r="J223" t="s">
        <v>172</v>
      </c>
      <c r="K223">
        <v>0.11686908907053649</v>
      </c>
      <c r="L223" t="s">
        <v>161</v>
      </c>
      <c r="N223" t="s">
        <v>199</v>
      </c>
      <c r="O223" t="s">
        <v>172</v>
      </c>
      <c r="P223">
        <v>2.8581474784349629E-2</v>
      </c>
      <c r="Q223" t="s">
        <v>161</v>
      </c>
      <c r="S223" t="s">
        <v>221</v>
      </c>
      <c r="T223" t="s">
        <v>172</v>
      </c>
      <c r="U223">
        <v>2.8057644883501813E-2</v>
      </c>
      <c r="V223" t="s">
        <v>161</v>
      </c>
      <c r="AK223">
        <v>2048</v>
      </c>
      <c r="AL223" t="s">
        <v>239</v>
      </c>
      <c r="AM223">
        <v>0.34603333333333336</v>
      </c>
      <c r="AN223" t="s">
        <v>236</v>
      </c>
    </row>
    <row r="224" spans="9:40" x14ac:dyDescent="0.45">
      <c r="I224" t="s">
        <v>176</v>
      </c>
      <c r="J224" t="s">
        <v>248</v>
      </c>
      <c r="K224">
        <v>1.2300964439234292E-2</v>
      </c>
      <c r="L224" t="s">
        <v>161</v>
      </c>
      <c r="N224" t="s">
        <v>199</v>
      </c>
      <c r="O224" t="s">
        <v>248</v>
      </c>
      <c r="P224">
        <v>4.5459261219544574E-3</v>
      </c>
      <c r="Q224" t="s">
        <v>161</v>
      </c>
      <c r="S224" t="s">
        <v>221</v>
      </c>
      <c r="T224" t="s">
        <v>248</v>
      </c>
      <c r="U224">
        <v>4.5566657868104828E-3</v>
      </c>
      <c r="V224" t="s">
        <v>161</v>
      </c>
      <c r="AK224">
        <v>2048</v>
      </c>
      <c r="AL224" t="s">
        <v>241</v>
      </c>
      <c r="AM224">
        <v>0.34609999999999996</v>
      </c>
      <c r="AN224" t="s">
        <v>236</v>
      </c>
    </row>
    <row r="225" spans="9:40" x14ac:dyDescent="0.45">
      <c r="I225" t="s">
        <v>176</v>
      </c>
      <c r="J225" t="s">
        <v>249</v>
      </c>
      <c r="K225">
        <v>9.3692797382812863E-3</v>
      </c>
      <c r="L225" t="s">
        <v>161</v>
      </c>
      <c r="N225" t="s">
        <v>199</v>
      </c>
      <c r="O225" t="s">
        <v>249</v>
      </c>
      <c r="P225">
        <v>4.5226641023236001E-3</v>
      </c>
      <c r="Q225" t="s">
        <v>161</v>
      </c>
      <c r="S225" t="s">
        <v>221</v>
      </c>
      <c r="T225" t="s">
        <v>249</v>
      </c>
      <c r="U225">
        <v>4.7552610225264783E-3</v>
      </c>
      <c r="V225" t="s">
        <v>161</v>
      </c>
      <c r="AK225">
        <v>2048</v>
      </c>
      <c r="AL225" t="s">
        <v>264</v>
      </c>
      <c r="AM225">
        <v>0.36759999999999998</v>
      </c>
      <c r="AN225" t="s">
        <v>236</v>
      </c>
    </row>
    <row r="226" spans="9:40" x14ac:dyDescent="0.45">
      <c r="I226" t="s">
        <v>176</v>
      </c>
      <c r="J226" t="s">
        <v>269</v>
      </c>
      <c r="K226">
        <v>6.0565069898202359E-3</v>
      </c>
      <c r="L226" t="s">
        <v>161</v>
      </c>
      <c r="N226" t="s">
        <v>199</v>
      </c>
      <c r="O226" t="s">
        <v>269</v>
      </c>
      <c r="P226">
        <v>2.9845265024313523E-2</v>
      </c>
      <c r="Q226" t="s">
        <v>161</v>
      </c>
      <c r="S226" t="s">
        <v>221</v>
      </c>
      <c r="T226" t="s">
        <v>269</v>
      </c>
      <c r="U226">
        <v>3.0638944430717102E-2</v>
      </c>
      <c r="V226" t="s">
        <v>161</v>
      </c>
      <c r="AK226">
        <v>2048</v>
      </c>
      <c r="AL226" t="s">
        <v>265</v>
      </c>
      <c r="AM226">
        <v>0.36759999999999998</v>
      </c>
      <c r="AN226" t="s">
        <v>236</v>
      </c>
    </row>
    <row r="227" spans="9:40" x14ac:dyDescent="0.45">
      <c r="I227" t="s">
        <v>176</v>
      </c>
      <c r="J227" t="s">
        <v>250</v>
      </c>
      <c r="K227">
        <v>5.3587840803629022E-3</v>
      </c>
      <c r="L227" t="s">
        <v>161</v>
      </c>
      <c r="N227" t="s">
        <v>199</v>
      </c>
      <c r="O227" t="s">
        <v>250</v>
      </c>
      <c r="P227">
        <v>4.4273066279294566E-2</v>
      </c>
      <c r="Q227" t="s">
        <v>161</v>
      </c>
      <c r="S227" t="s">
        <v>221</v>
      </c>
      <c r="T227" t="s">
        <v>250</v>
      </c>
      <c r="U227">
        <v>4.279323441303181E-2</v>
      </c>
      <c r="V227" t="s">
        <v>161</v>
      </c>
      <c r="AK227">
        <v>2049</v>
      </c>
      <c r="AL227" t="s">
        <v>149</v>
      </c>
      <c r="AM227">
        <v>0.37246666666666667</v>
      </c>
      <c r="AN227" t="s">
        <v>236</v>
      </c>
    </row>
    <row r="228" spans="9:40" x14ac:dyDescent="0.45">
      <c r="I228" t="s">
        <v>176</v>
      </c>
      <c r="J228" t="s">
        <v>251</v>
      </c>
      <c r="K228">
        <v>6.9344031201463993E-3</v>
      </c>
      <c r="L228" t="s">
        <v>161</v>
      </c>
      <c r="N228" t="s">
        <v>199</v>
      </c>
      <c r="O228" t="s">
        <v>251</v>
      </c>
      <c r="P228">
        <v>5.7027431289978217E-3</v>
      </c>
      <c r="Q228" t="s">
        <v>161</v>
      </c>
      <c r="S228" t="s">
        <v>221</v>
      </c>
      <c r="T228" t="s">
        <v>251</v>
      </c>
      <c r="U228">
        <v>5.4667905041371149E-3</v>
      </c>
      <c r="V228" t="s">
        <v>161</v>
      </c>
      <c r="AK228">
        <v>2049</v>
      </c>
      <c r="AL228" t="s">
        <v>153</v>
      </c>
      <c r="AM228">
        <v>0.39959999999999996</v>
      </c>
      <c r="AN228" t="s">
        <v>236</v>
      </c>
    </row>
    <row r="229" spans="9:40" x14ac:dyDescent="0.45">
      <c r="I229" t="s">
        <v>176</v>
      </c>
      <c r="J229" t="s">
        <v>252</v>
      </c>
      <c r="K229">
        <v>7.5173001159349509E-2</v>
      </c>
      <c r="L229" t="s">
        <v>161</v>
      </c>
      <c r="N229" t="s">
        <v>199</v>
      </c>
      <c r="O229" t="s">
        <v>252</v>
      </c>
      <c r="P229">
        <v>3.8280688785084831E-2</v>
      </c>
      <c r="Q229" t="s">
        <v>161</v>
      </c>
      <c r="S229" t="s">
        <v>221</v>
      </c>
      <c r="T229" t="s">
        <v>252</v>
      </c>
      <c r="U229">
        <v>3.7531204265014641E-2</v>
      </c>
      <c r="V229" t="s">
        <v>161</v>
      </c>
      <c r="AK229">
        <v>2049</v>
      </c>
      <c r="AL229" t="s">
        <v>155</v>
      </c>
      <c r="AM229">
        <v>0.43245</v>
      </c>
      <c r="AN229" t="s">
        <v>236</v>
      </c>
    </row>
    <row r="230" spans="9:40" x14ac:dyDescent="0.45">
      <c r="I230" t="s">
        <v>176</v>
      </c>
      <c r="J230" t="s">
        <v>253</v>
      </c>
      <c r="K230">
        <v>6.7200057387374985E-3</v>
      </c>
      <c r="L230" t="s">
        <v>161</v>
      </c>
      <c r="N230" t="s">
        <v>199</v>
      </c>
      <c r="O230" t="s">
        <v>253</v>
      </c>
      <c r="P230">
        <v>5.6659194013705854E-3</v>
      </c>
      <c r="Q230" t="s">
        <v>161</v>
      </c>
      <c r="S230" t="s">
        <v>221</v>
      </c>
      <c r="T230" t="s">
        <v>253</v>
      </c>
      <c r="U230">
        <v>5.4215978649293159E-3</v>
      </c>
      <c r="V230" t="s">
        <v>161</v>
      </c>
      <c r="AK230">
        <v>2049</v>
      </c>
      <c r="AL230" t="s">
        <v>157</v>
      </c>
      <c r="AM230">
        <v>0.39596666666666663</v>
      </c>
      <c r="AN230" t="s">
        <v>236</v>
      </c>
    </row>
    <row r="231" spans="9:40" x14ac:dyDescent="0.45">
      <c r="I231" t="s">
        <v>176</v>
      </c>
      <c r="J231" t="s">
        <v>254</v>
      </c>
      <c r="K231">
        <v>2.0404743748881947E-3</v>
      </c>
      <c r="L231" t="s">
        <v>161</v>
      </c>
      <c r="N231" t="s">
        <v>199</v>
      </c>
      <c r="O231" t="s">
        <v>254</v>
      </c>
      <c r="P231">
        <v>5.8152222834924406E-3</v>
      </c>
      <c r="Q231" t="s">
        <v>161</v>
      </c>
      <c r="S231" t="s">
        <v>221</v>
      </c>
      <c r="T231" t="s">
        <v>254</v>
      </c>
      <c r="U231">
        <v>5.6428129610591781E-3</v>
      </c>
      <c r="V231" t="s">
        <v>161</v>
      </c>
      <c r="AK231">
        <v>2049</v>
      </c>
      <c r="AL231" t="s">
        <v>239</v>
      </c>
      <c r="AM231">
        <v>0.35843333333333333</v>
      </c>
      <c r="AN231" t="s">
        <v>236</v>
      </c>
    </row>
    <row r="232" spans="9:40" x14ac:dyDescent="0.45">
      <c r="I232" t="s">
        <v>176</v>
      </c>
      <c r="J232" t="s">
        <v>270</v>
      </c>
      <c r="K232">
        <v>0</v>
      </c>
      <c r="L232" t="s">
        <v>161</v>
      </c>
      <c r="N232" t="s">
        <v>199</v>
      </c>
      <c r="O232" t="s">
        <v>270</v>
      </c>
      <c r="P232">
        <v>3.7372414452190555E-2</v>
      </c>
      <c r="Q232" t="s">
        <v>161</v>
      </c>
      <c r="S232" t="s">
        <v>221</v>
      </c>
      <c r="T232" t="s">
        <v>270</v>
      </c>
      <c r="U232">
        <v>3.6028856363661751E-2</v>
      </c>
      <c r="V232" t="s">
        <v>161</v>
      </c>
      <c r="AK232">
        <v>2049</v>
      </c>
      <c r="AL232" t="s">
        <v>241</v>
      </c>
      <c r="AM232">
        <v>0.34914999999999996</v>
      </c>
      <c r="AN232" t="s">
        <v>236</v>
      </c>
    </row>
    <row r="233" spans="9:40" x14ac:dyDescent="0.45">
      <c r="I233" t="s">
        <v>176</v>
      </c>
      <c r="J233" t="s">
        <v>255</v>
      </c>
      <c r="K233">
        <v>3.3860597806650237E-4</v>
      </c>
      <c r="L233" t="s">
        <v>161</v>
      </c>
      <c r="N233" t="s">
        <v>199</v>
      </c>
      <c r="O233" t="s">
        <v>255</v>
      </c>
      <c r="P233">
        <v>5.0525658969344182E-2</v>
      </c>
      <c r="Q233" t="s">
        <v>161</v>
      </c>
      <c r="S233" t="s">
        <v>221</v>
      </c>
      <c r="T233" t="s">
        <v>255</v>
      </c>
      <c r="U233">
        <v>4.9137161228140415E-2</v>
      </c>
      <c r="V233" t="s">
        <v>161</v>
      </c>
      <c r="AK233">
        <v>2049</v>
      </c>
      <c r="AL233" t="s">
        <v>264</v>
      </c>
      <c r="AM233">
        <v>0.38119999999999998</v>
      </c>
      <c r="AN233" t="s">
        <v>236</v>
      </c>
    </row>
    <row r="234" spans="9:40" x14ac:dyDescent="0.45">
      <c r="I234" t="s">
        <v>176</v>
      </c>
      <c r="J234" t="s">
        <v>256</v>
      </c>
      <c r="K234">
        <v>4.1549978369455664E-3</v>
      </c>
      <c r="L234" t="s">
        <v>161</v>
      </c>
      <c r="N234" t="s">
        <v>199</v>
      </c>
      <c r="O234" t="s">
        <v>256</v>
      </c>
      <c r="P234">
        <v>6.4905966325424988E-3</v>
      </c>
      <c r="Q234" t="s">
        <v>161</v>
      </c>
      <c r="S234" t="s">
        <v>221</v>
      </c>
      <c r="T234" t="s">
        <v>256</v>
      </c>
      <c r="U234">
        <v>6.1632522157291404E-3</v>
      </c>
      <c r="V234" t="s">
        <v>161</v>
      </c>
      <c r="AK234">
        <v>2049</v>
      </c>
      <c r="AL234" t="s">
        <v>265</v>
      </c>
      <c r="AM234">
        <v>0.38119999999999998</v>
      </c>
      <c r="AN234" t="s">
        <v>236</v>
      </c>
    </row>
    <row r="235" spans="9:40" x14ac:dyDescent="0.45">
      <c r="I235" t="s">
        <v>176</v>
      </c>
      <c r="J235" t="s">
        <v>257</v>
      </c>
      <c r="K235">
        <v>5.4106607245074996E-2</v>
      </c>
      <c r="L235" t="s">
        <v>161</v>
      </c>
      <c r="N235" t="s">
        <v>199</v>
      </c>
      <c r="O235" t="s">
        <v>257</v>
      </c>
      <c r="P235">
        <v>4.4128657049273205E-2</v>
      </c>
      <c r="Q235" t="s">
        <v>161</v>
      </c>
      <c r="S235" t="s">
        <v>221</v>
      </c>
      <c r="T235" t="s">
        <v>257</v>
      </c>
      <c r="U235">
        <v>4.338250705093738E-2</v>
      </c>
      <c r="V235" t="s">
        <v>161</v>
      </c>
      <c r="AK235">
        <v>2050</v>
      </c>
      <c r="AL235" t="s">
        <v>149</v>
      </c>
      <c r="AM235">
        <v>0.35659999999999997</v>
      </c>
      <c r="AN235" t="s">
        <v>236</v>
      </c>
    </row>
    <row r="236" spans="9:40" x14ac:dyDescent="0.45">
      <c r="I236" t="s">
        <v>176</v>
      </c>
      <c r="J236" t="s">
        <v>258</v>
      </c>
      <c r="K236">
        <v>7.838661865173733E-4</v>
      </c>
      <c r="L236" t="s">
        <v>161</v>
      </c>
      <c r="N236" t="s">
        <v>199</v>
      </c>
      <c r="O236" t="s">
        <v>258</v>
      </c>
      <c r="P236">
        <v>6.5144322048248703E-3</v>
      </c>
      <c r="Q236" t="s">
        <v>161</v>
      </c>
      <c r="S236" t="s">
        <v>221</v>
      </c>
      <c r="T236" t="s">
        <v>258</v>
      </c>
      <c r="U236">
        <v>6.4835353784899411E-3</v>
      </c>
      <c r="V236" t="s">
        <v>161</v>
      </c>
      <c r="AK236">
        <v>2050</v>
      </c>
      <c r="AL236" t="s">
        <v>153</v>
      </c>
      <c r="AM236">
        <v>0.40479999999999999</v>
      </c>
      <c r="AN236" t="s">
        <v>236</v>
      </c>
    </row>
    <row r="237" spans="9:40" x14ac:dyDescent="0.45">
      <c r="I237" t="s">
        <v>176</v>
      </c>
      <c r="J237" t="s">
        <v>259</v>
      </c>
      <c r="K237">
        <v>0</v>
      </c>
      <c r="L237" t="s">
        <v>161</v>
      </c>
      <c r="N237" t="s">
        <v>199</v>
      </c>
      <c r="O237" t="s">
        <v>259</v>
      </c>
      <c r="P237">
        <v>6.5432124388456036E-3</v>
      </c>
      <c r="Q237" t="s">
        <v>161</v>
      </c>
      <c r="S237" t="s">
        <v>221</v>
      </c>
      <c r="T237" t="s">
        <v>259</v>
      </c>
      <c r="U237">
        <v>6.6150176043870447E-3</v>
      </c>
      <c r="V237" t="s">
        <v>161</v>
      </c>
      <c r="AK237">
        <v>2050</v>
      </c>
      <c r="AL237" t="s">
        <v>155</v>
      </c>
      <c r="AM237">
        <v>0.41244999999999998</v>
      </c>
      <c r="AN237" t="s">
        <v>236</v>
      </c>
    </row>
    <row r="238" spans="9:40" x14ac:dyDescent="0.45">
      <c r="I238" t="s">
        <v>176</v>
      </c>
      <c r="J238" t="s">
        <v>271</v>
      </c>
      <c r="K238">
        <v>0</v>
      </c>
      <c r="L238" t="s">
        <v>161</v>
      </c>
      <c r="N238" t="s">
        <v>199</v>
      </c>
      <c r="O238" t="s">
        <v>271</v>
      </c>
      <c r="P238">
        <v>3.9506619875815129E-2</v>
      </c>
      <c r="Q238" t="s">
        <v>161</v>
      </c>
      <c r="S238" t="s">
        <v>221</v>
      </c>
      <c r="T238" t="s">
        <v>271</v>
      </c>
      <c r="U238">
        <v>3.9351567408457626E-2</v>
      </c>
      <c r="V238" t="s">
        <v>161</v>
      </c>
      <c r="AK238">
        <v>2050</v>
      </c>
      <c r="AL238" t="s">
        <v>157</v>
      </c>
      <c r="AM238">
        <v>0.39816666666666672</v>
      </c>
      <c r="AN238" t="s">
        <v>236</v>
      </c>
    </row>
    <row r="239" spans="9:40" x14ac:dyDescent="0.45">
      <c r="I239" t="s">
        <v>176</v>
      </c>
      <c r="J239" t="s">
        <v>272</v>
      </c>
      <c r="K239">
        <v>0</v>
      </c>
      <c r="L239" t="s">
        <v>161</v>
      </c>
      <c r="N239" t="s">
        <v>199</v>
      </c>
      <c r="O239" t="s">
        <v>272</v>
      </c>
      <c r="P239">
        <v>1.4520980516602439E-2</v>
      </c>
      <c r="Q239" t="s">
        <v>161</v>
      </c>
      <c r="S239" t="s">
        <v>221</v>
      </c>
      <c r="T239" t="s">
        <v>272</v>
      </c>
      <c r="U239">
        <v>1.3672840710075972E-2</v>
      </c>
      <c r="V239" t="s">
        <v>161</v>
      </c>
      <c r="AK239">
        <v>2050</v>
      </c>
      <c r="AL239" t="s">
        <v>239</v>
      </c>
      <c r="AM239">
        <v>0.33443333333333336</v>
      </c>
      <c r="AN239" t="s">
        <v>236</v>
      </c>
    </row>
    <row r="240" spans="9:40" x14ac:dyDescent="0.45">
      <c r="I240" t="s">
        <v>176</v>
      </c>
      <c r="J240" t="s">
        <v>273</v>
      </c>
      <c r="K240">
        <v>5.5128906503737344E-4</v>
      </c>
      <c r="L240" t="s">
        <v>161</v>
      </c>
      <c r="N240" t="s">
        <v>199</v>
      </c>
      <c r="O240" t="s">
        <v>273</v>
      </c>
      <c r="P240">
        <v>1.9546269744749379E-3</v>
      </c>
      <c r="Q240" t="s">
        <v>161</v>
      </c>
      <c r="S240" t="s">
        <v>221</v>
      </c>
      <c r="T240" t="s">
        <v>273</v>
      </c>
      <c r="U240">
        <v>1.8352823920813697E-3</v>
      </c>
      <c r="V240" t="s">
        <v>161</v>
      </c>
      <c r="AK240">
        <v>2050</v>
      </c>
      <c r="AL240" t="s">
        <v>241</v>
      </c>
      <c r="AM240">
        <v>0.32779999999999998</v>
      </c>
      <c r="AN240" t="s">
        <v>236</v>
      </c>
    </row>
    <row r="241" spans="9:40" x14ac:dyDescent="0.45">
      <c r="I241" t="s">
        <v>176</v>
      </c>
      <c r="J241" t="s">
        <v>274</v>
      </c>
      <c r="K241">
        <v>1.0150697006545922E-2</v>
      </c>
      <c r="L241" t="s">
        <v>161</v>
      </c>
      <c r="N241" t="s">
        <v>199</v>
      </c>
      <c r="O241" t="s">
        <v>274</v>
      </c>
      <c r="P241">
        <v>1.33206273523709E-2</v>
      </c>
      <c r="Q241" t="s">
        <v>161</v>
      </c>
      <c r="S241" t="s">
        <v>221</v>
      </c>
      <c r="T241" t="s">
        <v>274</v>
      </c>
      <c r="U241">
        <v>1.2928232573753655E-2</v>
      </c>
      <c r="V241" t="s">
        <v>161</v>
      </c>
      <c r="AK241">
        <v>2050</v>
      </c>
      <c r="AL241" t="s">
        <v>264</v>
      </c>
      <c r="AM241">
        <v>0.36209999999999998</v>
      </c>
      <c r="AN241" t="s">
        <v>236</v>
      </c>
    </row>
    <row r="242" spans="9:40" x14ac:dyDescent="0.45">
      <c r="I242" t="s">
        <v>176</v>
      </c>
      <c r="J242" t="s">
        <v>275</v>
      </c>
      <c r="K242">
        <v>0</v>
      </c>
      <c r="L242" t="s">
        <v>161</v>
      </c>
      <c r="N242" t="s">
        <v>199</v>
      </c>
      <c r="O242" t="s">
        <v>275</v>
      </c>
      <c r="P242">
        <v>1.7675171542682784E-3</v>
      </c>
      <c r="Q242" t="s">
        <v>161</v>
      </c>
      <c r="S242" t="s">
        <v>221</v>
      </c>
      <c r="T242" t="s">
        <v>275</v>
      </c>
      <c r="U242">
        <v>1.7619467577008891E-3</v>
      </c>
      <c r="V242" t="s">
        <v>161</v>
      </c>
      <c r="AK242">
        <v>2050</v>
      </c>
      <c r="AL242" t="s">
        <v>265</v>
      </c>
      <c r="AM242">
        <v>0.36209999999999998</v>
      </c>
      <c r="AN242" t="s">
        <v>236</v>
      </c>
    </row>
    <row r="243" spans="9:40" x14ac:dyDescent="0.45">
      <c r="I243" t="s">
        <v>176</v>
      </c>
      <c r="J243" t="s">
        <v>276</v>
      </c>
      <c r="K243">
        <v>0</v>
      </c>
      <c r="L243" t="s">
        <v>161</v>
      </c>
      <c r="N243" t="s">
        <v>199</v>
      </c>
      <c r="O243" t="s">
        <v>276</v>
      </c>
      <c r="P243">
        <v>1.8083855089541406E-3</v>
      </c>
      <c r="Q243" t="s">
        <v>161</v>
      </c>
      <c r="S243" t="s">
        <v>221</v>
      </c>
      <c r="T243" t="s">
        <v>276</v>
      </c>
      <c r="U243">
        <v>1.8050828143622885E-3</v>
      </c>
      <c r="V243" t="s">
        <v>161</v>
      </c>
    </row>
    <row r="244" spans="9:40" x14ac:dyDescent="0.45">
      <c r="I244" t="s">
        <v>176</v>
      </c>
      <c r="J244" t="s">
        <v>277</v>
      </c>
      <c r="K244">
        <v>0</v>
      </c>
      <c r="L244" t="s">
        <v>161</v>
      </c>
      <c r="N244" t="s">
        <v>199</v>
      </c>
      <c r="O244" t="s">
        <v>277</v>
      </c>
      <c r="P244">
        <v>9.9374429414173307E-3</v>
      </c>
      <c r="Q244" t="s">
        <v>161</v>
      </c>
      <c r="S244" t="s">
        <v>221</v>
      </c>
      <c r="T244" t="s">
        <v>277</v>
      </c>
      <c r="U244">
        <v>9.6820649755128482E-3</v>
      </c>
      <c r="V244" t="s">
        <v>161</v>
      </c>
    </row>
    <row r="245" spans="9:40" x14ac:dyDescent="0.45">
      <c r="I245" t="s">
        <v>176</v>
      </c>
      <c r="J245" t="s">
        <v>278</v>
      </c>
      <c r="K245">
        <v>0</v>
      </c>
      <c r="L245" t="s">
        <v>161</v>
      </c>
      <c r="N245" t="s">
        <v>199</v>
      </c>
      <c r="O245" t="s">
        <v>278</v>
      </c>
      <c r="P245">
        <v>6.6599099139803362E-3</v>
      </c>
      <c r="Q245" t="s">
        <v>161</v>
      </c>
      <c r="S245" t="s">
        <v>221</v>
      </c>
      <c r="T245" t="s">
        <v>278</v>
      </c>
      <c r="U245">
        <v>6.3544538864941233E-3</v>
      </c>
      <c r="V245" t="s">
        <v>161</v>
      </c>
    </row>
    <row r="246" spans="9:40" x14ac:dyDescent="0.45">
      <c r="I246" t="s">
        <v>176</v>
      </c>
      <c r="J246" t="s">
        <v>279</v>
      </c>
      <c r="K246">
        <v>5.1766415533606707E-4</v>
      </c>
      <c r="L246" t="s">
        <v>161</v>
      </c>
      <c r="N246" t="s">
        <v>199</v>
      </c>
      <c r="O246" t="s">
        <v>279</v>
      </c>
      <c r="P246">
        <v>9.0605316136075709E-4</v>
      </c>
      <c r="Q246" t="s">
        <v>161</v>
      </c>
      <c r="S246" t="s">
        <v>221</v>
      </c>
      <c r="T246" t="s">
        <v>279</v>
      </c>
      <c r="U246">
        <v>8.8552306331753387E-4</v>
      </c>
      <c r="V246" t="s">
        <v>161</v>
      </c>
    </row>
    <row r="247" spans="9:40" x14ac:dyDescent="0.45">
      <c r="I247" t="s">
        <v>176</v>
      </c>
      <c r="J247" t="s">
        <v>280</v>
      </c>
      <c r="K247">
        <v>8.5774119558122731E-3</v>
      </c>
      <c r="L247" t="s">
        <v>161</v>
      </c>
      <c r="N247" t="s">
        <v>199</v>
      </c>
      <c r="O247" t="s">
        <v>280</v>
      </c>
      <c r="P247">
        <v>6.5030960419400086E-3</v>
      </c>
      <c r="Q247" t="s">
        <v>161</v>
      </c>
      <c r="S247" t="s">
        <v>221</v>
      </c>
      <c r="T247" t="s">
        <v>280</v>
      </c>
      <c r="U247">
        <v>6.5141645233597169E-3</v>
      </c>
      <c r="V247" t="s">
        <v>161</v>
      </c>
    </row>
    <row r="248" spans="9:40" x14ac:dyDescent="0.45">
      <c r="I248" t="s">
        <v>176</v>
      </c>
      <c r="J248" t="s">
        <v>281</v>
      </c>
      <c r="K248">
        <v>0</v>
      </c>
      <c r="L248" t="s">
        <v>161</v>
      </c>
      <c r="N248" t="s">
        <v>199</v>
      </c>
      <c r="O248" t="s">
        <v>281</v>
      </c>
      <c r="P248">
        <v>9.1606786288408743E-4</v>
      </c>
      <c r="Q248" t="s">
        <v>161</v>
      </c>
      <c r="S248" t="s">
        <v>221</v>
      </c>
      <c r="T248" t="s">
        <v>281</v>
      </c>
      <c r="U248">
        <v>9.0582071181027836E-4</v>
      </c>
      <c r="V248" t="s">
        <v>161</v>
      </c>
    </row>
    <row r="249" spans="9:40" x14ac:dyDescent="0.45">
      <c r="I249" t="s">
        <v>176</v>
      </c>
      <c r="J249" t="s">
        <v>282</v>
      </c>
      <c r="K249">
        <v>0</v>
      </c>
      <c r="L249" t="s">
        <v>161</v>
      </c>
      <c r="N249" t="s">
        <v>199</v>
      </c>
      <c r="O249" t="s">
        <v>282</v>
      </c>
      <c r="P249">
        <v>8.9082556909920963E-4</v>
      </c>
      <c r="Q249" t="s">
        <v>161</v>
      </c>
      <c r="S249" t="s">
        <v>221</v>
      </c>
      <c r="T249" t="s">
        <v>282</v>
      </c>
      <c r="U249">
        <v>8.6800932795406223E-4</v>
      </c>
      <c r="V249" t="s">
        <v>161</v>
      </c>
    </row>
    <row r="250" spans="9:40" x14ac:dyDescent="0.45">
      <c r="I250" t="s">
        <v>176</v>
      </c>
      <c r="J250" t="s">
        <v>283</v>
      </c>
      <c r="K250">
        <v>0</v>
      </c>
      <c r="L250" t="s">
        <v>161</v>
      </c>
      <c r="N250" t="s">
        <v>199</v>
      </c>
      <c r="O250" t="s">
        <v>283</v>
      </c>
      <c r="P250">
        <v>5.8604532090565497E-3</v>
      </c>
      <c r="Q250" t="s">
        <v>161</v>
      </c>
      <c r="S250" t="s">
        <v>221</v>
      </c>
      <c r="T250" t="s">
        <v>283</v>
      </c>
      <c r="U250">
        <v>5.6817120292120436E-3</v>
      </c>
      <c r="V250" t="s">
        <v>161</v>
      </c>
    </row>
    <row r="251" spans="9:40" x14ac:dyDescent="0.45">
      <c r="I251" t="s">
        <v>177</v>
      </c>
      <c r="J251" t="s">
        <v>160</v>
      </c>
      <c r="K251">
        <v>2.3852663010355884E-3</v>
      </c>
      <c r="L251" t="s">
        <v>161</v>
      </c>
      <c r="N251" t="s">
        <v>200</v>
      </c>
      <c r="O251" t="s">
        <v>160</v>
      </c>
      <c r="P251">
        <v>7.5518285734517576E-2</v>
      </c>
      <c r="Q251" t="s">
        <v>161</v>
      </c>
      <c r="S251" t="s">
        <v>222</v>
      </c>
      <c r="T251" t="s">
        <v>160</v>
      </c>
      <c r="U251">
        <v>6.9999647072442897E-2</v>
      </c>
      <c r="V251" t="s">
        <v>161</v>
      </c>
    </row>
    <row r="252" spans="9:40" x14ac:dyDescent="0.45">
      <c r="I252" t="s">
        <v>177</v>
      </c>
      <c r="J252" t="s">
        <v>162</v>
      </c>
      <c r="K252">
        <v>7.5543475309451354E-3</v>
      </c>
      <c r="L252" t="s">
        <v>161</v>
      </c>
      <c r="N252" t="s">
        <v>200</v>
      </c>
      <c r="O252" t="s">
        <v>162</v>
      </c>
      <c r="P252">
        <v>9.2443329946580634E-3</v>
      </c>
      <c r="Q252" t="s">
        <v>161</v>
      </c>
      <c r="S252" t="s">
        <v>222</v>
      </c>
      <c r="T252" t="s">
        <v>162</v>
      </c>
      <c r="U252">
        <v>8.753008641532313E-3</v>
      </c>
      <c r="V252" t="s">
        <v>161</v>
      </c>
    </row>
    <row r="253" spans="9:40" x14ac:dyDescent="0.45">
      <c r="I253" t="s">
        <v>177</v>
      </c>
      <c r="J253" t="s">
        <v>163</v>
      </c>
      <c r="K253">
        <v>0.10253470409599343</v>
      </c>
      <c r="L253" t="s">
        <v>161</v>
      </c>
      <c r="N253" t="s">
        <v>200</v>
      </c>
      <c r="O253" t="s">
        <v>163</v>
      </c>
      <c r="P253">
        <v>6.1946989259177181E-2</v>
      </c>
      <c r="Q253" t="s">
        <v>161</v>
      </c>
      <c r="S253" t="s">
        <v>222</v>
      </c>
      <c r="T253" t="s">
        <v>163</v>
      </c>
      <c r="U253">
        <v>5.9370225236502414E-2</v>
      </c>
      <c r="V253" t="s">
        <v>161</v>
      </c>
    </row>
    <row r="254" spans="9:40" x14ac:dyDescent="0.45">
      <c r="I254" t="s">
        <v>177</v>
      </c>
      <c r="J254" t="s">
        <v>242</v>
      </c>
      <c r="K254">
        <v>7.9800014178331956E-3</v>
      </c>
      <c r="L254" t="s">
        <v>161</v>
      </c>
      <c r="N254" t="s">
        <v>200</v>
      </c>
      <c r="O254" t="s">
        <v>242</v>
      </c>
      <c r="P254">
        <v>8.8407424736297556E-3</v>
      </c>
      <c r="Q254" t="s">
        <v>161</v>
      </c>
      <c r="S254" t="s">
        <v>222</v>
      </c>
      <c r="T254" t="s">
        <v>242</v>
      </c>
      <c r="U254">
        <v>8.7583336162057254E-3</v>
      </c>
      <c r="V254" t="s">
        <v>161</v>
      </c>
    </row>
    <row r="255" spans="9:40" x14ac:dyDescent="0.45">
      <c r="I255" t="s">
        <v>177</v>
      </c>
      <c r="J255" t="s">
        <v>243</v>
      </c>
      <c r="K255">
        <v>3.4552379440123712E-3</v>
      </c>
      <c r="L255" t="s">
        <v>161</v>
      </c>
      <c r="N255" t="s">
        <v>200</v>
      </c>
      <c r="O255" t="s">
        <v>243</v>
      </c>
      <c r="P255">
        <v>9.1136991972930598E-3</v>
      </c>
      <c r="Q255" t="s">
        <v>161</v>
      </c>
      <c r="S255" t="s">
        <v>222</v>
      </c>
      <c r="T255" t="s">
        <v>243</v>
      </c>
      <c r="U255">
        <v>9.0503484412636833E-3</v>
      </c>
      <c r="V255" t="s">
        <v>161</v>
      </c>
    </row>
    <row r="256" spans="9:40" x14ac:dyDescent="0.45">
      <c r="I256" t="s">
        <v>177</v>
      </c>
      <c r="J256" t="s">
        <v>266</v>
      </c>
      <c r="K256">
        <v>0</v>
      </c>
      <c r="L256" t="s">
        <v>161</v>
      </c>
      <c r="N256" t="s">
        <v>200</v>
      </c>
      <c r="O256" t="s">
        <v>266</v>
      </c>
      <c r="P256">
        <v>5.7128335460878706E-2</v>
      </c>
      <c r="Q256" t="s">
        <v>161</v>
      </c>
      <c r="S256" t="s">
        <v>222</v>
      </c>
      <c r="T256" t="s">
        <v>266</v>
      </c>
      <c r="U256">
        <v>5.6048379953386136E-2</v>
      </c>
      <c r="V256" t="s">
        <v>161</v>
      </c>
    </row>
    <row r="257" spans="9:22" x14ac:dyDescent="0.45">
      <c r="I257" t="s">
        <v>177</v>
      </c>
      <c r="J257" t="s">
        <v>164</v>
      </c>
      <c r="K257">
        <v>1.0206646364094189E-2</v>
      </c>
      <c r="L257" t="s">
        <v>161</v>
      </c>
      <c r="N257" t="s">
        <v>200</v>
      </c>
      <c r="O257" t="s">
        <v>164</v>
      </c>
      <c r="P257">
        <v>3.7055875972246077E-2</v>
      </c>
      <c r="Q257" t="s">
        <v>161</v>
      </c>
      <c r="S257" t="s">
        <v>222</v>
      </c>
      <c r="T257" t="s">
        <v>164</v>
      </c>
      <c r="U257">
        <v>3.4682664703872865E-2</v>
      </c>
      <c r="V257" t="s">
        <v>161</v>
      </c>
    </row>
    <row r="258" spans="9:22" x14ac:dyDescent="0.45">
      <c r="I258" t="s">
        <v>177</v>
      </c>
      <c r="J258" t="s">
        <v>165</v>
      </c>
      <c r="K258">
        <v>1.0126998451983834E-2</v>
      </c>
      <c r="L258" t="s">
        <v>161</v>
      </c>
      <c r="N258" t="s">
        <v>200</v>
      </c>
      <c r="O258" t="s">
        <v>165</v>
      </c>
      <c r="P258">
        <v>4.4428462893256254E-3</v>
      </c>
      <c r="Q258" t="s">
        <v>161</v>
      </c>
      <c r="S258" t="s">
        <v>222</v>
      </c>
      <c r="T258" t="s">
        <v>165</v>
      </c>
      <c r="U258">
        <v>3.81532696720022E-3</v>
      </c>
      <c r="V258" t="s">
        <v>161</v>
      </c>
    </row>
    <row r="259" spans="9:22" x14ac:dyDescent="0.45">
      <c r="I259" t="s">
        <v>177</v>
      </c>
      <c r="J259" t="s">
        <v>166</v>
      </c>
      <c r="K259">
        <v>8.6265883568093796E-2</v>
      </c>
      <c r="L259" t="s">
        <v>161</v>
      </c>
      <c r="N259" t="s">
        <v>200</v>
      </c>
      <c r="O259" t="s">
        <v>166</v>
      </c>
      <c r="P259">
        <v>3.4880267363987888E-2</v>
      </c>
      <c r="Q259" t="s">
        <v>161</v>
      </c>
      <c r="S259" t="s">
        <v>222</v>
      </c>
      <c r="T259" t="s">
        <v>166</v>
      </c>
      <c r="U259">
        <v>2.5262985559485588E-2</v>
      </c>
      <c r="V259" t="s">
        <v>161</v>
      </c>
    </row>
    <row r="260" spans="9:22" x14ac:dyDescent="0.45">
      <c r="I260" t="s">
        <v>177</v>
      </c>
      <c r="J260" t="s">
        <v>244</v>
      </c>
      <c r="K260">
        <v>7.6386893491593713E-3</v>
      </c>
      <c r="L260" t="s">
        <v>161</v>
      </c>
      <c r="N260" t="s">
        <v>200</v>
      </c>
      <c r="O260" t="s">
        <v>244</v>
      </c>
      <c r="P260">
        <v>5.0860309144939008E-3</v>
      </c>
      <c r="Q260" t="s">
        <v>161</v>
      </c>
      <c r="S260" t="s">
        <v>222</v>
      </c>
      <c r="T260" t="s">
        <v>244</v>
      </c>
      <c r="U260">
        <v>3.717241704793357E-3</v>
      </c>
      <c r="V260" t="s">
        <v>161</v>
      </c>
    </row>
    <row r="261" spans="9:22" x14ac:dyDescent="0.45">
      <c r="I261" t="s">
        <v>177</v>
      </c>
      <c r="J261" t="s">
        <v>245</v>
      </c>
      <c r="K261">
        <v>5.0424296575584705E-3</v>
      </c>
      <c r="L261" t="s">
        <v>161</v>
      </c>
      <c r="N261" t="s">
        <v>200</v>
      </c>
      <c r="O261" t="s">
        <v>245</v>
      </c>
      <c r="P261">
        <v>4.9082004195255512E-3</v>
      </c>
      <c r="Q261" t="s">
        <v>161</v>
      </c>
      <c r="S261" t="s">
        <v>222</v>
      </c>
      <c r="T261" t="s">
        <v>245</v>
      </c>
      <c r="U261">
        <v>3.7572262864672915E-3</v>
      </c>
      <c r="V261" t="s">
        <v>161</v>
      </c>
    </row>
    <row r="262" spans="9:22" x14ac:dyDescent="0.45">
      <c r="I262" t="s">
        <v>177</v>
      </c>
      <c r="J262" t="s">
        <v>267</v>
      </c>
      <c r="K262">
        <v>2.5252215533046302E-3</v>
      </c>
      <c r="L262" t="s">
        <v>161</v>
      </c>
      <c r="N262" t="s">
        <v>200</v>
      </c>
      <c r="O262" t="s">
        <v>267</v>
      </c>
      <c r="P262">
        <v>3.0134880450422678E-2</v>
      </c>
      <c r="Q262" t="s">
        <v>161</v>
      </c>
      <c r="S262" t="s">
        <v>222</v>
      </c>
      <c r="T262" t="s">
        <v>267</v>
      </c>
      <c r="U262">
        <v>2.6630863554836279E-2</v>
      </c>
      <c r="V262" t="s">
        <v>161</v>
      </c>
    </row>
    <row r="263" spans="9:22" x14ac:dyDescent="0.45">
      <c r="I263" t="s">
        <v>177</v>
      </c>
      <c r="J263" t="s">
        <v>167</v>
      </c>
      <c r="K263">
        <v>5.196594285654367E-2</v>
      </c>
      <c r="L263" t="s">
        <v>161</v>
      </c>
      <c r="N263" t="s">
        <v>200</v>
      </c>
      <c r="O263" t="s">
        <v>167</v>
      </c>
      <c r="P263">
        <v>6.436933652740752E-2</v>
      </c>
      <c r="Q263" t="s">
        <v>161</v>
      </c>
      <c r="S263" t="s">
        <v>222</v>
      </c>
      <c r="T263" t="s">
        <v>167</v>
      </c>
      <c r="U263">
        <v>6.4552812151456335E-2</v>
      </c>
      <c r="V263" t="s">
        <v>161</v>
      </c>
    </row>
    <row r="264" spans="9:22" x14ac:dyDescent="0.45">
      <c r="I264" t="s">
        <v>177</v>
      </c>
      <c r="J264" t="s">
        <v>168</v>
      </c>
      <c r="K264">
        <v>3.112812922861638E-2</v>
      </c>
      <c r="L264" t="s">
        <v>161</v>
      </c>
      <c r="N264" t="s">
        <v>200</v>
      </c>
      <c r="O264" t="s">
        <v>168</v>
      </c>
      <c r="P264">
        <v>7.7736634521727715E-3</v>
      </c>
      <c r="Q264" t="s">
        <v>161</v>
      </c>
      <c r="S264" t="s">
        <v>222</v>
      </c>
      <c r="T264" t="s">
        <v>168</v>
      </c>
      <c r="U264">
        <v>6.9769618060453549E-3</v>
      </c>
      <c r="V264" t="s">
        <v>161</v>
      </c>
    </row>
    <row r="265" spans="9:22" x14ac:dyDescent="0.45">
      <c r="I265" t="s">
        <v>177</v>
      </c>
      <c r="J265" t="s">
        <v>169</v>
      </c>
      <c r="K265">
        <v>0.24922561883394059</v>
      </c>
      <c r="L265" t="s">
        <v>161</v>
      </c>
      <c r="N265" t="s">
        <v>200</v>
      </c>
      <c r="O265" t="s">
        <v>169</v>
      </c>
      <c r="P265">
        <v>5.4738975410961309E-2</v>
      </c>
      <c r="Q265" t="s">
        <v>161</v>
      </c>
      <c r="S265" t="s">
        <v>222</v>
      </c>
      <c r="T265" t="s">
        <v>169</v>
      </c>
      <c r="U265">
        <v>5.4237169482294505E-2</v>
      </c>
      <c r="V265" t="s">
        <v>161</v>
      </c>
    </row>
    <row r="266" spans="9:22" x14ac:dyDescent="0.45">
      <c r="I266" t="s">
        <v>177</v>
      </c>
      <c r="J266" t="s">
        <v>246</v>
      </c>
      <c r="K266">
        <v>2.7802997737385031E-2</v>
      </c>
      <c r="L266" t="s">
        <v>161</v>
      </c>
      <c r="N266" t="s">
        <v>200</v>
      </c>
      <c r="O266" t="s">
        <v>246</v>
      </c>
      <c r="P266">
        <v>7.8366188022533471E-3</v>
      </c>
      <c r="Q266" t="s">
        <v>161</v>
      </c>
      <c r="S266" t="s">
        <v>222</v>
      </c>
      <c r="T266" t="s">
        <v>246</v>
      </c>
      <c r="U266">
        <v>8.4237481990298256E-3</v>
      </c>
      <c r="V266" t="s">
        <v>161</v>
      </c>
    </row>
    <row r="267" spans="9:22" x14ac:dyDescent="0.45">
      <c r="I267" t="s">
        <v>177</v>
      </c>
      <c r="J267" t="s">
        <v>247</v>
      </c>
      <c r="K267">
        <v>2.2184088012461686E-2</v>
      </c>
      <c r="L267" t="s">
        <v>161</v>
      </c>
      <c r="N267" t="s">
        <v>200</v>
      </c>
      <c r="O267" t="s">
        <v>247</v>
      </c>
      <c r="P267">
        <v>7.5463396669367046E-3</v>
      </c>
      <c r="Q267" t="s">
        <v>161</v>
      </c>
      <c r="S267" t="s">
        <v>222</v>
      </c>
      <c r="T267" t="s">
        <v>247</v>
      </c>
      <c r="U267">
        <v>8.0986409222245509E-3</v>
      </c>
      <c r="V267" t="s">
        <v>161</v>
      </c>
    </row>
    <row r="268" spans="9:22" x14ac:dyDescent="0.45">
      <c r="I268" t="s">
        <v>177</v>
      </c>
      <c r="J268" t="s">
        <v>268</v>
      </c>
      <c r="K268">
        <v>2.2698903419247782E-2</v>
      </c>
      <c r="L268" t="s">
        <v>161</v>
      </c>
      <c r="N268" t="s">
        <v>200</v>
      </c>
      <c r="O268" t="s">
        <v>268</v>
      </c>
      <c r="P268">
        <v>4.8444542582730836E-2</v>
      </c>
      <c r="Q268" t="s">
        <v>161</v>
      </c>
      <c r="S268" t="s">
        <v>222</v>
      </c>
      <c r="T268" t="s">
        <v>268</v>
      </c>
      <c r="U268">
        <v>5.0206912811005623E-2</v>
      </c>
      <c r="V268" t="s">
        <v>161</v>
      </c>
    </row>
    <row r="269" spans="9:22" x14ac:dyDescent="0.45">
      <c r="I269" t="s">
        <v>177</v>
      </c>
      <c r="J269" t="s">
        <v>170</v>
      </c>
      <c r="K269">
        <v>1.999382858612414E-2</v>
      </c>
      <c r="L269" t="s">
        <v>161</v>
      </c>
      <c r="N269" t="s">
        <v>200</v>
      </c>
      <c r="O269" t="s">
        <v>170</v>
      </c>
      <c r="P269">
        <v>3.649014033290808E-2</v>
      </c>
      <c r="Q269" t="s">
        <v>161</v>
      </c>
      <c r="S269" t="s">
        <v>222</v>
      </c>
      <c r="T269" t="s">
        <v>170</v>
      </c>
      <c r="U269">
        <v>3.3643828982238992E-2</v>
      </c>
      <c r="V269" t="s">
        <v>161</v>
      </c>
    </row>
    <row r="270" spans="9:22" x14ac:dyDescent="0.45">
      <c r="I270" t="s">
        <v>177</v>
      </c>
      <c r="J270" t="s">
        <v>171</v>
      </c>
      <c r="K270">
        <v>1.4702554188893654E-2</v>
      </c>
      <c r="L270" t="s">
        <v>161</v>
      </c>
      <c r="N270" t="s">
        <v>200</v>
      </c>
      <c r="O270" t="s">
        <v>171</v>
      </c>
      <c r="P270">
        <v>4.1814998394933186E-3</v>
      </c>
      <c r="Q270" t="s">
        <v>161</v>
      </c>
      <c r="S270" t="s">
        <v>222</v>
      </c>
      <c r="T270" t="s">
        <v>171</v>
      </c>
      <c r="U270">
        <v>3.5364836974292615E-3</v>
      </c>
      <c r="V270" t="s">
        <v>161</v>
      </c>
    </row>
    <row r="271" spans="9:22" x14ac:dyDescent="0.45">
      <c r="I271" t="s">
        <v>177</v>
      </c>
      <c r="J271" t="s">
        <v>172</v>
      </c>
      <c r="K271">
        <v>0.12102522939593421</v>
      </c>
      <c r="L271" t="s">
        <v>161</v>
      </c>
      <c r="N271" t="s">
        <v>200</v>
      </c>
      <c r="O271" t="s">
        <v>172</v>
      </c>
      <c r="P271">
        <v>3.2778145087599679E-2</v>
      </c>
      <c r="Q271" t="s">
        <v>161</v>
      </c>
      <c r="S271" t="s">
        <v>222</v>
      </c>
      <c r="T271" t="s">
        <v>172</v>
      </c>
      <c r="U271">
        <v>2.5581876147354365E-2</v>
      </c>
      <c r="V271" t="s">
        <v>161</v>
      </c>
    </row>
    <row r="272" spans="9:22" x14ac:dyDescent="0.45">
      <c r="I272" t="s">
        <v>177</v>
      </c>
      <c r="J272" t="s">
        <v>248</v>
      </c>
      <c r="K272">
        <v>1.3278858393703498E-2</v>
      </c>
      <c r="L272" t="s">
        <v>161</v>
      </c>
      <c r="N272" t="s">
        <v>200</v>
      </c>
      <c r="O272" t="s">
        <v>248</v>
      </c>
      <c r="P272">
        <v>4.8611609301811185E-3</v>
      </c>
      <c r="Q272" t="s">
        <v>161</v>
      </c>
      <c r="S272" t="s">
        <v>222</v>
      </c>
      <c r="T272" t="s">
        <v>248</v>
      </c>
      <c r="U272">
        <v>3.5381060840956411E-3</v>
      </c>
      <c r="V272" t="s">
        <v>161</v>
      </c>
    </row>
    <row r="273" spans="9:22" x14ac:dyDescent="0.45">
      <c r="I273" t="s">
        <v>177</v>
      </c>
      <c r="J273" t="s">
        <v>249</v>
      </c>
      <c r="K273">
        <v>1.0265289595594689E-2</v>
      </c>
      <c r="L273" t="s">
        <v>161</v>
      </c>
      <c r="N273" t="s">
        <v>200</v>
      </c>
      <c r="O273" t="s">
        <v>249</v>
      </c>
      <c r="P273">
        <v>4.6828130288016443E-3</v>
      </c>
      <c r="Q273" t="s">
        <v>161</v>
      </c>
      <c r="S273" t="s">
        <v>222</v>
      </c>
      <c r="T273" t="s">
        <v>249</v>
      </c>
      <c r="U273">
        <v>3.2333556786951533E-3</v>
      </c>
      <c r="V273" t="s">
        <v>161</v>
      </c>
    </row>
    <row r="274" spans="9:22" x14ac:dyDescent="0.45">
      <c r="I274" t="s">
        <v>177</v>
      </c>
      <c r="J274" t="s">
        <v>269</v>
      </c>
      <c r="K274">
        <v>7.722013419130795E-3</v>
      </c>
      <c r="L274" t="s">
        <v>161</v>
      </c>
      <c r="N274" t="s">
        <v>200</v>
      </c>
      <c r="O274" t="s">
        <v>269</v>
      </c>
      <c r="P274">
        <v>2.9296275568831631E-2</v>
      </c>
      <c r="Q274" t="s">
        <v>161</v>
      </c>
      <c r="S274" t="s">
        <v>222</v>
      </c>
      <c r="T274" t="s">
        <v>269</v>
      </c>
      <c r="U274">
        <v>2.5016008685599112E-2</v>
      </c>
      <c r="V274" t="s">
        <v>161</v>
      </c>
    </row>
    <row r="275" spans="9:22" x14ac:dyDescent="0.45">
      <c r="I275" t="s">
        <v>177</v>
      </c>
      <c r="J275" t="s">
        <v>250</v>
      </c>
      <c r="K275">
        <v>4.5774365089134121E-3</v>
      </c>
      <c r="L275" t="s">
        <v>161</v>
      </c>
      <c r="N275" t="s">
        <v>200</v>
      </c>
      <c r="O275" t="s">
        <v>250</v>
      </c>
      <c r="P275">
        <v>4.8826923498094095E-2</v>
      </c>
      <c r="Q275" t="s">
        <v>161</v>
      </c>
      <c r="S275" t="s">
        <v>222</v>
      </c>
      <c r="T275" t="s">
        <v>250</v>
      </c>
      <c r="U275">
        <v>4.9176598295157803E-2</v>
      </c>
      <c r="V275" t="s">
        <v>161</v>
      </c>
    </row>
    <row r="276" spans="9:22" x14ac:dyDescent="0.45">
      <c r="I276" t="s">
        <v>177</v>
      </c>
      <c r="J276" t="s">
        <v>251</v>
      </c>
      <c r="K276">
        <v>6.5959217507313541E-3</v>
      </c>
      <c r="L276" t="s">
        <v>161</v>
      </c>
      <c r="N276" t="s">
        <v>200</v>
      </c>
      <c r="O276" t="s">
        <v>251</v>
      </c>
      <c r="P276">
        <v>6.0710207848598628E-3</v>
      </c>
      <c r="Q276" t="s">
        <v>161</v>
      </c>
      <c r="S276" t="s">
        <v>222</v>
      </c>
      <c r="T276" t="s">
        <v>251</v>
      </c>
      <c r="U276">
        <v>5.8467320999864196E-3</v>
      </c>
      <c r="V276" t="s">
        <v>161</v>
      </c>
    </row>
    <row r="277" spans="9:22" x14ac:dyDescent="0.45">
      <c r="I277" t="s">
        <v>177</v>
      </c>
      <c r="J277" t="s">
        <v>252</v>
      </c>
      <c r="K277">
        <v>7.6398627448897541E-2</v>
      </c>
      <c r="L277" t="s">
        <v>161</v>
      </c>
      <c r="N277" t="s">
        <v>200</v>
      </c>
      <c r="O277" t="s">
        <v>252</v>
      </c>
      <c r="P277">
        <v>4.0754080372075813E-2</v>
      </c>
      <c r="Q277" t="s">
        <v>161</v>
      </c>
      <c r="S277" t="s">
        <v>222</v>
      </c>
      <c r="T277" t="s">
        <v>252</v>
      </c>
      <c r="U277">
        <v>4.0093557050419823E-2</v>
      </c>
      <c r="V277" t="s">
        <v>161</v>
      </c>
    </row>
    <row r="278" spans="9:22" x14ac:dyDescent="0.45">
      <c r="I278" t="s">
        <v>177</v>
      </c>
      <c r="J278" t="s">
        <v>253</v>
      </c>
      <c r="K278">
        <v>6.7474706589847836E-3</v>
      </c>
      <c r="L278" t="s">
        <v>161</v>
      </c>
      <c r="N278" t="s">
        <v>200</v>
      </c>
      <c r="O278" t="s">
        <v>253</v>
      </c>
      <c r="P278">
        <v>5.9929955806388626E-3</v>
      </c>
      <c r="Q278" t="s">
        <v>161</v>
      </c>
      <c r="S278" t="s">
        <v>222</v>
      </c>
      <c r="T278" t="s">
        <v>253</v>
      </c>
      <c r="U278">
        <v>6.194460090019469E-3</v>
      </c>
      <c r="V278" t="s">
        <v>161</v>
      </c>
    </row>
    <row r="279" spans="9:22" x14ac:dyDescent="0.45">
      <c r="I279" t="s">
        <v>177</v>
      </c>
      <c r="J279" t="s">
        <v>254</v>
      </c>
      <c r="K279">
        <v>2.4744780420126082E-3</v>
      </c>
      <c r="L279" t="s">
        <v>161</v>
      </c>
      <c r="N279" t="s">
        <v>200</v>
      </c>
      <c r="O279" t="s">
        <v>254</v>
      </c>
      <c r="P279">
        <v>6.1664826135595791E-3</v>
      </c>
      <c r="Q279" t="s">
        <v>161</v>
      </c>
      <c r="S279" t="s">
        <v>222</v>
      </c>
      <c r="T279" t="s">
        <v>254</v>
      </c>
      <c r="U279">
        <v>6.4219762590895868E-3</v>
      </c>
      <c r="V279" t="s">
        <v>161</v>
      </c>
    </row>
    <row r="280" spans="9:22" x14ac:dyDescent="0.45">
      <c r="I280" t="s">
        <v>177</v>
      </c>
      <c r="J280" t="s">
        <v>270</v>
      </c>
      <c r="K280">
        <v>0</v>
      </c>
      <c r="L280" t="s">
        <v>161</v>
      </c>
      <c r="N280" t="s">
        <v>200</v>
      </c>
      <c r="O280" t="s">
        <v>270</v>
      </c>
      <c r="P280">
        <v>3.7846059299512798E-2</v>
      </c>
      <c r="Q280" t="s">
        <v>161</v>
      </c>
      <c r="S280" t="s">
        <v>222</v>
      </c>
      <c r="T280" t="s">
        <v>270</v>
      </c>
      <c r="U280">
        <v>4.2876838737262196E-2</v>
      </c>
      <c r="V280" t="s">
        <v>161</v>
      </c>
    </row>
    <row r="281" spans="9:22" x14ac:dyDescent="0.45">
      <c r="I281" t="s">
        <v>177</v>
      </c>
      <c r="J281" t="s">
        <v>255</v>
      </c>
      <c r="K281">
        <v>7.241718305982581E-5</v>
      </c>
      <c r="L281" t="s">
        <v>161</v>
      </c>
      <c r="N281" t="s">
        <v>200</v>
      </c>
      <c r="O281" t="s">
        <v>255</v>
      </c>
      <c r="P281">
        <v>4.9236238086328314E-2</v>
      </c>
      <c r="Q281" t="s">
        <v>161</v>
      </c>
      <c r="S281" t="s">
        <v>222</v>
      </c>
      <c r="T281" t="s">
        <v>255</v>
      </c>
      <c r="U281">
        <v>5.3046403865680145E-2</v>
      </c>
      <c r="V281" t="s">
        <v>161</v>
      </c>
    </row>
    <row r="282" spans="9:22" x14ac:dyDescent="0.45">
      <c r="I282" t="s">
        <v>177</v>
      </c>
      <c r="J282" t="s">
        <v>256</v>
      </c>
      <c r="K282">
        <v>3.2098326735980564E-3</v>
      </c>
      <c r="L282" t="s">
        <v>161</v>
      </c>
      <c r="N282" t="s">
        <v>200</v>
      </c>
      <c r="O282" t="s">
        <v>256</v>
      </c>
      <c r="P282">
        <v>6.2812008715974737E-3</v>
      </c>
      <c r="Q282" t="s">
        <v>161</v>
      </c>
      <c r="S282" t="s">
        <v>222</v>
      </c>
      <c r="T282" t="s">
        <v>256</v>
      </c>
      <c r="U282">
        <v>7.3852009923261698E-3</v>
      </c>
      <c r="V282" t="s">
        <v>161</v>
      </c>
    </row>
    <row r="283" spans="9:22" x14ac:dyDescent="0.45">
      <c r="I283" t="s">
        <v>177</v>
      </c>
      <c r="J283" t="s">
        <v>257</v>
      </c>
      <c r="K283">
        <v>4.6804315589745127E-2</v>
      </c>
      <c r="L283" t="s">
        <v>161</v>
      </c>
      <c r="N283" t="s">
        <v>200</v>
      </c>
      <c r="O283" t="s">
        <v>257</v>
      </c>
      <c r="P283">
        <v>4.1233650335857075E-2</v>
      </c>
      <c r="Q283" t="s">
        <v>161</v>
      </c>
      <c r="S283" t="s">
        <v>222</v>
      </c>
      <c r="T283" t="s">
        <v>257</v>
      </c>
      <c r="U283">
        <v>5.1327375482826287E-2</v>
      </c>
      <c r="V283" t="s">
        <v>161</v>
      </c>
    </row>
    <row r="284" spans="9:22" x14ac:dyDescent="0.45">
      <c r="I284" t="s">
        <v>177</v>
      </c>
      <c r="J284" t="s">
        <v>258</v>
      </c>
      <c r="K284">
        <v>8.9581248601094466E-4</v>
      </c>
      <c r="L284" t="s">
        <v>161</v>
      </c>
      <c r="N284" t="s">
        <v>200</v>
      </c>
      <c r="O284" t="s">
        <v>258</v>
      </c>
      <c r="P284">
        <v>5.8260137092587148E-3</v>
      </c>
      <c r="Q284" t="s">
        <v>161</v>
      </c>
      <c r="S284" t="s">
        <v>222</v>
      </c>
      <c r="T284" t="s">
        <v>258</v>
      </c>
      <c r="U284">
        <v>7.7686602113894547E-3</v>
      </c>
      <c r="V284" t="s">
        <v>161</v>
      </c>
    </row>
    <row r="285" spans="9:22" x14ac:dyDescent="0.45">
      <c r="I285" t="s">
        <v>177</v>
      </c>
      <c r="J285" t="s">
        <v>259</v>
      </c>
      <c r="K285">
        <v>0</v>
      </c>
      <c r="L285" t="s">
        <v>161</v>
      </c>
      <c r="N285" t="s">
        <v>200</v>
      </c>
      <c r="O285" t="s">
        <v>259</v>
      </c>
      <c r="P285">
        <v>5.8973391127082973E-3</v>
      </c>
      <c r="Q285" t="s">
        <v>161</v>
      </c>
      <c r="S285" t="s">
        <v>222</v>
      </c>
      <c r="T285" t="s">
        <v>259</v>
      </c>
      <c r="U285">
        <v>7.8106434544431445E-3</v>
      </c>
      <c r="V285" t="s">
        <v>161</v>
      </c>
    </row>
    <row r="286" spans="9:22" x14ac:dyDescent="0.45">
      <c r="I286" t="s">
        <v>177</v>
      </c>
      <c r="J286" t="s">
        <v>271</v>
      </c>
      <c r="K286">
        <v>0</v>
      </c>
      <c r="L286" t="s">
        <v>161</v>
      </c>
      <c r="N286" t="s">
        <v>200</v>
      </c>
      <c r="O286" t="s">
        <v>271</v>
      </c>
      <c r="P286">
        <v>3.6014342846800246E-2</v>
      </c>
      <c r="Q286" t="s">
        <v>161</v>
      </c>
      <c r="S286" t="s">
        <v>222</v>
      </c>
      <c r="T286" t="s">
        <v>271</v>
      </c>
      <c r="U286">
        <v>4.355458707722247E-2</v>
      </c>
      <c r="V286" t="s">
        <v>161</v>
      </c>
    </row>
    <row r="287" spans="9:22" x14ac:dyDescent="0.45">
      <c r="I287" t="s">
        <v>177</v>
      </c>
      <c r="J287" t="s">
        <v>272</v>
      </c>
      <c r="K287">
        <v>0</v>
      </c>
      <c r="L287" t="s">
        <v>161</v>
      </c>
      <c r="N287" t="s">
        <v>200</v>
      </c>
      <c r="O287" t="s">
        <v>272</v>
      </c>
      <c r="P287">
        <v>1.5296612097930103E-2</v>
      </c>
      <c r="Q287" t="s">
        <v>161</v>
      </c>
      <c r="S287" t="s">
        <v>222</v>
      </c>
      <c r="T287" t="s">
        <v>272</v>
      </c>
      <c r="U287">
        <v>2.0383141842961097E-2</v>
      </c>
      <c r="V287" t="s">
        <v>161</v>
      </c>
    </row>
    <row r="288" spans="9:22" x14ac:dyDescent="0.45">
      <c r="I288" t="s">
        <v>177</v>
      </c>
      <c r="J288" t="s">
        <v>273</v>
      </c>
      <c r="K288">
        <v>2.3415898097199668E-4</v>
      </c>
      <c r="L288" t="s">
        <v>161</v>
      </c>
      <c r="N288" t="s">
        <v>200</v>
      </c>
      <c r="O288" t="s">
        <v>273</v>
      </c>
      <c r="P288">
        <v>2.0282017028216514E-3</v>
      </c>
      <c r="Q288" t="s">
        <v>161</v>
      </c>
      <c r="S288" t="s">
        <v>222</v>
      </c>
      <c r="T288" t="s">
        <v>273</v>
      </c>
      <c r="U288">
        <v>2.785944455783518E-3</v>
      </c>
      <c r="V288" t="s">
        <v>161</v>
      </c>
    </row>
    <row r="289" spans="9:22" x14ac:dyDescent="0.45">
      <c r="I289" t="s">
        <v>177</v>
      </c>
      <c r="J289" t="s">
        <v>274</v>
      </c>
      <c r="K289">
        <v>7.1071525097797152E-3</v>
      </c>
      <c r="L289" t="s">
        <v>161</v>
      </c>
      <c r="N289" t="s">
        <v>200</v>
      </c>
      <c r="O289" t="s">
        <v>274</v>
      </c>
      <c r="P289">
        <v>1.3241838440222324E-2</v>
      </c>
      <c r="Q289" t="s">
        <v>161</v>
      </c>
      <c r="S289" t="s">
        <v>222</v>
      </c>
      <c r="T289" t="s">
        <v>274</v>
      </c>
      <c r="U289">
        <v>1.6047603945937482E-2</v>
      </c>
      <c r="V289" t="s">
        <v>161</v>
      </c>
    </row>
    <row r="290" spans="9:22" x14ac:dyDescent="0.45">
      <c r="I290" t="s">
        <v>177</v>
      </c>
      <c r="J290" t="s">
        <v>275</v>
      </c>
      <c r="K290">
        <v>0</v>
      </c>
      <c r="L290" t="s">
        <v>161</v>
      </c>
      <c r="N290" t="s">
        <v>200</v>
      </c>
      <c r="O290" t="s">
        <v>275</v>
      </c>
      <c r="P290">
        <v>1.8272487584527878E-3</v>
      </c>
      <c r="Q290" t="s">
        <v>161</v>
      </c>
      <c r="S290" t="s">
        <v>222</v>
      </c>
      <c r="T290" t="s">
        <v>275</v>
      </c>
      <c r="U290">
        <v>1.9598747742953998E-3</v>
      </c>
      <c r="V290" t="s">
        <v>161</v>
      </c>
    </row>
    <row r="291" spans="9:22" x14ac:dyDescent="0.45">
      <c r="I291" t="s">
        <v>177</v>
      </c>
      <c r="J291" t="s">
        <v>276</v>
      </c>
      <c r="K291">
        <v>0</v>
      </c>
      <c r="L291" t="s">
        <v>161</v>
      </c>
      <c r="N291" t="s">
        <v>200</v>
      </c>
      <c r="O291" t="s">
        <v>276</v>
      </c>
      <c r="P291">
        <v>1.8150441018105056E-3</v>
      </c>
      <c r="Q291" t="s">
        <v>161</v>
      </c>
      <c r="S291" t="s">
        <v>222</v>
      </c>
      <c r="T291" t="s">
        <v>276</v>
      </c>
      <c r="U291">
        <v>2.0816705869689733E-3</v>
      </c>
      <c r="V291" t="s">
        <v>161</v>
      </c>
    </row>
    <row r="292" spans="9:22" x14ac:dyDescent="0.45">
      <c r="I292" t="s">
        <v>177</v>
      </c>
      <c r="J292" t="s">
        <v>277</v>
      </c>
      <c r="K292">
        <v>0</v>
      </c>
      <c r="L292" t="s">
        <v>161</v>
      </c>
      <c r="N292" t="s">
        <v>200</v>
      </c>
      <c r="O292" t="s">
        <v>277</v>
      </c>
      <c r="P292">
        <v>1.0320526813652982E-2</v>
      </c>
      <c r="Q292" t="s">
        <v>161</v>
      </c>
      <c r="S292" t="s">
        <v>222</v>
      </c>
      <c r="T292" t="s">
        <v>277</v>
      </c>
      <c r="U292">
        <v>1.3595909925488141E-2</v>
      </c>
      <c r="V292" t="s">
        <v>161</v>
      </c>
    </row>
    <row r="293" spans="9:22" x14ac:dyDescent="0.45">
      <c r="I293" t="s">
        <v>177</v>
      </c>
      <c r="J293" t="s">
        <v>278</v>
      </c>
      <c r="K293">
        <v>0</v>
      </c>
      <c r="L293" t="s">
        <v>161</v>
      </c>
      <c r="N293" t="s">
        <v>200</v>
      </c>
      <c r="O293" t="s">
        <v>278</v>
      </c>
      <c r="P293">
        <v>7.1227641118151927E-3</v>
      </c>
      <c r="Q293" t="s">
        <v>161</v>
      </c>
      <c r="S293" t="s">
        <v>222</v>
      </c>
      <c r="T293" t="s">
        <v>278</v>
      </c>
      <c r="U293">
        <v>7.9190326310110744E-3</v>
      </c>
      <c r="V293" t="s">
        <v>161</v>
      </c>
    </row>
    <row r="294" spans="9:22" x14ac:dyDescent="0.45">
      <c r="I294" t="s">
        <v>177</v>
      </c>
      <c r="J294" t="s">
        <v>279</v>
      </c>
      <c r="K294">
        <v>2.7765522378301997E-4</v>
      </c>
      <c r="L294" t="s">
        <v>161</v>
      </c>
      <c r="N294" t="s">
        <v>200</v>
      </c>
      <c r="O294" t="s">
        <v>279</v>
      </c>
      <c r="P294">
        <v>9.3382013599339572E-4</v>
      </c>
      <c r="Q294" t="s">
        <v>161</v>
      </c>
      <c r="S294" t="s">
        <v>222</v>
      </c>
      <c r="T294" t="s">
        <v>279</v>
      </c>
      <c r="U294">
        <v>8.9772050861613897E-4</v>
      </c>
      <c r="V294" t="s">
        <v>161</v>
      </c>
    </row>
    <row r="295" spans="9:22" x14ac:dyDescent="0.45">
      <c r="I295" t="s">
        <v>177</v>
      </c>
      <c r="J295" t="s">
        <v>280</v>
      </c>
      <c r="K295">
        <v>6.8281393259865177E-3</v>
      </c>
      <c r="L295" t="s">
        <v>161</v>
      </c>
      <c r="N295" t="s">
        <v>200</v>
      </c>
      <c r="O295" t="s">
        <v>280</v>
      </c>
      <c r="P295">
        <v>6.9955015700305457E-3</v>
      </c>
      <c r="Q295" t="s">
        <v>161</v>
      </c>
      <c r="S295" t="s">
        <v>222</v>
      </c>
      <c r="T295" t="s">
        <v>280</v>
      </c>
      <c r="U295">
        <v>7.0007460548157617E-3</v>
      </c>
      <c r="V295" t="s">
        <v>161</v>
      </c>
    </row>
    <row r="296" spans="9:22" x14ac:dyDescent="0.45">
      <c r="I296" t="s">
        <v>177</v>
      </c>
      <c r="J296" t="s">
        <v>281</v>
      </c>
      <c r="K296">
        <v>6.7701715935522571E-5</v>
      </c>
      <c r="L296" t="s">
        <v>161</v>
      </c>
      <c r="N296" t="s">
        <v>200</v>
      </c>
      <c r="O296" t="s">
        <v>281</v>
      </c>
      <c r="P296">
        <v>1.1160597856494582E-3</v>
      </c>
      <c r="Q296" t="s">
        <v>161</v>
      </c>
      <c r="S296" t="s">
        <v>222</v>
      </c>
      <c r="T296" t="s">
        <v>281</v>
      </c>
      <c r="U296">
        <v>1.1017284251906426E-3</v>
      </c>
      <c r="V296" t="s">
        <v>161</v>
      </c>
    </row>
    <row r="297" spans="9:22" x14ac:dyDescent="0.45">
      <c r="I297" t="s">
        <v>177</v>
      </c>
      <c r="J297" t="s">
        <v>282</v>
      </c>
      <c r="K297">
        <v>0</v>
      </c>
      <c r="L297" t="s">
        <v>161</v>
      </c>
      <c r="N297" t="s">
        <v>200</v>
      </c>
      <c r="O297" t="s">
        <v>282</v>
      </c>
      <c r="P297">
        <v>1.1337748664659044E-3</v>
      </c>
      <c r="Q297" t="s">
        <v>161</v>
      </c>
      <c r="S297" t="s">
        <v>222</v>
      </c>
      <c r="T297" t="s">
        <v>282</v>
      </c>
      <c r="U297">
        <v>1.0723365408464546E-3</v>
      </c>
      <c r="V297" t="s">
        <v>161</v>
      </c>
    </row>
    <row r="298" spans="9:22" x14ac:dyDescent="0.45">
      <c r="I298" t="s">
        <v>177</v>
      </c>
      <c r="J298" t="s">
        <v>283</v>
      </c>
      <c r="K298">
        <v>0</v>
      </c>
      <c r="L298" t="s">
        <v>161</v>
      </c>
      <c r="N298" t="s">
        <v>200</v>
      </c>
      <c r="O298" t="s">
        <v>283</v>
      </c>
      <c r="P298">
        <v>6.7222627434270687E-3</v>
      </c>
      <c r="Q298" t="s">
        <v>161</v>
      </c>
      <c r="S298" t="s">
        <v>222</v>
      </c>
      <c r="T298" t="s">
        <v>283</v>
      </c>
      <c r="U298">
        <v>6.7591003068025899E-3</v>
      </c>
      <c r="V298" t="s">
        <v>161</v>
      </c>
    </row>
    <row r="299" spans="9:22" x14ac:dyDescent="0.45">
      <c r="I299" t="s">
        <v>178</v>
      </c>
      <c r="J299" t="s">
        <v>160</v>
      </c>
      <c r="K299">
        <v>0</v>
      </c>
      <c r="L299" t="s">
        <v>161</v>
      </c>
      <c r="N299" t="s">
        <v>201</v>
      </c>
      <c r="O299" t="s">
        <v>160</v>
      </c>
      <c r="P299">
        <v>7.5780489909595919E-2</v>
      </c>
      <c r="Q299" t="s">
        <v>161</v>
      </c>
      <c r="S299" t="s">
        <v>223</v>
      </c>
      <c r="T299" t="s">
        <v>160</v>
      </c>
      <c r="U299">
        <v>7.8463456580392513E-2</v>
      </c>
      <c r="V299" t="s">
        <v>161</v>
      </c>
    </row>
    <row r="300" spans="9:22" x14ac:dyDescent="0.45">
      <c r="I300" t="s">
        <v>178</v>
      </c>
      <c r="J300" t="s">
        <v>162</v>
      </c>
      <c r="K300">
        <v>2.6718814711037221E-3</v>
      </c>
      <c r="L300" t="s">
        <v>161</v>
      </c>
      <c r="N300" t="s">
        <v>201</v>
      </c>
      <c r="O300" t="s">
        <v>162</v>
      </c>
      <c r="P300">
        <v>9.6717623206089218E-3</v>
      </c>
      <c r="Q300" t="s">
        <v>161</v>
      </c>
      <c r="S300" t="s">
        <v>223</v>
      </c>
      <c r="T300" t="s">
        <v>162</v>
      </c>
      <c r="U300">
        <v>9.065297098559506E-3</v>
      </c>
      <c r="V300" t="s">
        <v>161</v>
      </c>
    </row>
    <row r="301" spans="9:22" x14ac:dyDescent="0.45">
      <c r="I301" t="s">
        <v>178</v>
      </c>
      <c r="J301" t="s">
        <v>163</v>
      </c>
      <c r="K301">
        <v>8.4089406888086568E-2</v>
      </c>
      <c r="L301" t="s">
        <v>161</v>
      </c>
      <c r="N301" t="s">
        <v>201</v>
      </c>
      <c r="O301" t="s">
        <v>163</v>
      </c>
      <c r="P301">
        <v>6.0171250239348384E-2</v>
      </c>
      <c r="Q301" t="s">
        <v>161</v>
      </c>
      <c r="S301" t="s">
        <v>223</v>
      </c>
      <c r="T301" t="s">
        <v>163</v>
      </c>
      <c r="U301">
        <v>6.4351204420844674E-2</v>
      </c>
      <c r="V301" t="s">
        <v>161</v>
      </c>
    </row>
    <row r="302" spans="9:22" x14ac:dyDescent="0.45">
      <c r="I302" t="s">
        <v>178</v>
      </c>
      <c r="J302" t="s">
        <v>242</v>
      </c>
      <c r="K302">
        <v>9.3879537662771087E-3</v>
      </c>
      <c r="L302" t="s">
        <v>161</v>
      </c>
      <c r="N302" t="s">
        <v>201</v>
      </c>
      <c r="O302" t="s">
        <v>242</v>
      </c>
      <c r="P302">
        <v>8.5514164963177118E-3</v>
      </c>
      <c r="Q302" t="s">
        <v>161</v>
      </c>
      <c r="S302" t="s">
        <v>223</v>
      </c>
      <c r="T302" t="s">
        <v>242</v>
      </c>
      <c r="U302">
        <v>9.5178590229397907E-3</v>
      </c>
      <c r="V302" t="s">
        <v>161</v>
      </c>
    </row>
    <row r="303" spans="9:22" x14ac:dyDescent="0.45">
      <c r="I303" t="s">
        <v>178</v>
      </c>
      <c r="J303" t="s">
        <v>243</v>
      </c>
      <c r="K303">
        <v>5.8992038870738436E-3</v>
      </c>
      <c r="L303" t="s">
        <v>161</v>
      </c>
      <c r="N303" t="s">
        <v>201</v>
      </c>
      <c r="O303" t="s">
        <v>243</v>
      </c>
      <c r="P303">
        <v>8.9247389772642658E-3</v>
      </c>
      <c r="Q303" t="s">
        <v>161</v>
      </c>
      <c r="S303" t="s">
        <v>223</v>
      </c>
      <c r="T303" t="s">
        <v>243</v>
      </c>
      <c r="U303">
        <v>9.8157035965948814E-3</v>
      </c>
      <c r="V303" t="s">
        <v>161</v>
      </c>
    </row>
    <row r="304" spans="9:22" x14ac:dyDescent="0.45">
      <c r="I304" t="s">
        <v>178</v>
      </c>
      <c r="J304" t="s">
        <v>266</v>
      </c>
      <c r="K304">
        <v>2.3423157132327977E-3</v>
      </c>
      <c r="L304" t="s">
        <v>161</v>
      </c>
      <c r="N304" t="s">
        <v>201</v>
      </c>
      <c r="O304" t="s">
        <v>266</v>
      </c>
      <c r="P304">
        <v>5.7092808912040376E-2</v>
      </c>
      <c r="Q304" t="s">
        <v>161</v>
      </c>
      <c r="S304" t="s">
        <v>223</v>
      </c>
      <c r="T304" t="s">
        <v>266</v>
      </c>
      <c r="U304">
        <v>5.9722287375435452E-2</v>
      </c>
      <c r="V304" t="s">
        <v>161</v>
      </c>
    </row>
    <row r="305" spans="9:22" x14ac:dyDescent="0.45">
      <c r="I305" t="s">
        <v>178</v>
      </c>
      <c r="J305" t="s">
        <v>164</v>
      </c>
      <c r="K305">
        <v>6.5893265256804882E-3</v>
      </c>
      <c r="L305" t="s">
        <v>161</v>
      </c>
      <c r="N305" t="s">
        <v>201</v>
      </c>
      <c r="O305" t="s">
        <v>164</v>
      </c>
      <c r="P305">
        <v>4.1109141637361422E-2</v>
      </c>
      <c r="Q305" t="s">
        <v>161</v>
      </c>
      <c r="S305" t="s">
        <v>223</v>
      </c>
      <c r="T305" t="s">
        <v>164</v>
      </c>
      <c r="U305">
        <v>3.6908370764367621E-2</v>
      </c>
      <c r="V305" t="s">
        <v>161</v>
      </c>
    </row>
    <row r="306" spans="9:22" x14ac:dyDescent="0.45">
      <c r="I306" t="s">
        <v>178</v>
      </c>
      <c r="J306" t="s">
        <v>165</v>
      </c>
      <c r="K306">
        <v>9.3096183831950455E-3</v>
      </c>
      <c r="L306" t="s">
        <v>161</v>
      </c>
      <c r="N306" t="s">
        <v>201</v>
      </c>
      <c r="O306" t="s">
        <v>165</v>
      </c>
      <c r="P306">
        <v>4.6050493697398281E-3</v>
      </c>
      <c r="Q306" t="s">
        <v>161</v>
      </c>
      <c r="S306" t="s">
        <v>223</v>
      </c>
      <c r="T306" t="s">
        <v>165</v>
      </c>
      <c r="U306">
        <v>4.4995978859349471E-3</v>
      </c>
      <c r="V306" t="s">
        <v>161</v>
      </c>
    </row>
    <row r="307" spans="9:22" x14ac:dyDescent="0.45">
      <c r="I307" t="s">
        <v>178</v>
      </c>
      <c r="J307" t="s">
        <v>166</v>
      </c>
      <c r="K307">
        <v>9.4180079347143605E-2</v>
      </c>
      <c r="L307" t="s">
        <v>161</v>
      </c>
      <c r="N307" t="s">
        <v>201</v>
      </c>
      <c r="O307" t="s">
        <v>166</v>
      </c>
      <c r="P307">
        <v>3.1994308605656462E-2</v>
      </c>
      <c r="Q307" t="s">
        <v>161</v>
      </c>
      <c r="S307" t="s">
        <v>223</v>
      </c>
      <c r="T307" t="s">
        <v>166</v>
      </c>
      <c r="U307">
        <v>3.3452490882188768E-2</v>
      </c>
      <c r="V307" t="s">
        <v>161</v>
      </c>
    </row>
    <row r="308" spans="9:22" x14ac:dyDescent="0.45">
      <c r="I308" t="s">
        <v>178</v>
      </c>
      <c r="J308" t="s">
        <v>244</v>
      </c>
      <c r="K308">
        <v>9.89982987299751E-3</v>
      </c>
      <c r="L308" t="s">
        <v>161</v>
      </c>
      <c r="N308" t="s">
        <v>201</v>
      </c>
      <c r="O308" t="s">
        <v>244</v>
      </c>
      <c r="P308">
        <v>4.7848579202082213E-3</v>
      </c>
      <c r="Q308" t="s">
        <v>161</v>
      </c>
      <c r="S308" t="s">
        <v>223</v>
      </c>
      <c r="T308" t="s">
        <v>244</v>
      </c>
      <c r="U308">
        <v>4.8560139640310999E-3</v>
      </c>
      <c r="V308" t="s">
        <v>161</v>
      </c>
    </row>
    <row r="309" spans="9:22" x14ac:dyDescent="0.45">
      <c r="I309" t="s">
        <v>178</v>
      </c>
      <c r="J309" t="s">
        <v>245</v>
      </c>
      <c r="K309">
        <v>7.8530953832073608E-3</v>
      </c>
      <c r="L309" t="s">
        <v>161</v>
      </c>
      <c r="N309" t="s">
        <v>201</v>
      </c>
      <c r="O309" t="s">
        <v>245</v>
      </c>
      <c r="P309">
        <v>4.6056602590234903E-3</v>
      </c>
      <c r="Q309" t="s">
        <v>161</v>
      </c>
      <c r="S309" t="s">
        <v>223</v>
      </c>
      <c r="T309" t="s">
        <v>245</v>
      </c>
      <c r="U309">
        <v>4.613348589297398E-3</v>
      </c>
      <c r="V309" t="s">
        <v>161</v>
      </c>
    </row>
    <row r="310" spans="9:22" x14ac:dyDescent="0.45">
      <c r="I310" t="s">
        <v>178</v>
      </c>
      <c r="J310" t="s">
        <v>267</v>
      </c>
      <c r="K310">
        <v>7.6906670277574179E-3</v>
      </c>
      <c r="L310" t="s">
        <v>161</v>
      </c>
      <c r="N310" t="s">
        <v>201</v>
      </c>
      <c r="O310" t="s">
        <v>267</v>
      </c>
      <c r="P310">
        <v>3.2014455073436192E-2</v>
      </c>
      <c r="Q310" t="s">
        <v>161</v>
      </c>
      <c r="S310" t="s">
        <v>223</v>
      </c>
      <c r="T310" t="s">
        <v>267</v>
      </c>
      <c r="U310">
        <v>2.9811246032356509E-2</v>
      </c>
      <c r="V310" t="s">
        <v>161</v>
      </c>
    </row>
    <row r="311" spans="9:22" x14ac:dyDescent="0.45">
      <c r="I311" t="s">
        <v>178</v>
      </c>
      <c r="J311" t="s">
        <v>167</v>
      </c>
      <c r="K311">
        <v>4.2578084817314829E-2</v>
      </c>
      <c r="L311" t="s">
        <v>161</v>
      </c>
      <c r="N311" t="s">
        <v>201</v>
      </c>
      <c r="O311" t="s">
        <v>167</v>
      </c>
      <c r="P311">
        <v>6.0695974863018913E-2</v>
      </c>
      <c r="Q311" t="s">
        <v>161</v>
      </c>
      <c r="S311" t="s">
        <v>223</v>
      </c>
      <c r="T311" t="s">
        <v>167</v>
      </c>
      <c r="U311">
        <v>5.7517299486010094E-2</v>
      </c>
      <c r="V311" t="s">
        <v>161</v>
      </c>
    </row>
    <row r="312" spans="9:22" x14ac:dyDescent="0.45">
      <c r="I312" t="s">
        <v>178</v>
      </c>
      <c r="J312" t="s">
        <v>168</v>
      </c>
      <c r="K312">
        <v>2.9209767508315235E-2</v>
      </c>
      <c r="L312" t="s">
        <v>161</v>
      </c>
      <c r="N312" t="s">
        <v>201</v>
      </c>
      <c r="O312" t="s">
        <v>168</v>
      </c>
      <c r="P312">
        <v>7.0462036786904337E-3</v>
      </c>
      <c r="Q312" t="s">
        <v>161</v>
      </c>
      <c r="S312" t="s">
        <v>223</v>
      </c>
      <c r="T312" t="s">
        <v>168</v>
      </c>
      <c r="U312">
        <v>7.1964242395440511E-3</v>
      </c>
      <c r="V312" t="s">
        <v>161</v>
      </c>
    </row>
    <row r="313" spans="9:22" x14ac:dyDescent="0.45">
      <c r="I313" t="s">
        <v>178</v>
      </c>
      <c r="J313" t="s">
        <v>169</v>
      </c>
      <c r="K313">
        <v>0.2692232072164169</v>
      </c>
      <c r="L313" t="s">
        <v>161</v>
      </c>
      <c r="N313" t="s">
        <v>201</v>
      </c>
      <c r="O313" t="s">
        <v>169</v>
      </c>
      <c r="P313">
        <v>5.154567657453691E-2</v>
      </c>
      <c r="Q313" t="s">
        <v>161</v>
      </c>
      <c r="S313" t="s">
        <v>223</v>
      </c>
      <c r="T313" t="s">
        <v>169</v>
      </c>
      <c r="U313">
        <v>5.2505270091734155E-2</v>
      </c>
      <c r="V313" t="s">
        <v>161</v>
      </c>
    </row>
    <row r="314" spans="9:22" x14ac:dyDescent="0.45">
      <c r="I314" t="s">
        <v>178</v>
      </c>
      <c r="J314" t="s">
        <v>246</v>
      </c>
      <c r="K314">
        <v>3.2591723127796873E-2</v>
      </c>
      <c r="L314" t="s">
        <v>161</v>
      </c>
      <c r="N314" t="s">
        <v>201</v>
      </c>
      <c r="O314" t="s">
        <v>246</v>
      </c>
      <c r="P314">
        <v>7.8719892736922523E-3</v>
      </c>
      <c r="Q314" t="s">
        <v>161</v>
      </c>
      <c r="S314" t="s">
        <v>223</v>
      </c>
      <c r="T314" t="s">
        <v>246</v>
      </c>
      <c r="U314">
        <v>7.3686528341285829E-3</v>
      </c>
      <c r="V314" t="s">
        <v>161</v>
      </c>
    </row>
    <row r="315" spans="9:22" x14ac:dyDescent="0.45">
      <c r="I315" t="s">
        <v>178</v>
      </c>
      <c r="J315" t="s">
        <v>247</v>
      </c>
      <c r="K315">
        <v>2.7997366996342775E-2</v>
      </c>
      <c r="L315" t="s">
        <v>161</v>
      </c>
      <c r="N315" t="s">
        <v>201</v>
      </c>
      <c r="O315" t="s">
        <v>247</v>
      </c>
      <c r="P315">
        <v>7.4622344455429115E-3</v>
      </c>
      <c r="Q315" t="s">
        <v>161</v>
      </c>
      <c r="S315" t="s">
        <v>223</v>
      </c>
      <c r="T315" t="s">
        <v>247</v>
      </c>
      <c r="U315">
        <v>6.8468591421948846E-3</v>
      </c>
      <c r="V315" t="s">
        <v>161</v>
      </c>
    </row>
    <row r="316" spans="9:22" x14ac:dyDescent="0.45">
      <c r="I316" t="s">
        <v>178</v>
      </c>
      <c r="J316" t="s">
        <v>268</v>
      </c>
      <c r="K316">
        <v>4.4603300122678276E-2</v>
      </c>
      <c r="L316" t="s">
        <v>161</v>
      </c>
      <c r="N316" t="s">
        <v>201</v>
      </c>
      <c r="O316" t="s">
        <v>268</v>
      </c>
      <c r="P316">
        <v>4.854953280350658E-2</v>
      </c>
      <c r="Q316" t="s">
        <v>161</v>
      </c>
      <c r="S316" t="s">
        <v>223</v>
      </c>
      <c r="T316" t="s">
        <v>268</v>
      </c>
      <c r="U316">
        <v>4.2235264104993279E-2</v>
      </c>
      <c r="V316" t="s">
        <v>161</v>
      </c>
    </row>
    <row r="317" spans="9:22" x14ac:dyDescent="0.45">
      <c r="I317" t="s">
        <v>178</v>
      </c>
      <c r="J317" t="s">
        <v>170</v>
      </c>
      <c r="K317">
        <v>1.245324276448889E-2</v>
      </c>
      <c r="L317" t="s">
        <v>161</v>
      </c>
      <c r="N317" t="s">
        <v>201</v>
      </c>
      <c r="O317" t="s">
        <v>170</v>
      </c>
      <c r="P317">
        <v>3.2779427875124292E-2</v>
      </c>
      <c r="Q317" t="s">
        <v>161</v>
      </c>
      <c r="S317" t="s">
        <v>223</v>
      </c>
      <c r="T317" t="s">
        <v>170</v>
      </c>
      <c r="U317">
        <v>3.2194602770319804E-2</v>
      </c>
      <c r="V317" t="s">
        <v>161</v>
      </c>
    </row>
    <row r="318" spans="9:22" x14ac:dyDescent="0.45">
      <c r="I318" t="s">
        <v>178</v>
      </c>
      <c r="J318" t="s">
        <v>171</v>
      </c>
      <c r="K318">
        <v>1.2893645501492478E-2</v>
      </c>
      <c r="L318" t="s">
        <v>161</v>
      </c>
      <c r="N318" t="s">
        <v>201</v>
      </c>
      <c r="O318" t="s">
        <v>171</v>
      </c>
      <c r="P318">
        <v>3.5151313358123301E-3</v>
      </c>
      <c r="Q318" t="s">
        <v>161</v>
      </c>
      <c r="S318" t="s">
        <v>223</v>
      </c>
      <c r="T318" t="s">
        <v>171</v>
      </c>
      <c r="U318">
        <v>3.5776726377694437E-3</v>
      </c>
      <c r="V318" t="s">
        <v>161</v>
      </c>
    </row>
    <row r="319" spans="9:22" x14ac:dyDescent="0.45">
      <c r="I319" t="s">
        <v>178</v>
      </c>
      <c r="J319" t="s">
        <v>172</v>
      </c>
      <c r="K319">
        <v>0.12137417342503591</v>
      </c>
      <c r="L319" t="s">
        <v>161</v>
      </c>
      <c r="N319" t="s">
        <v>201</v>
      </c>
      <c r="O319" t="s">
        <v>172</v>
      </c>
      <c r="P319">
        <v>3.0014718082525572E-2</v>
      </c>
      <c r="Q319" t="s">
        <v>161</v>
      </c>
      <c r="S319" t="s">
        <v>223</v>
      </c>
      <c r="T319" t="s">
        <v>172</v>
      </c>
      <c r="U319">
        <v>2.8760312090366565E-2</v>
      </c>
      <c r="V319" t="s">
        <v>161</v>
      </c>
    </row>
    <row r="320" spans="9:22" x14ac:dyDescent="0.45">
      <c r="I320" t="s">
        <v>178</v>
      </c>
      <c r="J320" t="s">
        <v>248</v>
      </c>
      <c r="K320">
        <v>1.4220321365108528E-2</v>
      </c>
      <c r="L320" t="s">
        <v>161</v>
      </c>
      <c r="N320" t="s">
        <v>201</v>
      </c>
      <c r="O320" t="s">
        <v>248</v>
      </c>
      <c r="P320">
        <v>4.1347842141160112E-3</v>
      </c>
      <c r="Q320" t="s">
        <v>161</v>
      </c>
      <c r="S320" t="s">
        <v>223</v>
      </c>
      <c r="T320" t="s">
        <v>248</v>
      </c>
      <c r="U320">
        <v>3.973942731480969E-3</v>
      </c>
      <c r="V320" t="s">
        <v>161</v>
      </c>
    </row>
    <row r="321" spans="9:22" x14ac:dyDescent="0.45">
      <c r="I321" t="s">
        <v>178</v>
      </c>
      <c r="J321" t="s">
        <v>249</v>
      </c>
      <c r="K321">
        <v>1.1677655784270527E-2</v>
      </c>
      <c r="L321" t="s">
        <v>161</v>
      </c>
      <c r="N321" t="s">
        <v>201</v>
      </c>
      <c r="O321" t="s">
        <v>249</v>
      </c>
      <c r="P321">
        <v>3.5678242607831011E-3</v>
      </c>
      <c r="Q321" t="s">
        <v>161</v>
      </c>
      <c r="S321" t="s">
        <v>223</v>
      </c>
      <c r="T321" t="s">
        <v>249</v>
      </c>
      <c r="U321">
        <v>3.8460980429451323E-3</v>
      </c>
      <c r="V321" t="s">
        <v>161</v>
      </c>
    </row>
    <row r="322" spans="9:22" x14ac:dyDescent="0.45">
      <c r="I322" t="s">
        <v>178</v>
      </c>
      <c r="J322" t="s">
        <v>269</v>
      </c>
      <c r="K322">
        <v>1.3704579704433209E-2</v>
      </c>
      <c r="L322" t="s">
        <v>161</v>
      </c>
      <c r="N322" t="s">
        <v>201</v>
      </c>
      <c r="O322" t="s">
        <v>269</v>
      </c>
      <c r="P322">
        <v>2.3604546026182231E-2</v>
      </c>
      <c r="Q322" t="s">
        <v>161</v>
      </c>
      <c r="S322" t="s">
        <v>223</v>
      </c>
      <c r="T322" t="s">
        <v>269</v>
      </c>
      <c r="U322">
        <v>2.5347560785731405E-2</v>
      </c>
      <c r="V322" t="s">
        <v>161</v>
      </c>
    </row>
    <row r="323" spans="9:22" x14ac:dyDescent="0.45">
      <c r="I323" t="s">
        <v>178</v>
      </c>
      <c r="J323" t="s">
        <v>250</v>
      </c>
      <c r="K323">
        <v>1.3573262681335261E-3</v>
      </c>
      <c r="L323" t="s">
        <v>161</v>
      </c>
      <c r="N323" t="s">
        <v>201</v>
      </c>
      <c r="O323" t="s">
        <v>250</v>
      </c>
      <c r="P323">
        <v>5.4149336570076659E-2</v>
      </c>
      <c r="Q323" t="s">
        <v>161</v>
      </c>
      <c r="S323" t="s">
        <v>223</v>
      </c>
      <c r="T323" t="s">
        <v>250</v>
      </c>
      <c r="U323">
        <v>5.0206238614596478E-2</v>
      </c>
      <c r="V323" t="s">
        <v>161</v>
      </c>
    </row>
    <row r="324" spans="9:22" x14ac:dyDescent="0.45">
      <c r="I324" t="s">
        <v>178</v>
      </c>
      <c r="J324" t="s">
        <v>251</v>
      </c>
      <c r="K324">
        <v>4.0148806319738918E-3</v>
      </c>
      <c r="L324" t="s">
        <v>161</v>
      </c>
      <c r="N324" t="s">
        <v>201</v>
      </c>
      <c r="O324" t="s">
        <v>251</v>
      </c>
      <c r="P324">
        <v>6.2118085003727841E-3</v>
      </c>
      <c r="Q324" t="s">
        <v>161</v>
      </c>
      <c r="S324" t="s">
        <v>223</v>
      </c>
      <c r="T324" t="s">
        <v>251</v>
      </c>
      <c r="U324">
        <v>6.5014174327406521E-3</v>
      </c>
      <c r="V324" t="s">
        <v>161</v>
      </c>
    </row>
    <row r="325" spans="9:22" x14ac:dyDescent="0.45">
      <c r="I325" t="s">
        <v>178</v>
      </c>
      <c r="J325" t="s">
        <v>252</v>
      </c>
      <c r="K325">
        <v>6.9083916823982627E-2</v>
      </c>
      <c r="L325" t="s">
        <v>161</v>
      </c>
      <c r="N325" t="s">
        <v>201</v>
      </c>
      <c r="O325" t="s">
        <v>252</v>
      </c>
      <c r="P325">
        <v>4.136963968341166E-2</v>
      </c>
      <c r="Q325" t="s">
        <v>161</v>
      </c>
      <c r="S325" t="s">
        <v>223</v>
      </c>
      <c r="T325" t="s">
        <v>252</v>
      </c>
      <c r="U325">
        <v>4.4235356367090355E-2</v>
      </c>
      <c r="V325" t="s">
        <v>161</v>
      </c>
    </row>
    <row r="326" spans="9:22" x14ac:dyDescent="0.45">
      <c r="I326" t="s">
        <v>178</v>
      </c>
      <c r="J326" t="s">
        <v>253</v>
      </c>
      <c r="K326">
        <v>7.488991000700539E-3</v>
      </c>
      <c r="L326" t="s">
        <v>161</v>
      </c>
      <c r="N326" t="s">
        <v>201</v>
      </c>
      <c r="O326" t="s">
        <v>253</v>
      </c>
      <c r="P326">
        <v>6.066434023641638E-3</v>
      </c>
      <c r="Q326" t="s">
        <v>161</v>
      </c>
      <c r="S326" t="s">
        <v>223</v>
      </c>
      <c r="T326" t="s">
        <v>253</v>
      </c>
      <c r="U326">
        <v>6.5404689087397369E-3</v>
      </c>
      <c r="V326" t="s">
        <v>161</v>
      </c>
    </row>
    <row r="327" spans="9:22" x14ac:dyDescent="0.45">
      <c r="I327" t="s">
        <v>178</v>
      </c>
      <c r="J327" t="s">
        <v>254</v>
      </c>
      <c r="K327">
        <v>4.3145740459792376E-3</v>
      </c>
      <c r="L327" t="s">
        <v>161</v>
      </c>
      <c r="N327" t="s">
        <v>201</v>
      </c>
      <c r="O327" t="s">
        <v>254</v>
      </c>
      <c r="P327">
        <v>6.3511927896701178E-3</v>
      </c>
      <c r="Q327" t="s">
        <v>161</v>
      </c>
      <c r="S327" t="s">
        <v>223</v>
      </c>
      <c r="T327" t="s">
        <v>254</v>
      </c>
      <c r="U327">
        <v>6.6606348425296332E-3</v>
      </c>
      <c r="V327" t="s">
        <v>161</v>
      </c>
    </row>
    <row r="328" spans="9:22" x14ac:dyDescent="0.45">
      <c r="I328" t="s">
        <v>178</v>
      </c>
      <c r="J328" t="s">
        <v>270</v>
      </c>
      <c r="K328">
        <v>1.3699183108772548E-3</v>
      </c>
      <c r="L328" t="s">
        <v>161</v>
      </c>
      <c r="N328" t="s">
        <v>201</v>
      </c>
      <c r="O328" t="s">
        <v>270</v>
      </c>
      <c r="P328">
        <v>4.287013603951912E-2</v>
      </c>
      <c r="Q328" t="s">
        <v>161</v>
      </c>
      <c r="S328" t="s">
        <v>223</v>
      </c>
      <c r="T328" t="s">
        <v>270</v>
      </c>
      <c r="U328">
        <v>4.013666204670769E-2</v>
      </c>
      <c r="V328" t="s">
        <v>161</v>
      </c>
    </row>
    <row r="329" spans="9:22" x14ac:dyDescent="0.45">
      <c r="I329" t="s">
        <v>178</v>
      </c>
      <c r="J329" t="s">
        <v>255</v>
      </c>
      <c r="K329">
        <v>0</v>
      </c>
      <c r="L329" t="s">
        <v>161</v>
      </c>
      <c r="N329" t="s">
        <v>201</v>
      </c>
      <c r="O329" t="s">
        <v>255</v>
      </c>
      <c r="P329">
        <v>4.9201062985027973E-2</v>
      </c>
      <c r="Q329" t="s">
        <v>161</v>
      </c>
      <c r="S329" t="s">
        <v>223</v>
      </c>
      <c r="T329" t="s">
        <v>255</v>
      </c>
      <c r="U329">
        <v>5.1079232966620154E-2</v>
      </c>
      <c r="V329" t="s">
        <v>161</v>
      </c>
    </row>
    <row r="330" spans="9:22" x14ac:dyDescent="0.45">
      <c r="I330" t="s">
        <v>178</v>
      </c>
      <c r="J330" t="s">
        <v>256</v>
      </c>
      <c r="K330">
        <v>3.1680723223876283E-5</v>
      </c>
      <c r="L330" t="s">
        <v>161</v>
      </c>
      <c r="N330" t="s">
        <v>201</v>
      </c>
      <c r="O330" t="s">
        <v>256</v>
      </c>
      <c r="P330">
        <v>5.9809244769357967E-3</v>
      </c>
      <c r="Q330" t="s">
        <v>161</v>
      </c>
      <c r="S330" t="s">
        <v>223</v>
      </c>
      <c r="T330" t="s">
        <v>256</v>
      </c>
      <c r="U330">
        <v>6.7725216908429836E-3</v>
      </c>
      <c r="V330" t="s">
        <v>161</v>
      </c>
    </row>
    <row r="331" spans="9:22" x14ac:dyDescent="0.45">
      <c r="I331" t="s">
        <v>178</v>
      </c>
      <c r="J331" t="s">
        <v>257</v>
      </c>
      <c r="K331">
        <v>2.9244215821895913E-2</v>
      </c>
      <c r="L331" t="s">
        <v>161</v>
      </c>
      <c r="N331" t="s">
        <v>201</v>
      </c>
      <c r="O331" t="s">
        <v>257</v>
      </c>
      <c r="P331">
        <v>3.7940440801232732E-2</v>
      </c>
      <c r="Q331" t="s">
        <v>161</v>
      </c>
      <c r="S331" t="s">
        <v>223</v>
      </c>
      <c r="T331" t="s">
        <v>257</v>
      </c>
      <c r="U331">
        <v>4.2168602226494538E-2</v>
      </c>
      <c r="V331" t="s">
        <v>161</v>
      </c>
    </row>
    <row r="332" spans="9:22" x14ac:dyDescent="0.45">
      <c r="I332" t="s">
        <v>178</v>
      </c>
      <c r="J332" t="s">
        <v>258</v>
      </c>
      <c r="K332">
        <v>2.56061838282593E-3</v>
      </c>
      <c r="L332" t="s">
        <v>161</v>
      </c>
      <c r="N332" t="s">
        <v>201</v>
      </c>
      <c r="O332" t="s">
        <v>258</v>
      </c>
      <c r="P332">
        <v>5.5129306109431382E-3</v>
      </c>
      <c r="Q332" t="s">
        <v>161</v>
      </c>
      <c r="S332" t="s">
        <v>223</v>
      </c>
      <c r="T332" t="s">
        <v>258</v>
      </c>
      <c r="U332">
        <v>6.0070742842348139E-3</v>
      </c>
      <c r="V332" t="s">
        <v>161</v>
      </c>
    </row>
    <row r="333" spans="9:22" x14ac:dyDescent="0.45">
      <c r="I333" t="s">
        <v>178</v>
      </c>
      <c r="J333" t="s">
        <v>259</v>
      </c>
      <c r="K333">
        <v>0</v>
      </c>
      <c r="L333" t="s">
        <v>161</v>
      </c>
      <c r="N333" t="s">
        <v>201</v>
      </c>
      <c r="O333" t="s">
        <v>259</v>
      </c>
      <c r="P333">
        <v>5.7226605458573915E-3</v>
      </c>
      <c r="Q333" t="s">
        <v>161</v>
      </c>
      <c r="S333" t="s">
        <v>223</v>
      </c>
      <c r="T333" t="s">
        <v>259</v>
      </c>
      <c r="U333">
        <v>6.1691288119590029E-3</v>
      </c>
      <c r="V333" t="s">
        <v>161</v>
      </c>
    </row>
    <row r="334" spans="9:22" x14ac:dyDescent="0.45">
      <c r="I334" t="s">
        <v>178</v>
      </c>
      <c r="J334" t="s">
        <v>271</v>
      </c>
      <c r="K334">
        <v>0</v>
      </c>
      <c r="L334" t="s">
        <v>161</v>
      </c>
      <c r="N334" t="s">
        <v>201</v>
      </c>
      <c r="O334" t="s">
        <v>271</v>
      </c>
      <c r="P334">
        <v>3.7189711100086828E-2</v>
      </c>
      <c r="Q334" t="s">
        <v>161</v>
      </c>
      <c r="S334" t="s">
        <v>223</v>
      </c>
      <c r="T334" t="s">
        <v>271</v>
      </c>
      <c r="U334">
        <v>3.5717315464685012E-2</v>
      </c>
      <c r="V334" t="s">
        <v>161</v>
      </c>
    </row>
    <row r="335" spans="9:22" x14ac:dyDescent="0.45">
      <c r="I335" t="s">
        <v>178</v>
      </c>
      <c r="J335" t="s">
        <v>272</v>
      </c>
      <c r="K335">
        <v>0</v>
      </c>
      <c r="L335" t="s">
        <v>161</v>
      </c>
      <c r="N335" t="s">
        <v>201</v>
      </c>
      <c r="O335" t="s">
        <v>272</v>
      </c>
      <c r="P335">
        <v>2.0039112686528433E-2</v>
      </c>
      <c r="Q335" t="s">
        <v>161</v>
      </c>
      <c r="S335" t="s">
        <v>223</v>
      </c>
      <c r="T335" t="s">
        <v>272</v>
      </c>
      <c r="U335">
        <v>1.9620710755967927E-2</v>
      </c>
      <c r="V335" t="s">
        <v>161</v>
      </c>
    </row>
    <row r="336" spans="9:22" x14ac:dyDescent="0.45">
      <c r="I336" t="s">
        <v>178</v>
      </c>
      <c r="J336" t="s">
        <v>273</v>
      </c>
      <c r="K336">
        <v>0</v>
      </c>
      <c r="L336" t="s">
        <v>161</v>
      </c>
      <c r="N336" t="s">
        <v>201</v>
      </c>
      <c r="O336" t="s">
        <v>273</v>
      </c>
      <c r="P336">
        <v>2.5201686662531487E-3</v>
      </c>
      <c r="Q336" t="s">
        <v>161</v>
      </c>
      <c r="S336" t="s">
        <v>223</v>
      </c>
      <c r="T336" t="s">
        <v>273</v>
      </c>
      <c r="U336">
        <v>2.6301526454163286E-3</v>
      </c>
      <c r="V336" t="s">
        <v>161</v>
      </c>
    </row>
    <row r="337" spans="9:22" x14ac:dyDescent="0.45">
      <c r="I337" t="s">
        <v>178</v>
      </c>
      <c r="J337" t="s">
        <v>274</v>
      </c>
      <c r="K337">
        <v>3.4288128620191989E-3</v>
      </c>
      <c r="L337" t="s">
        <v>161</v>
      </c>
      <c r="N337" t="s">
        <v>201</v>
      </c>
      <c r="O337" t="s">
        <v>274</v>
      </c>
      <c r="P337">
        <v>1.4794203067207254E-2</v>
      </c>
      <c r="Q337" t="s">
        <v>161</v>
      </c>
      <c r="S337" t="s">
        <v>223</v>
      </c>
      <c r="T337" t="s">
        <v>274</v>
      </c>
      <c r="U337">
        <v>1.515994439571661E-2</v>
      </c>
      <c r="V337" t="s">
        <v>161</v>
      </c>
    </row>
    <row r="338" spans="9:22" x14ac:dyDescent="0.45">
      <c r="I338" t="s">
        <v>178</v>
      </c>
      <c r="J338" t="s">
        <v>275</v>
      </c>
      <c r="K338">
        <v>1.8299239867547426E-4</v>
      </c>
      <c r="L338" t="s">
        <v>161</v>
      </c>
      <c r="N338" t="s">
        <v>201</v>
      </c>
      <c r="O338" t="s">
        <v>275</v>
      </c>
      <c r="P338">
        <v>2.0125283914927405E-3</v>
      </c>
      <c r="Q338" t="s">
        <v>161</v>
      </c>
      <c r="S338" t="s">
        <v>223</v>
      </c>
      <c r="T338" t="s">
        <v>275</v>
      </c>
      <c r="U338">
        <v>2.2370475896860893E-3</v>
      </c>
      <c r="V338" t="s">
        <v>161</v>
      </c>
    </row>
    <row r="339" spans="9:22" x14ac:dyDescent="0.45">
      <c r="I339" t="s">
        <v>178</v>
      </c>
      <c r="J339" t="s">
        <v>276</v>
      </c>
      <c r="K339">
        <v>0</v>
      </c>
      <c r="L339" t="s">
        <v>161</v>
      </c>
      <c r="N339" t="s">
        <v>201</v>
      </c>
      <c r="O339" t="s">
        <v>276</v>
      </c>
      <c r="P339">
        <v>2.0391660068732713E-3</v>
      </c>
      <c r="Q339" t="s">
        <v>161</v>
      </c>
      <c r="S339" t="s">
        <v>223</v>
      </c>
      <c r="T339" t="s">
        <v>276</v>
      </c>
      <c r="U339">
        <v>2.2647306304694574E-3</v>
      </c>
      <c r="V339" t="s">
        <v>161</v>
      </c>
    </row>
    <row r="340" spans="9:22" x14ac:dyDescent="0.45">
      <c r="I340" t="s">
        <v>178</v>
      </c>
      <c r="J340" t="s">
        <v>277</v>
      </c>
      <c r="K340">
        <v>0</v>
      </c>
      <c r="L340" t="s">
        <v>161</v>
      </c>
      <c r="N340" t="s">
        <v>201</v>
      </c>
      <c r="O340" t="s">
        <v>277</v>
      </c>
      <c r="P340">
        <v>1.2890234441558417E-2</v>
      </c>
      <c r="Q340" t="s">
        <v>161</v>
      </c>
      <c r="S340" t="s">
        <v>223</v>
      </c>
      <c r="T340" t="s">
        <v>277</v>
      </c>
      <c r="U340">
        <v>1.2882535610980612E-2</v>
      </c>
      <c r="V340" t="s">
        <v>161</v>
      </c>
    </row>
    <row r="341" spans="9:22" x14ac:dyDescent="0.45">
      <c r="I341" t="s">
        <v>178</v>
      </c>
      <c r="J341" t="s">
        <v>278</v>
      </c>
      <c r="K341">
        <v>0</v>
      </c>
      <c r="L341" t="s">
        <v>161</v>
      </c>
      <c r="N341" t="s">
        <v>201</v>
      </c>
      <c r="O341" t="s">
        <v>278</v>
      </c>
      <c r="P341">
        <v>8.035160138391834E-3</v>
      </c>
      <c r="Q341" t="s">
        <v>161</v>
      </c>
      <c r="S341" t="s">
        <v>223</v>
      </c>
      <c r="T341" t="s">
        <v>278</v>
      </c>
      <c r="U341">
        <v>6.6500046835802698E-3</v>
      </c>
      <c r="V341" t="s">
        <v>161</v>
      </c>
    </row>
    <row r="342" spans="9:22" x14ac:dyDescent="0.45">
      <c r="I342" t="s">
        <v>178</v>
      </c>
      <c r="J342" t="s">
        <v>279</v>
      </c>
      <c r="K342">
        <v>0</v>
      </c>
      <c r="L342" t="s">
        <v>161</v>
      </c>
      <c r="N342" t="s">
        <v>201</v>
      </c>
      <c r="O342" t="s">
        <v>279</v>
      </c>
      <c r="P342">
        <v>1.0415529957141087E-3</v>
      </c>
      <c r="Q342" t="s">
        <v>161</v>
      </c>
      <c r="S342" t="s">
        <v>223</v>
      </c>
      <c r="T342" t="s">
        <v>279</v>
      </c>
      <c r="U342">
        <v>1.0108052618464499E-3</v>
      </c>
      <c r="V342" t="s">
        <v>161</v>
      </c>
    </row>
    <row r="343" spans="9:22" x14ac:dyDescent="0.45">
      <c r="I343" t="s">
        <v>178</v>
      </c>
      <c r="J343" t="s">
        <v>280</v>
      </c>
      <c r="K343">
        <v>4.1148439064803682E-3</v>
      </c>
      <c r="L343" t="s">
        <v>161</v>
      </c>
      <c r="N343" t="s">
        <v>201</v>
      </c>
      <c r="O343" t="s">
        <v>280</v>
      </c>
      <c r="P343">
        <v>8.0933370906724495E-3</v>
      </c>
      <c r="Q343" t="s">
        <v>161</v>
      </c>
      <c r="S343" t="s">
        <v>223</v>
      </c>
      <c r="T343" t="s">
        <v>280</v>
      </c>
      <c r="U343">
        <v>8.2167333980162557E-3</v>
      </c>
      <c r="V343" t="s">
        <v>161</v>
      </c>
    </row>
    <row r="344" spans="9:22" x14ac:dyDescent="0.45">
      <c r="I344" t="s">
        <v>178</v>
      </c>
      <c r="J344" t="s">
        <v>281</v>
      </c>
      <c r="K344">
        <v>3.6678222378211812E-4</v>
      </c>
      <c r="L344" t="s">
        <v>161</v>
      </c>
      <c r="N344" t="s">
        <v>201</v>
      </c>
      <c r="O344" t="s">
        <v>281</v>
      </c>
      <c r="P344">
        <v>1.2204039217171665E-3</v>
      </c>
      <c r="Q344" t="s">
        <v>161</v>
      </c>
      <c r="S344" t="s">
        <v>223</v>
      </c>
      <c r="T344" t="s">
        <v>281</v>
      </c>
      <c r="U344">
        <v>1.3779820516964458E-3</v>
      </c>
      <c r="V344" t="s">
        <v>161</v>
      </c>
    </row>
    <row r="345" spans="9:22" x14ac:dyDescent="0.45">
      <c r="I345" t="s">
        <v>178</v>
      </c>
      <c r="J345" t="s">
        <v>282</v>
      </c>
      <c r="K345">
        <v>0</v>
      </c>
      <c r="L345" t="s">
        <v>161</v>
      </c>
      <c r="N345" t="s">
        <v>201</v>
      </c>
      <c r="O345" t="s">
        <v>282</v>
      </c>
      <c r="P345">
        <v>1.2478575841006416E-3</v>
      </c>
      <c r="Q345" t="s">
        <v>161</v>
      </c>
      <c r="S345" t="s">
        <v>223</v>
      </c>
      <c r="T345" t="s">
        <v>282</v>
      </c>
      <c r="U345">
        <v>1.3938682371757102E-3</v>
      </c>
      <c r="V345" t="s">
        <v>161</v>
      </c>
    </row>
    <row r="346" spans="9:22" x14ac:dyDescent="0.45">
      <c r="I346" t="s">
        <v>178</v>
      </c>
      <c r="J346" t="s">
        <v>283</v>
      </c>
      <c r="K346">
        <v>0</v>
      </c>
      <c r="L346" t="s">
        <v>161</v>
      </c>
      <c r="N346" t="s">
        <v>201</v>
      </c>
      <c r="O346" t="s">
        <v>283</v>
      </c>
      <c r="P346">
        <v>7.4060137285784913E-3</v>
      </c>
      <c r="Q346" t="s">
        <v>161</v>
      </c>
      <c r="S346" t="s">
        <v>223</v>
      </c>
      <c r="T346" t="s">
        <v>283</v>
      </c>
      <c r="U346">
        <v>7.913995912048612E-3</v>
      </c>
      <c r="V346" t="s">
        <v>161</v>
      </c>
    </row>
    <row r="347" spans="9:22" x14ac:dyDescent="0.45">
      <c r="I347" t="s">
        <v>179</v>
      </c>
      <c r="J347" t="s">
        <v>160</v>
      </c>
      <c r="K347">
        <v>3.1748885325656551E-5</v>
      </c>
      <c r="L347" t="s">
        <v>161</v>
      </c>
      <c r="N347" t="s">
        <v>202</v>
      </c>
      <c r="O347" t="s">
        <v>160</v>
      </c>
      <c r="P347">
        <v>7.4804741270675296E-2</v>
      </c>
      <c r="Q347" t="s">
        <v>161</v>
      </c>
      <c r="S347" t="s">
        <v>224</v>
      </c>
      <c r="T347" t="s">
        <v>160</v>
      </c>
      <c r="U347">
        <v>7.861769979030149E-2</v>
      </c>
      <c r="V347" t="s">
        <v>161</v>
      </c>
    </row>
    <row r="348" spans="9:22" x14ac:dyDescent="0.45">
      <c r="I348" t="s">
        <v>179</v>
      </c>
      <c r="J348" t="s">
        <v>162</v>
      </c>
      <c r="K348">
        <v>3.2155627824796171E-3</v>
      </c>
      <c r="L348" t="s">
        <v>161</v>
      </c>
      <c r="N348" t="s">
        <v>202</v>
      </c>
      <c r="O348" t="s">
        <v>162</v>
      </c>
      <c r="P348">
        <v>9.2238421835206304E-3</v>
      </c>
      <c r="Q348" t="s">
        <v>161</v>
      </c>
      <c r="S348" t="s">
        <v>224</v>
      </c>
      <c r="T348" t="s">
        <v>162</v>
      </c>
      <c r="U348">
        <v>9.8770259133769741E-3</v>
      </c>
      <c r="V348" t="s">
        <v>161</v>
      </c>
    </row>
    <row r="349" spans="9:22" x14ac:dyDescent="0.45">
      <c r="I349" t="s">
        <v>179</v>
      </c>
      <c r="J349" t="s">
        <v>163</v>
      </c>
      <c r="K349">
        <v>8.3801322269846448E-2</v>
      </c>
      <c r="L349" t="s">
        <v>161</v>
      </c>
      <c r="N349" t="s">
        <v>202</v>
      </c>
      <c r="O349" t="s">
        <v>163</v>
      </c>
      <c r="P349">
        <v>5.674920008699421E-2</v>
      </c>
      <c r="Q349" t="s">
        <v>161</v>
      </c>
      <c r="S349" t="s">
        <v>224</v>
      </c>
      <c r="T349" t="s">
        <v>163</v>
      </c>
      <c r="U349">
        <v>6.3541613416504203E-2</v>
      </c>
      <c r="V349" t="s">
        <v>161</v>
      </c>
    </row>
    <row r="350" spans="9:22" x14ac:dyDescent="0.45">
      <c r="I350" t="s">
        <v>179</v>
      </c>
      <c r="J350" t="s">
        <v>242</v>
      </c>
      <c r="K350">
        <v>9.4424213333034936E-3</v>
      </c>
      <c r="L350" t="s">
        <v>161</v>
      </c>
      <c r="N350" t="s">
        <v>202</v>
      </c>
      <c r="O350" t="s">
        <v>242</v>
      </c>
      <c r="P350">
        <v>8.5737682748342047E-3</v>
      </c>
      <c r="Q350" t="s">
        <v>161</v>
      </c>
      <c r="S350" t="s">
        <v>224</v>
      </c>
      <c r="T350" t="s">
        <v>242</v>
      </c>
      <c r="U350">
        <v>9.1231821240328002E-3</v>
      </c>
      <c r="V350" t="s">
        <v>161</v>
      </c>
    </row>
    <row r="351" spans="9:22" x14ac:dyDescent="0.45">
      <c r="I351" t="s">
        <v>179</v>
      </c>
      <c r="J351" t="s">
        <v>243</v>
      </c>
      <c r="K351">
        <v>5.5081830618927095E-3</v>
      </c>
      <c r="L351" t="s">
        <v>161</v>
      </c>
      <c r="N351" t="s">
        <v>202</v>
      </c>
      <c r="O351" t="s">
        <v>243</v>
      </c>
      <c r="P351">
        <v>8.9652237865410558E-3</v>
      </c>
      <c r="Q351" t="s">
        <v>161</v>
      </c>
      <c r="S351" t="s">
        <v>224</v>
      </c>
      <c r="T351" t="s">
        <v>243</v>
      </c>
      <c r="U351">
        <v>9.41764465616763E-3</v>
      </c>
      <c r="V351" t="s">
        <v>161</v>
      </c>
    </row>
    <row r="352" spans="9:22" x14ac:dyDescent="0.45">
      <c r="I352" t="s">
        <v>179</v>
      </c>
      <c r="J352" t="s">
        <v>266</v>
      </c>
      <c r="K352">
        <v>1.9729307052798995E-3</v>
      </c>
      <c r="L352" t="s">
        <v>161</v>
      </c>
      <c r="N352" t="s">
        <v>202</v>
      </c>
      <c r="O352" t="s">
        <v>266</v>
      </c>
      <c r="P352">
        <v>5.6129041270308051E-2</v>
      </c>
      <c r="Q352" t="s">
        <v>161</v>
      </c>
      <c r="S352" t="s">
        <v>224</v>
      </c>
      <c r="T352" t="s">
        <v>266</v>
      </c>
      <c r="U352">
        <v>5.8296546315848248E-2</v>
      </c>
      <c r="V352" t="s">
        <v>161</v>
      </c>
    </row>
    <row r="353" spans="9:22" x14ac:dyDescent="0.45">
      <c r="I353" t="s">
        <v>179</v>
      </c>
      <c r="J353" t="s">
        <v>164</v>
      </c>
      <c r="K353">
        <v>7.3614897452213132E-3</v>
      </c>
      <c r="L353" t="s">
        <v>161</v>
      </c>
      <c r="N353" t="s">
        <v>202</v>
      </c>
      <c r="O353" t="s">
        <v>164</v>
      </c>
      <c r="P353">
        <v>4.0621986463420676E-2</v>
      </c>
      <c r="Q353" t="s">
        <v>161</v>
      </c>
      <c r="S353" t="s">
        <v>224</v>
      </c>
      <c r="T353" t="s">
        <v>164</v>
      </c>
      <c r="U353">
        <v>3.6645090315378451E-2</v>
      </c>
      <c r="V353" t="s">
        <v>161</v>
      </c>
    </row>
    <row r="354" spans="9:22" x14ac:dyDescent="0.45">
      <c r="I354" t="s">
        <v>179</v>
      </c>
      <c r="J354" t="s">
        <v>165</v>
      </c>
      <c r="K354">
        <v>9.868242789838182E-3</v>
      </c>
      <c r="L354" t="s">
        <v>161</v>
      </c>
      <c r="N354" t="s">
        <v>202</v>
      </c>
      <c r="O354" t="s">
        <v>165</v>
      </c>
      <c r="P354">
        <v>4.7441033626696664E-3</v>
      </c>
      <c r="Q354" t="s">
        <v>161</v>
      </c>
      <c r="S354" t="s">
        <v>224</v>
      </c>
      <c r="T354" t="s">
        <v>165</v>
      </c>
      <c r="U354">
        <v>4.5496484209830339E-3</v>
      </c>
      <c r="V354" t="s">
        <v>161</v>
      </c>
    </row>
    <row r="355" spans="9:22" x14ac:dyDescent="0.45">
      <c r="I355" t="s">
        <v>179</v>
      </c>
      <c r="J355" t="s">
        <v>166</v>
      </c>
      <c r="K355">
        <v>9.3866698264193846E-2</v>
      </c>
      <c r="L355" t="s">
        <v>161</v>
      </c>
      <c r="N355" t="s">
        <v>202</v>
      </c>
      <c r="O355" t="s">
        <v>166</v>
      </c>
      <c r="P355">
        <v>3.1224970174699551E-2</v>
      </c>
      <c r="Q355" t="s">
        <v>161</v>
      </c>
      <c r="S355" t="s">
        <v>224</v>
      </c>
      <c r="T355" t="s">
        <v>166</v>
      </c>
      <c r="U355">
        <v>3.38002802508061E-2</v>
      </c>
      <c r="V355" t="s">
        <v>161</v>
      </c>
    </row>
    <row r="356" spans="9:22" x14ac:dyDescent="0.45">
      <c r="I356" t="s">
        <v>179</v>
      </c>
      <c r="J356" t="s">
        <v>244</v>
      </c>
      <c r="K356">
        <v>1.0717657654598088E-2</v>
      </c>
      <c r="L356" t="s">
        <v>161</v>
      </c>
      <c r="N356" t="s">
        <v>202</v>
      </c>
      <c r="O356" t="s">
        <v>244</v>
      </c>
      <c r="P356">
        <v>4.8024867429085115E-3</v>
      </c>
      <c r="Q356" t="s">
        <v>161</v>
      </c>
      <c r="S356" t="s">
        <v>224</v>
      </c>
      <c r="T356" t="s">
        <v>244</v>
      </c>
      <c r="U356">
        <v>5.0868618101689769E-3</v>
      </c>
      <c r="V356" t="s">
        <v>161</v>
      </c>
    </row>
    <row r="357" spans="9:22" x14ac:dyDescent="0.45">
      <c r="I357" t="s">
        <v>179</v>
      </c>
      <c r="J357" t="s">
        <v>245</v>
      </c>
      <c r="K357">
        <v>8.1477843929732494E-3</v>
      </c>
      <c r="L357" t="s">
        <v>161</v>
      </c>
      <c r="N357" t="s">
        <v>202</v>
      </c>
      <c r="O357" t="s">
        <v>245</v>
      </c>
      <c r="P357">
        <v>4.6237978919091939E-3</v>
      </c>
      <c r="Q357" t="s">
        <v>161</v>
      </c>
      <c r="S357" t="s">
        <v>224</v>
      </c>
      <c r="T357" t="s">
        <v>245</v>
      </c>
      <c r="U357">
        <v>5.0500509263348868E-3</v>
      </c>
      <c r="V357" t="s">
        <v>161</v>
      </c>
    </row>
    <row r="358" spans="9:22" x14ac:dyDescent="0.45">
      <c r="I358" t="s">
        <v>179</v>
      </c>
      <c r="J358" t="s">
        <v>267</v>
      </c>
      <c r="K358">
        <v>7.150930758647746E-3</v>
      </c>
      <c r="L358" t="s">
        <v>161</v>
      </c>
      <c r="N358" t="s">
        <v>202</v>
      </c>
      <c r="O358" t="s">
        <v>267</v>
      </c>
      <c r="P358">
        <v>3.0944111482505293E-2</v>
      </c>
      <c r="Q358" t="s">
        <v>161</v>
      </c>
      <c r="S358" t="s">
        <v>224</v>
      </c>
      <c r="T358" t="s">
        <v>267</v>
      </c>
      <c r="U358">
        <v>3.0143918936945402E-2</v>
      </c>
      <c r="V358" t="s">
        <v>161</v>
      </c>
    </row>
    <row r="359" spans="9:22" x14ac:dyDescent="0.45">
      <c r="I359" t="s">
        <v>179</v>
      </c>
      <c r="J359" t="s">
        <v>167</v>
      </c>
      <c r="K359">
        <v>4.4457276198269322E-2</v>
      </c>
      <c r="L359" t="s">
        <v>161</v>
      </c>
      <c r="N359" t="s">
        <v>202</v>
      </c>
      <c r="O359" t="s">
        <v>167</v>
      </c>
      <c r="P359">
        <v>6.2073126462889011E-2</v>
      </c>
      <c r="Q359" t="s">
        <v>161</v>
      </c>
      <c r="S359" t="s">
        <v>224</v>
      </c>
      <c r="T359" t="s">
        <v>167</v>
      </c>
      <c r="U359">
        <v>6.3448611661217721E-2</v>
      </c>
      <c r="V359" t="s">
        <v>161</v>
      </c>
    </row>
    <row r="360" spans="9:22" x14ac:dyDescent="0.45">
      <c r="I360" t="s">
        <v>179</v>
      </c>
      <c r="J360" t="s">
        <v>168</v>
      </c>
      <c r="K360">
        <v>3.009248812477841E-2</v>
      </c>
      <c r="L360" t="s">
        <v>161</v>
      </c>
      <c r="N360" t="s">
        <v>202</v>
      </c>
      <c r="O360" t="s">
        <v>168</v>
      </c>
      <c r="P360">
        <v>7.3583001300508138E-3</v>
      </c>
      <c r="Q360" t="s">
        <v>161</v>
      </c>
      <c r="S360" t="s">
        <v>224</v>
      </c>
      <c r="T360" t="s">
        <v>168</v>
      </c>
      <c r="U360">
        <v>7.7173590164403118E-3</v>
      </c>
      <c r="V360" t="s">
        <v>161</v>
      </c>
    </row>
    <row r="361" spans="9:22" x14ac:dyDescent="0.45">
      <c r="I361" t="s">
        <v>179</v>
      </c>
      <c r="J361" t="s">
        <v>169</v>
      </c>
      <c r="K361">
        <v>0.27033916822513554</v>
      </c>
      <c r="L361" t="s">
        <v>161</v>
      </c>
      <c r="N361" t="s">
        <v>202</v>
      </c>
      <c r="O361" t="s">
        <v>169</v>
      </c>
      <c r="P361">
        <v>5.0373623999635346E-2</v>
      </c>
      <c r="Q361" t="s">
        <v>161</v>
      </c>
      <c r="S361" t="s">
        <v>224</v>
      </c>
      <c r="T361" t="s">
        <v>169</v>
      </c>
      <c r="U361">
        <v>4.9519732542394702E-2</v>
      </c>
      <c r="V361" t="s">
        <v>161</v>
      </c>
    </row>
    <row r="362" spans="9:22" x14ac:dyDescent="0.45">
      <c r="I362" t="s">
        <v>179</v>
      </c>
      <c r="J362" t="s">
        <v>246</v>
      </c>
      <c r="K362">
        <v>3.4326602019649599E-2</v>
      </c>
      <c r="L362" t="s">
        <v>161</v>
      </c>
      <c r="N362" t="s">
        <v>202</v>
      </c>
      <c r="O362" t="s">
        <v>246</v>
      </c>
      <c r="P362">
        <v>7.8599663592690029E-3</v>
      </c>
      <c r="Q362" t="s">
        <v>161</v>
      </c>
      <c r="S362" t="s">
        <v>224</v>
      </c>
      <c r="T362" t="s">
        <v>246</v>
      </c>
      <c r="U362">
        <v>7.2735631852614193E-3</v>
      </c>
      <c r="V362" t="s">
        <v>161</v>
      </c>
    </row>
    <row r="363" spans="9:22" x14ac:dyDescent="0.45">
      <c r="I363" t="s">
        <v>179</v>
      </c>
      <c r="J363" t="s">
        <v>247</v>
      </c>
      <c r="K363">
        <v>2.8934590402711444E-2</v>
      </c>
      <c r="L363" t="s">
        <v>161</v>
      </c>
      <c r="N363" t="s">
        <v>202</v>
      </c>
      <c r="O363" t="s">
        <v>247</v>
      </c>
      <c r="P363">
        <v>7.5456861685816341E-3</v>
      </c>
      <c r="Q363" t="s">
        <v>161</v>
      </c>
      <c r="S363" t="s">
        <v>224</v>
      </c>
      <c r="T363" t="s">
        <v>247</v>
      </c>
      <c r="U363">
        <v>7.2812148682274277E-3</v>
      </c>
      <c r="V363" t="s">
        <v>161</v>
      </c>
    </row>
    <row r="364" spans="9:22" x14ac:dyDescent="0.45">
      <c r="I364" t="s">
        <v>179</v>
      </c>
      <c r="J364" t="s">
        <v>268</v>
      </c>
      <c r="K364">
        <v>4.3765374432804205E-2</v>
      </c>
      <c r="L364" t="s">
        <v>161</v>
      </c>
      <c r="N364" t="s">
        <v>202</v>
      </c>
      <c r="O364" t="s">
        <v>268</v>
      </c>
      <c r="P364">
        <v>4.9350194504554579E-2</v>
      </c>
      <c r="Q364" t="s">
        <v>161</v>
      </c>
      <c r="S364" t="s">
        <v>224</v>
      </c>
      <c r="T364" t="s">
        <v>268</v>
      </c>
      <c r="U364">
        <v>4.8243744621422086E-2</v>
      </c>
      <c r="V364" t="s">
        <v>161</v>
      </c>
    </row>
    <row r="365" spans="9:22" x14ac:dyDescent="0.45">
      <c r="I365" t="s">
        <v>179</v>
      </c>
      <c r="J365" t="s">
        <v>170</v>
      </c>
      <c r="K365">
        <v>1.2499275283923075E-2</v>
      </c>
      <c r="L365" t="s">
        <v>161</v>
      </c>
      <c r="N365" t="s">
        <v>202</v>
      </c>
      <c r="O365" t="s">
        <v>170</v>
      </c>
      <c r="P365">
        <v>3.2544696389661336E-2</v>
      </c>
      <c r="Q365" t="s">
        <v>161</v>
      </c>
      <c r="S365" t="s">
        <v>224</v>
      </c>
      <c r="T365" t="s">
        <v>170</v>
      </c>
      <c r="U365">
        <v>3.5792481264054557E-2</v>
      </c>
      <c r="V365" t="s">
        <v>161</v>
      </c>
    </row>
    <row r="366" spans="9:22" x14ac:dyDescent="0.45">
      <c r="I366" t="s">
        <v>179</v>
      </c>
      <c r="J366" t="s">
        <v>171</v>
      </c>
      <c r="K366">
        <v>1.2765826595796774E-2</v>
      </c>
      <c r="L366" t="s">
        <v>161</v>
      </c>
      <c r="N366" t="s">
        <v>202</v>
      </c>
      <c r="O366" t="s">
        <v>171</v>
      </c>
      <c r="P366">
        <v>3.6720407982809588E-3</v>
      </c>
      <c r="Q366" t="s">
        <v>161</v>
      </c>
      <c r="S366" t="s">
        <v>224</v>
      </c>
      <c r="T366" t="s">
        <v>171</v>
      </c>
      <c r="U366">
        <v>4.1280988396300089E-3</v>
      </c>
      <c r="V366" t="s">
        <v>161</v>
      </c>
    </row>
    <row r="367" spans="9:22" x14ac:dyDescent="0.45">
      <c r="I367" t="s">
        <v>179</v>
      </c>
      <c r="J367" t="s">
        <v>172</v>
      </c>
      <c r="K367">
        <v>0.1184392438136142</v>
      </c>
      <c r="L367" t="s">
        <v>161</v>
      </c>
      <c r="N367" t="s">
        <v>202</v>
      </c>
      <c r="O367" t="s">
        <v>172</v>
      </c>
      <c r="P367">
        <v>2.4712555920759618E-2</v>
      </c>
      <c r="Q367" t="s">
        <v>161</v>
      </c>
      <c r="S367" t="s">
        <v>224</v>
      </c>
      <c r="T367" t="s">
        <v>172</v>
      </c>
      <c r="U367">
        <v>3.0594652765056237E-2</v>
      </c>
      <c r="V367" t="s">
        <v>161</v>
      </c>
    </row>
    <row r="368" spans="9:22" x14ac:dyDescent="0.45">
      <c r="I368" t="s">
        <v>179</v>
      </c>
      <c r="J368" t="s">
        <v>248</v>
      </c>
      <c r="K368">
        <v>1.3998763187365759E-2</v>
      </c>
      <c r="L368" t="s">
        <v>161</v>
      </c>
      <c r="N368" t="s">
        <v>202</v>
      </c>
      <c r="O368" t="s">
        <v>248</v>
      </c>
      <c r="P368">
        <v>3.5872891786906582E-3</v>
      </c>
      <c r="Q368" t="s">
        <v>161</v>
      </c>
      <c r="S368" t="s">
        <v>224</v>
      </c>
      <c r="T368" t="s">
        <v>248</v>
      </c>
      <c r="U368">
        <v>4.6521336575759591E-3</v>
      </c>
      <c r="V368" t="s">
        <v>161</v>
      </c>
    </row>
    <row r="369" spans="9:22" x14ac:dyDescent="0.45">
      <c r="I369" t="s">
        <v>179</v>
      </c>
      <c r="J369" t="s">
        <v>249</v>
      </c>
      <c r="K369">
        <v>1.0945748656424501E-2</v>
      </c>
      <c r="L369" t="s">
        <v>161</v>
      </c>
      <c r="N369" t="s">
        <v>202</v>
      </c>
      <c r="O369" t="s">
        <v>249</v>
      </c>
      <c r="P369">
        <v>3.0912810180285448E-3</v>
      </c>
      <c r="Q369" t="s">
        <v>161</v>
      </c>
      <c r="S369" t="s">
        <v>224</v>
      </c>
      <c r="T369" t="s">
        <v>249</v>
      </c>
      <c r="U369">
        <v>4.5841356136587441E-3</v>
      </c>
      <c r="V369" t="s">
        <v>161</v>
      </c>
    </row>
    <row r="370" spans="9:22" x14ac:dyDescent="0.45">
      <c r="I370" t="s">
        <v>179</v>
      </c>
      <c r="J370" t="s">
        <v>269</v>
      </c>
      <c r="K370">
        <v>1.2389924368831101E-2</v>
      </c>
      <c r="L370" t="s">
        <v>161</v>
      </c>
      <c r="N370" t="s">
        <v>202</v>
      </c>
      <c r="O370" t="s">
        <v>269</v>
      </c>
      <c r="P370">
        <v>2.2693338401121574E-2</v>
      </c>
      <c r="Q370" t="s">
        <v>161</v>
      </c>
      <c r="S370" t="s">
        <v>224</v>
      </c>
      <c r="T370" t="s">
        <v>269</v>
      </c>
      <c r="U370">
        <v>2.9673453132288568E-2</v>
      </c>
      <c r="V370" t="s">
        <v>161</v>
      </c>
    </row>
    <row r="371" spans="9:22" x14ac:dyDescent="0.45">
      <c r="I371" t="s">
        <v>179</v>
      </c>
      <c r="J371" t="s">
        <v>250</v>
      </c>
      <c r="K371">
        <v>1.7916409348791987E-3</v>
      </c>
      <c r="L371" t="s">
        <v>161</v>
      </c>
      <c r="N371" t="s">
        <v>202</v>
      </c>
      <c r="O371" t="s">
        <v>250</v>
      </c>
      <c r="P371">
        <v>5.4913509570803876E-2</v>
      </c>
      <c r="Q371" t="s">
        <v>161</v>
      </c>
      <c r="S371" t="s">
        <v>224</v>
      </c>
      <c r="T371" t="s">
        <v>250</v>
      </c>
      <c r="U371">
        <v>4.7300136317102101E-2</v>
      </c>
      <c r="V371" t="s">
        <v>161</v>
      </c>
    </row>
    <row r="372" spans="9:22" x14ac:dyDescent="0.45">
      <c r="I372" t="s">
        <v>179</v>
      </c>
      <c r="J372" t="s">
        <v>251</v>
      </c>
      <c r="K372">
        <v>4.4599028612877772E-3</v>
      </c>
      <c r="L372" t="s">
        <v>161</v>
      </c>
      <c r="N372" t="s">
        <v>202</v>
      </c>
      <c r="O372" t="s">
        <v>251</v>
      </c>
      <c r="P372">
        <v>6.789684759871694E-3</v>
      </c>
      <c r="Q372" t="s">
        <v>161</v>
      </c>
      <c r="S372" t="s">
        <v>224</v>
      </c>
      <c r="T372" t="s">
        <v>251</v>
      </c>
      <c r="U372">
        <v>6.1180822058338963E-3</v>
      </c>
      <c r="V372" t="s">
        <v>161</v>
      </c>
    </row>
    <row r="373" spans="9:22" x14ac:dyDescent="0.45">
      <c r="I373" t="s">
        <v>179</v>
      </c>
      <c r="J373" t="s">
        <v>252</v>
      </c>
      <c r="K373">
        <v>6.9939309618576057E-2</v>
      </c>
      <c r="L373" t="s">
        <v>161</v>
      </c>
      <c r="N373" t="s">
        <v>202</v>
      </c>
      <c r="O373" t="s">
        <v>252</v>
      </c>
      <c r="P373">
        <v>4.1624424768326604E-2</v>
      </c>
      <c r="Q373" t="s">
        <v>161</v>
      </c>
      <c r="S373" t="s">
        <v>224</v>
      </c>
      <c r="T373" t="s">
        <v>252</v>
      </c>
      <c r="U373">
        <v>4.1011972007128382E-2</v>
      </c>
      <c r="V373" t="s">
        <v>161</v>
      </c>
    </row>
    <row r="374" spans="9:22" x14ac:dyDescent="0.45">
      <c r="I374" t="s">
        <v>179</v>
      </c>
      <c r="J374" t="s">
        <v>253</v>
      </c>
      <c r="K374">
        <v>7.1893038681224266E-3</v>
      </c>
      <c r="L374" t="s">
        <v>161</v>
      </c>
      <c r="N374" t="s">
        <v>202</v>
      </c>
      <c r="O374" t="s">
        <v>253</v>
      </c>
      <c r="P374">
        <v>6.1372818239645568E-3</v>
      </c>
      <c r="Q374" t="s">
        <v>161</v>
      </c>
      <c r="S374" t="s">
        <v>224</v>
      </c>
      <c r="T374" t="s">
        <v>253</v>
      </c>
      <c r="U374">
        <v>5.9796392552988282E-3</v>
      </c>
      <c r="V374" t="s">
        <v>161</v>
      </c>
    </row>
    <row r="375" spans="9:22" x14ac:dyDescent="0.45">
      <c r="I375" t="s">
        <v>179</v>
      </c>
      <c r="J375" t="s">
        <v>254</v>
      </c>
      <c r="K375">
        <v>3.8354638190702438E-3</v>
      </c>
      <c r="L375" t="s">
        <v>161</v>
      </c>
      <c r="N375" t="s">
        <v>202</v>
      </c>
      <c r="O375" t="s">
        <v>254</v>
      </c>
      <c r="P375">
        <v>6.5553336472521009E-3</v>
      </c>
      <c r="Q375" t="s">
        <v>161</v>
      </c>
      <c r="S375" t="s">
        <v>224</v>
      </c>
      <c r="T375" t="s">
        <v>254</v>
      </c>
      <c r="U375">
        <v>6.2999004583928183E-3</v>
      </c>
      <c r="V375" t="s">
        <v>161</v>
      </c>
    </row>
    <row r="376" spans="9:22" x14ac:dyDescent="0.45">
      <c r="I376" t="s">
        <v>179</v>
      </c>
      <c r="J376" t="s">
        <v>270</v>
      </c>
      <c r="K376">
        <v>9.9841354589930609E-4</v>
      </c>
      <c r="L376" t="s">
        <v>161</v>
      </c>
      <c r="N376" t="s">
        <v>202</v>
      </c>
      <c r="O376" t="s">
        <v>270</v>
      </c>
      <c r="P376">
        <v>4.3908862010253888E-2</v>
      </c>
      <c r="Q376" t="s">
        <v>161</v>
      </c>
      <c r="S376" t="s">
        <v>224</v>
      </c>
      <c r="T376" t="s">
        <v>270</v>
      </c>
      <c r="U376">
        <v>3.7630992842303618E-2</v>
      </c>
      <c r="V376" t="s">
        <v>161</v>
      </c>
    </row>
    <row r="377" spans="9:22" x14ac:dyDescent="0.45">
      <c r="I377" t="s">
        <v>179</v>
      </c>
      <c r="J377" t="s">
        <v>255</v>
      </c>
      <c r="K377">
        <v>0</v>
      </c>
      <c r="L377" t="s">
        <v>161</v>
      </c>
      <c r="N377" t="s">
        <v>202</v>
      </c>
      <c r="O377" t="s">
        <v>255</v>
      </c>
      <c r="P377">
        <v>4.9656370954668343E-2</v>
      </c>
      <c r="Q377" t="s">
        <v>161</v>
      </c>
      <c r="S377" t="s">
        <v>224</v>
      </c>
      <c r="T377" t="s">
        <v>255</v>
      </c>
      <c r="U377">
        <v>5.01426417649838E-2</v>
      </c>
      <c r="V377" t="s">
        <v>161</v>
      </c>
    </row>
    <row r="378" spans="9:22" x14ac:dyDescent="0.45">
      <c r="I378" t="s">
        <v>179</v>
      </c>
      <c r="J378" t="s">
        <v>256</v>
      </c>
      <c r="K378">
        <v>8.8044303403390193E-5</v>
      </c>
      <c r="L378" t="s">
        <v>161</v>
      </c>
      <c r="N378" t="s">
        <v>202</v>
      </c>
      <c r="O378" t="s">
        <v>256</v>
      </c>
      <c r="P378">
        <v>5.8490161331015301E-3</v>
      </c>
      <c r="Q378" t="s">
        <v>161</v>
      </c>
      <c r="S378" t="s">
        <v>224</v>
      </c>
      <c r="T378" t="s">
        <v>256</v>
      </c>
      <c r="U378">
        <v>6.4131175943179207E-3</v>
      </c>
      <c r="V378" t="s">
        <v>161</v>
      </c>
    </row>
    <row r="379" spans="9:22" x14ac:dyDescent="0.45">
      <c r="I379" t="s">
        <v>179</v>
      </c>
      <c r="J379" t="s">
        <v>257</v>
      </c>
      <c r="K379">
        <v>2.8328689042900587E-2</v>
      </c>
      <c r="L379" t="s">
        <v>161</v>
      </c>
      <c r="N379" t="s">
        <v>202</v>
      </c>
      <c r="O379" t="s">
        <v>257</v>
      </c>
      <c r="P379">
        <v>3.8541823282938446E-2</v>
      </c>
      <c r="Q379" t="s">
        <v>161</v>
      </c>
      <c r="S379" t="s">
        <v>224</v>
      </c>
      <c r="T379" t="s">
        <v>257</v>
      </c>
      <c r="U379">
        <v>4.3449049142643831E-2</v>
      </c>
      <c r="V379" t="s">
        <v>161</v>
      </c>
    </row>
    <row r="380" spans="9:22" x14ac:dyDescent="0.45">
      <c r="I380" t="s">
        <v>179</v>
      </c>
      <c r="J380" t="s">
        <v>258</v>
      </c>
      <c r="K380">
        <v>1.9099478294241641E-3</v>
      </c>
      <c r="L380" t="s">
        <v>161</v>
      </c>
      <c r="N380" t="s">
        <v>202</v>
      </c>
      <c r="O380" t="s">
        <v>258</v>
      </c>
      <c r="P380">
        <v>6.2529711106497667E-3</v>
      </c>
      <c r="Q380" t="s">
        <v>161</v>
      </c>
      <c r="S380" t="s">
        <v>224</v>
      </c>
      <c r="T380" t="s">
        <v>258</v>
      </c>
      <c r="U380">
        <v>5.9929634008663822E-3</v>
      </c>
      <c r="V380" t="s">
        <v>161</v>
      </c>
    </row>
    <row r="381" spans="9:22" x14ac:dyDescent="0.45">
      <c r="I381" t="s">
        <v>179</v>
      </c>
      <c r="J381" t="s">
        <v>259</v>
      </c>
      <c r="K381">
        <v>0</v>
      </c>
      <c r="L381" t="s">
        <v>161</v>
      </c>
      <c r="N381" t="s">
        <v>202</v>
      </c>
      <c r="O381" t="s">
        <v>259</v>
      </c>
      <c r="P381">
        <v>6.4355224677808713E-3</v>
      </c>
      <c r="Q381" t="s">
        <v>161</v>
      </c>
      <c r="S381" t="s">
        <v>224</v>
      </c>
      <c r="T381" t="s">
        <v>259</v>
      </c>
      <c r="U381">
        <v>5.9696655774763973E-3</v>
      </c>
      <c r="V381" t="s">
        <v>161</v>
      </c>
    </row>
    <row r="382" spans="9:22" x14ac:dyDescent="0.45">
      <c r="I382" t="s">
        <v>179</v>
      </c>
      <c r="J382" t="s">
        <v>271</v>
      </c>
      <c r="K382">
        <v>0</v>
      </c>
      <c r="L382" t="s">
        <v>161</v>
      </c>
      <c r="N382" t="s">
        <v>202</v>
      </c>
      <c r="O382" t="s">
        <v>271</v>
      </c>
      <c r="P382">
        <v>4.0121846164765253E-2</v>
      </c>
      <c r="Q382" t="s">
        <v>161</v>
      </c>
      <c r="S382" t="s">
        <v>224</v>
      </c>
      <c r="T382" t="s">
        <v>271</v>
      </c>
      <c r="U382">
        <v>3.6134469702485898E-2</v>
      </c>
      <c r="V382" t="s">
        <v>161</v>
      </c>
    </row>
    <row r="383" spans="9:22" x14ac:dyDescent="0.45">
      <c r="I383" t="s">
        <v>179</v>
      </c>
      <c r="J383" t="s">
        <v>272</v>
      </c>
      <c r="K383">
        <v>0</v>
      </c>
      <c r="L383" t="s">
        <v>161</v>
      </c>
      <c r="N383" t="s">
        <v>202</v>
      </c>
      <c r="O383" t="s">
        <v>272</v>
      </c>
      <c r="P383">
        <v>2.1762460307095784E-2</v>
      </c>
      <c r="Q383" t="s">
        <v>161</v>
      </c>
      <c r="S383" t="s">
        <v>224</v>
      </c>
      <c r="T383" t="s">
        <v>272</v>
      </c>
      <c r="U383">
        <v>1.6182290560220722E-2</v>
      </c>
      <c r="V383" t="s">
        <v>161</v>
      </c>
    </row>
    <row r="384" spans="9:22" x14ac:dyDescent="0.45">
      <c r="I384" t="s">
        <v>179</v>
      </c>
      <c r="J384" t="s">
        <v>273</v>
      </c>
      <c r="K384">
        <v>0</v>
      </c>
      <c r="L384" t="s">
        <v>161</v>
      </c>
      <c r="N384" t="s">
        <v>202</v>
      </c>
      <c r="O384" t="s">
        <v>273</v>
      </c>
      <c r="P384">
        <v>2.551271451698563E-3</v>
      </c>
      <c r="Q384" t="s">
        <v>161</v>
      </c>
      <c r="S384" t="s">
        <v>224</v>
      </c>
      <c r="T384" t="s">
        <v>273</v>
      </c>
      <c r="U384">
        <v>2.1593201432176645E-3</v>
      </c>
      <c r="V384" t="s">
        <v>161</v>
      </c>
    </row>
    <row r="385" spans="9:22" x14ac:dyDescent="0.45">
      <c r="I385" t="s">
        <v>179</v>
      </c>
      <c r="J385" t="s">
        <v>274</v>
      </c>
      <c r="K385">
        <v>3.8572017119922314E-3</v>
      </c>
      <c r="L385" t="s">
        <v>161</v>
      </c>
      <c r="N385" t="s">
        <v>202</v>
      </c>
      <c r="O385" t="s">
        <v>274</v>
      </c>
      <c r="P385">
        <v>1.4983378984886294E-2</v>
      </c>
      <c r="Q385" t="s">
        <v>161</v>
      </c>
      <c r="S385" t="s">
        <v>224</v>
      </c>
      <c r="T385" t="s">
        <v>274</v>
      </c>
      <c r="U385">
        <v>1.3852797808515966E-2</v>
      </c>
      <c r="V385" t="s">
        <v>161</v>
      </c>
    </row>
    <row r="386" spans="9:22" x14ac:dyDescent="0.45">
      <c r="I386" t="s">
        <v>179</v>
      </c>
      <c r="J386" t="s">
        <v>275</v>
      </c>
      <c r="K386">
        <v>1.2009218858096187E-4</v>
      </c>
      <c r="L386" t="s">
        <v>161</v>
      </c>
      <c r="N386" t="s">
        <v>202</v>
      </c>
      <c r="O386" t="s">
        <v>275</v>
      </c>
      <c r="P386">
        <v>2.1477954859363399E-3</v>
      </c>
      <c r="Q386" t="s">
        <v>161</v>
      </c>
      <c r="S386" t="s">
        <v>224</v>
      </c>
      <c r="T386" t="s">
        <v>275</v>
      </c>
      <c r="U386">
        <v>1.8726714500304029E-3</v>
      </c>
      <c r="V386" t="s">
        <v>161</v>
      </c>
    </row>
    <row r="387" spans="9:22" x14ac:dyDescent="0.45">
      <c r="I387" t="s">
        <v>179</v>
      </c>
      <c r="J387" t="s">
        <v>276</v>
      </c>
      <c r="K387">
        <v>0</v>
      </c>
      <c r="L387" t="s">
        <v>161</v>
      </c>
      <c r="N387" t="s">
        <v>202</v>
      </c>
      <c r="O387" t="s">
        <v>276</v>
      </c>
      <c r="P387">
        <v>2.2328497544143082E-3</v>
      </c>
      <c r="Q387" t="s">
        <v>161</v>
      </c>
      <c r="S387" t="s">
        <v>224</v>
      </c>
      <c r="T387" t="s">
        <v>276</v>
      </c>
      <c r="U387">
        <v>1.8621763762248274E-3</v>
      </c>
      <c r="V387" t="s">
        <v>161</v>
      </c>
    </row>
    <row r="388" spans="9:22" x14ac:dyDescent="0.45">
      <c r="I388" t="s">
        <v>179</v>
      </c>
      <c r="J388" t="s">
        <v>277</v>
      </c>
      <c r="K388">
        <v>0</v>
      </c>
      <c r="L388" t="s">
        <v>161</v>
      </c>
      <c r="N388" t="s">
        <v>202</v>
      </c>
      <c r="O388" t="s">
        <v>277</v>
      </c>
      <c r="P388">
        <v>1.4592397916639955E-2</v>
      </c>
      <c r="Q388" t="s">
        <v>161</v>
      </c>
      <c r="S388" t="s">
        <v>224</v>
      </c>
      <c r="T388" t="s">
        <v>277</v>
      </c>
      <c r="U388">
        <v>1.0886214281160747E-2</v>
      </c>
      <c r="V388" t="s">
        <v>161</v>
      </c>
    </row>
    <row r="389" spans="9:22" x14ac:dyDescent="0.45">
      <c r="I389" t="s">
        <v>179</v>
      </c>
      <c r="J389" t="s">
        <v>278</v>
      </c>
      <c r="K389">
        <v>0</v>
      </c>
      <c r="L389" t="s">
        <v>161</v>
      </c>
      <c r="N389" t="s">
        <v>202</v>
      </c>
      <c r="O389" t="s">
        <v>278</v>
      </c>
      <c r="P389">
        <v>9.6324268562207986E-3</v>
      </c>
      <c r="Q389" t="s">
        <v>161</v>
      </c>
      <c r="S389" t="s">
        <v>224</v>
      </c>
      <c r="T389" t="s">
        <v>278</v>
      </c>
      <c r="U389">
        <v>6.6244278258581531E-3</v>
      </c>
      <c r="V389" t="s">
        <v>161</v>
      </c>
    </row>
    <row r="390" spans="9:22" x14ac:dyDescent="0.45">
      <c r="I390" t="s">
        <v>179</v>
      </c>
      <c r="J390" t="s">
        <v>279</v>
      </c>
      <c r="K390">
        <v>0</v>
      </c>
      <c r="L390" t="s">
        <v>161</v>
      </c>
      <c r="N390" t="s">
        <v>202</v>
      </c>
      <c r="O390" t="s">
        <v>279</v>
      </c>
      <c r="P390">
        <v>1.3075007102824711E-3</v>
      </c>
      <c r="Q390" t="s">
        <v>161</v>
      </c>
      <c r="S390" t="s">
        <v>224</v>
      </c>
      <c r="T390" t="s">
        <v>279</v>
      </c>
      <c r="U390">
        <v>8.3935936801812219E-4</v>
      </c>
      <c r="V390" t="s">
        <v>161</v>
      </c>
    </row>
    <row r="391" spans="9:22" x14ac:dyDescent="0.45">
      <c r="I391" t="s">
        <v>179</v>
      </c>
      <c r="J391" t="s">
        <v>280</v>
      </c>
      <c r="K391">
        <v>3.1514726952607147E-3</v>
      </c>
      <c r="L391" t="s">
        <v>161</v>
      </c>
      <c r="N391" t="s">
        <v>202</v>
      </c>
      <c r="O391" t="s">
        <v>280</v>
      </c>
      <c r="P391">
        <v>7.9957941922306972E-3</v>
      </c>
      <c r="Q391" t="s">
        <v>161</v>
      </c>
      <c r="S391" t="s">
        <v>224</v>
      </c>
      <c r="T391" t="s">
        <v>280</v>
      </c>
      <c r="U391">
        <v>6.8420138056858159E-3</v>
      </c>
      <c r="V391" t="s">
        <v>161</v>
      </c>
    </row>
    <row r="392" spans="9:22" x14ac:dyDescent="0.45">
      <c r="I392" t="s">
        <v>179</v>
      </c>
      <c r="J392" t="s">
        <v>281</v>
      </c>
      <c r="K392">
        <v>2.9126362769765161E-4</v>
      </c>
      <c r="L392" t="s">
        <v>161</v>
      </c>
      <c r="N392" t="s">
        <v>202</v>
      </c>
      <c r="O392" t="s">
        <v>281</v>
      </c>
      <c r="P392">
        <v>1.1519654041183022E-3</v>
      </c>
      <c r="Q392" t="s">
        <v>161</v>
      </c>
      <c r="S392" t="s">
        <v>224</v>
      </c>
      <c r="T392" t="s">
        <v>281</v>
      </c>
      <c r="U392">
        <v>1.1694323557915848E-3</v>
      </c>
      <c r="V392" t="s">
        <v>161</v>
      </c>
    </row>
    <row r="393" spans="9:22" x14ac:dyDescent="0.45">
      <c r="I393" t="s">
        <v>179</v>
      </c>
      <c r="J393" t="s">
        <v>282</v>
      </c>
      <c r="K393">
        <v>0</v>
      </c>
      <c r="L393" t="s">
        <v>161</v>
      </c>
      <c r="N393" t="s">
        <v>202</v>
      </c>
      <c r="O393" t="s">
        <v>282</v>
      </c>
      <c r="P393">
        <v>1.200222769821607E-3</v>
      </c>
      <c r="Q393" t="s">
        <v>161</v>
      </c>
      <c r="S393" t="s">
        <v>224</v>
      </c>
      <c r="T393" t="s">
        <v>282</v>
      </c>
      <c r="U393">
        <v>1.1941046188676566E-3</v>
      </c>
      <c r="V393" t="s">
        <v>161</v>
      </c>
    </row>
    <row r="394" spans="9:22" x14ac:dyDescent="0.45">
      <c r="I394" t="s">
        <v>179</v>
      </c>
      <c r="J394" t="s">
        <v>283</v>
      </c>
      <c r="K394">
        <v>0</v>
      </c>
      <c r="L394" t="s">
        <v>161</v>
      </c>
      <c r="N394" t="s">
        <v>202</v>
      </c>
      <c r="O394" t="s">
        <v>283</v>
      </c>
      <c r="P394">
        <v>7.3859171497671298E-3</v>
      </c>
      <c r="Q394" t="s">
        <v>161</v>
      </c>
      <c r="S394" t="s">
        <v>224</v>
      </c>
      <c r="T394" t="s">
        <v>283</v>
      </c>
      <c r="U394">
        <v>7.013817093500541E-3</v>
      </c>
      <c r="V394" t="s">
        <v>161</v>
      </c>
    </row>
    <row r="395" spans="9:22" x14ac:dyDescent="0.45">
      <c r="I395" t="s">
        <v>180</v>
      </c>
      <c r="J395" t="s">
        <v>160</v>
      </c>
      <c r="K395">
        <v>0</v>
      </c>
      <c r="L395" t="s">
        <v>161</v>
      </c>
      <c r="N395" t="s">
        <v>203</v>
      </c>
      <c r="O395" t="s">
        <v>160</v>
      </c>
      <c r="P395">
        <v>7.5831397870013736E-2</v>
      </c>
      <c r="Q395" t="s">
        <v>161</v>
      </c>
      <c r="S395" t="s">
        <v>225</v>
      </c>
      <c r="T395" t="s">
        <v>160</v>
      </c>
      <c r="U395">
        <v>7.6146458319085356E-2</v>
      </c>
      <c r="V395" t="s">
        <v>161</v>
      </c>
    </row>
    <row r="396" spans="9:22" x14ac:dyDescent="0.45">
      <c r="I396" t="s">
        <v>180</v>
      </c>
      <c r="J396" t="s">
        <v>162</v>
      </c>
      <c r="K396">
        <v>2.7613287840416233E-3</v>
      </c>
      <c r="L396" t="s">
        <v>161</v>
      </c>
      <c r="N396" t="s">
        <v>203</v>
      </c>
      <c r="O396" t="s">
        <v>162</v>
      </c>
      <c r="P396">
        <v>9.3323414703527559E-3</v>
      </c>
      <c r="Q396" t="s">
        <v>161</v>
      </c>
      <c r="S396" t="s">
        <v>225</v>
      </c>
      <c r="T396" t="s">
        <v>162</v>
      </c>
      <c r="U396">
        <v>9.8051180940596297E-3</v>
      </c>
      <c r="V396" t="s">
        <v>161</v>
      </c>
    </row>
    <row r="397" spans="9:22" x14ac:dyDescent="0.45">
      <c r="I397" t="s">
        <v>180</v>
      </c>
      <c r="J397" t="s">
        <v>163</v>
      </c>
      <c r="K397">
        <v>8.4111054505193447E-2</v>
      </c>
      <c r="L397" t="s">
        <v>161</v>
      </c>
      <c r="N397" t="s">
        <v>203</v>
      </c>
      <c r="O397" t="s">
        <v>163</v>
      </c>
      <c r="P397">
        <v>6.2282183961643783E-2</v>
      </c>
      <c r="Q397" t="s">
        <v>161</v>
      </c>
      <c r="S397" t="s">
        <v>225</v>
      </c>
      <c r="T397" t="s">
        <v>163</v>
      </c>
      <c r="U397">
        <v>6.3810103525076156E-2</v>
      </c>
      <c r="V397" t="s">
        <v>161</v>
      </c>
    </row>
    <row r="398" spans="9:22" x14ac:dyDescent="0.45">
      <c r="I398" t="s">
        <v>180</v>
      </c>
      <c r="J398" t="s">
        <v>242</v>
      </c>
      <c r="K398">
        <v>1.0161866793884866E-2</v>
      </c>
      <c r="L398" t="s">
        <v>161</v>
      </c>
      <c r="N398" t="s">
        <v>203</v>
      </c>
      <c r="O398" t="s">
        <v>242</v>
      </c>
      <c r="P398">
        <v>8.895380795893219E-3</v>
      </c>
      <c r="Q398" t="s">
        <v>161</v>
      </c>
      <c r="S398" t="s">
        <v>225</v>
      </c>
      <c r="T398" t="s">
        <v>242</v>
      </c>
      <c r="U398">
        <v>8.9082035051062415E-3</v>
      </c>
      <c r="V398" t="s">
        <v>161</v>
      </c>
    </row>
    <row r="399" spans="9:22" x14ac:dyDescent="0.45">
      <c r="I399" t="s">
        <v>180</v>
      </c>
      <c r="J399" t="s">
        <v>243</v>
      </c>
      <c r="K399">
        <v>5.7936966989559227E-3</v>
      </c>
      <c r="L399" t="s">
        <v>161</v>
      </c>
      <c r="N399" t="s">
        <v>203</v>
      </c>
      <c r="O399" t="s">
        <v>243</v>
      </c>
      <c r="P399">
        <v>9.1690084613733451E-3</v>
      </c>
      <c r="Q399" t="s">
        <v>161</v>
      </c>
      <c r="S399" t="s">
        <v>225</v>
      </c>
      <c r="T399" t="s">
        <v>243</v>
      </c>
      <c r="U399">
        <v>9.1048900748888079E-3</v>
      </c>
      <c r="V399" t="s">
        <v>161</v>
      </c>
    </row>
    <row r="400" spans="9:22" x14ac:dyDescent="0.45">
      <c r="I400" t="s">
        <v>180</v>
      </c>
      <c r="J400" t="s">
        <v>266</v>
      </c>
      <c r="K400">
        <v>2.0297816228181547E-3</v>
      </c>
      <c r="L400" t="s">
        <v>161</v>
      </c>
      <c r="N400" t="s">
        <v>203</v>
      </c>
      <c r="O400" t="s">
        <v>266</v>
      </c>
      <c r="P400">
        <v>5.6508505963547104E-2</v>
      </c>
      <c r="Q400" t="s">
        <v>161</v>
      </c>
      <c r="S400" t="s">
        <v>225</v>
      </c>
      <c r="T400" t="s">
        <v>266</v>
      </c>
      <c r="U400">
        <v>5.6956360485524465E-2</v>
      </c>
      <c r="V400" t="s">
        <v>161</v>
      </c>
    </row>
    <row r="401" spans="9:22" x14ac:dyDescent="0.45">
      <c r="I401" t="s">
        <v>180</v>
      </c>
      <c r="J401" t="s">
        <v>164</v>
      </c>
      <c r="K401">
        <v>6.5949887284057779E-3</v>
      </c>
      <c r="L401" t="s">
        <v>161</v>
      </c>
      <c r="N401" t="s">
        <v>203</v>
      </c>
      <c r="O401" t="s">
        <v>164</v>
      </c>
      <c r="P401">
        <v>3.7857368192275913E-2</v>
      </c>
      <c r="Q401" t="s">
        <v>161</v>
      </c>
      <c r="S401" t="s">
        <v>225</v>
      </c>
      <c r="T401" t="s">
        <v>164</v>
      </c>
      <c r="U401">
        <v>3.5883129758386562E-2</v>
      </c>
      <c r="V401" t="s">
        <v>161</v>
      </c>
    </row>
    <row r="402" spans="9:22" x14ac:dyDescent="0.45">
      <c r="I402" t="s">
        <v>180</v>
      </c>
      <c r="J402" t="s">
        <v>165</v>
      </c>
      <c r="K402">
        <v>9.0163523010752498E-3</v>
      </c>
      <c r="L402" t="s">
        <v>161</v>
      </c>
      <c r="N402" t="s">
        <v>203</v>
      </c>
      <c r="O402" t="s">
        <v>165</v>
      </c>
      <c r="P402">
        <v>4.1380085103516207E-3</v>
      </c>
      <c r="Q402" t="s">
        <v>161</v>
      </c>
      <c r="S402" t="s">
        <v>225</v>
      </c>
      <c r="T402" t="s">
        <v>165</v>
      </c>
      <c r="U402">
        <v>4.4207389564032392E-3</v>
      </c>
      <c r="V402" t="s">
        <v>161</v>
      </c>
    </row>
    <row r="403" spans="9:22" x14ac:dyDescent="0.45">
      <c r="I403" t="s">
        <v>180</v>
      </c>
      <c r="J403" t="s">
        <v>166</v>
      </c>
      <c r="K403">
        <v>9.1996072688518143E-2</v>
      </c>
      <c r="L403" t="s">
        <v>161</v>
      </c>
      <c r="N403" t="s">
        <v>203</v>
      </c>
      <c r="O403" t="s">
        <v>166</v>
      </c>
      <c r="P403">
        <v>3.0414974021755952E-2</v>
      </c>
      <c r="Q403" t="s">
        <v>161</v>
      </c>
      <c r="S403" t="s">
        <v>225</v>
      </c>
      <c r="T403" t="s">
        <v>166</v>
      </c>
      <c r="U403">
        <v>3.2469639165871811E-2</v>
      </c>
      <c r="V403" t="s">
        <v>161</v>
      </c>
    </row>
    <row r="404" spans="9:22" x14ac:dyDescent="0.45">
      <c r="I404" t="s">
        <v>180</v>
      </c>
      <c r="J404" t="s">
        <v>244</v>
      </c>
      <c r="K404">
        <v>1.1251277774754861E-2</v>
      </c>
      <c r="L404" t="s">
        <v>161</v>
      </c>
      <c r="N404" t="s">
        <v>203</v>
      </c>
      <c r="O404" t="s">
        <v>244</v>
      </c>
      <c r="P404">
        <v>4.4219117886542909E-3</v>
      </c>
      <c r="Q404" t="s">
        <v>161</v>
      </c>
      <c r="S404" t="s">
        <v>225</v>
      </c>
      <c r="T404" t="s">
        <v>244</v>
      </c>
      <c r="U404">
        <v>4.8463965279573066E-3</v>
      </c>
      <c r="V404" t="s">
        <v>161</v>
      </c>
    </row>
    <row r="405" spans="9:22" x14ac:dyDescent="0.45">
      <c r="I405" t="s">
        <v>180</v>
      </c>
      <c r="J405" t="s">
        <v>245</v>
      </c>
      <c r="K405">
        <v>8.8979675418594199E-3</v>
      </c>
      <c r="L405" t="s">
        <v>161</v>
      </c>
      <c r="N405" t="s">
        <v>203</v>
      </c>
      <c r="O405" t="s">
        <v>245</v>
      </c>
      <c r="P405">
        <v>4.3239559627804465E-3</v>
      </c>
      <c r="Q405" t="s">
        <v>161</v>
      </c>
      <c r="S405" t="s">
        <v>225</v>
      </c>
      <c r="T405" t="s">
        <v>245</v>
      </c>
      <c r="U405">
        <v>4.7177947011892664E-3</v>
      </c>
      <c r="V405" t="s">
        <v>161</v>
      </c>
    </row>
    <row r="406" spans="9:22" x14ac:dyDescent="0.45">
      <c r="I406" t="s">
        <v>180</v>
      </c>
      <c r="J406" t="s">
        <v>267</v>
      </c>
      <c r="K406">
        <v>8.5896731608525942E-3</v>
      </c>
      <c r="L406" t="s">
        <v>161</v>
      </c>
      <c r="N406" t="s">
        <v>203</v>
      </c>
      <c r="O406" t="s">
        <v>267</v>
      </c>
      <c r="P406">
        <v>3.0106501543659504E-2</v>
      </c>
      <c r="Q406" t="s">
        <v>161</v>
      </c>
      <c r="S406" t="s">
        <v>225</v>
      </c>
      <c r="T406" t="s">
        <v>267</v>
      </c>
      <c r="U406">
        <v>2.8871683256583607E-2</v>
      </c>
      <c r="V406" t="s">
        <v>161</v>
      </c>
    </row>
    <row r="407" spans="9:22" x14ac:dyDescent="0.45">
      <c r="I407" t="s">
        <v>180</v>
      </c>
      <c r="J407" t="s">
        <v>167</v>
      </c>
      <c r="K407">
        <v>4.2316239700660521E-2</v>
      </c>
      <c r="L407" t="s">
        <v>161</v>
      </c>
      <c r="N407" t="s">
        <v>203</v>
      </c>
      <c r="O407" t="s">
        <v>167</v>
      </c>
      <c r="P407">
        <v>5.9682805009193152E-2</v>
      </c>
      <c r="Q407" t="s">
        <v>161</v>
      </c>
      <c r="S407" t="s">
        <v>225</v>
      </c>
      <c r="T407" t="s">
        <v>167</v>
      </c>
      <c r="U407">
        <v>6.5804261625036289E-2</v>
      </c>
      <c r="V407" t="s">
        <v>161</v>
      </c>
    </row>
    <row r="408" spans="9:22" x14ac:dyDescent="0.45">
      <c r="I408" t="s">
        <v>180</v>
      </c>
      <c r="J408" t="s">
        <v>168</v>
      </c>
      <c r="K408">
        <v>2.8542971075999964E-2</v>
      </c>
      <c r="L408" t="s">
        <v>161</v>
      </c>
      <c r="N408" t="s">
        <v>203</v>
      </c>
      <c r="O408" t="s">
        <v>168</v>
      </c>
      <c r="P408">
        <v>7.1631420226078088E-3</v>
      </c>
      <c r="Q408" t="s">
        <v>161</v>
      </c>
      <c r="S408" t="s">
        <v>225</v>
      </c>
      <c r="T408" t="s">
        <v>168</v>
      </c>
      <c r="U408">
        <v>7.6420187543346967E-3</v>
      </c>
      <c r="V408" t="s">
        <v>161</v>
      </c>
    </row>
    <row r="409" spans="9:22" x14ac:dyDescent="0.45">
      <c r="I409" t="s">
        <v>180</v>
      </c>
      <c r="J409" t="s">
        <v>169</v>
      </c>
      <c r="K409">
        <v>0.26686765880493951</v>
      </c>
      <c r="L409" t="s">
        <v>161</v>
      </c>
      <c r="N409" t="s">
        <v>203</v>
      </c>
      <c r="O409" t="s">
        <v>169</v>
      </c>
      <c r="P409">
        <v>5.3329697081351865E-2</v>
      </c>
      <c r="Q409" t="s">
        <v>161</v>
      </c>
      <c r="S409" t="s">
        <v>225</v>
      </c>
      <c r="T409" t="s">
        <v>169</v>
      </c>
      <c r="U409">
        <v>5.0392628833168973E-2</v>
      </c>
      <c r="V409" t="s">
        <v>161</v>
      </c>
    </row>
    <row r="410" spans="9:22" x14ac:dyDescent="0.45">
      <c r="I410" t="s">
        <v>180</v>
      </c>
      <c r="J410" t="s">
        <v>246</v>
      </c>
      <c r="K410">
        <v>3.5076080511339598E-2</v>
      </c>
      <c r="L410" t="s">
        <v>161</v>
      </c>
      <c r="N410" t="s">
        <v>203</v>
      </c>
      <c r="O410" t="s">
        <v>246</v>
      </c>
      <c r="P410">
        <v>7.755966810948158E-3</v>
      </c>
      <c r="Q410" t="s">
        <v>161</v>
      </c>
      <c r="S410" t="s">
        <v>225</v>
      </c>
      <c r="T410" t="s">
        <v>246</v>
      </c>
      <c r="U410">
        <v>7.5690113650769717E-3</v>
      </c>
      <c r="V410" t="s">
        <v>161</v>
      </c>
    </row>
    <row r="411" spans="9:22" x14ac:dyDescent="0.45">
      <c r="I411" t="s">
        <v>180</v>
      </c>
      <c r="J411" t="s">
        <v>247</v>
      </c>
      <c r="K411">
        <v>3.052426579156697E-2</v>
      </c>
      <c r="L411" t="s">
        <v>161</v>
      </c>
      <c r="N411" t="s">
        <v>203</v>
      </c>
      <c r="O411" t="s">
        <v>247</v>
      </c>
      <c r="P411">
        <v>7.1946572103575093E-3</v>
      </c>
      <c r="Q411" t="s">
        <v>161</v>
      </c>
      <c r="S411" t="s">
        <v>225</v>
      </c>
      <c r="T411" t="s">
        <v>247</v>
      </c>
      <c r="U411">
        <v>7.3862847142165391E-3</v>
      </c>
      <c r="V411" t="s">
        <v>161</v>
      </c>
    </row>
    <row r="412" spans="9:22" x14ac:dyDescent="0.45">
      <c r="I412" t="s">
        <v>180</v>
      </c>
      <c r="J412" t="s">
        <v>268</v>
      </c>
      <c r="K412">
        <v>4.8677377267686235E-2</v>
      </c>
      <c r="L412" t="s">
        <v>161</v>
      </c>
      <c r="N412" t="s">
        <v>203</v>
      </c>
      <c r="O412" t="s">
        <v>268</v>
      </c>
      <c r="P412">
        <v>4.7214572032830179E-2</v>
      </c>
      <c r="Q412" t="s">
        <v>161</v>
      </c>
      <c r="S412" t="s">
        <v>225</v>
      </c>
      <c r="T412" t="s">
        <v>268</v>
      </c>
      <c r="U412">
        <v>4.8320528803369948E-2</v>
      </c>
      <c r="V412" t="s">
        <v>161</v>
      </c>
    </row>
    <row r="413" spans="9:22" x14ac:dyDescent="0.45">
      <c r="I413" t="s">
        <v>180</v>
      </c>
      <c r="J413" t="s">
        <v>170</v>
      </c>
      <c r="K413">
        <v>1.1954451573926413E-2</v>
      </c>
      <c r="L413" t="s">
        <v>161</v>
      </c>
      <c r="N413" t="s">
        <v>203</v>
      </c>
      <c r="O413" t="s">
        <v>170</v>
      </c>
      <c r="P413">
        <v>3.6544688135479286E-2</v>
      </c>
      <c r="Q413" t="s">
        <v>161</v>
      </c>
      <c r="S413" t="s">
        <v>225</v>
      </c>
      <c r="T413" t="s">
        <v>170</v>
      </c>
      <c r="U413">
        <v>3.7478971165611531E-2</v>
      </c>
      <c r="V413" t="s">
        <v>161</v>
      </c>
    </row>
    <row r="414" spans="9:22" x14ac:dyDescent="0.45">
      <c r="I414" t="s">
        <v>180</v>
      </c>
      <c r="J414" t="s">
        <v>171</v>
      </c>
      <c r="K414">
        <v>1.2489643086228274E-2</v>
      </c>
      <c r="L414" t="s">
        <v>161</v>
      </c>
      <c r="N414" t="s">
        <v>203</v>
      </c>
      <c r="O414" t="s">
        <v>171</v>
      </c>
      <c r="P414">
        <v>3.8648546148158337E-3</v>
      </c>
      <c r="Q414" t="s">
        <v>161</v>
      </c>
      <c r="S414" t="s">
        <v>225</v>
      </c>
      <c r="T414" t="s">
        <v>171</v>
      </c>
      <c r="U414">
        <v>4.1548854972466185E-3</v>
      </c>
      <c r="V414" t="s">
        <v>161</v>
      </c>
    </row>
    <row r="415" spans="9:22" x14ac:dyDescent="0.45">
      <c r="I415" t="s">
        <v>180</v>
      </c>
      <c r="J415" t="s">
        <v>172</v>
      </c>
      <c r="K415">
        <v>0.11812412232091447</v>
      </c>
      <c r="L415" t="s">
        <v>161</v>
      </c>
      <c r="N415" t="s">
        <v>203</v>
      </c>
      <c r="O415" t="s">
        <v>172</v>
      </c>
      <c r="P415">
        <v>2.9891491043275417E-2</v>
      </c>
      <c r="Q415" t="s">
        <v>161</v>
      </c>
      <c r="S415" t="s">
        <v>225</v>
      </c>
      <c r="T415" t="s">
        <v>172</v>
      </c>
      <c r="U415">
        <v>3.0117185398262965E-2</v>
      </c>
      <c r="V415" t="s">
        <v>161</v>
      </c>
    </row>
    <row r="416" spans="9:22" x14ac:dyDescent="0.45">
      <c r="I416" t="s">
        <v>180</v>
      </c>
      <c r="J416" t="s">
        <v>248</v>
      </c>
      <c r="K416">
        <v>1.4970018193616187E-2</v>
      </c>
      <c r="L416" t="s">
        <v>161</v>
      </c>
      <c r="N416" t="s">
        <v>203</v>
      </c>
      <c r="O416" t="s">
        <v>248</v>
      </c>
      <c r="P416">
        <v>4.000289959819576E-3</v>
      </c>
      <c r="Q416" t="s">
        <v>161</v>
      </c>
      <c r="S416" t="s">
        <v>225</v>
      </c>
      <c r="T416" t="s">
        <v>248</v>
      </c>
      <c r="U416">
        <v>4.658610280155402E-3</v>
      </c>
      <c r="V416" t="s">
        <v>161</v>
      </c>
    </row>
    <row r="417" spans="9:22" x14ac:dyDescent="0.45">
      <c r="I417" t="s">
        <v>180</v>
      </c>
      <c r="J417" t="s">
        <v>249</v>
      </c>
      <c r="K417">
        <v>1.2394436530996818E-2</v>
      </c>
      <c r="L417" t="s">
        <v>161</v>
      </c>
      <c r="N417" t="s">
        <v>203</v>
      </c>
      <c r="O417" t="s">
        <v>249</v>
      </c>
      <c r="P417">
        <v>3.6509670275608518E-3</v>
      </c>
      <c r="Q417" t="s">
        <v>161</v>
      </c>
      <c r="S417" t="s">
        <v>225</v>
      </c>
      <c r="T417" t="s">
        <v>249</v>
      </c>
      <c r="U417">
        <v>4.6282761205442523E-3</v>
      </c>
      <c r="V417" t="s">
        <v>161</v>
      </c>
    </row>
    <row r="418" spans="9:22" x14ac:dyDescent="0.45">
      <c r="I418" t="s">
        <v>180</v>
      </c>
      <c r="J418" t="s">
        <v>269</v>
      </c>
      <c r="K418">
        <v>1.4553841287078213E-2</v>
      </c>
      <c r="L418" t="s">
        <v>161</v>
      </c>
      <c r="N418" t="s">
        <v>203</v>
      </c>
      <c r="O418" t="s">
        <v>269</v>
      </c>
      <c r="P418">
        <v>2.7121189923620708E-2</v>
      </c>
      <c r="Q418" t="s">
        <v>161</v>
      </c>
      <c r="S418" t="s">
        <v>225</v>
      </c>
      <c r="T418" t="s">
        <v>269</v>
      </c>
      <c r="U418">
        <v>2.8887934517813001E-2</v>
      </c>
      <c r="V418" t="s">
        <v>161</v>
      </c>
    </row>
    <row r="419" spans="9:22" x14ac:dyDescent="0.45">
      <c r="I419" t="s">
        <v>180</v>
      </c>
      <c r="J419" t="s">
        <v>250</v>
      </c>
      <c r="K419">
        <v>1.459860606941778E-3</v>
      </c>
      <c r="L419" t="s">
        <v>161</v>
      </c>
      <c r="N419" t="s">
        <v>203</v>
      </c>
      <c r="O419" t="s">
        <v>250</v>
      </c>
      <c r="P419">
        <v>5.2057727929362051E-2</v>
      </c>
      <c r="Q419" t="s">
        <v>161</v>
      </c>
      <c r="S419" t="s">
        <v>225</v>
      </c>
      <c r="T419" t="s">
        <v>250</v>
      </c>
      <c r="U419">
        <v>4.6106637790641607E-2</v>
      </c>
      <c r="V419" t="s">
        <v>161</v>
      </c>
    </row>
    <row r="420" spans="9:22" x14ac:dyDescent="0.45">
      <c r="I420" t="s">
        <v>180</v>
      </c>
      <c r="J420" t="s">
        <v>251</v>
      </c>
      <c r="K420">
        <v>4.185089779343407E-3</v>
      </c>
      <c r="L420" t="s">
        <v>161</v>
      </c>
      <c r="N420" t="s">
        <v>203</v>
      </c>
      <c r="O420" t="s">
        <v>251</v>
      </c>
      <c r="P420">
        <v>6.3058550346889357E-3</v>
      </c>
      <c r="Q420" t="s">
        <v>161</v>
      </c>
      <c r="S420" t="s">
        <v>225</v>
      </c>
      <c r="T420" t="s">
        <v>251</v>
      </c>
      <c r="U420">
        <v>6.110615639021667E-3</v>
      </c>
      <c r="V420" t="s">
        <v>161</v>
      </c>
    </row>
    <row r="421" spans="9:22" x14ac:dyDescent="0.45">
      <c r="I421" t="s">
        <v>180</v>
      </c>
      <c r="J421" t="s">
        <v>252</v>
      </c>
      <c r="K421">
        <v>6.8010186204847833E-2</v>
      </c>
      <c r="L421" t="s">
        <v>161</v>
      </c>
      <c r="N421" t="s">
        <v>203</v>
      </c>
      <c r="O421" t="s">
        <v>252</v>
      </c>
      <c r="P421">
        <v>4.2085598474976275E-2</v>
      </c>
      <c r="Q421" t="s">
        <v>161</v>
      </c>
      <c r="S421" t="s">
        <v>225</v>
      </c>
      <c r="T421" t="s">
        <v>252</v>
      </c>
      <c r="U421">
        <v>4.0513194211547657E-2</v>
      </c>
      <c r="V421" t="s">
        <v>161</v>
      </c>
    </row>
    <row r="422" spans="9:22" x14ac:dyDescent="0.45">
      <c r="I422" t="s">
        <v>180</v>
      </c>
      <c r="J422" t="s">
        <v>253</v>
      </c>
      <c r="K422">
        <v>7.141911815157968E-3</v>
      </c>
      <c r="L422" t="s">
        <v>161</v>
      </c>
      <c r="N422" t="s">
        <v>203</v>
      </c>
      <c r="O422" t="s">
        <v>253</v>
      </c>
      <c r="P422">
        <v>6.057740081623744E-3</v>
      </c>
      <c r="Q422" t="s">
        <v>161</v>
      </c>
      <c r="S422" t="s">
        <v>225</v>
      </c>
      <c r="T422" t="s">
        <v>253</v>
      </c>
      <c r="U422">
        <v>5.7517332129725651E-3</v>
      </c>
      <c r="V422" t="s">
        <v>161</v>
      </c>
    </row>
    <row r="423" spans="9:22" x14ac:dyDescent="0.45">
      <c r="I423" t="s">
        <v>180</v>
      </c>
      <c r="J423" t="s">
        <v>254</v>
      </c>
      <c r="K423">
        <v>4.1551487865029765E-3</v>
      </c>
      <c r="L423" t="s">
        <v>161</v>
      </c>
      <c r="N423" t="s">
        <v>203</v>
      </c>
      <c r="O423" t="s">
        <v>254</v>
      </c>
      <c r="P423">
        <v>6.29696724658769E-3</v>
      </c>
      <c r="Q423" t="s">
        <v>161</v>
      </c>
      <c r="S423" t="s">
        <v>225</v>
      </c>
      <c r="T423" t="s">
        <v>254</v>
      </c>
      <c r="U423">
        <v>5.8430434365513966E-3</v>
      </c>
      <c r="V423" t="s">
        <v>161</v>
      </c>
    </row>
    <row r="424" spans="9:22" x14ac:dyDescent="0.45">
      <c r="I424" t="s">
        <v>180</v>
      </c>
      <c r="J424" t="s">
        <v>270</v>
      </c>
      <c r="K424">
        <v>1.3785299623838658E-3</v>
      </c>
      <c r="L424" t="s">
        <v>161</v>
      </c>
      <c r="N424" t="s">
        <v>203</v>
      </c>
      <c r="O424" t="s">
        <v>270</v>
      </c>
      <c r="P424">
        <v>4.0487733647793921E-2</v>
      </c>
      <c r="Q424" t="s">
        <v>161</v>
      </c>
      <c r="S424" t="s">
        <v>225</v>
      </c>
      <c r="T424" t="s">
        <v>270</v>
      </c>
      <c r="U424">
        <v>3.7973846430402129E-2</v>
      </c>
      <c r="V424" t="s">
        <v>161</v>
      </c>
    </row>
    <row r="425" spans="9:22" x14ac:dyDescent="0.45">
      <c r="I425" t="s">
        <v>180</v>
      </c>
      <c r="J425" t="s">
        <v>255</v>
      </c>
      <c r="K425">
        <v>0</v>
      </c>
      <c r="L425" t="s">
        <v>161</v>
      </c>
      <c r="N425" t="s">
        <v>203</v>
      </c>
      <c r="O425" t="s">
        <v>255</v>
      </c>
      <c r="P425">
        <v>5.2889373382331267E-2</v>
      </c>
      <c r="Q425" t="s">
        <v>161</v>
      </c>
      <c r="S425" t="s">
        <v>225</v>
      </c>
      <c r="T425" t="s">
        <v>255</v>
      </c>
      <c r="U425">
        <v>5.0703044841753454E-2</v>
      </c>
      <c r="V425" t="s">
        <v>161</v>
      </c>
    </row>
    <row r="426" spans="9:22" x14ac:dyDescent="0.45">
      <c r="I426" t="s">
        <v>180</v>
      </c>
      <c r="J426" t="s">
        <v>256</v>
      </c>
      <c r="K426">
        <v>5.0445593651048777E-6</v>
      </c>
      <c r="L426" t="s">
        <v>161</v>
      </c>
      <c r="N426" t="s">
        <v>203</v>
      </c>
      <c r="O426" t="s">
        <v>256</v>
      </c>
      <c r="P426">
        <v>6.8599889092184844E-3</v>
      </c>
      <c r="Q426" t="s">
        <v>161</v>
      </c>
      <c r="S426" t="s">
        <v>225</v>
      </c>
      <c r="T426" t="s">
        <v>256</v>
      </c>
      <c r="U426">
        <v>6.6514860005798216E-3</v>
      </c>
      <c r="V426" t="s">
        <v>161</v>
      </c>
    </row>
    <row r="427" spans="9:22" x14ac:dyDescent="0.45">
      <c r="I427" t="s">
        <v>180</v>
      </c>
      <c r="J427" t="s">
        <v>257</v>
      </c>
      <c r="K427">
        <v>2.7523580027694717E-2</v>
      </c>
      <c r="L427" t="s">
        <v>161</v>
      </c>
      <c r="N427" t="s">
        <v>203</v>
      </c>
      <c r="O427" t="s">
        <v>257</v>
      </c>
      <c r="P427">
        <v>4.2695627064454053E-2</v>
      </c>
      <c r="Q427" t="s">
        <v>161</v>
      </c>
      <c r="S427" t="s">
        <v>225</v>
      </c>
      <c r="T427" t="s">
        <v>257</v>
      </c>
      <c r="U427">
        <v>4.6453523851071377E-2</v>
      </c>
      <c r="V427" t="s">
        <v>161</v>
      </c>
    </row>
    <row r="428" spans="9:22" x14ac:dyDescent="0.45">
      <c r="I428" t="s">
        <v>180</v>
      </c>
      <c r="J428" t="s">
        <v>258</v>
      </c>
      <c r="K428">
        <v>2.2940961488647762E-3</v>
      </c>
      <c r="L428" t="s">
        <v>161</v>
      </c>
      <c r="N428" t="s">
        <v>203</v>
      </c>
      <c r="O428" t="s">
        <v>258</v>
      </c>
      <c r="P428">
        <v>5.8297857701284208E-3</v>
      </c>
      <c r="Q428" t="s">
        <v>161</v>
      </c>
      <c r="S428" t="s">
        <v>225</v>
      </c>
      <c r="T428" t="s">
        <v>258</v>
      </c>
      <c r="U428">
        <v>6.3929106367734056E-3</v>
      </c>
      <c r="V428" t="s">
        <v>161</v>
      </c>
    </row>
    <row r="429" spans="9:22" x14ac:dyDescent="0.45">
      <c r="I429" t="s">
        <v>180</v>
      </c>
      <c r="J429" t="s">
        <v>259</v>
      </c>
      <c r="K429">
        <v>0</v>
      </c>
      <c r="L429" t="s">
        <v>161</v>
      </c>
      <c r="N429" t="s">
        <v>203</v>
      </c>
      <c r="O429" t="s">
        <v>259</v>
      </c>
      <c r="P429">
        <v>5.8970430035762489E-3</v>
      </c>
      <c r="Q429" t="s">
        <v>161</v>
      </c>
      <c r="S429" t="s">
        <v>225</v>
      </c>
      <c r="T429" t="s">
        <v>259</v>
      </c>
      <c r="U429">
        <v>6.427520012525393E-3</v>
      </c>
      <c r="V429" t="s">
        <v>161</v>
      </c>
    </row>
    <row r="430" spans="9:22" x14ac:dyDescent="0.45">
      <c r="I430" t="s">
        <v>180</v>
      </c>
      <c r="J430" t="s">
        <v>271</v>
      </c>
      <c r="K430">
        <v>0</v>
      </c>
      <c r="L430" t="s">
        <v>161</v>
      </c>
      <c r="N430" t="s">
        <v>203</v>
      </c>
      <c r="O430" t="s">
        <v>271</v>
      </c>
      <c r="P430">
        <v>3.5462571316411146E-2</v>
      </c>
      <c r="Q430" t="s">
        <v>161</v>
      </c>
      <c r="S430" t="s">
        <v>225</v>
      </c>
      <c r="T430" t="s">
        <v>271</v>
      </c>
      <c r="U430">
        <v>3.7649277395980348E-2</v>
      </c>
      <c r="V430" t="s">
        <v>161</v>
      </c>
    </row>
    <row r="431" spans="9:22" x14ac:dyDescent="0.45">
      <c r="I431" t="s">
        <v>180</v>
      </c>
      <c r="J431" t="s">
        <v>272</v>
      </c>
      <c r="K431">
        <v>0</v>
      </c>
      <c r="L431" t="s">
        <v>161</v>
      </c>
      <c r="N431" t="s">
        <v>203</v>
      </c>
      <c r="O431" t="s">
        <v>272</v>
      </c>
      <c r="P431">
        <v>1.93444264020778E-2</v>
      </c>
      <c r="Q431" t="s">
        <v>161</v>
      </c>
      <c r="S431" t="s">
        <v>225</v>
      </c>
      <c r="T431" t="s">
        <v>272</v>
      </c>
      <c r="U431">
        <v>1.6035747173706792E-2</v>
      </c>
      <c r="V431" t="s">
        <v>161</v>
      </c>
    </row>
    <row r="432" spans="9:22" x14ac:dyDescent="0.45">
      <c r="I432" t="s">
        <v>180</v>
      </c>
      <c r="J432" t="s">
        <v>273</v>
      </c>
      <c r="K432">
        <v>0</v>
      </c>
      <c r="L432" t="s">
        <v>161</v>
      </c>
      <c r="N432" t="s">
        <v>203</v>
      </c>
      <c r="O432" t="s">
        <v>273</v>
      </c>
      <c r="P432">
        <v>2.5179194316360749E-3</v>
      </c>
      <c r="Q432" t="s">
        <v>161</v>
      </c>
      <c r="S432" t="s">
        <v>225</v>
      </c>
      <c r="T432" t="s">
        <v>273</v>
      </c>
      <c r="U432">
        <v>2.1726894875395467E-3</v>
      </c>
      <c r="V432" t="s">
        <v>161</v>
      </c>
    </row>
    <row r="433" spans="9:22" x14ac:dyDescent="0.45">
      <c r="I433" t="s">
        <v>180</v>
      </c>
      <c r="J433" t="s">
        <v>274</v>
      </c>
      <c r="K433">
        <v>2.9710197403880431E-3</v>
      </c>
      <c r="L433" t="s">
        <v>161</v>
      </c>
      <c r="N433" t="s">
        <v>203</v>
      </c>
      <c r="O433" t="s">
        <v>274</v>
      </c>
      <c r="P433">
        <v>1.4221370285545086E-2</v>
      </c>
      <c r="Q433" t="s">
        <v>161</v>
      </c>
      <c r="S433" t="s">
        <v>225</v>
      </c>
      <c r="T433" t="s">
        <v>274</v>
      </c>
      <c r="U433">
        <v>1.4325479965578713E-2</v>
      </c>
      <c r="V433" t="s">
        <v>161</v>
      </c>
    </row>
    <row r="434" spans="9:22" x14ac:dyDescent="0.45">
      <c r="I434" t="s">
        <v>180</v>
      </c>
      <c r="J434" t="s">
        <v>275</v>
      </c>
      <c r="K434">
        <v>8.2846924711518294E-5</v>
      </c>
      <c r="L434" t="s">
        <v>161</v>
      </c>
      <c r="N434" t="s">
        <v>203</v>
      </c>
      <c r="O434" t="s">
        <v>275</v>
      </c>
      <c r="P434">
        <v>2.012173098038807E-3</v>
      </c>
      <c r="Q434" t="s">
        <v>161</v>
      </c>
      <c r="S434" t="s">
        <v>225</v>
      </c>
      <c r="T434" t="s">
        <v>275</v>
      </c>
      <c r="U434">
        <v>1.8983532519839135E-3</v>
      </c>
      <c r="V434" t="s">
        <v>161</v>
      </c>
    </row>
    <row r="435" spans="9:22" x14ac:dyDescent="0.45">
      <c r="I435" t="s">
        <v>180</v>
      </c>
      <c r="J435" t="s">
        <v>276</v>
      </c>
      <c r="K435">
        <v>0</v>
      </c>
      <c r="L435" t="s">
        <v>161</v>
      </c>
      <c r="N435" t="s">
        <v>203</v>
      </c>
      <c r="O435" t="s">
        <v>276</v>
      </c>
      <c r="P435">
        <v>2.0022029095940175E-3</v>
      </c>
      <c r="Q435" t="s">
        <v>161</v>
      </c>
      <c r="S435" t="s">
        <v>225</v>
      </c>
      <c r="T435" t="s">
        <v>276</v>
      </c>
      <c r="U435">
        <v>1.8872184236845607E-3</v>
      </c>
      <c r="V435" t="s">
        <v>161</v>
      </c>
    </row>
    <row r="436" spans="9:22" x14ac:dyDescent="0.45">
      <c r="I436" t="s">
        <v>180</v>
      </c>
      <c r="J436" t="s">
        <v>277</v>
      </c>
      <c r="K436">
        <v>0</v>
      </c>
      <c r="L436" t="s">
        <v>161</v>
      </c>
      <c r="N436" t="s">
        <v>203</v>
      </c>
      <c r="O436" t="s">
        <v>277</v>
      </c>
      <c r="P436">
        <v>1.2354842746540405E-2</v>
      </c>
      <c r="Q436" t="s">
        <v>161</v>
      </c>
      <c r="S436" t="s">
        <v>225</v>
      </c>
      <c r="T436" t="s">
        <v>277</v>
      </c>
      <c r="U436">
        <v>1.0810446914072002E-2</v>
      </c>
      <c r="V436" t="s">
        <v>161</v>
      </c>
    </row>
    <row r="437" spans="9:22" x14ac:dyDescent="0.45">
      <c r="I437" t="s">
        <v>180</v>
      </c>
      <c r="J437" t="s">
        <v>278</v>
      </c>
      <c r="K437">
        <v>0</v>
      </c>
      <c r="L437" t="s">
        <v>161</v>
      </c>
      <c r="N437" t="s">
        <v>203</v>
      </c>
      <c r="O437" t="s">
        <v>278</v>
      </c>
      <c r="P437">
        <v>7.0606781432585577E-3</v>
      </c>
      <c r="Q437" t="s">
        <v>161</v>
      </c>
      <c r="S437" t="s">
        <v>225</v>
      </c>
      <c r="T437" t="s">
        <v>278</v>
      </c>
      <c r="U437">
        <v>7.0659363507026623E-3</v>
      </c>
      <c r="V437" t="s">
        <v>161</v>
      </c>
    </row>
    <row r="438" spans="9:22" x14ac:dyDescent="0.45">
      <c r="I438" t="s">
        <v>180</v>
      </c>
      <c r="J438" t="s">
        <v>279</v>
      </c>
      <c r="K438">
        <v>0</v>
      </c>
      <c r="L438" t="s">
        <v>161</v>
      </c>
      <c r="N438" t="s">
        <v>203</v>
      </c>
      <c r="O438" t="s">
        <v>279</v>
      </c>
      <c r="P438">
        <v>9.569405686756171E-4</v>
      </c>
      <c r="Q438" t="s">
        <v>161</v>
      </c>
      <c r="S438" t="s">
        <v>225</v>
      </c>
      <c r="T438" t="s">
        <v>279</v>
      </c>
      <c r="U438">
        <v>9.2628125463517031E-4</v>
      </c>
      <c r="V438" t="s">
        <v>161</v>
      </c>
    </row>
    <row r="439" spans="9:22" x14ac:dyDescent="0.45">
      <c r="I439" t="s">
        <v>180</v>
      </c>
      <c r="J439" t="s">
        <v>280</v>
      </c>
      <c r="K439">
        <v>2.8873382237954055E-3</v>
      </c>
      <c r="L439" t="s">
        <v>161</v>
      </c>
      <c r="N439" t="s">
        <v>203</v>
      </c>
      <c r="O439" t="s">
        <v>280</v>
      </c>
      <c r="P439">
        <v>6.4948545428596726E-3</v>
      </c>
      <c r="Q439" t="s">
        <v>161</v>
      </c>
      <c r="S439" t="s">
        <v>225</v>
      </c>
      <c r="T439" t="s">
        <v>280</v>
      </c>
      <c r="U439">
        <v>6.3268801541455071E-3</v>
      </c>
      <c r="V439" t="s">
        <v>161</v>
      </c>
    </row>
    <row r="440" spans="9:22" x14ac:dyDescent="0.45">
      <c r="I440" t="s">
        <v>180</v>
      </c>
      <c r="J440" t="s">
        <v>281</v>
      </c>
      <c r="K440">
        <v>2.1018047468612783E-4</v>
      </c>
      <c r="L440" t="s">
        <v>161</v>
      </c>
      <c r="N440" t="s">
        <v>203</v>
      </c>
      <c r="O440" t="s">
        <v>281</v>
      </c>
      <c r="P440">
        <v>1.1145593204211753E-3</v>
      </c>
      <c r="Q440" t="s">
        <v>161</v>
      </c>
      <c r="S440" t="s">
        <v>225</v>
      </c>
      <c r="T440" t="s">
        <v>281</v>
      </c>
      <c r="U440">
        <v>9.805380714121778E-4</v>
      </c>
      <c r="V440" t="s">
        <v>161</v>
      </c>
    </row>
    <row r="441" spans="9:22" x14ac:dyDescent="0.45">
      <c r="I441" t="s">
        <v>180</v>
      </c>
      <c r="J441" t="s">
        <v>282</v>
      </c>
      <c r="K441">
        <v>0</v>
      </c>
      <c r="L441" t="s">
        <v>161</v>
      </c>
      <c r="N441" t="s">
        <v>203</v>
      </c>
      <c r="O441" t="s">
        <v>282</v>
      </c>
      <c r="P441">
        <v>1.1481724283075594E-3</v>
      </c>
      <c r="Q441" t="s">
        <v>161</v>
      </c>
      <c r="S441" t="s">
        <v>225</v>
      </c>
      <c r="T441" t="s">
        <v>282</v>
      </c>
      <c r="U441">
        <v>1.0771372651646211E-3</v>
      </c>
      <c r="V441" t="s">
        <v>161</v>
      </c>
    </row>
    <row r="442" spans="9:22" x14ac:dyDescent="0.45">
      <c r="I442" t="s">
        <v>180</v>
      </c>
      <c r="J442" t="s">
        <v>283</v>
      </c>
      <c r="K442">
        <v>0</v>
      </c>
      <c r="L442" t="s">
        <v>161</v>
      </c>
      <c r="N442" t="s">
        <v>203</v>
      </c>
      <c r="O442" t="s">
        <v>283</v>
      </c>
      <c r="P442">
        <v>7.1499888477347118E-3</v>
      </c>
      <c r="Q442" t="s">
        <v>161</v>
      </c>
      <c r="S442" t="s">
        <v>225</v>
      </c>
      <c r="T442" t="s">
        <v>283</v>
      </c>
      <c r="U442">
        <v>6.9353447825847257E-3</v>
      </c>
      <c r="V442" t="s">
        <v>161</v>
      </c>
    </row>
    <row r="443" spans="9:22" x14ac:dyDescent="0.45">
      <c r="I443" t="s">
        <v>181</v>
      </c>
      <c r="J443" t="s">
        <v>160</v>
      </c>
      <c r="K443">
        <v>5.7995634890487259E-5</v>
      </c>
      <c r="L443" t="s">
        <v>161</v>
      </c>
      <c r="N443" t="s">
        <v>204</v>
      </c>
      <c r="O443" t="s">
        <v>160</v>
      </c>
      <c r="P443">
        <v>7.2934925355360905E-2</v>
      </c>
      <c r="Q443" t="s">
        <v>161</v>
      </c>
      <c r="S443" t="s">
        <v>226</v>
      </c>
      <c r="T443" t="s">
        <v>160</v>
      </c>
      <c r="U443">
        <v>7.9193386041368802E-2</v>
      </c>
      <c r="V443" t="s">
        <v>161</v>
      </c>
    </row>
    <row r="444" spans="9:22" x14ac:dyDescent="0.45">
      <c r="I444" t="s">
        <v>181</v>
      </c>
      <c r="J444" t="s">
        <v>162</v>
      </c>
      <c r="K444">
        <v>1.7364513741542776E-3</v>
      </c>
      <c r="L444" t="s">
        <v>161</v>
      </c>
      <c r="N444" t="s">
        <v>204</v>
      </c>
      <c r="O444" t="s">
        <v>162</v>
      </c>
      <c r="P444">
        <v>8.9789130583439077E-3</v>
      </c>
      <c r="Q444" t="s">
        <v>161</v>
      </c>
      <c r="S444" t="s">
        <v>226</v>
      </c>
      <c r="T444" t="s">
        <v>162</v>
      </c>
      <c r="U444">
        <v>9.5051276567150837E-3</v>
      </c>
      <c r="V444" t="s">
        <v>161</v>
      </c>
    </row>
    <row r="445" spans="9:22" x14ac:dyDescent="0.45">
      <c r="I445" t="s">
        <v>181</v>
      </c>
      <c r="J445" t="s">
        <v>163</v>
      </c>
      <c r="K445">
        <v>8.3257165340738085E-2</v>
      </c>
      <c r="L445" t="s">
        <v>161</v>
      </c>
      <c r="N445" t="s">
        <v>204</v>
      </c>
      <c r="O445" t="s">
        <v>163</v>
      </c>
      <c r="P445">
        <v>6.1749643005526184E-2</v>
      </c>
      <c r="Q445" t="s">
        <v>161</v>
      </c>
      <c r="S445" t="s">
        <v>226</v>
      </c>
      <c r="T445" t="s">
        <v>163</v>
      </c>
      <c r="U445">
        <v>6.242186309388998E-2</v>
      </c>
      <c r="V445" t="s">
        <v>161</v>
      </c>
    </row>
    <row r="446" spans="9:22" x14ac:dyDescent="0.45">
      <c r="I446" t="s">
        <v>181</v>
      </c>
      <c r="J446" t="s">
        <v>242</v>
      </c>
      <c r="K446">
        <v>8.9870283879033841E-3</v>
      </c>
      <c r="L446" t="s">
        <v>161</v>
      </c>
      <c r="N446" t="s">
        <v>204</v>
      </c>
      <c r="O446" t="s">
        <v>242</v>
      </c>
      <c r="P446">
        <v>8.587830424810294E-3</v>
      </c>
      <c r="Q446" t="s">
        <v>161</v>
      </c>
      <c r="S446" t="s">
        <v>226</v>
      </c>
      <c r="T446" t="s">
        <v>242</v>
      </c>
      <c r="U446">
        <v>9.131459894580302E-3</v>
      </c>
      <c r="V446" t="s">
        <v>161</v>
      </c>
    </row>
    <row r="447" spans="9:22" x14ac:dyDescent="0.45">
      <c r="I447" t="s">
        <v>181</v>
      </c>
      <c r="J447" t="s">
        <v>243</v>
      </c>
      <c r="K447">
        <v>4.9555495687320329E-3</v>
      </c>
      <c r="L447" t="s">
        <v>161</v>
      </c>
      <c r="N447" t="s">
        <v>204</v>
      </c>
      <c r="O447" t="s">
        <v>243</v>
      </c>
      <c r="P447">
        <v>8.9079909254959934E-3</v>
      </c>
      <c r="Q447" t="s">
        <v>161</v>
      </c>
      <c r="S447" t="s">
        <v>226</v>
      </c>
      <c r="T447" t="s">
        <v>243</v>
      </c>
      <c r="U447">
        <v>9.4636650864453054E-3</v>
      </c>
      <c r="V447" t="s">
        <v>161</v>
      </c>
    </row>
    <row r="448" spans="9:22" x14ac:dyDescent="0.45">
      <c r="I448" t="s">
        <v>181</v>
      </c>
      <c r="J448" t="s">
        <v>266</v>
      </c>
      <c r="K448">
        <v>1.5971030904416892E-3</v>
      </c>
      <c r="L448" t="s">
        <v>161</v>
      </c>
      <c r="N448" t="s">
        <v>204</v>
      </c>
      <c r="O448" t="s">
        <v>266</v>
      </c>
      <c r="P448">
        <v>5.3576223068555043E-2</v>
      </c>
      <c r="Q448" t="s">
        <v>161</v>
      </c>
      <c r="S448" t="s">
        <v>226</v>
      </c>
      <c r="T448" t="s">
        <v>266</v>
      </c>
      <c r="U448">
        <v>5.8106689715875855E-2</v>
      </c>
      <c r="V448" t="s">
        <v>161</v>
      </c>
    </row>
    <row r="449" spans="9:22" x14ac:dyDescent="0.45">
      <c r="I449" t="s">
        <v>181</v>
      </c>
      <c r="J449" t="s">
        <v>164</v>
      </c>
      <c r="K449">
        <v>5.1850665656163093E-3</v>
      </c>
      <c r="L449" t="s">
        <v>161</v>
      </c>
      <c r="N449" t="s">
        <v>204</v>
      </c>
      <c r="O449" t="s">
        <v>164</v>
      </c>
      <c r="P449">
        <v>3.5213730634798372E-2</v>
      </c>
      <c r="Q449" t="s">
        <v>161</v>
      </c>
      <c r="S449" t="s">
        <v>226</v>
      </c>
      <c r="T449" t="s">
        <v>164</v>
      </c>
      <c r="U449">
        <v>3.68630893565575E-2</v>
      </c>
      <c r="V449" t="s">
        <v>161</v>
      </c>
    </row>
    <row r="450" spans="9:22" x14ac:dyDescent="0.45">
      <c r="I450" t="s">
        <v>181</v>
      </c>
      <c r="J450" t="s">
        <v>165</v>
      </c>
      <c r="K450">
        <v>7.6964582400121384E-3</v>
      </c>
      <c r="L450" t="s">
        <v>161</v>
      </c>
      <c r="N450" t="s">
        <v>204</v>
      </c>
      <c r="O450" t="s">
        <v>165</v>
      </c>
      <c r="P450">
        <v>4.1426659746741775E-3</v>
      </c>
      <c r="Q450" t="s">
        <v>161</v>
      </c>
      <c r="S450" t="s">
        <v>226</v>
      </c>
      <c r="T450" t="s">
        <v>165</v>
      </c>
      <c r="U450">
        <v>4.2071699037596125E-3</v>
      </c>
      <c r="V450" t="s">
        <v>161</v>
      </c>
    </row>
    <row r="451" spans="9:22" x14ac:dyDescent="0.45">
      <c r="I451" t="s">
        <v>181</v>
      </c>
      <c r="J451" t="s">
        <v>166</v>
      </c>
      <c r="K451">
        <v>9.1045407504517867E-2</v>
      </c>
      <c r="L451" t="s">
        <v>161</v>
      </c>
      <c r="N451" t="s">
        <v>204</v>
      </c>
      <c r="O451" t="s">
        <v>166</v>
      </c>
      <c r="P451">
        <v>2.8697892489554074E-2</v>
      </c>
      <c r="Q451" t="s">
        <v>161</v>
      </c>
      <c r="S451" t="s">
        <v>226</v>
      </c>
      <c r="T451" t="s">
        <v>166</v>
      </c>
      <c r="U451">
        <v>3.3053483512245935E-2</v>
      </c>
      <c r="V451" t="s">
        <v>161</v>
      </c>
    </row>
    <row r="452" spans="9:22" x14ac:dyDescent="0.45">
      <c r="I452" t="s">
        <v>181</v>
      </c>
      <c r="J452" t="s">
        <v>244</v>
      </c>
      <c r="K452">
        <v>1.0174531679126637E-2</v>
      </c>
      <c r="L452" t="s">
        <v>161</v>
      </c>
      <c r="N452" t="s">
        <v>204</v>
      </c>
      <c r="O452" t="s">
        <v>244</v>
      </c>
      <c r="P452">
        <v>4.3918784085807665E-3</v>
      </c>
      <c r="Q452" t="s">
        <v>161</v>
      </c>
      <c r="S452" t="s">
        <v>226</v>
      </c>
      <c r="T452" t="s">
        <v>244</v>
      </c>
      <c r="U452">
        <v>4.744258558608213E-3</v>
      </c>
      <c r="V452" t="s">
        <v>161</v>
      </c>
    </row>
    <row r="453" spans="9:22" x14ac:dyDescent="0.45">
      <c r="I453" t="s">
        <v>181</v>
      </c>
      <c r="J453" t="s">
        <v>245</v>
      </c>
      <c r="K453">
        <v>7.5912440339797639E-3</v>
      </c>
      <c r="L453" t="s">
        <v>161</v>
      </c>
      <c r="N453" t="s">
        <v>204</v>
      </c>
      <c r="O453" t="s">
        <v>245</v>
      </c>
      <c r="P453">
        <v>4.2851119406647469E-3</v>
      </c>
      <c r="Q453" t="s">
        <v>161</v>
      </c>
      <c r="S453" t="s">
        <v>226</v>
      </c>
      <c r="T453" t="s">
        <v>245</v>
      </c>
      <c r="U453">
        <v>4.5993112958074098E-3</v>
      </c>
      <c r="V453" t="s">
        <v>161</v>
      </c>
    </row>
    <row r="454" spans="9:22" x14ac:dyDescent="0.45">
      <c r="I454" t="s">
        <v>181</v>
      </c>
      <c r="J454" t="s">
        <v>267</v>
      </c>
      <c r="K454">
        <v>5.9922020501980292E-3</v>
      </c>
      <c r="L454" t="s">
        <v>161</v>
      </c>
      <c r="N454" t="s">
        <v>204</v>
      </c>
      <c r="O454" t="s">
        <v>267</v>
      </c>
      <c r="P454">
        <v>2.7766754566801017E-2</v>
      </c>
      <c r="Q454" t="s">
        <v>161</v>
      </c>
      <c r="S454" t="s">
        <v>226</v>
      </c>
      <c r="T454" t="s">
        <v>267</v>
      </c>
      <c r="U454">
        <v>2.9149510497502185E-2</v>
      </c>
      <c r="V454" t="s">
        <v>161</v>
      </c>
    </row>
    <row r="455" spans="9:22" x14ac:dyDescent="0.45">
      <c r="I455" t="s">
        <v>181</v>
      </c>
      <c r="J455" t="s">
        <v>167</v>
      </c>
      <c r="K455">
        <v>3.9423642987852621E-2</v>
      </c>
      <c r="L455" t="s">
        <v>161</v>
      </c>
      <c r="N455" t="s">
        <v>204</v>
      </c>
      <c r="O455" t="s">
        <v>167</v>
      </c>
      <c r="P455">
        <v>5.692055357472358E-2</v>
      </c>
      <c r="Q455" t="s">
        <v>161</v>
      </c>
      <c r="S455" t="s">
        <v>226</v>
      </c>
      <c r="T455" t="s">
        <v>167</v>
      </c>
      <c r="U455">
        <v>5.7729482912231282E-2</v>
      </c>
      <c r="V455" t="s">
        <v>161</v>
      </c>
    </row>
    <row r="456" spans="9:22" x14ac:dyDescent="0.45">
      <c r="I456" t="s">
        <v>181</v>
      </c>
      <c r="J456" t="s">
        <v>168</v>
      </c>
      <c r="K456">
        <v>3.0047914963205059E-2</v>
      </c>
      <c r="L456" t="s">
        <v>161</v>
      </c>
      <c r="N456" t="s">
        <v>204</v>
      </c>
      <c r="O456" t="s">
        <v>168</v>
      </c>
      <c r="P456">
        <v>6.9535364801071812E-3</v>
      </c>
      <c r="Q456" t="s">
        <v>161</v>
      </c>
      <c r="S456" t="s">
        <v>226</v>
      </c>
      <c r="T456" t="s">
        <v>168</v>
      </c>
      <c r="U456">
        <v>7.2188633377459812E-3</v>
      </c>
      <c r="V456" t="s">
        <v>161</v>
      </c>
    </row>
    <row r="457" spans="9:22" x14ac:dyDescent="0.45">
      <c r="I457" t="s">
        <v>181</v>
      </c>
      <c r="J457" t="s">
        <v>169</v>
      </c>
      <c r="K457">
        <v>0.26312586836211427</v>
      </c>
      <c r="L457" t="s">
        <v>161</v>
      </c>
      <c r="N457" t="s">
        <v>204</v>
      </c>
      <c r="O457" t="s">
        <v>169</v>
      </c>
      <c r="P457">
        <v>5.4726397607387622E-2</v>
      </c>
      <c r="Q457" t="s">
        <v>161</v>
      </c>
      <c r="S457" t="s">
        <v>226</v>
      </c>
      <c r="T457" t="s">
        <v>169</v>
      </c>
      <c r="U457">
        <v>5.0350698667112788E-2</v>
      </c>
      <c r="V457" t="s">
        <v>161</v>
      </c>
    </row>
    <row r="458" spans="9:22" x14ac:dyDescent="0.45">
      <c r="I458" t="s">
        <v>181</v>
      </c>
      <c r="J458" t="s">
        <v>246</v>
      </c>
      <c r="K458">
        <v>3.0914550246333095E-2</v>
      </c>
      <c r="L458" t="s">
        <v>161</v>
      </c>
      <c r="N458" t="s">
        <v>204</v>
      </c>
      <c r="O458" t="s">
        <v>246</v>
      </c>
      <c r="P458">
        <v>8.0229646380047277E-3</v>
      </c>
      <c r="Q458" t="s">
        <v>161</v>
      </c>
      <c r="S458" t="s">
        <v>226</v>
      </c>
      <c r="T458" t="s">
        <v>246</v>
      </c>
      <c r="U458">
        <v>7.2502914024162252E-3</v>
      </c>
      <c r="V458" t="s">
        <v>161</v>
      </c>
    </row>
    <row r="459" spans="9:22" x14ac:dyDescent="0.45">
      <c r="I459" t="s">
        <v>181</v>
      </c>
      <c r="J459" t="s">
        <v>247</v>
      </c>
      <c r="K459">
        <v>2.5882582958555844E-2</v>
      </c>
      <c r="L459" t="s">
        <v>161</v>
      </c>
      <c r="N459" t="s">
        <v>204</v>
      </c>
      <c r="O459" t="s">
        <v>247</v>
      </c>
      <c r="P459">
        <v>7.1320449700298712E-3</v>
      </c>
      <c r="Q459" t="s">
        <v>161</v>
      </c>
      <c r="S459" t="s">
        <v>226</v>
      </c>
      <c r="T459" t="s">
        <v>247</v>
      </c>
      <c r="U459">
        <v>6.826594766260209E-3</v>
      </c>
      <c r="V459" t="s">
        <v>161</v>
      </c>
    </row>
    <row r="460" spans="9:22" x14ac:dyDescent="0.45">
      <c r="I460" t="s">
        <v>181</v>
      </c>
      <c r="J460" t="s">
        <v>268</v>
      </c>
      <c r="K460">
        <v>3.885196389596713E-2</v>
      </c>
      <c r="L460" t="s">
        <v>161</v>
      </c>
      <c r="N460" t="s">
        <v>204</v>
      </c>
      <c r="O460" t="s">
        <v>268</v>
      </c>
      <c r="P460">
        <v>4.4768832426781729E-2</v>
      </c>
      <c r="Q460" t="s">
        <v>161</v>
      </c>
      <c r="S460" t="s">
        <v>226</v>
      </c>
      <c r="T460" t="s">
        <v>268</v>
      </c>
      <c r="U460">
        <v>4.6012374049959198E-2</v>
      </c>
      <c r="V460" t="s">
        <v>161</v>
      </c>
    </row>
    <row r="461" spans="9:22" x14ac:dyDescent="0.45">
      <c r="I461" t="s">
        <v>181</v>
      </c>
      <c r="J461" t="s">
        <v>170</v>
      </c>
      <c r="K461">
        <v>1.2587540115925487E-2</v>
      </c>
      <c r="L461" t="s">
        <v>161</v>
      </c>
      <c r="N461" t="s">
        <v>204</v>
      </c>
      <c r="O461" t="s">
        <v>170</v>
      </c>
      <c r="P461">
        <v>3.3381220523222288E-2</v>
      </c>
      <c r="Q461" t="s">
        <v>161</v>
      </c>
      <c r="S461" t="s">
        <v>226</v>
      </c>
      <c r="T461" t="s">
        <v>170</v>
      </c>
      <c r="U461">
        <v>3.4824631861413137E-2</v>
      </c>
      <c r="V461" t="s">
        <v>161</v>
      </c>
    </row>
    <row r="462" spans="9:22" x14ac:dyDescent="0.45">
      <c r="I462" t="s">
        <v>181</v>
      </c>
      <c r="J462" t="s">
        <v>171</v>
      </c>
      <c r="K462">
        <v>1.3139155925469607E-2</v>
      </c>
      <c r="L462" t="s">
        <v>161</v>
      </c>
      <c r="N462" t="s">
        <v>204</v>
      </c>
      <c r="O462" t="s">
        <v>171</v>
      </c>
      <c r="P462">
        <v>3.9081607115979532E-3</v>
      </c>
      <c r="Q462" t="s">
        <v>161</v>
      </c>
      <c r="S462" t="s">
        <v>226</v>
      </c>
      <c r="T462" t="s">
        <v>171</v>
      </c>
      <c r="U462">
        <v>3.8987361689332787E-3</v>
      </c>
      <c r="V462" t="s">
        <v>161</v>
      </c>
    </row>
    <row r="463" spans="9:22" x14ac:dyDescent="0.45">
      <c r="I463" t="s">
        <v>181</v>
      </c>
      <c r="J463" t="s">
        <v>172</v>
      </c>
      <c r="K463">
        <v>0.1250020017457491</v>
      </c>
      <c r="L463" t="s">
        <v>161</v>
      </c>
      <c r="N463" t="s">
        <v>204</v>
      </c>
      <c r="O463" t="s">
        <v>172</v>
      </c>
      <c r="P463">
        <v>2.9965065640278704E-2</v>
      </c>
      <c r="Q463" t="s">
        <v>161</v>
      </c>
      <c r="S463" t="s">
        <v>226</v>
      </c>
      <c r="T463" t="s">
        <v>172</v>
      </c>
      <c r="U463">
        <v>2.8038152590336221E-2</v>
      </c>
      <c r="V463" t="s">
        <v>161</v>
      </c>
    </row>
    <row r="464" spans="9:22" x14ac:dyDescent="0.45">
      <c r="I464" t="s">
        <v>181</v>
      </c>
      <c r="J464" t="s">
        <v>248</v>
      </c>
      <c r="K464">
        <v>1.4173619587636646E-2</v>
      </c>
      <c r="L464" t="s">
        <v>161</v>
      </c>
      <c r="N464" t="s">
        <v>204</v>
      </c>
      <c r="O464" t="s">
        <v>248</v>
      </c>
      <c r="P464">
        <v>3.9959574395203815E-3</v>
      </c>
      <c r="Q464" t="s">
        <v>161</v>
      </c>
      <c r="S464" t="s">
        <v>226</v>
      </c>
      <c r="T464" t="s">
        <v>248</v>
      </c>
      <c r="U464">
        <v>3.9441236049374134E-3</v>
      </c>
      <c r="V464" t="s">
        <v>161</v>
      </c>
    </row>
    <row r="465" spans="9:22" x14ac:dyDescent="0.45">
      <c r="I465" t="s">
        <v>181</v>
      </c>
      <c r="J465" t="s">
        <v>249</v>
      </c>
      <c r="K465">
        <v>1.182559362830448E-2</v>
      </c>
      <c r="L465" t="s">
        <v>161</v>
      </c>
      <c r="N465" t="s">
        <v>204</v>
      </c>
      <c r="O465" t="s">
        <v>249</v>
      </c>
      <c r="P465">
        <v>3.6640399960827697E-3</v>
      </c>
      <c r="Q465" t="s">
        <v>161</v>
      </c>
      <c r="S465" t="s">
        <v>226</v>
      </c>
      <c r="T465" t="s">
        <v>249</v>
      </c>
      <c r="U465">
        <v>3.7356816471158022E-3</v>
      </c>
      <c r="V465" t="s">
        <v>161</v>
      </c>
    </row>
    <row r="466" spans="9:22" x14ac:dyDescent="0.45">
      <c r="I466" t="s">
        <v>181</v>
      </c>
      <c r="J466" t="s">
        <v>269</v>
      </c>
      <c r="K466">
        <v>1.3757796257356174E-2</v>
      </c>
      <c r="L466" t="s">
        <v>161</v>
      </c>
      <c r="N466" t="s">
        <v>204</v>
      </c>
      <c r="O466" t="s">
        <v>269</v>
      </c>
      <c r="P466">
        <v>2.4290902070777349E-2</v>
      </c>
      <c r="Q466" t="s">
        <v>161</v>
      </c>
      <c r="S466" t="s">
        <v>226</v>
      </c>
      <c r="T466" t="s">
        <v>269</v>
      </c>
      <c r="U466">
        <v>2.7325651361837174E-2</v>
      </c>
      <c r="V466" t="s">
        <v>161</v>
      </c>
    </row>
    <row r="467" spans="9:22" x14ac:dyDescent="0.45">
      <c r="I467" t="s">
        <v>181</v>
      </c>
      <c r="J467" t="s">
        <v>250</v>
      </c>
      <c r="K467">
        <v>1.9936098108837199E-3</v>
      </c>
      <c r="L467" t="s">
        <v>161</v>
      </c>
      <c r="N467" t="s">
        <v>204</v>
      </c>
      <c r="O467" t="s">
        <v>250</v>
      </c>
      <c r="P467">
        <v>5.4126297316615529E-2</v>
      </c>
      <c r="Q467" t="s">
        <v>161</v>
      </c>
      <c r="S467" t="s">
        <v>226</v>
      </c>
      <c r="T467" t="s">
        <v>250</v>
      </c>
      <c r="U467">
        <v>4.8178499750205897E-2</v>
      </c>
      <c r="V467" t="s">
        <v>161</v>
      </c>
    </row>
    <row r="468" spans="9:22" x14ac:dyDescent="0.45">
      <c r="I468" t="s">
        <v>181</v>
      </c>
      <c r="J468" t="s">
        <v>251</v>
      </c>
      <c r="K468">
        <v>5.3734888520770019E-3</v>
      </c>
      <c r="L468" t="s">
        <v>161</v>
      </c>
      <c r="N468" t="s">
        <v>204</v>
      </c>
      <c r="O468" t="s">
        <v>251</v>
      </c>
      <c r="P468">
        <v>6.770474633740124E-3</v>
      </c>
      <c r="Q468" t="s">
        <v>161</v>
      </c>
      <c r="S468" t="s">
        <v>226</v>
      </c>
      <c r="T468" t="s">
        <v>251</v>
      </c>
      <c r="U468">
        <v>6.0958919409562478E-3</v>
      </c>
      <c r="V468" t="s">
        <v>161</v>
      </c>
    </row>
    <row r="469" spans="9:22" x14ac:dyDescent="0.45">
      <c r="I469" t="s">
        <v>181</v>
      </c>
      <c r="J469" t="s">
        <v>252</v>
      </c>
      <c r="K469">
        <v>8.0605060604732715E-2</v>
      </c>
      <c r="L469" t="s">
        <v>161</v>
      </c>
      <c r="N469" t="s">
        <v>204</v>
      </c>
      <c r="O469" t="s">
        <v>252</v>
      </c>
      <c r="P469">
        <v>4.2681911333850818E-2</v>
      </c>
      <c r="Q469" t="s">
        <v>161</v>
      </c>
      <c r="S469" t="s">
        <v>226</v>
      </c>
      <c r="T469" t="s">
        <v>252</v>
      </c>
      <c r="U469">
        <v>4.2492569664864532E-2</v>
      </c>
      <c r="V469" t="s">
        <v>161</v>
      </c>
    </row>
    <row r="470" spans="9:22" x14ac:dyDescent="0.45">
      <c r="I470" t="s">
        <v>181</v>
      </c>
      <c r="J470" t="s">
        <v>253</v>
      </c>
      <c r="K470">
        <v>8.5231009617479404E-3</v>
      </c>
      <c r="L470" t="s">
        <v>161</v>
      </c>
      <c r="N470" t="s">
        <v>204</v>
      </c>
      <c r="O470" t="s">
        <v>253</v>
      </c>
      <c r="P470">
        <v>6.1489166548895574E-3</v>
      </c>
      <c r="Q470" t="s">
        <v>161</v>
      </c>
      <c r="S470" t="s">
        <v>226</v>
      </c>
      <c r="T470" t="s">
        <v>253</v>
      </c>
      <c r="U470">
        <v>6.2682312427275125E-3</v>
      </c>
      <c r="V470" t="s">
        <v>161</v>
      </c>
    </row>
    <row r="471" spans="9:22" x14ac:dyDescent="0.45">
      <c r="I471" t="s">
        <v>181</v>
      </c>
      <c r="J471" t="s">
        <v>254</v>
      </c>
      <c r="K471">
        <v>5.13408379062265E-3</v>
      </c>
      <c r="L471" t="s">
        <v>161</v>
      </c>
      <c r="N471" t="s">
        <v>204</v>
      </c>
      <c r="O471" t="s">
        <v>254</v>
      </c>
      <c r="P471">
        <v>6.36749902829004E-3</v>
      </c>
      <c r="Q471" t="s">
        <v>161</v>
      </c>
      <c r="S471" t="s">
        <v>226</v>
      </c>
      <c r="T471" t="s">
        <v>254</v>
      </c>
      <c r="U471">
        <v>6.5549373365788319E-3</v>
      </c>
      <c r="V471" t="s">
        <v>161</v>
      </c>
    </row>
    <row r="472" spans="9:22" x14ac:dyDescent="0.45">
      <c r="I472" t="s">
        <v>181</v>
      </c>
      <c r="J472" t="s">
        <v>270</v>
      </c>
      <c r="K472">
        <v>1.3685076811350858E-3</v>
      </c>
      <c r="L472" t="s">
        <v>161</v>
      </c>
      <c r="N472" t="s">
        <v>204</v>
      </c>
      <c r="O472" t="s">
        <v>270</v>
      </c>
      <c r="P472">
        <v>4.1933961491580164E-2</v>
      </c>
      <c r="Q472" t="s">
        <v>161</v>
      </c>
      <c r="S472" t="s">
        <v>226</v>
      </c>
      <c r="T472" t="s">
        <v>270</v>
      </c>
      <c r="U472">
        <v>4.0051051969162699E-2</v>
      </c>
      <c r="V472" t="s">
        <v>161</v>
      </c>
    </row>
    <row r="473" spans="9:22" x14ac:dyDescent="0.45">
      <c r="I473" t="s">
        <v>181</v>
      </c>
      <c r="J473" t="s">
        <v>255</v>
      </c>
      <c r="K473">
        <v>0</v>
      </c>
      <c r="L473" t="s">
        <v>161</v>
      </c>
      <c r="N473" t="s">
        <v>204</v>
      </c>
      <c r="O473" t="s">
        <v>255</v>
      </c>
      <c r="P473">
        <v>5.5973940202839016E-2</v>
      </c>
      <c r="Q473" t="s">
        <v>161</v>
      </c>
      <c r="S473" t="s">
        <v>226</v>
      </c>
      <c r="T473" t="s">
        <v>255</v>
      </c>
      <c r="U473">
        <v>5.2298196546924823E-2</v>
      </c>
      <c r="V473" t="s">
        <v>161</v>
      </c>
    </row>
    <row r="474" spans="9:22" x14ac:dyDescent="0.45">
      <c r="I474" t="s">
        <v>181</v>
      </c>
      <c r="J474" t="s">
        <v>256</v>
      </c>
      <c r="K474">
        <v>1.2222210698245586E-4</v>
      </c>
      <c r="L474" t="s">
        <v>161</v>
      </c>
      <c r="N474" t="s">
        <v>204</v>
      </c>
      <c r="O474" t="s">
        <v>256</v>
      </c>
      <c r="P474">
        <v>6.9384944657691636E-3</v>
      </c>
      <c r="Q474" t="s">
        <v>161</v>
      </c>
      <c r="S474" t="s">
        <v>226</v>
      </c>
      <c r="T474" t="s">
        <v>256</v>
      </c>
      <c r="U474">
        <v>7.0138508425762669E-3</v>
      </c>
      <c r="V474" t="s">
        <v>161</v>
      </c>
    </row>
    <row r="475" spans="9:22" x14ac:dyDescent="0.45">
      <c r="I475" t="s">
        <v>181</v>
      </c>
      <c r="J475" t="s">
        <v>257</v>
      </c>
      <c r="K475">
        <v>3.4239276692163048E-2</v>
      </c>
      <c r="L475" t="s">
        <v>161</v>
      </c>
      <c r="N475" t="s">
        <v>204</v>
      </c>
      <c r="O475" t="s">
        <v>257</v>
      </c>
      <c r="P475">
        <v>4.4237187020720957E-2</v>
      </c>
      <c r="Q475" t="s">
        <v>161</v>
      </c>
      <c r="S475" t="s">
        <v>226</v>
      </c>
      <c r="T475" t="s">
        <v>257</v>
      </c>
      <c r="U475">
        <v>4.6418799293643287E-2</v>
      </c>
      <c r="V475" t="s">
        <v>161</v>
      </c>
    </row>
    <row r="476" spans="9:22" x14ac:dyDescent="0.45">
      <c r="I476" t="s">
        <v>181</v>
      </c>
      <c r="J476" t="s">
        <v>258</v>
      </c>
      <c r="K476">
        <v>2.7887252770885714E-3</v>
      </c>
      <c r="L476" t="s">
        <v>161</v>
      </c>
      <c r="N476" t="s">
        <v>204</v>
      </c>
      <c r="O476" t="s">
        <v>258</v>
      </c>
      <c r="P476">
        <v>6.2557723525272649E-3</v>
      </c>
      <c r="Q476" t="s">
        <v>161</v>
      </c>
      <c r="S476" t="s">
        <v>226</v>
      </c>
      <c r="T476" t="s">
        <v>258</v>
      </c>
      <c r="U476">
        <v>6.3260179794374016E-3</v>
      </c>
      <c r="V476" t="s">
        <v>161</v>
      </c>
    </row>
    <row r="477" spans="9:22" x14ac:dyDescent="0.45">
      <c r="I477" t="s">
        <v>181</v>
      </c>
      <c r="J477" t="s">
        <v>259</v>
      </c>
      <c r="K477">
        <v>1.7887387541919891E-5</v>
      </c>
      <c r="L477" t="s">
        <v>161</v>
      </c>
      <c r="N477" t="s">
        <v>204</v>
      </c>
      <c r="O477" t="s">
        <v>259</v>
      </c>
      <c r="P477">
        <v>6.420052629194384E-3</v>
      </c>
      <c r="Q477" t="s">
        <v>161</v>
      </c>
      <c r="S477" t="s">
        <v>226</v>
      </c>
      <c r="T477" t="s">
        <v>259</v>
      </c>
      <c r="U477">
        <v>6.2623616988751445E-3</v>
      </c>
      <c r="V477" t="s">
        <v>161</v>
      </c>
    </row>
    <row r="478" spans="9:22" x14ac:dyDescent="0.45">
      <c r="I478" t="s">
        <v>181</v>
      </c>
      <c r="J478" t="s">
        <v>271</v>
      </c>
      <c r="K478">
        <v>0</v>
      </c>
      <c r="L478" t="s">
        <v>161</v>
      </c>
      <c r="N478" t="s">
        <v>204</v>
      </c>
      <c r="O478" t="s">
        <v>271</v>
      </c>
      <c r="P478">
        <v>3.8838789856649888E-2</v>
      </c>
      <c r="Q478" t="s">
        <v>161</v>
      </c>
      <c r="S478" t="s">
        <v>226</v>
      </c>
      <c r="T478" t="s">
        <v>271</v>
      </c>
      <c r="U478">
        <v>3.6361823400545015E-2</v>
      </c>
      <c r="V478" t="s">
        <v>161</v>
      </c>
    </row>
    <row r="479" spans="9:22" x14ac:dyDescent="0.45">
      <c r="I479" t="s">
        <v>181</v>
      </c>
      <c r="J479" t="s">
        <v>272</v>
      </c>
      <c r="K479">
        <v>0</v>
      </c>
      <c r="L479" t="s">
        <v>161</v>
      </c>
      <c r="N479" t="s">
        <v>204</v>
      </c>
      <c r="O479" t="s">
        <v>272</v>
      </c>
      <c r="P479">
        <v>2.198659951831828E-2</v>
      </c>
      <c r="Q479" t="s">
        <v>161</v>
      </c>
      <c r="S479" t="s">
        <v>226</v>
      </c>
      <c r="T479" t="s">
        <v>272</v>
      </c>
      <c r="U479">
        <v>1.9478318761507754E-2</v>
      </c>
      <c r="V479" t="s">
        <v>161</v>
      </c>
    </row>
    <row r="480" spans="9:22" x14ac:dyDescent="0.45">
      <c r="I480" t="s">
        <v>181</v>
      </c>
      <c r="J480" t="s">
        <v>273</v>
      </c>
      <c r="K480">
        <v>0</v>
      </c>
      <c r="L480" t="s">
        <v>161</v>
      </c>
      <c r="N480" t="s">
        <v>204</v>
      </c>
      <c r="O480" t="s">
        <v>273</v>
      </c>
      <c r="P480">
        <v>2.7519576601381796E-3</v>
      </c>
      <c r="Q480" t="s">
        <v>161</v>
      </c>
      <c r="S480" t="s">
        <v>226</v>
      </c>
      <c r="T480" t="s">
        <v>273</v>
      </c>
      <c r="U480">
        <v>2.5978663316063274E-3</v>
      </c>
      <c r="V480" t="s">
        <v>161</v>
      </c>
    </row>
    <row r="481" spans="9:22" x14ac:dyDescent="0.45">
      <c r="I481" t="s">
        <v>181</v>
      </c>
      <c r="J481" t="s">
        <v>274</v>
      </c>
      <c r="K481">
        <v>6.7074554295196752E-3</v>
      </c>
      <c r="L481" t="s">
        <v>161</v>
      </c>
      <c r="N481" t="s">
        <v>204</v>
      </c>
      <c r="O481" t="s">
        <v>274</v>
      </c>
      <c r="P481">
        <v>1.5969676949904379E-2</v>
      </c>
      <c r="Q481" t="s">
        <v>161</v>
      </c>
      <c r="S481" t="s">
        <v>226</v>
      </c>
      <c r="T481" t="s">
        <v>274</v>
      </c>
      <c r="U481">
        <v>1.5081718397840249E-2</v>
      </c>
      <c r="V481" t="s">
        <v>161</v>
      </c>
    </row>
    <row r="482" spans="9:22" x14ac:dyDescent="0.45">
      <c r="I482" t="s">
        <v>181</v>
      </c>
      <c r="J482" t="s">
        <v>275</v>
      </c>
      <c r="K482">
        <v>4.8161716514031564E-4</v>
      </c>
      <c r="L482" t="s">
        <v>161</v>
      </c>
      <c r="N482" t="s">
        <v>204</v>
      </c>
      <c r="O482" t="s">
        <v>275</v>
      </c>
      <c r="P482">
        <v>2.2250566022686052E-3</v>
      </c>
      <c r="Q482" t="s">
        <v>161</v>
      </c>
      <c r="S482" t="s">
        <v>226</v>
      </c>
      <c r="T482" t="s">
        <v>275</v>
      </c>
      <c r="U482">
        <v>2.0856570640293078E-3</v>
      </c>
      <c r="V482" t="s">
        <v>161</v>
      </c>
    </row>
    <row r="483" spans="9:22" x14ac:dyDescent="0.45">
      <c r="I483" t="s">
        <v>181</v>
      </c>
      <c r="J483" t="s">
        <v>276</v>
      </c>
      <c r="K483">
        <v>0</v>
      </c>
      <c r="L483" t="s">
        <v>161</v>
      </c>
      <c r="N483" t="s">
        <v>204</v>
      </c>
      <c r="O483" t="s">
        <v>276</v>
      </c>
      <c r="P483">
        <v>2.2596190224839757E-3</v>
      </c>
      <c r="Q483" t="s">
        <v>161</v>
      </c>
      <c r="S483" t="s">
        <v>226</v>
      </c>
      <c r="T483" t="s">
        <v>276</v>
      </c>
      <c r="U483">
        <v>2.1205570286755393E-3</v>
      </c>
      <c r="V483" t="s">
        <v>161</v>
      </c>
    </row>
    <row r="484" spans="9:22" x14ac:dyDescent="0.45">
      <c r="I484" t="s">
        <v>181</v>
      </c>
      <c r="J484" t="s">
        <v>277</v>
      </c>
      <c r="K484">
        <v>0</v>
      </c>
      <c r="L484" t="s">
        <v>161</v>
      </c>
      <c r="N484" t="s">
        <v>204</v>
      </c>
      <c r="O484" t="s">
        <v>277</v>
      </c>
      <c r="P484">
        <v>1.4345627797490372E-2</v>
      </c>
      <c r="Q484" t="s">
        <v>161</v>
      </c>
      <c r="S484" t="s">
        <v>226</v>
      </c>
      <c r="T484" t="s">
        <v>277</v>
      </c>
      <c r="U484">
        <v>1.2739637837665418E-2</v>
      </c>
      <c r="V484" t="s">
        <v>161</v>
      </c>
    </row>
    <row r="485" spans="9:22" x14ac:dyDescent="0.45">
      <c r="I485" t="s">
        <v>181</v>
      </c>
      <c r="J485" t="s">
        <v>278</v>
      </c>
      <c r="K485">
        <v>0</v>
      </c>
      <c r="L485" t="s">
        <v>161</v>
      </c>
      <c r="N485" t="s">
        <v>204</v>
      </c>
      <c r="O485" t="s">
        <v>278</v>
      </c>
      <c r="P485">
        <v>8.4785188897315237E-3</v>
      </c>
      <c r="Q485" t="s">
        <v>161</v>
      </c>
      <c r="S485" t="s">
        <v>226</v>
      </c>
      <c r="T485" t="s">
        <v>278</v>
      </c>
      <c r="U485">
        <v>6.5935420839356353E-3</v>
      </c>
      <c r="V485" t="s">
        <v>161</v>
      </c>
    </row>
    <row r="486" spans="9:22" x14ac:dyDescent="0.45">
      <c r="I486" t="s">
        <v>181</v>
      </c>
      <c r="J486" t="s">
        <v>279</v>
      </c>
      <c r="K486">
        <v>0</v>
      </c>
      <c r="L486" t="s">
        <v>161</v>
      </c>
      <c r="N486" t="s">
        <v>204</v>
      </c>
      <c r="O486" t="s">
        <v>279</v>
      </c>
      <c r="P486">
        <v>1.2797067685433102E-3</v>
      </c>
      <c r="Q486" t="s">
        <v>161</v>
      </c>
      <c r="S486" t="s">
        <v>226</v>
      </c>
      <c r="T486" t="s">
        <v>279</v>
      </c>
      <c r="U486">
        <v>8.2903662515499733E-4</v>
      </c>
      <c r="V486" t="s">
        <v>161</v>
      </c>
    </row>
    <row r="487" spans="9:22" x14ac:dyDescent="0.45">
      <c r="I487" t="s">
        <v>181</v>
      </c>
      <c r="J487" t="s">
        <v>280</v>
      </c>
      <c r="K487">
        <v>5.0990797547066447E-3</v>
      </c>
      <c r="L487" t="s">
        <v>161</v>
      </c>
      <c r="N487" t="s">
        <v>204</v>
      </c>
      <c r="O487" t="s">
        <v>280</v>
      </c>
      <c r="P487">
        <v>7.7231340295121718E-3</v>
      </c>
      <c r="Q487" t="s">
        <v>161</v>
      </c>
      <c r="S487" t="s">
        <v>226</v>
      </c>
      <c r="T487" t="s">
        <v>280</v>
      </c>
      <c r="U487">
        <v>6.5252087990563031E-3</v>
      </c>
      <c r="V487" t="s">
        <v>161</v>
      </c>
    </row>
    <row r="488" spans="9:22" x14ac:dyDescent="0.45">
      <c r="I488" t="s">
        <v>181</v>
      </c>
      <c r="J488" t="s">
        <v>281</v>
      </c>
      <c r="K488">
        <v>5.3745034087567434E-4</v>
      </c>
      <c r="L488" t="s">
        <v>161</v>
      </c>
      <c r="N488" t="s">
        <v>204</v>
      </c>
      <c r="O488" t="s">
        <v>281</v>
      </c>
      <c r="P488">
        <v>1.0925065826312261E-3</v>
      </c>
      <c r="Q488" t="s">
        <v>161</v>
      </c>
      <c r="S488" t="s">
        <v>226</v>
      </c>
      <c r="T488" t="s">
        <v>281</v>
      </c>
      <c r="U488">
        <v>1.1812484518613242E-3</v>
      </c>
      <c r="V488" t="s">
        <v>161</v>
      </c>
    </row>
    <row r="489" spans="9:22" x14ac:dyDescent="0.45">
      <c r="I489" t="s">
        <v>181</v>
      </c>
      <c r="J489" t="s">
        <v>282</v>
      </c>
      <c r="K489">
        <v>0</v>
      </c>
      <c r="L489" t="s">
        <v>161</v>
      </c>
      <c r="N489" t="s">
        <v>204</v>
      </c>
      <c r="O489" t="s">
        <v>282</v>
      </c>
      <c r="P489">
        <v>1.108285034002262E-3</v>
      </c>
      <c r="Q489" t="s">
        <v>161</v>
      </c>
      <c r="S489" t="s">
        <v>226</v>
      </c>
      <c r="T489" t="s">
        <v>282</v>
      </c>
      <c r="U489">
        <v>1.2245210018677643E-3</v>
      </c>
      <c r="V489" t="s">
        <v>161</v>
      </c>
    </row>
    <row r="490" spans="9:22" x14ac:dyDescent="0.45">
      <c r="I490" t="s">
        <v>181</v>
      </c>
      <c r="J490" t="s">
        <v>283</v>
      </c>
      <c r="K490">
        <v>0</v>
      </c>
      <c r="L490" t="s">
        <v>161</v>
      </c>
      <c r="N490" t="s">
        <v>204</v>
      </c>
      <c r="O490" t="s">
        <v>283</v>
      </c>
      <c r="P490">
        <v>7.122778226630622E-3</v>
      </c>
      <c r="Q490" t="s">
        <v>161</v>
      </c>
      <c r="S490" t="s">
        <v>226</v>
      </c>
      <c r="T490" t="s">
        <v>283</v>
      </c>
      <c r="U490">
        <v>7.6261589666493657E-3</v>
      </c>
      <c r="V490" t="s">
        <v>161</v>
      </c>
    </row>
    <row r="491" spans="9:22" x14ac:dyDescent="0.45">
      <c r="I491" t="s">
        <v>182</v>
      </c>
      <c r="J491" t="s">
        <v>160</v>
      </c>
      <c r="K491">
        <v>0</v>
      </c>
      <c r="L491" t="s">
        <v>161</v>
      </c>
      <c r="N491" t="s">
        <v>205</v>
      </c>
      <c r="O491" t="s">
        <v>160</v>
      </c>
      <c r="P491">
        <v>8.8910709521741946E-2</v>
      </c>
      <c r="Q491" t="s">
        <v>161</v>
      </c>
    </row>
    <row r="492" spans="9:22" x14ac:dyDescent="0.45">
      <c r="I492" t="s">
        <v>182</v>
      </c>
      <c r="J492" t="s">
        <v>162</v>
      </c>
      <c r="K492">
        <v>1.8791058161275436E-3</v>
      </c>
      <c r="L492" t="s">
        <v>161</v>
      </c>
      <c r="N492" t="s">
        <v>205</v>
      </c>
      <c r="O492" t="s">
        <v>162</v>
      </c>
      <c r="P492">
        <v>1.0370976308143346E-2</v>
      </c>
      <c r="Q492" t="s">
        <v>161</v>
      </c>
    </row>
    <row r="493" spans="9:22" x14ac:dyDescent="0.45">
      <c r="I493" t="s">
        <v>182</v>
      </c>
      <c r="J493" t="s">
        <v>163</v>
      </c>
      <c r="K493">
        <v>7.6463570810604967E-2</v>
      </c>
      <c r="L493" t="s">
        <v>161</v>
      </c>
      <c r="N493" t="s">
        <v>205</v>
      </c>
      <c r="O493" t="s">
        <v>163</v>
      </c>
      <c r="P493">
        <v>6.5871836021320587E-2</v>
      </c>
      <c r="Q493" t="s">
        <v>161</v>
      </c>
    </row>
    <row r="494" spans="9:22" x14ac:dyDescent="0.45">
      <c r="I494" t="s">
        <v>182</v>
      </c>
      <c r="J494" t="s">
        <v>242</v>
      </c>
      <c r="K494">
        <v>8.4956210701437381E-3</v>
      </c>
      <c r="L494" t="s">
        <v>161</v>
      </c>
      <c r="N494" t="s">
        <v>205</v>
      </c>
      <c r="O494" t="s">
        <v>242</v>
      </c>
      <c r="P494">
        <v>1.1096822374905897E-2</v>
      </c>
      <c r="Q494" t="s">
        <v>161</v>
      </c>
    </row>
    <row r="495" spans="9:22" x14ac:dyDescent="0.45">
      <c r="I495" t="s">
        <v>182</v>
      </c>
      <c r="J495" t="s">
        <v>243</v>
      </c>
      <c r="K495">
        <v>5.1188823068644765E-3</v>
      </c>
      <c r="L495" t="s">
        <v>161</v>
      </c>
      <c r="N495" t="s">
        <v>205</v>
      </c>
      <c r="O495" t="s">
        <v>243</v>
      </c>
      <c r="P495">
        <v>1.1588979123556768E-2</v>
      </c>
      <c r="Q495" t="s">
        <v>161</v>
      </c>
    </row>
    <row r="496" spans="9:22" x14ac:dyDescent="0.45">
      <c r="I496" t="s">
        <v>182</v>
      </c>
      <c r="J496" t="s">
        <v>266</v>
      </c>
      <c r="K496">
        <v>1.7951764816206254E-3</v>
      </c>
      <c r="L496" t="s">
        <v>161</v>
      </c>
      <c r="N496" t="s">
        <v>205</v>
      </c>
      <c r="O496" t="s">
        <v>266</v>
      </c>
      <c r="P496">
        <v>7.0509417454997711E-2</v>
      </c>
      <c r="Q496" t="s">
        <v>161</v>
      </c>
    </row>
    <row r="497" spans="9:17" x14ac:dyDescent="0.45">
      <c r="I497" t="s">
        <v>182</v>
      </c>
      <c r="J497" t="s">
        <v>164</v>
      </c>
      <c r="K497">
        <v>5.6149359154590781E-3</v>
      </c>
      <c r="L497" t="s">
        <v>161</v>
      </c>
      <c r="N497" t="s">
        <v>205</v>
      </c>
      <c r="O497" t="s">
        <v>164</v>
      </c>
      <c r="P497">
        <v>3.4433188601400967E-2</v>
      </c>
      <c r="Q497" t="s">
        <v>161</v>
      </c>
    </row>
    <row r="498" spans="9:17" x14ac:dyDescent="0.45">
      <c r="I498" t="s">
        <v>182</v>
      </c>
      <c r="J498" t="s">
        <v>165</v>
      </c>
      <c r="K498">
        <v>8.265496261749234E-3</v>
      </c>
      <c r="L498" t="s">
        <v>161</v>
      </c>
      <c r="N498" t="s">
        <v>205</v>
      </c>
      <c r="O498" t="s">
        <v>165</v>
      </c>
      <c r="P498">
        <v>4.2913754231554265E-3</v>
      </c>
      <c r="Q498" t="s">
        <v>161</v>
      </c>
    </row>
    <row r="499" spans="9:17" x14ac:dyDescent="0.45">
      <c r="I499" t="s">
        <v>182</v>
      </c>
      <c r="J499" t="s">
        <v>166</v>
      </c>
      <c r="K499">
        <v>9.3152144295423137E-2</v>
      </c>
      <c r="L499" t="s">
        <v>161</v>
      </c>
      <c r="N499" t="s">
        <v>205</v>
      </c>
      <c r="O499" t="s">
        <v>166</v>
      </c>
      <c r="P499">
        <v>3.1958072812389035E-2</v>
      </c>
      <c r="Q499" t="s">
        <v>161</v>
      </c>
    </row>
    <row r="500" spans="9:17" x14ac:dyDescent="0.45">
      <c r="I500" t="s">
        <v>182</v>
      </c>
      <c r="J500" t="s">
        <v>244</v>
      </c>
      <c r="K500">
        <v>1.0570058890500356E-2</v>
      </c>
      <c r="L500" t="s">
        <v>161</v>
      </c>
      <c r="N500" t="s">
        <v>205</v>
      </c>
      <c r="O500" t="s">
        <v>244</v>
      </c>
      <c r="P500">
        <v>5.1306098660043025E-3</v>
      </c>
      <c r="Q500" t="s">
        <v>161</v>
      </c>
    </row>
    <row r="501" spans="9:17" x14ac:dyDescent="0.45">
      <c r="I501" t="s">
        <v>182</v>
      </c>
      <c r="J501" t="s">
        <v>245</v>
      </c>
      <c r="K501">
        <v>8.2920939978230693E-3</v>
      </c>
      <c r="L501" t="s">
        <v>161</v>
      </c>
      <c r="N501" t="s">
        <v>205</v>
      </c>
      <c r="O501" t="s">
        <v>245</v>
      </c>
      <c r="P501">
        <v>4.910791616967689E-3</v>
      </c>
      <c r="Q501" t="s">
        <v>161</v>
      </c>
    </row>
    <row r="502" spans="9:17" x14ac:dyDescent="0.45">
      <c r="I502" t="s">
        <v>182</v>
      </c>
      <c r="J502" t="s">
        <v>267</v>
      </c>
      <c r="K502">
        <v>6.7423523789510711E-3</v>
      </c>
      <c r="L502" t="s">
        <v>161</v>
      </c>
      <c r="N502" t="s">
        <v>205</v>
      </c>
      <c r="O502" t="s">
        <v>267</v>
      </c>
      <c r="P502">
        <v>2.8959754178126639E-2</v>
      </c>
      <c r="Q502" t="s">
        <v>161</v>
      </c>
    </row>
    <row r="503" spans="9:17" x14ac:dyDescent="0.45">
      <c r="I503" t="s">
        <v>182</v>
      </c>
      <c r="J503" t="s">
        <v>167</v>
      </c>
      <c r="K503">
        <v>4.2006916430368017E-2</v>
      </c>
      <c r="L503" t="s">
        <v>161</v>
      </c>
      <c r="N503" t="s">
        <v>205</v>
      </c>
      <c r="O503" t="s">
        <v>167</v>
      </c>
      <c r="P503">
        <v>7.5482121729337798E-2</v>
      </c>
      <c r="Q503" t="s">
        <v>161</v>
      </c>
    </row>
    <row r="504" spans="9:17" x14ac:dyDescent="0.45">
      <c r="I504" t="s">
        <v>182</v>
      </c>
      <c r="J504" t="s">
        <v>168</v>
      </c>
      <c r="K504">
        <v>3.0004648065592446E-2</v>
      </c>
      <c r="L504" t="s">
        <v>161</v>
      </c>
      <c r="N504" t="s">
        <v>205</v>
      </c>
      <c r="O504" t="s">
        <v>168</v>
      </c>
      <c r="P504">
        <v>6.6327403659522076E-3</v>
      </c>
      <c r="Q504" t="s">
        <v>161</v>
      </c>
    </row>
    <row r="505" spans="9:17" x14ac:dyDescent="0.45">
      <c r="I505" t="s">
        <v>182</v>
      </c>
      <c r="J505" t="s">
        <v>169</v>
      </c>
      <c r="K505">
        <v>0.27264941921093588</v>
      </c>
      <c r="L505" t="s">
        <v>161</v>
      </c>
      <c r="N505" t="s">
        <v>205</v>
      </c>
      <c r="O505" t="s">
        <v>169</v>
      </c>
      <c r="P505">
        <v>5.8968895048788786E-2</v>
      </c>
      <c r="Q505" t="s">
        <v>161</v>
      </c>
    </row>
    <row r="506" spans="9:17" x14ac:dyDescent="0.45">
      <c r="I506" t="s">
        <v>182</v>
      </c>
      <c r="J506" t="s">
        <v>246</v>
      </c>
      <c r="K506">
        <v>3.2178819742898809E-2</v>
      </c>
      <c r="L506" t="s">
        <v>161</v>
      </c>
      <c r="N506" t="s">
        <v>205</v>
      </c>
      <c r="O506" t="s">
        <v>246</v>
      </c>
      <c r="P506">
        <v>1.1165364538013324E-2</v>
      </c>
      <c r="Q506" t="s">
        <v>161</v>
      </c>
    </row>
    <row r="507" spans="9:17" x14ac:dyDescent="0.45">
      <c r="I507" t="s">
        <v>182</v>
      </c>
      <c r="J507" t="s">
        <v>247</v>
      </c>
      <c r="K507">
        <v>2.7281797872738562E-2</v>
      </c>
      <c r="L507" t="s">
        <v>161</v>
      </c>
      <c r="N507" t="s">
        <v>205</v>
      </c>
      <c r="O507" t="s">
        <v>247</v>
      </c>
      <c r="P507">
        <v>1.1175233842298205E-2</v>
      </c>
      <c r="Q507" t="s">
        <v>161</v>
      </c>
    </row>
    <row r="508" spans="9:17" x14ac:dyDescent="0.45">
      <c r="I508" t="s">
        <v>182</v>
      </c>
      <c r="J508" t="s">
        <v>268</v>
      </c>
      <c r="K508">
        <v>4.1049786615075891E-2</v>
      </c>
      <c r="L508" t="s">
        <v>161</v>
      </c>
      <c r="N508" t="s">
        <v>205</v>
      </c>
      <c r="O508" t="s">
        <v>268</v>
      </c>
      <c r="P508">
        <v>7.2802589081186794E-2</v>
      </c>
      <c r="Q508" t="s">
        <v>161</v>
      </c>
    </row>
    <row r="509" spans="9:17" x14ac:dyDescent="0.45">
      <c r="I509" t="s">
        <v>182</v>
      </c>
      <c r="J509" t="s">
        <v>170</v>
      </c>
      <c r="K509">
        <v>1.1811220866102652E-2</v>
      </c>
      <c r="L509" t="s">
        <v>161</v>
      </c>
      <c r="N509" t="s">
        <v>205</v>
      </c>
      <c r="O509" t="s">
        <v>170</v>
      </c>
      <c r="P509">
        <v>3.7109879292311451E-2</v>
      </c>
      <c r="Q509" t="s">
        <v>161</v>
      </c>
    </row>
    <row r="510" spans="9:17" x14ac:dyDescent="0.45">
      <c r="I510" t="s">
        <v>182</v>
      </c>
      <c r="J510" t="s">
        <v>171</v>
      </c>
      <c r="K510">
        <v>1.2850110230522526E-2</v>
      </c>
      <c r="L510" t="s">
        <v>161</v>
      </c>
      <c r="N510" t="s">
        <v>205</v>
      </c>
      <c r="O510" t="s">
        <v>171</v>
      </c>
      <c r="P510">
        <v>3.3800036699925861E-3</v>
      </c>
      <c r="Q510" t="s">
        <v>161</v>
      </c>
    </row>
    <row r="511" spans="9:17" x14ac:dyDescent="0.45">
      <c r="I511" t="s">
        <v>182</v>
      </c>
      <c r="J511" t="s">
        <v>172</v>
      </c>
      <c r="K511">
        <v>0.1246101215659218</v>
      </c>
      <c r="L511" t="s">
        <v>161</v>
      </c>
      <c r="N511" t="s">
        <v>205</v>
      </c>
      <c r="O511" t="s">
        <v>172</v>
      </c>
      <c r="P511">
        <v>2.6943075492639725E-2</v>
      </c>
      <c r="Q511" t="s">
        <v>161</v>
      </c>
    </row>
    <row r="512" spans="9:17" x14ac:dyDescent="0.45">
      <c r="I512" t="s">
        <v>182</v>
      </c>
      <c r="J512" t="s">
        <v>248</v>
      </c>
      <c r="K512">
        <v>1.4402233086357012E-2</v>
      </c>
      <c r="L512" t="s">
        <v>161</v>
      </c>
      <c r="N512" t="s">
        <v>205</v>
      </c>
      <c r="O512" t="s">
        <v>248</v>
      </c>
      <c r="P512">
        <v>4.6501986263253331E-3</v>
      </c>
      <c r="Q512" t="s">
        <v>161</v>
      </c>
    </row>
    <row r="513" spans="9:17" x14ac:dyDescent="0.45">
      <c r="I513" t="s">
        <v>182</v>
      </c>
      <c r="J513" t="s">
        <v>249</v>
      </c>
      <c r="K513">
        <v>1.2188156302799234E-2</v>
      </c>
      <c r="L513" t="s">
        <v>161</v>
      </c>
      <c r="N513" t="s">
        <v>205</v>
      </c>
      <c r="O513" t="s">
        <v>249</v>
      </c>
      <c r="P513">
        <v>4.3201826531213076E-3</v>
      </c>
      <c r="Q513" t="s">
        <v>161</v>
      </c>
    </row>
    <row r="514" spans="9:17" x14ac:dyDescent="0.45">
      <c r="I514" t="s">
        <v>182</v>
      </c>
      <c r="J514" t="s">
        <v>269</v>
      </c>
      <c r="K514">
        <v>1.4201842036492617E-2</v>
      </c>
      <c r="L514" t="s">
        <v>161</v>
      </c>
      <c r="N514" t="s">
        <v>205</v>
      </c>
      <c r="O514" t="s">
        <v>269</v>
      </c>
      <c r="P514">
        <v>2.4295208278975324E-2</v>
      </c>
      <c r="Q514" t="s">
        <v>161</v>
      </c>
    </row>
    <row r="515" spans="9:17" x14ac:dyDescent="0.45">
      <c r="I515" t="s">
        <v>182</v>
      </c>
      <c r="J515" t="s">
        <v>250</v>
      </c>
      <c r="K515">
        <v>1.4729184018602069E-3</v>
      </c>
      <c r="L515" t="s">
        <v>161</v>
      </c>
      <c r="N515" t="s">
        <v>205</v>
      </c>
      <c r="O515" t="s">
        <v>250</v>
      </c>
      <c r="P515">
        <v>3.5304139497058455E-2</v>
      </c>
      <c r="Q515" t="s">
        <v>161</v>
      </c>
    </row>
    <row r="516" spans="9:17" x14ac:dyDescent="0.45">
      <c r="I516" t="s">
        <v>182</v>
      </c>
      <c r="J516" t="s">
        <v>251</v>
      </c>
      <c r="K516">
        <v>4.6593096174537101E-3</v>
      </c>
      <c r="L516" t="s">
        <v>161</v>
      </c>
      <c r="N516" t="s">
        <v>205</v>
      </c>
      <c r="O516" t="s">
        <v>251</v>
      </c>
      <c r="P516">
        <v>4.5808073644203837E-3</v>
      </c>
      <c r="Q516" t="s">
        <v>161</v>
      </c>
    </row>
    <row r="517" spans="9:17" x14ac:dyDescent="0.45">
      <c r="I517" t="s">
        <v>182</v>
      </c>
      <c r="J517" t="s">
        <v>252</v>
      </c>
      <c r="K517">
        <v>7.2918780833836197E-2</v>
      </c>
      <c r="L517" t="s">
        <v>161</v>
      </c>
      <c r="N517" t="s">
        <v>205</v>
      </c>
      <c r="O517" t="s">
        <v>252</v>
      </c>
      <c r="P517">
        <v>2.6617358668280293E-2</v>
      </c>
      <c r="Q517" t="s">
        <v>161</v>
      </c>
    </row>
    <row r="518" spans="9:17" x14ac:dyDescent="0.45">
      <c r="I518" t="s">
        <v>182</v>
      </c>
      <c r="J518" t="s">
        <v>253</v>
      </c>
      <c r="K518">
        <v>7.8923780522562412E-3</v>
      </c>
      <c r="L518" t="s">
        <v>161</v>
      </c>
      <c r="N518" t="s">
        <v>205</v>
      </c>
      <c r="O518" t="s">
        <v>253</v>
      </c>
      <c r="P518">
        <v>4.5456099537019663E-3</v>
      </c>
      <c r="Q518" t="s">
        <v>161</v>
      </c>
    </row>
    <row r="519" spans="9:17" x14ac:dyDescent="0.45">
      <c r="I519" t="s">
        <v>182</v>
      </c>
      <c r="J519" t="s">
        <v>254</v>
      </c>
      <c r="K519">
        <v>4.7557616017892129E-3</v>
      </c>
      <c r="L519" t="s">
        <v>161</v>
      </c>
      <c r="N519" t="s">
        <v>205</v>
      </c>
      <c r="O519" t="s">
        <v>254</v>
      </c>
      <c r="P519">
        <v>4.5811863231071193E-3</v>
      </c>
      <c r="Q519" t="s">
        <v>161</v>
      </c>
    </row>
    <row r="520" spans="9:17" x14ac:dyDescent="0.45">
      <c r="I520" t="s">
        <v>182</v>
      </c>
      <c r="J520" t="s">
        <v>270</v>
      </c>
      <c r="K520">
        <v>1.3952499298684371E-3</v>
      </c>
      <c r="L520" t="s">
        <v>161</v>
      </c>
      <c r="N520" t="s">
        <v>205</v>
      </c>
      <c r="O520" t="s">
        <v>270</v>
      </c>
      <c r="P520">
        <v>2.5546527389520634E-2</v>
      </c>
      <c r="Q520" t="s">
        <v>161</v>
      </c>
    </row>
    <row r="521" spans="9:17" x14ac:dyDescent="0.45">
      <c r="I521" t="s">
        <v>182</v>
      </c>
      <c r="J521" t="s">
        <v>255</v>
      </c>
      <c r="K521">
        <v>0</v>
      </c>
      <c r="L521" t="s">
        <v>161</v>
      </c>
      <c r="N521" t="s">
        <v>205</v>
      </c>
      <c r="O521" t="s">
        <v>255</v>
      </c>
      <c r="P521">
        <v>5.9357193194080678E-2</v>
      </c>
      <c r="Q521" t="s">
        <v>161</v>
      </c>
    </row>
    <row r="522" spans="9:17" x14ac:dyDescent="0.45">
      <c r="I522" t="s">
        <v>182</v>
      </c>
      <c r="J522" t="s">
        <v>256</v>
      </c>
      <c r="K522">
        <v>8.732413704660603E-5</v>
      </c>
      <c r="L522" t="s">
        <v>161</v>
      </c>
      <c r="N522" t="s">
        <v>205</v>
      </c>
      <c r="O522" t="s">
        <v>256</v>
      </c>
      <c r="P522">
        <v>6.1020115497711852E-3</v>
      </c>
      <c r="Q522" t="s">
        <v>161</v>
      </c>
    </row>
    <row r="523" spans="9:17" x14ac:dyDescent="0.45">
      <c r="I523" t="s">
        <v>182</v>
      </c>
      <c r="J523" t="s">
        <v>257</v>
      </c>
      <c r="K523">
        <v>3.1166884810165392E-2</v>
      </c>
      <c r="L523" t="s">
        <v>161</v>
      </c>
      <c r="N523" t="s">
        <v>205</v>
      </c>
      <c r="O523" t="s">
        <v>257</v>
      </c>
      <c r="P523">
        <v>3.580019440257224E-2</v>
      </c>
      <c r="Q523" t="s">
        <v>161</v>
      </c>
    </row>
    <row r="524" spans="9:17" x14ac:dyDescent="0.45">
      <c r="I524" t="s">
        <v>182</v>
      </c>
      <c r="J524" t="s">
        <v>258</v>
      </c>
      <c r="K524">
        <v>2.5030534795219823E-3</v>
      </c>
      <c r="L524" t="s">
        <v>161</v>
      </c>
      <c r="N524" t="s">
        <v>205</v>
      </c>
      <c r="O524" t="s">
        <v>258</v>
      </c>
      <c r="P524">
        <v>5.2585908272065086E-3</v>
      </c>
      <c r="Q524" t="s">
        <v>161</v>
      </c>
    </row>
    <row r="525" spans="9:17" x14ac:dyDescent="0.45">
      <c r="I525" t="s">
        <v>182</v>
      </c>
      <c r="J525" t="s">
        <v>259</v>
      </c>
      <c r="K525">
        <v>9.0171153538450303E-6</v>
      </c>
      <c r="L525" t="s">
        <v>161</v>
      </c>
      <c r="N525" t="s">
        <v>205</v>
      </c>
      <c r="O525" t="s">
        <v>259</v>
      </c>
      <c r="P525">
        <v>5.7948228382272175E-3</v>
      </c>
      <c r="Q525" t="s">
        <v>161</v>
      </c>
    </row>
    <row r="526" spans="9:17" x14ac:dyDescent="0.45">
      <c r="I526" t="s">
        <v>182</v>
      </c>
      <c r="J526" t="s">
        <v>271</v>
      </c>
      <c r="K526">
        <v>0</v>
      </c>
      <c r="L526" t="s">
        <v>161</v>
      </c>
      <c r="N526" t="s">
        <v>205</v>
      </c>
      <c r="O526" t="s">
        <v>271</v>
      </c>
      <c r="P526">
        <v>4.1301499152738737E-2</v>
      </c>
      <c r="Q526" t="s">
        <v>161</v>
      </c>
    </row>
    <row r="527" spans="9:17" x14ac:dyDescent="0.45">
      <c r="I527" t="s">
        <v>182</v>
      </c>
      <c r="J527" t="s">
        <v>272</v>
      </c>
      <c r="K527">
        <v>0</v>
      </c>
      <c r="L527" t="s">
        <v>161</v>
      </c>
      <c r="N527" t="s">
        <v>205</v>
      </c>
      <c r="O527" t="s">
        <v>272</v>
      </c>
      <c r="P527">
        <v>1.0766376984243249E-2</v>
      </c>
      <c r="Q527" t="s">
        <v>161</v>
      </c>
    </row>
    <row r="528" spans="9:17" x14ac:dyDescent="0.45">
      <c r="I528" t="s">
        <v>182</v>
      </c>
      <c r="J528" t="s">
        <v>273</v>
      </c>
      <c r="K528">
        <v>0</v>
      </c>
      <c r="L528" t="s">
        <v>161</v>
      </c>
      <c r="N528" t="s">
        <v>205</v>
      </c>
      <c r="O528" t="s">
        <v>273</v>
      </c>
      <c r="P528">
        <v>1.0755697696820973E-3</v>
      </c>
      <c r="Q528" t="s">
        <v>161</v>
      </c>
    </row>
    <row r="529" spans="9:17" x14ac:dyDescent="0.45">
      <c r="I529" t="s">
        <v>182</v>
      </c>
      <c r="J529" t="s">
        <v>274</v>
      </c>
      <c r="K529">
        <v>5.1492293135523099E-3</v>
      </c>
      <c r="L529" t="s">
        <v>161</v>
      </c>
      <c r="N529" t="s">
        <v>205</v>
      </c>
      <c r="O529" t="s">
        <v>274</v>
      </c>
      <c r="P529">
        <v>6.3484861617079807E-3</v>
      </c>
      <c r="Q529" t="s">
        <v>161</v>
      </c>
    </row>
    <row r="530" spans="9:17" x14ac:dyDescent="0.45">
      <c r="I530" t="s">
        <v>182</v>
      </c>
      <c r="J530" t="s">
        <v>275</v>
      </c>
      <c r="K530">
        <v>4.1220699519753959E-4</v>
      </c>
      <c r="L530" t="s">
        <v>161</v>
      </c>
      <c r="N530" t="s">
        <v>205</v>
      </c>
      <c r="O530" t="s">
        <v>275</v>
      </c>
      <c r="P530">
        <v>1.5370726231740913E-3</v>
      </c>
      <c r="Q530" t="s">
        <v>161</v>
      </c>
    </row>
    <row r="531" spans="9:17" x14ac:dyDescent="0.45">
      <c r="I531" t="s">
        <v>182</v>
      </c>
      <c r="J531" t="s">
        <v>276</v>
      </c>
      <c r="K531">
        <v>0</v>
      </c>
      <c r="L531" t="s">
        <v>161</v>
      </c>
      <c r="N531" t="s">
        <v>205</v>
      </c>
      <c r="O531" t="s">
        <v>276</v>
      </c>
      <c r="P531">
        <v>1.5479400908936132E-3</v>
      </c>
      <c r="Q531" t="s">
        <v>161</v>
      </c>
    </row>
    <row r="532" spans="9:17" x14ac:dyDescent="0.45">
      <c r="I532" t="s">
        <v>182</v>
      </c>
      <c r="J532" t="s">
        <v>277</v>
      </c>
      <c r="K532">
        <v>0</v>
      </c>
      <c r="L532" t="s">
        <v>161</v>
      </c>
      <c r="N532" t="s">
        <v>205</v>
      </c>
      <c r="O532" t="s">
        <v>277</v>
      </c>
      <c r="P532">
        <v>9.3314779763307952E-3</v>
      </c>
      <c r="Q532" t="s">
        <v>161</v>
      </c>
    </row>
    <row r="533" spans="9:17" x14ac:dyDescent="0.45">
      <c r="I533" t="s">
        <v>182</v>
      </c>
      <c r="J533" t="s">
        <v>278</v>
      </c>
      <c r="K533">
        <v>0</v>
      </c>
      <c r="L533" t="s">
        <v>161</v>
      </c>
      <c r="N533" t="s">
        <v>205</v>
      </c>
      <c r="O533" t="s">
        <v>278</v>
      </c>
      <c r="P533">
        <v>6.2558949900401433E-3</v>
      </c>
      <c r="Q533" t="s">
        <v>161</v>
      </c>
    </row>
    <row r="534" spans="9:17" x14ac:dyDescent="0.45">
      <c r="I534" t="s">
        <v>182</v>
      </c>
      <c r="J534" t="s">
        <v>279</v>
      </c>
      <c r="K534">
        <v>0</v>
      </c>
      <c r="L534" t="s">
        <v>161</v>
      </c>
      <c r="N534" t="s">
        <v>205</v>
      </c>
      <c r="O534" t="s">
        <v>279</v>
      </c>
      <c r="P534">
        <v>4.5016374320847085E-4</v>
      </c>
      <c r="Q534" t="s">
        <v>161</v>
      </c>
    </row>
    <row r="535" spans="9:17" x14ac:dyDescent="0.45">
      <c r="I535" t="s">
        <v>182</v>
      </c>
      <c r="J535" t="s">
        <v>280</v>
      </c>
      <c r="K535">
        <v>5.3885380824695382E-3</v>
      </c>
      <c r="L535" t="s">
        <v>161</v>
      </c>
      <c r="N535" t="s">
        <v>205</v>
      </c>
      <c r="O535" t="s">
        <v>280</v>
      </c>
      <c r="P535">
        <v>1.1754158635235014E-3</v>
      </c>
      <c r="Q535" t="s">
        <v>161</v>
      </c>
    </row>
    <row r="536" spans="9:17" x14ac:dyDescent="0.45">
      <c r="I536" t="s">
        <v>182</v>
      </c>
      <c r="J536" t="s">
        <v>281</v>
      </c>
      <c r="K536">
        <v>5.6483737855262111E-4</v>
      </c>
      <c r="L536" t="s">
        <v>161</v>
      </c>
      <c r="N536" t="s">
        <v>205</v>
      </c>
      <c r="O536" t="s">
        <v>281</v>
      </c>
      <c r="P536">
        <v>1.4557996145084584E-4</v>
      </c>
      <c r="Q536" t="s">
        <v>161</v>
      </c>
    </row>
    <row r="537" spans="9:17" x14ac:dyDescent="0.45">
      <c r="I537" t="s">
        <v>182</v>
      </c>
      <c r="J537" t="s">
        <v>282</v>
      </c>
      <c r="K537">
        <v>0</v>
      </c>
      <c r="L537" t="s">
        <v>161</v>
      </c>
      <c r="N537" t="s">
        <v>205</v>
      </c>
      <c r="O537" t="s">
        <v>282</v>
      </c>
      <c r="P537">
        <v>1.8069496476635382E-4</v>
      </c>
      <c r="Q537" t="s">
        <v>161</v>
      </c>
    </row>
    <row r="538" spans="9:17" x14ac:dyDescent="0.45">
      <c r="I538" t="s">
        <v>182</v>
      </c>
      <c r="J538" t="s">
        <v>283</v>
      </c>
      <c r="K538">
        <v>0</v>
      </c>
      <c r="L538" t="s">
        <v>161</v>
      </c>
      <c r="N538" t="s">
        <v>205</v>
      </c>
      <c r="O538" t="s">
        <v>283</v>
      </c>
      <c r="P538">
        <v>1.4373597886369214E-3</v>
      </c>
      <c r="Q538" t="s">
        <v>161</v>
      </c>
    </row>
    <row r="539" spans="9:17" x14ac:dyDescent="0.45">
      <c r="I539" t="s">
        <v>183</v>
      </c>
      <c r="J539" t="s">
        <v>160</v>
      </c>
      <c r="K539">
        <v>6.9307706789229674E-5</v>
      </c>
      <c r="L539" t="s">
        <v>161</v>
      </c>
      <c r="N539" t="s">
        <v>206</v>
      </c>
      <c r="O539" t="s">
        <v>160</v>
      </c>
      <c r="P539">
        <v>7.527410893554369E-2</v>
      </c>
      <c r="Q539" t="s">
        <v>161</v>
      </c>
    </row>
    <row r="540" spans="9:17" x14ac:dyDescent="0.45">
      <c r="I540" t="s">
        <v>183</v>
      </c>
      <c r="J540" t="s">
        <v>162</v>
      </c>
      <c r="K540">
        <v>2.3742742957171062E-3</v>
      </c>
      <c r="L540" t="s">
        <v>161</v>
      </c>
      <c r="N540" t="s">
        <v>206</v>
      </c>
      <c r="O540" t="s">
        <v>162</v>
      </c>
      <c r="P540">
        <v>9.2758180267595667E-3</v>
      </c>
      <c r="Q540" t="s">
        <v>161</v>
      </c>
    </row>
    <row r="541" spans="9:17" x14ac:dyDescent="0.45">
      <c r="I541" t="s">
        <v>183</v>
      </c>
      <c r="J541" t="s">
        <v>163</v>
      </c>
      <c r="K541">
        <v>7.8533887587032086E-2</v>
      </c>
      <c r="L541" t="s">
        <v>161</v>
      </c>
      <c r="N541" t="s">
        <v>206</v>
      </c>
      <c r="O541" t="s">
        <v>163</v>
      </c>
      <c r="P541">
        <v>6.1557021607993097E-2</v>
      </c>
      <c r="Q541" t="s">
        <v>161</v>
      </c>
    </row>
    <row r="542" spans="9:17" x14ac:dyDescent="0.45">
      <c r="I542" t="s">
        <v>183</v>
      </c>
      <c r="J542" t="s">
        <v>242</v>
      </c>
      <c r="K542">
        <v>7.7482116935144365E-3</v>
      </c>
      <c r="L542" t="s">
        <v>161</v>
      </c>
      <c r="N542" t="s">
        <v>206</v>
      </c>
      <c r="O542" t="s">
        <v>242</v>
      </c>
      <c r="P542">
        <v>8.7912216791138694E-3</v>
      </c>
      <c r="Q542" t="s">
        <v>161</v>
      </c>
    </row>
    <row r="543" spans="9:17" x14ac:dyDescent="0.45">
      <c r="I543" t="s">
        <v>183</v>
      </c>
      <c r="J543" t="s">
        <v>243</v>
      </c>
      <c r="K543">
        <v>4.5841027551711813E-3</v>
      </c>
      <c r="L543" t="s">
        <v>161</v>
      </c>
      <c r="N543" t="s">
        <v>206</v>
      </c>
      <c r="O543" t="s">
        <v>243</v>
      </c>
      <c r="P543">
        <v>9.2329527748217979E-3</v>
      </c>
      <c r="Q543" t="s">
        <v>161</v>
      </c>
    </row>
    <row r="544" spans="9:17" x14ac:dyDescent="0.45">
      <c r="I544" t="s">
        <v>183</v>
      </c>
      <c r="J544" t="s">
        <v>266</v>
      </c>
      <c r="K544">
        <v>1.7809900231856204E-3</v>
      </c>
      <c r="L544" t="s">
        <v>161</v>
      </c>
      <c r="N544" t="s">
        <v>206</v>
      </c>
      <c r="O544" t="s">
        <v>266</v>
      </c>
      <c r="P544">
        <v>5.8185105955475776E-2</v>
      </c>
      <c r="Q544" t="s">
        <v>161</v>
      </c>
    </row>
    <row r="545" spans="9:17" x14ac:dyDescent="0.45">
      <c r="I545" t="s">
        <v>183</v>
      </c>
      <c r="J545" t="s">
        <v>164</v>
      </c>
      <c r="K545">
        <v>6.798443122542094E-3</v>
      </c>
      <c r="L545" t="s">
        <v>161</v>
      </c>
      <c r="N545" t="s">
        <v>206</v>
      </c>
      <c r="O545" t="s">
        <v>164</v>
      </c>
      <c r="P545">
        <v>4.3033912671802753E-2</v>
      </c>
      <c r="Q545" t="s">
        <v>161</v>
      </c>
    </row>
    <row r="546" spans="9:17" x14ac:dyDescent="0.45">
      <c r="I546" t="s">
        <v>183</v>
      </c>
      <c r="J546" t="s">
        <v>165</v>
      </c>
      <c r="K546">
        <v>9.4784609351641746E-3</v>
      </c>
      <c r="L546" t="s">
        <v>161</v>
      </c>
      <c r="N546" t="s">
        <v>206</v>
      </c>
      <c r="O546" t="s">
        <v>165</v>
      </c>
      <c r="P546">
        <v>5.9846003083532566E-3</v>
      </c>
      <c r="Q546" t="s">
        <v>161</v>
      </c>
    </row>
    <row r="547" spans="9:17" x14ac:dyDescent="0.45">
      <c r="I547" t="s">
        <v>183</v>
      </c>
      <c r="J547" t="s">
        <v>166</v>
      </c>
      <c r="K547">
        <v>9.5890815613537489E-2</v>
      </c>
      <c r="L547" t="s">
        <v>161</v>
      </c>
      <c r="N547" t="s">
        <v>206</v>
      </c>
      <c r="O547" t="s">
        <v>166</v>
      </c>
      <c r="P547">
        <v>3.7112507026841768E-2</v>
      </c>
      <c r="Q547" t="s">
        <v>161</v>
      </c>
    </row>
    <row r="548" spans="9:17" x14ac:dyDescent="0.45">
      <c r="I548" t="s">
        <v>183</v>
      </c>
      <c r="J548" t="s">
        <v>244</v>
      </c>
      <c r="K548">
        <v>1.01206824559244E-2</v>
      </c>
      <c r="L548" t="s">
        <v>161</v>
      </c>
      <c r="N548" t="s">
        <v>206</v>
      </c>
      <c r="O548" t="s">
        <v>244</v>
      </c>
      <c r="P548">
        <v>4.9544391234421729E-3</v>
      </c>
      <c r="Q548" t="s">
        <v>161</v>
      </c>
    </row>
    <row r="549" spans="9:17" x14ac:dyDescent="0.45">
      <c r="I549" t="s">
        <v>183</v>
      </c>
      <c r="J549" t="s">
        <v>245</v>
      </c>
      <c r="K549">
        <v>7.9141775462015923E-3</v>
      </c>
      <c r="L549" t="s">
        <v>161</v>
      </c>
      <c r="N549" t="s">
        <v>206</v>
      </c>
      <c r="O549" t="s">
        <v>245</v>
      </c>
      <c r="P549">
        <v>4.9998471629930591E-3</v>
      </c>
      <c r="Q549" t="s">
        <v>161</v>
      </c>
    </row>
    <row r="550" spans="9:17" x14ac:dyDescent="0.45">
      <c r="I550" t="s">
        <v>183</v>
      </c>
      <c r="J550" t="s">
        <v>267</v>
      </c>
      <c r="K550">
        <v>6.5812422056806385E-3</v>
      </c>
      <c r="L550" t="s">
        <v>161</v>
      </c>
      <c r="N550" t="s">
        <v>206</v>
      </c>
      <c r="O550" t="s">
        <v>267</v>
      </c>
      <c r="P550">
        <v>3.259963776826684E-2</v>
      </c>
      <c r="Q550" t="s">
        <v>161</v>
      </c>
    </row>
    <row r="551" spans="9:17" x14ac:dyDescent="0.45">
      <c r="I551" t="s">
        <v>183</v>
      </c>
      <c r="J551" t="s">
        <v>167</v>
      </c>
      <c r="K551">
        <v>4.4753623777102916E-2</v>
      </c>
      <c r="L551" t="s">
        <v>161</v>
      </c>
      <c r="N551" t="s">
        <v>206</v>
      </c>
      <c r="O551" t="s">
        <v>167</v>
      </c>
      <c r="P551">
        <v>6.2965851928473121E-2</v>
      </c>
      <c r="Q551" t="s">
        <v>161</v>
      </c>
    </row>
    <row r="552" spans="9:17" x14ac:dyDescent="0.45">
      <c r="I552" t="s">
        <v>183</v>
      </c>
      <c r="J552" t="s">
        <v>168</v>
      </c>
      <c r="K552">
        <v>3.1382215208792197E-2</v>
      </c>
      <c r="L552" t="s">
        <v>161</v>
      </c>
      <c r="N552" t="s">
        <v>206</v>
      </c>
      <c r="O552" t="s">
        <v>168</v>
      </c>
      <c r="P552">
        <v>6.07778870409379E-3</v>
      </c>
      <c r="Q552" t="s">
        <v>161</v>
      </c>
    </row>
    <row r="553" spans="9:17" x14ac:dyDescent="0.45">
      <c r="I553" t="s">
        <v>183</v>
      </c>
      <c r="J553" t="s">
        <v>169</v>
      </c>
      <c r="K553">
        <v>0.27286808724012152</v>
      </c>
      <c r="L553" t="s">
        <v>161</v>
      </c>
      <c r="N553" t="s">
        <v>206</v>
      </c>
      <c r="O553" t="s">
        <v>169</v>
      </c>
      <c r="P553">
        <v>4.434952122976258E-2</v>
      </c>
      <c r="Q553" t="s">
        <v>161</v>
      </c>
    </row>
    <row r="554" spans="9:17" x14ac:dyDescent="0.45">
      <c r="I554" t="s">
        <v>183</v>
      </c>
      <c r="J554" t="s">
        <v>246</v>
      </c>
      <c r="K554">
        <v>3.2439899949352591E-2</v>
      </c>
      <c r="L554" t="s">
        <v>161</v>
      </c>
      <c r="N554" t="s">
        <v>206</v>
      </c>
      <c r="O554" t="s">
        <v>246</v>
      </c>
      <c r="P554">
        <v>7.7795767690304173E-3</v>
      </c>
      <c r="Q554" t="s">
        <v>161</v>
      </c>
    </row>
    <row r="555" spans="9:17" x14ac:dyDescent="0.45">
      <c r="I555" t="s">
        <v>183</v>
      </c>
      <c r="J555" t="s">
        <v>247</v>
      </c>
      <c r="K555">
        <v>2.7316363167821142E-2</v>
      </c>
      <c r="L555" t="s">
        <v>161</v>
      </c>
      <c r="N555" t="s">
        <v>206</v>
      </c>
      <c r="O555" t="s">
        <v>247</v>
      </c>
      <c r="P555">
        <v>8.2113860031734019E-3</v>
      </c>
      <c r="Q555" t="s">
        <v>161</v>
      </c>
    </row>
    <row r="556" spans="9:17" x14ac:dyDescent="0.45">
      <c r="I556" t="s">
        <v>183</v>
      </c>
      <c r="J556" t="s">
        <v>268</v>
      </c>
      <c r="K556">
        <v>3.9495778606312947E-2</v>
      </c>
      <c r="L556" t="s">
        <v>161</v>
      </c>
      <c r="N556" t="s">
        <v>206</v>
      </c>
      <c r="O556" t="s">
        <v>268</v>
      </c>
      <c r="P556">
        <v>5.5717900154870478E-2</v>
      </c>
      <c r="Q556" t="s">
        <v>161</v>
      </c>
    </row>
    <row r="557" spans="9:17" x14ac:dyDescent="0.45">
      <c r="I557" t="s">
        <v>183</v>
      </c>
      <c r="J557" t="s">
        <v>170</v>
      </c>
      <c r="K557">
        <v>1.2142568022416662E-2</v>
      </c>
      <c r="L557" t="s">
        <v>161</v>
      </c>
      <c r="N557" t="s">
        <v>206</v>
      </c>
      <c r="O557" t="s">
        <v>170</v>
      </c>
      <c r="P557">
        <v>3.0886067879761253E-2</v>
      </c>
      <c r="Q557" t="s">
        <v>161</v>
      </c>
    </row>
    <row r="558" spans="9:17" x14ac:dyDescent="0.45">
      <c r="I558" t="s">
        <v>183</v>
      </c>
      <c r="J558" t="s">
        <v>171</v>
      </c>
      <c r="K558">
        <v>1.2878794607629588E-2</v>
      </c>
      <c r="L558" t="s">
        <v>161</v>
      </c>
      <c r="N558" t="s">
        <v>206</v>
      </c>
      <c r="O558" t="s">
        <v>171</v>
      </c>
      <c r="P558">
        <v>3.5863434519501263E-3</v>
      </c>
      <c r="Q558" t="s">
        <v>161</v>
      </c>
    </row>
    <row r="559" spans="9:17" x14ac:dyDescent="0.45">
      <c r="I559" t="s">
        <v>183</v>
      </c>
      <c r="J559" t="s">
        <v>172</v>
      </c>
      <c r="K559">
        <v>0.12274727030759387</v>
      </c>
      <c r="L559" t="s">
        <v>161</v>
      </c>
      <c r="N559" t="s">
        <v>206</v>
      </c>
      <c r="O559" t="s">
        <v>172</v>
      </c>
      <c r="P559">
        <v>2.4190099581548472E-2</v>
      </c>
      <c r="Q559" t="s">
        <v>161</v>
      </c>
    </row>
    <row r="560" spans="9:17" x14ac:dyDescent="0.45">
      <c r="I560" t="s">
        <v>183</v>
      </c>
      <c r="J560" t="s">
        <v>248</v>
      </c>
      <c r="K560">
        <v>1.3715180860731877E-2</v>
      </c>
      <c r="L560" t="s">
        <v>161</v>
      </c>
      <c r="N560" t="s">
        <v>206</v>
      </c>
      <c r="O560" t="s">
        <v>248</v>
      </c>
      <c r="P560">
        <v>3.6279619592988117E-3</v>
      </c>
      <c r="Q560" t="s">
        <v>161</v>
      </c>
    </row>
    <row r="561" spans="9:17" x14ac:dyDescent="0.45">
      <c r="I561" t="s">
        <v>183</v>
      </c>
      <c r="J561" t="s">
        <v>249</v>
      </c>
      <c r="K561">
        <v>1.141734332583034E-2</v>
      </c>
      <c r="L561" t="s">
        <v>161</v>
      </c>
      <c r="N561" t="s">
        <v>206</v>
      </c>
      <c r="O561" t="s">
        <v>249</v>
      </c>
      <c r="P561">
        <v>3.4451976727095518E-3</v>
      </c>
      <c r="Q561" t="s">
        <v>161</v>
      </c>
    </row>
    <row r="562" spans="9:17" x14ac:dyDescent="0.45">
      <c r="I562" t="s">
        <v>183</v>
      </c>
      <c r="J562" t="s">
        <v>269</v>
      </c>
      <c r="K562">
        <v>1.2388220038780302E-2</v>
      </c>
      <c r="L562" t="s">
        <v>161</v>
      </c>
      <c r="N562" t="s">
        <v>206</v>
      </c>
      <c r="O562" t="s">
        <v>269</v>
      </c>
      <c r="P562">
        <v>2.2111791140434413E-2</v>
      </c>
      <c r="Q562" t="s">
        <v>161</v>
      </c>
    </row>
    <row r="563" spans="9:17" x14ac:dyDescent="0.45">
      <c r="I563" t="s">
        <v>183</v>
      </c>
      <c r="J563" t="s">
        <v>250</v>
      </c>
      <c r="K563">
        <v>1.8890102469499592E-3</v>
      </c>
      <c r="L563" t="s">
        <v>161</v>
      </c>
      <c r="N563" t="s">
        <v>206</v>
      </c>
      <c r="O563" t="s">
        <v>250</v>
      </c>
      <c r="P563">
        <v>4.9076402057415043E-2</v>
      </c>
      <c r="Q563" t="s">
        <v>161</v>
      </c>
    </row>
    <row r="564" spans="9:17" x14ac:dyDescent="0.45">
      <c r="I564" t="s">
        <v>183</v>
      </c>
      <c r="J564" t="s">
        <v>251</v>
      </c>
      <c r="K564">
        <v>4.720682719714671E-3</v>
      </c>
      <c r="L564" t="s">
        <v>161</v>
      </c>
      <c r="N564" t="s">
        <v>206</v>
      </c>
      <c r="O564" t="s">
        <v>251</v>
      </c>
      <c r="P564">
        <v>6.6979578488860214E-3</v>
      </c>
      <c r="Q564" t="s">
        <v>161</v>
      </c>
    </row>
    <row r="565" spans="9:17" x14ac:dyDescent="0.45">
      <c r="I565" t="s">
        <v>183</v>
      </c>
      <c r="J565" t="s">
        <v>252</v>
      </c>
      <c r="K565">
        <v>7.261472672080227E-2</v>
      </c>
      <c r="L565" t="s">
        <v>161</v>
      </c>
      <c r="N565" t="s">
        <v>206</v>
      </c>
      <c r="O565" t="s">
        <v>252</v>
      </c>
      <c r="P565">
        <v>4.0687958611055994E-2</v>
      </c>
      <c r="Q565" t="s">
        <v>161</v>
      </c>
    </row>
    <row r="566" spans="9:17" x14ac:dyDescent="0.45">
      <c r="I566" t="s">
        <v>183</v>
      </c>
      <c r="J566" t="s">
        <v>253</v>
      </c>
      <c r="K566">
        <v>7.9034295330354856E-3</v>
      </c>
      <c r="L566" t="s">
        <v>161</v>
      </c>
      <c r="N566" t="s">
        <v>206</v>
      </c>
      <c r="O566" t="s">
        <v>253</v>
      </c>
      <c r="P566">
        <v>5.4867122367620088E-3</v>
      </c>
      <c r="Q566" t="s">
        <v>161</v>
      </c>
    </row>
    <row r="567" spans="9:17" x14ac:dyDescent="0.45">
      <c r="I567" t="s">
        <v>183</v>
      </c>
      <c r="J567" t="s">
        <v>254</v>
      </c>
      <c r="K567">
        <v>4.3634341570936057E-3</v>
      </c>
      <c r="L567" t="s">
        <v>161</v>
      </c>
      <c r="N567" t="s">
        <v>206</v>
      </c>
      <c r="O567" t="s">
        <v>254</v>
      </c>
      <c r="P567">
        <v>5.7531835708145339E-3</v>
      </c>
      <c r="Q567" t="s">
        <v>161</v>
      </c>
    </row>
    <row r="568" spans="9:17" x14ac:dyDescent="0.45">
      <c r="I568" t="s">
        <v>183</v>
      </c>
      <c r="J568" t="s">
        <v>270</v>
      </c>
      <c r="K568">
        <v>1.0571793168776948E-3</v>
      </c>
      <c r="L568" t="s">
        <v>161</v>
      </c>
      <c r="N568" t="s">
        <v>206</v>
      </c>
      <c r="O568" t="s">
        <v>270</v>
      </c>
      <c r="P568">
        <v>3.9671728725207439E-2</v>
      </c>
      <c r="Q568" t="s">
        <v>161</v>
      </c>
    </row>
    <row r="569" spans="9:17" x14ac:dyDescent="0.45">
      <c r="I569" t="s">
        <v>183</v>
      </c>
      <c r="J569" t="s">
        <v>255</v>
      </c>
      <c r="K569">
        <v>0</v>
      </c>
      <c r="L569" t="s">
        <v>161</v>
      </c>
      <c r="N569" t="s">
        <v>206</v>
      </c>
      <c r="O569" t="s">
        <v>255</v>
      </c>
      <c r="P569">
        <v>5.9110770672366884E-2</v>
      </c>
      <c r="Q569" t="s">
        <v>161</v>
      </c>
    </row>
    <row r="570" spans="9:17" x14ac:dyDescent="0.45">
      <c r="I570" t="s">
        <v>183</v>
      </c>
      <c r="J570" t="s">
        <v>256</v>
      </c>
      <c r="K570">
        <v>7.3841552474211751E-5</v>
      </c>
      <c r="L570" t="s">
        <v>161</v>
      </c>
      <c r="N570" t="s">
        <v>206</v>
      </c>
      <c r="O570" t="s">
        <v>256</v>
      </c>
      <c r="P570">
        <v>8.0663517782576296E-3</v>
      </c>
      <c r="Q570" t="s">
        <v>161</v>
      </c>
    </row>
    <row r="571" spans="9:17" x14ac:dyDescent="0.45">
      <c r="I571" t="s">
        <v>183</v>
      </c>
      <c r="J571" t="s">
        <v>257</v>
      </c>
      <c r="K571">
        <v>2.9037817938713961E-2</v>
      </c>
      <c r="L571" t="s">
        <v>161</v>
      </c>
      <c r="N571" t="s">
        <v>206</v>
      </c>
      <c r="O571" t="s">
        <v>257</v>
      </c>
      <c r="P571">
        <v>4.9815834743270587E-2</v>
      </c>
      <c r="Q571" t="s">
        <v>161</v>
      </c>
    </row>
    <row r="572" spans="9:17" x14ac:dyDescent="0.45">
      <c r="I572" t="s">
        <v>183</v>
      </c>
      <c r="J572" t="s">
        <v>258</v>
      </c>
      <c r="K572">
        <v>1.9124726863090475E-3</v>
      </c>
      <c r="L572" t="s">
        <v>161</v>
      </c>
      <c r="N572" t="s">
        <v>206</v>
      </c>
      <c r="O572" t="s">
        <v>258</v>
      </c>
      <c r="P572">
        <v>6.6972864078894499E-3</v>
      </c>
      <c r="Q572" t="s">
        <v>161</v>
      </c>
    </row>
    <row r="573" spans="9:17" x14ac:dyDescent="0.45">
      <c r="I573" t="s">
        <v>183</v>
      </c>
      <c r="J573" t="s">
        <v>259</v>
      </c>
      <c r="K573">
        <v>0</v>
      </c>
      <c r="L573" t="s">
        <v>161</v>
      </c>
      <c r="N573" t="s">
        <v>206</v>
      </c>
      <c r="O573" t="s">
        <v>259</v>
      </c>
      <c r="P573">
        <v>6.8557027097934731E-3</v>
      </c>
      <c r="Q573" t="s">
        <v>161</v>
      </c>
    </row>
    <row r="574" spans="9:17" x14ac:dyDescent="0.45">
      <c r="I574" t="s">
        <v>183</v>
      </c>
      <c r="J574" t="s">
        <v>271</v>
      </c>
      <c r="K574">
        <v>0</v>
      </c>
      <c r="L574" t="s">
        <v>161</v>
      </c>
      <c r="N574" t="s">
        <v>206</v>
      </c>
      <c r="O574" t="s">
        <v>271</v>
      </c>
      <c r="P574">
        <v>4.3173911700046808E-2</v>
      </c>
      <c r="Q574" t="s">
        <v>161</v>
      </c>
    </row>
    <row r="575" spans="9:17" x14ac:dyDescent="0.45">
      <c r="I575" t="s">
        <v>183</v>
      </c>
      <c r="J575" t="s">
        <v>272</v>
      </c>
      <c r="K575">
        <v>0</v>
      </c>
      <c r="L575" t="s">
        <v>161</v>
      </c>
      <c r="N575" t="s">
        <v>206</v>
      </c>
      <c r="O575" t="s">
        <v>272</v>
      </c>
      <c r="P575">
        <v>1.5841230828547544E-2</v>
      </c>
      <c r="Q575" t="s">
        <v>161</v>
      </c>
    </row>
    <row r="576" spans="9:17" x14ac:dyDescent="0.45">
      <c r="I576" t="s">
        <v>183</v>
      </c>
      <c r="J576" t="s">
        <v>273</v>
      </c>
      <c r="K576">
        <v>0</v>
      </c>
      <c r="L576" t="s">
        <v>161</v>
      </c>
      <c r="N576" t="s">
        <v>206</v>
      </c>
      <c r="O576" t="s">
        <v>273</v>
      </c>
      <c r="P576">
        <v>1.8474561642247229E-3</v>
      </c>
      <c r="Q576" t="s">
        <v>161</v>
      </c>
    </row>
    <row r="577" spans="9:17" x14ac:dyDescent="0.45">
      <c r="I577" t="s">
        <v>183</v>
      </c>
      <c r="J577" t="s">
        <v>274</v>
      </c>
      <c r="K577">
        <v>5.9111995241871119E-3</v>
      </c>
      <c r="L577" t="s">
        <v>161</v>
      </c>
      <c r="N577" t="s">
        <v>206</v>
      </c>
      <c r="O577" t="s">
        <v>274</v>
      </c>
      <c r="P577">
        <v>8.9628995671983454E-3</v>
      </c>
      <c r="Q577" t="s">
        <v>161</v>
      </c>
    </row>
    <row r="578" spans="9:17" x14ac:dyDescent="0.45">
      <c r="I578" t="s">
        <v>183</v>
      </c>
      <c r="J578" t="s">
        <v>275</v>
      </c>
      <c r="K578">
        <v>3.6691012422046879E-4</v>
      </c>
      <c r="L578" t="s">
        <v>161</v>
      </c>
      <c r="N578" t="s">
        <v>206</v>
      </c>
      <c r="O578" t="s">
        <v>275</v>
      </c>
      <c r="P578">
        <v>1.3088550233612557E-3</v>
      </c>
      <c r="Q578" t="s">
        <v>161</v>
      </c>
    </row>
    <row r="579" spans="9:17" x14ac:dyDescent="0.45">
      <c r="I579" t="s">
        <v>183</v>
      </c>
      <c r="J579" t="s">
        <v>276</v>
      </c>
      <c r="K579">
        <v>0</v>
      </c>
      <c r="L579" t="s">
        <v>161</v>
      </c>
      <c r="N579" t="s">
        <v>206</v>
      </c>
      <c r="O579" t="s">
        <v>276</v>
      </c>
      <c r="P579">
        <v>1.5453673523417434E-3</v>
      </c>
      <c r="Q579" t="s">
        <v>161</v>
      </c>
    </row>
    <row r="580" spans="9:17" x14ac:dyDescent="0.45">
      <c r="I580" t="s">
        <v>183</v>
      </c>
      <c r="J580" t="s">
        <v>277</v>
      </c>
      <c r="K580">
        <v>0</v>
      </c>
      <c r="L580" t="s">
        <v>161</v>
      </c>
      <c r="N580" t="s">
        <v>206</v>
      </c>
      <c r="O580" t="s">
        <v>277</v>
      </c>
      <c r="P580">
        <v>1.1080849049787915E-2</v>
      </c>
      <c r="Q580" t="s">
        <v>161</v>
      </c>
    </row>
    <row r="581" spans="9:17" x14ac:dyDescent="0.45">
      <c r="I581" t="s">
        <v>183</v>
      </c>
      <c r="J581" t="s">
        <v>278</v>
      </c>
      <c r="K581">
        <v>0</v>
      </c>
      <c r="L581" t="s">
        <v>161</v>
      </c>
      <c r="N581" t="s">
        <v>206</v>
      </c>
      <c r="O581" t="s">
        <v>278</v>
      </c>
      <c r="P581">
        <v>6.1278427145331224E-3</v>
      </c>
      <c r="Q581" t="s">
        <v>161</v>
      </c>
    </row>
    <row r="582" spans="9:17" x14ac:dyDescent="0.45">
      <c r="I582" t="s">
        <v>183</v>
      </c>
      <c r="J582" t="s">
        <v>279</v>
      </c>
      <c r="K582">
        <v>0</v>
      </c>
      <c r="L582" t="s">
        <v>161</v>
      </c>
      <c r="N582" t="s">
        <v>206</v>
      </c>
      <c r="O582" t="s">
        <v>279</v>
      </c>
      <c r="P582">
        <v>6.132043853959311E-4</v>
      </c>
      <c r="Q582" t="s">
        <v>161</v>
      </c>
    </row>
    <row r="583" spans="9:17" x14ac:dyDescent="0.45">
      <c r="I583" t="s">
        <v>183</v>
      </c>
      <c r="J583" t="s">
        <v>280</v>
      </c>
      <c r="K583">
        <v>4.3123012190556809E-3</v>
      </c>
      <c r="L583" t="s">
        <v>161</v>
      </c>
      <c r="N583" t="s">
        <v>206</v>
      </c>
      <c r="O583" t="s">
        <v>280</v>
      </c>
      <c r="P583">
        <v>3.2657051871271179E-3</v>
      </c>
      <c r="Q583" t="s">
        <v>161</v>
      </c>
    </row>
    <row r="584" spans="9:17" x14ac:dyDescent="0.45">
      <c r="I584" t="s">
        <v>183</v>
      </c>
      <c r="J584" t="s">
        <v>281</v>
      </c>
      <c r="K584">
        <v>4.1705320761914228E-4</v>
      </c>
      <c r="L584" t="s">
        <v>161</v>
      </c>
      <c r="N584" t="s">
        <v>206</v>
      </c>
      <c r="O584" t="s">
        <v>281</v>
      </c>
      <c r="P584">
        <v>3.9339947003964664E-4</v>
      </c>
      <c r="Q584" t="s">
        <v>161</v>
      </c>
    </row>
    <row r="585" spans="9:17" x14ac:dyDescent="0.45">
      <c r="I585" t="s">
        <v>183</v>
      </c>
      <c r="J585" t="s">
        <v>282</v>
      </c>
      <c r="K585">
        <v>0</v>
      </c>
      <c r="L585" t="s">
        <v>161</v>
      </c>
      <c r="N585" t="s">
        <v>206</v>
      </c>
      <c r="O585" t="s">
        <v>282</v>
      </c>
      <c r="P585">
        <v>4.6886778445922499E-4</v>
      </c>
      <c r="Q585" t="s">
        <v>161</v>
      </c>
    </row>
    <row r="586" spans="9:17" x14ac:dyDescent="0.45">
      <c r="I586" t="s">
        <v>183</v>
      </c>
      <c r="J586" t="s">
        <v>283</v>
      </c>
      <c r="K586">
        <v>0</v>
      </c>
      <c r="L586" t="s">
        <v>161</v>
      </c>
      <c r="N586" t="s">
        <v>206</v>
      </c>
      <c r="O586" t="s">
        <v>283</v>
      </c>
      <c r="P586">
        <v>3.499861894703912E-3</v>
      </c>
      <c r="Q586" t="s">
        <v>161</v>
      </c>
    </row>
    <row r="587" spans="9:17" x14ac:dyDescent="0.45">
      <c r="I587" t="s">
        <v>184</v>
      </c>
      <c r="J587" t="s">
        <v>160</v>
      </c>
      <c r="K587">
        <v>1.3079746366149348E-3</v>
      </c>
      <c r="L587" t="s">
        <v>161</v>
      </c>
      <c r="N587" t="s">
        <v>207</v>
      </c>
      <c r="O587" t="s">
        <v>160</v>
      </c>
      <c r="P587">
        <v>8.3639557771009537E-2</v>
      </c>
      <c r="Q587" t="s">
        <v>161</v>
      </c>
    </row>
    <row r="588" spans="9:17" x14ac:dyDescent="0.45">
      <c r="I588" t="s">
        <v>184</v>
      </c>
      <c r="J588" t="s">
        <v>162</v>
      </c>
      <c r="K588">
        <v>4.5631496072004868E-3</v>
      </c>
      <c r="L588" t="s">
        <v>161</v>
      </c>
      <c r="N588" t="s">
        <v>207</v>
      </c>
      <c r="O588" t="s">
        <v>162</v>
      </c>
      <c r="P588">
        <v>1.0212286155676821E-2</v>
      </c>
      <c r="Q588" t="s">
        <v>161</v>
      </c>
    </row>
    <row r="589" spans="9:17" x14ac:dyDescent="0.45">
      <c r="I589" t="s">
        <v>184</v>
      </c>
      <c r="J589" t="s">
        <v>163</v>
      </c>
      <c r="K589">
        <v>8.7781399370309571E-2</v>
      </c>
      <c r="L589" t="s">
        <v>161</v>
      </c>
      <c r="N589" t="s">
        <v>207</v>
      </c>
      <c r="O589" t="s">
        <v>163</v>
      </c>
      <c r="P589">
        <v>5.988284963198566E-2</v>
      </c>
      <c r="Q589" t="s">
        <v>161</v>
      </c>
    </row>
    <row r="590" spans="9:17" x14ac:dyDescent="0.45">
      <c r="I590" t="s">
        <v>184</v>
      </c>
      <c r="J590" t="s">
        <v>242</v>
      </c>
      <c r="K590">
        <v>7.0226164058922761E-3</v>
      </c>
      <c r="L590" t="s">
        <v>161</v>
      </c>
      <c r="N590" t="s">
        <v>207</v>
      </c>
      <c r="O590" t="s">
        <v>242</v>
      </c>
      <c r="P590">
        <v>8.6921653351943861E-3</v>
      </c>
      <c r="Q590" t="s">
        <v>161</v>
      </c>
    </row>
    <row r="591" spans="9:17" x14ac:dyDescent="0.45">
      <c r="I591" t="s">
        <v>184</v>
      </c>
      <c r="J591" t="s">
        <v>243</v>
      </c>
      <c r="K591">
        <v>2.5179529246956251E-3</v>
      </c>
      <c r="L591" t="s">
        <v>161</v>
      </c>
      <c r="N591" t="s">
        <v>207</v>
      </c>
      <c r="O591" t="s">
        <v>243</v>
      </c>
      <c r="P591">
        <v>9.058912270057163E-3</v>
      </c>
      <c r="Q591" t="s">
        <v>161</v>
      </c>
    </row>
    <row r="592" spans="9:17" x14ac:dyDescent="0.45">
      <c r="I592" t="s">
        <v>184</v>
      </c>
      <c r="J592" t="s">
        <v>266</v>
      </c>
      <c r="K592">
        <v>0</v>
      </c>
      <c r="L592" t="s">
        <v>161</v>
      </c>
      <c r="N592" t="s">
        <v>207</v>
      </c>
      <c r="O592" t="s">
        <v>266</v>
      </c>
      <c r="P592">
        <v>6.3009579029656163E-2</v>
      </c>
      <c r="Q592" t="s">
        <v>161</v>
      </c>
    </row>
    <row r="593" spans="9:17" x14ac:dyDescent="0.45">
      <c r="I593" t="s">
        <v>184</v>
      </c>
      <c r="J593" t="s">
        <v>164</v>
      </c>
      <c r="K593">
        <v>1.2032614038290835E-2</v>
      </c>
      <c r="L593" t="s">
        <v>161</v>
      </c>
      <c r="N593" t="s">
        <v>207</v>
      </c>
      <c r="O593" t="s">
        <v>164</v>
      </c>
      <c r="P593">
        <v>4.7582156291603506E-2</v>
      </c>
      <c r="Q593" t="s">
        <v>161</v>
      </c>
    </row>
    <row r="594" spans="9:17" x14ac:dyDescent="0.45">
      <c r="I594" t="s">
        <v>184</v>
      </c>
      <c r="J594" t="s">
        <v>165</v>
      </c>
      <c r="K594">
        <v>1.1420266675798018E-2</v>
      </c>
      <c r="L594" t="s">
        <v>161</v>
      </c>
      <c r="N594" t="s">
        <v>207</v>
      </c>
      <c r="O594" t="s">
        <v>165</v>
      </c>
      <c r="P594">
        <v>5.9357036115009502E-3</v>
      </c>
      <c r="Q594" t="s">
        <v>161</v>
      </c>
    </row>
    <row r="595" spans="9:17" x14ac:dyDescent="0.45">
      <c r="I595" t="s">
        <v>184</v>
      </c>
      <c r="J595" t="s">
        <v>166</v>
      </c>
      <c r="K595">
        <v>9.5970913136706207E-2</v>
      </c>
      <c r="L595" t="s">
        <v>161</v>
      </c>
      <c r="N595" t="s">
        <v>207</v>
      </c>
      <c r="O595" t="s">
        <v>166</v>
      </c>
      <c r="P595">
        <v>3.1437780085157678E-2</v>
      </c>
      <c r="Q595" t="s">
        <v>161</v>
      </c>
    </row>
    <row r="596" spans="9:17" x14ac:dyDescent="0.45">
      <c r="I596" t="s">
        <v>184</v>
      </c>
      <c r="J596" t="s">
        <v>244</v>
      </c>
      <c r="K596">
        <v>1.0525380720539858E-2</v>
      </c>
      <c r="L596" t="s">
        <v>161</v>
      </c>
      <c r="N596" t="s">
        <v>207</v>
      </c>
      <c r="O596" t="s">
        <v>244</v>
      </c>
      <c r="P596">
        <v>4.1221216788611447E-3</v>
      </c>
      <c r="Q596" t="s">
        <v>161</v>
      </c>
    </row>
    <row r="597" spans="9:17" x14ac:dyDescent="0.45">
      <c r="I597" t="s">
        <v>184</v>
      </c>
      <c r="J597" t="s">
        <v>245</v>
      </c>
      <c r="K597">
        <v>8.0290420035919741E-3</v>
      </c>
      <c r="L597" t="s">
        <v>161</v>
      </c>
      <c r="N597" t="s">
        <v>207</v>
      </c>
      <c r="O597" t="s">
        <v>245</v>
      </c>
      <c r="P597">
        <v>4.3145902739186127E-3</v>
      </c>
      <c r="Q597" t="s">
        <v>161</v>
      </c>
    </row>
    <row r="598" spans="9:17" x14ac:dyDescent="0.45">
      <c r="I598" t="s">
        <v>184</v>
      </c>
      <c r="J598" t="s">
        <v>267</v>
      </c>
      <c r="K598">
        <v>4.5331617446918776E-3</v>
      </c>
      <c r="L598" t="s">
        <v>161</v>
      </c>
      <c r="N598" t="s">
        <v>207</v>
      </c>
      <c r="O598" t="s">
        <v>267</v>
      </c>
      <c r="P598">
        <v>3.3579648807267548E-2</v>
      </c>
      <c r="Q598" t="s">
        <v>161</v>
      </c>
    </row>
    <row r="599" spans="9:17" x14ac:dyDescent="0.45">
      <c r="I599" t="s">
        <v>184</v>
      </c>
      <c r="J599" t="s">
        <v>167</v>
      </c>
      <c r="K599">
        <v>4.9706560826251509E-2</v>
      </c>
      <c r="L599" t="s">
        <v>161</v>
      </c>
      <c r="N599" t="s">
        <v>207</v>
      </c>
      <c r="O599" t="s">
        <v>167</v>
      </c>
      <c r="P599">
        <v>7.5678166635623212E-2</v>
      </c>
      <c r="Q599" t="s">
        <v>161</v>
      </c>
    </row>
    <row r="600" spans="9:17" x14ac:dyDescent="0.45">
      <c r="I600" t="s">
        <v>184</v>
      </c>
      <c r="J600" t="s">
        <v>168</v>
      </c>
      <c r="K600">
        <v>2.8626514275549644E-2</v>
      </c>
      <c r="L600" t="s">
        <v>161</v>
      </c>
      <c r="N600" t="s">
        <v>207</v>
      </c>
      <c r="O600" t="s">
        <v>168</v>
      </c>
      <c r="P600">
        <v>5.9208743272068627E-3</v>
      </c>
      <c r="Q600" t="s">
        <v>161</v>
      </c>
    </row>
    <row r="601" spans="9:17" x14ac:dyDescent="0.45">
      <c r="I601" t="s">
        <v>184</v>
      </c>
      <c r="J601" t="s">
        <v>169</v>
      </c>
      <c r="K601">
        <v>0.26619960238745327</v>
      </c>
      <c r="L601" t="s">
        <v>161</v>
      </c>
      <c r="N601" t="s">
        <v>207</v>
      </c>
      <c r="O601" t="s">
        <v>169</v>
      </c>
      <c r="P601">
        <v>4.2528178404120993E-2</v>
      </c>
      <c r="Q601" t="s">
        <v>161</v>
      </c>
    </row>
    <row r="602" spans="9:17" x14ac:dyDescent="0.45">
      <c r="I602" t="s">
        <v>184</v>
      </c>
      <c r="J602" t="s">
        <v>246</v>
      </c>
      <c r="K602">
        <v>3.1919815410266644E-2</v>
      </c>
      <c r="L602" t="s">
        <v>161</v>
      </c>
      <c r="N602" t="s">
        <v>207</v>
      </c>
      <c r="O602" t="s">
        <v>246</v>
      </c>
      <c r="P602">
        <v>7.884117707644852E-3</v>
      </c>
      <c r="Q602" t="s">
        <v>161</v>
      </c>
    </row>
    <row r="603" spans="9:17" x14ac:dyDescent="0.45">
      <c r="I603" t="s">
        <v>184</v>
      </c>
      <c r="J603" t="s">
        <v>247</v>
      </c>
      <c r="K603">
        <v>2.612554247037014E-2</v>
      </c>
      <c r="L603" t="s">
        <v>161</v>
      </c>
      <c r="N603" t="s">
        <v>207</v>
      </c>
      <c r="O603" t="s">
        <v>247</v>
      </c>
      <c r="P603">
        <v>8.3940598916990346E-3</v>
      </c>
      <c r="Q603" t="s">
        <v>161</v>
      </c>
    </row>
    <row r="604" spans="9:17" x14ac:dyDescent="0.45">
      <c r="I604" t="s">
        <v>184</v>
      </c>
      <c r="J604" t="s">
        <v>268</v>
      </c>
      <c r="K604">
        <v>3.2421171551459398E-2</v>
      </c>
      <c r="L604" t="s">
        <v>161</v>
      </c>
      <c r="N604" t="s">
        <v>207</v>
      </c>
      <c r="O604" t="s">
        <v>268</v>
      </c>
      <c r="P604">
        <v>6.4163393194609383E-2</v>
      </c>
      <c r="Q604" t="s">
        <v>161</v>
      </c>
    </row>
    <row r="605" spans="9:17" x14ac:dyDescent="0.45">
      <c r="I605" t="s">
        <v>184</v>
      </c>
      <c r="J605" t="s">
        <v>170</v>
      </c>
      <c r="K605">
        <v>1.6817390207082235E-2</v>
      </c>
      <c r="L605" t="s">
        <v>161</v>
      </c>
      <c r="N605" t="s">
        <v>207</v>
      </c>
      <c r="O605" t="s">
        <v>170</v>
      </c>
      <c r="P605">
        <v>3.6051519909489224E-2</v>
      </c>
      <c r="Q605" t="s">
        <v>161</v>
      </c>
    </row>
    <row r="606" spans="9:17" x14ac:dyDescent="0.45">
      <c r="I606" t="s">
        <v>184</v>
      </c>
      <c r="J606" t="s">
        <v>171</v>
      </c>
      <c r="K606">
        <v>1.3086263376984044E-2</v>
      </c>
      <c r="L606" t="s">
        <v>161</v>
      </c>
      <c r="N606" t="s">
        <v>207</v>
      </c>
      <c r="O606" t="s">
        <v>171</v>
      </c>
      <c r="P606">
        <v>2.9294566467651531E-3</v>
      </c>
      <c r="Q606" t="s">
        <v>161</v>
      </c>
    </row>
    <row r="607" spans="9:17" x14ac:dyDescent="0.45">
      <c r="I607" t="s">
        <v>184</v>
      </c>
      <c r="J607" t="s">
        <v>172</v>
      </c>
      <c r="K607">
        <v>0.11790717573321795</v>
      </c>
      <c r="L607" t="s">
        <v>161</v>
      </c>
      <c r="N607" t="s">
        <v>207</v>
      </c>
      <c r="O607" t="s">
        <v>172</v>
      </c>
      <c r="P607">
        <v>2.0842934833452825E-2</v>
      </c>
      <c r="Q607" t="s">
        <v>161</v>
      </c>
    </row>
    <row r="608" spans="9:17" x14ac:dyDescent="0.45">
      <c r="I608" t="s">
        <v>184</v>
      </c>
      <c r="J608" t="s">
        <v>248</v>
      </c>
      <c r="K608">
        <v>1.4216106809269286E-2</v>
      </c>
      <c r="L608" t="s">
        <v>161</v>
      </c>
      <c r="N608" t="s">
        <v>207</v>
      </c>
      <c r="O608" t="s">
        <v>248</v>
      </c>
      <c r="P608">
        <v>3.0327601472810465E-3</v>
      </c>
      <c r="Q608" t="s">
        <v>161</v>
      </c>
    </row>
    <row r="609" spans="9:17" x14ac:dyDescent="0.45">
      <c r="I609" t="s">
        <v>184</v>
      </c>
      <c r="J609" t="s">
        <v>249</v>
      </c>
      <c r="K609">
        <v>1.1173163337314555E-2</v>
      </c>
      <c r="L609" t="s">
        <v>161</v>
      </c>
      <c r="N609" t="s">
        <v>207</v>
      </c>
      <c r="O609" t="s">
        <v>249</v>
      </c>
      <c r="P609">
        <v>3.1250037788007816E-3</v>
      </c>
      <c r="Q609" t="s">
        <v>161</v>
      </c>
    </row>
    <row r="610" spans="9:17" x14ac:dyDescent="0.45">
      <c r="I610" t="s">
        <v>184</v>
      </c>
      <c r="J610" t="s">
        <v>269</v>
      </c>
      <c r="K610">
        <v>9.1977789969390489E-3</v>
      </c>
      <c r="L610" t="s">
        <v>161</v>
      </c>
      <c r="N610" t="s">
        <v>207</v>
      </c>
      <c r="O610" t="s">
        <v>269</v>
      </c>
      <c r="P610">
        <v>2.4406447665261875E-2</v>
      </c>
      <c r="Q610" t="s">
        <v>161</v>
      </c>
    </row>
    <row r="611" spans="9:17" x14ac:dyDescent="0.45">
      <c r="I611" t="s">
        <v>184</v>
      </c>
      <c r="J611" t="s">
        <v>250</v>
      </c>
      <c r="K611">
        <v>4.226004077384991E-3</v>
      </c>
      <c r="L611" t="s">
        <v>161</v>
      </c>
      <c r="N611" t="s">
        <v>207</v>
      </c>
      <c r="O611" t="s">
        <v>250</v>
      </c>
      <c r="P611">
        <v>4.6655895124488721E-2</v>
      </c>
      <c r="Q611" t="s">
        <v>161</v>
      </c>
    </row>
    <row r="612" spans="9:17" x14ac:dyDescent="0.45">
      <c r="I612" t="s">
        <v>184</v>
      </c>
      <c r="J612" t="s">
        <v>251</v>
      </c>
      <c r="K612">
        <v>7.4484324227632884E-3</v>
      </c>
      <c r="L612" t="s">
        <v>161</v>
      </c>
      <c r="N612" t="s">
        <v>207</v>
      </c>
      <c r="O612" t="s">
        <v>251</v>
      </c>
      <c r="P612">
        <v>5.9572142408353254E-3</v>
      </c>
      <c r="Q612" t="s">
        <v>161</v>
      </c>
    </row>
    <row r="613" spans="9:17" x14ac:dyDescent="0.45">
      <c r="I613" t="s">
        <v>184</v>
      </c>
      <c r="J613" t="s">
        <v>252</v>
      </c>
      <c r="K613">
        <v>7.4644403140791946E-2</v>
      </c>
      <c r="L613" t="s">
        <v>161</v>
      </c>
      <c r="N613" t="s">
        <v>207</v>
      </c>
      <c r="O613" t="s">
        <v>252</v>
      </c>
      <c r="P613">
        <v>3.1037038560195369E-2</v>
      </c>
      <c r="Q613" t="s">
        <v>161</v>
      </c>
    </row>
    <row r="614" spans="9:17" x14ac:dyDescent="0.45">
      <c r="I614" t="s">
        <v>184</v>
      </c>
      <c r="J614" t="s">
        <v>253</v>
      </c>
      <c r="K614">
        <v>6.755636434088024E-3</v>
      </c>
      <c r="L614" t="s">
        <v>161</v>
      </c>
      <c r="N614" t="s">
        <v>207</v>
      </c>
      <c r="O614" t="s">
        <v>253</v>
      </c>
      <c r="P614">
        <v>4.7203850831757359E-3</v>
      </c>
      <c r="Q614" t="s">
        <v>161</v>
      </c>
    </row>
    <row r="615" spans="9:17" x14ac:dyDescent="0.45">
      <c r="I615" t="s">
        <v>184</v>
      </c>
      <c r="J615" t="s">
        <v>254</v>
      </c>
      <c r="K615">
        <v>2.7849132028089814E-3</v>
      </c>
      <c r="L615" t="s">
        <v>161</v>
      </c>
      <c r="N615" t="s">
        <v>207</v>
      </c>
      <c r="O615" t="s">
        <v>254</v>
      </c>
      <c r="P615">
        <v>5.0213297783190244E-3</v>
      </c>
      <c r="Q615" t="s">
        <v>161</v>
      </c>
    </row>
    <row r="616" spans="9:17" x14ac:dyDescent="0.45">
      <c r="I616" t="s">
        <v>184</v>
      </c>
      <c r="J616" t="s">
        <v>270</v>
      </c>
      <c r="K616">
        <v>2.5762930593478342E-6</v>
      </c>
      <c r="L616" t="s">
        <v>161</v>
      </c>
      <c r="N616" t="s">
        <v>207</v>
      </c>
      <c r="O616" t="s">
        <v>270</v>
      </c>
      <c r="P616">
        <v>3.7564928963270176E-2</v>
      </c>
      <c r="Q616" t="s">
        <v>161</v>
      </c>
    </row>
    <row r="617" spans="9:17" x14ac:dyDescent="0.45">
      <c r="I617" t="s">
        <v>184</v>
      </c>
      <c r="J617" t="s">
        <v>255</v>
      </c>
      <c r="K617">
        <v>0</v>
      </c>
      <c r="L617" t="s">
        <v>161</v>
      </c>
      <c r="N617" t="s">
        <v>207</v>
      </c>
      <c r="O617" t="s">
        <v>255</v>
      </c>
      <c r="P617">
        <v>6.2163372854665049E-2</v>
      </c>
      <c r="Q617" t="s">
        <v>161</v>
      </c>
    </row>
    <row r="618" spans="9:17" x14ac:dyDescent="0.45">
      <c r="I618" t="s">
        <v>184</v>
      </c>
      <c r="J618" t="s">
        <v>256</v>
      </c>
      <c r="K618">
        <v>1.6858081573298605E-3</v>
      </c>
      <c r="L618" t="s">
        <v>161</v>
      </c>
      <c r="N618" t="s">
        <v>207</v>
      </c>
      <c r="O618" t="s">
        <v>256</v>
      </c>
      <c r="P618">
        <v>7.2368171043741573E-3</v>
      </c>
      <c r="Q618" t="s">
        <v>161</v>
      </c>
    </row>
    <row r="619" spans="9:17" x14ac:dyDescent="0.45">
      <c r="I619" t="s">
        <v>184</v>
      </c>
      <c r="J619" t="s">
        <v>257</v>
      </c>
      <c r="K619">
        <v>3.1984641760281644E-2</v>
      </c>
      <c r="L619" t="s">
        <v>161</v>
      </c>
      <c r="N619" t="s">
        <v>207</v>
      </c>
      <c r="O619" t="s">
        <v>257</v>
      </c>
      <c r="P619">
        <v>3.9387423115021969E-2</v>
      </c>
      <c r="Q619" t="s">
        <v>161</v>
      </c>
    </row>
    <row r="620" spans="9:17" x14ac:dyDescent="0.45">
      <c r="I620" t="s">
        <v>184</v>
      </c>
      <c r="J620" t="s">
        <v>258</v>
      </c>
      <c r="K620">
        <v>2.7806355170446396E-4</v>
      </c>
      <c r="L620" t="s">
        <v>161</v>
      </c>
      <c r="N620" t="s">
        <v>207</v>
      </c>
      <c r="O620" t="s">
        <v>258</v>
      </c>
      <c r="P620">
        <v>5.4520446522543812E-3</v>
      </c>
      <c r="Q620" t="s">
        <v>161</v>
      </c>
    </row>
    <row r="621" spans="9:17" x14ac:dyDescent="0.45">
      <c r="I621" t="s">
        <v>184</v>
      </c>
      <c r="J621" t="s">
        <v>259</v>
      </c>
      <c r="K621">
        <v>0</v>
      </c>
      <c r="L621" t="s">
        <v>161</v>
      </c>
      <c r="N621" t="s">
        <v>207</v>
      </c>
      <c r="O621" t="s">
        <v>259</v>
      </c>
      <c r="P621">
        <v>6.0759530531410248E-3</v>
      </c>
      <c r="Q621" t="s">
        <v>161</v>
      </c>
    </row>
    <row r="622" spans="9:17" x14ac:dyDescent="0.45">
      <c r="I622" t="s">
        <v>184</v>
      </c>
      <c r="J622" t="s">
        <v>271</v>
      </c>
      <c r="K622">
        <v>0</v>
      </c>
      <c r="L622" t="s">
        <v>161</v>
      </c>
      <c r="N622" t="s">
        <v>207</v>
      </c>
      <c r="O622" t="s">
        <v>271</v>
      </c>
      <c r="P622">
        <v>4.466799159381802E-2</v>
      </c>
      <c r="Q622" t="s">
        <v>161</v>
      </c>
    </row>
    <row r="623" spans="9:17" x14ac:dyDescent="0.45">
      <c r="I623" t="s">
        <v>184</v>
      </c>
      <c r="J623" t="s">
        <v>272</v>
      </c>
      <c r="K623">
        <v>0</v>
      </c>
      <c r="L623" t="s">
        <v>161</v>
      </c>
      <c r="N623" t="s">
        <v>207</v>
      </c>
      <c r="O623" t="s">
        <v>272</v>
      </c>
      <c r="P623">
        <v>1.3366311758032807E-2</v>
      </c>
      <c r="Q623" t="s">
        <v>161</v>
      </c>
    </row>
    <row r="624" spans="9:17" x14ac:dyDescent="0.45">
      <c r="I624" t="s">
        <v>184</v>
      </c>
      <c r="J624" t="s">
        <v>273</v>
      </c>
      <c r="K624">
        <v>0</v>
      </c>
      <c r="L624" t="s">
        <v>161</v>
      </c>
      <c r="N624" t="s">
        <v>207</v>
      </c>
      <c r="O624" t="s">
        <v>273</v>
      </c>
      <c r="P624">
        <v>1.4085504750738673E-3</v>
      </c>
      <c r="Q624" t="s">
        <v>161</v>
      </c>
    </row>
    <row r="625" spans="9:17" x14ac:dyDescent="0.45">
      <c r="I625" t="s">
        <v>184</v>
      </c>
      <c r="J625" t="s">
        <v>274</v>
      </c>
      <c r="K625">
        <v>4.3902998748045728E-3</v>
      </c>
      <c r="L625" t="s">
        <v>161</v>
      </c>
      <c r="N625" t="s">
        <v>207</v>
      </c>
      <c r="O625" t="s">
        <v>274</v>
      </c>
      <c r="P625">
        <v>6.1167752341941507E-3</v>
      </c>
      <c r="Q625" t="s">
        <v>161</v>
      </c>
    </row>
    <row r="626" spans="9:17" x14ac:dyDescent="0.45">
      <c r="I626" t="s">
        <v>184</v>
      </c>
      <c r="J626" t="s">
        <v>275</v>
      </c>
      <c r="K626">
        <v>0</v>
      </c>
      <c r="L626" t="s">
        <v>161</v>
      </c>
      <c r="N626" t="s">
        <v>207</v>
      </c>
      <c r="O626" t="s">
        <v>275</v>
      </c>
      <c r="P626">
        <v>1.260134600823692E-3</v>
      </c>
      <c r="Q626" t="s">
        <v>161</v>
      </c>
    </row>
    <row r="627" spans="9:17" x14ac:dyDescent="0.45">
      <c r="I627" t="s">
        <v>184</v>
      </c>
      <c r="J627" t="s">
        <v>276</v>
      </c>
      <c r="K627">
        <v>0</v>
      </c>
      <c r="L627" t="s">
        <v>161</v>
      </c>
      <c r="N627" t="s">
        <v>207</v>
      </c>
      <c r="O627" t="s">
        <v>276</v>
      </c>
      <c r="P627">
        <v>1.5617237611066463E-3</v>
      </c>
      <c r="Q627" t="s">
        <v>161</v>
      </c>
    </row>
    <row r="628" spans="9:17" x14ac:dyDescent="0.45">
      <c r="I628" t="s">
        <v>184</v>
      </c>
      <c r="J628" t="s">
        <v>277</v>
      </c>
      <c r="K628">
        <v>0</v>
      </c>
      <c r="L628" t="s">
        <v>161</v>
      </c>
      <c r="N628" t="s">
        <v>207</v>
      </c>
      <c r="O628" t="s">
        <v>277</v>
      </c>
      <c r="P628">
        <v>1.1518507578139979E-2</v>
      </c>
      <c r="Q628" t="s">
        <v>161</v>
      </c>
    </row>
    <row r="629" spans="9:17" x14ac:dyDescent="0.45">
      <c r="I629" t="s">
        <v>184</v>
      </c>
      <c r="J629" t="s">
        <v>278</v>
      </c>
      <c r="K629">
        <v>0</v>
      </c>
      <c r="L629" t="s">
        <v>161</v>
      </c>
      <c r="N629" t="s">
        <v>207</v>
      </c>
      <c r="O629" t="s">
        <v>278</v>
      </c>
      <c r="P629">
        <v>6.9324673874105822E-3</v>
      </c>
      <c r="Q629" t="s">
        <v>161</v>
      </c>
    </row>
    <row r="630" spans="9:17" x14ac:dyDescent="0.45">
      <c r="I630" t="s">
        <v>184</v>
      </c>
      <c r="J630" t="s">
        <v>279</v>
      </c>
      <c r="K630">
        <v>0</v>
      </c>
      <c r="L630" t="s">
        <v>161</v>
      </c>
      <c r="N630" t="s">
        <v>207</v>
      </c>
      <c r="O630" t="s">
        <v>279</v>
      </c>
      <c r="P630">
        <v>3.7935144368702402E-4</v>
      </c>
      <c r="Q630" t="s">
        <v>161</v>
      </c>
    </row>
    <row r="631" spans="9:17" x14ac:dyDescent="0.45">
      <c r="I631" t="s">
        <v>184</v>
      </c>
      <c r="J631" t="s">
        <v>280</v>
      </c>
      <c r="K631">
        <v>2.6976644384907392E-3</v>
      </c>
      <c r="L631" t="s">
        <v>161</v>
      </c>
      <c r="N631" t="s">
        <v>207</v>
      </c>
      <c r="O631" t="s">
        <v>280</v>
      </c>
      <c r="P631">
        <v>1.2970659101607007E-3</v>
      </c>
      <c r="Q631" t="s">
        <v>161</v>
      </c>
    </row>
    <row r="632" spans="9:17" x14ac:dyDescent="0.45">
      <c r="I632" t="s">
        <v>184</v>
      </c>
      <c r="J632" t="s">
        <v>281</v>
      </c>
      <c r="K632">
        <v>0</v>
      </c>
      <c r="L632" t="s">
        <v>161</v>
      </c>
      <c r="N632" t="s">
        <v>207</v>
      </c>
      <c r="O632" t="s">
        <v>281</v>
      </c>
      <c r="P632">
        <v>1.7706292111294831E-4</v>
      </c>
      <c r="Q632" t="s">
        <v>161</v>
      </c>
    </row>
    <row r="633" spans="9:17" x14ac:dyDescent="0.45">
      <c r="I633" t="s">
        <v>184</v>
      </c>
      <c r="J633" t="s">
        <v>282</v>
      </c>
      <c r="K633">
        <v>0</v>
      </c>
      <c r="L633" t="s">
        <v>161</v>
      </c>
      <c r="N633" t="s">
        <v>207</v>
      </c>
      <c r="O633" t="s">
        <v>282</v>
      </c>
      <c r="P633">
        <v>2.9010193245592841E-4</v>
      </c>
      <c r="Q633" t="s">
        <v>161</v>
      </c>
    </row>
    <row r="634" spans="9:17" x14ac:dyDescent="0.45">
      <c r="I634" t="s">
        <v>184</v>
      </c>
      <c r="J634" t="s">
        <v>283</v>
      </c>
      <c r="K634">
        <v>0</v>
      </c>
      <c r="L634" t="s">
        <v>161</v>
      </c>
      <c r="N634" t="s">
        <v>207</v>
      </c>
      <c r="O634" t="s">
        <v>283</v>
      </c>
      <c r="P634">
        <v>3.32728879039695E-3</v>
      </c>
      <c r="Q634" t="s">
        <v>161</v>
      </c>
    </row>
    <row r="635" spans="9:17" x14ac:dyDescent="0.45">
      <c r="I635" t="s">
        <v>185</v>
      </c>
      <c r="J635" t="s">
        <v>160</v>
      </c>
      <c r="K635">
        <v>1.9638952640274737E-3</v>
      </c>
      <c r="L635" t="s">
        <v>161</v>
      </c>
      <c r="N635" t="s">
        <v>208</v>
      </c>
      <c r="O635" t="s">
        <v>160</v>
      </c>
      <c r="P635">
        <v>7.753701757989441E-2</v>
      </c>
      <c r="Q635" t="s">
        <v>161</v>
      </c>
    </row>
    <row r="636" spans="9:17" x14ac:dyDescent="0.45">
      <c r="I636" t="s">
        <v>185</v>
      </c>
      <c r="J636" t="s">
        <v>162</v>
      </c>
      <c r="K636">
        <v>5.6506840338397396E-3</v>
      </c>
      <c r="L636" t="s">
        <v>161</v>
      </c>
      <c r="N636" t="s">
        <v>208</v>
      </c>
      <c r="O636" t="s">
        <v>162</v>
      </c>
      <c r="P636">
        <v>9.4074018377211174E-3</v>
      </c>
      <c r="Q636" t="s">
        <v>161</v>
      </c>
    </row>
    <row r="637" spans="9:17" x14ac:dyDescent="0.45">
      <c r="I637" t="s">
        <v>185</v>
      </c>
      <c r="J637" t="s">
        <v>163</v>
      </c>
      <c r="K637">
        <v>9.0113876630026055E-2</v>
      </c>
      <c r="L637" t="s">
        <v>161</v>
      </c>
      <c r="N637" t="s">
        <v>208</v>
      </c>
      <c r="O637" t="s">
        <v>163</v>
      </c>
      <c r="P637">
        <v>6.0543181037821102E-2</v>
      </c>
      <c r="Q637" t="s">
        <v>161</v>
      </c>
    </row>
    <row r="638" spans="9:17" x14ac:dyDescent="0.45">
      <c r="I638" t="s">
        <v>185</v>
      </c>
      <c r="J638" t="s">
        <v>242</v>
      </c>
      <c r="K638">
        <v>7.1017733394748844E-3</v>
      </c>
      <c r="L638" t="s">
        <v>161</v>
      </c>
      <c r="N638" t="s">
        <v>208</v>
      </c>
      <c r="O638" t="s">
        <v>242</v>
      </c>
      <c r="P638">
        <v>9.9757920235543623E-3</v>
      </c>
      <c r="Q638" t="s">
        <v>161</v>
      </c>
    </row>
    <row r="639" spans="9:17" x14ac:dyDescent="0.45">
      <c r="I639" t="s">
        <v>185</v>
      </c>
      <c r="J639" t="s">
        <v>243</v>
      </c>
      <c r="K639">
        <v>2.6634764187993265E-3</v>
      </c>
      <c r="L639" t="s">
        <v>161</v>
      </c>
      <c r="N639" t="s">
        <v>208</v>
      </c>
      <c r="O639" t="s">
        <v>243</v>
      </c>
      <c r="P639">
        <v>1.0185141347789061E-2</v>
      </c>
      <c r="Q639" t="s">
        <v>161</v>
      </c>
    </row>
    <row r="640" spans="9:17" x14ac:dyDescent="0.45">
      <c r="I640" t="s">
        <v>185</v>
      </c>
      <c r="J640" t="s">
        <v>266</v>
      </c>
      <c r="K640">
        <v>0</v>
      </c>
      <c r="L640" t="s">
        <v>161</v>
      </c>
      <c r="N640" t="s">
        <v>208</v>
      </c>
      <c r="O640" t="s">
        <v>266</v>
      </c>
      <c r="P640">
        <v>5.9281292083666406E-2</v>
      </c>
      <c r="Q640" t="s">
        <v>161</v>
      </c>
    </row>
    <row r="641" spans="9:17" x14ac:dyDescent="0.45">
      <c r="I641" t="s">
        <v>185</v>
      </c>
      <c r="J641" t="s">
        <v>164</v>
      </c>
      <c r="K641">
        <v>1.2380060098840412E-2</v>
      </c>
      <c r="L641" t="s">
        <v>161</v>
      </c>
      <c r="N641" t="s">
        <v>208</v>
      </c>
      <c r="O641" t="s">
        <v>164</v>
      </c>
      <c r="P641">
        <v>4.4025625843559783E-2</v>
      </c>
      <c r="Q641" t="s">
        <v>161</v>
      </c>
    </row>
    <row r="642" spans="9:17" x14ac:dyDescent="0.45">
      <c r="I642" t="s">
        <v>185</v>
      </c>
      <c r="J642" t="s">
        <v>165</v>
      </c>
      <c r="K642">
        <v>1.1399528761506482E-2</v>
      </c>
      <c r="L642" t="s">
        <v>161</v>
      </c>
      <c r="N642" t="s">
        <v>208</v>
      </c>
      <c r="O642" t="s">
        <v>165</v>
      </c>
      <c r="P642">
        <v>6.364307609266171E-3</v>
      </c>
      <c r="Q642" t="s">
        <v>161</v>
      </c>
    </row>
    <row r="643" spans="9:17" x14ac:dyDescent="0.45">
      <c r="I643" t="s">
        <v>185</v>
      </c>
      <c r="J643" t="s">
        <v>166</v>
      </c>
      <c r="K643">
        <v>9.4755579264650058E-2</v>
      </c>
      <c r="L643" t="s">
        <v>161</v>
      </c>
      <c r="N643" t="s">
        <v>208</v>
      </c>
      <c r="O643" t="s">
        <v>166</v>
      </c>
      <c r="P643">
        <v>3.93627028715519E-2</v>
      </c>
      <c r="Q643" t="s">
        <v>161</v>
      </c>
    </row>
    <row r="644" spans="9:17" x14ac:dyDescent="0.45">
      <c r="I644" t="s">
        <v>185</v>
      </c>
      <c r="J644" t="s">
        <v>244</v>
      </c>
      <c r="K644">
        <v>9.0995180755264853E-3</v>
      </c>
      <c r="L644" t="s">
        <v>161</v>
      </c>
      <c r="N644" t="s">
        <v>208</v>
      </c>
      <c r="O644" t="s">
        <v>244</v>
      </c>
      <c r="P644">
        <v>4.9210209200798759E-3</v>
      </c>
      <c r="Q644" t="s">
        <v>161</v>
      </c>
    </row>
    <row r="645" spans="9:17" x14ac:dyDescent="0.45">
      <c r="I645" t="s">
        <v>185</v>
      </c>
      <c r="J645" t="s">
        <v>245</v>
      </c>
      <c r="K645">
        <v>6.7649785618326026E-3</v>
      </c>
      <c r="L645" t="s">
        <v>161</v>
      </c>
      <c r="N645" t="s">
        <v>208</v>
      </c>
      <c r="O645" t="s">
        <v>245</v>
      </c>
      <c r="P645">
        <v>4.933254886559834E-3</v>
      </c>
      <c r="Q645" t="s">
        <v>161</v>
      </c>
    </row>
    <row r="646" spans="9:17" x14ac:dyDescent="0.45">
      <c r="I646" t="s">
        <v>185</v>
      </c>
      <c r="J646" t="s">
        <v>267</v>
      </c>
      <c r="K646">
        <v>3.4985560718638373E-3</v>
      </c>
      <c r="L646" t="s">
        <v>161</v>
      </c>
      <c r="N646" t="s">
        <v>208</v>
      </c>
      <c r="O646" t="s">
        <v>267</v>
      </c>
      <c r="P646">
        <v>3.3237643148188736E-2</v>
      </c>
      <c r="Q646" t="s">
        <v>161</v>
      </c>
    </row>
    <row r="647" spans="9:17" x14ac:dyDescent="0.45">
      <c r="I647" t="s">
        <v>185</v>
      </c>
      <c r="J647" t="s">
        <v>167</v>
      </c>
      <c r="K647">
        <v>5.6579544773610435E-2</v>
      </c>
      <c r="L647" t="s">
        <v>161</v>
      </c>
      <c r="N647" t="s">
        <v>208</v>
      </c>
      <c r="O647" t="s">
        <v>167</v>
      </c>
      <c r="P647">
        <v>6.5394400674427505E-2</v>
      </c>
      <c r="Q647" t="s">
        <v>161</v>
      </c>
    </row>
    <row r="648" spans="9:17" x14ac:dyDescent="0.45">
      <c r="I648" t="s">
        <v>185</v>
      </c>
      <c r="J648" t="s">
        <v>168</v>
      </c>
      <c r="K648">
        <v>3.0976571507975489E-2</v>
      </c>
      <c r="L648" t="s">
        <v>161</v>
      </c>
      <c r="N648" t="s">
        <v>208</v>
      </c>
      <c r="O648" t="s">
        <v>168</v>
      </c>
      <c r="P648">
        <v>6.483323189294103E-3</v>
      </c>
      <c r="Q648" t="s">
        <v>161</v>
      </c>
    </row>
    <row r="649" spans="9:17" x14ac:dyDescent="0.45">
      <c r="I649" t="s">
        <v>185</v>
      </c>
      <c r="J649" t="s">
        <v>169</v>
      </c>
      <c r="K649">
        <v>0.26323002960129799</v>
      </c>
      <c r="L649" t="s">
        <v>161</v>
      </c>
      <c r="N649" t="s">
        <v>208</v>
      </c>
      <c r="O649" t="s">
        <v>169</v>
      </c>
      <c r="P649">
        <v>4.9287230774702623E-2</v>
      </c>
      <c r="Q649" t="s">
        <v>161</v>
      </c>
    </row>
    <row r="650" spans="9:17" x14ac:dyDescent="0.45">
      <c r="I650" t="s">
        <v>185</v>
      </c>
      <c r="J650" t="s">
        <v>246</v>
      </c>
      <c r="K650">
        <v>2.9126564993091741E-2</v>
      </c>
      <c r="L650" t="s">
        <v>161</v>
      </c>
      <c r="N650" t="s">
        <v>208</v>
      </c>
      <c r="O650" t="s">
        <v>246</v>
      </c>
      <c r="P650">
        <v>9.0162929640089633E-3</v>
      </c>
      <c r="Q650" t="s">
        <v>161</v>
      </c>
    </row>
    <row r="651" spans="9:17" x14ac:dyDescent="0.45">
      <c r="I651" t="s">
        <v>185</v>
      </c>
      <c r="J651" t="s">
        <v>247</v>
      </c>
      <c r="K651">
        <v>2.4122126486846824E-2</v>
      </c>
      <c r="L651" t="s">
        <v>161</v>
      </c>
      <c r="N651" t="s">
        <v>208</v>
      </c>
      <c r="O651" t="s">
        <v>247</v>
      </c>
      <c r="P651">
        <v>9.2997355449147938E-3</v>
      </c>
      <c r="Q651" t="s">
        <v>161</v>
      </c>
    </row>
    <row r="652" spans="9:17" x14ac:dyDescent="0.45">
      <c r="I652" t="s">
        <v>185</v>
      </c>
      <c r="J652" t="s">
        <v>268</v>
      </c>
      <c r="K652">
        <v>2.9356786215088616E-2</v>
      </c>
      <c r="L652" t="s">
        <v>161</v>
      </c>
      <c r="N652" t="s">
        <v>208</v>
      </c>
      <c r="O652" t="s">
        <v>268</v>
      </c>
      <c r="P652">
        <v>5.9892622618235782E-2</v>
      </c>
      <c r="Q652" t="s">
        <v>161</v>
      </c>
    </row>
    <row r="653" spans="9:17" x14ac:dyDescent="0.45">
      <c r="I653" t="s">
        <v>185</v>
      </c>
      <c r="J653" t="s">
        <v>170</v>
      </c>
      <c r="K653">
        <v>1.9631872601681689E-2</v>
      </c>
      <c r="L653" t="s">
        <v>161</v>
      </c>
      <c r="N653" t="s">
        <v>208</v>
      </c>
      <c r="O653" t="s">
        <v>170</v>
      </c>
      <c r="P653">
        <v>3.3453869397953626E-2</v>
      </c>
      <c r="Q653" t="s">
        <v>161</v>
      </c>
    </row>
    <row r="654" spans="9:17" x14ac:dyDescent="0.45">
      <c r="I654" t="s">
        <v>185</v>
      </c>
      <c r="J654" t="s">
        <v>171</v>
      </c>
      <c r="K654">
        <v>1.4123119123968185E-2</v>
      </c>
      <c r="L654" t="s">
        <v>161</v>
      </c>
      <c r="N654" t="s">
        <v>208</v>
      </c>
      <c r="O654" t="s">
        <v>171</v>
      </c>
      <c r="P654">
        <v>3.2873960607078838E-3</v>
      </c>
      <c r="Q654" t="s">
        <v>161</v>
      </c>
    </row>
    <row r="655" spans="9:17" x14ac:dyDescent="0.45">
      <c r="I655" t="s">
        <v>185</v>
      </c>
      <c r="J655" t="s">
        <v>172</v>
      </c>
      <c r="K655">
        <v>0.11828652456633039</v>
      </c>
      <c r="L655" t="s">
        <v>161</v>
      </c>
      <c r="N655" t="s">
        <v>208</v>
      </c>
      <c r="O655" t="s">
        <v>172</v>
      </c>
      <c r="P655">
        <v>2.4427392641754843E-2</v>
      </c>
      <c r="Q655" t="s">
        <v>161</v>
      </c>
    </row>
    <row r="656" spans="9:17" x14ac:dyDescent="0.45">
      <c r="I656" t="s">
        <v>185</v>
      </c>
      <c r="J656" t="s">
        <v>248</v>
      </c>
      <c r="K656">
        <v>1.3796105083155877E-2</v>
      </c>
      <c r="L656" t="s">
        <v>161</v>
      </c>
      <c r="N656" t="s">
        <v>208</v>
      </c>
      <c r="O656" t="s">
        <v>248</v>
      </c>
      <c r="P656">
        <v>3.897570571976336E-3</v>
      </c>
      <c r="Q656" t="s">
        <v>161</v>
      </c>
    </row>
    <row r="657" spans="9:17" x14ac:dyDescent="0.45">
      <c r="I657" t="s">
        <v>185</v>
      </c>
      <c r="J657" t="s">
        <v>249</v>
      </c>
      <c r="K657">
        <v>1.0084225974547613E-2</v>
      </c>
      <c r="L657" t="s">
        <v>161</v>
      </c>
      <c r="N657" t="s">
        <v>208</v>
      </c>
      <c r="O657" t="s">
        <v>249</v>
      </c>
      <c r="P657">
        <v>3.8216567979639212E-3</v>
      </c>
      <c r="Q657" t="s">
        <v>161</v>
      </c>
    </row>
    <row r="658" spans="9:17" x14ac:dyDescent="0.45">
      <c r="I658" t="s">
        <v>185</v>
      </c>
      <c r="J658" t="s">
        <v>269</v>
      </c>
      <c r="K658">
        <v>8.2677503113254697E-3</v>
      </c>
      <c r="L658" t="s">
        <v>161</v>
      </c>
      <c r="N658" t="s">
        <v>208</v>
      </c>
      <c r="O658" t="s">
        <v>269</v>
      </c>
      <c r="P658">
        <v>2.3487722846295057E-2</v>
      </c>
      <c r="Q658" t="s">
        <v>161</v>
      </c>
    </row>
    <row r="659" spans="9:17" x14ac:dyDescent="0.45">
      <c r="I659" t="s">
        <v>185</v>
      </c>
      <c r="J659" t="s">
        <v>250</v>
      </c>
      <c r="K659">
        <v>4.5596296378322063E-3</v>
      </c>
      <c r="L659" t="s">
        <v>161</v>
      </c>
      <c r="N659" t="s">
        <v>208</v>
      </c>
      <c r="O659" t="s">
        <v>250</v>
      </c>
      <c r="P659">
        <v>4.2626819537166079E-2</v>
      </c>
      <c r="Q659" t="s">
        <v>161</v>
      </c>
    </row>
    <row r="660" spans="9:17" x14ac:dyDescent="0.45">
      <c r="I660" t="s">
        <v>185</v>
      </c>
      <c r="J660" t="s">
        <v>251</v>
      </c>
      <c r="K660">
        <v>7.8255520876699541E-3</v>
      </c>
      <c r="L660" t="s">
        <v>161</v>
      </c>
      <c r="N660" t="s">
        <v>208</v>
      </c>
      <c r="O660" t="s">
        <v>251</v>
      </c>
      <c r="P660">
        <v>5.5406449485912012E-3</v>
      </c>
      <c r="Q660" t="s">
        <v>161</v>
      </c>
    </row>
    <row r="661" spans="9:17" x14ac:dyDescent="0.45">
      <c r="I661" t="s">
        <v>185</v>
      </c>
      <c r="J661" t="s">
        <v>252</v>
      </c>
      <c r="K661">
        <v>7.5170230361347082E-2</v>
      </c>
      <c r="L661" t="s">
        <v>161</v>
      </c>
      <c r="N661" t="s">
        <v>208</v>
      </c>
      <c r="O661" t="s">
        <v>252</v>
      </c>
      <c r="P661">
        <v>3.6375632370520113E-2</v>
      </c>
      <c r="Q661" t="s">
        <v>161</v>
      </c>
    </row>
    <row r="662" spans="9:17" x14ac:dyDescent="0.45">
      <c r="I662" t="s">
        <v>185</v>
      </c>
      <c r="J662" t="s">
        <v>253</v>
      </c>
      <c r="K662">
        <v>6.0331982894917154E-3</v>
      </c>
      <c r="L662" t="s">
        <v>161</v>
      </c>
      <c r="N662" t="s">
        <v>208</v>
      </c>
      <c r="O662" t="s">
        <v>253</v>
      </c>
      <c r="P662">
        <v>5.1107721000041174E-3</v>
      </c>
      <c r="Q662" t="s">
        <v>161</v>
      </c>
    </row>
    <row r="663" spans="9:17" x14ac:dyDescent="0.45">
      <c r="I663" t="s">
        <v>185</v>
      </c>
      <c r="J663" t="s">
        <v>254</v>
      </c>
      <c r="K663">
        <v>2.2768578974194263E-3</v>
      </c>
      <c r="L663" t="s">
        <v>161</v>
      </c>
      <c r="N663" t="s">
        <v>208</v>
      </c>
      <c r="O663" t="s">
        <v>254</v>
      </c>
      <c r="P663">
        <v>5.226284416117233E-3</v>
      </c>
      <c r="Q663" t="s">
        <v>161</v>
      </c>
    </row>
    <row r="664" spans="9:17" x14ac:dyDescent="0.45">
      <c r="I664" t="s">
        <v>185</v>
      </c>
      <c r="J664" t="s">
        <v>270</v>
      </c>
      <c r="K664">
        <v>0</v>
      </c>
      <c r="L664" t="s">
        <v>161</v>
      </c>
      <c r="N664" t="s">
        <v>208</v>
      </c>
      <c r="O664" t="s">
        <v>270</v>
      </c>
      <c r="P664">
        <v>3.6083697146083761E-2</v>
      </c>
      <c r="Q664" t="s">
        <v>161</v>
      </c>
    </row>
    <row r="665" spans="9:17" x14ac:dyDescent="0.45">
      <c r="I665" t="s">
        <v>185</v>
      </c>
      <c r="J665" t="s">
        <v>255</v>
      </c>
      <c r="K665">
        <v>0</v>
      </c>
      <c r="L665" t="s">
        <v>161</v>
      </c>
      <c r="N665" t="s">
        <v>208</v>
      </c>
      <c r="O665" t="s">
        <v>255</v>
      </c>
      <c r="P665">
        <v>6.3179560951697453E-2</v>
      </c>
      <c r="Q665" t="s">
        <v>161</v>
      </c>
    </row>
    <row r="666" spans="9:17" x14ac:dyDescent="0.45">
      <c r="I666" t="s">
        <v>185</v>
      </c>
      <c r="J666" t="s">
        <v>256</v>
      </c>
      <c r="K666">
        <v>1.9513961261331642E-3</v>
      </c>
      <c r="L666" t="s">
        <v>161</v>
      </c>
      <c r="N666" t="s">
        <v>208</v>
      </c>
      <c r="O666" t="s">
        <v>256</v>
      </c>
      <c r="P666">
        <v>8.0829714865275539E-3</v>
      </c>
      <c r="Q666" t="s">
        <v>161</v>
      </c>
    </row>
    <row r="667" spans="9:17" x14ac:dyDescent="0.45">
      <c r="I667" t="s">
        <v>185</v>
      </c>
      <c r="J667" t="s">
        <v>257</v>
      </c>
      <c r="K667">
        <v>3.2350252356547586E-2</v>
      </c>
      <c r="L667" t="s">
        <v>161</v>
      </c>
      <c r="N667" t="s">
        <v>208</v>
      </c>
      <c r="O667" t="s">
        <v>257</v>
      </c>
      <c r="P667">
        <v>4.9547696211770458E-2</v>
      </c>
      <c r="Q667" t="s">
        <v>161</v>
      </c>
    </row>
    <row r="668" spans="9:17" x14ac:dyDescent="0.45">
      <c r="I668" t="s">
        <v>185</v>
      </c>
      <c r="J668" t="s">
        <v>258</v>
      </c>
      <c r="K668">
        <v>1.9024790052778832E-4</v>
      </c>
      <c r="L668" t="s">
        <v>161</v>
      </c>
      <c r="N668" t="s">
        <v>208</v>
      </c>
      <c r="O668" t="s">
        <v>258</v>
      </c>
      <c r="P668">
        <v>6.4769878489594618E-3</v>
      </c>
      <c r="Q668" t="s">
        <v>161</v>
      </c>
    </row>
    <row r="669" spans="9:17" x14ac:dyDescent="0.45">
      <c r="I669" t="s">
        <v>185</v>
      </c>
      <c r="J669" t="s">
        <v>259</v>
      </c>
      <c r="K669">
        <v>0</v>
      </c>
      <c r="L669" t="s">
        <v>161</v>
      </c>
      <c r="N669" t="s">
        <v>208</v>
      </c>
      <c r="O669" t="s">
        <v>259</v>
      </c>
      <c r="P669">
        <v>6.5440970209553221E-3</v>
      </c>
      <c r="Q669" t="s">
        <v>161</v>
      </c>
    </row>
    <row r="670" spans="9:17" x14ac:dyDescent="0.45">
      <c r="I670" t="s">
        <v>185</v>
      </c>
      <c r="J670" t="s">
        <v>271</v>
      </c>
      <c r="K670">
        <v>0</v>
      </c>
      <c r="L670" t="s">
        <v>161</v>
      </c>
      <c r="N670" t="s">
        <v>208</v>
      </c>
      <c r="O670" t="s">
        <v>271</v>
      </c>
      <c r="P670">
        <v>4.3830690190225015E-2</v>
      </c>
      <c r="Q670" t="s">
        <v>161</v>
      </c>
    </row>
    <row r="671" spans="9:17" x14ac:dyDescent="0.45">
      <c r="I671" t="s">
        <v>185</v>
      </c>
      <c r="J671" t="s">
        <v>272</v>
      </c>
      <c r="K671">
        <v>0</v>
      </c>
      <c r="L671" t="s">
        <v>161</v>
      </c>
      <c r="N671" t="s">
        <v>208</v>
      </c>
      <c r="O671" t="s">
        <v>272</v>
      </c>
      <c r="P671">
        <v>1.2026834450162463E-2</v>
      </c>
      <c r="Q671" t="s">
        <v>161</v>
      </c>
    </row>
    <row r="672" spans="9:17" x14ac:dyDescent="0.45">
      <c r="I672" t="s">
        <v>185</v>
      </c>
      <c r="J672" t="s">
        <v>273</v>
      </c>
      <c r="K672">
        <v>0</v>
      </c>
      <c r="L672" t="s">
        <v>161</v>
      </c>
      <c r="N672" t="s">
        <v>208</v>
      </c>
      <c r="O672" t="s">
        <v>273</v>
      </c>
      <c r="P672">
        <v>1.6864899941606713E-3</v>
      </c>
      <c r="Q672" t="s">
        <v>161</v>
      </c>
    </row>
    <row r="673" spans="9:17" x14ac:dyDescent="0.45">
      <c r="I673" t="s">
        <v>185</v>
      </c>
      <c r="J673" t="s">
        <v>274</v>
      </c>
      <c r="K673">
        <v>3.7285114052497243E-3</v>
      </c>
      <c r="L673" t="s">
        <v>161</v>
      </c>
      <c r="N673" t="s">
        <v>208</v>
      </c>
      <c r="O673" t="s">
        <v>274</v>
      </c>
      <c r="P673">
        <v>6.7311787854377244E-3</v>
      </c>
      <c r="Q673" t="s">
        <v>161</v>
      </c>
    </row>
    <row r="674" spans="9:17" x14ac:dyDescent="0.45">
      <c r="I674" t="s">
        <v>185</v>
      </c>
      <c r="J674" t="s">
        <v>275</v>
      </c>
      <c r="K674">
        <v>0</v>
      </c>
      <c r="L674" t="s">
        <v>161</v>
      </c>
      <c r="N674" t="s">
        <v>208</v>
      </c>
      <c r="O674" t="s">
        <v>275</v>
      </c>
      <c r="P674">
        <v>1.11559669947997E-3</v>
      </c>
      <c r="Q674" t="s">
        <v>161</v>
      </c>
    </row>
    <row r="675" spans="9:17" x14ac:dyDescent="0.45">
      <c r="I675" t="s">
        <v>185</v>
      </c>
      <c r="J675" t="s">
        <v>276</v>
      </c>
      <c r="K675">
        <v>0</v>
      </c>
      <c r="L675" t="s">
        <v>161</v>
      </c>
      <c r="N675" t="s">
        <v>208</v>
      </c>
      <c r="O675" t="s">
        <v>276</v>
      </c>
      <c r="P675">
        <v>1.3258380198065526E-3</v>
      </c>
      <c r="Q675" t="s">
        <v>161</v>
      </c>
    </row>
    <row r="676" spans="9:17" x14ac:dyDescent="0.45">
      <c r="I676" t="s">
        <v>185</v>
      </c>
      <c r="J676" t="s">
        <v>277</v>
      </c>
      <c r="K676">
        <v>0</v>
      </c>
      <c r="L676" t="s">
        <v>161</v>
      </c>
      <c r="N676" t="s">
        <v>208</v>
      </c>
      <c r="O676" t="s">
        <v>277</v>
      </c>
      <c r="P676">
        <v>8.398999520196156E-3</v>
      </c>
      <c r="Q676" t="s">
        <v>161</v>
      </c>
    </row>
    <row r="677" spans="9:17" x14ac:dyDescent="0.45">
      <c r="I677" t="s">
        <v>185</v>
      </c>
      <c r="J677" t="s">
        <v>278</v>
      </c>
      <c r="K677">
        <v>0</v>
      </c>
      <c r="L677" t="s">
        <v>161</v>
      </c>
      <c r="N677" t="s">
        <v>208</v>
      </c>
      <c r="O677" t="s">
        <v>278</v>
      </c>
      <c r="P677">
        <v>4.2511897757166418E-3</v>
      </c>
      <c r="Q677" t="s">
        <v>161</v>
      </c>
    </row>
    <row r="678" spans="9:17" x14ac:dyDescent="0.45">
      <c r="I678" t="s">
        <v>185</v>
      </c>
      <c r="J678" t="s">
        <v>279</v>
      </c>
      <c r="K678">
        <v>0</v>
      </c>
      <c r="L678" t="s">
        <v>161</v>
      </c>
      <c r="N678" t="s">
        <v>208</v>
      </c>
      <c r="O678" t="s">
        <v>279</v>
      </c>
      <c r="P678">
        <v>5.4887136294244317E-4</v>
      </c>
      <c r="Q678" t="s">
        <v>161</v>
      </c>
    </row>
    <row r="679" spans="9:17" x14ac:dyDescent="0.45">
      <c r="I679" t="s">
        <v>185</v>
      </c>
      <c r="J679" t="s">
        <v>280</v>
      </c>
      <c r="K679">
        <v>2.9409761784765136E-3</v>
      </c>
      <c r="L679" t="s">
        <v>161</v>
      </c>
      <c r="N679" t="s">
        <v>208</v>
      </c>
      <c r="O679" t="s">
        <v>280</v>
      </c>
      <c r="P679">
        <v>1.6406141354611086E-3</v>
      </c>
      <c r="Q679" t="s">
        <v>161</v>
      </c>
    </row>
    <row r="680" spans="9:17" x14ac:dyDescent="0.45">
      <c r="I680" t="s">
        <v>185</v>
      </c>
      <c r="J680" t="s">
        <v>281</v>
      </c>
      <c r="K680">
        <v>0</v>
      </c>
      <c r="L680" t="s">
        <v>161</v>
      </c>
      <c r="N680" t="s">
        <v>208</v>
      </c>
      <c r="O680" t="s">
        <v>281</v>
      </c>
      <c r="P680">
        <v>1.5157608828336811E-4</v>
      </c>
      <c r="Q680" t="s">
        <v>161</v>
      </c>
    </row>
    <row r="681" spans="9:17" x14ac:dyDescent="0.45">
      <c r="I681" t="s">
        <v>185</v>
      </c>
      <c r="J681" t="s">
        <v>282</v>
      </c>
      <c r="K681">
        <v>0</v>
      </c>
      <c r="L681" t="s">
        <v>161</v>
      </c>
      <c r="N681" t="s">
        <v>208</v>
      </c>
      <c r="O681" t="s">
        <v>282</v>
      </c>
      <c r="P681">
        <v>1.8546791460742512E-4</v>
      </c>
      <c r="Q681" t="s">
        <v>161</v>
      </c>
    </row>
    <row r="682" spans="9:17" x14ac:dyDescent="0.45">
      <c r="I682" t="s">
        <v>185</v>
      </c>
      <c r="J682" t="s">
        <v>283</v>
      </c>
      <c r="K682">
        <v>0</v>
      </c>
      <c r="L682" t="s">
        <v>161</v>
      </c>
      <c r="N682" t="s">
        <v>208</v>
      </c>
      <c r="O682" t="s">
        <v>283</v>
      </c>
      <c r="P682">
        <v>1.7878937532380694E-3</v>
      </c>
      <c r="Q682" t="s">
        <v>161</v>
      </c>
    </row>
    <row r="683" spans="9:17" x14ac:dyDescent="0.45">
      <c r="I683" t="s">
        <v>186</v>
      </c>
      <c r="J683" t="s">
        <v>160</v>
      </c>
      <c r="K683">
        <v>2.2223276216923279E-3</v>
      </c>
      <c r="L683" t="s">
        <v>161</v>
      </c>
      <c r="N683" t="s">
        <v>209</v>
      </c>
      <c r="O683" t="s">
        <v>160</v>
      </c>
      <c r="P683">
        <v>7.2154618019377517E-2</v>
      </c>
      <c r="Q683" t="s">
        <v>161</v>
      </c>
    </row>
    <row r="684" spans="9:17" x14ac:dyDescent="0.45">
      <c r="I684" t="s">
        <v>186</v>
      </c>
      <c r="J684" t="s">
        <v>162</v>
      </c>
      <c r="K684">
        <v>6.5127226771798281E-3</v>
      </c>
      <c r="L684" t="s">
        <v>161</v>
      </c>
      <c r="N684" t="s">
        <v>209</v>
      </c>
      <c r="O684" t="s">
        <v>162</v>
      </c>
      <c r="P684">
        <v>8.8072816694202329E-3</v>
      </c>
      <c r="Q684" t="s">
        <v>161</v>
      </c>
    </row>
    <row r="685" spans="9:17" x14ac:dyDescent="0.45">
      <c r="I685" t="s">
        <v>186</v>
      </c>
      <c r="J685" t="s">
        <v>163</v>
      </c>
      <c r="K685">
        <v>8.8320054883303398E-2</v>
      </c>
      <c r="L685" t="s">
        <v>161</v>
      </c>
      <c r="N685" t="s">
        <v>209</v>
      </c>
      <c r="O685" t="s">
        <v>163</v>
      </c>
      <c r="P685">
        <v>5.2694501217933246E-2</v>
      </c>
      <c r="Q685" t="s">
        <v>161</v>
      </c>
    </row>
    <row r="686" spans="9:17" x14ac:dyDescent="0.45">
      <c r="I686" t="s">
        <v>186</v>
      </c>
      <c r="J686" t="s">
        <v>242</v>
      </c>
      <c r="K686">
        <v>6.5478257984711548E-3</v>
      </c>
      <c r="L686" t="s">
        <v>161</v>
      </c>
      <c r="N686" t="s">
        <v>209</v>
      </c>
      <c r="O686" t="s">
        <v>242</v>
      </c>
      <c r="P686">
        <v>8.2298429258092307E-3</v>
      </c>
      <c r="Q686" t="s">
        <v>161</v>
      </c>
    </row>
    <row r="687" spans="9:17" x14ac:dyDescent="0.45">
      <c r="I687" t="s">
        <v>186</v>
      </c>
      <c r="J687" t="s">
        <v>243</v>
      </c>
      <c r="K687">
        <v>2.5715590910572765E-3</v>
      </c>
      <c r="L687" t="s">
        <v>161</v>
      </c>
      <c r="N687" t="s">
        <v>209</v>
      </c>
      <c r="O687" t="s">
        <v>243</v>
      </c>
      <c r="P687">
        <v>8.720045697100871E-3</v>
      </c>
      <c r="Q687" t="s">
        <v>161</v>
      </c>
    </row>
    <row r="688" spans="9:17" x14ac:dyDescent="0.45">
      <c r="I688" t="s">
        <v>186</v>
      </c>
      <c r="J688" t="s">
        <v>266</v>
      </c>
      <c r="K688">
        <v>0</v>
      </c>
      <c r="L688" t="s">
        <v>161</v>
      </c>
      <c r="N688" t="s">
        <v>209</v>
      </c>
      <c r="O688" t="s">
        <v>266</v>
      </c>
      <c r="P688">
        <v>5.494294354150827E-2</v>
      </c>
      <c r="Q688" t="s">
        <v>161</v>
      </c>
    </row>
    <row r="689" spans="9:17" x14ac:dyDescent="0.45">
      <c r="I689" t="s">
        <v>186</v>
      </c>
      <c r="J689" t="s">
        <v>164</v>
      </c>
      <c r="K689">
        <v>1.4387999090433274E-2</v>
      </c>
      <c r="L689" t="s">
        <v>161</v>
      </c>
      <c r="N689" t="s">
        <v>209</v>
      </c>
      <c r="O689" t="s">
        <v>164</v>
      </c>
      <c r="P689">
        <v>4.9043251488726493E-2</v>
      </c>
      <c r="Q689" t="s">
        <v>161</v>
      </c>
    </row>
    <row r="690" spans="9:17" x14ac:dyDescent="0.45">
      <c r="I690" t="s">
        <v>186</v>
      </c>
      <c r="J690" t="s">
        <v>165</v>
      </c>
      <c r="K690">
        <v>1.1538025183553201E-2</v>
      </c>
      <c r="L690" t="s">
        <v>161</v>
      </c>
      <c r="N690" t="s">
        <v>209</v>
      </c>
      <c r="O690" t="s">
        <v>165</v>
      </c>
      <c r="P690">
        <v>5.7258823137340724E-3</v>
      </c>
      <c r="Q690" t="s">
        <v>161</v>
      </c>
    </row>
    <row r="691" spans="9:17" x14ac:dyDescent="0.45">
      <c r="I691" t="s">
        <v>186</v>
      </c>
      <c r="J691" t="s">
        <v>166</v>
      </c>
      <c r="K691">
        <v>9.3655621069862277E-2</v>
      </c>
      <c r="L691" t="s">
        <v>161</v>
      </c>
      <c r="N691" t="s">
        <v>209</v>
      </c>
      <c r="O691" t="s">
        <v>166</v>
      </c>
      <c r="P691">
        <v>3.5039081379130706E-2</v>
      </c>
      <c r="Q691" t="s">
        <v>161</v>
      </c>
    </row>
    <row r="692" spans="9:17" x14ac:dyDescent="0.45">
      <c r="I692" t="s">
        <v>186</v>
      </c>
      <c r="J692" t="s">
        <v>244</v>
      </c>
      <c r="K692">
        <v>9.1085560364549123E-3</v>
      </c>
      <c r="L692" t="s">
        <v>161</v>
      </c>
      <c r="N692" t="s">
        <v>209</v>
      </c>
      <c r="O692" t="s">
        <v>244</v>
      </c>
      <c r="P692">
        <v>5.4133743724777564E-3</v>
      </c>
      <c r="Q692" t="s">
        <v>161</v>
      </c>
    </row>
    <row r="693" spans="9:17" x14ac:dyDescent="0.45">
      <c r="I693" t="s">
        <v>186</v>
      </c>
      <c r="J693" t="s">
        <v>245</v>
      </c>
      <c r="K693">
        <v>6.4847551722172821E-3</v>
      </c>
      <c r="L693" t="s">
        <v>161</v>
      </c>
      <c r="N693" t="s">
        <v>209</v>
      </c>
      <c r="O693" t="s">
        <v>245</v>
      </c>
      <c r="P693">
        <v>5.1840523063123025E-3</v>
      </c>
      <c r="Q693" t="s">
        <v>161</v>
      </c>
    </row>
    <row r="694" spans="9:17" x14ac:dyDescent="0.45">
      <c r="I694" t="s">
        <v>186</v>
      </c>
      <c r="J694" t="s">
        <v>267</v>
      </c>
      <c r="K694">
        <v>3.1683826647866805E-3</v>
      </c>
      <c r="L694" t="s">
        <v>161</v>
      </c>
      <c r="N694" t="s">
        <v>209</v>
      </c>
      <c r="O694" t="s">
        <v>267</v>
      </c>
      <c r="P694">
        <v>3.4963553299997813E-2</v>
      </c>
      <c r="Q694" t="s">
        <v>161</v>
      </c>
    </row>
    <row r="695" spans="9:17" x14ac:dyDescent="0.45">
      <c r="I695" t="s">
        <v>186</v>
      </c>
      <c r="J695" t="s">
        <v>167</v>
      </c>
      <c r="K695">
        <v>6.5472172303405865E-2</v>
      </c>
      <c r="L695" t="s">
        <v>161</v>
      </c>
      <c r="N695" t="s">
        <v>209</v>
      </c>
      <c r="O695" t="s">
        <v>167</v>
      </c>
      <c r="P695">
        <v>6.8496253032396578E-2</v>
      </c>
      <c r="Q695" t="s">
        <v>161</v>
      </c>
    </row>
    <row r="696" spans="9:17" x14ac:dyDescent="0.45">
      <c r="I696" t="s">
        <v>186</v>
      </c>
      <c r="J696" t="s">
        <v>168</v>
      </c>
      <c r="K696">
        <v>3.3553714605410359E-2</v>
      </c>
      <c r="L696" t="s">
        <v>161</v>
      </c>
      <c r="N696" t="s">
        <v>209</v>
      </c>
      <c r="O696" t="s">
        <v>168</v>
      </c>
      <c r="P696">
        <v>7.3047042406450841E-3</v>
      </c>
      <c r="Q696" t="s">
        <v>161</v>
      </c>
    </row>
    <row r="697" spans="9:17" x14ac:dyDescent="0.45">
      <c r="I697" t="s">
        <v>186</v>
      </c>
      <c r="J697" t="s">
        <v>169</v>
      </c>
      <c r="K697">
        <v>0.26483229254052426</v>
      </c>
      <c r="L697" t="s">
        <v>161</v>
      </c>
      <c r="N697" t="s">
        <v>209</v>
      </c>
      <c r="O697" t="s">
        <v>169</v>
      </c>
      <c r="P697">
        <v>5.1568880145741444E-2</v>
      </c>
      <c r="Q697" t="s">
        <v>161</v>
      </c>
    </row>
    <row r="698" spans="9:17" x14ac:dyDescent="0.45">
      <c r="I698" t="s">
        <v>186</v>
      </c>
      <c r="J698" t="s">
        <v>246</v>
      </c>
      <c r="K698">
        <v>2.8809714813585668E-2</v>
      </c>
      <c r="L698" t="s">
        <v>161</v>
      </c>
      <c r="N698" t="s">
        <v>209</v>
      </c>
      <c r="O698" t="s">
        <v>246</v>
      </c>
      <c r="P698">
        <v>8.0147886860878342E-3</v>
      </c>
      <c r="Q698" t="s">
        <v>161</v>
      </c>
    </row>
    <row r="699" spans="9:17" x14ac:dyDescent="0.45">
      <c r="I699" t="s">
        <v>186</v>
      </c>
      <c r="J699" t="s">
        <v>247</v>
      </c>
      <c r="K699">
        <v>2.3496645162880001E-2</v>
      </c>
      <c r="L699" t="s">
        <v>161</v>
      </c>
      <c r="N699" t="s">
        <v>209</v>
      </c>
      <c r="O699" t="s">
        <v>247</v>
      </c>
      <c r="P699">
        <v>7.6863939944612171E-3</v>
      </c>
      <c r="Q699" t="s">
        <v>161</v>
      </c>
    </row>
    <row r="700" spans="9:17" x14ac:dyDescent="0.45">
      <c r="I700" t="s">
        <v>186</v>
      </c>
      <c r="J700" t="s">
        <v>268</v>
      </c>
      <c r="K700">
        <v>2.5961520332778373E-2</v>
      </c>
      <c r="L700" t="s">
        <v>161</v>
      </c>
      <c r="N700" t="s">
        <v>209</v>
      </c>
      <c r="O700" t="s">
        <v>268</v>
      </c>
      <c r="P700">
        <v>5.5246322501918112E-2</v>
      </c>
      <c r="Q700" t="s">
        <v>161</v>
      </c>
    </row>
    <row r="701" spans="9:17" x14ac:dyDescent="0.45">
      <c r="I701" t="s">
        <v>186</v>
      </c>
      <c r="J701" t="s">
        <v>170</v>
      </c>
      <c r="K701">
        <v>2.247644281390879E-2</v>
      </c>
      <c r="L701" t="s">
        <v>161</v>
      </c>
      <c r="N701" t="s">
        <v>209</v>
      </c>
      <c r="O701" t="s">
        <v>170</v>
      </c>
      <c r="P701">
        <v>2.9128084729255235E-2</v>
      </c>
      <c r="Q701" t="s">
        <v>161</v>
      </c>
    </row>
    <row r="702" spans="9:17" x14ac:dyDescent="0.45">
      <c r="I702" t="s">
        <v>186</v>
      </c>
      <c r="J702" t="s">
        <v>171</v>
      </c>
      <c r="K702">
        <v>1.4925380986144297E-2</v>
      </c>
      <c r="L702" t="s">
        <v>161</v>
      </c>
      <c r="N702" t="s">
        <v>209</v>
      </c>
      <c r="O702" t="s">
        <v>171</v>
      </c>
      <c r="P702">
        <v>3.0394135782985349E-3</v>
      </c>
      <c r="Q702" t="s">
        <v>161</v>
      </c>
    </row>
    <row r="703" spans="9:17" x14ac:dyDescent="0.45">
      <c r="I703" t="s">
        <v>186</v>
      </c>
      <c r="J703" t="s">
        <v>172</v>
      </c>
      <c r="K703">
        <v>0.11639734185175879</v>
      </c>
      <c r="L703" t="s">
        <v>161</v>
      </c>
      <c r="N703" t="s">
        <v>209</v>
      </c>
      <c r="O703" t="s">
        <v>172</v>
      </c>
      <c r="P703">
        <v>1.9765182716401597E-2</v>
      </c>
      <c r="Q703" t="s">
        <v>161</v>
      </c>
    </row>
    <row r="704" spans="9:17" x14ac:dyDescent="0.45">
      <c r="I704" t="s">
        <v>186</v>
      </c>
      <c r="J704" t="s">
        <v>248</v>
      </c>
      <c r="K704">
        <v>1.2118198605731913E-2</v>
      </c>
      <c r="L704" t="s">
        <v>161</v>
      </c>
      <c r="N704" t="s">
        <v>209</v>
      </c>
      <c r="O704" t="s">
        <v>248</v>
      </c>
      <c r="P704">
        <v>3.0428277710482367E-3</v>
      </c>
      <c r="Q704" t="s">
        <v>161</v>
      </c>
    </row>
    <row r="705" spans="9:17" x14ac:dyDescent="0.45">
      <c r="I705" t="s">
        <v>186</v>
      </c>
      <c r="J705" t="s">
        <v>249</v>
      </c>
      <c r="K705">
        <v>9.3481996344911052E-3</v>
      </c>
      <c r="L705" t="s">
        <v>161</v>
      </c>
      <c r="N705" t="s">
        <v>209</v>
      </c>
      <c r="O705" t="s">
        <v>249</v>
      </c>
      <c r="P705">
        <v>2.6653285347973655E-3</v>
      </c>
      <c r="Q705" t="s">
        <v>161</v>
      </c>
    </row>
    <row r="706" spans="9:17" x14ac:dyDescent="0.45">
      <c r="I706" t="s">
        <v>186</v>
      </c>
      <c r="J706" t="s">
        <v>269</v>
      </c>
      <c r="K706">
        <v>7.2637264386823585E-3</v>
      </c>
      <c r="L706" t="s">
        <v>161</v>
      </c>
      <c r="N706" t="s">
        <v>209</v>
      </c>
      <c r="O706" t="s">
        <v>269</v>
      </c>
      <c r="P706">
        <v>2.142146221158029E-2</v>
      </c>
      <c r="Q706" t="s">
        <v>161</v>
      </c>
    </row>
    <row r="707" spans="9:17" x14ac:dyDescent="0.45">
      <c r="I707" t="s">
        <v>186</v>
      </c>
      <c r="J707" t="s">
        <v>250</v>
      </c>
      <c r="K707">
        <v>4.65660366424354E-3</v>
      </c>
      <c r="L707" t="s">
        <v>161</v>
      </c>
      <c r="N707" t="s">
        <v>209</v>
      </c>
      <c r="O707" t="s">
        <v>250</v>
      </c>
      <c r="P707">
        <v>5.158887895847987E-2</v>
      </c>
      <c r="Q707" t="s">
        <v>161</v>
      </c>
    </row>
    <row r="708" spans="9:17" x14ac:dyDescent="0.45">
      <c r="I708" t="s">
        <v>186</v>
      </c>
      <c r="J708" t="s">
        <v>251</v>
      </c>
      <c r="K708">
        <v>7.3309709373379434E-3</v>
      </c>
      <c r="L708" t="s">
        <v>161</v>
      </c>
      <c r="N708" t="s">
        <v>209</v>
      </c>
      <c r="O708" t="s">
        <v>251</v>
      </c>
      <c r="P708">
        <v>6.1625895330889198E-3</v>
      </c>
      <c r="Q708" t="s">
        <v>161</v>
      </c>
    </row>
    <row r="709" spans="9:17" x14ac:dyDescent="0.45">
      <c r="I709" t="s">
        <v>186</v>
      </c>
      <c r="J709" t="s">
        <v>252</v>
      </c>
      <c r="K709">
        <v>7.0827651747053563E-2</v>
      </c>
      <c r="L709" t="s">
        <v>161</v>
      </c>
      <c r="N709" t="s">
        <v>209</v>
      </c>
      <c r="O709" t="s">
        <v>252</v>
      </c>
      <c r="P709">
        <v>3.6947952115824564E-2</v>
      </c>
      <c r="Q709" t="s">
        <v>161</v>
      </c>
    </row>
    <row r="710" spans="9:17" x14ac:dyDescent="0.45">
      <c r="I710" t="s">
        <v>186</v>
      </c>
      <c r="J710" t="s">
        <v>253</v>
      </c>
      <c r="K710">
        <v>5.234491107209467E-3</v>
      </c>
      <c r="L710" t="s">
        <v>161</v>
      </c>
      <c r="N710" t="s">
        <v>209</v>
      </c>
      <c r="O710" t="s">
        <v>253</v>
      </c>
      <c r="P710">
        <v>5.6388912801688534E-3</v>
      </c>
      <c r="Q710" t="s">
        <v>161</v>
      </c>
    </row>
    <row r="711" spans="9:17" x14ac:dyDescent="0.45">
      <c r="I711" t="s">
        <v>186</v>
      </c>
      <c r="J711" t="s">
        <v>254</v>
      </c>
      <c r="K711">
        <v>1.9304386862527142E-3</v>
      </c>
      <c r="L711" t="s">
        <v>161</v>
      </c>
      <c r="N711" t="s">
        <v>209</v>
      </c>
      <c r="O711" t="s">
        <v>254</v>
      </c>
      <c r="P711">
        <v>6.1328406612359901E-3</v>
      </c>
      <c r="Q711" t="s">
        <v>161</v>
      </c>
    </row>
    <row r="712" spans="9:17" x14ac:dyDescent="0.45">
      <c r="I712" t="s">
        <v>186</v>
      </c>
      <c r="J712" t="s">
        <v>270</v>
      </c>
      <c r="K712">
        <v>0</v>
      </c>
      <c r="L712" t="s">
        <v>161</v>
      </c>
      <c r="N712" t="s">
        <v>209</v>
      </c>
      <c r="O712" t="s">
        <v>270</v>
      </c>
      <c r="P712">
        <v>3.941197384951832E-2</v>
      </c>
      <c r="Q712" t="s">
        <v>161</v>
      </c>
    </row>
    <row r="713" spans="9:17" x14ac:dyDescent="0.45">
      <c r="I713" t="s">
        <v>186</v>
      </c>
      <c r="J713" t="s">
        <v>255</v>
      </c>
      <c r="K713">
        <v>4.3753041276753114E-9</v>
      </c>
      <c r="L713" t="s">
        <v>161</v>
      </c>
      <c r="N713" t="s">
        <v>209</v>
      </c>
      <c r="O713" t="s">
        <v>255</v>
      </c>
      <c r="P713">
        <v>5.0840148704489822E-2</v>
      </c>
      <c r="Q713" t="s">
        <v>161</v>
      </c>
    </row>
    <row r="714" spans="9:17" x14ac:dyDescent="0.45">
      <c r="I714" t="s">
        <v>186</v>
      </c>
      <c r="J714" t="s">
        <v>256</v>
      </c>
      <c r="K714">
        <v>1.899296000337104E-3</v>
      </c>
      <c r="L714" t="s">
        <v>161</v>
      </c>
      <c r="N714" t="s">
        <v>209</v>
      </c>
      <c r="O714" t="s">
        <v>256</v>
      </c>
      <c r="P714">
        <v>5.7339373865948401E-3</v>
      </c>
      <c r="Q714" t="s">
        <v>161</v>
      </c>
    </row>
    <row r="715" spans="9:17" x14ac:dyDescent="0.45">
      <c r="I715" t="s">
        <v>186</v>
      </c>
      <c r="J715" t="s">
        <v>257</v>
      </c>
      <c r="K715">
        <v>3.1889806854425294E-2</v>
      </c>
      <c r="L715" t="s">
        <v>161</v>
      </c>
      <c r="N715" t="s">
        <v>209</v>
      </c>
      <c r="O715" t="s">
        <v>257</v>
      </c>
      <c r="P715">
        <v>3.9501671881347677E-2</v>
      </c>
      <c r="Q715" t="s">
        <v>161</v>
      </c>
    </row>
    <row r="716" spans="9:17" x14ac:dyDescent="0.45">
      <c r="I716" t="s">
        <v>186</v>
      </c>
      <c r="J716" t="s">
        <v>258</v>
      </c>
      <c r="K716">
        <v>3.7914751457427632E-5</v>
      </c>
      <c r="L716" t="s">
        <v>161</v>
      </c>
      <c r="N716" t="s">
        <v>209</v>
      </c>
      <c r="O716" t="s">
        <v>258</v>
      </c>
      <c r="P716">
        <v>6.7751462260856521E-3</v>
      </c>
      <c r="Q716" t="s">
        <v>161</v>
      </c>
    </row>
    <row r="717" spans="9:17" x14ac:dyDescent="0.45">
      <c r="I717" t="s">
        <v>186</v>
      </c>
      <c r="J717" t="s">
        <v>259</v>
      </c>
      <c r="K717">
        <v>0</v>
      </c>
      <c r="L717" t="s">
        <v>161</v>
      </c>
      <c r="N717" t="s">
        <v>209</v>
      </c>
      <c r="O717" t="s">
        <v>259</v>
      </c>
      <c r="P717">
        <v>7.1932105368251471E-3</v>
      </c>
      <c r="Q717" t="s">
        <v>161</v>
      </c>
    </row>
    <row r="718" spans="9:17" x14ac:dyDescent="0.45">
      <c r="I718" t="s">
        <v>186</v>
      </c>
      <c r="J718" t="s">
        <v>271</v>
      </c>
      <c r="K718">
        <v>0</v>
      </c>
      <c r="L718" t="s">
        <v>161</v>
      </c>
      <c r="N718" t="s">
        <v>209</v>
      </c>
      <c r="O718" t="s">
        <v>271</v>
      </c>
      <c r="P718">
        <v>4.209700085736659E-2</v>
      </c>
      <c r="Q718" t="s">
        <v>161</v>
      </c>
    </row>
    <row r="719" spans="9:17" x14ac:dyDescent="0.45">
      <c r="I719" t="s">
        <v>186</v>
      </c>
      <c r="J719" t="s">
        <v>272</v>
      </c>
      <c r="K719">
        <v>0</v>
      </c>
      <c r="L719" t="s">
        <v>161</v>
      </c>
      <c r="N719" t="s">
        <v>209</v>
      </c>
      <c r="O719" t="s">
        <v>272</v>
      </c>
      <c r="P719">
        <v>2.1754301013350956E-2</v>
      </c>
      <c r="Q719" t="s">
        <v>161</v>
      </c>
    </row>
    <row r="720" spans="9:17" x14ac:dyDescent="0.45">
      <c r="I720" t="s">
        <v>186</v>
      </c>
      <c r="J720" t="s">
        <v>273</v>
      </c>
      <c r="K720">
        <v>0</v>
      </c>
      <c r="L720" t="s">
        <v>161</v>
      </c>
      <c r="N720" t="s">
        <v>209</v>
      </c>
      <c r="O720" t="s">
        <v>273</v>
      </c>
      <c r="P720">
        <v>2.4977419110024071E-3</v>
      </c>
      <c r="Q720" t="s">
        <v>161</v>
      </c>
    </row>
    <row r="721" spans="9:17" x14ac:dyDescent="0.45">
      <c r="I721" t="s">
        <v>186</v>
      </c>
      <c r="J721" t="s">
        <v>274</v>
      </c>
      <c r="K721">
        <v>3.3122334055698467E-3</v>
      </c>
      <c r="L721" t="s">
        <v>161</v>
      </c>
      <c r="N721" t="s">
        <v>209</v>
      </c>
      <c r="O721" t="s">
        <v>274</v>
      </c>
      <c r="P721">
        <v>1.4350597888679191E-2</v>
      </c>
      <c r="Q721" t="s">
        <v>161</v>
      </c>
    </row>
    <row r="722" spans="9:17" x14ac:dyDescent="0.45">
      <c r="I722" t="s">
        <v>186</v>
      </c>
      <c r="J722" t="s">
        <v>275</v>
      </c>
      <c r="K722">
        <v>0</v>
      </c>
      <c r="L722" t="s">
        <v>161</v>
      </c>
      <c r="N722" t="s">
        <v>209</v>
      </c>
      <c r="O722" t="s">
        <v>275</v>
      </c>
      <c r="P722">
        <v>2.1671803036665098E-3</v>
      </c>
      <c r="Q722" t="s">
        <v>161</v>
      </c>
    </row>
    <row r="723" spans="9:17" x14ac:dyDescent="0.45">
      <c r="I723" t="s">
        <v>186</v>
      </c>
      <c r="J723" t="s">
        <v>276</v>
      </c>
      <c r="K723">
        <v>0</v>
      </c>
      <c r="L723" t="s">
        <v>161</v>
      </c>
      <c r="N723" t="s">
        <v>209</v>
      </c>
      <c r="O723" t="s">
        <v>276</v>
      </c>
      <c r="P723">
        <v>2.2358784029386154E-3</v>
      </c>
      <c r="Q723" t="s">
        <v>161</v>
      </c>
    </row>
    <row r="724" spans="9:17" x14ac:dyDescent="0.45">
      <c r="I724" t="s">
        <v>186</v>
      </c>
      <c r="J724" t="s">
        <v>277</v>
      </c>
      <c r="K724">
        <v>0</v>
      </c>
      <c r="L724" t="s">
        <v>161</v>
      </c>
      <c r="N724" t="s">
        <v>209</v>
      </c>
      <c r="O724" t="s">
        <v>277</v>
      </c>
      <c r="P724">
        <v>1.5107273847871406E-2</v>
      </c>
      <c r="Q724" t="s">
        <v>161</v>
      </c>
    </row>
    <row r="725" spans="9:17" x14ac:dyDescent="0.45">
      <c r="I725" t="s">
        <v>186</v>
      </c>
      <c r="J725" t="s">
        <v>278</v>
      </c>
      <c r="K725">
        <v>0</v>
      </c>
      <c r="L725" t="s">
        <v>161</v>
      </c>
      <c r="N725" t="s">
        <v>209</v>
      </c>
      <c r="O725" t="s">
        <v>278</v>
      </c>
      <c r="P725">
        <v>8.8134526577344358E-3</v>
      </c>
      <c r="Q725" t="s">
        <v>161</v>
      </c>
    </row>
    <row r="726" spans="9:17" x14ac:dyDescent="0.45">
      <c r="I726" t="s">
        <v>186</v>
      </c>
      <c r="J726" t="s">
        <v>279</v>
      </c>
      <c r="K726">
        <v>0</v>
      </c>
      <c r="L726" t="s">
        <v>161</v>
      </c>
      <c r="N726" t="s">
        <v>209</v>
      </c>
      <c r="O726" t="s">
        <v>279</v>
      </c>
      <c r="P726">
        <v>1.2054498665621592E-3</v>
      </c>
      <c r="Q726" t="s">
        <v>161</v>
      </c>
    </row>
    <row r="727" spans="9:17" x14ac:dyDescent="0.45">
      <c r="I727" t="s">
        <v>186</v>
      </c>
      <c r="J727" t="s">
        <v>280</v>
      </c>
      <c r="K727">
        <v>3.7074090924945099E-3</v>
      </c>
      <c r="L727" t="s">
        <v>161</v>
      </c>
      <c r="N727" t="s">
        <v>209</v>
      </c>
      <c r="O727" t="s">
        <v>280</v>
      </c>
      <c r="P727">
        <v>6.7186540809573373E-3</v>
      </c>
      <c r="Q727" t="s">
        <v>161</v>
      </c>
    </row>
    <row r="728" spans="9:17" x14ac:dyDescent="0.45">
      <c r="I728" t="s">
        <v>186</v>
      </c>
      <c r="J728" t="s">
        <v>281</v>
      </c>
      <c r="K728">
        <v>0</v>
      </c>
      <c r="L728" t="s">
        <v>161</v>
      </c>
      <c r="N728" t="s">
        <v>209</v>
      </c>
      <c r="O728" t="s">
        <v>281</v>
      </c>
      <c r="P728">
        <v>1.0102797863020855E-3</v>
      </c>
      <c r="Q728" t="s">
        <v>161</v>
      </c>
    </row>
    <row r="729" spans="9:17" x14ac:dyDescent="0.45">
      <c r="I729" t="s">
        <v>186</v>
      </c>
      <c r="J729" t="s">
        <v>282</v>
      </c>
      <c r="K729">
        <v>0</v>
      </c>
      <c r="L729" t="s">
        <v>161</v>
      </c>
      <c r="N729" t="s">
        <v>209</v>
      </c>
      <c r="O729" t="s">
        <v>282</v>
      </c>
      <c r="P729">
        <v>1.045526962883056E-3</v>
      </c>
      <c r="Q729" t="s">
        <v>161</v>
      </c>
    </row>
    <row r="730" spans="9:17" x14ac:dyDescent="0.45">
      <c r="I730" t="s">
        <v>186</v>
      </c>
      <c r="J730" t="s">
        <v>283</v>
      </c>
      <c r="K730">
        <v>0</v>
      </c>
      <c r="L730" t="s">
        <v>161</v>
      </c>
      <c r="N730" t="s">
        <v>209</v>
      </c>
      <c r="O730" t="s">
        <v>283</v>
      </c>
      <c r="P730">
        <v>6.7713509128643446E-3</v>
      </c>
      <c r="Q730" t="s">
        <v>161</v>
      </c>
    </row>
    <row r="731" spans="9:17" x14ac:dyDescent="0.45">
      <c r="I731" t="s">
        <v>187</v>
      </c>
      <c r="J731" t="s">
        <v>160</v>
      </c>
      <c r="K731">
        <v>2.3918469413202765E-3</v>
      </c>
      <c r="L731" t="s">
        <v>161</v>
      </c>
      <c r="N731" t="s">
        <v>210</v>
      </c>
      <c r="O731" t="s">
        <v>160</v>
      </c>
      <c r="P731">
        <v>7.4763253244899547E-2</v>
      </c>
      <c r="Q731" t="s">
        <v>161</v>
      </c>
    </row>
    <row r="732" spans="9:17" x14ac:dyDescent="0.45">
      <c r="I732" t="s">
        <v>187</v>
      </c>
      <c r="J732" t="s">
        <v>162</v>
      </c>
      <c r="K732">
        <v>6.2586933034788125E-3</v>
      </c>
      <c r="L732" t="s">
        <v>161</v>
      </c>
      <c r="N732" t="s">
        <v>210</v>
      </c>
      <c r="O732" t="s">
        <v>162</v>
      </c>
      <c r="P732">
        <v>9.1069657605014065E-3</v>
      </c>
      <c r="Q732" t="s">
        <v>161</v>
      </c>
    </row>
    <row r="733" spans="9:17" x14ac:dyDescent="0.45">
      <c r="I733" t="s">
        <v>187</v>
      </c>
      <c r="J733" t="s">
        <v>163</v>
      </c>
      <c r="K733">
        <v>8.7787778603690705E-2</v>
      </c>
      <c r="L733" t="s">
        <v>161</v>
      </c>
      <c r="N733" t="s">
        <v>210</v>
      </c>
      <c r="O733" t="s">
        <v>163</v>
      </c>
      <c r="P733">
        <v>5.7901461704286651E-2</v>
      </c>
      <c r="Q733" t="s">
        <v>161</v>
      </c>
    </row>
    <row r="734" spans="9:17" x14ac:dyDescent="0.45">
      <c r="I734" t="s">
        <v>187</v>
      </c>
      <c r="J734" t="s">
        <v>242</v>
      </c>
      <c r="K734">
        <v>6.5201456655798263E-3</v>
      </c>
      <c r="L734" t="s">
        <v>161</v>
      </c>
      <c r="N734" t="s">
        <v>210</v>
      </c>
      <c r="O734" t="s">
        <v>242</v>
      </c>
      <c r="P734">
        <v>8.8445115480532341E-3</v>
      </c>
      <c r="Q734" t="s">
        <v>161</v>
      </c>
    </row>
    <row r="735" spans="9:17" x14ac:dyDescent="0.45">
      <c r="I735" t="s">
        <v>187</v>
      </c>
      <c r="J735" t="s">
        <v>243</v>
      </c>
      <c r="K735">
        <v>2.8088855273168799E-3</v>
      </c>
      <c r="L735" t="s">
        <v>161</v>
      </c>
      <c r="N735" t="s">
        <v>210</v>
      </c>
      <c r="O735" t="s">
        <v>243</v>
      </c>
      <c r="P735">
        <v>9.4644671933971202E-3</v>
      </c>
      <c r="Q735" t="s">
        <v>161</v>
      </c>
    </row>
    <row r="736" spans="9:17" x14ac:dyDescent="0.45">
      <c r="I736" t="s">
        <v>187</v>
      </c>
      <c r="J736" t="s">
        <v>266</v>
      </c>
      <c r="K736">
        <v>0</v>
      </c>
      <c r="L736" t="s">
        <v>161</v>
      </c>
      <c r="N736" t="s">
        <v>210</v>
      </c>
      <c r="O736" t="s">
        <v>266</v>
      </c>
      <c r="P736">
        <v>5.6146134531575964E-2</v>
      </c>
      <c r="Q736" t="s">
        <v>161</v>
      </c>
    </row>
    <row r="737" spans="9:17" x14ac:dyDescent="0.45">
      <c r="I737" t="s">
        <v>187</v>
      </c>
      <c r="J737" t="s">
        <v>164</v>
      </c>
      <c r="K737">
        <v>1.4350881201082381E-2</v>
      </c>
      <c r="L737" t="s">
        <v>161</v>
      </c>
      <c r="N737" t="s">
        <v>210</v>
      </c>
      <c r="O737" t="s">
        <v>164</v>
      </c>
      <c r="P737">
        <v>4.5310817616851677E-2</v>
      </c>
      <c r="Q737" t="s">
        <v>161</v>
      </c>
    </row>
    <row r="738" spans="9:17" x14ac:dyDescent="0.45">
      <c r="I738" t="s">
        <v>187</v>
      </c>
      <c r="J738" t="s">
        <v>165</v>
      </c>
      <c r="K738">
        <v>1.1307202956685998E-2</v>
      </c>
      <c r="L738" t="s">
        <v>161</v>
      </c>
      <c r="N738" t="s">
        <v>210</v>
      </c>
      <c r="O738" t="s">
        <v>165</v>
      </c>
      <c r="P738">
        <v>5.5978243312251588E-3</v>
      </c>
      <c r="Q738" t="s">
        <v>161</v>
      </c>
    </row>
    <row r="739" spans="9:17" x14ac:dyDescent="0.45">
      <c r="I739" t="s">
        <v>187</v>
      </c>
      <c r="J739" t="s">
        <v>166</v>
      </c>
      <c r="K739">
        <v>9.1447768686020683E-2</v>
      </c>
      <c r="L739" t="s">
        <v>161</v>
      </c>
      <c r="N739" t="s">
        <v>210</v>
      </c>
      <c r="O739" t="s">
        <v>166</v>
      </c>
      <c r="P739">
        <v>3.2551875459949448E-2</v>
      </c>
      <c r="Q739" t="s">
        <v>161</v>
      </c>
    </row>
    <row r="740" spans="9:17" x14ac:dyDescent="0.45">
      <c r="I740" t="s">
        <v>187</v>
      </c>
      <c r="J740" t="s">
        <v>244</v>
      </c>
      <c r="K740">
        <v>9.7424017036342198E-3</v>
      </c>
      <c r="L740" t="s">
        <v>161</v>
      </c>
      <c r="N740" t="s">
        <v>210</v>
      </c>
      <c r="O740" t="s">
        <v>244</v>
      </c>
      <c r="P740">
        <v>5.1814167799940185E-3</v>
      </c>
      <c r="Q740" t="s">
        <v>161</v>
      </c>
    </row>
    <row r="741" spans="9:17" x14ac:dyDescent="0.45">
      <c r="I741" t="s">
        <v>187</v>
      </c>
      <c r="J741" t="s">
        <v>245</v>
      </c>
      <c r="K741">
        <v>7.311572370103595E-3</v>
      </c>
      <c r="L741" t="s">
        <v>161</v>
      </c>
      <c r="N741" t="s">
        <v>210</v>
      </c>
      <c r="O741" t="s">
        <v>245</v>
      </c>
      <c r="P741">
        <v>5.3545630823579457E-3</v>
      </c>
      <c r="Q741" t="s">
        <v>161</v>
      </c>
    </row>
    <row r="742" spans="9:17" x14ac:dyDescent="0.45">
      <c r="I742" t="s">
        <v>187</v>
      </c>
      <c r="J742" t="s">
        <v>267</v>
      </c>
      <c r="K742">
        <v>3.7299349457301984E-3</v>
      </c>
      <c r="L742" t="s">
        <v>161</v>
      </c>
      <c r="N742" t="s">
        <v>210</v>
      </c>
      <c r="O742" t="s">
        <v>267</v>
      </c>
      <c r="P742">
        <v>3.4763975445292535E-2</v>
      </c>
      <c r="Q742" t="s">
        <v>161</v>
      </c>
    </row>
    <row r="743" spans="9:17" x14ac:dyDescent="0.45">
      <c r="I743" t="s">
        <v>187</v>
      </c>
      <c r="J743" t="s">
        <v>167</v>
      </c>
      <c r="K743">
        <v>6.2346161747632321E-2</v>
      </c>
      <c r="L743" t="s">
        <v>161</v>
      </c>
      <c r="N743" t="s">
        <v>210</v>
      </c>
      <c r="O743" t="s">
        <v>167</v>
      </c>
      <c r="P743">
        <v>6.2564322309708528E-2</v>
      </c>
      <c r="Q743" t="s">
        <v>161</v>
      </c>
    </row>
    <row r="744" spans="9:17" x14ac:dyDescent="0.45">
      <c r="I744" t="s">
        <v>187</v>
      </c>
      <c r="J744" t="s">
        <v>168</v>
      </c>
      <c r="K744">
        <v>3.1283734436433938E-2</v>
      </c>
      <c r="L744" t="s">
        <v>161</v>
      </c>
      <c r="N744" t="s">
        <v>210</v>
      </c>
      <c r="O744" t="s">
        <v>168</v>
      </c>
      <c r="P744">
        <v>6.7351330634240055E-3</v>
      </c>
      <c r="Q744" t="s">
        <v>161</v>
      </c>
    </row>
    <row r="745" spans="9:17" x14ac:dyDescent="0.45">
      <c r="I745" t="s">
        <v>187</v>
      </c>
      <c r="J745" t="s">
        <v>169</v>
      </c>
      <c r="K745">
        <v>0.26581696891320633</v>
      </c>
      <c r="L745" t="s">
        <v>161</v>
      </c>
      <c r="N745" t="s">
        <v>210</v>
      </c>
      <c r="O745" t="s">
        <v>169</v>
      </c>
      <c r="P745">
        <v>4.8272149484774429E-2</v>
      </c>
      <c r="Q745" t="s">
        <v>161</v>
      </c>
    </row>
    <row r="746" spans="9:17" x14ac:dyDescent="0.45">
      <c r="I746" t="s">
        <v>187</v>
      </c>
      <c r="J746" t="s">
        <v>246</v>
      </c>
      <c r="K746">
        <v>3.2009789572713047E-2</v>
      </c>
      <c r="L746" t="s">
        <v>161</v>
      </c>
      <c r="N746" t="s">
        <v>210</v>
      </c>
      <c r="O746" t="s">
        <v>246</v>
      </c>
      <c r="P746">
        <v>7.8833024324472725E-3</v>
      </c>
      <c r="Q746" t="s">
        <v>161</v>
      </c>
    </row>
    <row r="747" spans="9:17" x14ac:dyDescent="0.45">
      <c r="I747" t="s">
        <v>187</v>
      </c>
      <c r="J747" t="s">
        <v>247</v>
      </c>
      <c r="K747">
        <v>2.6587010906893839E-2</v>
      </c>
      <c r="L747" t="s">
        <v>161</v>
      </c>
      <c r="N747" t="s">
        <v>210</v>
      </c>
      <c r="O747" t="s">
        <v>247</v>
      </c>
      <c r="P747">
        <v>7.7479512221427438E-3</v>
      </c>
      <c r="Q747" t="s">
        <v>161</v>
      </c>
    </row>
    <row r="748" spans="9:17" x14ac:dyDescent="0.45">
      <c r="I748" t="s">
        <v>187</v>
      </c>
      <c r="J748" t="s">
        <v>268</v>
      </c>
      <c r="K748">
        <v>3.0979456950216616E-2</v>
      </c>
      <c r="L748" t="s">
        <v>161</v>
      </c>
      <c r="N748" t="s">
        <v>210</v>
      </c>
      <c r="O748" t="s">
        <v>268</v>
      </c>
      <c r="P748">
        <v>5.573884974644689E-2</v>
      </c>
      <c r="Q748" t="s">
        <v>161</v>
      </c>
    </row>
    <row r="749" spans="9:17" x14ac:dyDescent="0.45">
      <c r="I749" t="s">
        <v>187</v>
      </c>
      <c r="J749" t="s">
        <v>170</v>
      </c>
      <c r="K749">
        <v>2.0749737071427705E-2</v>
      </c>
      <c r="L749" t="s">
        <v>161</v>
      </c>
      <c r="N749" t="s">
        <v>210</v>
      </c>
      <c r="O749" t="s">
        <v>170</v>
      </c>
      <c r="P749">
        <v>3.0040039620996589E-2</v>
      </c>
      <c r="Q749" t="s">
        <v>161</v>
      </c>
    </row>
    <row r="750" spans="9:17" x14ac:dyDescent="0.45">
      <c r="I750" t="s">
        <v>187</v>
      </c>
      <c r="J750" t="s">
        <v>171</v>
      </c>
      <c r="K750">
        <v>1.3964462509030056E-2</v>
      </c>
      <c r="L750" t="s">
        <v>161</v>
      </c>
      <c r="N750" t="s">
        <v>210</v>
      </c>
      <c r="O750" t="s">
        <v>171</v>
      </c>
      <c r="P750">
        <v>3.1373978030930266E-3</v>
      </c>
      <c r="Q750" t="s">
        <v>161</v>
      </c>
    </row>
    <row r="751" spans="9:17" x14ac:dyDescent="0.45">
      <c r="I751" t="s">
        <v>187</v>
      </c>
      <c r="J751" t="s">
        <v>172</v>
      </c>
      <c r="K751">
        <v>0.11340499961447537</v>
      </c>
      <c r="L751" t="s">
        <v>161</v>
      </c>
      <c r="N751" t="s">
        <v>210</v>
      </c>
      <c r="O751" t="s">
        <v>172</v>
      </c>
      <c r="P751">
        <v>1.9195199913303436E-2</v>
      </c>
      <c r="Q751" t="s">
        <v>161</v>
      </c>
    </row>
    <row r="752" spans="9:17" x14ac:dyDescent="0.45">
      <c r="I752" t="s">
        <v>187</v>
      </c>
      <c r="J752" t="s">
        <v>248</v>
      </c>
      <c r="K752">
        <v>1.3858724894421002E-2</v>
      </c>
      <c r="L752" t="s">
        <v>161</v>
      </c>
      <c r="N752" t="s">
        <v>210</v>
      </c>
      <c r="O752" t="s">
        <v>248</v>
      </c>
      <c r="P752">
        <v>2.9922377961056224E-3</v>
      </c>
      <c r="Q752" t="s">
        <v>161</v>
      </c>
    </row>
    <row r="753" spans="9:17" x14ac:dyDescent="0.45">
      <c r="I753" t="s">
        <v>187</v>
      </c>
      <c r="J753" t="s">
        <v>249</v>
      </c>
      <c r="K753">
        <v>1.0630251711952518E-2</v>
      </c>
      <c r="L753" t="s">
        <v>161</v>
      </c>
      <c r="N753" t="s">
        <v>210</v>
      </c>
      <c r="O753" t="s">
        <v>249</v>
      </c>
      <c r="P753">
        <v>2.8512075857911982E-3</v>
      </c>
      <c r="Q753" t="s">
        <v>161</v>
      </c>
    </row>
    <row r="754" spans="9:17" x14ac:dyDescent="0.45">
      <c r="I754" t="s">
        <v>187</v>
      </c>
      <c r="J754" t="s">
        <v>269</v>
      </c>
      <c r="K754">
        <v>8.3042247351534943E-3</v>
      </c>
      <c r="L754" t="s">
        <v>161</v>
      </c>
      <c r="N754" t="s">
        <v>210</v>
      </c>
      <c r="O754" t="s">
        <v>269</v>
      </c>
      <c r="P754">
        <v>2.1105376161963924E-2</v>
      </c>
      <c r="Q754" t="s">
        <v>161</v>
      </c>
    </row>
    <row r="755" spans="9:17" x14ac:dyDescent="0.45">
      <c r="I755" t="s">
        <v>187</v>
      </c>
      <c r="J755" t="s">
        <v>250</v>
      </c>
      <c r="K755">
        <v>4.7983696945753281E-3</v>
      </c>
      <c r="L755" t="s">
        <v>161</v>
      </c>
      <c r="N755" t="s">
        <v>210</v>
      </c>
      <c r="O755" t="s">
        <v>250</v>
      </c>
      <c r="P755">
        <v>5.4086404282382594E-2</v>
      </c>
      <c r="Q755" t="s">
        <v>161</v>
      </c>
    </row>
    <row r="756" spans="9:17" x14ac:dyDescent="0.45">
      <c r="I756" t="s">
        <v>187</v>
      </c>
      <c r="J756" t="s">
        <v>251</v>
      </c>
      <c r="K756">
        <v>7.4160780372115615E-3</v>
      </c>
      <c r="L756" t="s">
        <v>161</v>
      </c>
      <c r="N756" t="s">
        <v>210</v>
      </c>
      <c r="O756" t="s">
        <v>251</v>
      </c>
      <c r="P756">
        <v>6.5724704172395948E-3</v>
      </c>
      <c r="Q756" t="s">
        <v>161</v>
      </c>
    </row>
    <row r="757" spans="9:17" x14ac:dyDescent="0.45">
      <c r="I757" t="s">
        <v>187</v>
      </c>
      <c r="J757" t="s">
        <v>252</v>
      </c>
      <c r="K757">
        <v>6.7616440628127203E-2</v>
      </c>
      <c r="L757" t="s">
        <v>161</v>
      </c>
      <c r="N757" t="s">
        <v>210</v>
      </c>
      <c r="O757" t="s">
        <v>252</v>
      </c>
      <c r="P757">
        <v>3.6676443883287377E-2</v>
      </c>
      <c r="Q757" t="s">
        <v>161</v>
      </c>
    </row>
    <row r="758" spans="9:17" x14ac:dyDescent="0.45">
      <c r="I758" t="s">
        <v>187</v>
      </c>
      <c r="J758" t="s">
        <v>253</v>
      </c>
      <c r="K758">
        <v>5.1209502982553301E-3</v>
      </c>
      <c r="L758" t="s">
        <v>161</v>
      </c>
      <c r="N758" t="s">
        <v>210</v>
      </c>
      <c r="O758" t="s">
        <v>253</v>
      </c>
      <c r="P758">
        <v>5.4360365777397371E-3</v>
      </c>
      <c r="Q758" t="s">
        <v>161</v>
      </c>
    </row>
    <row r="759" spans="9:17" x14ac:dyDescent="0.45">
      <c r="I759" t="s">
        <v>187</v>
      </c>
      <c r="J759" t="s">
        <v>254</v>
      </c>
      <c r="K759">
        <v>1.9844561798111394E-3</v>
      </c>
      <c r="L759" t="s">
        <v>161</v>
      </c>
      <c r="N759" t="s">
        <v>210</v>
      </c>
      <c r="O759" t="s">
        <v>254</v>
      </c>
      <c r="P759">
        <v>6.1023696128256963E-3</v>
      </c>
      <c r="Q759" t="s">
        <v>161</v>
      </c>
    </row>
    <row r="760" spans="9:17" x14ac:dyDescent="0.45">
      <c r="I760" t="s">
        <v>187</v>
      </c>
      <c r="J760" t="s">
        <v>270</v>
      </c>
      <c r="K760">
        <v>0</v>
      </c>
      <c r="L760" t="s">
        <v>161</v>
      </c>
      <c r="N760" t="s">
        <v>210</v>
      </c>
      <c r="O760" t="s">
        <v>270</v>
      </c>
      <c r="P760">
        <v>4.2348235148936215E-2</v>
      </c>
      <c r="Q760" t="s">
        <v>161</v>
      </c>
    </row>
    <row r="761" spans="9:17" x14ac:dyDescent="0.45">
      <c r="I761" t="s">
        <v>187</v>
      </c>
      <c r="J761" t="s">
        <v>255</v>
      </c>
      <c r="K761">
        <v>0</v>
      </c>
      <c r="L761" t="s">
        <v>161</v>
      </c>
      <c r="N761" t="s">
        <v>210</v>
      </c>
      <c r="O761" t="s">
        <v>255</v>
      </c>
      <c r="P761">
        <v>5.6182082345301247E-2</v>
      </c>
      <c r="Q761" t="s">
        <v>161</v>
      </c>
    </row>
    <row r="762" spans="9:17" x14ac:dyDescent="0.45">
      <c r="I762" t="s">
        <v>187</v>
      </c>
      <c r="J762" t="s">
        <v>256</v>
      </c>
      <c r="K762">
        <v>1.7125350670200894E-3</v>
      </c>
      <c r="L762" t="s">
        <v>161</v>
      </c>
      <c r="N762" t="s">
        <v>210</v>
      </c>
      <c r="O762" t="s">
        <v>256</v>
      </c>
      <c r="P762">
        <v>6.5005422283122274E-3</v>
      </c>
      <c r="Q762" t="s">
        <v>161</v>
      </c>
    </row>
    <row r="763" spans="9:17" x14ac:dyDescent="0.45">
      <c r="I763" t="s">
        <v>187</v>
      </c>
      <c r="J763" t="s">
        <v>257</v>
      </c>
      <c r="K763">
        <v>3.144555065901574E-2</v>
      </c>
      <c r="L763" t="s">
        <v>161</v>
      </c>
      <c r="N763" t="s">
        <v>210</v>
      </c>
      <c r="O763" t="s">
        <v>257</v>
      </c>
      <c r="P763">
        <v>4.0936623399471891E-2</v>
      </c>
      <c r="Q763" t="s">
        <v>161</v>
      </c>
    </row>
    <row r="764" spans="9:17" x14ac:dyDescent="0.45">
      <c r="I764" t="s">
        <v>187</v>
      </c>
      <c r="J764" t="s">
        <v>258</v>
      </c>
      <c r="K764">
        <v>3.5969989251436045E-6</v>
      </c>
      <c r="L764" t="s">
        <v>161</v>
      </c>
      <c r="N764" t="s">
        <v>210</v>
      </c>
      <c r="O764" t="s">
        <v>258</v>
      </c>
      <c r="P764">
        <v>6.1485762368366885E-3</v>
      </c>
      <c r="Q764" t="s">
        <v>161</v>
      </c>
    </row>
    <row r="765" spans="9:17" x14ac:dyDescent="0.45">
      <c r="I765" t="s">
        <v>187</v>
      </c>
      <c r="J765" t="s">
        <v>259</v>
      </c>
      <c r="K765">
        <v>0</v>
      </c>
      <c r="L765" t="s">
        <v>161</v>
      </c>
      <c r="N765" t="s">
        <v>210</v>
      </c>
      <c r="O765" t="s">
        <v>259</v>
      </c>
      <c r="P765">
        <v>6.5199941157376064E-3</v>
      </c>
      <c r="Q765" t="s">
        <v>161</v>
      </c>
    </row>
    <row r="766" spans="9:17" x14ac:dyDescent="0.45">
      <c r="I766" t="s">
        <v>187</v>
      </c>
      <c r="J766" t="s">
        <v>271</v>
      </c>
      <c r="K766">
        <v>0</v>
      </c>
      <c r="L766" t="s">
        <v>161</v>
      </c>
      <c r="N766" t="s">
        <v>210</v>
      </c>
      <c r="O766" t="s">
        <v>271</v>
      </c>
      <c r="P766">
        <v>4.256796900621003E-2</v>
      </c>
      <c r="Q766" t="s">
        <v>161</v>
      </c>
    </row>
    <row r="767" spans="9:17" x14ac:dyDescent="0.45">
      <c r="I767" t="s">
        <v>187</v>
      </c>
      <c r="J767" t="s">
        <v>272</v>
      </c>
      <c r="K767">
        <v>0</v>
      </c>
      <c r="L767" t="s">
        <v>161</v>
      </c>
      <c r="N767" t="s">
        <v>210</v>
      </c>
      <c r="O767" t="s">
        <v>272</v>
      </c>
      <c r="P767">
        <v>1.8505499449187248E-2</v>
      </c>
      <c r="Q767" t="s">
        <v>161</v>
      </c>
    </row>
    <row r="768" spans="9:17" x14ac:dyDescent="0.45">
      <c r="I768" t="s">
        <v>187</v>
      </c>
      <c r="J768" t="s">
        <v>273</v>
      </c>
      <c r="K768">
        <v>0</v>
      </c>
      <c r="L768" t="s">
        <v>161</v>
      </c>
      <c r="N768" t="s">
        <v>210</v>
      </c>
      <c r="O768" t="s">
        <v>273</v>
      </c>
      <c r="P768">
        <v>2.215134314728303E-3</v>
      </c>
      <c r="Q768" t="s">
        <v>161</v>
      </c>
    </row>
    <row r="769" spans="9:17" x14ac:dyDescent="0.45">
      <c r="I769" t="s">
        <v>187</v>
      </c>
      <c r="J769" t="s">
        <v>274</v>
      </c>
      <c r="K769">
        <v>3.3088027529542103E-3</v>
      </c>
      <c r="L769" t="s">
        <v>161</v>
      </c>
      <c r="N769" t="s">
        <v>210</v>
      </c>
      <c r="O769" t="s">
        <v>274</v>
      </c>
      <c r="P769">
        <v>1.3652976778060185E-2</v>
      </c>
      <c r="Q769" t="s">
        <v>161</v>
      </c>
    </row>
    <row r="770" spans="9:17" x14ac:dyDescent="0.45">
      <c r="I770" t="s">
        <v>187</v>
      </c>
      <c r="J770" t="s">
        <v>275</v>
      </c>
      <c r="K770">
        <v>0</v>
      </c>
      <c r="L770" t="s">
        <v>161</v>
      </c>
      <c r="N770" t="s">
        <v>210</v>
      </c>
      <c r="O770" t="s">
        <v>275</v>
      </c>
      <c r="P770">
        <v>2.1504493975723939E-3</v>
      </c>
      <c r="Q770" t="s">
        <v>161</v>
      </c>
    </row>
    <row r="771" spans="9:17" x14ac:dyDescent="0.45">
      <c r="I771" t="s">
        <v>187</v>
      </c>
      <c r="J771" t="s">
        <v>276</v>
      </c>
      <c r="K771">
        <v>0</v>
      </c>
      <c r="L771" t="s">
        <v>161</v>
      </c>
      <c r="N771" t="s">
        <v>210</v>
      </c>
      <c r="O771" t="s">
        <v>276</v>
      </c>
      <c r="P771">
        <v>2.2396338637585642E-3</v>
      </c>
      <c r="Q771" t="s">
        <v>161</v>
      </c>
    </row>
    <row r="772" spans="9:17" x14ac:dyDescent="0.45">
      <c r="I772" t="s">
        <v>187</v>
      </c>
      <c r="J772" t="s">
        <v>277</v>
      </c>
      <c r="K772">
        <v>0</v>
      </c>
      <c r="L772" t="s">
        <v>161</v>
      </c>
      <c r="N772" t="s">
        <v>210</v>
      </c>
      <c r="O772" t="s">
        <v>277</v>
      </c>
      <c r="P772">
        <v>1.4541686512529408E-2</v>
      </c>
      <c r="Q772" t="s">
        <v>161</v>
      </c>
    </row>
    <row r="773" spans="9:17" x14ac:dyDescent="0.45">
      <c r="I773" t="s">
        <v>187</v>
      </c>
      <c r="J773" t="s">
        <v>278</v>
      </c>
      <c r="K773">
        <v>0</v>
      </c>
      <c r="L773" t="s">
        <v>161</v>
      </c>
      <c r="N773" t="s">
        <v>210</v>
      </c>
      <c r="O773" t="s">
        <v>278</v>
      </c>
      <c r="P773">
        <v>8.3295878436172918E-3</v>
      </c>
      <c r="Q773" t="s">
        <v>161</v>
      </c>
    </row>
    <row r="774" spans="9:17" x14ac:dyDescent="0.45">
      <c r="I774" t="s">
        <v>187</v>
      </c>
      <c r="J774" t="s">
        <v>279</v>
      </c>
      <c r="K774">
        <v>0</v>
      </c>
      <c r="L774" t="s">
        <v>161</v>
      </c>
      <c r="N774" t="s">
        <v>210</v>
      </c>
      <c r="O774" t="s">
        <v>279</v>
      </c>
      <c r="P774">
        <v>9.5241088716196379E-4</v>
      </c>
      <c r="Q774" t="s">
        <v>161</v>
      </c>
    </row>
    <row r="775" spans="9:17" x14ac:dyDescent="0.45">
      <c r="I775" t="s">
        <v>187</v>
      </c>
      <c r="J775" t="s">
        <v>280</v>
      </c>
      <c r="K775">
        <v>3.0005847159080444E-3</v>
      </c>
      <c r="L775" t="s">
        <v>161</v>
      </c>
      <c r="N775" t="s">
        <v>210</v>
      </c>
      <c r="O775" t="s">
        <v>280</v>
      </c>
      <c r="P775">
        <v>5.6050802042284572E-3</v>
      </c>
      <c r="Q775" t="s">
        <v>161</v>
      </c>
    </row>
    <row r="776" spans="9:17" x14ac:dyDescent="0.45">
      <c r="I776" t="s">
        <v>187</v>
      </c>
      <c r="J776" t="s">
        <v>281</v>
      </c>
      <c r="K776">
        <v>0</v>
      </c>
      <c r="L776" t="s">
        <v>161</v>
      </c>
      <c r="N776" t="s">
        <v>210</v>
      </c>
      <c r="O776" t="s">
        <v>281</v>
      </c>
      <c r="P776">
        <v>9.7714201772930377E-4</v>
      </c>
      <c r="Q776" t="s">
        <v>161</v>
      </c>
    </row>
    <row r="777" spans="9:17" x14ac:dyDescent="0.45">
      <c r="I777" t="s">
        <v>187</v>
      </c>
      <c r="J777" t="s">
        <v>282</v>
      </c>
      <c r="K777">
        <v>0</v>
      </c>
      <c r="L777" t="s">
        <v>161</v>
      </c>
      <c r="N777" t="s">
        <v>210</v>
      </c>
      <c r="O777" t="s">
        <v>282</v>
      </c>
      <c r="P777">
        <v>1.0250838807202311E-3</v>
      </c>
      <c r="Q777" t="s">
        <v>161</v>
      </c>
    </row>
    <row r="778" spans="9:17" x14ac:dyDescent="0.45">
      <c r="I778" t="s">
        <v>187</v>
      </c>
      <c r="J778" t="s">
        <v>283</v>
      </c>
      <c r="K778">
        <v>0</v>
      </c>
      <c r="L778" t="s">
        <v>161</v>
      </c>
      <c r="N778" t="s">
        <v>210</v>
      </c>
      <c r="O778" t="s">
        <v>283</v>
      </c>
      <c r="P778">
        <v>6.4771337578429355E-3</v>
      </c>
      <c r="Q778" t="s">
        <v>161</v>
      </c>
    </row>
    <row r="779" spans="9:17" x14ac:dyDescent="0.45">
      <c r="I779" t="s">
        <v>188</v>
      </c>
      <c r="J779" t="s">
        <v>160</v>
      </c>
      <c r="K779">
        <v>1.7243991207857635E-3</v>
      </c>
      <c r="L779" t="s">
        <v>161</v>
      </c>
      <c r="N779" t="s">
        <v>211</v>
      </c>
      <c r="O779" t="s">
        <v>160</v>
      </c>
      <c r="P779">
        <v>7.1189114880852333E-2</v>
      </c>
      <c r="Q779" t="s">
        <v>161</v>
      </c>
    </row>
    <row r="780" spans="9:17" x14ac:dyDescent="0.45">
      <c r="I780" t="s">
        <v>188</v>
      </c>
      <c r="J780" t="s">
        <v>162</v>
      </c>
      <c r="K780">
        <v>5.4111855970272182E-3</v>
      </c>
      <c r="L780" t="s">
        <v>161</v>
      </c>
      <c r="N780" t="s">
        <v>211</v>
      </c>
      <c r="O780" t="s">
        <v>162</v>
      </c>
      <c r="P780">
        <v>8.7923531461160925E-3</v>
      </c>
      <c r="Q780" t="s">
        <v>161</v>
      </c>
    </row>
    <row r="781" spans="9:17" x14ac:dyDescent="0.45">
      <c r="I781" t="s">
        <v>188</v>
      </c>
      <c r="J781" t="s">
        <v>163</v>
      </c>
      <c r="K781">
        <v>9.5320099117547158E-2</v>
      </c>
      <c r="L781" t="s">
        <v>161</v>
      </c>
      <c r="N781" t="s">
        <v>211</v>
      </c>
      <c r="O781" t="s">
        <v>163</v>
      </c>
      <c r="P781">
        <v>5.9541416219973678E-2</v>
      </c>
      <c r="Q781" t="s">
        <v>161</v>
      </c>
    </row>
    <row r="782" spans="9:17" x14ac:dyDescent="0.45">
      <c r="I782" t="s">
        <v>188</v>
      </c>
      <c r="J782" t="s">
        <v>242</v>
      </c>
      <c r="K782">
        <v>7.7571936542566245E-3</v>
      </c>
      <c r="L782" t="s">
        <v>161</v>
      </c>
      <c r="N782" t="s">
        <v>211</v>
      </c>
      <c r="O782" t="s">
        <v>242</v>
      </c>
      <c r="P782">
        <v>8.7507891704427104E-3</v>
      </c>
      <c r="Q782" t="s">
        <v>161</v>
      </c>
    </row>
    <row r="783" spans="9:17" x14ac:dyDescent="0.45">
      <c r="I783" t="s">
        <v>188</v>
      </c>
      <c r="J783" t="s">
        <v>243</v>
      </c>
      <c r="K783">
        <v>3.1937947793072071E-3</v>
      </c>
      <c r="L783" t="s">
        <v>161</v>
      </c>
      <c r="N783" t="s">
        <v>211</v>
      </c>
      <c r="O783" t="s">
        <v>243</v>
      </c>
      <c r="P783">
        <v>9.0911668282997998E-3</v>
      </c>
      <c r="Q783" t="s">
        <v>161</v>
      </c>
    </row>
    <row r="784" spans="9:17" x14ac:dyDescent="0.45">
      <c r="I784" t="s">
        <v>188</v>
      </c>
      <c r="J784" t="s">
        <v>266</v>
      </c>
      <c r="K784">
        <v>0</v>
      </c>
      <c r="L784" t="s">
        <v>161</v>
      </c>
      <c r="N784" t="s">
        <v>211</v>
      </c>
      <c r="O784" t="s">
        <v>266</v>
      </c>
      <c r="P784">
        <v>5.2518701232213624E-2</v>
      </c>
      <c r="Q784" t="s">
        <v>161</v>
      </c>
    </row>
    <row r="785" spans="9:17" x14ac:dyDescent="0.45">
      <c r="I785" t="s">
        <v>188</v>
      </c>
      <c r="J785" t="s">
        <v>164</v>
      </c>
      <c r="K785">
        <v>1.0371647757622062E-2</v>
      </c>
      <c r="L785" t="s">
        <v>161</v>
      </c>
      <c r="N785" t="s">
        <v>211</v>
      </c>
      <c r="O785" t="s">
        <v>164</v>
      </c>
      <c r="P785">
        <v>3.8782136027723381E-2</v>
      </c>
      <c r="Q785" t="s">
        <v>161</v>
      </c>
    </row>
    <row r="786" spans="9:17" x14ac:dyDescent="0.45">
      <c r="I786" t="s">
        <v>188</v>
      </c>
      <c r="J786" t="s">
        <v>165</v>
      </c>
      <c r="K786">
        <v>1.117127770124908E-2</v>
      </c>
      <c r="L786" t="s">
        <v>161</v>
      </c>
      <c r="N786" t="s">
        <v>211</v>
      </c>
      <c r="O786" t="s">
        <v>165</v>
      </c>
      <c r="P786">
        <v>4.8640700017167707E-3</v>
      </c>
      <c r="Q786" t="s">
        <v>161</v>
      </c>
    </row>
    <row r="787" spans="9:17" x14ac:dyDescent="0.45">
      <c r="I787" t="s">
        <v>188</v>
      </c>
      <c r="J787" t="s">
        <v>166</v>
      </c>
      <c r="K787">
        <v>9.5127657133393453E-2</v>
      </c>
      <c r="L787" t="s">
        <v>161</v>
      </c>
      <c r="N787" t="s">
        <v>211</v>
      </c>
      <c r="O787" t="s">
        <v>166</v>
      </c>
      <c r="P787">
        <v>3.2386044285150753E-2</v>
      </c>
      <c r="Q787" t="s">
        <v>161</v>
      </c>
    </row>
    <row r="788" spans="9:17" x14ac:dyDescent="0.45">
      <c r="I788" t="s">
        <v>188</v>
      </c>
      <c r="J788" t="s">
        <v>244</v>
      </c>
      <c r="K788">
        <v>8.4465747517719989E-3</v>
      </c>
      <c r="L788" t="s">
        <v>161</v>
      </c>
      <c r="N788" t="s">
        <v>211</v>
      </c>
      <c r="O788" t="s">
        <v>244</v>
      </c>
      <c r="P788">
        <v>5.2426170967827708E-3</v>
      </c>
      <c r="Q788" t="s">
        <v>161</v>
      </c>
    </row>
    <row r="789" spans="9:17" x14ac:dyDescent="0.45">
      <c r="I789" t="s">
        <v>188</v>
      </c>
      <c r="J789" t="s">
        <v>245</v>
      </c>
      <c r="K789">
        <v>5.7760473078564628E-3</v>
      </c>
      <c r="L789" t="s">
        <v>161</v>
      </c>
      <c r="N789" t="s">
        <v>211</v>
      </c>
      <c r="O789" t="s">
        <v>245</v>
      </c>
      <c r="P789">
        <v>5.086087842983417E-3</v>
      </c>
      <c r="Q789" t="s">
        <v>161</v>
      </c>
    </row>
    <row r="790" spans="9:17" x14ac:dyDescent="0.45">
      <c r="I790" t="s">
        <v>188</v>
      </c>
      <c r="J790" t="s">
        <v>267</v>
      </c>
      <c r="K790">
        <v>3.2352863987157349E-3</v>
      </c>
      <c r="L790" t="s">
        <v>161</v>
      </c>
      <c r="N790" t="s">
        <v>211</v>
      </c>
      <c r="O790" t="s">
        <v>267</v>
      </c>
      <c r="P790">
        <v>3.093736181491135E-2</v>
      </c>
      <c r="Q790" t="s">
        <v>161</v>
      </c>
    </row>
    <row r="791" spans="9:17" x14ac:dyDescent="0.45">
      <c r="I791" t="s">
        <v>188</v>
      </c>
      <c r="J791" t="s">
        <v>167</v>
      </c>
      <c r="K791">
        <v>5.2061022045423413E-2</v>
      </c>
      <c r="L791" t="s">
        <v>161</v>
      </c>
      <c r="N791" t="s">
        <v>211</v>
      </c>
      <c r="O791" t="s">
        <v>167</v>
      </c>
      <c r="P791">
        <v>6.020284957834901E-2</v>
      </c>
      <c r="Q791" t="s">
        <v>161</v>
      </c>
    </row>
    <row r="792" spans="9:17" x14ac:dyDescent="0.45">
      <c r="I792" t="s">
        <v>188</v>
      </c>
      <c r="J792" t="s">
        <v>168</v>
      </c>
      <c r="K792">
        <v>3.1708538211330517E-2</v>
      </c>
      <c r="L792" t="s">
        <v>161</v>
      </c>
      <c r="N792" t="s">
        <v>211</v>
      </c>
      <c r="O792" t="s">
        <v>168</v>
      </c>
      <c r="P792">
        <v>7.4473414959041855E-3</v>
      </c>
      <c r="Q792" t="s">
        <v>161</v>
      </c>
    </row>
    <row r="793" spans="9:17" x14ac:dyDescent="0.45">
      <c r="I793" t="s">
        <v>188</v>
      </c>
      <c r="J793" t="s">
        <v>169</v>
      </c>
      <c r="K793">
        <v>0.25894982513915854</v>
      </c>
      <c r="L793" t="s">
        <v>161</v>
      </c>
      <c r="N793" t="s">
        <v>211</v>
      </c>
      <c r="O793" t="s">
        <v>169</v>
      </c>
      <c r="P793">
        <v>5.6263392286591211E-2</v>
      </c>
      <c r="Q793" t="s">
        <v>161</v>
      </c>
    </row>
    <row r="794" spans="9:17" x14ac:dyDescent="0.45">
      <c r="I794" t="s">
        <v>188</v>
      </c>
      <c r="J794" t="s">
        <v>246</v>
      </c>
      <c r="K794">
        <v>2.9093353980604E-2</v>
      </c>
      <c r="L794" t="s">
        <v>161</v>
      </c>
      <c r="N794" t="s">
        <v>211</v>
      </c>
      <c r="O794" t="s">
        <v>246</v>
      </c>
      <c r="P794">
        <v>8.4992970201523219E-3</v>
      </c>
      <c r="Q794" t="s">
        <v>161</v>
      </c>
    </row>
    <row r="795" spans="9:17" x14ac:dyDescent="0.45">
      <c r="I795" t="s">
        <v>188</v>
      </c>
      <c r="J795" t="s">
        <v>247</v>
      </c>
      <c r="K795">
        <v>2.3469015911068446E-2</v>
      </c>
      <c r="L795" t="s">
        <v>161</v>
      </c>
      <c r="N795" t="s">
        <v>211</v>
      </c>
      <c r="O795" t="s">
        <v>247</v>
      </c>
      <c r="P795">
        <v>7.9553669972102399E-3</v>
      </c>
      <c r="Q795" t="s">
        <v>161</v>
      </c>
    </row>
    <row r="796" spans="9:17" x14ac:dyDescent="0.45">
      <c r="I796" t="s">
        <v>188</v>
      </c>
      <c r="J796" t="s">
        <v>268</v>
      </c>
      <c r="K796">
        <v>2.6096135185877143E-2</v>
      </c>
      <c r="L796" t="s">
        <v>161</v>
      </c>
      <c r="N796" t="s">
        <v>211</v>
      </c>
      <c r="O796" t="s">
        <v>268</v>
      </c>
      <c r="P796">
        <v>4.8831259626520421E-2</v>
      </c>
      <c r="Q796" t="s">
        <v>161</v>
      </c>
    </row>
    <row r="797" spans="9:17" x14ac:dyDescent="0.45">
      <c r="I797" t="s">
        <v>188</v>
      </c>
      <c r="J797" t="s">
        <v>170</v>
      </c>
      <c r="K797">
        <v>2.0555940661237698E-2</v>
      </c>
      <c r="L797" t="s">
        <v>161</v>
      </c>
      <c r="N797" t="s">
        <v>211</v>
      </c>
      <c r="O797" t="s">
        <v>170</v>
      </c>
      <c r="P797">
        <v>2.9184086288672528E-2</v>
      </c>
      <c r="Q797" t="s">
        <v>161</v>
      </c>
    </row>
    <row r="798" spans="9:17" x14ac:dyDescent="0.45">
      <c r="I798" t="s">
        <v>188</v>
      </c>
      <c r="J798" t="s">
        <v>171</v>
      </c>
      <c r="K798">
        <v>1.5476779126701571E-2</v>
      </c>
      <c r="L798" t="s">
        <v>161</v>
      </c>
      <c r="N798" t="s">
        <v>211</v>
      </c>
      <c r="O798" t="s">
        <v>171</v>
      </c>
      <c r="P798">
        <v>3.4783084590683335E-3</v>
      </c>
      <c r="Q798" t="s">
        <v>161</v>
      </c>
    </row>
    <row r="799" spans="9:17" x14ac:dyDescent="0.45">
      <c r="I799" t="s">
        <v>188</v>
      </c>
      <c r="J799" t="s">
        <v>172</v>
      </c>
      <c r="K799">
        <v>0.12546235763867242</v>
      </c>
      <c r="L799" t="s">
        <v>161</v>
      </c>
      <c r="N799" t="s">
        <v>211</v>
      </c>
      <c r="O799" t="s">
        <v>172</v>
      </c>
      <c r="P799">
        <v>2.4419958811507072E-2</v>
      </c>
      <c r="Q799" t="s">
        <v>161</v>
      </c>
    </row>
    <row r="800" spans="9:17" x14ac:dyDescent="0.45">
      <c r="I800" t="s">
        <v>188</v>
      </c>
      <c r="J800" t="s">
        <v>248</v>
      </c>
      <c r="K800">
        <v>1.2543415115818692E-2</v>
      </c>
      <c r="L800" t="s">
        <v>161</v>
      </c>
      <c r="N800" t="s">
        <v>211</v>
      </c>
      <c r="O800" t="s">
        <v>248</v>
      </c>
      <c r="P800">
        <v>3.5384140847304841E-3</v>
      </c>
      <c r="Q800" t="s">
        <v>161</v>
      </c>
    </row>
    <row r="801" spans="9:17" x14ac:dyDescent="0.45">
      <c r="I801" t="s">
        <v>188</v>
      </c>
      <c r="J801" t="s">
        <v>249</v>
      </c>
      <c r="K801">
        <v>9.8175096026884463E-3</v>
      </c>
      <c r="L801" t="s">
        <v>161</v>
      </c>
      <c r="N801" t="s">
        <v>211</v>
      </c>
      <c r="O801" t="s">
        <v>249</v>
      </c>
      <c r="P801">
        <v>3.2008456979798821E-3</v>
      </c>
      <c r="Q801" t="s">
        <v>161</v>
      </c>
    </row>
    <row r="802" spans="9:17" x14ac:dyDescent="0.45">
      <c r="I802" t="s">
        <v>188</v>
      </c>
      <c r="J802" t="s">
        <v>269</v>
      </c>
      <c r="K802">
        <v>8.2644842989268216E-3</v>
      </c>
      <c r="L802" t="s">
        <v>161</v>
      </c>
      <c r="N802" t="s">
        <v>211</v>
      </c>
      <c r="O802" t="s">
        <v>269</v>
      </c>
      <c r="P802">
        <v>2.1350086379452102E-2</v>
      </c>
      <c r="Q802" t="s">
        <v>161</v>
      </c>
    </row>
    <row r="803" spans="9:17" x14ac:dyDescent="0.45">
      <c r="I803" t="s">
        <v>188</v>
      </c>
      <c r="J803" t="s">
        <v>250</v>
      </c>
      <c r="K803">
        <v>3.8653624634440074E-3</v>
      </c>
      <c r="L803" t="s">
        <v>161</v>
      </c>
      <c r="N803" t="s">
        <v>211</v>
      </c>
      <c r="O803" t="s">
        <v>250</v>
      </c>
      <c r="P803">
        <v>5.1323754220149939E-2</v>
      </c>
      <c r="Q803" t="s">
        <v>161</v>
      </c>
    </row>
    <row r="804" spans="9:17" x14ac:dyDescent="0.45">
      <c r="I804" t="s">
        <v>188</v>
      </c>
      <c r="J804" t="s">
        <v>251</v>
      </c>
      <c r="K804">
        <v>6.6687831875391016E-3</v>
      </c>
      <c r="L804" t="s">
        <v>161</v>
      </c>
      <c r="N804" t="s">
        <v>211</v>
      </c>
      <c r="O804" t="s">
        <v>251</v>
      </c>
      <c r="P804">
        <v>6.5862179635786397E-3</v>
      </c>
      <c r="Q804" t="s">
        <v>161</v>
      </c>
    </row>
    <row r="805" spans="9:17" x14ac:dyDescent="0.45">
      <c r="I805" t="s">
        <v>188</v>
      </c>
      <c r="J805" t="s">
        <v>252</v>
      </c>
      <c r="K805">
        <v>7.3102374996802541E-2</v>
      </c>
      <c r="L805" t="s">
        <v>161</v>
      </c>
      <c r="N805" t="s">
        <v>211</v>
      </c>
      <c r="O805" t="s">
        <v>252</v>
      </c>
      <c r="P805">
        <v>4.1562973645768365E-2</v>
      </c>
      <c r="Q805" t="s">
        <v>161</v>
      </c>
    </row>
    <row r="806" spans="9:17" x14ac:dyDescent="0.45">
      <c r="I806" t="s">
        <v>188</v>
      </c>
      <c r="J806" t="s">
        <v>253</v>
      </c>
      <c r="K806">
        <v>6.2418964555726441E-3</v>
      </c>
      <c r="L806" t="s">
        <v>161</v>
      </c>
      <c r="N806" t="s">
        <v>211</v>
      </c>
      <c r="O806" t="s">
        <v>253</v>
      </c>
      <c r="P806">
        <v>5.9880290279465571E-3</v>
      </c>
      <c r="Q806" t="s">
        <v>161</v>
      </c>
    </row>
    <row r="807" spans="9:17" x14ac:dyDescent="0.45">
      <c r="I807" t="s">
        <v>188</v>
      </c>
      <c r="J807" t="s">
        <v>254</v>
      </c>
      <c r="K807">
        <v>2.2461512309413872E-3</v>
      </c>
      <c r="L807" t="s">
        <v>161</v>
      </c>
      <c r="N807" t="s">
        <v>211</v>
      </c>
      <c r="O807" t="s">
        <v>254</v>
      </c>
      <c r="P807">
        <v>6.4077478245436557E-3</v>
      </c>
      <c r="Q807" t="s">
        <v>161</v>
      </c>
    </row>
    <row r="808" spans="9:17" x14ac:dyDescent="0.45">
      <c r="I808" t="s">
        <v>188</v>
      </c>
      <c r="J808" t="s">
        <v>270</v>
      </c>
      <c r="K808">
        <v>2.6711525342290173E-6</v>
      </c>
      <c r="L808" t="s">
        <v>161</v>
      </c>
      <c r="N808" t="s">
        <v>211</v>
      </c>
      <c r="O808" t="s">
        <v>270</v>
      </c>
      <c r="P808">
        <v>4.1836776391136109E-2</v>
      </c>
      <c r="Q808" t="s">
        <v>161</v>
      </c>
    </row>
    <row r="809" spans="9:17" x14ac:dyDescent="0.45">
      <c r="I809" t="s">
        <v>188</v>
      </c>
      <c r="J809" t="s">
        <v>255</v>
      </c>
      <c r="K809">
        <v>0</v>
      </c>
      <c r="L809" t="s">
        <v>161</v>
      </c>
      <c r="N809" t="s">
        <v>211</v>
      </c>
      <c r="O809" t="s">
        <v>255</v>
      </c>
      <c r="P809">
        <v>5.363299644700039E-2</v>
      </c>
      <c r="Q809" t="s">
        <v>161</v>
      </c>
    </row>
    <row r="810" spans="9:17" x14ac:dyDescent="0.45">
      <c r="I810" t="s">
        <v>188</v>
      </c>
      <c r="J810" t="s">
        <v>256</v>
      </c>
      <c r="K810">
        <v>1.8323947446471998E-3</v>
      </c>
      <c r="L810" t="s">
        <v>161</v>
      </c>
      <c r="N810" t="s">
        <v>211</v>
      </c>
      <c r="O810" t="s">
        <v>256</v>
      </c>
      <c r="P810">
        <v>6.2945281182939187E-3</v>
      </c>
      <c r="Q810" t="s">
        <v>161</v>
      </c>
    </row>
    <row r="811" spans="9:17" x14ac:dyDescent="0.45">
      <c r="I811" t="s">
        <v>188</v>
      </c>
      <c r="J811" t="s">
        <v>257</v>
      </c>
      <c r="K811">
        <v>3.5136342430741013E-2</v>
      </c>
      <c r="L811" t="s">
        <v>161</v>
      </c>
      <c r="N811" t="s">
        <v>211</v>
      </c>
      <c r="O811" t="s">
        <v>257</v>
      </c>
      <c r="P811">
        <v>4.1950148108176467E-2</v>
      </c>
      <c r="Q811" t="s">
        <v>161</v>
      </c>
    </row>
    <row r="812" spans="9:17" x14ac:dyDescent="0.45">
      <c r="I812" t="s">
        <v>188</v>
      </c>
      <c r="J812" t="s">
        <v>258</v>
      </c>
      <c r="K812">
        <v>6.7134346540074379E-4</v>
      </c>
      <c r="L812" t="s">
        <v>161</v>
      </c>
      <c r="N812" t="s">
        <v>211</v>
      </c>
      <c r="O812" t="s">
        <v>258</v>
      </c>
      <c r="P812">
        <v>6.4692647129252967E-3</v>
      </c>
      <c r="Q812" t="s">
        <v>161</v>
      </c>
    </row>
    <row r="813" spans="9:17" x14ac:dyDescent="0.45">
      <c r="I813" t="s">
        <v>188</v>
      </c>
      <c r="J813" t="s">
        <v>259</v>
      </c>
      <c r="K813">
        <v>0</v>
      </c>
      <c r="L813" t="s">
        <v>161</v>
      </c>
      <c r="N813" t="s">
        <v>211</v>
      </c>
      <c r="O813" t="s">
        <v>259</v>
      </c>
      <c r="P813">
        <v>6.6805659520126374E-3</v>
      </c>
      <c r="Q813" t="s">
        <v>161</v>
      </c>
    </row>
    <row r="814" spans="9:17" x14ac:dyDescent="0.45">
      <c r="I814" t="s">
        <v>188</v>
      </c>
      <c r="J814" t="s">
        <v>271</v>
      </c>
      <c r="K814">
        <v>0</v>
      </c>
      <c r="L814" t="s">
        <v>161</v>
      </c>
      <c r="N814" t="s">
        <v>211</v>
      </c>
      <c r="O814" t="s">
        <v>271</v>
      </c>
      <c r="P814">
        <v>4.0655279341068787E-2</v>
      </c>
      <c r="Q814" t="s">
        <v>161</v>
      </c>
    </row>
    <row r="815" spans="9:17" x14ac:dyDescent="0.45">
      <c r="I815" t="s">
        <v>188</v>
      </c>
      <c r="J815" t="s">
        <v>272</v>
      </c>
      <c r="K815">
        <v>0</v>
      </c>
      <c r="L815" t="s">
        <v>161</v>
      </c>
      <c r="N815" t="s">
        <v>211</v>
      </c>
      <c r="O815" t="s">
        <v>272</v>
      </c>
      <c r="P815">
        <v>2.222229127131569E-2</v>
      </c>
      <c r="Q815" t="s">
        <v>161</v>
      </c>
    </row>
    <row r="816" spans="9:17" x14ac:dyDescent="0.45">
      <c r="I816" t="s">
        <v>188</v>
      </c>
      <c r="J816" t="s">
        <v>273</v>
      </c>
      <c r="K816">
        <v>0</v>
      </c>
      <c r="L816" t="s">
        <v>161</v>
      </c>
      <c r="N816" t="s">
        <v>211</v>
      </c>
      <c r="O816" t="s">
        <v>273</v>
      </c>
      <c r="P816">
        <v>2.6907212066591027E-3</v>
      </c>
      <c r="Q816" t="s">
        <v>161</v>
      </c>
    </row>
    <row r="817" spans="9:17" x14ac:dyDescent="0.45">
      <c r="I817" t="s">
        <v>188</v>
      </c>
      <c r="J817" t="s">
        <v>274</v>
      </c>
      <c r="K817">
        <v>5.6261710488744307E-3</v>
      </c>
      <c r="L817" t="s">
        <v>161</v>
      </c>
      <c r="N817" t="s">
        <v>211</v>
      </c>
      <c r="O817" t="s">
        <v>274</v>
      </c>
      <c r="P817">
        <v>1.6509402277673082E-2</v>
      </c>
      <c r="Q817" t="s">
        <v>161</v>
      </c>
    </row>
    <row r="818" spans="9:17" x14ac:dyDescent="0.45">
      <c r="I818" t="s">
        <v>188</v>
      </c>
      <c r="J818" t="s">
        <v>275</v>
      </c>
      <c r="K818">
        <v>0</v>
      </c>
      <c r="L818" t="s">
        <v>161</v>
      </c>
      <c r="N818" t="s">
        <v>211</v>
      </c>
      <c r="O818" t="s">
        <v>275</v>
      </c>
      <c r="P818">
        <v>2.2936717295715574E-3</v>
      </c>
      <c r="Q818" t="s">
        <v>161</v>
      </c>
    </row>
    <row r="819" spans="9:17" x14ac:dyDescent="0.45">
      <c r="I819" t="s">
        <v>188</v>
      </c>
      <c r="J819" t="s">
        <v>276</v>
      </c>
      <c r="K819">
        <v>0</v>
      </c>
      <c r="L819" t="s">
        <v>161</v>
      </c>
      <c r="N819" t="s">
        <v>211</v>
      </c>
      <c r="O819" t="s">
        <v>276</v>
      </c>
      <c r="P819">
        <v>2.3657591524764397E-3</v>
      </c>
      <c r="Q819" t="s">
        <v>161</v>
      </c>
    </row>
    <row r="820" spans="9:17" x14ac:dyDescent="0.45">
      <c r="I820" t="s">
        <v>188</v>
      </c>
      <c r="J820" t="s">
        <v>277</v>
      </c>
      <c r="K820">
        <v>0</v>
      </c>
      <c r="L820" t="s">
        <v>161</v>
      </c>
      <c r="N820" t="s">
        <v>211</v>
      </c>
      <c r="O820" t="s">
        <v>277</v>
      </c>
      <c r="P820">
        <v>1.5276498479907471E-2</v>
      </c>
      <c r="Q820" t="s">
        <v>161</v>
      </c>
    </row>
    <row r="821" spans="9:17" x14ac:dyDescent="0.45">
      <c r="I821" t="s">
        <v>188</v>
      </c>
      <c r="J821" t="s">
        <v>278</v>
      </c>
      <c r="K821">
        <v>0</v>
      </c>
      <c r="L821" t="s">
        <v>161</v>
      </c>
      <c r="N821" t="s">
        <v>211</v>
      </c>
      <c r="O821" t="s">
        <v>278</v>
      </c>
      <c r="P821">
        <v>9.113414420054056E-3</v>
      </c>
      <c r="Q821" t="s">
        <v>161</v>
      </c>
    </row>
    <row r="822" spans="9:17" x14ac:dyDescent="0.45">
      <c r="I822" t="s">
        <v>188</v>
      </c>
      <c r="J822" t="s">
        <v>279</v>
      </c>
      <c r="K822">
        <v>0</v>
      </c>
      <c r="L822" t="s">
        <v>161</v>
      </c>
      <c r="N822" t="s">
        <v>211</v>
      </c>
      <c r="O822" t="s">
        <v>279</v>
      </c>
      <c r="P822">
        <v>1.3244739187918129E-3</v>
      </c>
      <c r="Q822" t="s">
        <v>161</v>
      </c>
    </row>
    <row r="823" spans="9:17" x14ac:dyDescent="0.45">
      <c r="I823" t="s">
        <v>188</v>
      </c>
      <c r="J823" t="s">
        <v>280</v>
      </c>
      <c r="K823">
        <v>3.5729685864610799E-3</v>
      </c>
      <c r="L823" t="s">
        <v>161</v>
      </c>
      <c r="N823" t="s">
        <v>211</v>
      </c>
      <c r="O823" t="s">
        <v>280</v>
      </c>
      <c r="P823">
        <v>8.1219420055669549E-3</v>
      </c>
      <c r="Q823" t="s">
        <v>161</v>
      </c>
    </row>
    <row r="824" spans="9:17" x14ac:dyDescent="0.45">
      <c r="I824" t="s">
        <v>188</v>
      </c>
      <c r="J824" t="s">
        <v>281</v>
      </c>
      <c r="K824">
        <v>0</v>
      </c>
      <c r="L824" t="s">
        <v>161</v>
      </c>
      <c r="N824" t="s">
        <v>211</v>
      </c>
      <c r="O824" t="s">
        <v>281</v>
      </c>
      <c r="P824">
        <v>1.065385761567764E-3</v>
      </c>
      <c r="Q824" t="s">
        <v>161</v>
      </c>
    </row>
    <row r="825" spans="9:17" x14ac:dyDescent="0.45">
      <c r="I825" t="s">
        <v>188</v>
      </c>
      <c r="J825" t="s">
        <v>282</v>
      </c>
      <c r="K825">
        <v>0</v>
      </c>
      <c r="L825" t="s">
        <v>161</v>
      </c>
      <c r="N825" t="s">
        <v>211</v>
      </c>
      <c r="O825" t="s">
        <v>282</v>
      </c>
      <c r="P825">
        <v>1.0929208936416464E-3</v>
      </c>
      <c r="Q825" t="s">
        <v>161</v>
      </c>
    </row>
    <row r="826" spans="9:17" x14ac:dyDescent="0.45">
      <c r="I826" t="s">
        <v>188</v>
      </c>
      <c r="J826" t="s">
        <v>283</v>
      </c>
      <c r="K826">
        <v>0</v>
      </c>
      <c r="L826" t="s">
        <v>161</v>
      </c>
      <c r="N826" t="s">
        <v>211</v>
      </c>
      <c r="O826" t="s">
        <v>283</v>
      </c>
      <c r="P826">
        <v>6.9821718568703253E-3</v>
      </c>
      <c r="Q826" t="s">
        <v>161</v>
      </c>
    </row>
    <row r="827" spans="9:17" x14ac:dyDescent="0.45">
      <c r="I827" t="s">
        <v>189</v>
      </c>
      <c r="J827" t="s">
        <v>160</v>
      </c>
      <c r="K827">
        <v>2.0179467180957934E-3</v>
      </c>
      <c r="L827" t="s">
        <v>161</v>
      </c>
      <c r="N827" t="s">
        <v>212</v>
      </c>
      <c r="O827" t="s">
        <v>160</v>
      </c>
      <c r="P827">
        <v>8.3506689931559436E-2</v>
      </c>
      <c r="Q827" t="s">
        <v>161</v>
      </c>
    </row>
    <row r="828" spans="9:17" x14ac:dyDescent="0.45">
      <c r="I828" t="s">
        <v>189</v>
      </c>
      <c r="J828" t="s">
        <v>162</v>
      </c>
      <c r="K828">
        <v>6.4581740934400575E-3</v>
      </c>
      <c r="L828" t="s">
        <v>161</v>
      </c>
      <c r="N828" t="s">
        <v>212</v>
      </c>
      <c r="O828" t="s">
        <v>162</v>
      </c>
      <c r="P828">
        <v>9.4540445515154427E-3</v>
      </c>
      <c r="Q828" t="s">
        <v>161</v>
      </c>
    </row>
    <row r="829" spans="9:17" x14ac:dyDescent="0.45">
      <c r="I829" t="s">
        <v>189</v>
      </c>
      <c r="J829" t="s">
        <v>163</v>
      </c>
      <c r="K829">
        <v>9.5276606696948457E-2</v>
      </c>
      <c r="L829" t="s">
        <v>161</v>
      </c>
      <c r="N829" t="s">
        <v>212</v>
      </c>
      <c r="O829" t="s">
        <v>163</v>
      </c>
      <c r="P829">
        <v>5.8214003054062602E-2</v>
      </c>
      <c r="Q829" t="s">
        <v>161</v>
      </c>
    </row>
    <row r="830" spans="9:17" x14ac:dyDescent="0.45">
      <c r="I830" t="s">
        <v>189</v>
      </c>
      <c r="J830" t="s">
        <v>242</v>
      </c>
      <c r="K830">
        <v>7.6350161091568699E-3</v>
      </c>
      <c r="L830" t="s">
        <v>161</v>
      </c>
      <c r="N830" t="s">
        <v>212</v>
      </c>
      <c r="O830" t="s">
        <v>242</v>
      </c>
      <c r="P830">
        <v>9.3872254830099904E-3</v>
      </c>
      <c r="Q830" t="s">
        <v>161</v>
      </c>
    </row>
    <row r="831" spans="9:17" x14ac:dyDescent="0.45">
      <c r="I831" t="s">
        <v>189</v>
      </c>
      <c r="J831" t="s">
        <v>243</v>
      </c>
      <c r="K831">
        <v>3.5236130262534526E-3</v>
      </c>
      <c r="L831" t="s">
        <v>161</v>
      </c>
      <c r="N831" t="s">
        <v>212</v>
      </c>
      <c r="O831" t="s">
        <v>243</v>
      </c>
      <c r="P831">
        <v>9.9054574556060836E-3</v>
      </c>
      <c r="Q831" t="s">
        <v>161</v>
      </c>
    </row>
    <row r="832" spans="9:17" x14ac:dyDescent="0.45">
      <c r="I832" t="s">
        <v>189</v>
      </c>
      <c r="J832" t="s">
        <v>266</v>
      </c>
      <c r="K832">
        <v>1.5509885138534424E-6</v>
      </c>
      <c r="L832" t="s">
        <v>161</v>
      </c>
      <c r="N832" t="s">
        <v>212</v>
      </c>
      <c r="O832" t="s">
        <v>266</v>
      </c>
      <c r="P832">
        <v>6.7473656093358411E-2</v>
      </c>
      <c r="Q832" t="s">
        <v>161</v>
      </c>
    </row>
    <row r="833" spans="9:17" x14ac:dyDescent="0.45">
      <c r="I833" t="s">
        <v>189</v>
      </c>
      <c r="J833" t="s">
        <v>164</v>
      </c>
      <c r="K833">
        <v>9.8072806058015268E-3</v>
      </c>
      <c r="L833" t="s">
        <v>161</v>
      </c>
      <c r="N833" t="s">
        <v>212</v>
      </c>
      <c r="O833" t="s">
        <v>164</v>
      </c>
      <c r="P833">
        <v>4.3921661376194882E-2</v>
      </c>
      <c r="Q833" t="s">
        <v>161</v>
      </c>
    </row>
    <row r="834" spans="9:17" x14ac:dyDescent="0.45">
      <c r="I834" t="s">
        <v>189</v>
      </c>
      <c r="J834" t="s">
        <v>165</v>
      </c>
      <c r="K834">
        <v>1.0863326433786989E-2</v>
      </c>
      <c r="L834" t="s">
        <v>161</v>
      </c>
      <c r="N834" t="s">
        <v>212</v>
      </c>
      <c r="O834" t="s">
        <v>165</v>
      </c>
      <c r="P834">
        <v>5.1200108018434557E-3</v>
      </c>
      <c r="Q834" t="s">
        <v>161</v>
      </c>
    </row>
    <row r="835" spans="9:17" x14ac:dyDescent="0.45">
      <c r="I835" t="s">
        <v>189</v>
      </c>
      <c r="J835" t="s">
        <v>166</v>
      </c>
      <c r="K835">
        <v>9.0426386315395957E-2</v>
      </c>
      <c r="L835" t="s">
        <v>161</v>
      </c>
      <c r="N835" t="s">
        <v>212</v>
      </c>
      <c r="O835" t="s">
        <v>166</v>
      </c>
      <c r="P835">
        <v>3.1474216412596595E-2</v>
      </c>
      <c r="Q835" t="s">
        <v>161</v>
      </c>
    </row>
    <row r="836" spans="9:17" x14ac:dyDescent="0.45">
      <c r="I836" t="s">
        <v>189</v>
      </c>
      <c r="J836" t="s">
        <v>244</v>
      </c>
      <c r="K836">
        <v>7.7745138968178182E-3</v>
      </c>
      <c r="L836" t="s">
        <v>161</v>
      </c>
      <c r="N836" t="s">
        <v>212</v>
      </c>
      <c r="O836" t="s">
        <v>244</v>
      </c>
      <c r="P836">
        <v>4.0769607899942177E-3</v>
      </c>
      <c r="Q836" t="s">
        <v>161</v>
      </c>
    </row>
    <row r="837" spans="9:17" x14ac:dyDescent="0.45">
      <c r="I837" t="s">
        <v>189</v>
      </c>
      <c r="J837" t="s">
        <v>245</v>
      </c>
      <c r="K837">
        <v>5.2402895173571402E-3</v>
      </c>
      <c r="L837" t="s">
        <v>161</v>
      </c>
      <c r="N837" t="s">
        <v>212</v>
      </c>
      <c r="O837" t="s">
        <v>245</v>
      </c>
      <c r="P837">
        <v>4.4634717458952268E-3</v>
      </c>
      <c r="Q837" t="s">
        <v>161</v>
      </c>
    </row>
    <row r="838" spans="9:17" x14ac:dyDescent="0.45">
      <c r="I838" t="s">
        <v>189</v>
      </c>
      <c r="J838" t="s">
        <v>267</v>
      </c>
      <c r="K838">
        <v>2.7840427455604901E-3</v>
      </c>
      <c r="L838" t="s">
        <v>161</v>
      </c>
      <c r="N838" t="s">
        <v>212</v>
      </c>
      <c r="O838" t="s">
        <v>267</v>
      </c>
      <c r="P838">
        <v>3.1208569188467181E-2</v>
      </c>
      <c r="Q838" t="s">
        <v>161</v>
      </c>
    </row>
    <row r="839" spans="9:17" x14ac:dyDescent="0.45">
      <c r="I839" t="s">
        <v>189</v>
      </c>
      <c r="J839" t="s">
        <v>167</v>
      </c>
      <c r="K839">
        <v>5.1829668153088218E-2</v>
      </c>
      <c r="L839" t="s">
        <v>161</v>
      </c>
      <c r="N839" t="s">
        <v>212</v>
      </c>
      <c r="O839" t="s">
        <v>167</v>
      </c>
      <c r="P839">
        <v>6.2537803295437094E-2</v>
      </c>
      <c r="Q839" t="s">
        <v>161</v>
      </c>
    </row>
    <row r="840" spans="9:17" x14ac:dyDescent="0.45">
      <c r="I840" t="s">
        <v>189</v>
      </c>
      <c r="J840" t="s">
        <v>168</v>
      </c>
      <c r="K840">
        <v>3.1396733044808632E-2</v>
      </c>
      <c r="L840" t="s">
        <v>161</v>
      </c>
      <c r="N840" t="s">
        <v>212</v>
      </c>
      <c r="O840" t="s">
        <v>168</v>
      </c>
      <c r="P840">
        <v>6.5884284465572446E-3</v>
      </c>
      <c r="Q840" t="s">
        <v>161</v>
      </c>
    </row>
    <row r="841" spans="9:17" x14ac:dyDescent="0.45">
      <c r="I841" t="s">
        <v>189</v>
      </c>
      <c r="J841" t="s">
        <v>169</v>
      </c>
      <c r="K841">
        <v>0.2576839400291252</v>
      </c>
      <c r="L841" t="s">
        <v>161</v>
      </c>
      <c r="N841" t="s">
        <v>212</v>
      </c>
      <c r="O841" t="s">
        <v>169</v>
      </c>
      <c r="P841">
        <v>5.8449246309125902E-2</v>
      </c>
      <c r="Q841" t="s">
        <v>161</v>
      </c>
    </row>
    <row r="842" spans="9:17" x14ac:dyDescent="0.45">
      <c r="I842" t="s">
        <v>189</v>
      </c>
      <c r="J842" t="s">
        <v>246</v>
      </c>
      <c r="K842">
        <v>2.9616922580314627E-2</v>
      </c>
      <c r="L842" t="s">
        <v>161</v>
      </c>
      <c r="N842" t="s">
        <v>212</v>
      </c>
      <c r="O842" t="s">
        <v>246</v>
      </c>
      <c r="P842">
        <v>9.1608892806482167E-3</v>
      </c>
      <c r="Q842" t="s">
        <v>161</v>
      </c>
    </row>
    <row r="843" spans="9:17" x14ac:dyDescent="0.45">
      <c r="I843" t="s">
        <v>189</v>
      </c>
      <c r="J843" t="s">
        <v>247</v>
      </c>
      <c r="K843">
        <v>2.3685888942222739E-2</v>
      </c>
      <c r="L843" t="s">
        <v>161</v>
      </c>
      <c r="N843" t="s">
        <v>212</v>
      </c>
      <c r="O843" t="s">
        <v>247</v>
      </c>
      <c r="P843">
        <v>8.6021839516008218E-3</v>
      </c>
      <c r="Q843" t="s">
        <v>161</v>
      </c>
    </row>
    <row r="844" spans="9:17" x14ac:dyDescent="0.45">
      <c r="I844" t="s">
        <v>189</v>
      </c>
      <c r="J844" t="s">
        <v>268</v>
      </c>
      <c r="K844">
        <v>2.5704050696970029E-2</v>
      </c>
      <c r="L844" t="s">
        <v>161</v>
      </c>
      <c r="N844" t="s">
        <v>212</v>
      </c>
      <c r="O844" t="s">
        <v>268</v>
      </c>
      <c r="P844">
        <v>6.012357161776119E-2</v>
      </c>
      <c r="Q844" t="s">
        <v>161</v>
      </c>
    </row>
    <row r="845" spans="9:17" x14ac:dyDescent="0.45">
      <c r="I845" t="s">
        <v>189</v>
      </c>
      <c r="J845" t="s">
        <v>170</v>
      </c>
      <c r="K845">
        <v>2.0565560986049183E-2</v>
      </c>
      <c r="L845" t="s">
        <v>161</v>
      </c>
      <c r="N845" t="s">
        <v>212</v>
      </c>
      <c r="O845" t="s">
        <v>170</v>
      </c>
      <c r="P845">
        <v>3.6853345986024098E-2</v>
      </c>
      <c r="Q845" t="s">
        <v>161</v>
      </c>
    </row>
    <row r="846" spans="9:17" x14ac:dyDescent="0.45">
      <c r="I846" t="s">
        <v>189</v>
      </c>
      <c r="J846" t="s">
        <v>171</v>
      </c>
      <c r="K846">
        <v>1.5437196836132939E-2</v>
      </c>
      <c r="L846" t="s">
        <v>161</v>
      </c>
      <c r="N846" t="s">
        <v>212</v>
      </c>
      <c r="O846" t="s">
        <v>171</v>
      </c>
      <c r="P846">
        <v>3.7371934630328562E-3</v>
      </c>
      <c r="Q846" t="s">
        <v>161</v>
      </c>
    </row>
    <row r="847" spans="9:17" x14ac:dyDescent="0.45">
      <c r="I847" t="s">
        <v>189</v>
      </c>
      <c r="J847" t="s">
        <v>172</v>
      </c>
      <c r="K847">
        <v>0.12649437999421262</v>
      </c>
      <c r="L847" t="s">
        <v>161</v>
      </c>
      <c r="N847" t="s">
        <v>212</v>
      </c>
      <c r="O847" t="s">
        <v>172</v>
      </c>
      <c r="P847">
        <v>2.5750399253817436E-2</v>
      </c>
      <c r="Q847" t="s">
        <v>161</v>
      </c>
    </row>
    <row r="848" spans="9:17" x14ac:dyDescent="0.45">
      <c r="I848" t="s">
        <v>189</v>
      </c>
      <c r="J848" t="s">
        <v>248</v>
      </c>
      <c r="K848">
        <v>1.357482270489283E-2</v>
      </c>
      <c r="L848" t="s">
        <v>161</v>
      </c>
      <c r="N848" t="s">
        <v>212</v>
      </c>
      <c r="O848" t="s">
        <v>248</v>
      </c>
      <c r="P848">
        <v>3.6271997389262654E-3</v>
      </c>
      <c r="Q848" t="s">
        <v>161</v>
      </c>
    </row>
    <row r="849" spans="9:17" x14ac:dyDescent="0.45">
      <c r="I849" t="s">
        <v>189</v>
      </c>
      <c r="J849" t="s">
        <v>249</v>
      </c>
      <c r="K849">
        <v>1.0374296678895546E-2</v>
      </c>
      <c r="L849" t="s">
        <v>161</v>
      </c>
      <c r="N849" t="s">
        <v>212</v>
      </c>
      <c r="O849" t="s">
        <v>249</v>
      </c>
      <c r="P849">
        <v>3.315056160194087E-3</v>
      </c>
      <c r="Q849" t="s">
        <v>161</v>
      </c>
    </row>
    <row r="850" spans="9:17" x14ac:dyDescent="0.45">
      <c r="I850" t="s">
        <v>189</v>
      </c>
      <c r="J850" t="s">
        <v>269</v>
      </c>
      <c r="K850">
        <v>8.4262399348433142E-3</v>
      </c>
      <c r="L850" t="s">
        <v>161</v>
      </c>
      <c r="N850" t="s">
        <v>212</v>
      </c>
      <c r="O850" t="s">
        <v>269</v>
      </c>
      <c r="P850">
        <v>2.6549515529908977E-2</v>
      </c>
      <c r="Q850" t="s">
        <v>161</v>
      </c>
    </row>
    <row r="851" spans="9:17" x14ac:dyDescent="0.45">
      <c r="I851" t="s">
        <v>189</v>
      </c>
      <c r="J851" t="s">
        <v>250</v>
      </c>
      <c r="K851">
        <v>4.0626708684498008E-3</v>
      </c>
      <c r="L851" t="s">
        <v>161</v>
      </c>
      <c r="N851" t="s">
        <v>212</v>
      </c>
      <c r="O851" t="s">
        <v>250</v>
      </c>
      <c r="P851">
        <v>4.421349477080621E-2</v>
      </c>
      <c r="Q851" t="s">
        <v>161</v>
      </c>
    </row>
    <row r="852" spans="9:17" x14ac:dyDescent="0.45">
      <c r="I852" t="s">
        <v>189</v>
      </c>
      <c r="J852" t="s">
        <v>251</v>
      </c>
      <c r="K852">
        <v>6.6289992808220627E-3</v>
      </c>
      <c r="L852" t="s">
        <v>161</v>
      </c>
      <c r="N852" t="s">
        <v>212</v>
      </c>
      <c r="O852" t="s">
        <v>251</v>
      </c>
      <c r="P852">
        <v>4.6175767708102836E-3</v>
      </c>
      <c r="Q852" t="s">
        <v>161</v>
      </c>
    </row>
    <row r="853" spans="9:17" x14ac:dyDescent="0.45">
      <c r="I853" t="s">
        <v>189</v>
      </c>
      <c r="J853" t="s">
        <v>252</v>
      </c>
      <c r="K853">
        <v>7.311488921998778E-2</v>
      </c>
      <c r="L853" t="s">
        <v>161</v>
      </c>
      <c r="N853" t="s">
        <v>212</v>
      </c>
      <c r="O853" t="s">
        <v>252</v>
      </c>
      <c r="P853">
        <v>2.9212490504107243E-2</v>
      </c>
      <c r="Q853" t="s">
        <v>161</v>
      </c>
    </row>
    <row r="854" spans="9:17" x14ac:dyDescent="0.45">
      <c r="I854" t="s">
        <v>189</v>
      </c>
      <c r="J854" t="s">
        <v>253</v>
      </c>
      <c r="K854">
        <v>6.4730701807310153E-3</v>
      </c>
      <c r="L854" t="s">
        <v>161</v>
      </c>
      <c r="N854" t="s">
        <v>212</v>
      </c>
      <c r="O854" t="s">
        <v>253</v>
      </c>
      <c r="P854">
        <v>4.8657840301120497E-3</v>
      </c>
      <c r="Q854" t="s">
        <v>161</v>
      </c>
    </row>
    <row r="855" spans="9:17" x14ac:dyDescent="0.45">
      <c r="I855" t="s">
        <v>189</v>
      </c>
      <c r="J855" t="s">
        <v>254</v>
      </c>
      <c r="K855">
        <v>2.412378297038025E-3</v>
      </c>
      <c r="L855" t="s">
        <v>161</v>
      </c>
      <c r="N855" t="s">
        <v>212</v>
      </c>
      <c r="O855" t="s">
        <v>254</v>
      </c>
      <c r="P855">
        <v>5.3289608958935917E-3</v>
      </c>
      <c r="Q855" t="s">
        <v>161</v>
      </c>
    </row>
    <row r="856" spans="9:17" x14ac:dyDescent="0.45">
      <c r="I856" t="s">
        <v>189</v>
      </c>
      <c r="J856" t="s">
        <v>270</v>
      </c>
      <c r="K856">
        <v>2.4981865680207286E-6</v>
      </c>
      <c r="L856" t="s">
        <v>161</v>
      </c>
      <c r="N856" t="s">
        <v>212</v>
      </c>
      <c r="O856" t="s">
        <v>270</v>
      </c>
      <c r="P856">
        <v>3.4406941814717706E-2</v>
      </c>
      <c r="Q856" t="s">
        <v>161</v>
      </c>
    </row>
    <row r="857" spans="9:17" x14ac:dyDescent="0.45">
      <c r="I857" t="s">
        <v>189</v>
      </c>
      <c r="J857" t="s">
        <v>255</v>
      </c>
      <c r="K857">
        <v>6.1471339709829036E-7</v>
      </c>
      <c r="L857" t="s">
        <v>161</v>
      </c>
      <c r="N857" t="s">
        <v>212</v>
      </c>
      <c r="O857" t="s">
        <v>255</v>
      </c>
      <c r="P857">
        <v>5.8719789282221241E-2</v>
      </c>
      <c r="Q857" t="s">
        <v>161</v>
      </c>
    </row>
    <row r="858" spans="9:17" x14ac:dyDescent="0.45">
      <c r="I858" t="s">
        <v>189</v>
      </c>
      <c r="J858" t="s">
        <v>256</v>
      </c>
      <c r="K858">
        <v>1.989643989411375E-3</v>
      </c>
      <c r="L858" t="s">
        <v>161</v>
      </c>
      <c r="N858" t="s">
        <v>212</v>
      </c>
      <c r="O858" t="s">
        <v>256</v>
      </c>
      <c r="P858">
        <v>6.673929917568551E-3</v>
      </c>
      <c r="Q858" t="s">
        <v>161</v>
      </c>
    </row>
    <row r="859" spans="9:17" x14ac:dyDescent="0.45">
      <c r="I859" t="s">
        <v>189</v>
      </c>
      <c r="J859" t="s">
        <v>257</v>
      </c>
      <c r="K859">
        <v>3.815919212004714E-2</v>
      </c>
      <c r="L859" t="s">
        <v>161</v>
      </c>
      <c r="N859" t="s">
        <v>212</v>
      </c>
      <c r="O859" t="s">
        <v>257</v>
      </c>
      <c r="P859">
        <v>4.013448891496231E-2</v>
      </c>
      <c r="Q859" t="s">
        <v>161</v>
      </c>
    </row>
    <row r="860" spans="9:17" x14ac:dyDescent="0.45">
      <c r="I860" t="s">
        <v>189</v>
      </c>
      <c r="J860" t="s">
        <v>258</v>
      </c>
      <c r="K860">
        <v>8.71731158328213E-4</v>
      </c>
      <c r="L860" t="s">
        <v>161</v>
      </c>
      <c r="N860" t="s">
        <v>212</v>
      </c>
      <c r="O860" t="s">
        <v>258</v>
      </c>
      <c r="P860">
        <v>7.2470086259581517E-3</v>
      </c>
      <c r="Q860" t="s">
        <v>161</v>
      </c>
    </row>
    <row r="861" spans="9:17" x14ac:dyDescent="0.45">
      <c r="I861" t="s">
        <v>189</v>
      </c>
      <c r="J861" t="s">
        <v>259</v>
      </c>
      <c r="K861">
        <v>0</v>
      </c>
      <c r="L861" t="s">
        <v>161</v>
      </c>
      <c r="N861" t="s">
        <v>212</v>
      </c>
      <c r="O861" t="s">
        <v>259</v>
      </c>
      <c r="P861">
        <v>7.4289179653749763E-3</v>
      </c>
      <c r="Q861" t="s">
        <v>161</v>
      </c>
    </row>
    <row r="862" spans="9:17" x14ac:dyDescent="0.45">
      <c r="I862" t="s">
        <v>189</v>
      </c>
      <c r="J862" t="s">
        <v>271</v>
      </c>
      <c r="K862">
        <v>0</v>
      </c>
      <c r="L862" t="s">
        <v>161</v>
      </c>
      <c r="N862" t="s">
        <v>212</v>
      </c>
      <c r="O862" t="s">
        <v>271</v>
      </c>
      <c r="P862">
        <v>4.3970496006494421E-2</v>
      </c>
      <c r="Q862" t="s">
        <v>161</v>
      </c>
    </row>
    <row r="863" spans="9:17" x14ac:dyDescent="0.45">
      <c r="I863" t="s">
        <v>189</v>
      </c>
      <c r="J863" t="s">
        <v>272</v>
      </c>
      <c r="K863">
        <v>0</v>
      </c>
      <c r="L863" t="s">
        <v>161</v>
      </c>
      <c r="N863" t="s">
        <v>212</v>
      </c>
      <c r="O863" t="s">
        <v>272</v>
      </c>
      <c r="P863">
        <v>1.4021400364724606E-2</v>
      </c>
      <c r="Q863" t="s">
        <v>161</v>
      </c>
    </row>
    <row r="864" spans="9:17" x14ac:dyDescent="0.45">
      <c r="I864" t="s">
        <v>189</v>
      </c>
      <c r="J864" t="s">
        <v>273</v>
      </c>
      <c r="K864">
        <v>1.063196959809439E-5</v>
      </c>
      <c r="L864" t="s">
        <v>161</v>
      </c>
      <c r="N864" t="s">
        <v>212</v>
      </c>
      <c r="O864" t="s">
        <v>273</v>
      </c>
      <c r="P864">
        <v>1.4246852582758241E-3</v>
      </c>
      <c r="Q864" t="s">
        <v>161</v>
      </c>
    </row>
    <row r="865" spans="9:17" x14ac:dyDescent="0.45">
      <c r="I865" t="s">
        <v>189</v>
      </c>
      <c r="J865" t="s">
        <v>274</v>
      </c>
      <c r="K865">
        <v>5.1841595538329923E-3</v>
      </c>
      <c r="L865" t="s">
        <v>161</v>
      </c>
      <c r="N865" t="s">
        <v>212</v>
      </c>
      <c r="O865" t="s">
        <v>274</v>
      </c>
      <c r="P865">
        <v>8.5439609276844724E-3</v>
      </c>
      <c r="Q865" t="s">
        <v>161</v>
      </c>
    </row>
    <row r="866" spans="9:17" x14ac:dyDescent="0.45">
      <c r="I866" t="s">
        <v>189</v>
      </c>
      <c r="J866" t="s">
        <v>275</v>
      </c>
      <c r="K866">
        <v>0</v>
      </c>
      <c r="L866" t="s">
        <v>161</v>
      </c>
      <c r="N866" t="s">
        <v>212</v>
      </c>
      <c r="O866" t="s">
        <v>275</v>
      </c>
      <c r="P866">
        <v>1.7321913158913501E-3</v>
      </c>
      <c r="Q866" t="s">
        <v>161</v>
      </c>
    </row>
    <row r="867" spans="9:17" x14ac:dyDescent="0.45">
      <c r="I867" t="s">
        <v>189</v>
      </c>
      <c r="J867" t="s">
        <v>276</v>
      </c>
      <c r="K867">
        <v>0</v>
      </c>
      <c r="L867" t="s">
        <v>161</v>
      </c>
      <c r="N867" t="s">
        <v>212</v>
      </c>
      <c r="O867" t="s">
        <v>276</v>
      </c>
      <c r="P867">
        <v>1.7866123883393773E-3</v>
      </c>
      <c r="Q867" t="s">
        <v>161</v>
      </c>
    </row>
    <row r="868" spans="9:17" x14ac:dyDescent="0.45">
      <c r="I868" t="s">
        <v>189</v>
      </c>
      <c r="J868" t="s">
        <v>277</v>
      </c>
      <c r="K868">
        <v>0</v>
      </c>
      <c r="L868" t="s">
        <v>161</v>
      </c>
      <c r="N868" t="s">
        <v>212</v>
      </c>
      <c r="O868" t="s">
        <v>277</v>
      </c>
      <c r="P868">
        <v>9.7446953113492982E-3</v>
      </c>
      <c r="Q868" t="s">
        <v>161</v>
      </c>
    </row>
    <row r="869" spans="9:17" x14ac:dyDescent="0.45">
      <c r="I869" t="s">
        <v>189</v>
      </c>
      <c r="J869" t="s">
        <v>278</v>
      </c>
      <c r="K869">
        <v>0</v>
      </c>
      <c r="L869" t="s">
        <v>161</v>
      </c>
      <c r="N869" t="s">
        <v>212</v>
      </c>
      <c r="O869" t="s">
        <v>278</v>
      </c>
      <c r="P869">
        <v>6.2936428487310641E-3</v>
      </c>
      <c r="Q869" t="s">
        <v>161</v>
      </c>
    </row>
    <row r="870" spans="9:17" x14ac:dyDescent="0.45">
      <c r="I870" t="s">
        <v>189</v>
      </c>
      <c r="J870" t="s">
        <v>279</v>
      </c>
      <c r="K870">
        <v>0</v>
      </c>
      <c r="L870" t="s">
        <v>161</v>
      </c>
      <c r="N870" t="s">
        <v>212</v>
      </c>
      <c r="O870" t="s">
        <v>279</v>
      </c>
      <c r="P870">
        <v>4.9241656870904651E-4</v>
      </c>
      <c r="Q870" t="s">
        <v>161</v>
      </c>
    </row>
    <row r="871" spans="9:17" x14ac:dyDescent="0.45">
      <c r="I871" t="s">
        <v>189</v>
      </c>
      <c r="J871" t="s">
        <v>280</v>
      </c>
      <c r="K871">
        <v>4.4790868313950476E-3</v>
      </c>
      <c r="L871" t="s">
        <v>161</v>
      </c>
      <c r="N871" t="s">
        <v>212</v>
      </c>
      <c r="O871" t="s">
        <v>280</v>
      </c>
      <c r="P871">
        <v>1.2780331021153028E-3</v>
      </c>
      <c r="Q871" t="s">
        <v>161</v>
      </c>
    </row>
    <row r="872" spans="9:17" x14ac:dyDescent="0.45">
      <c r="I872" t="s">
        <v>189</v>
      </c>
      <c r="J872" t="s">
        <v>281</v>
      </c>
      <c r="K872">
        <v>1.1985901709345212E-5</v>
      </c>
      <c r="L872" t="s">
        <v>161</v>
      </c>
      <c r="N872" t="s">
        <v>212</v>
      </c>
      <c r="O872" t="s">
        <v>281</v>
      </c>
      <c r="P872">
        <v>2.5247882866021823E-4</v>
      </c>
      <c r="Q872" t="s">
        <v>161</v>
      </c>
    </row>
    <row r="873" spans="9:17" x14ac:dyDescent="0.45">
      <c r="I873" t="s">
        <v>189</v>
      </c>
      <c r="J873" t="s">
        <v>282</v>
      </c>
      <c r="K873">
        <v>0</v>
      </c>
      <c r="L873" t="s">
        <v>161</v>
      </c>
      <c r="N873" t="s">
        <v>212</v>
      </c>
      <c r="O873" t="s">
        <v>282</v>
      </c>
      <c r="P873">
        <v>3.6666072122872777E-4</v>
      </c>
      <c r="Q873" t="s">
        <v>161</v>
      </c>
    </row>
    <row r="874" spans="9:17" x14ac:dyDescent="0.45">
      <c r="I874" t="s">
        <v>189</v>
      </c>
      <c r="J874" t="s">
        <v>283</v>
      </c>
      <c r="K874">
        <v>0</v>
      </c>
      <c r="L874" t="s">
        <v>161</v>
      </c>
      <c r="N874" t="s">
        <v>212</v>
      </c>
      <c r="O874" t="s">
        <v>283</v>
      </c>
      <c r="P874">
        <v>3.7425429481242269E-3</v>
      </c>
      <c r="Q874" t="s">
        <v>161</v>
      </c>
    </row>
    <row r="875" spans="9:17" x14ac:dyDescent="0.45">
      <c r="I875" t="s">
        <v>190</v>
      </c>
      <c r="J875" t="s">
        <v>160</v>
      </c>
      <c r="K875">
        <v>1.6868626678150618E-3</v>
      </c>
      <c r="L875" t="s">
        <v>161</v>
      </c>
      <c r="N875" t="s">
        <v>213</v>
      </c>
      <c r="O875" t="s">
        <v>160</v>
      </c>
      <c r="P875">
        <v>8.0172776812571317E-2</v>
      </c>
      <c r="Q875" t="s">
        <v>161</v>
      </c>
    </row>
    <row r="876" spans="9:17" x14ac:dyDescent="0.45">
      <c r="I876" t="s">
        <v>190</v>
      </c>
      <c r="J876" t="s">
        <v>162</v>
      </c>
      <c r="K876">
        <v>5.5348289791815894E-3</v>
      </c>
      <c r="L876" t="s">
        <v>161</v>
      </c>
      <c r="N876" t="s">
        <v>213</v>
      </c>
      <c r="O876" t="s">
        <v>162</v>
      </c>
      <c r="P876">
        <v>9.459996259730109E-3</v>
      </c>
      <c r="Q876" t="s">
        <v>161</v>
      </c>
    </row>
    <row r="877" spans="9:17" x14ac:dyDescent="0.45">
      <c r="I877" t="s">
        <v>190</v>
      </c>
      <c r="J877" t="s">
        <v>163</v>
      </c>
      <c r="K877">
        <v>8.2907394587709946E-2</v>
      </c>
      <c r="L877" t="s">
        <v>161</v>
      </c>
      <c r="N877" t="s">
        <v>213</v>
      </c>
      <c r="O877" t="s">
        <v>163</v>
      </c>
      <c r="P877">
        <v>5.6478769439431337E-2</v>
      </c>
      <c r="Q877" t="s">
        <v>161</v>
      </c>
    </row>
    <row r="878" spans="9:17" x14ac:dyDescent="0.45">
      <c r="I878" t="s">
        <v>190</v>
      </c>
      <c r="J878" t="s">
        <v>242</v>
      </c>
      <c r="K878">
        <v>6.3253779768428402E-3</v>
      </c>
      <c r="L878" t="s">
        <v>161</v>
      </c>
      <c r="N878" t="s">
        <v>213</v>
      </c>
      <c r="O878" t="s">
        <v>242</v>
      </c>
      <c r="P878">
        <v>8.8152718909030627E-3</v>
      </c>
      <c r="Q878" t="s">
        <v>161</v>
      </c>
    </row>
    <row r="879" spans="9:17" x14ac:dyDescent="0.45">
      <c r="I879" t="s">
        <v>190</v>
      </c>
      <c r="J879" t="s">
        <v>243</v>
      </c>
      <c r="K879">
        <v>2.4179052755828275E-3</v>
      </c>
      <c r="L879" t="s">
        <v>161</v>
      </c>
      <c r="N879" t="s">
        <v>213</v>
      </c>
      <c r="O879" t="s">
        <v>243</v>
      </c>
      <c r="P879">
        <v>9.6239122008960412E-3</v>
      </c>
      <c r="Q879" t="s">
        <v>161</v>
      </c>
    </row>
    <row r="880" spans="9:17" x14ac:dyDescent="0.45">
      <c r="I880" t="s">
        <v>190</v>
      </c>
      <c r="J880" t="s">
        <v>266</v>
      </c>
      <c r="K880">
        <v>0</v>
      </c>
      <c r="L880" t="s">
        <v>161</v>
      </c>
      <c r="N880" t="s">
        <v>213</v>
      </c>
      <c r="O880" t="s">
        <v>266</v>
      </c>
      <c r="P880">
        <v>6.1211765374866556E-2</v>
      </c>
      <c r="Q880" t="s">
        <v>161</v>
      </c>
    </row>
    <row r="881" spans="9:17" x14ac:dyDescent="0.45">
      <c r="I881" t="s">
        <v>190</v>
      </c>
      <c r="J881" t="s">
        <v>164</v>
      </c>
      <c r="K881">
        <v>1.2229398450832209E-2</v>
      </c>
      <c r="L881" t="s">
        <v>161</v>
      </c>
      <c r="N881" t="s">
        <v>213</v>
      </c>
      <c r="O881" t="s">
        <v>164</v>
      </c>
      <c r="P881">
        <v>4.7886138842331089E-2</v>
      </c>
      <c r="Q881" t="s">
        <v>161</v>
      </c>
    </row>
    <row r="882" spans="9:17" x14ac:dyDescent="0.45">
      <c r="I882" t="s">
        <v>190</v>
      </c>
      <c r="J882" t="s">
        <v>165</v>
      </c>
      <c r="K882">
        <v>1.0860455588429718E-2</v>
      </c>
      <c r="L882" t="s">
        <v>161</v>
      </c>
      <c r="N882" t="s">
        <v>213</v>
      </c>
      <c r="O882" t="s">
        <v>165</v>
      </c>
      <c r="P882">
        <v>5.4506109943970107E-3</v>
      </c>
      <c r="Q882" t="s">
        <v>161</v>
      </c>
    </row>
    <row r="883" spans="9:17" x14ac:dyDescent="0.45">
      <c r="I883" t="s">
        <v>190</v>
      </c>
      <c r="J883" t="s">
        <v>166</v>
      </c>
      <c r="K883">
        <v>9.3623515478623021E-2</v>
      </c>
      <c r="L883" t="s">
        <v>161</v>
      </c>
      <c r="N883" t="s">
        <v>213</v>
      </c>
      <c r="O883" t="s">
        <v>166</v>
      </c>
      <c r="P883">
        <v>2.9572735390654692E-2</v>
      </c>
      <c r="Q883" t="s">
        <v>161</v>
      </c>
    </row>
    <row r="884" spans="9:17" x14ac:dyDescent="0.45">
      <c r="I884" t="s">
        <v>190</v>
      </c>
      <c r="J884" t="s">
        <v>244</v>
      </c>
      <c r="K884">
        <v>8.5975675602384394E-3</v>
      </c>
      <c r="L884" t="s">
        <v>161</v>
      </c>
      <c r="N884" t="s">
        <v>213</v>
      </c>
      <c r="O884" t="s">
        <v>244</v>
      </c>
      <c r="P884">
        <v>4.3277890356144023E-3</v>
      </c>
      <c r="Q884" t="s">
        <v>161</v>
      </c>
    </row>
    <row r="885" spans="9:17" x14ac:dyDescent="0.45">
      <c r="I885" t="s">
        <v>190</v>
      </c>
      <c r="J885" t="s">
        <v>245</v>
      </c>
      <c r="K885">
        <v>5.3820627774921045E-3</v>
      </c>
      <c r="L885" t="s">
        <v>161</v>
      </c>
      <c r="N885" t="s">
        <v>213</v>
      </c>
      <c r="O885" t="s">
        <v>245</v>
      </c>
      <c r="P885">
        <v>4.738077743422448E-3</v>
      </c>
      <c r="Q885" t="s">
        <v>161</v>
      </c>
    </row>
    <row r="886" spans="9:17" x14ac:dyDescent="0.45">
      <c r="I886" t="s">
        <v>190</v>
      </c>
      <c r="J886" t="s">
        <v>267</v>
      </c>
      <c r="K886">
        <v>2.2778369789741445E-3</v>
      </c>
      <c r="L886" t="s">
        <v>161</v>
      </c>
      <c r="N886" t="s">
        <v>213</v>
      </c>
      <c r="O886" t="s">
        <v>267</v>
      </c>
      <c r="P886">
        <v>3.5249778821105804E-2</v>
      </c>
      <c r="Q886" t="s">
        <v>161</v>
      </c>
    </row>
    <row r="887" spans="9:17" x14ac:dyDescent="0.45">
      <c r="I887" t="s">
        <v>190</v>
      </c>
      <c r="J887" t="s">
        <v>167</v>
      </c>
      <c r="K887">
        <v>6.6197705539267626E-2</v>
      </c>
      <c r="L887" t="s">
        <v>161</v>
      </c>
      <c r="N887" t="s">
        <v>213</v>
      </c>
      <c r="O887" t="s">
        <v>167</v>
      </c>
      <c r="P887">
        <v>6.3012543882967925E-2</v>
      </c>
      <c r="Q887" t="s">
        <v>161</v>
      </c>
    </row>
    <row r="888" spans="9:17" x14ac:dyDescent="0.45">
      <c r="I888" t="s">
        <v>190</v>
      </c>
      <c r="J888" t="s">
        <v>168</v>
      </c>
      <c r="K888">
        <v>3.4562638126357986E-2</v>
      </c>
      <c r="L888" t="s">
        <v>161</v>
      </c>
      <c r="N888" t="s">
        <v>213</v>
      </c>
      <c r="O888" t="s">
        <v>168</v>
      </c>
      <c r="P888">
        <v>6.0668398854821365E-3</v>
      </c>
      <c r="Q888" t="s">
        <v>161</v>
      </c>
    </row>
    <row r="889" spans="9:17" x14ac:dyDescent="0.45">
      <c r="I889" t="s">
        <v>190</v>
      </c>
      <c r="J889" t="s">
        <v>169</v>
      </c>
      <c r="K889">
        <v>0.26940577366064478</v>
      </c>
      <c r="L889" t="s">
        <v>161</v>
      </c>
      <c r="N889" t="s">
        <v>213</v>
      </c>
      <c r="O889" t="s">
        <v>169</v>
      </c>
      <c r="P889">
        <v>4.6868413059596957E-2</v>
      </c>
      <c r="Q889" t="s">
        <v>161</v>
      </c>
    </row>
    <row r="890" spans="9:17" x14ac:dyDescent="0.45">
      <c r="I890" t="s">
        <v>190</v>
      </c>
      <c r="J890" t="s">
        <v>246</v>
      </c>
      <c r="K890">
        <v>2.7812777713126836E-2</v>
      </c>
      <c r="L890" t="s">
        <v>161</v>
      </c>
      <c r="N890" t="s">
        <v>213</v>
      </c>
      <c r="O890" t="s">
        <v>246</v>
      </c>
      <c r="P890">
        <v>7.6951615831642711E-3</v>
      </c>
      <c r="Q890" t="s">
        <v>161</v>
      </c>
    </row>
    <row r="891" spans="9:17" x14ac:dyDescent="0.45">
      <c r="I891" t="s">
        <v>190</v>
      </c>
      <c r="J891" t="s">
        <v>247</v>
      </c>
      <c r="K891">
        <v>2.1820617190539359E-2</v>
      </c>
      <c r="L891" t="s">
        <v>161</v>
      </c>
      <c r="N891" t="s">
        <v>213</v>
      </c>
      <c r="O891" t="s">
        <v>247</v>
      </c>
      <c r="P891">
        <v>7.8826260820468712E-3</v>
      </c>
      <c r="Q891" t="s">
        <v>161</v>
      </c>
    </row>
    <row r="892" spans="9:17" x14ac:dyDescent="0.45">
      <c r="I892" t="s">
        <v>190</v>
      </c>
      <c r="J892" t="s">
        <v>268</v>
      </c>
      <c r="K892">
        <v>2.2468961820208442E-2</v>
      </c>
      <c r="L892" t="s">
        <v>161</v>
      </c>
      <c r="N892" t="s">
        <v>213</v>
      </c>
      <c r="O892" t="s">
        <v>268</v>
      </c>
      <c r="P892">
        <v>5.9609688550579916E-2</v>
      </c>
      <c r="Q892" t="s">
        <v>161</v>
      </c>
    </row>
    <row r="893" spans="9:17" x14ac:dyDescent="0.45">
      <c r="I893" t="s">
        <v>190</v>
      </c>
      <c r="J893" t="s">
        <v>170</v>
      </c>
      <c r="K893">
        <v>2.2653143096631682E-2</v>
      </c>
      <c r="L893" t="s">
        <v>161</v>
      </c>
      <c r="N893" t="s">
        <v>213</v>
      </c>
      <c r="O893" t="s">
        <v>170</v>
      </c>
      <c r="P893">
        <v>3.236384097659703E-2</v>
      </c>
      <c r="Q893" t="s">
        <v>161</v>
      </c>
    </row>
    <row r="894" spans="9:17" x14ac:dyDescent="0.45">
      <c r="I894" t="s">
        <v>190</v>
      </c>
      <c r="J894" t="s">
        <v>171</v>
      </c>
      <c r="K894">
        <v>1.5257810250791802E-2</v>
      </c>
      <c r="L894" t="s">
        <v>161</v>
      </c>
      <c r="N894" t="s">
        <v>213</v>
      </c>
      <c r="O894" t="s">
        <v>171</v>
      </c>
      <c r="P894">
        <v>3.4514691951379999E-3</v>
      </c>
      <c r="Q894" t="s">
        <v>161</v>
      </c>
    </row>
    <row r="895" spans="9:17" x14ac:dyDescent="0.45">
      <c r="I895" t="s">
        <v>190</v>
      </c>
      <c r="J895" t="s">
        <v>172</v>
      </c>
      <c r="K895">
        <v>0.12284672417017059</v>
      </c>
      <c r="L895" t="s">
        <v>161</v>
      </c>
      <c r="N895" t="s">
        <v>213</v>
      </c>
      <c r="O895" t="s">
        <v>172</v>
      </c>
      <c r="P895">
        <v>2.0173075525745422E-2</v>
      </c>
      <c r="Q895" t="s">
        <v>161</v>
      </c>
    </row>
    <row r="896" spans="9:17" x14ac:dyDescent="0.45">
      <c r="I896" t="s">
        <v>190</v>
      </c>
      <c r="J896" t="s">
        <v>248</v>
      </c>
      <c r="K896">
        <v>1.2536707216931365E-2</v>
      </c>
      <c r="L896" t="s">
        <v>161</v>
      </c>
      <c r="N896" t="s">
        <v>213</v>
      </c>
      <c r="O896" t="s">
        <v>248</v>
      </c>
      <c r="P896">
        <v>3.1692538506569146E-3</v>
      </c>
      <c r="Q896" t="s">
        <v>161</v>
      </c>
    </row>
    <row r="897" spans="9:17" x14ac:dyDescent="0.45">
      <c r="I897" t="s">
        <v>190</v>
      </c>
      <c r="J897" t="s">
        <v>249</v>
      </c>
      <c r="K897">
        <v>9.0756635840695959E-3</v>
      </c>
      <c r="L897" t="s">
        <v>161</v>
      </c>
      <c r="N897" t="s">
        <v>213</v>
      </c>
      <c r="O897" t="s">
        <v>249</v>
      </c>
      <c r="P897">
        <v>3.0742800641369436E-3</v>
      </c>
      <c r="Q897" t="s">
        <v>161</v>
      </c>
    </row>
    <row r="898" spans="9:17" x14ac:dyDescent="0.45">
      <c r="I898" t="s">
        <v>190</v>
      </c>
      <c r="J898" t="s">
        <v>269</v>
      </c>
      <c r="K898">
        <v>6.5200586000980151E-3</v>
      </c>
      <c r="L898" t="s">
        <v>161</v>
      </c>
      <c r="N898" t="s">
        <v>213</v>
      </c>
      <c r="O898" t="s">
        <v>269</v>
      </c>
      <c r="P898">
        <v>2.3649074168043453E-2</v>
      </c>
      <c r="Q898" t="s">
        <v>161</v>
      </c>
    </row>
    <row r="899" spans="9:17" x14ac:dyDescent="0.45">
      <c r="I899" t="s">
        <v>190</v>
      </c>
      <c r="J899" t="s">
        <v>250</v>
      </c>
      <c r="K899">
        <v>5.136276512724843E-3</v>
      </c>
      <c r="L899" t="s">
        <v>161</v>
      </c>
      <c r="N899" t="s">
        <v>213</v>
      </c>
      <c r="O899" t="s">
        <v>250</v>
      </c>
      <c r="P899">
        <v>5.3060339437507577E-2</v>
      </c>
      <c r="Q899" t="s">
        <v>161</v>
      </c>
    </row>
    <row r="900" spans="9:17" x14ac:dyDescent="0.45">
      <c r="I900" t="s">
        <v>190</v>
      </c>
      <c r="J900" t="s">
        <v>251</v>
      </c>
      <c r="K900">
        <v>7.4093631654898427E-3</v>
      </c>
      <c r="L900" t="s">
        <v>161</v>
      </c>
      <c r="N900" t="s">
        <v>213</v>
      </c>
      <c r="O900" t="s">
        <v>251</v>
      </c>
      <c r="P900">
        <v>6.089240611332025E-3</v>
      </c>
      <c r="Q900" t="s">
        <v>161</v>
      </c>
    </row>
    <row r="901" spans="9:17" x14ac:dyDescent="0.45">
      <c r="I901" t="s">
        <v>190</v>
      </c>
      <c r="J901" t="s">
        <v>252</v>
      </c>
      <c r="K901">
        <v>7.333932324151704E-2</v>
      </c>
      <c r="L901" t="s">
        <v>161</v>
      </c>
      <c r="N901" t="s">
        <v>213</v>
      </c>
      <c r="O901" t="s">
        <v>252</v>
      </c>
      <c r="P901">
        <v>3.3609242692967216E-2</v>
      </c>
      <c r="Q901" t="s">
        <v>161</v>
      </c>
    </row>
    <row r="902" spans="9:17" x14ac:dyDescent="0.45">
      <c r="I902" t="s">
        <v>190</v>
      </c>
      <c r="J902" t="s">
        <v>253</v>
      </c>
      <c r="K902">
        <v>5.0477997634476007E-3</v>
      </c>
      <c r="L902" t="s">
        <v>161</v>
      </c>
      <c r="N902" t="s">
        <v>213</v>
      </c>
      <c r="O902" t="s">
        <v>253</v>
      </c>
      <c r="P902">
        <v>5.2314328358812725E-3</v>
      </c>
      <c r="Q902" t="s">
        <v>161</v>
      </c>
    </row>
    <row r="903" spans="9:17" x14ac:dyDescent="0.45">
      <c r="I903" t="s">
        <v>190</v>
      </c>
      <c r="J903" t="s">
        <v>254</v>
      </c>
      <c r="K903">
        <v>1.5444067464391881E-3</v>
      </c>
      <c r="L903" t="s">
        <v>161</v>
      </c>
      <c r="N903" t="s">
        <v>213</v>
      </c>
      <c r="O903" t="s">
        <v>254</v>
      </c>
      <c r="P903">
        <v>5.6670085856644044E-3</v>
      </c>
      <c r="Q903" t="s">
        <v>161</v>
      </c>
    </row>
    <row r="904" spans="9:17" x14ac:dyDescent="0.45">
      <c r="I904" t="s">
        <v>190</v>
      </c>
      <c r="J904" t="s">
        <v>270</v>
      </c>
      <c r="K904">
        <v>0</v>
      </c>
      <c r="L904" t="s">
        <v>161</v>
      </c>
      <c r="N904" t="s">
        <v>213</v>
      </c>
      <c r="O904" t="s">
        <v>270</v>
      </c>
      <c r="P904">
        <v>3.7916855877360663E-2</v>
      </c>
      <c r="Q904" t="s">
        <v>161</v>
      </c>
    </row>
    <row r="905" spans="9:17" x14ac:dyDescent="0.45">
      <c r="I905" t="s">
        <v>190</v>
      </c>
      <c r="J905" t="s">
        <v>255</v>
      </c>
      <c r="K905">
        <v>3.912015407843669E-6</v>
      </c>
      <c r="L905" t="s">
        <v>161</v>
      </c>
      <c r="N905" t="s">
        <v>213</v>
      </c>
      <c r="O905" t="s">
        <v>255</v>
      </c>
      <c r="P905">
        <v>5.929391274236806E-2</v>
      </c>
      <c r="Q905" t="s">
        <v>161</v>
      </c>
    </row>
    <row r="906" spans="9:17" x14ac:dyDescent="0.45">
      <c r="I906" t="s">
        <v>190</v>
      </c>
      <c r="J906" t="s">
        <v>256</v>
      </c>
      <c r="K906">
        <v>1.8716677774813107E-3</v>
      </c>
      <c r="L906" t="s">
        <v>161</v>
      </c>
      <c r="N906" t="s">
        <v>213</v>
      </c>
      <c r="O906" t="s">
        <v>256</v>
      </c>
      <c r="P906">
        <v>6.7740972570897355E-3</v>
      </c>
      <c r="Q906" t="s">
        <v>161</v>
      </c>
    </row>
    <row r="907" spans="9:17" x14ac:dyDescent="0.45">
      <c r="I907" t="s">
        <v>190</v>
      </c>
      <c r="J907" t="s">
        <v>257</v>
      </c>
      <c r="K907">
        <v>3.2748772530013751E-2</v>
      </c>
      <c r="L907" t="s">
        <v>161</v>
      </c>
      <c r="N907" t="s">
        <v>213</v>
      </c>
      <c r="O907" t="s">
        <v>257</v>
      </c>
      <c r="P907">
        <v>4.0494688536901066E-2</v>
      </c>
      <c r="Q907" t="s">
        <v>161</v>
      </c>
    </row>
    <row r="908" spans="9:17" x14ac:dyDescent="0.45">
      <c r="I908" t="s">
        <v>190</v>
      </c>
      <c r="J908" t="s">
        <v>258</v>
      </c>
      <c r="K908">
        <v>1.5005857531796089E-4</v>
      </c>
      <c r="L908" t="s">
        <v>161</v>
      </c>
      <c r="N908" t="s">
        <v>213</v>
      </c>
      <c r="O908" t="s">
        <v>258</v>
      </c>
      <c r="P908">
        <v>6.9194863743501306E-3</v>
      </c>
      <c r="Q908" t="s">
        <v>161</v>
      </c>
    </row>
    <row r="909" spans="9:17" x14ac:dyDescent="0.45">
      <c r="I909" t="s">
        <v>190</v>
      </c>
      <c r="J909" t="s">
        <v>259</v>
      </c>
      <c r="K909">
        <v>0</v>
      </c>
      <c r="L909" t="s">
        <v>161</v>
      </c>
      <c r="N909" t="s">
        <v>213</v>
      </c>
      <c r="O909" t="s">
        <v>259</v>
      </c>
      <c r="P909">
        <v>7.3858584273655044E-3</v>
      </c>
      <c r="Q909" t="s">
        <v>161</v>
      </c>
    </row>
    <row r="910" spans="9:17" x14ac:dyDescent="0.45">
      <c r="I910" t="s">
        <v>190</v>
      </c>
      <c r="J910" t="s">
        <v>271</v>
      </c>
      <c r="K910">
        <v>0</v>
      </c>
      <c r="L910" t="s">
        <v>161</v>
      </c>
      <c r="N910" t="s">
        <v>213</v>
      </c>
      <c r="O910" t="s">
        <v>271</v>
      </c>
      <c r="P910">
        <v>4.6618287697711022E-2</v>
      </c>
      <c r="Q910" t="s">
        <v>161</v>
      </c>
    </row>
    <row r="911" spans="9:17" x14ac:dyDescent="0.45">
      <c r="I911" t="s">
        <v>190</v>
      </c>
      <c r="J911" t="s">
        <v>272</v>
      </c>
      <c r="K911">
        <v>0</v>
      </c>
      <c r="L911" t="s">
        <v>161</v>
      </c>
      <c r="N911" t="s">
        <v>213</v>
      </c>
      <c r="O911" t="s">
        <v>272</v>
      </c>
      <c r="P911">
        <v>1.5288058352767666E-2</v>
      </c>
      <c r="Q911" t="s">
        <v>161</v>
      </c>
    </row>
    <row r="912" spans="9:17" x14ac:dyDescent="0.45">
      <c r="I912" t="s">
        <v>190</v>
      </c>
      <c r="J912" t="s">
        <v>273</v>
      </c>
      <c r="K912">
        <v>0</v>
      </c>
      <c r="L912" t="s">
        <v>161</v>
      </c>
      <c r="N912" t="s">
        <v>213</v>
      </c>
      <c r="O912" t="s">
        <v>273</v>
      </c>
      <c r="P912">
        <v>1.6555520781137776E-3</v>
      </c>
      <c r="Q912" t="s">
        <v>161</v>
      </c>
    </row>
    <row r="913" spans="9:17" x14ac:dyDescent="0.45">
      <c r="I913" t="s">
        <v>190</v>
      </c>
      <c r="J913" t="s">
        <v>274</v>
      </c>
      <c r="K913">
        <v>4.7342241262128418E-3</v>
      </c>
      <c r="L913" t="s">
        <v>161</v>
      </c>
      <c r="N913" t="s">
        <v>213</v>
      </c>
      <c r="O913" t="s">
        <v>274</v>
      </c>
      <c r="P913">
        <v>1.0594043445372996E-2</v>
      </c>
      <c r="Q913" t="s">
        <v>161</v>
      </c>
    </row>
    <row r="914" spans="9:17" x14ac:dyDescent="0.45">
      <c r="I914" t="s">
        <v>190</v>
      </c>
      <c r="J914" t="s">
        <v>275</v>
      </c>
      <c r="K914">
        <v>0</v>
      </c>
      <c r="L914" t="s">
        <v>161</v>
      </c>
      <c r="N914" t="s">
        <v>213</v>
      </c>
      <c r="O914" t="s">
        <v>275</v>
      </c>
      <c r="P914">
        <v>1.9584677437668725E-3</v>
      </c>
      <c r="Q914" t="s">
        <v>161</v>
      </c>
    </row>
    <row r="915" spans="9:17" x14ac:dyDescent="0.45">
      <c r="I915" t="s">
        <v>190</v>
      </c>
      <c r="J915" t="s">
        <v>276</v>
      </c>
      <c r="K915">
        <v>0</v>
      </c>
      <c r="L915" t="s">
        <v>161</v>
      </c>
      <c r="N915" t="s">
        <v>213</v>
      </c>
      <c r="O915" t="s">
        <v>276</v>
      </c>
      <c r="P915">
        <v>2.1263591974150509E-3</v>
      </c>
      <c r="Q915" t="s">
        <v>161</v>
      </c>
    </row>
    <row r="916" spans="9:17" x14ac:dyDescent="0.45">
      <c r="I916" t="s">
        <v>190</v>
      </c>
      <c r="J916" t="s">
        <v>277</v>
      </c>
      <c r="K916">
        <v>0</v>
      </c>
      <c r="L916" t="s">
        <v>161</v>
      </c>
      <c r="N916" t="s">
        <v>213</v>
      </c>
      <c r="O916" t="s">
        <v>277</v>
      </c>
      <c r="P916">
        <v>1.211713959174412E-2</v>
      </c>
      <c r="Q916" t="s">
        <v>161</v>
      </c>
    </row>
    <row r="917" spans="9:17" x14ac:dyDescent="0.45">
      <c r="I917" t="s">
        <v>190</v>
      </c>
      <c r="J917" t="s">
        <v>278</v>
      </c>
      <c r="K917">
        <v>0</v>
      </c>
      <c r="L917" t="s">
        <v>161</v>
      </c>
      <c r="N917" t="s">
        <v>213</v>
      </c>
      <c r="O917" t="s">
        <v>278</v>
      </c>
      <c r="P917">
        <v>6.8462660240192624E-3</v>
      </c>
      <c r="Q917" t="s">
        <v>161</v>
      </c>
    </row>
    <row r="918" spans="9:17" x14ac:dyDescent="0.45">
      <c r="I918" t="s">
        <v>190</v>
      </c>
      <c r="J918" t="s">
        <v>279</v>
      </c>
      <c r="K918">
        <v>0</v>
      </c>
      <c r="L918" t="s">
        <v>161</v>
      </c>
      <c r="N918" t="s">
        <v>213</v>
      </c>
      <c r="O918" t="s">
        <v>279</v>
      </c>
      <c r="P918">
        <v>6.2970484276735875E-4</v>
      </c>
      <c r="Q918" t="s">
        <v>161</v>
      </c>
    </row>
    <row r="919" spans="9:17" x14ac:dyDescent="0.45">
      <c r="I919" t="s">
        <v>190</v>
      </c>
      <c r="J919" t="s">
        <v>280</v>
      </c>
      <c r="K919">
        <v>5.0124082553892084E-3</v>
      </c>
      <c r="L919" t="s">
        <v>161</v>
      </c>
      <c r="N919" t="s">
        <v>213</v>
      </c>
      <c r="O919" t="s">
        <v>280</v>
      </c>
      <c r="P919">
        <v>2.7580994865645872E-3</v>
      </c>
      <c r="Q919" t="s">
        <v>161</v>
      </c>
    </row>
    <row r="920" spans="9:17" x14ac:dyDescent="0.45">
      <c r="I920" t="s">
        <v>190</v>
      </c>
      <c r="J920" t="s">
        <v>281</v>
      </c>
      <c r="K920">
        <v>0</v>
      </c>
      <c r="L920" t="s">
        <v>161</v>
      </c>
      <c r="N920" t="s">
        <v>213</v>
      </c>
      <c r="O920" t="s">
        <v>281</v>
      </c>
      <c r="P920">
        <v>6.5909939717924296E-4</v>
      </c>
      <c r="Q920" t="s">
        <v>161</v>
      </c>
    </row>
    <row r="921" spans="9:17" x14ac:dyDescent="0.45">
      <c r="I921" t="s">
        <v>190</v>
      </c>
      <c r="J921" t="s">
        <v>282</v>
      </c>
      <c r="K921">
        <v>0</v>
      </c>
      <c r="L921" t="s">
        <v>161</v>
      </c>
      <c r="N921" t="s">
        <v>213</v>
      </c>
      <c r="O921" t="s">
        <v>282</v>
      </c>
      <c r="P921">
        <v>7.6712281005269286E-4</v>
      </c>
      <c r="Q921" t="s">
        <v>161</v>
      </c>
    </row>
    <row r="922" spans="9:17" x14ac:dyDescent="0.45">
      <c r="I922" t="s">
        <v>190</v>
      </c>
      <c r="J922" t="s">
        <v>283</v>
      </c>
      <c r="K922">
        <v>0</v>
      </c>
      <c r="L922" t="s">
        <v>161</v>
      </c>
      <c r="N922" t="s">
        <v>213</v>
      </c>
      <c r="O922" t="s">
        <v>283</v>
      </c>
      <c r="P922">
        <v>5.5357463236628181E-3</v>
      </c>
      <c r="Q922" t="s">
        <v>161</v>
      </c>
    </row>
    <row r="923" spans="9:17" x14ac:dyDescent="0.45">
      <c r="I923" t="s">
        <v>191</v>
      </c>
      <c r="J923" t="s">
        <v>160</v>
      </c>
      <c r="K923">
        <v>1.5128402644778282E-3</v>
      </c>
      <c r="L923" t="s">
        <v>161</v>
      </c>
      <c r="N923" t="s">
        <v>214</v>
      </c>
      <c r="O923" t="s">
        <v>160</v>
      </c>
      <c r="P923">
        <v>7.6222803458124891E-2</v>
      </c>
      <c r="Q923" t="s">
        <v>161</v>
      </c>
    </row>
    <row r="924" spans="9:17" x14ac:dyDescent="0.45">
      <c r="I924" t="s">
        <v>191</v>
      </c>
      <c r="J924" t="s">
        <v>162</v>
      </c>
      <c r="K924">
        <v>5.6191489713864947E-3</v>
      </c>
      <c r="L924" t="s">
        <v>161</v>
      </c>
      <c r="N924" t="s">
        <v>214</v>
      </c>
      <c r="O924" t="s">
        <v>162</v>
      </c>
      <c r="P924">
        <v>9.4691684442153486E-3</v>
      </c>
      <c r="Q924" t="s">
        <v>161</v>
      </c>
    </row>
    <row r="925" spans="9:17" x14ac:dyDescent="0.45">
      <c r="I925" t="s">
        <v>191</v>
      </c>
      <c r="J925" t="s">
        <v>163</v>
      </c>
      <c r="K925">
        <v>8.8463105009661105E-2</v>
      </c>
      <c r="L925" t="s">
        <v>161</v>
      </c>
      <c r="N925" t="s">
        <v>214</v>
      </c>
      <c r="O925" t="s">
        <v>163</v>
      </c>
      <c r="P925">
        <v>6.5990334777195764E-2</v>
      </c>
      <c r="Q925" t="s">
        <v>161</v>
      </c>
    </row>
    <row r="926" spans="9:17" x14ac:dyDescent="0.45">
      <c r="I926" t="s">
        <v>191</v>
      </c>
      <c r="J926" t="s">
        <v>242</v>
      </c>
      <c r="K926">
        <v>6.7327408490092744E-3</v>
      </c>
      <c r="L926" t="s">
        <v>161</v>
      </c>
      <c r="N926" t="s">
        <v>214</v>
      </c>
      <c r="O926" t="s">
        <v>242</v>
      </c>
      <c r="P926">
        <v>1.0814541808072939E-2</v>
      </c>
      <c r="Q926" t="s">
        <v>161</v>
      </c>
    </row>
    <row r="927" spans="9:17" x14ac:dyDescent="0.45">
      <c r="I927" t="s">
        <v>191</v>
      </c>
      <c r="J927" t="s">
        <v>243</v>
      </c>
      <c r="K927">
        <v>2.6645955527380251E-3</v>
      </c>
      <c r="L927" t="s">
        <v>161</v>
      </c>
      <c r="N927" t="s">
        <v>214</v>
      </c>
      <c r="O927" t="s">
        <v>243</v>
      </c>
      <c r="P927">
        <v>1.1202224731447642E-2</v>
      </c>
      <c r="Q927" t="s">
        <v>161</v>
      </c>
    </row>
    <row r="928" spans="9:17" x14ac:dyDescent="0.45">
      <c r="I928" t="s">
        <v>191</v>
      </c>
      <c r="J928" t="s">
        <v>266</v>
      </c>
      <c r="K928">
        <v>0</v>
      </c>
      <c r="L928" t="s">
        <v>161</v>
      </c>
      <c r="N928" t="s">
        <v>214</v>
      </c>
      <c r="O928" t="s">
        <v>266</v>
      </c>
      <c r="P928">
        <v>7.1473405317387023E-2</v>
      </c>
      <c r="Q928" t="s">
        <v>161</v>
      </c>
    </row>
    <row r="929" spans="9:17" x14ac:dyDescent="0.45">
      <c r="I929" t="s">
        <v>191</v>
      </c>
      <c r="J929" t="s">
        <v>164</v>
      </c>
      <c r="K929">
        <v>1.0294626805536252E-2</v>
      </c>
      <c r="L929" t="s">
        <v>161</v>
      </c>
      <c r="N929" t="s">
        <v>214</v>
      </c>
      <c r="O929" t="s">
        <v>164</v>
      </c>
      <c r="P929">
        <v>4.3071299964610614E-2</v>
      </c>
      <c r="Q929" t="s">
        <v>161</v>
      </c>
    </row>
    <row r="930" spans="9:17" x14ac:dyDescent="0.45">
      <c r="I930" t="s">
        <v>191</v>
      </c>
      <c r="J930" t="s">
        <v>165</v>
      </c>
      <c r="K930">
        <v>9.908183247640992E-3</v>
      </c>
      <c r="L930" t="s">
        <v>161</v>
      </c>
      <c r="N930" t="s">
        <v>214</v>
      </c>
      <c r="O930" t="s">
        <v>165</v>
      </c>
      <c r="P930">
        <v>4.0645879697023294E-3</v>
      </c>
      <c r="Q930" t="s">
        <v>161</v>
      </c>
    </row>
    <row r="931" spans="9:17" x14ac:dyDescent="0.45">
      <c r="I931" t="s">
        <v>191</v>
      </c>
      <c r="J931" t="s">
        <v>166</v>
      </c>
      <c r="K931">
        <v>9.2676155186937489E-2</v>
      </c>
      <c r="L931" t="s">
        <v>161</v>
      </c>
      <c r="N931" t="s">
        <v>214</v>
      </c>
      <c r="O931" t="s">
        <v>166</v>
      </c>
      <c r="P931">
        <v>2.7906849122714024E-2</v>
      </c>
      <c r="Q931" t="s">
        <v>161</v>
      </c>
    </row>
    <row r="932" spans="9:17" x14ac:dyDescent="0.45">
      <c r="I932" t="s">
        <v>191</v>
      </c>
      <c r="J932" t="s">
        <v>244</v>
      </c>
      <c r="K932">
        <v>8.2899376605943941E-3</v>
      </c>
      <c r="L932" t="s">
        <v>161</v>
      </c>
      <c r="N932" t="s">
        <v>214</v>
      </c>
      <c r="O932" t="s">
        <v>244</v>
      </c>
      <c r="P932">
        <v>4.7930940829681917E-3</v>
      </c>
      <c r="Q932" t="s">
        <v>161</v>
      </c>
    </row>
    <row r="933" spans="9:17" x14ac:dyDescent="0.45">
      <c r="I933" t="s">
        <v>191</v>
      </c>
      <c r="J933" t="s">
        <v>245</v>
      </c>
      <c r="K933">
        <v>5.5165702311935679E-3</v>
      </c>
      <c r="L933" t="s">
        <v>161</v>
      </c>
      <c r="N933" t="s">
        <v>214</v>
      </c>
      <c r="O933" t="s">
        <v>245</v>
      </c>
      <c r="P933">
        <v>5.1485586789700843E-3</v>
      </c>
      <c r="Q933" t="s">
        <v>161</v>
      </c>
    </row>
    <row r="934" spans="9:17" x14ac:dyDescent="0.45">
      <c r="I934" t="s">
        <v>191</v>
      </c>
      <c r="J934" t="s">
        <v>267</v>
      </c>
      <c r="K934">
        <v>2.3585566583304834E-3</v>
      </c>
      <c r="L934" t="s">
        <v>161</v>
      </c>
      <c r="N934" t="s">
        <v>214</v>
      </c>
      <c r="O934" t="s">
        <v>267</v>
      </c>
      <c r="P934">
        <v>3.5067707308272592E-2</v>
      </c>
      <c r="Q934" t="s">
        <v>161</v>
      </c>
    </row>
    <row r="935" spans="9:17" x14ac:dyDescent="0.45">
      <c r="I935" t="s">
        <v>191</v>
      </c>
      <c r="J935" t="s">
        <v>167</v>
      </c>
      <c r="K935">
        <v>6.2256422552615008E-2</v>
      </c>
      <c r="L935" t="s">
        <v>161</v>
      </c>
      <c r="N935" t="s">
        <v>214</v>
      </c>
      <c r="O935" t="s">
        <v>167</v>
      </c>
      <c r="P935">
        <v>5.6364490111553721E-2</v>
      </c>
      <c r="Q935" t="s">
        <v>161</v>
      </c>
    </row>
    <row r="936" spans="9:17" x14ac:dyDescent="0.45">
      <c r="I936" t="s">
        <v>191</v>
      </c>
      <c r="J936" t="s">
        <v>168</v>
      </c>
      <c r="K936">
        <v>3.4007586758655423E-2</v>
      </c>
      <c r="L936" t="s">
        <v>161</v>
      </c>
      <c r="N936" t="s">
        <v>214</v>
      </c>
      <c r="O936" t="s">
        <v>168</v>
      </c>
      <c r="P936">
        <v>7.5160529455845348E-3</v>
      </c>
      <c r="Q936" t="s">
        <v>161</v>
      </c>
    </row>
    <row r="937" spans="9:17" x14ac:dyDescent="0.45">
      <c r="I937" t="s">
        <v>191</v>
      </c>
      <c r="J937" t="s">
        <v>169</v>
      </c>
      <c r="K937">
        <v>0.26668932815191349</v>
      </c>
      <c r="L937" t="s">
        <v>161</v>
      </c>
      <c r="N937" t="s">
        <v>214</v>
      </c>
      <c r="O937" t="s">
        <v>169</v>
      </c>
      <c r="P937">
        <v>7.3295426103387434E-2</v>
      </c>
      <c r="Q937" t="s">
        <v>161</v>
      </c>
    </row>
    <row r="938" spans="9:17" x14ac:dyDescent="0.45">
      <c r="I938" t="s">
        <v>191</v>
      </c>
      <c r="J938" t="s">
        <v>246</v>
      </c>
      <c r="K938">
        <v>2.7587058731544815E-2</v>
      </c>
      <c r="L938" t="s">
        <v>161</v>
      </c>
      <c r="N938" t="s">
        <v>214</v>
      </c>
      <c r="O938" t="s">
        <v>246</v>
      </c>
      <c r="P938">
        <v>1.1421991555685386E-2</v>
      </c>
      <c r="Q938" t="s">
        <v>161</v>
      </c>
    </row>
    <row r="939" spans="9:17" x14ac:dyDescent="0.45">
      <c r="I939" t="s">
        <v>191</v>
      </c>
      <c r="J939" t="s">
        <v>247</v>
      </c>
      <c r="K939">
        <v>2.1536345023465152E-2</v>
      </c>
      <c r="L939" t="s">
        <v>161</v>
      </c>
      <c r="N939" t="s">
        <v>214</v>
      </c>
      <c r="O939" t="s">
        <v>247</v>
      </c>
      <c r="P939">
        <v>9.787561172243834E-3</v>
      </c>
      <c r="Q939" t="s">
        <v>161</v>
      </c>
    </row>
    <row r="940" spans="9:17" x14ac:dyDescent="0.45">
      <c r="I940" t="s">
        <v>191</v>
      </c>
      <c r="J940" t="s">
        <v>268</v>
      </c>
      <c r="K940">
        <v>2.2917977321152673E-2</v>
      </c>
      <c r="L940" t="s">
        <v>161</v>
      </c>
      <c r="N940" t="s">
        <v>214</v>
      </c>
      <c r="O940" t="s">
        <v>268</v>
      </c>
      <c r="P940">
        <v>5.8043171401042405E-2</v>
      </c>
      <c r="Q940" t="s">
        <v>161</v>
      </c>
    </row>
    <row r="941" spans="9:17" x14ac:dyDescent="0.45">
      <c r="I941" t="s">
        <v>191</v>
      </c>
      <c r="J941" t="s">
        <v>170</v>
      </c>
      <c r="K941">
        <v>2.2667605548070773E-2</v>
      </c>
      <c r="L941" t="s">
        <v>161</v>
      </c>
      <c r="N941" t="s">
        <v>214</v>
      </c>
      <c r="O941" t="s">
        <v>170</v>
      </c>
      <c r="P941">
        <v>2.7195891855480318E-2</v>
      </c>
      <c r="Q941" t="s">
        <v>161</v>
      </c>
    </row>
    <row r="942" spans="9:17" x14ac:dyDescent="0.45">
      <c r="I942" t="s">
        <v>191</v>
      </c>
      <c r="J942" t="s">
        <v>171</v>
      </c>
      <c r="K942">
        <v>1.5240953282897034E-2</v>
      </c>
      <c r="L942" t="s">
        <v>161</v>
      </c>
      <c r="N942" t="s">
        <v>214</v>
      </c>
      <c r="O942" t="s">
        <v>171</v>
      </c>
      <c r="P942">
        <v>2.698389621201721E-3</v>
      </c>
      <c r="Q942" t="s">
        <v>161</v>
      </c>
    </row>
    <row r="943" spans="9:17" x14ac:dyDescent="0.45">
      <c r="I943" t="s">
        <v>191</v>
      </c>
      <c r="J943" t="s">
        <v>172</v>
      </c>
      <c r="K943">
        <v>0.12349069351235192</v>
      </c>
      <c r="L943" t="s">
        <v>161</v>
      </c>
      <c r="N943" t="s">
        <v>214</v>
      </c>
      <c r="O943" t="s">
        <v>172</v>
      </c>
      <c r="P943">
        <v>2.0198906784072854E-2</v>
      </c>
      <c r="Q943" t="s">
        <v>161</v>
      </c>
    </row>
    <row r="944" spans="9:17" x14ac:dyDescent="0.45">
      <c r="I944" t="s">
        <v>191</v>
      </c>
      <c r="J944" t="s">
        <v>248</v>
      </c>
      <c r="K944">
        <v>1.2418901489560673E-2</v>
      </c>
      <c r="L944" t="s">
        <v>161</v>
      </c>
      <c r="N944" t="s">
        <v>214</v>
      </c>
      <c r="O944" t="s">
        <v>248</v>
      </c>
      <c r="P944">
        <v>3.762300274561761E-3</v>
      </c>
      <c r="Q944" t="s">
        <v>161</v>
      </c>
    </row>
    <row r="945" spans="9:17" x14ac:dyDescent="0.45">
      <c r="I945" t="s">
        <v>191</v>
      </c>
      <c r="J945" t="s">
        <v>249</v>
      </c>
      <c r="K945">
        <v>8.9747123182477816E-3</v>
      </c>
      <c r="L945" t="s">
        <v>161</v>
      </c>
      <c r="N945" t="s">
        <v>214</v>
      </c>
      <c r="O945" t="s">
        <v>249</v>
      </c>
      <c r="P945">
        <v>3.3682419615738146E-3</v>
      </c>
      <c r="Q945" t="s">
        <v>161</v>
      </c>
    </row>
    <row r="946" spans="9:17" x14ac:dyDescent="0.45">
      <c r="I946" t="s">
        <v>191</v>
      </c>
      <c r="J946" t="s">
        <v>269</v>
      </c>
      <c r="K946">
        <v>6.5410485653806779E-3</v>
      </c>
      <c r="L946" t="s">
        <v>161</v>
      </c>
      <c r="N946" t="s">
        <v>214</v>
      </c>
      <c r="O946" t="s">
        <v>269</v>
      </c>
      <c r="P946">
        <v>2.2270697296434779E-2</v>
      </c>
      <c r="Q946" t="s">
        <v>161</v>
      </c>
    </row>
    <row r="947" spans="9:17" x14ac:dyDescent="0.45">
      <c r="I947" t="s">
        <v>191</v>
      </c>
      <c r="J947" t="s">
        <v>250</v>
      </c>
      <c r="K947">
        <v>5.2857927775597302E-3</v>
      </c>
      <c r="L947" t="s">
        <v>161</v>
      </c>
      <c r="N947" t="s">
        <v>214</v>
      </c>
      <c r="O947" t="s">
        <v>250</v>
      </c>
      <c r="P947">
        <v>3.5444395308806179E-2</v>
      </c>
      <c r="Q947" t="s">
        <v>161</v>
      </c>
    </row>
    <row r="948" spans="9:17" x14ac:dyDescent="0.45">
      <c r="I948" t="s">
        <v>191</v>
      </c>
      <c r="J948" t="s">
        <v>251</v>
      </c>
      <c r="K948">
        <v>7.4474263351533366E-3</v>
      </c>
      <c r="L948" t="s">
        <v>161</v>
      </c>
      <c r="N948" t="s">
        <v>214</v>
      </c>
      <c r="O948" t="s">
        <v>251</v>
      </c>
      <c r="P948">
        <v>4.1953330147347714E-3</v>
      </c>
      <c r="Q948" t="s">
        <v>161</v>
      </c>
    </row>
    <row r="949" spans="9:17" x14ac:dyDescent="0.45">
      <c r="I949" t="s">
        <v>191</v>
      </c>
      <c r="J949" t="s">
        <v>252</v>
      </c>
      <c r="K949">
        <v>7.4512085293211017E-2</v>
      </c>
      <c r="L949" t="s">
        <v>161</v>
      </c>
      <c r="N949" t="s">
        <v>214</v>
      </c>
      <c r="O949" t="s">
        <v>252</v>
      </c>
      <c r="P949">
        <v>3.2934737155401676E-2</v>
      </c>
      <c r="Q949" t="s">
        <v>161</v>
      </c>
    </row>
    <row r="950" spans="9:17" x14ac:dyDescent="0.45">
      <c r="I950" t="s">
        <v>191</v>
      </c>
      <c r="J950" t="s">
        <v>253</v>
      </c>
      <c r="K950">
        <v>5.7641998555014676E-3</v>
      </c>
      <c r="L950" t="s">
        <v>161</v>
      </c>
      <c r="N950" t="s">
        <v>214</v>
      </c>
      <c r="O950" t="s">
        <v>253</v>
      </c>
      <c r="P950">
        <v>5.8784315700170075E-3</v>
      </c>
      <c r="Q950" t="s">
        <v>161</v>
      </c>
    </row>
    <row r="951" spans="9:17" x14ac:dyDescent="0.45">
      <c r="I951" t="s">
        <v>191</v>
      </c>
      <c r="J951" t="s">
        <v>254</v>
      </c>
      <c r="K951">
        <v>2.0147691559137342E-3</v>
      </c>
      <c r="L951" t="s">
        <v>161</v>
      </c>
      <c r="N951" t="s">
        <v>214</v>
      </c>
      <c r="O951" t="s">
        <v>254</v>
      </c>
      <c r="P951">
        <v>5.8540171096460739E-3</v>
      </c>
      <c r="Q951" t="s">
        <v>161</v>
      </c>
    </row>
    <row r="952" spans="9:17" x14ac:dyDescent="0.45">
      <c r="I952" t="s">
        <v>191</v>
      </c>
      <c r="J952" t="s">
        <v>270</v>
      </c>
      <c r="K952">
        <v>0</v>
      </c>
      <c r="L952" t="s">
        <v>161</v>
      </c>
      <c r="N952" t="s">
        <v>214</v>
      </c>
      <c r="O952" t="s">
        <v>270</v>
      </c>
      <c r="P952">
        <v>2.7835946898674531E-2</v>
      </c>
      <c r="Q952" t="s">
        <v>161</v>
      </c>
    </row>
    <row r="953" spans="9:17" x14ac:dyDescent="0.45">
      <c r="I953" t="s">
        <v>191</v>
      </c>
      <c r="J953" t="s">
        <v>255</v>
      </c>
      <c r="K953">
        <v>1.5822344212179259E-5</v>
      </c>
      <c r="L953" t="s">
        <v>161</v>
      </c>
      <c r="N953" t="s">
        <v>214</v>
      </c>
      <c r="O953" t="s">
        <v>255</v>
      </c>
      <c r="P953">
        <v>6.4157546959932824E-2</v>
      </c>
      <c r="Q953" t="s">
        <v>161</v>
      </c>
    </row>
    <row r="954" spans="9:17" x14ac:dyDescent="0.45">
      <c r="I954" t="s">
        <v>191</v>
      </c>
      <c r="J954" t="s">
        <v>256</v>
      </c>
      <c r="K954">
        <v>1.8692604642135643E-3</v>
      </c>
      <c r="L954" t="s">
        <v>161</v>
      </c>
      <c r="N954" t="s">
        <v>214</v>
      </c>
      <c r="O954" t="s">
        <v>256</v>
      </c>
      <c r="P954">
        <v>7.4385446641945544E-3</v>
      </c>
      <c r="Q954" t="s">
        <v>161</v>
      </c>
    </row>
    <row r="955" spans="9:17" x14ac:dyDescent="0.45">
      <c r="I955" t="s">
        <v>191</v>
      </c>
      <c r="J955" t="s">
        <v>257</v>
      </c>
      <c r="K955">
        <v>3.3998910877783214E-2</v>
      </c>
      <c r="L955" t="s">
        <v>161</v>
      </c>
      <c r="N955" t="s">
        <v>214</v>
      </c>
      <c r="O955" t="s">
        <v>257</v>
      </c>
      <c r="P955">
        <v>5.7026042176977203E-2</v>
      </c>
      <c r="Q955" t="s">
        <v>161</v>
      </c>
    </row>
    <row r="956" spans="9:17" x14ac:dyDescent="0.45">
      <c r="I956" t="s">
        <v>191</v>
      </c>
      <c r="J956" t="s">
        <v>258</v>
      </c>
      <c r="K956">
        <v>2.4023010820179618E-4</v>
      </c>
      <c r="L956" t="s">
        <v>161</v>
      </c>
      <c r="N956" t="s">
        <v>214</v>
      </c>
      <c r="O956" t="s">
        <v>258</v>
      </c>
      <c r="P956">
        <v>8.1059982536302658E-3</v>
      </c>
      <c r="Q956" t="s">
        <v>161</v>
      </c>
    </row>
    <row r="957" spans="9:17" x14ac:dyDescent="0.45">
      <c r="I957" t="s">
        <v>191</v>
      </c>
      <c r="J957" t="s">
        <v>259</v>
      </c>
      <c r="K957">
        <v>0</v>
      </c>
      <c r="L957" t="s">
        <v>161</v>
      </c>
      <c r="N957" t="s">
        <v>214</v>
      </c>
      <c r="O957" t="s">
        <v>259</v>
      </c>
      <c r="P957">
        <v>8.5326837621574232E-3</v>
      </c>
      <c r="Q957" t="s">
        <v>161</v>
      </c>
    </row>
    <row r="958" spans="9:17" x14ac:dyDescent="0.45">
      <c r="I958" t="s">
        <v>191</v>
      </c>
      <c r="J958" t="s">
        <v>271</v>
      </c>
      <c r="K958">
        <v>0</v>
      </c>
      <c r="L958" t="s">
        <v>161</v>
      </c>
      <c r="N958" t="s">
        <v>214</v>
      </c>
      <c r="O958" t="s">
        <v>271</v>
      </c>
      <c r="P958">
        <v>5.0052606734689753E-2</v>
      </c>
      <c r="Q958" t="s">
        <v>161</v>
      </c>
    </row>
    <row r="959" spans="9:17" x14ac:dyDescent="0.45">
      <c r="I959" t="s">
        <v>191</v>
      </c>
      <c r="J959" t="s">
        <v>272</v>
      </c>
      <c r="K959">
        <v>0</v>
      </c>
      <c r="L959" t="s">
        <v>161</v>
      </c>
      <c r="N959" t="s">
        <v>214</v>
      </c>
      <c r="O959" t="s">
        <v>272</v>
      </c>
      <c r="P959">
        <v>6.2673847607385242E-3</v>
      </c>
      <c r="Q959" t="s">
        <v>161</v>
      </c>
    </row>
    <row r="960" spans="9:17" x14ac:dyDescent="0.45">
      <c r="I960" t="s">
        <v>191</v>
      </c>
      <c r="J960" t="s">
        <v>273</v>
      </c>
      <c r="K960">
        <v>2.2289347944954332E-5</v>
      </c>
      <c r="L960" t="s">
        <v>161</v>
      </c>
      <c r="N960" t="s">
        <v>214</v>
      </c>
      <c r="O960" t="s">
        <v>273</v>
      </c>
      <c r="P960">
        <v>7.1421526651316671E-4</v>
      </c>
      <c r="Q960" t="s">
        <v>161</v>
      </c>
    </row>
    <row r="961" spans="9:17" x14ac:dyDescent="0.45">
      <c r="I961" t="s">
        <v>191</v>
      </c>
      <c r="J961" t="s">
        <v>274</v>
      </c>
      <c r="K961">
        <v>5.4939316939167588E-3</v>
      </c>
      <c r="L961" t="s">
        <v>161</v>
      </c>
      <c r="N961" t="s">
        <v>214</v>
      </c>
      <c r="O961" t="s">
        <v>274</v>
      </c>
      <c r="P961">
        <v>6.0560323415822671E-3</v>
      </c>
      <c r="Q961" t="s">
        <v>161</v>
      </c>
    </row>
    <row r="962" spans="9:17" x14ac:dyDescent="0.45">
      <c r="I962" t="s">
        <v>191</v>
      </c>
      <c r="J962" t="s">
        <v>275</v>
      </c>
      <c r="K962">
        <v>0</v>
      </c>
      <c r="L962" t="s">
        <v>161</v>
      </c>
      <c r="N962" t="s">
        <v>214</v>
      </c>
      <c r="O962" t="s">
        <v>275</v>
      </c>
      <c r="P962">
        <v>1.0237144911535735E-3</v>
      </c>
      <c r="Q962" t="s">
        <v>161</v>
      </c>
    </row>
    <row r="963" spans="9:17" x14ac:dyDescent="0.45">
      <c r="I963" t="s">
        <v>191</v>
      </c>
      <c r="J963" t="s">
        <v>276</v>
      </c>
      <c r="K963">
        <v>0</v>
      </c>
      <c r="L963" t="s">
        <v>161</v>
      </c>
      <c r="N963" t="s">
        <v>214</v>
      </c>
      <c r="O963" t="s">
        <v>276</v>
      </c>
      <c r="P963">
        <v>9.8123887630113403E-4</v>
      </c>
      <c r="Q963" t="s">
        <v>161</v>
      </c>
    </row>
    <row r="964" spans="9:17" x14ac:dyDescent="0.45">
      <c r="I964" t="s">
        <v>191</v>
      </c>
      <c r="J964" t="s">
        <v>277</v>
      </c>
      <c r="K964">
        <v>0</v>
      </c>
      <c r="L964" t="s">
        <v>161</v>
      </c>
      <c r="N964" t="s">
        <v>214</v>
      </c>
      <c r="O964" t="s">
        <v>277</v>
      </c>
      <c r="P964">
        <v>6.4867817474029933E-3</v>
      </c>
      <c r="Q964" t="s">
        <v>161</v>
      </c>
    </row>
    <row r="965" spans="9:17" x14ac:dyDescent="0.45">
      <c r="I965" t="s">
        <v>191</v>
      </c>
      <c r="J965" t="s">
        <v>278</v>
      </c>
      <c r="K965">
        <v>0</v>
      </c>
      <c r="L965" t="s">
        <v>161</v>
      </c>
      <c r="N965" t="s">
        <v>214</v>
      </c>
      <c r="O965" t="s">
        <v>278</v>
      </c>
      <c r="P965">
        <v>3.1368127767810732E-3</v>
      </c>
      <c r="Q965" t="s">
        <v>161</v>
      </c>
    </row>
    <row r="966" spans="9:17" x14ac:dyDescent="0.45">
      <c r="I966" t="s">
        <v>191</v>
      </c>
      <c r="J966" t="s">
        <v>279</v>
      </c>
      <c r="K966">
        <v>3.3920347480313798E-6</v>
      </c>
      <c r="L966" t="s">
        <v>161</v>
      </c>
      <c r="N966" t="s">
        <v>214</v>
      </c>
      <c r="O966" t="s">
        <v>279</v>
      </c>
      <c r="P966">
        <v>2.3720010001595262E-4</v>
      </c>
      <c r="Q966" t="s">
        <v>161</v>
      </c>
    </row>
    <row r="967" spans="9:17" x14ac:dyDescent="0.45">
      <c r="I967" t="s">
        <v>191</v>
      </c>
      <c r="J967" t="s">
        <v>280</v>
      </c>
      <c r="K967">
        <v>4.9667960182807258E-3</v>
      </c>
      <c r="L967" t="s">
        <v>161</v>
      </c>
      <c r="N967" t="s">
        <v>214</v>
      </c>
      <c r="O967" t="s">
        <v>280</v>
      </c>
      <c r="P967">
        <v>1.1088775251647542E-3</v>
      </c>
      <c r="Q967" t="s">
        <v>161</v>
      </c>
    </row>
    <row r="968" spans="9:17" x14ac:dyDescent="0.45">
      <c r="I968" t="s">
        <v>191</v>
      </c>
      <c r="J968" t="s">
        <v>281</v>
      </c>
      <c r="K968">
        <v>0</v>
      </c>
      <c r="L968" t="s">
        <v>161</v>
      </c>
      <c r="N968" t="s">
        <v>214</v>
      </c>
      <c r="O968" t="s">
        <v>281</v>
      </c>
      <c r="P968">
        <v>2.8806249541621614E-4</v>
      </c>
      <c r="Q968" t="s">
        <v>161</v>
      </c>
    </row>
    <row r="969" spans="9:17" x14ac:dyDescent="0.45">
      <c r="I969" t="s">
        <v>191</v>
      </c>
      <c r="J969" t="s">
        <v>282</v>
      </c>
      <c r="K969">
        <v>0</v>
      </c>
      <c r="L969" t="s">
        <v>161</v>
      </c>
      <c r="N969" t="s">
        <v>214</v>
      </c>
      <c r="O969" t="s">
        <v>282</v>
      </c>
      <c r="P969">
        <v>4.3769744990877074E-4</v>
      </c>
      <c r="Q969" t="s">
        <v>161</v>
      </c>
    </row>
    <row r="970" spans="9:17" x14ac:dyDescent="0.45">
      <c r="I970" t="s">
        <v>191</v>
      </c>
      <c r="J970" t="s">
        <v>283</v>
      </c>
      <c r="K970">
        <v>0</v>
      </c>
      <c r="L970" t="s">
        <v>161</v>
      </c>
      <c r="N970" t="s">
        <v>214</v>
      </c>
      <c r="O970" t="s">
        <v>283</v>
      </c>
      <c r="P970">
        <v>4.6580018136561738E-3</v>
      </c>
      <c r="Q970" t="s">
        <v>161</v>
      </c>
    </row>
    <row r="971" spans="9:17" x14ac:dyDescent="0.45">
      <c r="I971" t="s">
        <v>192</v>
      </c>
      <c r="J971" t="s">
        <v>160</v>
      </c>
      <c r="K971">
        <v>1.8779718669404682E-3</v>
      </c>
      <c r="L971" t="s">
        <v>161</v>
      </c>
      <c r="N971" t="s">
        <v>215</v>
      </c>
      <c r="O971" t="s">
        <v>160</v>
      </c>
      <c r="P971">
        <v>7.6324128984224429E-2</v>
      </c>
      <c r="Q971" t="s">
        <v>161</v>
      </c>
    </row>
    <row r="972" spans="9:17" x14ac:dyDescent="0.45">
      <c r="I972" t="s">
        <v>192</v>
      </c>
      <c r="J972" t="s">
        <v>162</v>
      </c>
      <c r="K972">
        <v>5.7152479291230447E-3</v>
      </c>
      <c r="L972" t="s">
        <v>161</v>
      </c>
      <c r="N972" t="s">
        <v>215</v>
      </c>
      <c r="O972" t="s">
        <v>162</v>
      </c>
      <c r="P972">
        <v>8.4642031675452416E-3</v>
      </c>
      <c r="Q972" t="s">
        <v>161</v>
      </c>
    </row>
    <row r="973" spans="9:17" x14ac:dyDescent="0.45">
      <c r="I973" t="s">
        <v>192</v>
      </c>
      <c r="J973" t="s">
        <v>163</v>
      </c>
      <c r="K973">
        <v>8.6376015143114215E-2</v>
      </c>
      <c r="L973" t="s">
        <v>161</v>
      </c>
      <c r="N973" t="s">
        <v>215</v>
      </c>
      <c r="O973" t="s">
        <v>163</v>
      </c>
      <c r="P973">
        <v>5.301041880316848E-2</v>
      </c>
      <c r="Q973" t="s">
        <v>161</v>
      </c>
    </row>
    <row r="974" spans="9:17" x14ac:dyDescent="0.45">
      <c r="I974" t="s">
        <v>192</v>
      </c>
      <c r="J974" t="s">
        <v>242</v>
      </c>
      <c r="K974">
        <v>6.8310615996908675E-3</v>
      </c>
      <c r="L974" t="s">
        <v>161</v>
      </c>
      <c r="N974" t="s">
        <v>215</v>
      </c>
      <c r="O974" t="s">
        <v>242</v>
      </c>
      <c r="P974">
        <v>8.6819155509820223E-3</v>
      </c>
      <c r="Q974" t="s">
        <v>161</v>
      </c>
    </row>
    <row r="975" spans="9:17" x14ac:dyDescent="0.45">
      <c r="I975" t="s">
        <v>192</v>
      </c>
      <c r="J975" t="s">
        <v>243</v>
      </c>
      <c r="K975">
        <v>2.6279471115712135E-3</v>
      </c>
      <c r="L975" t="s">
        <v>161</v>
      </c>
      <c r="N975" t="s">
        <v>215</v>
      </c>
      <c r="O975" t="s">
        <v>243</v>
      </c>
      <c r="P975">
        <v>9.6584737827812416E-3</v>
      </c>
      <c r="Q975" t="s">
        <v>161</v>
      </c>
    </row>
    <row r="976" spans="9:17" x14ac:dyDescent="0.45">
      <c r="I976" t="s">
        <v>192</v>
      </c>
      <c r="J976" t="s">
        <v>266</v>
      </c>
      <c r="K976">
        <v>0</v>
      </c>
      <c r="L976" t="s">
        <v>161</v>
      </c>
      <c r="N976" t="s">
        <v>215</v>
      </c>
      <c r="O976" t="s">
        <v>266</v>
      </c>
      <c r="P976">
        <v>6.4580244505044515E-2</v>
      </c>
      <c r="Q976" t="s">
        <v>161</v>
      </c>
    </row>
    <row r="977" spans="9:17" x14ac:dyDescent="0.45">
      <c r="I977" t="s">
        <v>192</v>
      </c>
      <c r="J977" t="s">
        <v>164</v>
      </c>
      <c r="K977">
        <v>1.1944220438229895E-2</v>
      </c>
      <c r="L977" t="s">
        <v>161</v>
      </c>
      <c r="N977" t="s">
        <v>215</v>
      </c>
      <c r="O977" t="s">
        <v>164</v>
      </c>
      <c r="P977">
        <v>5.1740134052412796E-2</v>
      </c>
      <c r="Q977" t="s">
        <v>161</v>
      </c>
    </row>
    <row r="978" spans="9:17" x14ac:dyDescent="0.45">
      <c r="I978" t="s">
        <v>192</v>
      </c>
      <c r="J978" t="s">
        <v>165</v>
      </c>
      <c r="K978">
        <v>1.0634846348840401E-2</v>
      </c>
      <c r="L978" t="s">
        <v>161</v>
      </c>
      <c r="N978" t="s">
        <v>215</v>
      </c>
      <c r="O978" t="s">
        <v>165</v>
      </c>
      <c r="P978">
        <v>5.0351886986604788E-3</v>
      </c>
      <c r="Q978" t="s">
        <v>161</v>
      </c>
    </row>
    <row r="979" spans="9:17" x14ac:dyDescent="0.45">
      <c r="I979" t="s">
        <v>192</v>
      </c>
      <c r="J979" t="s">
        <v>166</v>
      </c>
      <c r="K979">
        <v>9.7427407493258317E-2</v>
      </c>
      <c r="L979" t="s">
        <v>161</v>
      </c>
      <c r="N979" t="s">
        <v>215</v>
      </c>
      <c r="O979" t="s">
        <v>166</v>
      </c>
      <c r="P979">
        <v>3.0593184834292651E-2</v>
      </c>
      <c r="Q979" t="s">
        <v>161</v>
      </c>
    </row>
    <row r="980" spans="9:17" x14ac:dyDescent="0.45">
      <c r="I980" t="s">
        <v>192</v>
      </c>
      <c r="J980" t="s">
        <v>244</v>
      </c>
      <c r="K980">
        <v>9.1567903745131754E-3</v>
      </c>
      <c r="L980" t="s">
        <v>161</v>
      </c>
      <c r="N980" t="s">
        <v>215</v>
      </c>
      <c r="O980" t="s">
        <v>244</v>
      </c>
      <c r="P980">
        <v>4.8566584568733662E-3</v>
      </c>
      <c r="Q980" t="s">
        <v>161</v>
      </c>
    </row>
    <row r="981" spans="9:17" x14ac:dyDescent="0.45">
      <c r="I981" t="s">
        <v>192</v>
      </c>
      <c r="J981" t="s">
        <v>245</v>
      </c>
      <c r="K981">
        <v>6.2863616078722481E-3</v>
      </c>
      <c r="L981" t="s">
        <v>161</v>
      </c>
      <c r="N981" t="s">
        <v>215</v>
      </c>
      <c r="O981" t="s">
        <v>245</v>
      </c>
      <c r="P981">
        <v>5.0728655524761284E-3</v>
      </c>
      <c r="Q981" t="s">
        <v>161</v>
      </c>
    </row>
    <row r="982" spans="9:17" x14ac:dyDescent="0.45">
      <c r="I982" t="s">
        <v>192</v>
      </c>
      <c r="J982" t="s">
        <v>267</v>
      </c>
      <c r="K982">
        <v>3.1621521916951668E-3</v>
      </c>
      <c r="L982" t="s">
        <v>161</v>
      </c>
      <c r="N982" t="s">
        <v>215</v>
      </c>
      <c r="O982" t="s">
        <v>267</v>
      </c>
      <c r="P982">
        <v>3.9779409171725975E-2</v>
      </c>
      <c r="Q982" t="s">
        <v>161</v>
      </c>
    </row>
    <row r="983" spans="9:17" x14ac:dyDescent="0.45">
      <c r="I983" t="s">
        <v>192</v>
      </c>
      <c r="J983" t="s">
        <v>167</v>
      </c>
      <c r="K983">
        <v>5.9218770561737466E-2</v>
      </c>
      <c r="L983" t="s">
        <v>161</v>
      </c>
      <c r="N983" t="s">
        <v>215</v>
      </c>
      <c r="O983" t="s">
        <v>167</v>
      </c>
      <c r="P983">
        <v>7.032292122505035E-2</v>
      </c>
      <c r="Q983" t="s">
        <v>161</v>
      </c>
    </row>
    <row r="984" spans="9:17" x14ac:dyDescent="0.45">
      <c r="I984" t="s">
        <v>192</v>
      </c>
      <c r="J984" t="s">
        <v>168</v>
      </c>
      <c r="K984">
        <v>3.2328229909841431E-2</v>
      </c>
      <c r="L984" t="s">
        <v>161</v>
      </c>
      <c r="N984" t="s">
        <v>215</v>
      </c>
      <c r="O984" t="s">
        <v>168</v>
      </c>
      <c r="P984">
        <v>7.7205149551658582E-3</v>
      </c>
      <c r="Q984" t="s">
        <v>161</v>
      </c>
    </row>
    <row r="985" spans="9:17" x14ac:dyDescent="0.45">
      <c r="I985" t="s">
        <v>192</v>
      </c>
      <c r="J985" t="s">
        <v>169</v>
      </c>
      <c r="K985">
        <v>0.26314439442047466</v>
      </c>
      <c r="L985" t="s">
        <v>161</v>
      </c>
      <c r="N985" t="s">
        <v>215</v>
      </c>
      <c r="O985" t="s">
        <v>169</v>
      </c>
      <c r="P985">
        <v>5.8923265126363915E-2</v>
      </c>
      <c r="Q985" t="s">
        <v>161</v>
      </c>
    </row>
    <row r="986" spans="9:17" x14ac:dyDescent="0.45">
      <c r="I986" t="s">
        <v>192</v>
      </c>
      <c r="J986" t="s">
        <v>246</v>
      </c>
      <c r="K986">
        <v>2.8335164772061633E-2</v>
      </c>
      <c r="L986" t="s">
        <v>161</v>
      </c>
      <c r="N986" t="s">
        <v>215</v>
      </c>
      <c r="O986" t="s">
        <v>246</v>
      </c>
      <c r="P986">
        <v>8.7496894381862041E-3</v>
      </c>
      <c r="Q986" t="s">
        <v>161</v>
      </c>
    </row>
    <row r="987" spans="9:17" x14ac:dyDescent="0.45">
      <c r="I987" t="s">
        <v>192</v>
      </c>
      <c r="J987" t="s">
        <v>247</v>
      </c>
      <c r="K987">
        <v>2.262340956130296E-2</v>
      </c>
      <c r="L987" t="s">
        <v>161</v>
      </c>
      <c r="N987" t="s">
        <v>215</v>
      </c>
      <c r="O987" t="s">
        <v>247</v>
      </c>
      <c r="P987">
        <v>8.4789151861679526E-3</v>
      </c>
      <c r="Q987" t="s">
        <v>161</v>
      </c>
    </row>
    <row r="988" spans="9:17" x14ac:dyDescent="0.45">
      <c r="I988" t="s">
        <v>192</v>
      </c>
      <c r="J988" t="s">
        <v>268</v>
      </c>
      <c r="K988">
        <v>2.5935595525098405E-2</v>
      </c>
      <c r="L988" t="s">
        <v>161</v>
      </c>
      <c r="N988" t="s">
        <v>215</v>
      </c>
      <c r="O988" t="s">
        <v>268</v>
      </c>
      <c r="P988">
        <v>6.1638889880009692E-2</v>
      </c>
      <c r="Q988" t="s">
        <v>161</v>
      </c>
    </row>
    <row r="989" spans="9:17" x14ac:dyDescent="0.45">
      <c r="I989" t="s">
        <v>192</v>
      </c>
      <c r="J989" t="s">
        <v>170</v>
      </c>
      <c r="K989">
        <v>2.0545655956939534E-2</v>
      </c>
      <c r="L989" t="s">
        <v>161</v>
      </c>
      <c r="N989" t="s">
        <v>215</v>
      </c>
      <c r="O989" t="s">
        <v>170</v>
      </c>
      <c r="P989">
        <v>3.1796487458336319E-2</v>
      </c>
      <c r="Q989" t="s">
        <v>161</v>
      </c>
    </row>
    <row r="990" spans="9:17" x14ac:dyDescent="0.45">
      <c r="I990" t="s">
        <v>192</v>
      </c>
      <c r="J990" t="s">
        <v>171</v>
      </c>
      <c r="K990">
        <v>1.4689199302848621E-2</v>
      </c>
      <c r="L990" t="s">
        <v>161</v>
      </c>
      <c r="N990" t="s">
        <v>215</v>
      </c>
      <c r="O990" t="s">
        <v>171</v>
      </c>
      <c r="P990">
        <v>3.3369321849523593E-3</v>
      </c>
      <c r="Q990" t="s">
        <v>161</v>
      </c>
    </row>
    <row r="991" spans="9:17" x14ac:dyDescent="0.45">
      <c r="I991" t="s">
        <v>192</v>
      </c>
      <c r="J991" t="s">
        <v>172</v>
      </c>
      <c r="K991">
        <v>0.11823450720913151</v>
      </c>
      <c r="L991" t="s">
        <v>161</v>
      </c>
      <c r="N991" t="s">
        <v>215</v>
      </c>
      <c r="O991" t="s">
        <v>172</v>
      </c>
      <c r="P991">
        <v>2.0449611402465238E-2</v>
      </c>
      <c r="Q991" t="s">
        <v>161</v>
      </c>
    </row>
    <row r="992" spans="9:17" x14ac:dyDescent="0.45">
      <c r="I992" t="s">
        <v>192</v>
      </c>
      <c r="J992" t="s">
        <v>248</v>
      </c>
      <c r="K992">
        <v>1.2681915530780385E-2</v>
      </c>
      <c r="L992" t="s">
        <v>161</v>
      </c>
      <c r="N992" t="s">
        <v>215</v>
      </c>
      <c r="O992" t="s">
        <v>248</v>
      </c>
      <c r="P992">
        <v>3.3538628575575996E-3</v>
      </c>
      <c r="Q992" t="s">
        <v>161</v>
      </c>
    </row>
    <row r="993" spans="9:17" x14ac:dyDescent="0.45">
      <c r="I993" t="s">
        <v>192</v>
      </c>
      <c r="J993" t="s">
        <v>249</v>
      </c>
      <c r="K993">
        <v>9.1925755677505459E-3</v>
      </c>
      <c r="L993" t="s">
        <v>161</v>
      </c>
      <c r="N993" t="s">
        <v>215</v>
      </c>
      <c r="O993" t="s">
        <v>249</v>
      </c>
      <c r="P993">
        <v>3.3118602056451726E-3</v>
      </c>
      <c r="Q993" t="s">
        <v>161</v>
      </c>
    </row>
    <row r="994" spans="9:17" x14ac:dyDescent="0.45">
      <c r="I994" t="s">
        <v>192</v>
      </c>
      <c r="J994" t="s">
        <v>269</v>
      </c>
      <c r="K994">
        <v>7.7230687087365994E-3</v>
      </c>
      <c r="L994" t="s">
        <v>161</v>
      </c>
      <c r="N994" t="s">
        <v>215</v>
      </c>
      <c r="O994" t="s">
        <v>269</v>
      </c>
      <c r="P994">
        <v>2.4426119447997927E-2</v>
      </c>
      <c r="Q994" t="s">
        <v>161</v>
      </c>
    </row>
    <row r="995" spans="9:17" x14ac:dyDescent="0.45">
      <c r="I995" t="s">
        <v>192</v>
      </c>
      <c r="J995" t="s">
        <v>250</v>
      </c>
      <c r="K995">
        <v>4.9442995021952837E-3</v>
      </c>
      <c r="L995" t="s">
        <v>161</v>
      </c>
      <c r="N995" t="s">
        <v>215</v>
      </c>
      <c r="O995" t="s">
        <v>250</v>
      </c>
      <c r="P995">
        <v>4.109504587232414E-2</v>
      </c>
      <c r="Q995" t="s">
        <v>161</v>
      </c>
    </row>
    <row r="996" spans="9:17" x14ac:dyDescent="0.45">
      <c r="I996" t="s">
        <v>192</v>
      </c>
      <c r="J996" t="s">
        <v>251</v>
      </c>
      <c r="K996">
        <v>8.3054346877787823E-3</v>
      </c>
      <c r="L996" t="s">
        <v>161</v>
      </c>
      <c r="N996" t="s">
        <v>215</v>
      </c>
      <c r="O996" t="s">
        <v>251</v>
      </c>
      <c r="P996">
        <v>4.435806452662297E-3</v>
      </c>
      <c r="Q996" t="s">
        <v>161</v>
      </c>
    </row>
    <row r="997" spans="9:17" x14ac:dyDescent="0.45">
      <c r="I997" t="s">
        <v>192</v>
      </c>
      <c r="J997" t="s">
        <v>252</v>
      </c>
      <c r="K997">
        <v>7.7298323812923161E-2</v>
      </c>
      <c r="L997" t="s">
        <v>161</v>
      </c>
      <c r="N997" t="s">
        <v>215</v>
      </c>
      <c r="O997" t="s">
        <v>252</v>
      </c>
      <c r="P997">
        <v>2.8213825885510049E-2</v>
      </c>
      <c r="Q997" t="s">
        <v>161</v>
      </c>
    </row>
    <row r="998" spans="9:17" x14ac:dyDescent="0.45">
      <c r="I998" t="s">
        <v>192</v>
      </c>
      <c r="J998" t="s">
        <v>253</v>
      </c>
      <c r="K998">
        <v>6.1873517160254366E-3</v>
      </c>
      <c r="L998" t="s">
        <v>161</v>
      </c>
      <c r="N998" t="s">
        <v>215</v>
      </c>
      <c r="O998" t="s">
        <v>253</v>
      </c>
      <c r="P998">
        <v>5.1467584193998286E-3</v>
      </c>
      <c r="Q998" t="s">
        <v>161</v>
      </c>
    </row>
    <row r="999" spans="9:17" x14ac:dyDescent="0.45">
      <c r="I999" t="s">
        <v>192</v>
      </c>
      <c r="J999" t="s">
        <v>254</v>
      </c>
      <c r="K999">
        <v>2.1331455829744074E-3</v>
      </c>
      <c r="L999" t="s">
        <v>161</v>
      </c>
      <c r="N999" t="s">
        <v>215</v>
      </c>
      <c r="O999" t="s">
        <v>254</v>
      </c>
      <c r="P999">
        <v>5.492881316363751E-3</v>
      </c>
      <c r="Q999" t="s">
        <v>161</v>
      </c>
    </row>
    <row r="1000" spans="9:17" x14ac:dyDescent="0.45">
      <c r="I1000" t="s">
        <v>192</v>
      </c>
      <c r="J1000" t="s">
        <v>270</v>
      </c>
      <c r="K1000">
        <v>0</v>
      </c>
      <c r="L1000" t="s">
        <v>161</v>
      </c>
      <c r="N1000" t="s">
        <v>215</v>
      </c>
      <c r="O1000" t="s">
        <v>270</v>
      </c>
      <c r="P1000">
        <v>3.3112788270988291E-2</v>
      </c>
      <c r="Q1000" t="s">
        <v>161</v>
      </c>
    </row>
    <row r="1001" spans="9:17" x14ac:dyDescent="0.45">
      <c r="I1001" t="s">
        <v>192</v>
      </c>
      <c r="J1001" t="s">
        <v>255</v>
      </c>
      <c r="K1001">
        <v>0</v>
      </c>
      <c r="L1001" t="s">
        <v>161</v>
      </c>
      <c r="N1001" t="s">
        <v>215</v>
      </c>
      <c r="O1001" t="s">
        <v>255</v>
      </c>
      <c r="P1001">
        <v>6.07879732271372E-2</v>
      </c>
      <c r="Q1001" t="s">
        <v>161</v>
      </c>
    </row>
    <row r="1002" spans="9:17" x14ac:dyDescent="0.45">
      <c r="I1002" t="s">
        <v>192</v>
      </c>
      <c r="J1002" t="s">
        <v>256</v>
      </c>
      <c r="K1002">
        <v>1.7958985181040282E-3</v>
      </c>
      <c r="L1002" t="s">
        <v>161</v>
      </c>
      <c r="N1002" t="s">
        <v>215</v>
      </c>
      <c r="O1002" t="s">
        <v>256</v>
      </c>
      <c r="P1002">
        <v>6.9822114309083527E-3</v>
      </c>
      <c r="Q1002" t="s">
        <v>161</v>
      </c>
    </row>
    <row r="1003" spans="9:17" x14ac:dyDescent="0.45">
      <c r="I1003" t="s">
        <v>192</v>
      </c>
      <c r="J1003" t="s">
        <v>257</v>
      </c>
      <c r="K1003">
        <v>3.4843133612874923E-2</v>
      </c>
      <c r="L1003" t="s">
        <v>161</v>
      </c>
      <c r="N1003" t="s">
        <v>215</v>
      </c>
      <c r="O1003" t="s">
        <v>257</v>
      </c>
      <c r="P1003">
        <v>4.5240923700561646E-2</v>
      </c>
      <c r="Q1003" t="s">
        <v>161</v>
      </c>
    </row>
    <row r="1004" spans="9:17" x14ac:dyDescent="0.45">
      <c r="I1004" t="s">
        <v>192</v>
      </c>
      <c r="J1004" t="s">
        <v>258</v>
      </c>
      <c r="K1004">
        <v>1.8668962015216565E-4</v>
      </c>
      <c r="L1004" t="s">
        <v>161</v>
      </c>
      <c r="N1004" t="s">
        <v>215</v>
      </c>
      <c r="O1004" t="s">
        <v>258</v>
      </c>
      <c r="P1004">
        <v>7.9630930793321373E-3</v>
      </c>
      <c r="Q1004" t="s">
        <v>161</v>
      </c>
    </row>
    <row r="1005" spans="9:17" x14ac:dyDescent="0.45">
      <c r="I1005" t="s">
        <v>192</v>
      </c>
      <c r="J1005" t="s">
        <v>259</v>
      </c>
      <c r="K1005">
        <v>0</v>
      </c>
      <c r="L1005" t="s">
        <v>161</v>
      </c>
      <c r="N1005" t="s">
        <v>215</v>
      </c>
      <c r="O1005" t="s">
        <v>259</v>
      </c>
      <c r="P1005">
        <v>8.0859858160952508E-3</v>
      </c>
      <c r="Q1005" t="s">
        <v>161</v>
      </c>
    </row>
    <row r="1006" spans="9:17" x14ac:dyDescent="0.45">
      <c r="I1006" t="s">
        <v>192</v>
      </c>
      <c r="J1006" t="s">
        <v>271</v>
      </c>
      <c r="K1006">
        <v>0</v>
      </c>
      <c r="L1006" t="s">
        <v>161</v>
      </c>
      <c r="N1006" t="s">
        <v>215</v>
      </c>
      <c r="O1006" t="s">
        <v>271</v>
      </c>
      <c r="P1006">
        <v>4.8525906092541163E-2</v>
      </c>
      <c r="Q1006" t="s">
        <v>161</v>
      </c>
    </row>
    <row r="1007" spans="9:17" x14ac:dyDescent="0.45">
      <c r="I1007" t="s">
        <v>192</v>
      </c>
      <c r="J1007" t="s">
        <v>272</v>
      </c>
      <c r="K1007">
        <v>0</v>
      </c>
      <c r="L1007" t="s">
        <v>161</v>
      </c>
      <c r="N1007" t="s">
        <v>215</v>
      </c>
      <c r="O1007" t="s">
        <v>272</v>
      </c>
      <c r="P1007">
        <v>1.2381259355243538E-2</v>
      </c>
      <c r="Q1007" t="s">
        <v>161</v>
      </c>
    </row>
    <row r="1008" spans="9:17" x14ac:dyDescent="0.45">
      <c r="I1008" t="s">
        <v>192</v>
      </c>
      <c r="J1008" t="s">
        <v>273</v>
      </c>
      <c r="K1008">
        <v>0</v>
      </c>
      <c r="L1008" t="s">
        <v>161</v>
      </c>
      <c r="N1008" t="s">
        <v>215</v>
      </c>
      <c r="O1008" t="s">
        <v>273</v>
      </c>
      <c r="P1008">
        <v>1.0709909552267226E-3</v>
      </c>
      <c r="Q1008" t="s">
        <v>161</v>
      </c>
    </row>
    <row r="1009" spans="9:17" x14ac:dyDescent="0.45">
      <c r="I1009" t="s">
        <v>192</v>
      </c>
      <c r="J1009" t="s">
        <v>274</v>
      </c>
      <c r="K1009">
        <v>4.0687992407646058E-3</v>
      </c>
      <c r="L1009" t="s">
        <v>161</v>
      </c>
      <c r="N1009" t="s">
        <v>215</v>
      </c>
      <c r="O1009" t="s">
        <v>274</v>
      </c>
      <c r="P1009">
        <v>8.3290730923504131E-3</v>
      </c>
      <c r="Q1009" t="s">
        <v>161</v>
      </c>
    </row>
    <row r="1010" spans="9:17" x14ac:dyDescent="0.45">
      <c r="I1010" t="s">
        <v>192</v>
      </c>
      <c r="J1010" t="s">
        <v>275</v>
      </c>
      <c r="K1010">
        <v>0</v>
      </c>
      <c r="L1010" t="s">
        <v>161</v>
      </c>
      <c r="N1010" t="s">
        <v>215</v>
      </c>
      <c r="O1010" t="s">
        <v>275</v>
      </c>
      <c r="P1010">
        <v>1.3951349229283927E-3</v>
      </c>
      <c r="Q1010" t="s">
        <v>161</v>
      </c>
    </row>
    <row r="1011" spans="9:17" x14ac:dyDescent="0.45">
      <c r="I1011" t="s">
        <v>192</v>
      </c>
      <c r="J1011" t="s">
        <v>276</v>
      </c>
      <c r="K1011">
        <v>0</v>
      </c>
      <c r="L1011" t="s">
        <v>161</v>
      </c>
      <c r="N1011" t="s">
        <v>215</v>
      </c>
      <c r="O1011" t="s">
        <v>276</v>
      </c>
      <c r="P1011">
        <v>1.4067064501648693E-3</v>
      </c>
      <c r="Q1011" t="s">
        <v>161</v>
      </c>
    </row>
    <row r="1012" spans="9:17" x14ac:dyDescent="0.45">
      <c r="I1012" t="s">
        <v>192</v>
      </c>
      <c r="J1012" t="s">
        <v>277</v>
      </c>
      <c r="K1012">
        <v>0</v>
      </c>
      <c r="L1012" t="s">
        <v>161</v>
      </c>
      <c r="N1012" t="s">
        <v>215</v>
      </c>
      <c r="O1012" t="s">
        <v>277</v>
      </c>
      <c r="P1012">
        <v>9.0248934110137274E-3</v>
      </c>
      <c r="Q1012" t="s">
        <v>161</v>
      </c>
    </row>
    <row r="1013" spans="9:17" x14ac:dyDescent="0.45">
      <c r="I1013" t="s">
        <v>192</v>
      </c>
      <c r="J1013" t="s">
        <v>278</v>
      </c>
      <c r="K1013">
        <v>0</v>
      </c>
      <c r="L1013" t="s">
        <v>161</v>
      </c>
      <c r="N1013" t="s">
        <v>215</v>
      </c>
      <c r="O1013" t="s">
        <v>278</v>
      </c>
      <c r="P1013">
        <v>4.0515347187067997E-3</v>
      </c>
      <c r="Q1013" t="s">
        <v>161</v>
      </c>
    </row>
    <row r="1014" spans="9:17" x14ac:dyDescent="0.45">
      <c r="I1014" t="s">
        <v>192</v>
      </c>
      <c r="J1014" t="s">
        <v>279</v>
      </c>
      <c r="K1014">
        <v>0</v>
      </c>
      <c r="L1014" t="s">
        <v>161</v>
      </c>
      <c r="N1014" t="s">
        <v>215</v>
      </c>
      <c r="O1014" t="s">
        <v>279</v>
      </c>
      <c r="P1014">
        <v>4.2827228405981066E-4</v>
      </c>
      <c r="Q1014" t="s">
        <v>161</v>
      </c>
    </row>
    <row r="1015" spans="9:17" x14ac:dyDescent="0.45">
      <c r="I1015" t="s">
        <v>192</v>
      </c>
      <c r="J1015" t="s">
        <v>280</v>
      </c>
      <c r="K1015">
        <v>3.5444145746558004E-3</v>
      </c>
      <c r="L1015" t="s">
        <v>161</v>
      </c>
      <c r="N1015" t="s">
        <v>215</v>
      </c>
      <c r="O1015" t="s">
        <v>280</v>
      </c>
      <c r="P1015">
        <v>1.5670548987052515E-3</v>
      </c>
      <c r="Q1015" t="s">
        <v>161</v>
      </c>
    </row>
    <row r="1016" spans="9:17" x14ac:dyDescent="0.45">
      <c r="I1016" t="s">
        <v>192</v>
      </c>
      <c r="J1016" t="s">
        <v>281</v>
      </c>
      <c r="K1016">
        <v>0</v>
      </c>
      <c r="L1016" t="s">
        <v>161</v>
      </c>
      <c r="N1016" t="s">
        <v>215</v>
      </c>
      <c r="O1016" t="s">
        <v>281</v>
      </c>
      <c r="P1016">
        <v>3.0126523527416771E-4</v>
      </c>
      <c r="Q1016" t="s">
        <v>161</v>
      </c>
    </row>
    <row r="1017" spans="9:17" x14ac:dyDescent="0.45">
      <c r="I1017" t="s">
        <v>192</v>
      </c>
      <c r="J1017" t="s">
        <v>282</v>
      </c>
      <c r="K1017">
        <v>0</v>
      </c>
      <c r="L1017" t="s">
        <v>161</v>
      </c>
      <c r="N1017" t="s">
        <v>215</v>
      </c>
      <c r="O1017" t="s">
        <v>282</v>
      </c>
      <c r="P1017">
        <v>3.436877731025695E-4</v>
      </c>
      <c r="Q1017" t="s">
        <v>161</v>
      </c>
    </row>
    <row r="1018" spans="9:17" x14ac:dyDescent="0.45">
      <c r="I1018" t="s">
        <v>192</v>
      </c>
      <c r="J1018" t="s">
        <v>283</v>
      </c>
      <c r="K1018">
        <v>0</v>
      </c>
      <c r="L1018" t="s">
        <v>161</v>
      </c>
      <c r="N1018" t="s">
        <v>215</v>
      </c>
      <c r="O1018" t="s">
        <v>283</v>
      </c>
      <c r="P1018">
        <v>4.3110324113147481E-3</v>
      </c>
      <c r="Q1018" t="s">
        <v>161</v>
      </c>
    </row>
    <row r="1019" spans="9:17" x14ac:dyDescent="0.45">
      <c r="I1019" t="s">
        <v>193</v>
      </c>
      <c r="J1019" t="s">
        <v>160</v>
      </c>
      <c r="K1019">
        <v>1.6174779525053905E-3</v>
      </c>
      <c r="L1019" t="s">
        <v>161</v>
      </c>
      <c r="N1019" t="s">
        <v>216</v>
      </c>
      <c r="O1019" t="s">
        <v>160</v>
      </c>
      <c r="P1019">
        <v>7.0791285907294124E-2</v>
      </c>
      <c r="Q1019" t="s">
        <v>161</v>
      </c>
    </row>
    <row r="1020" spans="9:17" x14ac:dyDescent="0.45">
      <c r="I1020" t="s">
        <v>193</v>
      </c>
      <c r="J1020" t="s">
        <v>162</v>
      </c>
      <c r="K1020">
        <v>5.5428280405565951E-3</v>
      </c>
      <c r="L1020" t="s">
        <v>161</v>
      </c>
      <c r="N1020" t="s">
        <v>216</v>
      </c>
      <c r="O1020" t="s">
        <v>162</v>
      </c>
      <c r="P1020">
        <v>8.8518932368692477E-3</v>
      </c>
      <c r="Q1020" t="s">
        <v>161</v>
      </c>
    </row>
    <row r="1021" spans="9:17" x14ac:dyDescent="0.45">
      <c r="I1021" t="s">
        <v>193</v>
      </c>
      <c r="J1021" t="s">
        <v>163</v>
      </c>
      <c r="K1021">
        <v>9.1278980076809207E-2</v>
      </c>
      <c r="L1021" t="s">
        <v>161</v>
      </c>
      <c r="N1021" t="s">
        <v>216</v>
      </c>
      <c r="O1021" t="s">
        <v>163</v>
      </c>
      <c r="P1021">
        <v>5.5830674350853357E-2</v>
      </c>
      <c r="Q1021" t="s">
        <v>161</v>
      </c>
    </row>
    <row r="1022" spans="9:17" x14ac:dyDescent="0.45">
      <c r="I1022" t="s">
        <v>193</v>
      </c>
      <c r="J1022" t="s">
        <v>242</v>
      </c>
      <c r="K1022">
        <v>6.9943165849722967E-3</v>
      </c>
      <c r="L1022" t="s">
        <v>161</v>
      </c>
      <c r="N1022" t="s">
        <v>216</v>
      </c>
      <c r="O1022" t="s">
        <v>242</v>
      </c>
      <c r="P1022">
        <v>8.65029437634641E-3</v>
      </c>
      <c r="Q1022" t="s">
        <v>161</v>
      </c>
    </row>
    <row r="1023" spans="9:17" x14ac:dyDescent="0.45">
      <c r="I1023" t="s">
        <v>193</v>
      </c>
      <c r="J1023" t="s">
        <v>243</v>
      </c>
      <c r="K1023">
        <v>2.3256179509108859E-3</v>
      </c>
      <c r="L1023" t="s">
        <v>161</v>
      </c>
      <c r="N1023" t="s">
        <v>216</v>
      </c>
      <c r="O1023" t="s">
        <v>243</v>
      </c>
      <c r="P1023">
        <v>9.0343438519281897E-3</v>
      </c>
      <c r="Q1023" t="s">
        <v>161</v>
      </c>
    </row>
    <row r="1024" spans="9:17" x14ac:dyDescent="0.45">
      <c r="I1024" t="s">
        <v>193</v>
      </c>
      <c r="J1024" t="s">
        <v>266</v>
      </c>
      <c r="K1024">
        <v>0</v>
      </c>
      <c r="L1024" t="s">
        <v>161</v>
      </c>
      <c r="N1024" t="s">
        <v>216</v>
      </c>
      <c r="O1024" t="s">
        <v>266</v>
      </c>
      <c r="P1024">
        <v>5.6446568738445772E-2</v>
      </c>
      <c r="Q1024" t="s">
        <v>161</v>
      </c>
    </row>
    <row r="1025" spans="9:17" x14ac:dyDescent="0.45">
      <c r="I1025" t="s">
        <v>193</v>
      </c>
      <c r="J1025" t="s">
        <v>164</v>
      </c>
      <c r="K1025">
        <v>1.1538656255640357E-2</v>
      </c>
      <c r="L1025" t="s">
        <v>161</v>
      </c>
      <c r="N1025" t="s">
        <v>216</v>
      </c>
      <c r="O1025" t="s">
        <v>164</v>
      </c>
      <c r="P1025">
        <v>4.6321599433520641E-2</v>
      </c>
      <c r="Q1025" t="s">
        <v>161</v>
      </c>
    </row>
    <row r="1026" spans="9:17" x14ac:dyDescent="0.45">
      <c r="I1026" t="s">
        <v>193</v>
      </c>
      <c r="J1026" t="s">
        <v>165</v>
      </c>
      <c r="K1026">
        <v>1.1944832317216162E-2</v>
      </c>
      <c r="L1026" t="s">
        <v>161</v>
      </c>
      <c r="N1026" t="s">
        <v>216</v>
      </c>
      <c r="O1026" t="s">
        <v>165</v>
      </c>
      <c r="P1026">
        <v>5.3591794534537827E-3</v>
      </c>
      <c r="Q1026" t="s">
        <v>161</v>
      </c>
    </row>
    <row r="1027" spans="9:17" x14ac:dyDescent="0.45">
      <c r="I1027" t="s">
        <v>193</v>
      </c>
      <c r="J1027" t="s">
        <v>166</v>
      </c>
      <c r="K1027">
        <v>9.6690744120903893E-2</v>
      </c>
      <c r="L1027" t="s">
        <v>161</v>
      </c>
      <c r="N1027" t="s">
        <v>216</v>
      </c>
      <c r="O1027" t="s">
        <v>166</v>
      </c>
      <c r="P1027">
        <v>3.1454510183535303E-2</v>
      </c>
      <c r="Q1027" t="s">
        <v>161</v>
      </c>
    </row>
    <row r="1028" spans="9:17" x14ac:dyDescent="0.45">
      <c r="I1028" t="s">
        <v>193</v>
      </c>
      <c r="J1028" t="s">
        <v>244</v>
      </c>
      <c r="K1028">
        <v>9.1488277296477207E-3</v>
      </c>
      <c r="L1028" t="s">
        <v>161</v>
      </c>
      <c r="N1028" t="s">
        <v>216</v>
      </c>
      <c r="O1028" t="s">
        <v>244</v>
      </c>
      <c r="P1028">
        <v>5.0424838649366531E-3</v>
      </c>
      <c r="Q1028" t="s">
        <v>161</v>
      </c>
    </row>
    <row r="1029" spans="9:17" x14ac:dyDescent="0.45">
      <c r="I1029" t="s">
        <v>193</v>
      </c>
      <c r="J1029" t="s">
        <v>245</v>
      </c>
      <c r="K1029">
        <v>6.5244824740323826E-3</v>
      </c>
      <c r="L1029" t="s">
        <v>161</v>
      </c>
      <c r="N1029" t="s">
        <v>216</v>
      </c>
      <c r="O1029" t="s">
        <v>245</v>
      </c>
      <c r="P1029">
        <v>4.9949372262591959E-3</v>
      </c>
      <c r="Q1029" t="s">
        <v>161</v>
      </c>
    </row>
    <row r="1030" spans="9:17" x14ac:dyDescent="0.45">
      <c r="I1030" t="s">
        <v>193</v>
      </c>
      <c r="J1030" t="s">
        <v>267</v>
      </c>
      <c r="K1030">
        <v>3.7725649111585084E-3</v>
      </c>
      <c r="L1030" t="s">
        <v>161</v>
      </c>
      <c r="N1030" t="s">
        <v>216</v>
      </c>
      <c r="O1030" t="s">
        <v>267</v>
      </c>
      <c r="P1030">
        <v>3.489597690987533E-2</v>
      </c>
      <c r="Q1030" t="s">
        <v>161</v>
      </c>
    </row>
    <row r="1031" spans="9:17" x14ac:dyDescent="0.45">
      <c r="I1031" t="s">
        <v>193</v>
      </c>
      <c r="J1031" t="s">
        <v>167</v>
      </c>
      <c r="K1031">
        <v>5.1735609083762513E-2</v>
      </c>
      <c r="L1031" t="s">
        <v>161</v>
      </c>
      <c r="N1031" t="s">
        <v>216</v>
      </c>
      <c r="O1031" t="s">
        <v>167</v>
      </c>
      <c r="P1031">
        <v>5.6590685610410113E-2</v>
      </c>
      <c r="Q1031" t="s">
        <v>161</v>
      </c>
    </row>
    <row r="1032" spans="9:17" x14ac:dyDescent="0.45">
      <c r="I1032" t="s">
        <v>193</v>
      </c>
      <c r="J1032" t="s">
        <v>168</v>
      </c>
      <c r="K1032">
        <v>3.0093776493677789E-2</v>
      </c>
      <c r="L1032" t="s">
        <v>161</v>
      </c>
      <c r="N1032" t="s">
        <v>216</v>
      </c>
      <c r="O1032" t="s">
        <v>168</v>
      </c>
      <c r="P1032">
        <v>7.3245007524018633E-3</v>
      </c>
      <c r="Q1032" t="s">
        <v>161</v>
      </c>
    </row>
    <row r="1033" spans="9:17" x14ac:dyDescent="0.45">
      <c r="I1033" t="s">
        <v>193</v>
      </c>
      <c r="J1033" t="s">
        <v>169</v>
      </c>
      <c r="K1033">
        <v>0.25757478600523043</v>
      </c>
      <c r="L1033" t="s">
        <v>161</v>
      </c>
      <c r="N1033" t="s">
        <v>216</v>
      </c>
      <c r="O1033" t="s">
        <v>169</v>
      </c>
      <c r="P1033">
        <v>5.0051045046757343E-2</v>
      </c>
      <c r="Q1033" t="s">
        <v>161</v>
      </c>
    </row>
    <row r="1034" spans="9:17" x14ac:dyDescent="0.45">
      <c r="I1034" t="s">
        <v>193</v>
      </c>
      <c r="J1034" t="s">
        <v>246</v>
      </c>
      <c r="K1034">
        <v>3.0123665603965139E-2</v>
      </c>
      <c r="L1034" t="s">
        <v>161</v>
      </c>
      <c r="N1034" t="s">
        <v>216</v>
      </c>
      <c r="O1034" t="s">
        <v>246</v>
      </c>
      <c r="P1034">
        <v>8.5591305763017683E-3</v>
      </c>
      <c r="Q1034" t="s">
        <v>161</v>
      </c>
    </row>
    <row r="1035" spans="9:17" x14ac:dyDescent="0.45">
      <c r="I1035" t="s">
        <v>193</v>
      </c>
      <c r="J1035" t="s">
        <v>247</v>
      </c>
      <c r="K1035">
        <v>2.4153502175946282E-2</v>
      </c>
      <c r="L1035" t="s">
        <v>161</v>
      </c>
      <c r="N1035" t="s">
        <v>216</v>
      </c>
      <c r="O1035" t="s">
        <v>247</v>
      </c>
      <c r="P1035">
        <v>8.0681970856880478E-3</v>
      </c>
      <c r="Q1035" t="s">
        <v>161</v>
      </c>
    </row>
    <row r="1036" spans="9:17" x14ac:dyDescent="0.45">
      <c r="I1036" t="s">
        <v>193</v>
      </c>
      <c r="J1036" t="s">
        <v>268</v>
      </c>
      <c r="K1036">
        <v>3.013792094318192E-2</v>
      </c>
      <c r="L1036" t="s">
        <v>161</v>
      </c>
      <c r="N1036" t="s">
        <v>216</v>
      </c>
      <c r="O1036" t="s">
        <v>268</v>
      </c>
      <c r="P1036">
        <v>5.3204564034639766E-2</v>
      </c>
      <c r="Q1036" t="s">
        <v>161</v>
      </c>
    </row>
    <row r="1037" spans="9:17" x14ac:dyDescent="0.45">
      <c r="I1037" t="s">
        <v>193</v>
      </c>
      <c r="J1037" t="s">
        <v>170</v>
      </c>
      <c r="K1037">
        <v>1.9207028742246772E-2</v>
      </c>
      <c r="L1037" t="s">
        <v>161</v>
      </c>
      <c r="N1037" t="s">
        <v>216</v>
      </c>
      <c r="O1037" t="s">
        <v>170</v>
      </c>
      <c r="P1037">
        <v>2.7343743025971919E-2</v>
      </c>
      <c r="Q1037" t="s">
        <v>161</v>
      </c>
    </row>
    <row r="1038" spans="9:17" x14ac:dyDescent="0.45">
      <c r="I1038" t="s">
        <v>193</v>
      </c>
      <c r="J1038" t="s">
        <v>171</v>
      </c>
      <c r="K1038">
        <v>1.438059888811704E-2</v>
      </c>
      <c r="L1038" t="s">
        <v>161</v>
      </c>
      <c r="N1038" t="s">
        <v>216</v>
      </c>
      <c r="O1038" t="s">
        <v>171</v>
      </c>
      <c r="P1038">
        <v>3.2626725128799892E-3</v>
      </c>
      <c r="Q1038" t="s">
        <v>161</v>
      </c>
    </row>
    <row r="1039" spans="9:17" x14ac:dyDescent="0.45">
      <c r="I1039" t="s">
        <v>193</v>
      </c>
      <c r="J1039" t="s">
        <v>172</v>
      </c>
      <c r="K1039">
        <v>0.11826543488720766</v>
      </c>
      <c r="L1039" t="s">
        <v>161</v>
      </c>
      <c r="N1039" t="s">
        <v>216</v>
      </c>
      <c r="O1039" t="s">
        <v>172</v>
      </c>
      <c r="P1039">
        <v>2.0315234483948223E-2</v>
      </c>
      <c r="Q1039" t="s">
        <v>161</v>
      </c>
    </row>
    <row r="1040" spans="9:17" x14ac:dyDescent="0.45">
      <c r="I1040" t="s">
        <v>193</v>
      </c>
      <c r="J1040" t="s">
        <v>248</v>
      </c>
      <c r="K1040">
        <v>1.3065358070020364E-2</v>
      </c>
      <c r="L1040" t="s">
        <v>161</v>
      </c>
      <c r="N1040" t="s">
        <v>216</v>
      </c>
      <c r="O1040" t="s">
        <v>248</v>
      </c>
      <c r="P1040">
        <v>3.3819472331326947E-3</v>
      </c>
      <c r="Q1040" t="s">
        <v>161</v>
      </c>
    </row>
    <row r="1041" spans="9:17" x14ac:dyDescent="0.45">
      <c r="I1041" t="s">
        <v>193</v>
      </c>
      <c r="J1041" t="s">
        <v>249</v>
      </c>
      <c r="K1041">
        <v>9.9650861729912148E-3</v>
      </c>
      <c r="L1041" t="s">
        <v>161</v>
      </c>
      <c r="N1041" t="s">
        <v>216</v>
      </c>
      <c r="O1041" t="s">
        <v>249</v>
      </c>
      <c r="P1041">
        <v>3.1572765124757815E-3</v>
      </c>
      <c r="Q1041" t="s">
        <v>161</v>
      </c>
    </row>
    <row r="1042" spans="9:17" x14ac:dyDescent="0.45">
      <c r="I1042" t="s">
        <v>193</v>
      </c>
      <c r="J1042" t="s">
        <v>269</v>
      </c>
      <c r="K1042">
        <v>8.7783173897901731E-3</v>
      </c>
      <c r="L1042" t="s">
        <v>161</v>
      </c>
      <c r="N1042" t="s">
        <v>216</v>
      </c>
      <c r="O1042" t="s">
        <v>269</v>
      </c>
      <c r="P1042">
        <v>2.0048371235403924E-2</v>
      </c>
      <c r="Q1042" t="s">
        <v>161</v>
      </c>
    </row>
    <row r="1043" spans="9:17" x14ac:dyDescent="0.45">
      <c r="I1043" t="s">
        <v>193</v>
      </c>
      <c r="J1043" t="s">
        <v>250</v>
      </c>
      <c r="K1043">
        <v>4.7460863928769324E-3</v>
      </c>
      <c r="L1043" t="s">
        <v>161</v>
      </c>
      <c r="N1043" t="s">
        <v>216</v>
      </c>
      <c r="O1043" t="s">
        <v>250</v>
      </c>
      <c r="P1043">
        <v>5.3861078588372767E-2</v>
      </c>
      <c r="Q1043" t="s">
        <v>161</v>
      </c>
    </row>
    <row r="1044" spans="9:17" x14ac:dyDescent="0.45">
      <c r="I1044" t="s">
        <v>193</v>
      </c>
      <c r="J1044" t="s">
        <v>251</v>
      </c>
      <c r="K1044">
        <v>8.5301542732464739E-3</v>
      </c>
      <c r="L1044" t="s">
        <v>161</v>
      </c>
      <c r="N1044" t="s">
        <v>216</v>
      </c>
      <c r="O1044" t="s">
        <v>251</v>
      </c>
      <c r="P1044">
        <v>6.0362090284002655E-3</v>
      </c>
      <c r="Q1044" t="s">
        <v>161</v>
      </c>
    </row>
    <row r="1045" spans="9:17" x14ac:dyDescent="0.45">
      <c r="I1045" t="s">
        <v>193</v>
      </c>
      <c r="J1045" t="s">
        <v>252</v>
      </c>
      <c r="K1045">
        <v>7.8057497753301577E-2</v>
      </c>
      <c r="L1045" t="s">
        <v>161</v>
      </c>
      <c r="N1045" t="s">
        <v>216</v>
      </c>
      <c r="O1045" t="s">
        <v>252</v>
      </c>
      <c r="P1045">
        <v>3.7509152514041161E-2</v>
      </c>
      <c r="Q1045" t="s">
        <v>161</v>
      </c>
    </row>
    <row r="1046" spans="9:17" x14ac:dyDescent="0.45">
      <c r="I1046" t="s">
        <v>193</v>
      </c>
      <c r="J1046" t="s">
        <v>253</v>
      </c>
      <c r="K1046">
        <v>6.4236242302497127E-3</v>
      </c>
      <c r="L1046" t="s">
        <v>161</v>
      </c>
      <c r="N1046" t="s">
        <v>216</v>
      </c>
      <c r="O1046" t="s">
        <v>253</v>
      </c>
      <c r="P1046">
        <v>5.9292841996500352E-3</v>
      </c>
      <c r="Q1046" t="s">
        <v>161</v>
      </c>
    </row>
    <row r="1047" spans="9:17" x14ac:dyDescent="0.45">
      <c r="I1047" t="s">
        <v>193</v>
      </c>
      <c r="J1047" t="s">
        <v>254</v>
      </c>
      <c r="K1047">
        <v>2.3831841841873281E-3</v>
      </c>
      <c r="L1047" t="s">
        <v>161</v>
      </c>
      <c r="N1047" t="s">
        <v>216</v>
      </c>
      <c r="O1047" t="s">
        <v>254</v>
      </c>
      <c r="P1047">
        <v>6.1584178245772756E-3</v>
      </c>
      <c r="Q1047" t="s">
        <v>161</v>
      </c>
    </row>
    <row r="1048" spans="9:17" x14ac:dyDescent="0.45">
      <c r="I1048" t="s">
        <v>193</v>
      </c>
      <c r="J1048" t="s">
        <v>270</v>
      </c>
      <c r="K1048">
        <v>5.1308867683572037E-6</v>
      </c>
      <c r="L1048" t="s">
        <v>161</v>
      </c>
      <c r="N1048" t="s">
        <v>216</v>
      </c>
      <c r="O1048" t="s">
        <v>270</v>
      </c>
      <c r="P1048">
        <v>3.6238983900675349E-2</v>
      </c>
      <c r="Q1048" t="s">
        <v>161</v>
      </c>
    </row>
    <row r="1049" spans="9:17" x14ac:dyDescent="0.45">
      <c r="I1049" t="s">
        <v>193</v>
      </c>
      <c r="J1049" t="s">
        <v>255</v>
      </c>
      <c r="K1049">
        <v>0</v>
      </c>
      <c r="L1049" t="s">
        <v>161</v>
      </c>
      <c r="N1049" t="s">
        <v>216</v>
      </c>
      <c r="O1049" t="s">
        <v>255</v>
      </c>
      <c r="P1049">
        <v>6.0083504008620295E-2</v>
      </c>
      <c r="Q1049" t="s">
        <v>161</v>
      </c>
    </row>
    <row r="1050" spans="9:17" x14ac:dyDescent="0.45">
      <c r="I1050" t="s">
        <v>193</v>
      </c>
      <c r="J1050" t="s">
        <v>256</v>
      </c>
      <c r="K1050">
        <v>1.6737719084035513E-3</v>
      </c>
      <c r="L1050" t="s">
        <v>161</v>
      </c>
      <c r="N1050" t="s">
        <v>216</v>
      </c>
      <c r="O1050" t="s">
        <v>256</v>
      </c>
      <c r="P1050">
        <v>6.504318157080774E-3</v>
      </c>
      <c r="Q1050" t="s">
        <v>161</v>
      </c>
    </row>
    <row r="1051" spans="9:17" x14ac:dyDescent="0.45">
      <c r="I1051" t="s">
        <v>193</v>
      </c>
      <c r="J1051" t="s">
        <v>257</v>
      </c>
      <c r="K1051">
        <v>3.5472197930478643E-2</v>
      </c>
      <c r="L1051" t="s">
        <v>161</v>
      </c>
      <c r="N1051" t="s">
        <v>216</v>
      </c>
      <c r="O1051" t="s">
        <v>257</v>
      </c>
      <c r="P1051">
        <v>4.5126834799425128E-2</v>
      </c>
      <c r="Q1051" t="s">
        <v>161</v>
      </c>
    </row>
    <row r="1052" spans="9:17" x14ac:dyDescent="0.45">
      <c r="I1052" t="s">
        <v>193</v>
      </c>
      <c r="J1052" t="s">
        <v>258</v>
      </c>
      <c r="K1052">
        <v>3.7524215029345495E-4</v>
      </c>
      <c r="L1052" t="s">
        <v>161</v>
      </c>
      <c r="N1052" t="s">
        <v>216</v>
      </c>
      <c r="O1052" t="s">
        <v>258</v>
      </c>
      <c r="P1052">
        <v>7.5213430945361009E-3</v>
      </c>
      <c r="Q1052" t="s">
        <v>161</v>
      </c>
    </row>
    <row r="1053" spans="9:17" x14ac:dyDescent="0.45">
      <c r="I1053" t="s">
        <v>193</v>
      </c>
      <c r="J1053" t="s">
        <v>259</v>
      </c>
      <c r="K1053">
        <v>0</v>
      </c>
      <c r="L1053" t="s">
        <v>161</v>
      </c>
      <c r="N1053" t="s">
        <v>216</v>
      </c>
      <c r="O1053" t="s">
        <v>259</v>
      </c>
      <c r="P1053">
        <v>7.8873168481209694E-3</v>
      </c>
      <c r="Q1053" t="s">
        <v>161</v>
      </c>
    </row>
    <row r="1054" spans="9:17" x14ac:dyDescent="0.45">
      <c r="I1054" t="s">
        <v>193</v>
      </c>
      <c r="J1054" t="s">
        <v>271</v>
      </c>
      <c r="K1054">
        <v>0</v>
      </c>
      <c r="L1054" t="s">
        <v>161</v>
      </c>
      <c r="N1054" t="s">
        <v>216</v>
      </c>
      <c r="O1054" t="s">
        <v>271</v>
      </c>
      <c r="P1054">
        <v>4.7339466408280517E-2</v>
      </c>
      <c r="Q1054" t="s">
        <v>161</v>
      </c>
    </row>
    <row r="1055" spans="9:17" x14ac:dyDescent="0.45">
      <c r="I1055" t="s">
        <v>193</v>
      </c>
      <c r="J1055" t="s">
        <v>272</v>
      </c>
      <c r="K1055">
        <v>0</v>
      </c>
      <c r="L1055" t="s">
        <v>161</v>
      </c>
      <c r="N1055" t="s">
        <v>216</v>
      </c>
      <c r="O1055" t="s">
        <v>272</v>
      </c>
      <c r="P1055">
        <v>1.9264677030714189E-2</v>
      </c>
      <c r="Q1055" t="s">
        <v>161</v>
      </c>
    </row>
    <row r="1056" spans="9:17" x14ac:dyDescent="0.45">
      <c r="I1056" t="s">
        <v>193</v>
      </c>
      <c r="J1056" t="s">
        <v>273</v>
      </c>
      <c r="K1056">
        <v>0</v>
      </c>
      <c r="L1056" t="s">
        <v>161</v>
      </c>
      <c r="N1056" t="s">
        <v>216</v>
      </c>
      <c r="O1056" t="s">
        <v>273</v>
      </c>
      <c r="P1056">
        <v>2.4429957902487778E-3</v>
      </c>
      <c r="Q1056" t="s">
        <v>161</v>
      </c>
    </row>
    <row r="1057" spans="9:17" x14ac:dyDescent="0.45">
      <c r="I1057" t="s">
        <v>193</v>
      </c>
      <c r="J1057" t="s">
        <v>274</v>
      </c>
      <c r="K1057">
        <v>4.482335171834567E-3</v>
      </c>
      <c r="L1057" t="s">
        <v>161</v>
      </c>
      <c r="N1057" t="s">
        <v>216</v>
      </c>
      <c r="O1057" t="s">
        <v>274</v>
      </c>
      <c r="P1057">
        <v>1.5582603638832746E-2</v>
      </c>
      <c r="Q1057" t="s">
        <v>161</v>
      </c>
    </row>
    <row r="1058" spans="9:17" x14ac:dyDescent="0.45">
      <c r="I1058" t="s">
        <v>193</v>
      </c>
      <c r="J1058" t="s">
        <v>275</v>
      </c>
      <c r="K1058">
        <v>0</v>
      </c>
      <c r="L1058" t="s">
        <v>161</v>
      </c>
      <c r="N1058" t="s">
        <v>216</v>
      </c>
      <c r="O1058" t="s">
        <v>275</v>
      </c>
      <c r="P1058">
        <v>2.5239267843485988E-3</v>
      </c>
      <c r="Q1058" t="s">
        <v>161</v>
      </c>
    </row>
    <row r="1059" spans="9:17" x14ac:dyDescent="0.45">
      <c r="I1059" t="s">
        <v>193</v>
      </c>
      <c r="J1059" t="s">
        <v>276</v>
      </c>
      <c r="K1059">
        <v>0</v>
      </c>
      <c r="L1059" t="s">
        <v>161</v>
      </c>
      <c r="N1059" t="s">
        <v>216</v>
      </c>
      <c r="O1059" t="s">
        <v>276</v>
      </c>
      <c r="P1059">
        <v>2.532939329422188E-3</v>
      </c>
      <c r="Q1059" t="s">
        <v>161</v>
      </c>
    </row>
    <row r="1060" spans="9:17" x14ac:dyDescent="0.45">
      <c r="I1060" t="s">
        <v>193</v>
      </c>
      <c r="J1060" t="s">
        <v>277</v>
      </c>
      <c r="K1060">
        <v>0</v>
      </c>
      <c r="L1060" t="s">
        <v>161</v>
      </c>
      <c r="N1060" t="s">
        <v>216</v>
      </c>
      <c r="O1060" t="s">
        <v>277</v>
      </c>
      <c r="P1060">
        <v>1.5053446970042707E-2</v>
      </c>
      <c r="Q1060" t="s">
        <v>161</v>
      </c>
    </row>
    <row r="1061" spans="9:17" x14ac:dyDescent="0.45">
      <c r="I1061" t="s">
        <v>193</v>
      </c>
      <c r="J1061" t="s">
        <v>278</v>
      </c>
      <c r="K1061">
        <v>0</v>
      </c>
      <c r="L1061" t="s">
        <v>161</v>
      </c>
      <c r="N1061" t="s">
        <v>216</v>
      </c>
      <c r="O1061" t="s">
        <v>278</v>
      </c>
      <c r="P1061">
        <v>7.8892746966681155E-3</v>
      </c>
      <c r="Q1061" t="s">
        <v>161</v>
      </c>
    </row>
    <row r="1062" spans="9:17" x14ac:dyDescent="0.45">
      <c r="I1062" t="s">
        <v>193</v>
      </c>
      <c r="J1062" t="s">
        <v>279</v>
      </c>
      <c r="K1062">
        <v>0</v>
      </c>
      <c r="L1062" t="s">
        <v>161</v>
      </c>
      <c r="N1062" t="s">
        <v>216</v>
      </c>
      <c r="O1062" t="s">
        <v>279</v>
      </c>
      <c r="P1062">
        <v>9.6915222995748224E-4</v>
      </c>
      <c r="Q1062" t="s">
        <v>161</v>
      </c>
    </row>
    <row r="1063" spans="9:17" x14ac:dyDescent="0.45">
      <c r="I1063" t="s">
        <v>193</v>
      </c>
      <c r="J1063" t="s">
        <v>280</v>
      </c>
      <c r="K1063">
        <v>2.9903622478700165E-3</v>
      </c>
      <c r="L1063" t="s">
        <v>161</v>
      </c>
      <c r="N1063" t="s">
        <v>216</v>
      </c>
      <c r="O1063" t="s">
        <v>280</v>
      </c>
      <c r="P1063">
        <v>4.4535709947066439E-3</v>
      </c>
      <c r="Q1063" t="s">
        <v>161</v>
      </c>
    </row>
    <row r="1064" spans="9:17" x14ac:dyDescent="0.45">
      <c r="I1064" t="s">
        <v>193</v>
      </c>
      <c r="J1064" t="s">
        <v>281</v>
      </c>
      <c r="K1064">
        <v>0</v>
      </c>
      <c r="L1064" t="s">
        <v>161</v>
      </c>
      <c r="N1064" t="s">
        <v>216</v>
      </c>
      <c r="O1064" t="s">
        <v>281</v>
      </c>
      <c r="P1064">
        <v>9.078372343746243E-4</v>
      </c>
      <c r="Q1064" t="s">
        <v>161</v>
      </c>
    </row>
    <row r="1065" spans="9:17" x14ac:dyDescent="0.45">
      <c r="I1065" t="s">
        <v>193</v>
      </c>
      <c r="J1065" t="s">
        <v>282</v>
      </c>
      <c r="K1065">
        <v>0</v>
      </c>
      <c r="L1065" t="s">
        <v>161</v>
      </c>
      <c r="N1065" t="s">
        <v>216</v>
      </c>
      <c r="O1065" t="s">
        <v>282</v>
      </c>
      <c r="P1065">
        <v>9.992781543651367E-4</v>
      </c>
      <c r="Q1065" t="s">
        <v>161</v>
      </c>
    </row>
    <row r="1066" spans="9:17" x14ac:dyDescent="0.45">
      <c r="I1066" t="s">
        <v>193</v>
      </c>
      <c r="J1066" t="s">
        <v>283</v>
      </c>
      <c r="K1066">
        <v>0</v>
      </c>
      <c r="L1066" t="s">
        <v>161</v>
      </c>
      <c r="N1066" t="s">
        <v>216</v>
      </c>
      <c r="O1066" t="s">
        <v>283</v>
      </c>
      <c r="P1066">
        <v>8.2032721312094714E-3</v>
      </c>
      <c r="Q1066" t="s">
        <v>161</v>
      </c>
    </row>
    <row r="1067" spans="9:17" x14ac:dyDescent="0.45">
      <c r="I1067" t="s">
        <v>194</v>
      </c>
      <c r="J1067" t="s">
        <v>160</v>
      </c>
      <c r="K1067">
        <v>1.650048059998655E-3</v>
      </c>
      <c r="L1067" t="s">
        <v>161</v>
      </c>
    </row>
    <row r="1068" spans="9:17" x14ac:dyDescent="0.45">
      <c r="I1068" t="s">
        <v>194</v>
      </c>
      <c r="J1068" t="s">
        <v>162</v>
      </c>
      <c r="K1068">
        <v>5.3653590031241616E-3</v>
      </c>
      <c r="L1068" t="s">
        <v>161</v>
      </c>
    </row>
    <row r="1069" spans="9:17" x14ac:dyDescent="0.45">
      <c r="I1069" t="s">
        <v>194</v>
      </c>
      <c r="J1069" t="s">
        <v>163</v>
      </c>
      <c r="K1069">
        <v>9.0876591370812415E-2</v>
      </c>
      <c r="L1069" t="s">
        <v>161</v>
      </c>
    </row>
    <row r="1070" spans="9:17" x14ac:dyDescent="0.45">
      <c r="I1070" t="s">
        <v>194</v>
      </c>
      <c r="J1070" t="s">
        <v>242</v>
      </c>
      <c r="K1070">
        <v>7.1751239710978595E-3</v>
      </c>
      <c r="L1070" t="s">
        <v>161</v>
      </c>
    </row>
    <row r="1071" spans="9:17" x14ac:dyDescent="0.45">
      <c r="I1071" t="s">
        <v>194</v>
      </c>
      <c r="J1071" t="s">
        <v>243</v>
      </c>
      <c r="K1071">
        <v>2.4048037539304446E-3</v>
      </c>
      <c r="L1071" t="s">
        <v>161</v>
      </c>
    </row>
    <row r="1072" spans="9:17" x14ac:dyDescent="0.45">
      <c r="I1072" t="s">
        <v>194</v>
      </c>
      <c r="J1072" t="s">
        <v>266</v>
      </c>
      <c r="K1072">
        <v>0</v>
      </c>
      <c r="L1072" t="s">
        <v>161</v>
      </c>
    </row>
    <row r="1073" spans="9:12" x14ac:dyDescent="0.45">
      <c r="I1073" t="s">
        <v>194</v>
      </c>
      <c r="J1073" t="s">
        <v>164</v>
      </c>
      <c r="K1073">
        <v>1.1363860847464291E-2</v>
      </c>
      <c r="L1073" t="s">
        <v>161</v>
      </c>
    </row>
    <row r="1074" spans="9:12" x14ac:dyDescent="0.45">
      <c r="I1074" t="s">
        <v>194</v>
      </c>
      <c r="J1074" t="s">
        <v>165</v>
      </c>
      <c r="K1074">
        <v>1.1635920668994292E-2</v>
      </c>
      <c r="L1074" t="s">
        <v>161</v>
      </c>
    </row>
    <row r="1075" spans="9:12" x14ac:dyDescent="0.45">
      <c r="I1075" t="s">
        <v>194</v>
      </c>
      <c r="J1075" t="s">
        <v>166</v>
      </c>
      <c r="K1075">
        <v>9.9403946543732746E-2</v>
      </c>
      <c r="L1075" t="s">
        <v>161</v>
      </c>
    </row>
    <row r="1076" spans="9:12" x14ac:dyDescent="0.45">
      <c r="I1076" t="s">
        <v>194</v>
      </c>
      <c r="J1076" t="s">
        <v>244</v>
      </c>
      <c r="K1076">
        <v>9.2446259146857449E-3</v>
      </c>
      <c r="L1076" t="s">
        <v>161</v>
      </c>
    </row>
    <row r="1077" spans="9:12" x14ac:dyDescent="0.45">
      <c r="I1077" t="s">
        <v>194</v>
      </c>
      <c r="J1077" t="s">
        <v>245</v>
      </c>
      <c r="K1077">
        <v>6.2235182501500664E-3</v>
      </c>
      <c r="L1077" t="s">
        <v>161</v>
      </c>
    </row>
    <row r="1078" spans="9:12" x14ac:dyDescent="0.45">
      <c r="I1078" t="s">
        <v>194</v>
      </c>
      <c r="J1078" t="s">
        <v>267</v>
      </c>
      <c r="K1078">
        <v>3.524014182636231E-3</v>
      </c>
      <c r="L1078" t="s">
        <v>161</v>
      </c>
    </row>
    <row r="1079" spans="9:12" x14ac:dyDescent="0.45">
      <c r="I1079" t="s">
        <v>194</v>
      </c>
      <c r="J1079" t="s">
        <v>167</v>
      </c>
      <c r="K1079">
        <v>5.2476301422582729E-2</v>
      </c>
      <c r="L1079" t="s">
        <v>161</v>
      </c>
    </row>
    <row r="1080" spans="9:12" x14ac:dyDescent="0.45">
      <c r="I1080" t="s">
        <v>194</v>
      </c>
      <c r="J1080" t="s">
        <v>168</v>
      </c>
      <c r="K1080">
        <v>3.1604919626916007E-2</v>
      </c>
      <c r="L1080" t="s">
        <v>161</v>
      </c>
    </row>
    <row r="1081" spans="9:12" x14ac:dyDescent="0.45">
      <c r="I1081" t="s">
        <v>194</v>
      </c>
      <c r="J1081" t="s">
        <v>169</v>
      </c>
      <c r="K1081">
        <v>0.25709454805301707</v>
      </c>
      <c r="L1081" t="s">
        <v>161</v>
      </c>
    </row>
    <row r="1082" spans="9:12" x14ac:dyDescent="0.45">
      <c r="I1082" t="s">
        <v>194</v>
      </c>
      <c r="J1082" t="s">
        <v>246</v>
      </c>
      <c r="K1082">
        <v>2.8932383869390371E-2</v>
      </c>
      <c r="L1082" t="s">
        <v>161</v>
      </c>
    </row>
    <row r="1083" spans="9:12" x14ac:dyDescent="0.45">
      <c r="I1083" t="s">
        <v>194</v>
      </c>
      <c r="J1083" t="s">
        <v>247</v>
      </c>
      <c r="K1083">
        <v>2.3269010220481747E-2</v>
      </c>
      <c r="L1083" t="s">
        <v>161</v>
      </c>
    </row>
    <row r="1084" spans="9:12" x14ac:dyDescent="0.45">
      <c r="I1084" t="s">
        <v>194</v>
      </c>
      <c r="J1084" t="s">
        <v>268</v>
      </c>
      <c r="K1084">
        <v>2.748076776195893E-2</v>
      </c>
      <c r="L1084" t="s">
        <v>161</v>
      </c>
    </row>
    <row r="1085" spans="9:12" x14ac:dyDescent="0.45">
      <c r="I1085" t="s">
        <v>194</v>
      </c>
      <c r="J1085" t="s">
        <v>170</v>
      </c>
      <c r="K1085">
        <v>1.9661842723263507E-2</v>
      </c>
      <c r="L1085" t="s">
        <v>161</v>
      </c>
    </row>
    <row r="1086" spans="9:12" x14ac:dyDescent="0.45">
      <c r="I1086" t="s">
        <v>194</v>
      </c>
      <c r="J1086" t="s">
        <v>171</v>
      </c>
      <c r="K1086">
        <v>1.4593150511668724E-2</v>
      </c>
      <c r="L1086" t="s">
        <v>161</v>
      </c>
    </row>
    <row r="1087" spans="9:12" x14ac:dyDescent="0.45">
      <c r="I1087" t="s">
        <v>194</v>
      </c>
      <c r="J1087" t="s">
        <v>172</v>
      </c>
      <c r="K1087">
        <v>0.12069860857587571</v>
      </c>
      <c r="L1087" t="s">
        <v>161</v>
      </c>
    </row>
    <row r="1088" spans="9:12" x14ac:dyDescent="0.45">
      <c r="I1088" t="s">
        <v>194</v>
      </c>
      <c r="J1088" t="s">
        <v>248</v>
      </c>
      <c r="K1088">
        <v>1.2167432265130998E-2</v>
      </c>
      <c r="L1088" t="s">
        <v>161</v>
      </c>
    </row>
    <row r="1089" spans="9:12" x14ac:dyDescent="0.45">
      <c r="I1089" t="s">
        <v>194</v>
      </c>
      <c r="J1089" t="s">
        <v>249</v>
      </c>
      <c r="K1089">
        <v>9.3247391720495485E-3</v>
      </c>
      <c r="L1089" t="s">
        <v>161</v>
      </c>
    </row>
    <row r="1090" spans="9:12" x14ac:dyDescent="0.45">
      <c r="I1090" t="s">
        <v>194</v>
      </c>
      <c r="J1090" t="s">
        <v>269</v>
      </c>
      <c r="K1090">
        <v>8.4497887789253354E-3</v>
      </c>
      <c r="L1090" t="s">
        <v>161</v>
      </c>
    </row>
    <row r="1091" spans="9:12" x14ac:dyDescent="0.45">
      <c r="I1091" t="s">
        <v>194</v>
      </c>
      <c r="J1091" t="s">
        <v>250</v>
      </c>
      <c r="K1091">
        <v>4.3827188164030336E-3</v>
      </c>
      <c r="L1091" t="s">
        <v>161</v>
      </c>
    </row>
    <row r="1092" spans="9:12" x14ac:dyDescent="0.45">
      <c r="I1092" t="s">
        <v>194</v>
      </c>
      <c r="J1092" t="s">
        <v>251</v>
      </c>
      <c r="K1092">
        <v>8.0027425084771512E-3</v>
      </c>
      <c r="L1092" t="s">
        <v>161</v>
      </c>
    </row>
    <row r="1093" spans="9:12" x14ac:dyDescent="0.45">
      <c r="I1093" t="s">
        <v>194</v>
      </c>
      <c r="J1093" t="s">
        <v>252</v>
      </c>
      <c r="K1093">
        <v>7.7793568035924826E-2</v>
      </c>
      <c r="L1093" t="s">
        <v>161</v>
      </c>
    </row>
    <row r="1094" spans="9:12" x14ac:dyDescent="0.45">
      <c r="I1094" t="s">
        <v>194</v>
      </c>
      <c r="J1094" t="s">
        <v>253</v>
      </c>
      <c r="K1094">
        <v>6.02613668670303E-3</v>
      </c>
      <c r="L1094" t="s">
        <v>161</v>
      </c>
    </row>
    <row r="1095" spans="9:12" x14ac:dyDescent="0.45">
      <c r="I1095" t="s">
        <v>194</v>
      </c>
      <c r="J1095" t="s">
        <v>254</v>
      </c>
      <c r="K1095">
        <v>2.028196647472608E-3</v>
      </c>
      <c r="L1095" t="s">
        <v>161</v>
      </c>
    </row>
    <row r="1096" spans="9:12" x14ac:dyDescent="0.45">
      <c r="I1096" t="s">
        <v>194</v>
      </c>
      <c r="J1096" t="s">
        <v>270</v>
      </c>
      <c r="K1096">
        <v>1.0810703614124469E-6</v>
      </c>
      <c r="L1096" t="s">
        <v>161</v>
      </c>
    </row>
    <row r="1097" spans="9:12" x14ac:dyDescent="0.45">
      <c r="I1097" t="s">
        <v>194</v>
      </c>
      <c r="J1097" t="s">
        <v>255</v>
      </c>
      <c r="K1097">
        <v>0</v>
      </c>
      <c r="L1097" t="s">
        <v>161</v>
      </c>
    </row>
    <row r="1098" spans="9:12" x14ac:dyDescent="0.45">
      <c r="I1098" t="s">
        <v>194</v>
      </c>
      <c r="J1098" t="s">
        <v>256</v>
      </c>
      <c r="K1098">
        <v>1.7000009299708509E-3</v>
      </c>
      <c r="L1098" t="s">
        <v>161</v>
      </c>
    </row>
    <row r="1099" spans="9:12" x14ac:dyDescent="0.45">
      <c r="I1099" t="s">
        <v>194</v>
      </c>
      <c r="J1099" t="s">
        <v>257</v>
      </c>
      <c r="K1099">
        <v>3.6011703708679087E-2</v>
      </c>
      <c r="L1099" t="s">
        <v>161</v>
      </c>
    </row>
    <row r="1100" spans="9:12" x14ac:dyDescent="0.45">
      <c r="I1100" t="s">
        <v>194</v>
      </c>
      <c r="J1100" t="s">
        <v>258</v>
      </c>
      <c r="K1100">
        <v>4.1960103551149877E-4</v>
      </c>
      <c r="L1100" t="s">
        <v>161</v>
      </c>
    </row>
    <row r="1101" spans="9:12" x14ac:dyDescent="0.45">
      <c r="I1101" t="s">
        <v>194</v>
      </c>
      <c r="J1101" t="s">
        <v>259</v>
      </c>
      <c r="K1101">
        <v>0</v>
      </c>
      <c r="L1101" t="s">
        <v>161</v>
      </c>
    </row>
    <row r="1102" spans="9:12" x14ac:dyDescent="0.45">
      <c r="I1102" t="s">
        <v>194</v>
      </c>
      <c r="J1102" t="s">
        <v>271</v>
      </c>
      <c r="K1102">
        <v>0</v>
      </c>
      <c r="L1102" t="s">
        <v>161</v>
      </c>
    </row>
    <row r="1103" spans="9:12" x14ac:dyDescent="0.45">
      <c r="I1103" t="s">
        <v>194</v>
      </c>
      <c r="J1103" t="s">
        <v>272</v>
      </c>
      <c r="K1103">
        <v>0</v>
      </c>
      <c r="L1103" t="s">
        <v>161</v>
      </c>
    </row>
    <row r="1104" spans="9:12" x14ac:dyDescent="0.45">
      <c r="I1104" t="s">
        <v>194</v>
      </c>
      <c r="J1104" t="s">
        <v>273</v>
      </c>
      <c r="K1104">
        <v>0</v>
      </c>
      <c r="L1104" t="s">
        <v>161</v>
      </c>
    </row>
    <row r="1105" spans="9:12" x14ac:dyDescent="0.45">
      <c r="I1105" t="s">
        <v>194</v>
      </c>
      <c r="J1105" t="s">
        <v>274</v>
      </c>
      <c r="K1105">
        <v>5.5781874929892138E-3</v>
      </c>
      <c r="L1105" t="s">
        <v>161</v>
      </c>
    </row>
    <row r="1106" spans="9:12" x14ac:dyDescent="0.45">
      <c r="I1106" t="s">
        <v>194</v>
      </c>
      <c r="J1106" t="s">
        <v>275</v>
      </c>
      <c r="K1106">
        <v>0</v>
      </c>
      <c r="L1106" t="s">
        <v>161</v>
      </c>
    </row>
    <row r="1107" spans="9:12" x14ac:dyDescent="0.45">
      <c r="I1107" t="s">
        <v>194</v>
      </c>
      <c r="J1107" t="s">
        <v>276</v>
      </c>
      <c r="K1107">
        <v>0</v>
      </c>
      <c r="L1107" t="s">
        <v>161</v>
      </c>
    </row>
    <row r="1108" spans="9:12" x14ac:dyDescent="0.45">
      <c r="I1108" t="s">
        <v>194</v>
      </c>
      <c r="J1108" t="s">
        <v>277</v>
      </c>
      <c r="K1108">
        <v>0</v>
      </c>
      <c r="L1108" t="s">
        <v>161</v>
      </c>
    </row>
    <row r="1109" spans="9:12" x14ac:dyDescent="0.45">
      <c r="I1109" t="s">
        <v>194</v>
      </c>
      <c r="J1109" t="s">
        <v>278</v>
      </c>
      <c r="K1109">
        <v>0</v>
      </c>
      <c r="L1109" t="s">
        <v>161</v>
      </c>
    </row>
    <row r="1110" spans="9:12" x14ac:dyDescent="0.45">
      <c r="I1110" t="s">
        <v>194</v>
      </c>
      <c r="J1110" t="s">
        <v>279</v>
      </c>
      <c r="K1110">
        <v>0</v>
      </c>
      <c r="L1110" t="s">
        <v>161</v>
      </c>
    </row>
    <row r="1111" spans="9:12" x14ac:dyDescent="0.45">
      <c r="I1111" t="s">
        <v>194</v>
      </c>
      <c r="J1111" t="s">
        <v>280</v>
      </c>
      <c r="K1111">
        <v>3.434757519620918E-3</v>
      </c>
      <c r="L1111" t="s">
        <v>161</v>
      </c>
    </row>
    <row r="1112" spans="9:12" x14ac:dyDescent="0.45">
      <c r="I1112" t="s">
        <v>194</v>
      </c>
      <c r="J1112" t="s">
        <v>281</v>
      </c>
      <c r="K1112">
        <v>0</v>
      </c>
      <c r="L1112" t="s">
        <v>161</v>
      </c>
    </row>
    <row r="1113" spans="9:12" x14ac:dyDescent="0.45">
      <c r="I1113" t="s">
        <v>194</v>
      </c>
      <c r="J1113" t="s">
        <v>282</v>
      </c>
      <c r="K1113">
        <v>0</v>
      </c>
      <c r="L1113" t="s">
        <v>161</v>
      </c>
    </row>
    <row r="1114" spans="9:12" x14ac:dyDescent="0.45">
      <c r="I1114" t="s">
        <v>194</v>
      </c>
      <c r="J1114" t="s">
        <v>283</v>
      </c>
      <c r="K1114">
        <v>0</v>
      </c>
      <c r="L1114" t="s">
        <v>161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1DA84-3210-41B8-8EB3-0BEDFB74D48A}">
  <dimension ref="A9:AN16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139</v>
      </c>
      <c r="C10" t="s">
        <v>144</v>
      </c>
      <c r="D10" t="s">
        <v>145</v>
      </c>
      <c r="E10" t="s">
        <v>146</v>
      </c>
      <c r="F10" t="s">
        <v>147</v>
      </c>
      <c r="G10" t="s">
        <v>148</v>
      </c>
      <c r="I10" t="s">
        <v>13</v>
      </c>
      <c r="J10" t="s">
        <v>120</v>
      </c>
      <c r="K10" t="s">
        <v>158</v>
      </c>
      <c r="L10" t="s">
        <v>30</v>
      </c>
      <c r="N10" t="s">
        <v>13</v>
      </c>
      <c r="O10" t="s">
        <v>120</v>
      </c>
      <c r="P10" t="s">
        <v>158</v>
      </c>
      <c r="Q10" t="s">
        <v>30</v>
      </c>
      <c r="S10" t="s">
        <v>13</v>
      </c>
      <c r="T10" t="s">
        <v>120</v>
      </c>
      <c r="U10" t="s">
        <v>158</v>
      </c>
      <c r="V10" t="s">
        <v>30</v>
      </c>
      <c r="X10" t="s">
        <v>227</v>
      </c>
      <c r="Y10" t="s">
        <v>158</v>
      </c>
      <c r="Z10" t="s">
        <v>120</v>
      </c>
      <c r="AA10" t="s">
        <v>13</v>
      </c>
      <c r="AC10" t="s">
        <v>13</v>
      </c>
      <c r="AD10" t="s">
        <v>120</v>
      </c>
      <c r="AE10" t="s">
        <v>158</v>
      </c>
      <c r="AG10" t="s">
        <v>13</v>
      </c>
      <c r="AH10" t="s">
        <v>120</v>
      </c>
      <c r="AI10" t="s">
        <v>233</v>
      </c>
      <c r="AK10" t="s">
        <v>47</v>
      </c>
      <c r="AL10" t="s">
        <v>120</v>
      </c>
      <c r="AM10" t="s">
        <v>234</v>
      </c>
      <c r="AN10" t="s">
        <v>235</v>
      </c>
    </row>
    <row r="11" spans="1:40" x14ac:dyDescent="0.45">
      <c r="A11" t="str">
        <f>IFERROR(IF(Veda!D5=A10,"ok","x"),"")</f>
        <v>x</v>
      </c>
      <c r="C11" t="s">
        <v>149</v>
      </c>
      <c r="D11" t="s">
        <v>150</v>
      </c>
      <c r="E11" t="s">
        <v>286</v>
      </c>
      <c r="F11" t="s">
        <v>262</v>
      </c>
      <c r="G11" t="s">
        <v>287</v>
      </c>
      <c r="I11" t="s">
        <v>159</v>
      </c>
      <c r="J11" t="s">
        <v>160</v>
      </c>
      <c r="K11">
        <v>7.7486934622781249E-8</v>
      </c>
      <c r="L11" t="s">
        <v>161</v>
      </c>
      <c r="N11" t="s">
        <v>195</v>
      </c>
      <c r="O11" t="s">
        <v>160</v>
      </c>
      <c r="P11">
        <v>7.2895412500356693E-2</v>
      </c>
      <c r="Q11" t="s">
        <v>161</v>
      </c>
      <c r="S11" t="s">
        <v>217</v>
      </c>
      <c r="T11" t="s">
        <v>160</v>
      </c>
      <c r="U11">
        <v>6.690635828476002E-2</v>
      </c>
      <c r="V11" t="s">
        <v>161</v>
      </c>
      <c r="X11">
        <v>6.6666666666666666E-2</v>
      </c>
      <c r="Y11">
        <v>3.6950998185117968E-2</v>
      </c>
      <c r="Z11" t="s">
        <v>160</v>
      </c>
      <c r="AA11" t="s">
        <v>25</v>
      </c>
      <c r="AC11" t="s">
        <v>22</v>
      </c>
      <c r="AD11" t="s">
        <v>160</v>
      </c>
      <c r="AE11">
        <v>6.7237448199268135E-2</v>
      </c>
      <c r="AG11" t="s">
        <v>100</v>
      </c>
      <c r="AH11" t="s">
        <v>160</v>
      </c>
      <c r="AI11">
        <v>0.3072204267583647</v>
      </c>
      <c r="AK11">
        <v>2020</v>
      </c>
      <c r="AL11" t="s">
        <v>149</v>
      </c>
      <c r="AM11">
        <v>0.42036173390073239</v>
      </c>
      <c r="AN11" t="s">
        <v>236</v>
      </c>
    </row>
    <row r="12" spans="1:40" x14ac:dyDescent="0.45">
      <c r="C12" t="s">
        <v>153</v>
      </c>
      <c r="D12" t="s">
        <v>287</v>
      </c>
      <c r="E12" t="s">
        <v>288</v>
      </c>
      <c r="F12" t="s">
        <v>149</v>
      </c>
      <c r="G12" t="s">
        <v>287</v>
      </c>
      <c r="I12" t="s">
        <v>159</v>
      </c>
      <c r="J12" t="s">
        <v>162</v>
      </c>
      <c r="K12">
        <v>2.9307736855569647E-3</v>
      </c>
      <c r="L12" t="s">
        <v>161</v>
      </c>
      <c r="N12" t="s">
        <v>195</v>
      </c>
      <c r="O12" t="s">
        <v>162</v>
      </c>
      <c r="P12">
        <v>9.207247211642228E-3</v>
      </c>
      <c r="Q12" t="s">
        <v>161</v>
      </c>
      <c r="S12" t="s">
        <v>217</v>
      </c>
      <c r="T12" t="s">
        <v>162</v>
      </c>
      <c r="U12">
        <v>8.5228686755348688E-3</v>
      </c>
      <c r="V12" t="s">
        <v>161</v>
      </c>
      <c r="X12">
        <v>8.3333333333333332E-3</v>
      </c>
      <c r="Y12">
        <v>1.064730792498488E-2</v>
      </c>
      <c r="Z12" t="s">
        <v>162</v>
      </c>
      <c r="AA12" t="s">
        <v>25</v>
      </c>
      <c r="AC12" t="s">
        <v>22</v>
      </c>
      <c r="AD12" t="s">
        <v>162</v>
      </c>
      <c r="AE12">
        <v>1.1686373718191782E-2</v>
      </c>
      <c r="AG12" t="s">
        <v>100</v>
      </c>
      <c r="AH12" t="s">
        <v>162</v>
      </c>
      <c r="AI12">
        <v>8.9637842118051259E-2</v>
      </c>
      <c r="AK12">
        <v>2020</v>
      </c>
      <c r="AL12" t="s">
        <v>153</v>
      </c>
      <c r="AM12">
        <v>0.39878662326131986</v>
      </c>
      <c r="AN12" t="s">
        <v>236</v>
      </c>
    </row>
    <row r="13" spans="1:40" x14ac:dyDescent="0.45">
      <c r="C13" t="s">
        <v>155</v>
      </c>
      <c r="E13" t="s">
        <v>289</v>
      </c>
      <c r="G13" t="s">
        <v>287</v>
      </c>
      <c r="I13" t="s">
        <v>159</v>
      </c>
      <c r="J13" t="s">
        <v>163</v>
      </c>
      <c r="K13">
        <v>9.9141314919159701E-2</v>
      </c>
      <c r="L13" t="s">
        <v>161</v>
      </c>
      <c r="N13" t="s">
        <v>195</v>
      </c>
      <c r="O13" t="s">
        <v>163</v>
      </c>
      <c r="P13">
        <v>5.9753631321761563E-2</v>
      </c>
      <c r="Q13" t="s">
        <v>161</v>
      </c>
      <c r="S13" t="s">
        <v>217</v>
      </c>
      <c r="T13" t="s">
        <v>163</v>
      </c>
      <c r="U13">
        <v>6.0078125009208824E-2</v>
      </c>
      <c r="V13" t="s">
        <v>161</v>
      </c>
      <c r="X13">
        <v>5.8333333333333334E-2</v>
      </c>
      <c r="Y13">
        <v>7.5934664246823963E-2</v>
      </c>
      <c r="Z13" t="s">
        <v>163</v>
      </c>
      <c r="AA13" t="s">
        <v>25</v>
      </c>
      <c r="AC13" t="s">
        <v>22</v>
      </c>
      <c r="AD13" t="s">
        <v>163</v>
      </c>
      <c r="AE13">
        <v>8.1872718577141318E-2</v>
      </c>
      <c r="AG13" t="s">
        <v>100</v>
      </c>
      <c r="AH13" t="s">
        <v>163</v>
      </c>
      <c r="AI13">
        <v>8.5720181962887887E-2</v>
      </c>
      <c r="AK13">
        <v>2020</v>
      </c>
      <c r="AL13" t="s">
        <v>155</v>
      </c>
      <c r="AM13">
        <v>0.39905379632369864</v>
      </c>
      <c r="AN13" t="s">
        <v>236</v>
      </c>
    </row>
    <row r="14" spans="1:40" x14ac:dyDescent="0.45">
      <c r="C14" t="s">
        <v>157</v>
      </c>
      <c r="E14" t="s">
        <v>290</v>
      </c>
      <c r="G14" t="s">
        <v>287</v>
      </c>
      <c r="I14" t="s">
        <v>159</v>
      </c>
      <c r="J14" t="s">
        <v>242</v>
      </c>
      <c r="K14">
        <v>1.1533900146472575E-2</v>
      </c>
      <c r="L14" t="s">
        <v>161</v>
      </c>
      <c r="N14" t="s">
        <v>195</v>
      </c>
      <c r="O14" t="s">
        <v>242</v>
      </c>
      <c r="P14">
        <v>8.5166904687550438E-3</v>
      </c>
      <c r="Q14" t="s">
        <v>161</v>
      </c>
      <c r="S14" t="s">
        <v>217</v>
      </c>
      <c r="T14" t="s">
        <v>242</v>
      </c>
      <c r="U14">
        <v>8.6250981008891767E-3</v>
      </c>
      <c r="V14" t="s">
        <v>161</v>
      </c>
      <c r="X14">
        <v>8.3333333333333332E-3</v>
      </c>
      <c r="Y14">
        <v>1.6212946158499698E-2</v>
      </c>
      <c r="Z14" t="s">
        <v>242</v>
      </c>
      <c r="AA14" t="s">
        <v>25</v>
      </c>
      <c r="AC14" t="s">
        <v>22</v>
      </c>
      <c r="AD14" t="s">
        <v>242</v>
      </c>
      <c r="AE14">
        <v>1.1937693910593438E-2</v>
      </c>
      <c r="AG14" t="s">
        <v>100</v>
      </c>
      <c r="AH14" t="s">
        <v>242</v>
      </c>
      <c r="AI14">
        <v>8.1365297571871942E-2</v>
      </c>
      <c r="AK14">
        <v>2020</v>
      </c>
      <c r="AL14" t="s">
        <v>157</v>
      </c>
      <c r="AM14">
        <v>0.38461960036390336</v>
      </c>
      <c r="AN14" t="s">
        <v>236</v>
      </c>
    </row>
    <row r="15" spans="1:40" x14ac:dyDescent="0.45">
      <c r="C15" t="s">
        <v>239</v>
      </c>
      <c r="E15" t="s">
        <v>291</v>
      </c>
      <c r="G15" t="s">
        <v>287</v>
      </c>
      <c r="I15" t="s">
        <v>159</v>
      </c>
      <c r="J15" t="s">
        <v>243</v>
      </c>
      <c r="K15">
        <v>7.4881631845524514E-3</v>
      </c>
      <c r="L15" t="s">
        <v>161</v>
      </c>
      <c r="N15" t="s">
        <v>195</v>
      </c>
      <c r="O15" t="s">
        <v>243</v>
      </c>
      <c r="P15">
        <v>8.681118349554106E-3</v>
      </c>
      <c r="Q15" t="s">
        <v>161</v>
      </c>
      <c r="S15" t="s">
        <v>217</v>
      </c>
      <c r="T15" t="s">
        <v>243</v>
      </c>
      <c r="U15">
        <v>8.7370816287132055E-3</v>
      </c>
      <c r="V15" t="s">
        <v>161</v>
      </c>
      <c r="X15">
        <v>8.3333333333333332E-3</v>
      </c>
      <c r="Y15">
        <v>1.6212946158499698E-2</v>
      </c>
      <c r="Z15" t="s">
        <v>243</v>
      </c>
      <c r="AA15" t="s">
        <v>25</v>
      </c>
      <c r="AC15" t="s">
        <v>22</v>
      </c>
      <c r="AD15" t="s">
        <v>243</v>
      </c>
      <c r="AE15">
        <v>1.2017533831664446E-2</v>
      </c>
      <c r="AG15" t="s">
        <v>100</v>
      </c>
      <c r="AH15" t="s">
        <v>243</v>
      </c>
      <c r="AI15">
        <v>7.8944296148270476E-2</v>
      </c>
      <c r="AK15">
        <v>2020</v>
      </c>
      <c r="AL15" t="s">
        <v>239</v>
      </c>
      <c r="AM15">
        <v>0.37689213332894894</v>
      </c>
      <c r="AN15" t="s">
        <v>236</v>
      </c>
    </row>
    <row r="16" spans="1:40" x14ac:dyDescent="0.45">
      <c r="C16" t="s">
        <v>241</v>
      </c>
      <c r="E16" t="s">
        <v>292</v>
      </c>
      <c r="G16" t="s">
        <v>287</v>
      </c>
      <c r="I16" t="s">
        <v>159</v>
      </c>
      <c r="J16" t="s">
        <v>266</v>
      </c>
      <c r="K16">
        <v>2.5672884626531424E-3</v>
      </c>
      <c r="L16" t="s">
        <v>161</v>
      </c>
      <c r="N16" t="s">
        <v>195</v>
      </c>
      <c r="O16" t="s">
        <v>266</v>
      </c>
      <c r="P16">
        <v>5.5373384317712132E-2</v>
      </c>
      <c r="Q16" t="s">
        <v>161</v>
      </c>
      <c r="S16" t="s">
        <v>217</v>
      </c>
      <c r="T16" t="s">
        <v>266</v>
      </c>
      <c r="U16">
        <v>5.2573336267404576E-2</v>
      </c>
      <c r="V16" t="s">
        <v>161</v>
      </c>
      <c r="X16">
        <v>0.05</v>
      </c>
      <c r="Y16">
        <v>4.4041137326073808E-2</v>
      </c>
      <c r="Z16" t="s">
        <v>266</v>
      </c>
      <c r="AA16" t="s">
        <v>25</v>
      </c>
      <c r="AC16" t="s">
        <v>22</v>
      </c>
      <c r="AD16" t="s">
        <v>266</v>
      </c>
      <c r="AE16">
        <v>6.2530030348570298E-2</v>
      </c>
      <c r="AG16" t="s">
        <v>100</v>
      </c>
      <c r="AH16" t="s">
        <v>266</v>
      </c>
      <c r="AI16">
        <v>0.18166266389979357</v>
      </c>
      <c r="AK16">
        <v>2020</v>
      </c>
      <c r="AL16" t="s">
        <v>241</v>
      </c>
      <c r="AM16">
        <v>0.3336786031370228</v>
      </c>
      <c r="AN16" t="s">
        <v>236</v>
      </c>
    </row>
    <row r="17" spans="3:40" x14ac:dyDescent="0.45">
      <c r="C17" t="s">
        <v>264</v>
      </c>
      <c r="E17" t="s">
        <v>293</v>
      </c>
      <c r="G17" t="s">
        <v>287</v>
      </c>
      <c r="I17" t="s">
        <v>159</v>
      </c>
      <c r="J17" t="s">
        <v>311</v>
      </c>
      <c r="K17">
        <v>0</v>
      </c>
      <c r="L17" t="s">
        <v>161</v>
      </c>
      <c r="N17" t="s">
        <v>195</v>
      </c>
      <c r="O17" t="s">
        <v>311</v>
      </c>
      <c r="P17">
        <v>1.8081954817190708E-5</v>
      </c>
      <c r="Q17" t="s">
        <v>161</v>
      </c>
      <c r="S17" t="s">
        <v>217</v>
      </c>
      <c r="T17" t="s">
        <v>311</v>
      </c>
      <c r="U17">
        <v>4.4454941474416964E-6</v>
      </c>
      <c r="V17" t="s">
        <v>161</v>
      </c>
      <c r="X17">
        <v>1.1415525114155251E-4</v>
      </c>
      <c r="Y17">
        <v>2.1546544680075254E-5</v>
      </c>
      <c r="Z17" t="s">
        <v>311</v>
      </c>
      <c r="AA17" t="s">
        <v>25</v>
      </c>
      <c r="AC17" t="s">
        <v>22</v>
      </c>
      <c r="AD17" t="s">
        <v>311</v>
      </c>
      <c r="AE17">
        <v>8.9748064984442979E-5</v>
      </c>
      <c r="AG17" t="s">
        <v>100</v>
      </c>
      <c r="AH17" t="s">
        <v>311</v>
      </c>
      <c r="AI17">
        <v>0</v>
      </c>
      <c r="AK17">
        <v>2020</v>
      </c>
      <c r="AL17" t="s">
        <v>264</v>
      </c>
      <c r="AM17">
        <v>0.31567524908750122</v>
      </c>
      <c r="AN17" t="s">
        <v>236</v>
      </c>
    </row>
    <row r="18" spans="3:40" x14ac:dyDescent="0.45">
      <c r="C18" t="s">
        <v>265</v>
      </c>
      <c r="E18" t="s">
        <v>294</v>
      </c>
      <c r="G18" t="s">
        <v>287</v>
      </c>
      <c r="I18" t="s">
        <v>159</v>
      </c>
      <c r="J18" t="s">
        <v>312</v>
      </c>
      <c r="K18">
        <v>0</v>
      </c>
      <c r="L18" t="s">
        <v>161</v>
      </c>
      <c r="N18" t="s">
        <v>195</v>
      </c>
      <c r="O18" t="s">
        <v>312</v>
      </c>
      <c r="P18">
        <v>2.0975670533751335E-5</v>
      </c>
      <c r="Q18" t="s">
        <v>161</v>
      </c>
      <c r="S18" t="s">
        <v>217</v>
      </c>
      <c r="T18" t="s">
        <v>312</v>
      </c>
      <c r="U18">
        <v>5.9061150353425271E-6</v>
      </c>
      <c r="V18" t="s">
        <v>161</v>
      </c>
      <c r="X18">
        <v>1.1415525114155251E-4</v>
      </c>
      <c r="Y18">
        <v>1.4916838624667481E-5</v>
      </c>
      <c r="Z18" t="s">
        <v>312</v>
      </c>
      <c r="AA18" t="s">
        <v>25</v>
      </c>
      <c r="AC18" t="s">
        <v>22</v>
      </c>
      <c r="AD18" t="s">
        <v>312</v>
      </c>
      <c r="AE18">
        <v>8.7446451032907545E-5</v>
      </c>
      <c r="AG18" t="s">
        <v>100</v>
      </c>
      <c r="AH18" t="s">
        <v>312</v>
      </c>
      <c r="AI18">
        <v>0</v>
      </c>
      <c r="AK18">
        <v>2020</v>
      </c>
      <c r="AL18" t="s">
        <v>265</v>
      </c>
      <c r="AM18">
        <v>0.31567524908750122</v>
      </c>
      <c r="AN18" t="s">
        <v>236</v>
      </c>
    </row>
    <row r="19" spans="3:40" x14ac:dyDescent="0.45">
      <c r="E19" t="s">
        <v>295</v>
      </c>
      <c r="G19" t="s">
        <v>287</v>
      </c>
      <c r="I19" t="s">
        <v>159</v>
      </c>
      <c r="J19" t="s">
        <v>313</v>
      </c>
      <c r="K19">
        <v>0</v>
      </c>
      <c r="L19" t="s">
        <v>161</v>
      </c>
      <c r="N19" t="s">
        <v>195</v>
      </c>
      <c r="O19" t="s">
        <v>313</v>
      </c>
      <c r="P19">
        <v>1.9892564448102535E-5</v>
      </c>
      <c r="Q19" t="s">
        <v>161</v>
      </c>
      <c r="S19" t="s">
        <v>217</v>
      </c>
      <c r="T19" t="s">
        <v>313</v>
      </c>
      <c r="U19">
        <v>6.0606302069549209E-6</v>
      </c>
      <c r="V19" t="s">
        <v>161</v>
      </c>
      <c r="X19">
        <v>1.1415525114155251E-4</v>
      </c>
      <c r="Y19">
        <v>1.6574265138519424E-5</v>
      </c>
      <c r="Z19" t="s">
        <v>313</v>
      </c>
      <c r="AA19" t="s">
        <v>25</v>
      </c>
      <c r="AC19" t="s">
        <v>22</v>
      </c>
      <c r="AD19" t="s">
        <v>313</v>
      </c>
      <c r="AE19">
        <v>8.649771601677027E-5</v>
      </c>
      <c r="AG19" t="s">
        <v>100</v>
      </c>
      <c r="AH19" t="s">
        <v>313</v>
      </c>
      <c r="AI19">
        <v>0</v>
      </c>
      <c r="AK19">
        <v>2021</v>
      </c>
      <c r="AL19" t="s">
        <v>149</v>
      </c>
      <c r="AM19">
        <v>0.38411201486294028</v>
      </c>
      <c r="AN19" t="s">
        <v>236</v>
      </c>
    </row>
    <row r="20" spans="3:40" x14ac:dyDescent="0.45">
      <c r="E20" t="s">
        <v>296</v>
      </c>
      <c r="G20" t="s">
        <v>287</v>
      </c>
      <c r="I20" t="s">
        <v>159</v>
      </c>
      <c r="J20" t="s">
        <v>314</v>
      </c>
      <c r="K20">
        <v>0</v>
      </c>
      <c r="L20" t="s">
        <v>161</v>
      </c>
      <c r="N20" t="s">
        <v>195</v>
      </c>
      <c r="O20" t="s">
        <v>314</v>
      </c>
      <c r="P20">
        <v>1.8069107690656264E-5</v>
      </c>
      <c r="Q20" t="s">
        <v>161</v>
      </c>
      <c r="S20" t="s">
        <v>217</v>
      </c>
      <c r="T20" t="s">
        <v>314</v>
      </c>
      <c r="U20">
        <v>5.6992450595232144E-6</v>
      </c>
      <c r="V20" t="s">
        <v>161</v>
      </c>
      <c r="X20">
        <v>1.1415525114155251E-4</v>
      </c>
      <c r="Y20">
        <v>1.4585353321897093E-5</v>
      </c>
      <c r="Z20" t="s">
        <v>314</v>
      </c>
      <c r="AA20" t="s">
        <v>25</v>
      </c>
      <c r="AC20" t="s">
        <v>22</v>
      </c>
      <c r="AD20" t="s">
        <v>314</v>
      </c>
      <c r="AE20">
        <v>8.649771601677027E-5</v>
      </c>
      <c r="AG20" t="s">
        <v>100</v>
      </c>
      <c r="AH20" t="s">
        <v>314</v>
      </c>
      <c r="AI20">
        <v>0</v>
      </c>
      <c r="AK20">
        <v>2021</v>
      </c>
      <c r="AL20" t="s">
        <v>153</v>
      </c>
      <c r="AM20">
        <v>0.35801489838154743</v>
      </c>
      <c r="AN20" t="s">
        <v>236</v>
      </c>
    </row>
    <row r="21" spans="3:40" x14ac:dyDescent="0.45">
      <c r="E21" t="s">
        <v>297</v>
      </c>
      <c r="G21" t="s">
        <v>287</v>
      </c>
      <c r="I21" t="s">
        <v>159</v>
      </c>
      <c r="J21" t="s">
        <v>315</v>
      </c>
      <c r="K21">
        <v>0</v>
      </c>
      <c r="L21" t="s">
        <v>161</v>
      </c>
      <c r="N21" t="s">
        <v>195</v>
      </c>
      <c r="O21" t="s">
        <v>315</v>
      </c>
      <c r="P21">
        <v>1.1066040424355837E-5</v>
      </c>
      <c r="Q21" t="s">
        <v>161</v>
      </c>
      <c r="S21" t="s">
        <v>217</v>
      </c>
      <c r="T21" t="s">
        <v>315</v>
      </c>
      <c r="U21">
        <v>6.1130730020349783E-6</v>
      </c>
      <c r="V21" t="s">
        <v>161</v>
      </c>
      <c r="X21">
        <v>1.1415525114155251E-4</v>
      </c>
      <c r="Y21">
        <v>2.1215059377304864E-5</v>
      </c>
      <c r="Z21" t="s">
        <v>315</v>
      </c>
      <c r="AA21" t="s">
        <v>25</v>
      </c>
      <c r="AC21" t="s">
        <v>22</v>
      </c>
      <c r="AD21" t="s">
        <v>315</v>
      </c>
      <c r="AE21">
        <v>8.8366523359735541E-5</v>
      </c>
      <c r="AG21" t="s">
        <v>100</v>
      </c>
      <c r="AH21" t="s">
        <v>315</v>
      </c>
      <c r="AI21">
        <v>0</v>
      </c>
      <c r="AK21">
        <v>2021</v>
      </c>
      <c r="AL21" t="s">
        <v>155</v>
      </c>
      <c r="AM21">
        <v>0.46341180771817125</v>
      </c>
      <c r="AN21" t="s">
        <v>236</v>
      </c>
    </row>
    <row r="22" spans="3:40" x14ac:dyDescent="0.45">
      <c r="E22" t="s">
        <v>298</v>
      </c>
      <c r="G22" t="s">
        <v>287</v>
      </c>
      <c r="I22" t="s">
        <v>159</v>
      </c>
      <c r="J22" t="s">
        <v>316</v>
      </c>
      <c r="K22">
        <v>0</v>
      </c>
      <c r="L22" t="s">
        <v>161</v>
      </c>
      <c r="N22" t="s">
        <v>195</v>
      </c>
      <c r="O22" t="s">
        <v>316</v>
      </c>
      <c r="P22">
        <v>6.4675952264174762E-6</v>
      </c>
      <c r="Q22" t="s">
        <v>161</v>
      </c>
      <c r="S22" t="s">
        <v>217</v>
      </c>
      <c r="T22" t="s">
        <v>316</v>
      </c>
      <c r="U22">
        <v>6.6976697646463076E-6</v>
      </c>
      <c r="V22" t="s">
        <v>161</v>
      </c>
      <c r="X22">
        <v>1.1415525114155251E-4</v>
      </c>
      <c r="Y22">
        <v>5.7678442682047593E-5</v>
      </c>
      <c r="Z22" t="s">
        <v>316</v>
      </c>
      <c r="AA22" t="s">
        <v>25</v>
      </c>
      <c r="AC22" t="s">
        <v>22</v>
      </c>
      <c r="AD22" t="s">
        <v>316</v>
      </c>
      <c r="AE22">
        <v>9.4164985407003515E-5</v>
      </c>
      <c r="AG22" t="s">
        <v>100</v>
      </c>
      <c r="AH22" t="s">
        <v>316</v>
      </c>
      <c r="AI22">
        <v>0</v>
      </c>
      <c r="AK22">
        <v>2021</v>
      </c>
      <c r="AL22" t="s">
        <v>157</v>
      </c>
      <c r="AM22">
        <v>0.47928459042508048</v>
      </c>
      <c r="AN22" t="s">
        <v>236</v>
      </c>
    </row>
    <row r="23" spans="3:40" x14ac:dyDescent="0.45">
      <c r="E23" t="s">
        <v>299</v>
      </c>
      <c r="G23" t="s">
        <v>287</v>
      </c>
      <c r="I23" t="s">
        <v>159</v>
      </c>
      <c r="J23" t="s">
        <v>317</v>
      </c>
      <c r="K23">
        <v>0</v>
      </c>
      <c r="L23" t="s">
        <v>161</v>
      </c>
      <c r="N23" t="s">
        <v>195</v>
      </c>
      <c r="O23" t="s">
        <v>317</v>
      </c>
      <c r="P23">
        <v>4.8033376189343867E-6</v>
      </c>
      <c r="Q23" t="s">
        <v>161</v>
      </c>
      <c r="S23" t="s">
        <v>217</v>
      </c>
      <c r="T23" t="s">
        <v>317</v>
      </c>
      <c r="U23">
        <v>6.8526227730394317E-6</v>
      </c>
      <c r="V23" t="s">
        <v>161</v>
      </c>
      <c r="X23">
        <v>1.1415525114155251E-4</v>
      </c>
      <c r="Y23">
        <v>1.6905750441289813E-4</v>
      </c>
      <c r="Z23" t="s">
        <v>317</v>
      </c>
      <c r="AA23" t="s">
        <v>25</v>
      </c>
      <c r="AC23" t="s">
        <v>22</v>
      </c>
      <c r="AD23" t="s">
        <v>317</v>
      </c>
      <c r="AE23">
        <v>1.0808072106666052E-4</v>
      </c>
      <c r="AG23" t="s">
        <v>100</v>
      </c>
      <c r="AH23" t="s">
        <v>317</v>
      </c>
      <c r="AI23">
        <v>0</v>
      </c>
      <c r="AK23">
        <v>2021</v>
      </c>
      <c r="AL23" t="s">
        <v>239</v>
      </c>
      <c r="AM23">
        <v>0.32311381832505282</v>
      </c>
      <c r="AN23" t="s">
        <v>236</v>
      </c>
    </row>
    <row r="24" spans="3:40" x14ac:dyDescent="0.45">
      <c r="E24" t="s">
        <v>300</v>
      </c>
      <c r="G24" t="s">
        <v>287</v>
      </c>
      <c r="I24" t="s">
        <v>159</v>
      </c>
      <c r="J24" t="s">
        <v>318</v>
      </c>
      <c r="K24">
        <v>0</v>
      </c>
      <c r="L24" t="s">
        <v>161</v>
      </c>
      <c r="N24" t="s">
        <v>195</v>
      </c>
      <c r="O24" t="s">
        <v>318</v>
      </c>
      <c r="P24">
        <v>3.9328382212709137E-6</v>
      </c>
      <c r="Q24" t="s">
        <v>161</v>
      </c>
      <c r="S24" t="s">
        <v>217</v>
      </c>
      <c r="T24" t="s">
        <v>318</v>
      </c>
      <c r="U24">
        <v>7.5103271925628926E-6</v>
      </c>
      <c r="V24" t="s">
        <v>161</v>
      </c>
      <c r="X24">
        <v>1.1415525114155251E-4</v>
      </c>
      <c r="Y24">
        <v>1.9060404909297337E-4</v>
      </c>
      <c r="Z24" t="s">
        <v>318</v>
      </c>
      <c r="AA24" t="s">
        <v>25</v>
      </c>
      <c r="AC24" t="s">
        <v>22</v>
      </c>
      <c r="AD24" t="s">
        <v>318</v>
      </c>
      <c r="AE24">
        <v>1.230770401132775E-4</v>
      </c>
      <c r="AG24" t="s">
        <v>100</v>
      </c>
      <c r="AH24" t="s">
        <v>318</v>
      </c>
      <c r="AI24">
        <v>0</v>
      </c>
      <c r="AK24">
        <v>2021</v>
      </c>
      <c r="AL24" t="s">
        <v>241</v>
      </c>
      <c r="AM24">
        <v>0.32027113487540071</v>
      </c>
      <c r="AN24" t="s">
        <v>236</v>
      </c>
    </row>
    <row r="25" spans="3:40" x14ac:dyDescent="0.45">
      <c r="E25" t="s">
        <v>301</v>
      </c>
      <c r="G25" t="s">
        <v>287</v>
      </c>
      <c r="I25" t="s">
        <v>159</v>
      </c>
      <c r="J25" t="s">
        <v>319</v>
      </c>
      <c r="K25">
        <v>4.2288126976064726E-5</v>
      </c>
      <c r="L25" t="s">
        <v>161</v>
      </c>
      <c r="N25" t="s">
        <v>195</v>
      </c>
      <c r="O25" t="s">
        <v>319</v>
      </c>
      <c r="P25">
        <v>2.5524408542220947E-6</v>
      </c>
      <c r="Q25" t="s">
        <v>161</v>
      </c>
      <c r="S25" t="s">
        <v>217</v>
      </c>
      <c r="T25" t="s">
        <v>319</v>
      </c>
      <c r="U25">
        <v>7.5689787926529633E-6</v>
      </c>
      <c r="V25" t="s">
        <v>161</v>
      </c>
      <c r="X25">
        <v>1.1415525114155251E-4</v>
      </c>
      <c r="Y25">
        <v>1.4585353321897094E-4</v>
      </c>
      <c r="Z25" t="s">
        <v>319</v>
      </c>
      <c r="AA25" t="s">
        <v>25</v>
      </c>
      <c r="AC25" t="s">
        <v>22</v>
      </c>
      <c r="AD25" t="s">
        <v>319</v>
      </c>
      <c r="AE25">
        <v>1.324210768281038E-4</v>
      </c>
      <c r="AG25" t="s">
        <v>100</v>
      </c>
      <c r="AH25" t="s">
        <v>319</v>
      </c>
      <c r="AI25">
        <v>0</v>
      </c>
      <c r="AK25">
        <v>2021</v>
      </c>
      <c r="AL25" t="s">
        <v>264</v>
      </c>
      <c r="AM25">
        <v>0.36478837377832618</v>
      </c>
      <c r="AN25" t="s">
        <v>236</v>
      </c>
    </row>
    <row r="26" spans="3:40" x14ac:dyDescent="0.45">
      <c r="E26" t="s">
        <v>302</v>
      </c>
      <c r="G26" t="s">
        <v>287</v>
      </c>
      <c r="I26" t="s">
        <v>159</v>
      </c>
      <c r="J26" t="s">
        <v>320</v>
      </c>
      <c r="K26">
        <v>9.4177423000530859E-5</v>
      </c>
      <c r="L26" t="s">
        <v>161</v>
      </c>
      <c r="N26" t="s">
        <v>195</v>
      </c>
      <c r="O26" t="s">
        <v>320</v>
      </c>
      <c r="P26">
        <v>1.9223564063876363E-7</v>
      </c>
      <c r="Q26" t="s">
        <v>161</v>
      </c>
      <c r="S26" t="s">
        <v>217</v>
      </c>
      <c r="T26" t="s">
        <v>320</v>
      </c>
      <c r="U26">
        <v>7.0096222126792614E-6</v>
      </c>
      <c r="V26" t="s">
        <v>161</v>
      </c>
      <c r="X26">
        <v>1.1415525114155251E-4</v>
      </c>
      <c r="Y26">
        <v>1.4452759200788939E-4</v>
      </c>
      <c r="Z26" t="s">
        <v>320</v>
      </c>
      <c r="AA26" t="s">
        <v>25</v>
      </c>
      <c r="AC26" t="s">
        <v>22</v>
      </c>
      <c r="AD26" t="s">
        <v>320</v>
      </c>
      <c r="AE26">
        <v>1.3801890005020681E-4</v>
      </c>
      <c r="AG26" t="s">
        <v>100</v>
      </c>
      <c r="AH26" t="s">
        <v>320</v>
      </c>
      <c r="AI26">
        <v>0</v>
      </c>
      <c r="AK26">
        <v>2021</v>
      </c>
      <c r="AL26" t="s">
        <v>265</v>
      </c>
      <c r="AM26">
        <v>0.36478837377832618</v>
      </c>
      <c r="AN26" t="s">
        <v>236</v>
      </c>
    </row>
    <row r="27" spans="3:40" x14ac:dyDescent="0.45">
      <c r="E27" t="s">
        <v>303</v>
      </c>
      <c r="G27" t="s">
        <v>287</v>
      </c>
      <c r="I27" t="s">
        <v>159</v>
      </c>
      <c r="J27" t="s">
        <v>321</v>
      </c>
      <c r="K27">
        <v>2.3782598900570784E-4</v>
      </c>
      <c r="L27" t="s">
        <v>161</v>
      </c>
      <c r="N27" t="s">
        <v>195</v>
      </c>
      <c r="O27" t="s">
        <v>321</v>
      </c>
      <c r="P27">
        <v>1.6458261260853697E-8</v>
      </c>
      <c r="Q27" t="s">
        <v>161</v>
      </c>
      <c r="S27" t="s">
        <v>217</v>
      </c>
      <c r="T27" t="s">
        <v>321</v>
      </c>
      <c r="U27">
        <v>4.847656801168461E-6</v>
      </c>
      <c r="V27" t="s">
        <v>161</v>
      </c>
      <c r="X27">
        <v>1.1415525114155251E-4</v>
      </c>
      <c r="Y27">
        <v>1.408812536774151E-4</v>
      </c>
      <c r="Z27" t="s">
        <v>321</v>
      </c>
      <c r="AA27" t="s">
        <v>25</v>
      </c>
      <c r="AC27" t="s">
        <v>22</v>
      </c>
      <c r="AD27" t="s">
        <v>321</v>
      </c>
      <c r="AE27">
        <v>1.3772654061925213E-4</v>
      </c>
      <c r="AG27" t="s">
        <v>100</v>
      </c>
      <c r="AH27" t="s">
        <v>321</v>
      </c>
      <c r="AI27">
        <v>0</v>
      </c>
      <c r="AK27">
        <v>2022</v>
      </c>
      <c r="AL27" t="s">
        <v>149</v>
      </c>
      <c r="AM27">
        <v>0.36799508193435421</v>
      </c>
      <c r="AN27" t="s">
        <v>236</v>
      </c>
    </row>
    <row r="28" spans="3:40" x14ac:dyDescent="0.45">
      <c r="E28" t="s">
        <v>304</v>
      </c>
      <c r="G28" t="s">
        <v>287</v>
      </c>
      <c r="I28" t="s">
        <v>159</v>
      </c>
      <c r="J28" t="s">
        <v>322</v>
      </c>
      <c r="K28">
        <v>2.9960033273041886E-4</v>
      </c>
      <c r="L28" t="s">
        <v>161</v>
      </c>
      <c r="N28" t="s">
        <v>195</v>
      </c>
      <c r="O28" t="s">
        <v>322</v>
      </c>
      <c r="P28">
        <v>5.8610888304611356E-7</v>
      </c>
      <c r="Q28" t="s">
        <v>161</v>
      </c>
      <c r="S28" t="s">
        <v>217</v>
      </c>
      <c r="T28" t="s">
        <v>322</v>
      </c>
      <c r="U28">
        <v>4.1706536111548708E-6</v>
      </c>
      <c r="V28" t="s">
        <v>161</v>
      </c>
      <c r="X28">
        <v>1.1415525114155251E-4</v>
      </c>
      <c r="Y28">
        <v>1.4054976837464471E-4</v>
      </c>
      <c r="Z28" t="s">
        <v>322</v>
      </c>
      <c r="AA28" t="s">
        <v>25</v>
      </c>
      <c r="AC28" t="s">
        <v>22</v>
      </c>
      <c r="AD28" t="s">
        <v>322</v>
      </c>
      <c r="AE28">
        <v>1.3756602955912014E-4</v>
      </c>
      <c r="AG28" t="s">
        <v>100</v>
      </c>
      <c r="AH28" t="s">
        <v>322</v>
      </c>
      <c r="AI28">
        <v>0</v>
      </c>
      <c r="AK28">
        <v>2022</v>
      </c>
      <c r="AL28" t="s">
        <v>153</v>
      </c>
      <c r="AM28">
        <v>0.35300195155550451</v>
      </c>
      <c r="AN28" t="s">
        <v>236</v>
      </c>
    </row>
    <row r="29" spans="3:40" x14ac:dyDescent="0.45">
      <c r="E29" t="s">
        <v>305</v>
      </c>
      <c r="G29" t="s">
        <v>287</v>
      </c>
      <c r="I29" t="s">
        <v>159</v>
      </c>
      <c r="J29" t="s">
        <v>323</v>
      </c>
      <c r="K29">
        <v>2.4663550022889394E-4</v>
      </c>
      <c r="L29" t="s">
        <v>161</v>
      </c>
      <c r="N29" t="s">
        <v>195</v>
      </c>
      <c r="O29" t="s">
        <v>323</v>
      </c>
      <c r="P29">
        <v>3.7505431395658955E-7</v>
      </c>
      <c r="Q29" t="s">
        <v>161</v>
      </c>
      <c r="S29" t="s">
        <v>217</v>
      </c>
      <c r="T29" t="s">
        <v>323</v>
      </c>
      <c r="U29">
        <v>3.9659863507748535E-6</v>
      </c>
      <c r="V29" t="s">
        <v>161</v>
      </c>
      <c r="X29">
        <v>1.1415525114155251E-4</v>
      </c>
      <c r="Y29">
        <v>1.4253868019126702E-4</v>
      </c>
      <c r="Z29" t="s">
        <v>323</v>
      </c>
      <c r="AA29" t="s">
        <v>25</v>
      </c>
      <c r="AC29" t="s">
        <v>22</v>
      </c>
      <c r="AD29" t="s">
        <v>323</v>
      </c>
      <c r="AE29">
        <v>1.35852000738425E-4</v>
      </c>
      <c r="AG29" t="s">
        <v>100</v>
      </c>
      <c r="AH29" t="s">
        <v>323</v>
      </c>
      <c r="AI29">
        <v>0</v>
      </c>
      <c r="AK29">
        <v>2022</v>
      </c>
      <c r="AL29" t="s">
        <v>155</v>
      </c>
      <c r="AM29">
        <v>0.37891108304952864</v>
      </c>
      <c r="AN29" t="s">
        <v>236</v>
      </c>
    </row>
    <row r="30" spans="3:40" x14ac:dyDescent="0.45">
      <c r="E30" t="s">
        <v>306</v>
      </c>
      <c r="G30" t="s">
        <v>287</v>
      </c>
      <c r="I30" t="s">
        <v>159</v>
      </c>
      <c r="J30" t="s">
        <v>324</v>
      </c>
      <c r="K30">
        <v>1.9935519993387907E-4</v>
      </c>
      <c r="L30" t="s">
        <v>161</v>
      </c>
      <c r="N30" t="s">
        <v>195</v>
      </c>
      <c r="O30" t="s">
        <v>324</v>
      </c>
      <c r="P30">
        <v>2.3381597329186917E-7</v>
      </c>
      <c r="Q30" t="s">
        <v>161</v>
      </c>
      <c r="S30" t="s">
        <v>217</v>
      </c>
      <c r="T30" t="s">
        <v>324</v>
      </c>
      <c r="U30">
        <v>4.6713690062925951E-6</v>
      </c>
      <c r="V30" t="s">
        <v>161</v>
      </c>
      <c r="X30">
        <v>1.1415525114155251E-4</v>
      </c>
      <c r="Y30">
        <v>1.4883690094390442E-4</v>
      </c>
      <c r="Z30" t="s">
        <v>324</v>
      </c>
      <c r="AA30" t="s">
        <v>25</v>
      </c>
      <c r="AC30" t="s">
        <v>22</v>
      </c>
      <c r="AD30" t="s">
        <v>324</v>
      </c>
      <c r="AE30">
        <v>1.3538193263375276E-4</v>
      </c>
      <c r="AG30" t="s">
        <v>100</v>
      </c>
      <c r="AH30" t="s">
        <v>324</v>
      </c>
      <c r="AI30">
        <v>0</v>
      </c>
      <c r="AK30">
        <v>2022</v>
      </c>
      <c r="AL30" t="s">
        <v>157</v>
      </c>
      <c r="AM30">
        <v>0.30405362313294809</v>
      </c>
      <c r="AN30" t="s">
        <v>236</v>
      </c>
    </row>
    <row r="31" spans="3:40" x14ac:dyDescent="0.45">
      <c r="E31" t="s">
        <v>307</v>
      </c>
      <c r="G31" t="s">
        <v>287</v>
      </c>
      <c r="I31" t="s">
        <v>159</v>
      </c>
      <c r="J31" t="s">
        <v>325</v>
      </c>
      <c r="K31">
        <v>1.811656215435889E-4</v>
      </c>
      <c r="L31" t="s">
        <v>161</v>
      </c>
      <c r="N31" t="s">
        <v>195</v>
      </c>
      <c r="O31" t="s">
        <v>325</v>
      </c>
      <c r="P31">
        <v>1.1793692921901371E-7</v>
      </c>
      <c r="Q31" t="s">
        <v>161</v>
      </c>
      <c r="S31" t="s">
        <v>217</v>
      </c>
      <c r="T31" t="s">
        <v>325</v>
      </c>
      <c r="U31">
        <v>4.0896088816474348E-6</v>
      </c>
      <c r="V31" t="s">
        <v>161</v>
      </c>
      <c r="X31">
        <v>1.1415525114155251E-4</v>
      </c>
      <c r="Y31">
        <v>1.5049432745775637E-4</v>
      </c>
      <c r="Z31" t="s">
        <v>325</v>
      </c>
      <c r="AA31" t="s">
        <v>25</v>
      </c>
      <c r="AC31" t="s">
        <v>22</v>
      </c>
      <c r="AD31" t="s">
        <v>325</v>
      </c>
      <c r="AE31">
        <v>1.346281039049186E-4</v>
      </c>
      <c r="AG31" t="s">
        <v>100</v>
      </c>
      <c r="AH31" t="s">
        <v>325</v>
      </c>
      <c r="AI31">
        <v>0</v>
      </c>
      <c r="AK31">
        <v>2022</v>
      </c>
      <c r="AL31" t="s">
        <v>239</v>
      </c>
      <c r="AM31">
        <v>0.34502991109580478</v>
      </c>
      <c r="AN31" t="s">
        <v>236</v>
      </c>
    </row>
    <row r="32" spans="3:40" x14ac:dyDescent="0.45">
      <c r="E32" t="s">
        <v>308</v>
      </c>
      <c r="G32" t="s">
        <v>287</v>
      </c>
      <c r="I32" t="s">
        <v>159</v>
      </c>
      <c r="J32" t="s">
        <v>326</v>
      </c>
      <c r="K32">
        <v>1.7556719719230373E-4</v>
      </c>
      <c r="L32" t="s">
        <v>161</v>
      </c>
      <c r="N32" t="s">
        <v>195</v>
      </c>
      <c r="O32" t="s">
        <v>326</v>
      </c>
      <c r="P32">
        <v>5.8990830304397582E-8</v>
      </c>
      <c r="Q32" t="s">
        <v>161</v>
      </c>
      <c r="S32" t="s">
        <v>217</v>
      </c>
      <c r="T32" t="s">
        <v>326</v>
      </c>
      <c r="U32">
        <v>1.6743658745456824E-6</v>
      </c>
      <c r="V32" t="s">
        <v>161</v>
      </c>
      <c r="X32">
        <v>1.1415525114155251E-4</v>
      </c>
      <c r="Y32">
        <v>1.7237235744060203E-4</v>
      </c>
      <c r="Z32" t="s">
        <v>326</v>
      </c>
      <c r="AA32" t="s">
        <v>25</v>
      </c>
      <c r="AC32" t="s">
        <v>22</v>
      </c>
      <c r="AD32" t="s">
        <v>326</v>
      </c>
      <c r="AE32">
        <v>1.3807335915989446E-4</v>
      </c>
      <c r="AG32" t="s">
        <v>100</v>
      </c>
      <c r="AH32" t="s">
        <v>326</v>
      </c>
      <c r="AI32">
        <v>0</v>
      </c>
      <c r="AK32">
        <v>2022</v>
      </c>
      <c r="AL32" t="s">
        <v>241</v>
      </c>
      <c r="AM32">
        <v>0.33171660352810617</v>
      </c>
      <c r="AN32" t="s">
        <v>236</v>
      </c>
    </row>
    <row r="33" spans="5:40" x14ac:dyDescent="0.45">
      <c r="E33" t="s">
        <v>309</v>
      </c>
      <c r="G33" t="s">
        <v>287</v>
      </c>
      <c r="I33" t="s">
        <v>159</v>
      </c>
      <c r="J33" t="s">
        <v>327</v>
      </c>
      <c r="K33">
        <v>2.7752390468413002E-4</v>
      </c>
      <c r="L33" t="s">
        <v>161</v>
      </c>
      <c r="N33" t="s">
        <v>195</v>
      </c>
      <c r="O33" t="s">
        <v>327</v>
      </c>
      <c r="P33">
        <v>3.8425926248202397E-8</v>
      </c>
      <c r="Q33" t="s">
        <v>161</v>
      </c>
      <c r="S33" t="s">
        <v>217</v>
      </c>
      <c r="T33" t="s">
        <v>327</v>
      </c>
      <c r="U33">
        <v>2.3597328536647147E-7</v>
      </c>
      <c r="V33" t="s">
        <v>161</v>
      </c>
      <c r="X33">
        <v>1.1415525114155251E-4</v>
      </c>
      <c r="Y33">
        <v>2.2209515285616027E-4</v>
      </c>
      <c r="Z33" t="s">
        <v>327</v>
      </c>
      <c r="AA33" t="s">
        <v>25</v>
      </c>
      <c r="AC33" t="s">
        <v>22</v>
      </c>
      <c r="AD33" t="s">
        <v>327</v>
      </c>
      <c r="AE33">
        <v>1.4489507921550387E-4</v>
      </c>
      <c r="AG33" t="s">
        <v>100</v>
      </c>
      <c r="AH33" t="s">
        <v>327</v>
      </c>
      <c r="AI33">
        <v>0</v>
      </c>
      <c r="AK33">
        <v>2022</v>
      </c>
      <c r="AL33" t="s">
        <v>264</v>
      </c>
      <c r="AM33">
        <v>0.33721731144529898</v>
      </c>
      <c r="AN33" t="s">
        <v>236</v>
      </c>
    </row>
    <row r="34" spans="5:40" x14ac:dyDescent="0.45">
      <c r="E34" t="s">
        <v>310</v>
      </c>
      <c r="G34" t="s">
        <v>287</v>
      </c>
      <c r="I34" t="s">
        <v>159</v>
      </c>
      <c r="J34" t="s">
        <v>328</v>
      </c>
      <c r="K34">
        <v>1.9346318086111127E-4</v>
      </c>
      <c r="L34" t="s">
        <v>161</v>
      </c>
      <c r="N34" t="s">
        <v>195</v>
      </c>
      <c r="O34" t="s">
        <v>328</v>
      </c>
      <c r="P34">
        <v>1.1397978867734225E-7</v>
      </c>
      <c r="Q34" t="s">
        <v>161</v>
      </c>
      <c r="S34" t="s">
        <v>217</v>
      </c>
      <c r="T34" t="s">
        <v>328</v>
      </c>
      <c r="U34">
        <v>2.9935773956553463E-7</v>
      </c>
      <c r="V34" t="s">
        <v>161</v>
      </c>
      <c r="X34">
        <v>1.1415525114155251E-4</v>
      </c>
      <c r="Y34">
        <v>2.2209515285616027E-4</v>
      </c>
      <c r="Z34" t="s">
        <v>328</v>
      </c>
      <c r="AA34" t="s">
        <v>25</v>
      </c>
      <c r="AC34" t="s">
        <v>22</v>
      </c>
      <c r="AD34" t="s">
        <v>328</v>
      </c>
      <c r="AE34">
        <v>1.4688713612249902E-4</v>
      </c>
      <c r="AG34" t="s">
        <v>100</v>
      </c>
      <c r="AH34" t="s">
        <v>328</v>
      </c>
      <c r="AI34">
        <v>0</v>
      </c>
      <c r="AK34">
        <v>2022</v>
      </c>
      <c r="AL34" t="s">
        <v>265</v>
      </c>
      <c r="AM34">
        <v>0.33721731144529898</v>
      </c>
      <c r="AN34" t="s">
        <v>236</v>
      </c>
    </row>
    <row r="35" spans="5:40" x14ac:dyDescent="0.45">
      <c r="E35" t="s">
        <v>151</v>
      </c>
      <c r="G35" t="s">
        <v>150</v>
      </c>
      <c r="I35" t="s">
        <v>159</v>
      </c>
      <c r="J35" t="s">
        <v>329</v>
      </c>
      <c r="K35">
        <v>0</v>
      </c>
      <c r="L35" t="s">
        <v>161</v>
      </c>
      <c r="N35" t="s">
        <v>195</v>
      </c>
      <c r="O35" t="s">
        <v>329</v>
      </c>
      <c r="P35">
        <v>1.0709141862527953E-6</v>
      </c>
      <c r="Q35" t="s">
        <v>161</v>
      </c>
      <c r="S35" t="s">
        <v>217</v>
      </c>
      <c r="T35" t="s">
        <v>329</v>
      </c>
      <c r="U35">
        <v>1.0360688123291473E-6</v>
      </c>
      <c r="V35" t="s">
        <v>161</v>
      </c>
      <c r="X35">
        <v>1.1415525114155251E-4</v>
      </c>
      <c r="Y35">
        <v>1.7237235744060203E-4</v>
      </c>
      <c r="Z35" t="s">
        <v>329</v>
      </c>
      <c r="AA35" t="s">
        <v>25</v>
      </c>
      <c r="AC35" t="s">
        <v>22</v>
      </c>
      <c r="AD35" t="s">
        <v>329</v>
      </c>
      <c r="AE35">
        <v>1.4668363102840311E-4</v>
      </c>
      <c r="AG35" t="s">
        <v>100</v>
      </c>
      <c r="AH35" t="s">
        <v>329</v>
      </c>
      <c r="AI35">
        <v>0</v>
      </c>
      <c r="AK35">
        <v>2025</v>
      </c>
      <c r="AL35" t="s">
        <v>149</v>
      </c>
      <c r="AM35">
        <v>0.36756666666666665</v>
      </c>
      <c r="AN35" t="s">
        <v>236</v>
      </c>
    </row>
    <row r="36" spans="5:40" x14ac:dyDescent="0.45">
      <c r="E36" t="s">
        <v>154</v>
      </c>
      <c r="G36" t="s">
        <v>150</v>
      </c>
      <c r="I36" t="s">
        <v>159</v>
      </c>
      <c r="J36" t="s">
        <v>330</v>
      </c>
      <c r="K36">
        <v>0</v>
      </c>
      <c r="L36" t="s">
        <v>161</v>
      </c>
      <c r="N36" t="s">
        <v>195</v>
      </c>
      <c r="O36" t="s">
        <v>330</v>
      </c>
      <c r="P36">
        <v>1.0887995105001238E-6</v>
      </c>
      <c r="Q36" t="s">
        <v>161</v>
      </c>
      <c r="S36" t="s">
        <v>217</v>
      </c>
      <c r="T36" t="s">
        <v>330</v>
      </c>
      <c r="U36">
        <v>1.3328309619928005E-6</v>
      </c>
      <c r="V36" t="s">
        <v>161</v>
      </c>
      <c r="X36">
        <v>1.1415525114155251E-4</v>
      </c>
      <c r="Y36">
        <v>1.5579809230208258E-4</v>
      </c>
      <c r="Z36" t="s">
        <v>330</v>
      </c>
      <c r="AA36" t="s">
        <v>25</v>
      </c>
      <c r="AC36" t="s">
        <v>22</v>
      </c>
      <c r="AD36" t="s">
        <v>330</v>
      </c>
      <c r="AE36">
        <v>1.4334729399280256E-4</v>
      </c>
      <c r="AG36" t="s">
        <v>100</v>
      </c>
      <c r="AH36" t="s">
        <v>330</v>
      </c>
      <c r="AI36">
        <v>0</v>
      </c>
      <c r="AK36">
        <v>2025</v>
      </c>
      <c r="AL36" t="s">
        <v>153</v>
      </c>
      <c r="AM36">
        <v>0.41699999999999998</v>
      </c>
      <c r="AN36" t="s">
        <v>236</v>
      </c>
    </row>
    <row r="37" spans="5:40" x14ac:dyDescent="0.45">
      <c r="E37" t="s">
        <v>156</v>
      </c>
      <c r="G37" t="s">
        <v>150</v>
      </c>
      <c r="I37" t="s">
        <v>159</v>
      </c>
      <c r="J37" t="s">
        <v>331</v>
      </c>
      <c r="K37">
        <v>0</v>
      </c>
      <c r="L37" t="s">
        <v>161</v>
      </c>
      <c r="N37" t="s">
        <v>195</v>
      </c>
      <c r="O37" t="s">
        <v>331</v>
      </c>
      <c r="P37">
        <v>9.5104765334612873E-7</v>
      </c>
      <c r="Q37" t="s">
        <v>161</v>
      </c>
      <c r="S37" t="s">
        <v>217</v>
      </c>
      <c r="T37" t="s">
        <v>331</v>
      </c>
      <c r="U37">
        <v>1.4008735561738243E-6</v>
      </c>
      <c r="V37" t="s">
        <v>161</v>
      </c>
      <c r="X37">
        <v>1.1415525114155251E-4</v>
      </c>
      <c r="Y37">
        <v>1.093901499142282E-4</v>
      </c>
      <c r="Z37" t="s">
        <v>331</v>
      </c>
      <c r="AA37" t="s">
        <v>25</v>
      </c>
      <c r="AC37" t="s">
        <v>22</v>
      </c>
      <c r="AD37" t="s">
        <v>331</v>
      </c>
      <c r="AE37">
        <v>1.4099122093157949E-4</v>
      </c>
      <c r="AG37" t="s">
        <v>100</v>
      </c>
      <c r="AH37" t="s">
        <v>331</v>
      </c>
      <c r="AI37">
        <v>0</v>
      </c>
      <c r="AK37">
        <v>2025</v>
      </c>
      <c r="AL37" t="s">
        <v>155</v>
      </c>
      <c r="AM37">
        <v>0.46252499999999996</v>
      </c>
      <c r="AN37" t="s">
        <v>236</v>
      </c>
    </row>
    <row r="38" spans="5:40" x14ac:dyDescent="0.45">
      <c r="E38" t="s">
        <v>238</v>
      </c>
      <c r="G38" t="s">
        <v>150</v>
      </c>
      <c r="I38" t="s">
        <v>159</v>
      </c>
      <c r="J38" t="s">
        <v>332</v>
      </c>
      <c r="K38">
        <v>0</v>
      </c>
      <c r="L38" t="s">
        <v>161</v>
      </c>
      <c r="N38" t="s">
        <v>195</v>
      </c>
      <c r="O38" t="s">
        <v>332</v>
      </c>
      <c r="P38">
        <v>4.2642359127539301E-6</v>
      </c>
      <c r="Q38" t="s">
        <v>161</v>
      </c>
      <c r="S38" t="s">
        <v>217</v>
      </c>
      <c r="T38" t="s">
        <v>332</v>
      </c>
      <c r="U38">
        <v>1.4013606577640707E-6</v>
      </c>
      <c r="V38" t="s">
        <v>161</v>
      </c>
      <c r="X38">
        <v>1.1415525114155251E-4</v>
      </c>
      <c r="Y38">
        <v>7.9556472664893237E-5</v>
      </c>
      <c r="Z38" t="s">
        <v>332</v>
      </c>
      <c r="AA38" t="s">
        <v>25</v>
      </c>
      <c r="AC38" t="s">
        <v>22</v>
      </c>
      <c r="AD38" t="s">
        <v>332</v>
      </c>
      <c r="AE38">
        <v>1.3463097017384955E-4</v>
      </c>
      <c r="AG38" t="s">
        <v>100</v>
      </c>
      <c r="AH38" t="s">
        <v>332</v>
      </c>
      <c r="AI38">
        <v>0</v>
      </c>
      <c r="AK38">
        <v>2025</v>
      </c>
      <c r="AL38" t="s">
        <v>157</v>
      </c>
      <c r="AM38">
        <v>0.42266666666666669</v>
      </c>
      <c r="AN38" t="s">
        <v>236</v>
      </c>
    </row>
    <row r="39" spans="5:40" x14ac:dyDescent="0.45">
      <c r="E39" t="s">
        <v>240</v>
      </c>
      <c r="G39" t="s">
        <v>150</v>
      </c>
      <c r="I39" t="s">
        <v>159</v>
      </c>
      <c r="J39" t="s">
        <v>333</v>
      </c>
      <c r="K39">
        <v>0</v>
      </c>
      <c r="L39" t="s">
        <v>161</v>
      </c>
      <c r="N39" t="s">
        <v>195</v>
      </c>
      <c r="O39" t="s">
        <v>333</v>
      </c>
      <c r="P39">
        <v>6.7674305288728289E-6</v>
      </c>
      <c r="Q39" t="s">
        <v>161</v>
      </c>
      <c r="S39" t="s">
        <v>217</v>
      </c>
      <c r="T39" t="s">
        <v>333</v>
      </c>
      <c r="U39">
        <v>2.4179396220810866E-6</v>
      </c>
      <c r="V39" t="s">
        <v>161</v>
      </c>
      <c r="X39">
        <v>1.1415525114155251E-4</v>
      </c>
      <c r="Y39">
        <v>5.6352501470966035E-5</v>
      </c>
      <c r="Z39" t="s">
        <v>333</v>
      </c>
      <c r="AA39" t="s">
        <v>25</v>
      </c>
      <c r="AC39" t="s">
        <v>22</v>
      </c>
      <c r="AD39" t="s">
        <v>333</v>
      </c>
      <c r="AE39">
        <v>1.3009080018725909E-4</v>
      </c>
      <c r="AG39" t="s">
        <v>100</v>
      </c>
      <c r="AH39" t="s">
        <v>333</v>
      </c>
      <c r="AI39">
        <v>0</v>
      </c>
      <c r="AK39">
        <v>2025</v>
      </c>
      <c r="AL39" t="s">
        <v>239</v>
      </c>
      <c r="AM39">
        <v>0.35933333333333334</v>
      </c>
      <c r="AN39" t="s">
        <v>236</v>
      </c>
    </row>
    <row r="40" spans="5:40" x14ac:dyDescent="0.45">
      <c r="E40" t="s">
        <v>263</v>
      </c>
      <c r="G40" t="s">
        <v>150</v>
      </c>
      <c r="I40" t="s">
        <v>159</v>
      </c>
      <c r="J40" t="s">
        <v>334</v>
      </c>
      <c r="K40">
        <v>0</v>
      </c>
      <c r="L40" t="s">
        <v>161</v>
      </c>
      <c r="N40" t="s">
        <v>195</v>
      </c>
      <c r="O40" t="s">
        <v>334</v>
      </c>
      <c r="P40">
        <v>4.6008792745643478E-6</v>
      </c>
      <c r="Q40" t="s">
        <v>161</v>
      </c>
      <c r="S40" t="s">
        <v>217</v>
      </c>
      <c r="T40" t="s">
        <v>334</v>
      </c>
      <c r="U40">
        <v>1.3241005685842584E-6</v>
      </c>
      <c r="V40" t="s">
        <v>161</v>
      </c>
      <c r="X40">
        <v>1.1415525114155251E-4</v>
      </c>
      <c r="Y40">
        <v>2.9833677249334962E-5</v>
      </c>
      <c r="Z40" t="s">
        <v>334</v>
      </c>
      <c r="AA40" t="s">
        <v>25</v>
      </c>
      <c r="AC40" t="s">
        <v>22</v>
      </c>
      <c r="AD40" t="s">
        <v>334</v>
      </c>
      <c r="AE40">
        <v>9.733794511354116E-5</v>
      </c>
      <c r="AG40" t="s">
        <v>100</v>
      </c>
      <c r="AH40" t="s">
        <v>334</v>
      </c>
      <c r="AI40">
        <v>0</v>
      </c>
      <c r="AK40">
        <v>2025</v>
      </c>
      <c r="AL40" t="s">
        <v>241</v>
      </c>
      <c r="AM40">
        <v>0.35270000000000001</v>
      </c>
      <c r="AN40" t="s">
        <v>236</v>
      </c>
    </row>
    <row r="41" spans="5:40" x14ac:dyDescent="0.45">
      <c r="I41" t="s">
        <v>159</v>
      </c>
      <c r="J41" t="s">
        <v>164</v>
      </c>
      <c r="K41">
        <v>4.3617000409275821E-3</v>
      </c>
      <c r="L41" t="s">
        <v>161</v>
      </c>
      <c r="N41" t="s">
        <v>195</v>
      </c>
      <c r="O41" t="s">
        <v>164</v>
      </c>
      <c r="P41">
        <v>3.7095395792151528E-2</v>
      </c>
      <c r="Q41" t="s">
        <v>161</v>
      </c>
      <c r="S41" t="s">
        <v>217</v>
      </c>
      <c r="T41" t="s">
        <v>164</v>
      </c>
      <c r="U41">
        <v>3.6171560141925366E-2</v>
      </c>
      <c r="V41" t="s">
        <v>161</v>
      </c>
      <c r="X41">
        <v>3.4703196347031964E-2</v>
      </c>
      <c r="Y41">
        <v>1.923476617855456E-2</v>
      </c>
      <c r="Z41" t="s">
        <v>164</v>
      </c>
      <c r="AA41" t="s">
        <v>25</v>
      </c>
      <c r="AC41" t="s">
        <v>22</v>
      </c>
      <c r="AD41" t="s">
        <v>164</v>
      </c>
      <c r="AE41">
        <v>3.2021468186342744E-2</v>
      </c>
      <c r="AG41" t="s">
        <v>100</v>
      </c>
      <c r="AH41" t="s">
        <v>164</v>
      </c>
      <c r="AI41">
        <v>0.3637764965843775</v>
      </c>
      <c r="AK41">
        <v>2025</v>
      </c>
      <c r="AL41" t="s">
        <v>264</v>
      </c>
      <c r="AM41">
        <v>0.37540000000000001</v>
      </c>
      <c r="AN41" t="s">
        <v>236</v>
      </c>
    </row>
    <row r="42" spans="5:40" x14ac:dyDescent="0.45">
      <c r="I42" t="s">
        <v>159</v>
      </c>
      <c r="J42" t="s">
        <v>165</v>
      </c>
      <c r="K42">
        <v>7.1571070894123371E-3</v>
      </c>
      <c r="L42" t="s">
        <v>161</v>
      </c>
      <c r="N42" t="s">
        <v>195</v>
      </c>
      <c r="O42" t="s">
        <v>165</v>
      </c>
      <c r="P42">
        <v>3.8585268584841763E-3</v>
      </c>
      <c r="Q42" t="s">
        <v>161</v>
      </c>
      <c r="S42" t="s">
        <v>217</v>
      </c>
      <c r="T42" t="s">
        <v>165</v>
      </c>
      <c r="U42">
        <v>4.5067883370576217E-3</v>
      </c>
      <c r="V42" t="s">
        <v>161</v>
      </c>
      <c r="X42">
        <v>4.3378995433789955E-3</v>
      </c>
      <c r="Y42">
        <v>5.5424342623208965E-3</v>
      </c>
      <c r="Z42" t="s">
        <v>165</v>
      </c>
      <c r="AA42" t="s">
        <v>25</v>
      </c>
      <c r="AC42" t="s">
        <v>22</v>
      </c>
      <c r="AD42" t="s">
        <v>165</v>
      </c>
      <c r="AE42">
        <v>5.5159008261199075E-3</v>
      </c>
      <c r="AG42" t="s">
        <v>100</v>
      </c>
      <c r="AH42" t="s">
        <v>165</v>
      </c>
      <c r="AI42">
        <v>0.14950163116292714</v>
      </c>
      <c r="AK42">
        <v>2025</v>
      </c>
      <c r="AL42" t="s">
        <v>265</v>
      </c>
      <c r="AM42">
        <v>0.37540000000000001</v>
      </c>
      <c r="AN42" t="s">
        <v>236</v>
      </c>
    </row>
    <row r="43" spans="5:40" x14ac:dyDescent="0.45">
      <c r="I43" t="s">
        <v>159</v>
      </c>
      <c r="J43" t="s">
        <v>166</v>
      </c>
      <c r="K43">
        <v>8.6328965014418474E-2</v>
      </c>
      <c r="L43" t="s">
        <v>161</v>
      </c>
      <c r="N43" t="s">
        <v>195</v>
      </c>
      <c r="O43" t="s">
        <v>166</v>
      </c>
      <c r="P43">
        <v>2.8397667979102266E-2</v>
      </c>
      <c r="Q43" t="s">
        <v>161</v>
      </c>
      <c r="S43" t="s">
        <v>217</v>
      </c>
      <c r="T43" t="s">
        <v>166</v>
      </c>
      <c r="U43">
        <v>3.1506118167826301E-2</v>
      </c>
      <c r="V43" t="s">
        <v>161</v>
      </c>
      <c r="X43">
        <v>3.0365296803652967E-2</v>
      </c>
      <c r="Y43">
        <v>3.9527633443552208E-2</v>
      </c>
      <c r="Z43" t="s">
        <v>166</v>
      </c>
      <c r="AA43" t="s">
        <v>25</v>
      </c>
      <c r="AC43" t="s">
        <v>22</v>
      </c>
      <c r="AD43" t="s">
        <v>166</v>
      </c>
      <c r="AE43">
        <v>3.7771947589106306E-2</v>
      </c>
      <c r="AG43" t="s">
        <v>100</v>
      </c>
      <c r="AH43" t="s">
        <v>166</v>
      </c>
      <c r="AI43">
        <v>0.15732511492297641</v>
      </c>
      <c r="AK43">
        <v>2026</v>
      </c>
      <c r="AL43" t="s">
        <v>149</v>
      </c>
      <c r="AM43">
        <v>0.29299999999999998</v>
      </c>
      <c r="AN43" t="s">
        <v>236</v>
      </c>
    </row>
    <row r="44" spans="5:40" x14ac:dyDescent="0.45">
      <c r="I44" t="s">
        <v>159</v>
      </c>
      <c r="J44" t="s">
        <v>244</v>
      </c>
      <c r="K44">
        <v>1.051753284237108E-2</v>
      </c>
      <c r="L44" t="s">
        <v>161</v>
      </c>
      <c r="N44" t="s">
        <v>195</v>
      </c>
      <c r="O44" t="s">
        <v>244</v>
      </c>
      <c r="P44">
        <v>4.3135281749784229E-3</v>
      </c>
      <c r="Q44" t="s">
        <v>161</v>
      </c>
      <c r="S44" t="s">
        <v>217</v>
      </c>
      <c r="T44" t="s">
        <v>244</v>
      </c>
      <c r="U44">
        <v>4.559287775223058E-3</v>
      </c>
      <c r="V44" t="s">
        <v>161</v>
      </c>
      <c r="X44">
        <v>4.3378995433789955E-3</v>
      </c>
      <c r="Y44">
        <v>8.4396158085340914E-3</v>
      </c>
      <c r="Z44" t="s">
        <v>244</v>
      </c>
      <c r="AA44" t="s">
        <v>25</v>
      </c>
      <c r="AC44" t="s">
        <v>22</v>
      </c>
      <c r="AD44" t="s">
        <v>244</v>
      </c>
      <c r="AE44">
        <v>5.4116804215224223E-3</v>
      </c>
      <c r="AG44" t="s">
        <v>100</v>
      </c>
      <c r="AH44" t="s">
        <v>244</v>
      </c>
      <c r="AI44">
        <v>0.15151965568248427</v>
      </c>
      <c r="AK44">
        <v>2026</v>
      </c>
      <c r="AL44" t="s">
        <v>153</v>
      </c>
      <c r="AM44">
        <v>0.33479999999999999</v>
      </c>
      <c r="AN44" t="s">
        <v>236</v>
      </c>
    </row>
    <row r="45" spans="5:40" x14ac:dyDescent="0.45">
      <c r="I45" t="s">
        <v>159</v>
      </c>
      <c r="J45" t="s">
        <v>245</v>
      </c>
      <c r="K45">
        <v>8.4227970913997256E-3</v>
      </c>
      <c r="L45" t="s">
        <v>161</v>
      </c>
      <c r="N45" t="s">
        <v>195</v>
      </c>
      <c r="O45" t="s">
        <v>245</v>
      </c>
      <c r="P45">
        <v>3.9637479126210995E-3</v>
      </c>
      <c r="Q45" t="s">
        <v>161</v>
      </c>
      <c r="S45" t="s">
        <v>217</v>
      </c>
      <c r="T45" t="s">
        <v>245</v>
      </c>
      <c r="U45">
        <v>4.5819580828605003E-3</v>
      </c>
      <c r="V45" t="s">
        <v>161</v>
      </c>
      <c r="X45">
        <v>4.3378995433789955E-3</v>
      </c>
      <c r="Y45">
        <v>8.4396158085340914E-3</v>
      </c>
      <c r="Z45" t="s">
        <v>245</v>
      </c>
      <c r="AA45" t="s">
        <v>25</v>
      </c>
      <c r="AC45" t="s">
        <v>22</v>
      </c>
      <c r="AD45" t="s">
        <v>245</v>
      </c>
      <c r="AE45">
        <v>5.4523298475008478E-3</v>
      </c>
      <c r="AG45" t="s">
        <v>100</v>
      </c>
      <c r="AH45" t="s">
        <v>245</v>
      </c>
      <c r="AI45">
        <v>0.15539407562763441</v>
      </c>
      <c r="AK45">
        <v>2026</v>
      </c>
      <c r="AL45" t="s">
        <v>155</v>
      </c>
      <c r="AM45">
        <v>0.38075000000000003</v>
      </c>
      <c r="AN45" t="s">
        <v>236</v>
      </c>
    </row>
    <row r="46" spans="5:40" x14ac:dyDescent="0.45">
      <c r="I46" t="s">
        <v>159</v>
      </c>
      <c r="J46" t="s">
        <v>267</v>
      </c>
      <c r="K46">
        <v>7.6199498155536923E-3</v>
      </c>
      <c r="L46" t="s">
        <v>161</v>
      </c>
      <c r="N46" t="s">
        <v>195</v>
      </c>
      <c r="O46" t="s">
        <v>267</v>
      </c>
      <c r="P46">
        <v>2.8812966299076651E-2</v>
      </c>
      <c r="Q46" t="s">
        <v>161</v>
      </c>
      <c r="S46" t="s">
        <v>217</v>
      </c>
      <c r="T46" t="s">
        <v>267</v>
      </c>
      <c r="U46">
        <v>2.8707907781325342E-2</v>
      </c>
      <c r="V46" t="s">
        <v>161</v>
      </c>
      <c r="X46">
        <v>2.6027397260273973E-2</v>
      </c>
      <c r="Y46">
        <v>2.2925523539600066E-2</v>
      </c>
      <c r="Z46" t="s">
        <v>267</v>
      </c>
      <c r="AA46" t="s">
        <v>25</v>
      </c>
      <c r="AC46" t="s">
        <v>22</v>
      </c>
      <c r="AD46" t="s">
        <v>267</v>
      </c>
      <c r="AE46">
        <v>2.8201918597820244E-2</v>
      </c>
      <c r="AG46" t="s">
        <v>100</v>
      </c>
      <c r="AH46" t="s">
        <v>267</v>
      </c>
      <c r="AI46">
        <v>0.2661624136760079</v>
      </c>
      <c r="AK46">
        <v>2026</v>
      </c>
      <c r="AL46" t="s">
        <v>157</v>
      </c>
      <c r="AM46">
        <v>0.3115</v>
      </c>
      <c r="AN46" t="s">
        <v>236</v>
      </c>
    </row>
    <row r="47" spans="5:40" x14ac:dyDescent="0.45">
      <c r="I47" t="s">
        <v>159</v>
      </c>
      <c r="J47" t="s">
        <v>167</v>
      </c>
      <c r="K47">
        <v>3.0740220777479489E-2</v>
      </c>
      <c r="L47" t="s">
        <v>161</v>
      </c>
      <c r="N47" t="s">
        <v>195</v>
      </c>
      <c r="O47" t="s">
        <v>167</v>
      </c>
      <c r="P47">
        <v>6.374495678744517E-2</v>
      </c>
      <c r="Q47" t="s">
        <v>161</v>
      </c>
      <c r="S47" t="s">
        <v>217</v>
      </c>
      <c r="T47" t="s">
        <v>167</v>
      </c>
      <c r="U47">
        <v>7.007934921952795E-2</v>
      </c>
      <c r="V47" t="s">
        <v>161</v>
      </c>
      <c r="X47">
        <v>8.9497716894977167E-2</v>
      </c>
      <c r="Y47">
        <v>4.960544961837754E-2</v>
      </c>
      <c r="Z47" t="s">
        <v>167</v>
      </c>
      <c r="AA47" t="s">
        <v>25</v>
      </c>
      <c r="AC47" t="s">
        <v>22</v>
      </c>
      <c r="AD47" t="s">
        <v>167</v>
      </c>
      <c r="AE47">
        <v>6.134381720157786E-2</v>
      </c>
      <c r="AG47" t="s">
        <v>100</v>
      </c>
      <c r="AH47" t="s">
        <v>167</v>
      </c>
      <c r="AI47">
        <v>0.30621757897479296</v>
      </c>
      <c r="AK47">
        <v>2026</v>
      </c>
      <c r="AL47" t="s">
        <v>239</v>
      </c>
      <c r="AM47">
        <v>0.28349999999999997</v>
      </c>
      <c r="AN47" t="s">
        <v>236</v>
      </c>
    </row>
    <row r="48" spans="5:40" x14ac:dyDescent="0.45">
      <c r="I48" t="s">
        <v>159</v>
      </c>
      <c r="J48" t="s">
        <v>168</v>
      </c>
      <c r="K48">
        <v>2.673182192358425E-2</v>
      </c>
      <c r="L48" t="s">
        <v>161</v>
      </c>
      <c r="N48" t="s">
        <v>195</v>
      </c>
      <c r="O48" t="s">
        <v>168</v>
      </c>
      <c r="P48">
        <v>6.5982677521499609E-3</v>
      </c>
      <c r="Q48" t="s">
        <v>161</v>
      </c>
      <c r="S48" t="s">
        <v>217</v>
      </c>
      <c r="T48" t="s">
        <v>168</v>
      </c>
      <c r="U48">
        <v>8.6202255454239807E-3</v>
      </c>
      <c r="V48" t="s">
        <v>161</v>
      </c>
      <c r="X48">
        <v>1.1187214611872146E-2</v>
      </c>
      <c r="Y48">
        <v>1.4293646255459154E-2</v>
      </c>
      <c r="Z48" t="s">
        <v>168</v>
      </c>
      <c r="AA48" t="s">
        <v>25</v>
      </c>
      <c r="AC48" t="s">
        <v>22</v>
      </c>
      <c r="AD48" t="s">
        <v>168</v>
      </c>
      <c r="AE48">
        <v>1.1318828084170479E-2</v>
      </c>
      <c r="AG48" t="s">
        <v>100</v>
      </c>
      <c r="AH48" t="s">
        <v>168</v>
      </c>
      <c r="AI48">
        <v>8.6113612277584295E-2</v>
      </c>
      <c r="AK48">
        <v>2026</v>
      </c>
      <c r="AL48" t="s">
        <v>241</v>
      </c>
      <c r="AM48">
        <v>0.31040000000000001</v>
      </c>
      <c r="AN48" t="s">
        <v>236</v>
      </c>
    </row>
    <row r="49" spans="9:40" x14ac:dyDescent="0.45">
      <c r="I49" t="s">
        <v>159</v>
      </c>
      <c r="J49" t="s">
        <v>169</v>
      </c>
      <c r="K49">
        <v>0.25114599807941002</v>
      </c>
      <c r="L49" t="s">
        <v>161</v>
      </c>
      <c r="N49" t="s">
        <v>195</v>
      </c>
      <c r="O49" t="s">
        <v>169</v>
      </c>
      <c r="P49">
        <v>5.2879976705383233E-2</v>
      </c>
      <c r="Q49" t="s">
        <v>161</v>
      </c>
      <c r="S49" t="s">
        <v>217</v>
      </c>
      <c r="T49" t="s">
        <v>169</v>
      </c>
      <c r="U49">
        <v>6.0346040442204589E-2</v>
      </c>
      <c r="V49" t="s">
        <v>161</v>
      </c>
      <c r="X49">
        <v>7.831050228310503E-2</v>
      </c>
      <c r="Y49">
        <v>0.10193968624916096</v>
      </c>
      <c r="Z49" t="s">
        <v>169</v>
      </c>
      <c r="AA49" t="s">
        <v>25</v>
      </c>
      <c r="AC49" t="s">
        <v>22</v>
      </c>
      <c r="AD49" t="s">
        <v>169</v>
      </c>
      <c r="AE49">
        <v>7.9595678028781494E-2</v>
      </c>
      <c r="AG49" t="s">
        <v>100</v>
      </c>
      <c r="AH49" t="s">
        <v>169</v>
      </c>
      <c r="AI49">
        <v>9.1079017692326847E-2</v>
      </c>
      <c r="AK49">
        <v>2026</v>
      </c>
      <c r="AL49" t="s">
        <v>264</v>
      </c>
      <c r="AM49">
        <v>0.32519999999999999</v>
      </c>
      <c r="AN49" t="s">
        <v>236</v>
      </c>
    </row>
    <row r="50" spans="9:40" x14ac:dyDescent="0.45">
      <c r="I50" t="s">
        <v>159</v>
      </c>
      <c r="J50" t="s">
        <v>246</v>
      </c>
      <c r="K50">
        <v>2.9986373109986381E-2</v>
      </c>
      <c r="L50" t="s">
        <v>161</v>
      </c>
      <c r="N50" t="s">
        <v>195</v>
      </c>
      <c r="O50" t="s">
        <v>246</v>
      </c>
      <c r="P50">
        <v>8.7169627254551144E-3</v>
      </c>
      <c r="Q50" t="s">
        <v>161</v>
      </c>
      <c r="S50" t="s">
        <v>217</v>
      </c>
      <c r="T50" t="s">
        <v>246</v>
      </c>
      <c r="U50">
        <v>9.4638698526827991E-3</v>
      </c>
      <c r="V50" t="s">
        <v>161</v>
      </c>
      <c r="X50">
        <v>1.1187214611872146E-2</v>
      </c>
      <c r="Y50">
        <v>2.1765324979903709E-2</v>
      </c>
      <c r="Z50" t="s">
        <v>246</v>
      </c>
      <c r="AA50" t="s">
        <v>25</v>
      </c>
      <c r="AC50" t="s">
        <v>22</v>
      </c>
      <c r="AD50" t="s">
        <v>246</v>
      </c>
      <c r="AE50">
        <v>1.1256171445340385E-2</v>
      </c>
      <c r="AG50" t="s">
        <v>100</v>
      </c>
      <c r="AH50" t="s">
        <v>246</v>
      </c>
      <c r="AI50">
        <v>7.1611762079551555E-2</v>
      </c>
      <c r="AK50">
        <v>2026</v>
      </c>
      <c r="AL50" t="s">
        <v>265</v>
      </c>
      <c r="AM50">
        <v>0.32519999999999999</v>
      </c>
      <c r="AN50" t="s">
        <v>236</v>
      </c>
    </row>
    <row r="51" spans="9:40" x14ac:dyDescent="0.45">
      <c r="I51" t="s">
        <v>159</v>
      </c>
      <c r="J51" t="s">
        <v>247</v>
      </c>
      <c r="K51">
        <v>2.4058146736238396E-2</v>
      </c>
      <c r="L51" t="s">
        <v>161</v>
      </c>
      <c r="N51" t="s">
        <v>195</v>
      </c>
      <c r="O51" t="s">
        <v>247</v>
      </c>
      <c r="P51">
        <v>8.1534606004956701E-3</v>
      </c>
      <c r="Q51" t="s">
        <v>161</v>
      </c>
      <c r="S51" t="s">
        <v>217</v>
      </c>
      <c r="T51" t="s">
        <v>247</v>
      </c>
      <c r="U51">
        <v>9.4803105206921322E-3</v>
      </c>
      <c r="V51" t="s">
        <v>161</v>
      </c>
      <c r="X51">
        <v>1.1187214611872146E-2</v>
      </c>
      <c r="Y51">
        <v>2.1765324979903709E-2</v>
      </c>
      <c r="Z51" t="s">
        <v>247</v>
      </c>
      <c r="AA51" t="s">
        <v>25</v>
      </c>
      <c r="AC51" t="s">
        <v>22</v>
      </c>
      <c r="AD51" t="s">
        <v>247</v>
      </c>
      <c r="AE51">
        <v>1.1243046799905666E-2</v>
      </c>
      <c r="AG51" t="s">
        <v>100</v>
      </c>
      <c r="AH51" t="s">
        <v>247</v>
      </c>
      <c r="AI51">
        <v>7.2312609790651683E-2</v>
      </c>
      <c r="AK51">
        <v>2027</v>
      </c>
      <c r="AL51" t="s">
        <v>149</v>
      </c>
      <c r="AM51">
        <v>0.29746666666666666</v>
      </c>
      <c r="AN51" t="s">
        <v>236</v>
      </c>
    </row>
    <row r="52" spans="9:40" x14ac:dyDescent="0.45">
      <c r="I52" t="s">
        <v>159</v>
      </c>
      <c r="J52" t="s">
        <v>268</v>
      </c>
      <c r="K52">
        <v>3.3114468659472568E-2</v>
      </c>
      <c r="L52" t="s">
        <v>161</v>
      </c>
      <c r="N52" t="s">
        <v>195</v>
      </c>
      <c r="O52" t="s">
        <v>268</v>
      </c>
      <c r="P52">
        <v>5.2066465532299343E-2</v>
      </c>
      <c r="Q52" t="s">
        <v>161</v>
      </c>
      <c r="S52" t="s">
        <v>217</v>
      </c>
      <c r="T52" t="s">
        <v>268</v>
      </c>
      <c r="U52">
        <v>5.4516579879425126E-2</v>
      </c>
      <c r="V52" t="s">
        <v>161</v>
      </c>
      <c r="X52">
        <v>6.7123287671232879E-2</v>
      </c>
      <c r="Y52">
        <v>5.9123718602126486E-2</v>
      </c>
      <c r="Z52" t="s">
        <v>268</v>
      </c>
      <c r="AA52" t="s">
        <v>25</v>
      </c>
      <c r="AC52" t="s">
        <v>22</v>
      </c>
      <c r="AD52" t="s">
        <v>268</v>
      </c>
      <c r="AE52">
        <v>5.7973667924890289E-2</v>
      </c>
      <c r="AG52" t="s">
        <v>100</v>
      </c>
      <c r="AH52" t="s">
        <v>268</v>
      </c>
      <c r="AI52">
        <v>0.15784877111384366</v>
      </c>
      <c r="AK52">
        <v>2027</v>
      </c>
      <c r="AL52" t="s">
        <v>153</v>
      </c>
      <c r="AM52">
        <v>0.31414999999999998</v>
      </c>
      <c r="AN52" t="s">
        <v>236</v>
      </c>
    </row>
    <row r="53" spans="9:40" x14ac:dyDescent="0.45">
      <c r="I53" t="s">
        <v>159</v>
      </c>
      <c r="J53" t="s">
        <v>170</v>
      </c>
      <c r="K53">
        <v>1.0064839170673114E-2</v>
      </c>
      <c r="L53" t="s">
        <v>161</v>
      </c>
      <c r="N53" t="s">
        <v>195</v>
      </c>
      <c r="O53" t="s">
        <v>170</v>
      </c>
      <c r="P53">
        <v>3.8065724921515109E-2</v>
      </c>
      <c r="Q53" t="s">
        <v>161</v>
      </c>
      <c r="S53" t="s">
        <v>217</v>
      </c>
      <c r="T53" t="s">
        <v>170</v>
      </c>
      <c r="U53">
        <v>3.6415292430887494E-2</v>
      </c>
      <c r="V53" t="s">
        <v>161</v>
      </c>
      <c r="X53">
        <v>4.5662100456621002E-2</v>
      </c>
      <c r="Y53">
        <v>2.5308902866519156E-2</v>
      </c>
      <c r="Z53" t="s">
        <v>170</v>
      </c>
      <c r="AA53" t="s">
        <v>25</v>
      </c>
      <c r="AC53" t="s">
        <v>22</v>
      </c>
      <c r="AD53" t="s">
        <v>170</v>
      </c>
      <c r="AE53">
        <v>3.07909988021309E-2</v>
      </c>
      <c r="AG53" t="s">
        <v>100</v>
      </c>
      <c r="AH53" t="s">
        <v>170</v>
      </c>
      <c r="AI53">
        <v>0.29118990536732192</v>
      </c>
      <c r="AK53">
        <v>2027</v>
      </c>
      <c r="AL53" t="s">
        <v>155</v>
      </c>
      <c r="AM53">
        <v>0.36385000000000001</v>
      </c>
      <c r="AN53" t="s">
        <v>236</v>
      </c>
    </row>
    <row r="54" spans="9:40" x14ac:dyDescent="0.45">
      <c r="I54" t="s">
        <v>159</v>
      </c>
      <c r="J54" t="s">
        <v>171</v>
      </c>
      <c r="K54">
        <v>1.1137209773192684E-2</v>
      </c>
      <c r="L54" t="s">
        <v>161</v>
      </c>
      <c r="N54" t="s">
        <v>195</v>
      </c>
      <c r="O54" t="s">
        <v>171</v>
      </c>
      <c r="P54">
        <v>3.9387812268459731E-3</v>
      </c>
      <c r="Q54" t="s">
        <v>161</v>
      </c>
      <c r="S54" t="s">
        <v>217</v>
      </c>
      <c r="T54" t="s">
        <v>171</v>
      </c>
      <c r="U54">
        <v>5.0011898639197765E-3</v>
      </c>
      <c r="V54" t="s">
        <v>161</v>
      </c>
      <c r="X54">
        <v>5.7077625570776253E-3</v>
      </c>
      <c r="Y54">
        <v>7.2926766609485473E-3</v>
      </c>
      <c r="Z54" t="s">
        <v>171</v>
      </c>
      <c r="AA54" t="s">
        <v>25</v>
      </c>
      <c r="AC54" t="s">
        <v>22</v>
      </c>
      <c r="AD54" t="s">
        <v>171</v>
      </c>
      <c r="AE54">
        <v>5.7399061676711959E-3</v>
      </c>
      <c r="AG54" t="s">
        <v>100</v>
      </c>
      <c r="AH54" t="s">
        <v>171</v>
      </c>
      <c r="AI54">
        <v>8.4532245285299457E-2</v>
      </c>
      <c r="AK54">
        <v>2027</v>
      </c>
      <c r="AL54" t="s">
        <v>157</v>
      </c>
      <c r="AM54">
        <v>0.35366666666666663</v>
      </c>
      <c r="AN54" t="s">
        <v>236</v>
      </c>
    </row>
    <row r="55" spans="9:40" x14ac:dyDescent="0.45">
      <c r="I55" t="s">
        <v>159</v>
      </c>
      <c r="J55" t="s">
        <v>172</v>
      </c>
      <c r="K55">
        <v>0.11754619323583765</v>
      </c>
      <c r="L55" t="s">
        <v>161</v>
      </c>
      <c r="N55" t="s">
        <v>195</v>
      </c>
      <c r="O55" t="s">
        <v>172</v>
      </c>
      <c r="P55">
        <v>2.7373483807514018E-2</v>
      </c>
      <c r="Q55" t="s">
        <v>161</v>
      </c>
      <c r="S55" t="s">
        <v>217</v>
      </c>
      <c r="T55" t="s">
        <v>172</v>
      </c>
      <c r="U55">
        <v>3.6269396384001784E-2</v>
      </c>
      <c r="V55" t="s">
        <v>161</v>
      </c>
      <c r="X55">
        <v>3.9954337899543377E-2</v>
      </c>
      <c r="Y55">
        <v>5.2010044004673954E-2</v>
      </c>
      <c r="Z55" t="s">
        <v>172</v>
      </c>
      <c r="AA55" t="s">
        <v>25</v>
      </c>
      <c r="AC55" t="s">
        <v>22</v>
      </c>
      <c r="AD55" t="s">
        <v>172</v>
      </c>
      <c r="AE55">
        <v>4.0505028713512969E-2</v>
      </c>
      <c r="AG55" t="s">
        <v>100</v>
      </c>
      <c r="AH55" t="s">
        <v>172</v>
      </c>
      <c r="AI55">
        <v>9.8623379695728763E-2</v>
      </c>
      <c r="AK55">
        <v>2027</v>
      </c>
      <c r="AL55" t="s">
        <v>239</v>
      </c>
      <c r="AM55">
        <v>0.2959</v>
      </c>
      <c r="AN55" t="s">
        <v>236</v>
      </c>
    </row>
    <row r="56" spans="9:40" x14ac:dyDescent="0.45">
      <c r="I56" t="s">
        <v>159</v>
      </c>
      <c r="J56" t="s">
        <v>248</v>
      </c>
      <c r="K56">
        <v>1.3906890752272099E-2</v>
      </c>
      <c r="L56" t="s">
        <v>161</v>
      </c>
      <c r="N56" t="s">
        <v>195</v>
      </c>
      <c r="O56" t="s">
        <v>248</v>
      </c>
      <c r="P56">
        <v>3.9664117054803352E-3</v>
      </c>
      <c r="Q56" t="s">
        <v>161</v>
      </c>
      <c r="S56" t="s">
        <v>217</v>
      </c>
      <c r="T56" t="s">
        <v>248</v>
      </c>
      <c r="U56">
        <v>5.069059053810227E-3</v>
      </c>
      <c r="V56" t="s">
        <v>161</v>
      </c>
      <c r="X56">
        <v>5.7077625570776253E-3</v>
      </c>
      <c r="Y56">
        <v>1.1104757642808012E-2</v>
      </c>
      <c r="Z56" t="s">
        <v>248</v>
      </c>
      <c r="AA56" t="s">
        <v>25</v>
      </c>
      <c r="AC56" t="s">
        <v>22</v>
      </c>
      <c r="AD56" t="s">
        <v>248</v>
      </c>
      <c r="AE56">
        <v>5.721444529487087E-3</v>
      </c>
      <c r="AG56" t="s">
        <v>100</v>
      </c>
      <c r="AH56" t="s">
        <v>248</v>
      </c>
      <c r="AI56">
        <v>7.6217988621352983E-2</v>
      </c>
      <c r="AK56">
        <v>2027</v>
      </c>
      <c r="AL56" t="s">
        <v>241</v>
      </c>
      <c r="AM56">
        <v>0.29035</v>
      </c>
      <c r="AN56" t="s">
        <v>236</v>
      </c>
    </row>
    <row r="57" spans="9:40" x14ac:dyDescent="0.45">
      <c r="I57" t="s">
        <v>159</v>
      </c>
      <c r="J57" t="s">
        <v>249</v>
      </c>
      <c r="K57">
        <v>1.190473880294457E-2</v>
      </c>
      <c r="L57" t="s">
        <v>161</v>
      </c>
      <c r="N57" t="s">
        <v>195</v>
      </c>
      <c r="O57" t="s">
        <v>249</v>
      </c>
      <c r="P57">
        <v>3.662303859608845E-3</v>
      </c>
      <c r="Q57" t="s">
        <v>161</v>
      </c>
      <c r="S57" t="s">
        <v>217</v>
      </c>
      <c r="T57" t="s">
        <v>249</v>
      </c>
      <c r="U57">
        <v>4.8907998241450477E-3</v>
      </c>
      <c r="V57" t="s">
        <v>161</v>
      </c>
      <c r="X57">
        <v>5.7077625570776253E-3</v>
      </c>
      <c r="Y57">
        <v>1.1104757642808012E-2</v>
      </c>
      <c r="Z57" t="s">
        <v>249</v>
      </c>
      <c r="AA57" t="s">
        <v>25</v>
      </c>
      <c r="AC57" t="s">
        <v>22</v>
      </c>
      <c r="AD57" t="s">
        <v>249</v>
      </c>
      <c r="AE57">
        <v>5.7107275499543465E-3</v>
      </c>
      <c r="AG57" t="s">
        <v>100</v>
      </c>
      <c r="AH57" t="s">
        <v>249</v>
      </c>
      <c r="AI57">
        <v>7.7346996721819217E-2</v>
      </c>
      <c r="AK57">
        <v>2027</v>
      </c>
      <c r="AL57" t="s">
        <v>264</v>
      </c>
      <c r="AM57">
        <v>0.30130000000000001</v>
      </c>
      <c r="AN57" t="s">
        <v>236</v>
      </c>
    </row>
    <row r="58" spans="9:40" x14ac:dyDescent="0.45">
      <c r="I58" t="s">
        <v>159</v>
      </c>
      <c r="J58" t="s">
        <v>269</v>
      </c>
      <c r="K58">
        <v>1.3329101246137584E-2</v>
      </c>
      <c r="L58" t="s">
        <v>161</v>
      </c>
      <c r="N58" t="s">
        <v>195</v>
      </c>
      <c r="O58" t="s">
        <v>269</v>
      </c>
      <c r="P58">
        <v>2.6909768751858975E-2</v>
      </c>
      <c r="Q58" t="s">
        <v>161</v>
      </c>
      <c r="S58" t="s">
        <v>217</v>
      </c>
      <c r="T58" t="s">
        <v>269</v>
      </c>
      <c r="U58">
        <v>2.7294518732221912E-2</v>
      </c>
      <c r="V58" t="s">
        <v>161</v>
      </c>
      <c r="X58">
        <v>3.4246575342465752E-2</v>
      </c>
      <c r="Y58">
        <v>3.016516255210535E-2</v>
      </c>
      <c r="Z58" t="s">
        <v>269</v>
      </c>
      <c r="AA58" t="s">
        <v>25</v>
      </c>
      <c r="AC58" t="s">
        <v>22</v>
      </c>
      <c r="AD58" t="s">
        <v>269</v>
      </c>
      <c r="AE58">
        <v>2.9381928407555605E-2</v>
      </c>
      <c r="AG58" t="s">
        <v>100</v>
      </c>
      <c r="AH58" t="s">
        <v>269</v>
      </c>
      <c r="AI58">
        <v>0.16318168931216048</v>
      </c>
      <c r="AK58">
        <v>2027</v>
      </c>
      <c r="AL58" t="s">
        <v>265</v>
      </c>
      <c r="AM58">
        <v>0.30130000000000001</v>
      </c>
      <c r="AN58" t="s">
        <v>236</v>
      </c>
    </row>
    <row r="59" spans="9:40" x14ac:dyDescent="0.45">
      <c r="I59" t="s">
        <v>159</v>
      </c>
      <c r="J59" t="s">
        <v>250</v>
      </c>
      <c r="K59">
        <v>1.4607966896262423E-3</v>
      </c>
      <c r="L59" t="s">
        <v>161</v>
      </c>
      <c r="N59" t="s">
        <v>195</v>
      </c>
      <c r="O59" t="s">
        <v>250</v>
      </c>
      <c r="P59">
        <v>4.9531388278345898E-2</v>
      </c>
      <c r="Q59" t="s">
        <v>161</v>
      </c>
      <c r="S59" t="s">
        <v>217</v>
      </c>
      <c r="T59" t="s">
        <v>250</v>
      </c>
      <c r="U59">
        <v>5.0216796309900655E-2</v>
      </c>
      <c r="V59" t="s">
        <v>161</v>
      </c>
      <c r="X59">
        <v>4.2009132420091327E-2</v>
      </c>
      <c r="Y59">
        <v>2.3284190637197624E-2</v>
      </c>
      <c r="Z59" t="s">
        <v>250</v>
      </c>
      <c r="AA59" t="s">
        <v>25</v>
      </c>
      <c r="AC59" t="s">
        <v>22</v>
      </c>
      <c r="AD59" t="s">
        <v>250</v>
      </c>
      <c r="AE59">
        <v>3.0131403433004106E-2</v>
      </c>
      <c r="AG59" t="s">
        <v>100</v>
      </c>
      <c r="AH59" t="s">
        <v>250</v>
      </c>
      <c r="AI59">
        <v>0.31569448129128497</v>
      </c>
      <c r="AK59">
        <v>2028</v>
      </c>
      <c r="AL59" t="s">
        <v>149</v>
      </c>
      <c r="AM59">
        <v>0.29943333333333333</v>
      </c>
      <c r="AN59" t="s">
        <v>236</v>
      </c>
    </row>
    <row r="60" spans="9:40" x14ac:dyDescent="0.45">
      <c r="I60" t="s">
        <v>159</v>
      </c>
      <c r="J60" t="s">
        <v>251</v>
      </c>
      <c r="K60">
        <v>4.6239794188877867E-3</v>
      </c>
      <c r="L60" t="s">
        <v>161</v>
      </c>
      <c r="N60" t="s">
        <v>195</v>
      </c>
      <c r="O60" t="s">
        <v>251</v>
      </c>
      <c r="P60">
        <v>6.231064858780183E-3</v>
      </c>
      <c r="Q60" t="s">
        <v>161</v>
      </c>
      <c r="S60" t="s">
        <v>217</v>
      </c>
      <c r="T60" t="s">
        <v>251</v>
      </c>
      <c r="U60">
        <v>5.9915510155900669E-3</v>
      </c>
      <c r="V60" t="s">
        <v>161</v>
      </c>
      <c r="X60">
        <v>5.2511415525114159E-3</v>
      </c>
      <c r="Y60">
        <v>6.7092625280726625E-3</v>
      </c>
      <c r="Z60" t="s">
        <v>251</v>
      </c>
      <c r="AA60" t="s">
        <v>25</v>
      </c>
      <c r="AC60" t="s">
        <v>22</v>
      </c>
      <c r="AD60" t="s">
        <v>251</v>
      </c>
      <c r="AE60">
        <v>5.4895790169622594E-3</v>
      </c>
      <c r="AG60" t="s">
        <v>100</v>
      </c>
      <c r="AH60" t="s">
        <v>251</v>
      </c>
      <c r="AI60">
        <v>8.812232243987439E-2</v>
      </c>
      <c r="AK60">
        <v>2028</v>
      </c>
      <c r="AL60" t="s">
        <v>153</v>
      </c>
      <c r="AM60">
        <v>0.32604999999999995</v>
      </c>
      <c r="AN60" t="s">
        <v>236</v>
      </c>
    </row>
    <row r="61" spans="9:40" x14ac:dyDescent="0.45">
      <c r="I61" t="s">
        <v>159</v>
      </c>
      <c r="J61" t="s">
        <v>252</v>
      </c>
      <c r="K61">
        <v>7.5188542945499676E-2</v>
      </c>
      <c r="L61" t="s">
        <v>161</v>
      </c>
      <c r="N61" t="s">
        <v>195</v>
      </c>
      <c r="O61" t="s">
        <v>252</v>
      </c>
      <c r="P61">
        <v>3.9980700663777395E-2</v>
      </c>
      <c r="Q61" t="s">
        <v>161</v>
      </c>
      <c r="S61" t="s">
        <v>217</v>
      </c>
      <c r="T61" t="s">
        <v>252</v>
      </c>
      <c r="U61">
        <v>4.1644796294791238E-2</v>
      </c>
      <c r="V61" t="s">
        <v>161</v>
      </c>
      <c r="X61">
        <v>3.6757990867579908E-2</v>
      </c>
      <c r="Y61">
        <v>4.7849240484300039E-2</v>
      </c>
      <c r="Z61" t="s">
        <v>252</v>
      </c>
      <c r="AA61" t="s">
        <v>25</v>
      </c>
      <c r="AC61" t="s">
        <v>22</v>
      </c>
      <c r="AD61" t="s">
        <v>252</v>
      </c>
      <c r="AE61">
        <v>3.7873011933194159E-2</v>
      </c>
      <c r="AG61" t="s">
        <v>100</v>
      </c>
      <c r="AH61" t="s">
        <v>252</v>
      </c>
      <c r="AI61">
        <v>0.10178345931774935</v>
      </c>
      <c r="AK61">
        <v>2028</v>
      </c>
      <c r="AL61" t="s">
        <v>155</v>
      </c>
      <c r="AM61">
        <v>0.37559999999999999</v>
      </c>
      <c r="AN61" t="s">
        <v>236</v>
      </c>
    </row>
    <row r="62" spans="9:40" x14ac:dyDescent="0.45">
      <c r="I62" t="s">
        <v>159</v>
      </c>
      <c r="J62" t="s">
        <v>253</v>
      </c>
      <c r="K62">
        <v>9.1094721375783051E-3</v>
      </c>
      <c r="L62" t="s">
        <v>161</v>
      </c>
      <c r="N62" t="s">
        <v>195</v>
      </c>
      <c r="O62" t="s">
        <v>253</v>
      </c>
      <c r="P62">
        <v>6.1082689173602225E-3</v>
      </c>
      <c r="Q62" t="s">
        <v>161</v>
      </c>
      <c r="S62" t="s">
        <v>217</v>
      </c>
      <c r="T62" t="s">
        <v>253</v>
      </c>
      <c r="U62">
        <v>6.0307367329274029E-3</v>
      </c>
      <c r="V62" t="s">
        <v>161</v>
      </c>
      <c r="X62">
        <v>5.2511415525114159E-3</v>
      </c>
      <c r="Y62">
        <v>1.0216377031383372E-2</v>
      </c>
      <c r="Z62" t="s">
        <v>253</v>
      </c>
      <c r="AA62" t="s">
        <v>25</v>
      </c>
      <c r="AC62" t="s">
        <v>22</v>
      </c>
      <c r="AD62" t="s">
        <v>253</v>
      </c>
      <c r="AE62">
        <v>5.3824149541727116E-3</v>
      </c>
      <c r="AG62" t="s">
        <v>100</v>
      </c>
      <c r="AH62" t="s">
        <v>253</v>
      </c>
      <c r="AI62">
        <v>9.1036650728076429E-2</v>
      </c>
      <c r="AK62">
        <v>2028</v>
      </c>
      <c r="AL62" t="s">
        <v>157</v>
      </c>
      <c r="AM62">
        <v>0.34876666666666667</v>
      </c>
      <c r="AN62" t="s">
        <v>236</v>
      </c>
    </row>
    <row r="63" spans="9:40" x14ac:dyDescent="0.45">
      <c r="I63" t="s">
        <v>159</v>
      </c>
      <c r="J63" t="s">
        <v>254</v>
      </c>
      <c r="K63">
        <v>6.2557242647700538E-3</v>
      </c>
      <c r="L63" t="s">
        <v>161</v>
      </c>
      <c r="N63" t="s">
        <v>195</v>
      </c>
      <c r="O63" t="s">
        <v>254</v>
      </c>
      <c r="P63">
        <v>6.304444108953697E-3</v>
      </c>
      <c r="Q63" t="s">
        <v>161</v>
      </c>
      <c r="S63" t="s">
        <v>217</v>
      </c>
      <c r="T63" t="s">
        <v>254</v>
      </c>
      <c r="U63">
        <v>6.0634061589771807E-3</v>
      </c>
      <c r="V63" t="s">
        <v>161</v>
      </c>
      <c r="X63">
        <v>5.2511415525114159E-3</v>
      </c>
      <c r="Y63">
        <v>1.0216377031383372E-2</v>
      </c>
      <c r="Z63" t="s">
        <v>254</v>
      </c>
      <c r="AA63" t="s">
        <v>25</v>
      </c>
      <c r="AC63" t="s">
        <v>22</v>
      </c>
      <c r="AD63" t="s">
        <v>254</v>
      </c>
      <c r="AE63">
        <v>5.4380148388948587E-3</v>
      </c>
      <c r="AG63" t="s">
        <v>100</v>
      </c>
      <c r="AH63" t="s">
        <v>254</v>
      </c>
      <c r="AI63">
        <v>8.6449903277315387E-2</v>
      </c>
      <c r="AK63">
        <v>2028</v>
      </c>
      <c r="AL63" t="s">
        <v>239</v>
      </c>
      <c r="AM63">
        <v>0.29223333333333334</v>
      </c>
      <c r="AN63" t="s">
        <v>236</v>
      </c>
    </row>
    <row r="64" spans="9:40" x14ac:dyDescent="0.45">
      <c r="I64" t="s">
        <v>159</v>
      </c>
      <c r="J64" t="s">
        <v>270</v>
      </c>
      <c r="K64">
        <v>1.7113279557538507E-3</v>
      </c>
      <c r="L64" t="s">
        <v>161</v>
      </c>
      <c r="N64" t="s">
        <v>195</v>
      </c>
      <c r="O64" t="s">
        <v>270</v>
      </c>
      <c r="P64">
        <v>4.1090300371669268E-2</v>
      </c>
      <c r="Q64" t="s">
        <v>161</v>
      </c>
      <c r="S64" t="s">
        <v>217</v>
      </c>
      <c r="T64" t="s">
        <v>270</v>
      </c>
      <c r="U64">
        <v>3.8203659281526088E-2</v>
      </c>
      <c r="V64" t="s">
        <v>161</v>
      </c>
      <c r="X64">
        <v>3.1506849315068496E-2</v>
      </c>
      <c r="Y64">
        <v>2.775194954793692E-2</v>
      </c>
      <c r="Z64" t="s">
        <v>270</v>
      </c>
      <c r="AA64" t="s">
        <v>25</v>
      </c>
      <c r="AC64" t="s">
        <v>22</v>
      </c>
      <c r="AD64" t="s">
        <v>270</v>
      </c>
      <c r="AE64">
        <v>2.8017884631720395E-2</v>
      </c>
      <c r="AG64" t="s">
        <v>100</v>
      </c>
      <c r="AH64" t="s">
        <v>270</v>
      </c>
      <c r="AI64">
        <v>0.18295120967641321</v>
      </c>
      <c r="AK64">
        <v>2028</v>
      </c>
      <c r="AL64" t="s">
        <v>241</v>
      </c>
      <c r="AM64">
        <v>0.2757</v>
      </c>
      <c r="AN64" t="s">
        <v>236</v>
      </c>
    </row>
    <row r="65" spans="9:40" x14ac:dyDescent="0.45">
      <c r="I65" t="s">
        <v>159</v>
      </c>
      <c r="J65" t="s">
        <v>255</v>
      </c>
      <c r="K65">
        <v>0</v>
      </c>
      <c r="L65" t="s">
        <v>161</v>
      </c>
      <c r="N65" t="s">
        <v>195</v>
      </c>
      <c r="O65" t="s">
        <v>255</v>
      </c>
      <c r="P65">
        <v>5.0916040249627426E-2</v>
      </c>
      <c r="Q65" t="s">
        <v>161</v>
      </c>
      <c r="S65" t="s">
        <v>217</v>
      </c>
      <c r="T65" t="s">
        <v>255</v>
      </c>
      <c r="U65">
        <v>4.9686155898159889E-2</v>
      </c>
      <c r="V65" t="s">
        <v>161</v>
      </c>
      <c r="X65">
        <v>4.0182648401826483E-2</v>
      </c>
      <c r="Y65">
        <v>2.2271834522536858E-2</v>
      </c>
      <c r="Z65" t="s">
        <v>255</v>
      </c>
      <c r="AA65" t="s">
        <v>25</v>
      </c>
      <c r="AC65" t="s">
        <v>22</v>
      </c>
      <c r="AD65" t="s">
        <v>255</v>
      </c>
      <c r="AE65">
        <v>3.4471970053721268E-2</v>
      </c>
      <c r="AG65" t="s">
        <v>100</v>
      </c>
      <c r="AH65" t="s">
        <v>255</v>
      </c>
      <c r="AI65">
        <v>0.28143698552966234</v>
      </c>
      <c r="AK65">
        <v>2028</v>
      </c>
      <c r="AL65" t="s">
        <v>264</v>
      </c>
      <c r="AM65">
        <v>0.27650000000000002</v>
      </c>
      <c r="AN65" t="s">
        <v>236</v>
      </c>
    </row>
    <row r="66" spans="9:40" x14ac:dyDescent="0.45">
      <c r="I66" t="s">
        <v>159</v>
      </c>
      <c r="J66" t="s">
        <v>256</v>
      </c>
      <c r="K66">
        <v>7.1330286919232279E-4</v>
      </c>
      <c r="L66" t="s">
        <v>161</v>
      </c>
      <c r="N66" t="s">
        <v>195</v>
      </c>
      <c r="O66" t="s">
        <v>256</v>
      </c>
      <c r="P66">
        <v>6.9550969055640873E-3</v>
      </c>
      <c r="Q66" t="s">
        <v>161</v>
      </c>
      <c r="S66" t="s">
        <v>217</v>
      </c>
      <c r="T66" t="s">
        <v>256</v>
      </c>
      <c r="U66">
        <v>6.1219675907464898E-3</v>
      </c>
      <c r="V66" t="s">
        <v>161</v>
      </c>
      <c r="X66">
        <v>5.0228310502283104E-3</v>
      </c>
      <c r="Y66">
        <v>6.417555461634721E-3</v>
      </c>
      <c r="Z66" t="s">
        <v>256</v>
      </c>
      <c r="AA66" t="s">
        <v>25</v>
      </c>
      <c r="AC66" t="s">
        <v>22</v>
      </c>
      <c r="AD66" t="s">
        <v>256</v>
      </c>
      <c r="AE66">
        <v>6.1136138652558994E-3</v>
      </c>
      <c r="AG66" t="s">
        <v>100</v>
      </c>
      <c r="AH66" t="s">
        <v>256</v>
      </c>
      <c r="AI66">
        <v>8.1947025080065572E-2</v>
      </c>
      <c r="AK66">
        <v>2028</v>
      </c>
      <c r="AL66" t="s">
        <v>265</v>
      </c>
      <c r="AM66">
        <v>0.27650000000000002</v>
      </c>
      <c r="AN66" t="s">
        <v>236</v>
      </c>
    </row>
    <row r="67" spans="9:40" x14ac:dyDescent="0.45">
      <c r="I67" t="s">
        <v>159</v>
      </c>
      <c r="J67" t="s">
        <v>257</v>
      </c>
      <c r="K67">
        <v>5.119935911268747E-2</v>
      </c>
      <c r="L67" t="s">
        <v>161</v>
      </c>
      <c r="N67" t="s">
        <v>195</v>
      </c>
      <c r="O67" t="s">
        <v>257</v>
      </c>
      <c r="P67">
        <v>4.7467838150138227E-2</v>
      </c>
      <c r="Q67" t="s">
        <v>161</v>
      </c>
      <c r="S67" t="s">
        <v>217</v>
      </c>
      <c r="T67" t="s">
        <v>257</v>
      </c>
      <c r="U67">
        <v>4.1499301835840184E-2</v>
      </c>
      <c r="V67" t="s">
        <v>161</v>
      </c>
      <c r="X67">
        <v>3.515981735159817E-2</v>
      </c>
      <c r="Y67">
        <v>4.5768838724113074E-2</v>
      </c>
      <c r="Z67" t="s">
        <v>257</v>
      </c>
      <c r="AA67" t="s">
        <v>25</v>
      </c>
      <c r="AC67" t="s">
        <v>22</v>
      </c>
      <c r="AD67" t="s">
        <v>257</v>
      </c>
      <c r="AE67">
        <v>4.2852350139861425E-2</v>
      </c>
      <c r="AG67" t="s">
        <v>100</v>
      </c>
      <c r="AH67" t="s">
        <v>257</v>
      </c>
      <c r="AI67">
        <v>9.5571067253686692E-2</v>
      </c>
      <c r="AK67">
        <v>2029</v>
      </c>
      <c r="AL67" t="s">
        <v>149</v>
      </c>
      <c r="AM67">
        <v>0.32450000000000001</v>
      </c>
      <c r="AN67" t="s">
        <v>236</v>
      </c>
    </row>
    <row r="68" spans="9:40" x14ac:dyDescent="0.45">
      <c r="I68" t="s">
        <v>159</v>
      </c>
      <c r="J68" t="s">
        <v>258</v>
      </c>
      <c r="K68">
        <v>4.6887120121143792E-3</v>
      </c>
      <c r="L68" t="s">
        <v>161</v>
      </c>
      <c r="N68" t="s">
        <v>195</v>
      </c>
      <c r="O68" t="s">
        <v>258</v>
      </c>
      <c r="P68">
        <v>6.8210016466676753E-3</v>
      </c>
      <c r="Q68" t="s">
        <v>161</v>
      </c>
      <c r="S68" t="s">
        <v>217</v>
      </c>
      <c r="T68" t="s">
        <v>258</v>
      </c>
      <c r="U68">
        <v>6.1055938270248586E-3</v>
      </c>
      <c r="V68" t="s">
        <v>161</v>
      </c>
      <c r="X68">
        <v>5.0228310502283104E-3</v>
      </c>
      <c r="Y68">
        <v>9.7721867256710514E-3</v>
      </c>
      <c r="Z68" t="s">
        <v>258</v>
      </c>
      <c r="AA68" t="s">
        <v>25</v>
      </c>
      <c r="AC68" t="s">
        <v>22</v>
      </c>
      <c r="AD68" t="s">
        <v>258</v>
      </c>
      <c r="AE68">
        <v>6.2491539904616384E-3</v>
      </c>
      <c r="AG68" t="s">
        <v>100</v>
      </c>
      <c r="AH68" t="s">
        <v>258</v>
      </c>
      <c r="AI68">
        <v>8.2408277290820564E-2</v>
      </c>
      <c r="AK68">
        <v>2029</v>
      </c>
      <c r="AL68" t="s">
        <v>153</v>
      </c>
      <c r="AM68">
        <v>0.33300000000000002</v>
      </c>
      <c r="AN68" t="s">
        <v>236</v>
      </c>
    </row>
    <row r="69" spans="9:40" x14ac:dyDescent="0.45">
      <c r="I69" t="s">
        <v>159</v>
      </c>
      <c r="J69" t="s">
        <v>259</v>
      </c>
      <c r="K69">
        <v>2.8740934118050076E-4</v>
      </c>
      <c r="L69" t="s">
        <v>161</v>
      </c>
      <c r="N69" t="s">
        <v>195</v>
      </c>
      <c r="O69" t="s">
        <v>259</v>
      </c>
      <c r="P69">
        <v>6.8617509860346496E-3</v>
      </c>
      <c r="Q69" t="s">
        <v>161</v>
      </c>
      <c r="S69" t="s">
        <v>217</v>
      </c>
      <c r="T69" t="s">
        <v>259</v>
      </c>
      <c r="U69">
        <v>6.0895106777991712E-3</v>
      </c>
      <c r="V69" t="s">
        <v>161</v>
      </c>
      <c r="X69">
        <v>5.0228310502283104E-3</v>
      </c>
      <c r="Y69">
        <v>9.7721867256710514E-3</v>
      </c>
      <c r="Z69" t="s">
        <v>259</v>
      </c>
      <c r="AA69" t="s">
        <v>25</v>
      </c>
      <c r="AC69" t="s">
        <v>22</v>
      </c>
      <c r="AD69" t="s">
        <v>259</v>
      </c>
      <c r="AE69">
        <v>6.2847473180459058E-3</v>
      </c>
      <c r="AG69" t="s">
        <v>100</v>
      </c>
      <c r="AH69" t="s">
        <v>259</v>
      </c>
      <c r="AI69">
        <v>8.0252453378231836E-2</v>
      </c>
      <c r="AK69">
        <v>2029</v>
      </c>
      <c r="AL69" t="s">
        <v>155</v>
      </c>
      <c r="AM69">
        <v>0.37572499999999998</v>
      </c>
      <c r="AN69" t="s">
        <v>236</v>
      </c>
    </row>
    <row r="70" spans="9:40" x14ac:dyDescent="0.45">
      <c r="I70" t="s">
        <v>159</v>
      </c>
      <c r="J70" t="s">
        <v>271</v>
      </c>
      <c r="K70">
        <v>0</v>
      </c>
      <c r="L70" t="s">
        <v>161</v>
      </c>
      <c r="N70" t="s">
        <v>195</v>
      </c>
      <c r="O70" t="s">
        <v>271</v>
      </c>
      <c r="P70">
        <v>3.9021038416796057E-2</v>
      </c>
      <c r="Q70" t="s">
        <v>161</v>
      </c>
      <c r="S70" t="s">
        <v>217</v>
      </c>
      <c r="T70" t="s">
        <v>271</v>
      </c>
      <c r="U70">
        <v>3.7118540964213027E-2</v>
      </c>
      <c r="V70" t="s">
        <v>161</v>
      </c>
      <c r="X70">
        <v>3.0136986301369864E-2</v>
      </c>
      <c r="Y70">
        <v>2.654534304585271E-2</v>
      </c>
      <c r="Z70" t="s">
        <v>271</v>
      </c>
      <c r="AA70" t="s">
        <v>25</v>
      </c>
      <c r="AC70" t="s">
        <v>22</v>
      </c>
      <c r="AD70" t="s">
        <v>271</v>
      </c>
      <c r="AE70">
        <v>3.2454813596708994E-2</v>
      </c>
      <c r="AG70" t="s">
        <v>100</v>
      </c>
      <c r="AH70" t="s">
        <v>271</v>
      </c>
      <c r="AI70">
        <v>0.18066776961312536</v>
      </c>
      <c r="AK70">
        <v>2029</v>
      </c>
      <c r="AL70" t="s">
        <v>157</v>
      </c>
      <c r="AM70">
        <v>0.33100000000000002</v>
      </c>
      <c r="AN70" t="s">
        <v>236</v>
      </c>
    </row>
    <row r="71" spans="9:40" x14ac:dyDescent="0.45">
      <c r="I71" t="s">
        <v>159</v>
      </c>
      <c r="J71" t="s">
        <v>272</v>
      </c>
      <c r="K71">
        <v>0</v>
      </c>
      <c r="L71" t="s">
        <v>161</v>
      </c>
      <c r="N71" t="s">
        <v>195</v>
      </c>
      <c r="O71" t="s">
        <v>272</v>
      </c>
      <c r="P71">
        <v>1.8557454269428484E-2</v>
      </c>
      <c r="Q71" t="s">
        <v>161</v>
      </c>
      <c r="S71" t="s">
        <v>217</v>
      </c>
      <c r="T71" t="s">
        <v>272</v>
      </c>
      <c r="U71">
        <v>1.2633058091016912E-2</v>
      </c>
      <c r="V71" t="s">
        <v>161</v>
      </c>
      <c r="X71">
        <v>9.1324200913242004E-3</v>
      </c>
      <c r="Y71">
        <v>5.0617805733038316E-3</v>
      </c>
      <c r="Z71" t="s">
        <v>272</v>
      </c>
      <c r="AA71" t="s">
        <v>25</v>
      </c>
      <c r="AC71" t="s">
        <v>22</v>
      </c>
      <c r="AD71" t="s">
        <v>272</v>
      </c>
      <c r="AE71">
        <v>8.0754146367034343E-3</v>
      </c>
      <c r="AG71" t="s">
        <v>100</v>
      </c>
      <c r="AH71" t="s">
        <v>272</v>
      </c>
      <c r="AI71">
        <v>0.25517095434886383</v>
      </c>
      <c r="AK71">
        <v>2029</v>
      </c>
      <c r="AL71" t="s">
        <v>239</v>
      </c>
      <c r="AM71">
        <v>0.28889999999999999</v>
      </c>
      <c r="AN71" t="s">
        <v>236</v>
      </c>
    </row>
    <row r="72" spans="9:40" x14ac:dyDescent="0.45">
      <c r="I72" t="s">
        <v>159</v>
      </c>
      <c r="J72" t="s">
        <v>273</v>
      </c>
      <c r="K72">
        <v>0</v>
      </c>
      <c r="L72" t="s">
        <v>161</v>
      </c>
      <c r="N72" t="s">
        <v>195</v>
      </c>
      <c r="O72" t="s">
        <v>273</v>
      </c>
      <c r="P72">
        <v>2.5014097383538186E-3</v>
      </c>
      <c r="Q72" t="s">
        <v>161</v>
      </c>
      <c r="S72" t="s">
        <v>217</v>
      </c>
      <c r="T72" t="s">
        <v>273</v>
      </c>
      <c r="U72">
        <v>1.5214926573147115E-3</v>
      </c>
      <c r="V72" t="s">
        <v>161</v>
      </c>
      <c r="X72">
        <v>1.1415525114155251E-3</v>
      </c>
      <c r="Y72">
        <v>1.4585353321897095E-3</v>
      </c>
      <c r="Z72" t="s">
        <v>273</v>
      </c>
      <c r="AA72" t="s">
        <v>25</v>
      </c>
      <c r="AC72" t="s">
        <v>22</v>
      </c>
      <c r="AD72" t="s">
        <v>273</v>
      </c>
      <c r="AE72">
        <v>1.4130480130525442E-3</v>
      </c>
      <c r="AG72" t="s">
        <v>100</v>
      </c>
      <c r="AH72" t="s">
        <v>273</v>
      </c>
      <c r="AI72">
        <v>4.7794575167628306E-2</v>
      </c>
      <c r="AK72">
        <v>2029</v>
      </c>
      <c r="AL72" t="s">
        <v>241</v>
      </c>
      <c r="AM72">
        <v>0.29915000000000003</v>
      </c>
      <c r="AN72" t="s">
        <v>236</v>
      </c>
    </row>
    <row r="73" spans="9:40" x14ac:dyDescent="0.45">
      <c r="I73" t="s">
        <v>159</v>
      </c>
      <c r="J73" t="s">
        <v>274</v>
      </c>
      <c r="K73">
        <v>1.2038186070179705E-2</v>
      </c>
      <c r="L73" t="s">
        <v>161</v>
      </c>
      <c r="N73" t="s">
        <v>195</v>
      </c>
      <c r="O73" t="s">
        <v>274</v>
      </c>
      <c r="P73">
        <v>1.4498744065979891E-2</v>
      </c>
      <c r="Q73" t="s">
        <v>161</v>
      </c>
      <c r="S73" t="s">
        <v>217</v>
      </c>
      <c r="T73" t="s">
        <v>274</v>
      </c>
      <c r="U73">
        <v>1.1613837390288968E-2</v>
      </c>
      <c r="V73" t="s">
        <v>161</v>
      </c>
      <c r="X73">
        <v>7.9908675799086754E-3</v>
      </c>
      <c r="Y73">
        <v>1.040200880093479E-2</v>
      </c>
      <c r="Z73" t="s">
        <v>274</v>
      </c>
      <c r="AA73" t="s">
        <v>25</v>
      </c>
      <c r="AC73" t="s">
        <v>22</v>
      </c>
      <c r="AD73" t="s">
        <v>274</v>
      </c>
      <c r="AE73">
        <v>9.79861802399014E-3</v>
      </c>
      <c r="AG73" t="s">
        <v>100</v>
      </c>
      <c r="AH73" t="s">
        <v>274</v>
      </c>
      <c r="AI73">
        <v>5.4305689661338308E-2</v>
      </c>
      <c r="AK73">
        <v>2029</v>
      </c>
      <c r="AL73" t="s">
        <v>264</v>
      </c>
      <c r="AM73">
        <v>0.3135</v>
      </c>
      <c r="AN73" t="s">
        <v>236</v>
      </c>
    </row>
    <row r="74" spans="9:40" x14ac:dyDescent="0.45">
      <c r="I74" t="s">
        <v>159</v>
      </c>
      <c r="J74" t="s">
        <v>275</v>
      </c>
      <c r="K74">
        <v>9.6487988478714554E-4</v>
      </c>
      <c r="L74" t="s">
        <v>161</v>
      </c>
      <c r="N74" t="s">
        <v>195</v>
      </c>
      <c r="O74" t="s">
        <v>275</v>
      </c>
      <c r="P74">
        <v>1.9456236922917734E-3</v>
      </c>
      <c r="Q74" t="s">
        <v>161</v>
      </c>
      <c r="S74" t="s">
        <v>217</v>
      </c>
      <c r="T74" t="s">
        <v>275</v>
      </c>
      <c r="U74">
        <v>1.6560918772853944E-3</v>
      </c>
      <c r="V74" t="s">
        <v>161</v>
      </c>
      <c r="X74">
        <v>1.1415525114155251E-3</v>
      </c>
      <c r="Y74">
        <v>2.220951528561603E-3</v>
      </c>
      <c r="Z74" t="s">
        <v>275</v>
      </c>
      <c r="AA74" t="s">
        <v>25</v>
      </c>
      <c r="AC74" t="s">
        <v>22</v>
      </c>
      <c r="AD74" t="s">
        <v>275</v>
      </c>
      <c r="AE74">
        <v>1.4197178208548143E-3</v>
      </c>
      <c r="AG74" t="s">
        <v>100</v>
      </c>
      <c r="AH74" t="s">
        <v>275</v>
      </c>
      <c r="AI74">
        <v>3.4581599744878622E-2</v>
      </c>
      <c r="AK74">
        <v>2029</v>
      </c>
      <c r="AL74" t="s">
        <v>265</v>
      </c>
      <c r="AM74">
        <v>0.3135</v>
      </c>
      <c r="AN74" t="s">
        <v>236</v>
      </c>
    </row>
    <row r="75" spans="9:40" x14ac:dyDescent="0.45">
      <c r="I75" t="s">
        <v>159</v>
      </c>
      <c r="J75" t="s">
        <v>276</v>
      </c>
      <c r="K75">
        <v>0</v>
      </c>
      <c r="L75" t="s">
        <v>161</v>
      </c>
      <c r="N75" t="s">
        <v>195</v>
      </c>
      <c r="O75" t="s">
        <v>276</v>
      </c>
      <c r="P75">
        <v>2.0641480703669406E-3</v>
      </c>
      <c r="Q75" t="s">
        <v>161</v>
      </c>
      <c r="S75" t="s">
        <v>217</v>
      </c>
      <c r="T75" t="s">
        <v>276</v>
      </c>
      <c r="U75">
        <v>1.6629964726023036E-3</v>
      </c>
      <c r="V75" t="s">
        <v>161</v>
      </c>
      <c r="X75">
        <v>1.1415525114155251E-3</v>
      </c>
      <c r="Y75">
        <v>2.220951528561603E-3</v>
      </c>
      <c r="Z75" t="s">
        <v>276</v>
      </c>
      <c r="AA75" t="s">
        <v>25</v>
      </c>
      <c r="AC75" t="s">
        <v>22</v>
      </c>
      <c r="AD75" t="s">
        <v>276</v>
      </c>
      <c r="AE75">
        <v>1.4276975135585188E-3</v>
      </c>
      <c r="AG75" t="s">
        <v>100</v>
      </c>
      <c r="AH75" t="s">
        <v>276</v>
      </c>
      <c r="AI75">
        <v>3.2380127987139407E-2</v>
      </c>
      <c r="AK75">
        <v>2030</v>
      </c>
      <c r="AL75" t="s">
        <v>149</v>
      </c>
      <c r="AM75">
        <v>0.30453333333333332</v>
      </c>
      <c r="AN75" t="s">
        <v>236</v>
      </c>
    </row>
    <row r="76" spans="9:40" x14ac:dyDescent="0.45">
      <c r="I76" t="s">
        <v>159</v>
      </c>
      <c r="J76" t="s">
        <v>277</v>
      </c>
      <c r="K76">
        <v>0</v>
      </c>
      <c r="L76" t="s">
        <v>161</v>
      </c>
      <c r="N76" t="s">
        <v>195</v>
      </c>
      <c r="O76" t="s">
        <v>277</v>
      </c>
      <c r="P76">
        <v>1.2265383388051687E-2</v>
      </c>
      <c r="Q76" t="s">
        <v>161</v>
      </c>
      <c r="S76" t="s">
        <v>217</v>
      </c>
      <c r="T76" t="s">
        <v>277</v>
      </c>
      <c r="U76">
        <v>9.7239604009745247E-3</v>
      </c>
      <c r="V76" t="s">
        <v>161</v>
      </c>
      <c r="X76">
        <v>6.8493150684931503E-3</v>
      </c>
      <c r="Y76">
        <v>6.0330325104210707E-3</v>
      </c>
      <c r="Z76" t="s">
        <v>277</v>
      </c>
      <c r="AA76" t="s">
        <v>25</v>
      </c>
      <c r="AC76" t="s">
        <v>22</v>
      </c>
      <c r="AD76" t="s">
        <v>277</v>
      </c>
      <c r="AE76">
        <v>7.363859787818886E-3</v>
      </c>
      <c r="AG76" t="s">
        <v>100</v>
      </c>
      <c r="AH76" t="s">
        <v>277</v>
      </c>
      <c r="AI76">
        <v>0.13131055169725236</v>
      </c>
      <c r="AK76">
        <v>2030</v>
      </c>
      <c r="AL76" t="s">
        <v>153</v>
      </c>
      <c r="AM76">
        <v>0.33479999999999999</v>
      </c>
      <c r="AN76" t="s">
        <v>236</v>
      </c>
    </row>
    <row r="77" spans="9:40" x14ac:dyDescent="0.45">
      <c r="I77" t="s">
        <v>159</v>
      </c>
      <c r="J77" t="s">
        <v>278</v>
      </c>
      <c r="K77">
        <v>0</v>
      </c>
      <c r="L77" t="s">
        <v>161</v>
      </c>
      <c r="N77" t="s">
        <v>195</v>
      </c>
      <c r="O77" t="s">
        <v>278</v>
      </c>
      <c r="P77">
        <v>7.5413151440181757E-3</v>
      </c>
      <c r="Q77" t="s">
        <v>161</v>
      </c>
      <c r="S77" t="s">
        <v>217</v>
      </c>
      <c r="T77" t="s">
        <v>278</v>
      </c>
      <c r="U77">
        <v>7.9416014917219301E-3</v>
      </c>
      <c r="V77" t="s">
        <v>161</v>
      </c>
      <c r="X77">
        <v>4.5662100456621002E-3</v>
      </c>
      <c r="Y77">
        <v>2.5308902866519158E-3</v>
      </c>
      <c r="Z77" t="s">
        <v>278</v>
      </c>
      <c r="AA77" t="s">
        <v>25</v>
      </c>
      <c r="AC77" t="s">
        <v>22</v>
      </c>
      <c r="AD77" t="s">
        <v>278</v>
      </c>
      <c r="AE77">
        <v>3.9149493194434526E-3</v>
      </c>
      <c r="AG77" t="s">
        <v>100</v>
      </c>
      <c r="AH77" t="s">
        <v>278</v>
      </c>
      <c r="AI77">
        <v>0.27578209440612667</v>
      </c>
      <c r="AK77">
        <v>2030</v>
      </c>
      <c r="AL77" t="s">
        <v>155</v>
      </c>
      <c r="AM77">
        <v>0.38885000000000003</v>
      </c>
      <c r="AN77" t="s">
        <v>236</v>
      </c>
    </row>
    <row r="78" spans="9:40" x14ac:dyDescent="0.45">
      <c r="I78" t="s">
        <v>159</v>
      </c>
      <c r="J78" t="s">
        <v>279</v>
      </c>
      <c r="K78">
        <v>0</v>
      </c>
      <c r="L78" t="s">
        <v>161</v>
      </c>
      <c r="N78" t="s">
        <v>195</v>
      </c>
      <c r="O78" t="s">
        <v>279</v>
      </c>
      <c r="P78">
        <v>9.0851275134984258E-4</v>
      </c>
      <c r="Q78" t="s">
        <v>161</v>
      </c>
      <c r="S78" t="s">
        <v>217</v>
      </c>
      <c r="T78" t="s">
        <v>279</v>
      </c>
      <c r="U78">
        <v>9.178860953391627E-4</v>
      </c>
      <c r="V78" t="s">
        <v>161</v>
      </c>
      <c r="X78">
        <v>5.7077625570776253E-4</v>
      </c>
      <c r="Y78">
        <v>7.2926766609485475E-4</v>
      </c>
      <c r="Z78" t="s">
        <v>279</v>
      </c>
      <c r="AA78" t="s">
        <v>25</v>
      </c>
      <c r="AC78" t="s">
        <v>22</v>
      </c>
      <c r="AD78" t="s">
        <v>279</v>
      </c>
      <c r="AE78">
        <v>6.9150189105927678E-4</v>
      </c>
      <c r="AG78" t="s">
        <v>100</v>
      </c>
      <c r="AH78" t="s">
        <v>279</v>
      </c>
      <c r="AI78">
        <v>6.9939804459059784E-2</v>
      </c>
      <c r="AK78">
        <v>2030</v>
      </c>
      <c r="AL78" t="s">
        <v>157</v>
      </c>
      <c r="AM78">
        <v>0.35053333333333331</v>
      </c>
      <c r="AN78" t="s">
        <v>236</v>
      </c>
    </row>
    <row r="79" spans="9:40" x14ac:dyDescent="0.45">
      <c r="I79" t="s">
        <v>159</v>
      </c>
      <c r="J79" t="s">
        <v>280</v>
      </c>
      <c r="K79">
        <v>7.1920110801175444E-3</v>
      </c>
      <c r="L79" t="s">
        <v>161</v>
      </c>
      <c r="N79" t="s">
        <v>195</v>
      </c>
      <c r="O79" t="s">
        <v>280</v>
      </c>
      <c r="P79">
        <v>6.7589391816084412E-3</v>
      </c>
      <c r="Q79" t="s">
        <v>161</v>
      </c>
      <c r="S79" t="s">
        <v>217</v>
      </c>
      <c r="T79" t="s">
        <v>280</v>
      </c>
      <c r="U79">
        <v>6.7760702324795767E-3</v>
      </c>
      <c r="V79" t="s">
        <v>161</v>
      </c>
      <c r="X79">
        <v>3.9954337899543377E-3</v>
      </c>
      <c r="Y79">
        <v>5.2010044004673949E-3</v>
      </c>
      <c r="Z79" t="s">
        <v>280</v>
      </c>
      <c r="AA79" t="s">
        <v>25</v>
      </c>
      <c r="AC79" t="s">
        <v>22</v>
      </c>
      <c r="AD79" t="s">
        <v>280</v>
      </c>
      <c r="AE79">
        <v>4.8282685365420115E-3</v>
      </c>
      <c r="AG79" t="s">
        <v>100</v>
      </c>
      <c r="AH79" t="s">
        <v>280</v>
      </c>
      <c r="AI79">
        <v>8.1792810069582833E-2</v>
      </c>
      <c r="AK79">
        <v>2030</v>
      </c>
      <c r="AL79" t="s">
        <v>239</v>
      </c>
      <c r="AM79">
        <v>0.29209999999999997</v>
      </c>
      <c r="AN79" t="s">
        <v>236</v>
      </c>
    </row>
    <row r="80" spans="9:40" x14ac:dyDescent="0.45">
      <c r="I80" t="s">
        <v>159</v>
      </c>
      <c r="J80" t="s">
        <v>281</v>
      </c>
      <c r="K80">
        <v>8.8312169482660798E-4</v>
      </c>
      <c r="L80" t="s">
        <v>161</v>
      </c>
      <c r="N80" t="s">
        <v>195</v>
      </c>
      <c r="O80" t="s">
        <v>281</v>
      </c>
      <c r="P80">
        <v>9.8583920677667572E-4</v>
      </c>
      <c r="Q80" t="s">
        <v>161</v>
      </c>
      <c r="S80" t="s">
        <v>217</v>
      </c>
      <c r="T80" t="s">
        <v>281</v>
      </c>
      <c r="U80">
        <v>9.6259312662638275E-4</v>
      </c>
      <c r="V80" t="s">
        <v>161</v>
      </c>
      <c r="X80">
        <v>5.7077625570776253E-4</v>
      </c>
      <c r="Y80">
        <v>1.1104757642808013E-3</v>
      </c>
      <c r="Z80" t="s">
        <v>281</v>
      </c>
      <c r="AA80" t="s">
        <v>25</v>
      </c>
      <c r="AC80" t="s">
        <v>22</v>
      </c>
      <c r="AD80" t="s">
        <v>281</v>
      </c>
      <c r="AE80">
        <v>7.1186673181352245E-4</v>
      </c>
      <c r="AG80" t="s">
        <v>100</v>
      </c>
      <c r="AH80" t="s">
        <v>281</v>
      </c>
      <c r="AI80">
        <v>4.7588728737557151E-2</v>
      </c>
      <c r="AK80">
        <v>2030</v>
      </c>
      <c r="AL80" t="s">
        <v>241</v>
      </c>
      <c r="AM80">
        <v>0.26619999999999999</v>
      </c>
      <c r="AN80" t="s">
        <v>236</v>
      </c>
    </row>
    <row r="81" spans="9:40" x14ac:dyDescent="0.45">
      <c r="I81" t="s">
        <v>159</v>
      </c>
      <c r="J81" t="s">
        <v>282</v>
      </c>
      <c r="K81">
        <v>0</v>
      </c>
      <c r="L81" t="s">
        <v>161</v>
      </c>
      <c r="N81" t="s">
        <v>195</v>
      </c>
      <c r="O81" t="s">
        <v>282</v>
      </c>
      <c r="P81">
        <v>1.010683798705703E-3</v>
      </c>
      <c r="Q81" t="s">
        <v>161</v>
      </c>
      <c r="S81" t="s">
        <v>217</v>
      </c>
      <c r="T81" t="s">
        <v>282</v>
      </c>
      <c r="U81">
        <v>9.4144258005468572E-4</v>
      </c>
      <c r="V81" t="s">
        <v>161</v>
      </c>
      <c r="X81">
        <v>5.7077625570776253E-4</v>
      </c>
      <c r="Y81">
        <v>1.1104757642808013E-3</v>
      </c>
      <c r="Z81" t="s">
        <v>282</v>
      </c>
      <c r="AA81" t="s">
        <v>25</v>
      </c>
      <c r="AC81" t="s">
        <v>22</v>
      </c>
      <c r="AD81" t="s">
        <v>282</v>
      </c>
      <c r="AE81">
        <v>7.1534924856460043E-4</v>
      </c>
      <c r="AG81" t="s">
        <v>100</v>
      </c>
      <c r="AH81" t="s">
        <v>282</v>
      </c>
      <c r="AI81">
        <v>4.6309721114160096E-2</v>
      </c>
      <c r="AK81">
        <v>2030</v>
      </c>
      <c r="AL81" t="s">
        <v>264</v>
      </c>
      <c r="AM81">
        <v>0.27739999999999998</v>
      </c>
      <c r="AN81" t="s">
        <v>236</v>
      </c>
    </row>
    <row r="82" spans="9:40" x14ac:dyDescent="0.45">
      <c r="I82" t="s">
        <v>159</v>
      </c>
      <c r="J82" t="s">
        <v>283</v>
      </c>
      <c r="K82">
        <v>0</v>
      </c>
      <c r="L82" t="s">
        <v>161</v>
      </c>
      <c r="N82" t="s">
        <v>195</v>
      </c>
      <c r="O82" t="s">
        <v>283</v>
      </c>
      <c r="P82">
        <v>6.6008137136589762E-3</v>
      </c>
      <c r="Q82" t="s">
        <v>161</v>
      </c>
      <c r="S82" t="s">
        <v>217</v>
      </c>
      <c r="T82" t="s">
        <v>283</v>
      </c>
      <c r="U82">
        <v>5.857101071211129E-3</v>
      </c>
      <c r="V82" t="s">
        <v>161</v>
      </c>
      <c r="X82">
        <v>3.4246575342465752E-3</v>
      </c>
      <c r="Y82">
        <v>3.0165162552105349E-3</v>
      </c>
      <c r="Z82" t="s">
        <v>283</v>
      </c>
      <c r="AA82" t="s">
        <v>25</v>
      </c>
      <c r="AC82" t="s">
        <v>22</v>
      </c>
      <c r="AD82" t="s">
        <v>283</v>
      </c>
      <c r="AE82">
        <v>3.7040517575183478E-3</v>
      </c>
      <c r="AG82" t="s">
        <v>100</v>
      </c>
      <c r="AH82" t="s">
        <v>283</v>
      </c>
      <c r="AI82">
        <v>0.14579726853254882</v>
      </c>
      <c r="AK82">
        <v>2030</v>
      </c>
      <c r="AL82" t="s">
        <v>265</v>
      </c>
      <c r="AM82">
        <v>0.27739999999999998</v>
      </c>
      <c r="AN82" t="s">
        <v>236</v>
      </c>
    </row>
    <row r="83" spans="9:40" x14ac:dyDescent="0.45">
      <c r="I83" t="s">
        <v>173</v>
      </c>
      <c r="J83" t="s">
        <v>160</v>
      </c>
      <c r="K83">
        <v>0</v>
      </c>
      <c r="L83" t="s">
        <v>161</v>
      </c>
      <c r="N83" t="s">
        <v>196</v>
      </c>
      <c r="O83" t="s">
        <v>160</v>
      </c>
      <c r="P83">
        <v>6.9492301151520691E-2</v>
      </c>
      <c r="Q83" t="s">
        <v>161</v>
      </c>
      <c r="S83" t="s">
        <v>218</v>
      </c>
      <c r="T83" t="s">
        <v>160</v>
      </c>
      <c r="U83">
        <v>7.0031453304399582E-2</v>
      </c>
      <c r="V83" t="s">
        <v>161</v>
      </c>
      <c r="AC83" t="s">
        <v>19</v>
      </c>
      <c r="AD83" t="s">
        <v>160</v>
      </c>
      <c r="AE83">
        <v>6.5899147347704523E-2</v>
      </c>
      <c r="AK83">
        <v>2031</v>
      </c>
      <c r="AL83" t="s">
        <v>149</v>
      </c>
      <c r="AM83">
        <v>0.29723333333333329</v>
      </c>
      <c r="AN83" t="s">
        <v>236</v>
      </c>
    </row>
    <row r="84" spans="9:40" x14ac:dyDescent="0.45">
      <c r="I84" t="s">
        <v>173</v>
      </c>
      <c r="J84" t="s">
        <v>162</v>
      </c>
      <c r="K84">
        <v>2.1976158083596349E-3</v>
      </c>
      <c r="L84" t="s">
        <v>161</v>
      </c>
      <c r="N84" t="s">
        <v>196</v>
      </c>
      <c r="O84" t="s">
        <v>162</v>
      </c>
      <c r="P84">
        <v>8.6751366215441269E-3</v>
      </c>
      <c r="Q84" t="s">
        <v>161</v>
      </c>
      <c r="S84" t="s">
        <v>218</v>
      </c>
      <c r="T84" t="s">
        <v>162</v>
      </c>
      <c r="U84">
        <v>8.7366473773475024E-3</v>
      </c>
      <c r="V84" t="s">
        <v>161</v>
      </c>
      <c r="AC84" t="s">
        <v>19</v>
      </c>
      <c r="AD84" t="s">
        <v>162</v>
      </c>
      <c r="AE84">
        <v>8.4214115114295794E-3</v>
      </c>
      <c r="AK84">
        <v>2031</v>
      </c>
      <c r="AL84" t="s">
        <v>153</v>
      </c>
      <c r="AM84">
        <v>0.33565</v>
      </c>
      <c r="AN84" t="s">
        <v>236</v>
      </c>
    </row>
    <row r="85" spans="9:40" x14ac:dyDescent="0.45">
      <c r="I85" t="s">
        <v>173</v>
      </c>
      <c r="J85" t="s">
        <v>163</v>
      </c>
      <c r="K85">
        <v>9.0277509793292576E-2</v>
      </c>
      <c r="L85" t="s">
        <v>161</v>
      </c>
      <c r="N85" t="s">
        <v>196</v>
      </c>
      <c r="O85" t="s">
        <v>163</v>
      </c>
      <c r="P85">
        <v>5.804492709359297E-2</v>
      </c>
      <c r="Q85" t="s">
        <v>161</v>
      </c>
      <c r="S85" t="s">
        <v>218</v>
      </c>
      <c r="T85" t="s">
        <v>163</v>
      </c>
      <c r="U85">
        <v>6.1495466741859656E-2</v>
      </c>
      <c r="V85" t="s">
        <v>161</v>
      </c>
      <c r="AC85" t="s">
        <v>19</v>
      </c>
      <c r="AD85" t="s">
        <v>163</v>
      </c>
      <c r="AE85">
        <v>5.8953699371865842E-2</v>
      </c>
      <c r="AK85">
        <v>2031</v>
      </c>
      <c r="AL85" t="s">
        <v>155</v>
      </c>
      <c r="AM85">
        <v>0.38905000000000001</v>
      </c>
      <c r="AN85" t="s">
        <v>236</v>
      </c>
    </row>
    <row r="86" spans="9:40" x14ac:dyDescent="0.45">
      <c r="I86" t="s">
        <v>173</v>
      </c>
      <c r="J86" t="s">
        <v>242</v>
      </c>
      <c r="K86">
        <v>1.0202656801866231E-2</v>
      </c>
      <c r="L86" t="s">
        <v>161</v>
      </c>
      <c r="N86" t="s">
        <v>196</v>
      </c>
      <c r="O86" t="s">
        <v>242</v>
      </c>
      <c r="P86">
        <v>8.3279328613036305E-3</v>
      </c>
      <c r="Q86" t="s">
        <v>161</v>
      </c>
      <c r="S86" t="s">
        <v>218</v>
      </c>
      <c r="T86" t="s">
        <v>242</v>
      </c>
      <c r="U86">
        <v>8.9669128154702144E-3</v>
      </c>
      <c r="V86" t="s">
        <v>161</v>
      </c>
      <c r="AC86" t="s">
        <v>19</v>
      </c>
      <c r="AD86" t="s">
        <v>242</v>
      </c>
      <c r="AE86">
        <v>8.4355040748875735E-3</v>
      </c>
      <c r="AK86">
        <v>2031</v>
      </c>
      <c r="AL86" t="s">
        <v>157</v>
      </c>
      <c r="AM86">
        <v>0.35093333333333332</v>
      </c>
      <c r="AN86" t="s">
        <v>236</v>
      </c>
    </row>
    <row r="87" spans="9:40" x14ac:dyDescent="0.45">
      <c r="I87" t="s">
        <v>173</v>
      </c>
      <c r="J87" t="s">
        <v>243</v>
      </c>
      <c r="K87">
        <v>6.0697360546577593E-3</v>
      </c>
      <c r="L87" t="s">
        <v>161</v>
      </c>
      <c r="N87" t="s">
        <v>196</v>
      </c>
      <c r="O87" t="s">
        <v>243</v>
      </c>
      <c r="P87">
        <v>8.5058842523620982E-3</v>
      </c>
      <c r="Q87" t="s">
        <v>161</v>
      </c>
      <c r="S87" t="s">
        <v>218</v>
      </c>
      <c r="T87" t="s">
        <v>243</v>
      </c>
      <c r="U87">
        <v>9.1163503116045291E-3</v>
      </c>
      <c r="V87" t="s">
        <v>161</v>
      </c>
      <c r="AC87" t="s">
        <v>19</v>
      </c>
      <c r="AD87" t="s">
        <v>243</v>
      </c>
      <c r="AE87">
        <v>8.439981029737172E-3</v>
      </c>
      <c r="AK87">
        <v>2031</v>
      </c>
      <c r="AL87" t="s">
        <v>239</v>
      </c>
      <c r="AM87">
        <v>0.28260000000000002</v>
      </c>
      <c r="AN87" t="s">
        <v>236</v>
      </c>
    </row>
    <row r="88" spans="9:40" x14ac:dyDescent="0.45">
      <c r="I88" t="s">
        <v>173</v>
      </c>
      <c r="J88" t="s">
        <v>266</v>
      </c>
      <c r="K88">
        <v>2.0691065523652788E-3</v>
      </c>
      <c r="L88" t="s">
        <v>161</v>
      </c>
      <c r="N88" t="s">
        <v>196</v>
      </c>
      <c r="O88" t="s">
        <v>266</v>
      </c>
      <c r="P88">
        <v>5.2934075958482069E-2</v>
      </c>
      <c r="Q88" t="s">
        <v>161</v>
      </c>
      <c r="S88" t="s">
        <v>218</v>
      </c>
      <c r="T88" t="s">
        <v>266</v>
      </c>
      <c r="U88">
        <v>5.45631996757985E-2</v>
      </c>
      <c r="V88" t="s">
        <v>161</v>
      </c>
      <c r="AC88" t="s">
        <v>19</v>
      </c>
      <c r="AD88" t="s">
        <v>266</v>
      </c>
      <c r="AE88">
        <v>5.0102966614654937E-2</v>
      </c>
      <c r="AK88">
        <v>2031</v>
      </c>
      <c r="AL88" t="s">
        <v>241</v>
      </c>
      <c r="AM88">
        <v>0.29385</v>
      </c>
      <c r="AN88" t="s">
        <v>236</v>
      </c>
    </row>
    <row r="89" spans="9:40" x14ac:dyDescent="0.45">
      <c r="I89" t="s">
        <v>173</v>
      </c>
      <c r="J89" t="s">
        <v>311</v>
      </c>
      <c r="K89">
        <v>0</v>
      </c>
      <c r="L89" t="s">
        <v>161</v>
      </c>
      <c r="N89" t="s">
        <v>196</v>
      </c>
      <c r="O89" t="s">
        <v>311</v>
      </c>
      <c r="P89">
        <v>1.7641430939855886E-6</v>
      </c>
      <c r="Q89" t="s">
        <v>161</v>
      </c>
      <c r="S89" t="s">
        <v>218</v>
      </c>
      <c r="T89" t="s">
        <v>311</v>
      </c>
      <c r="U89">
        <v>5.7307543010221833E-6</v>
      </c>
      <c r="V89" t="s">
        <v>161</v>
      </c>
      <c r="AC89" t="s">
        <v>19</v>
      </c>
      <c r="AD89" t="s">
        <v>311</v>
      </c>
      <c r="AE89">
        <v>1.1164855049842243E-4</v>
      </c>
      <c r="AK89">
        <v>2031</v>
      </c>
      <c r="AL89" t="s">
        <v>264</v>
      </c>
      <c r="AM89">
        <v>0.3281</v>
      </c>
      <c r="AN89" t="s">
        <v>236</v>
      </c>
    </row>
    <row r="90" spans="9:40" x14ac:dyDescent="0.45">
      <c r="I90" t="s">
        <v>173</v>
      </c>
      <c r="J90" t="s">
        <v>312</v>
      </c>
      <c r="K90">
        <v>0</v>
      </c>
      <c r="L90" t="s">
        <v>161</v>
      </c>
      <c r="N90" t="s">
        <v>196</v>
      </c>
      <c r="O90" t="s">
        <v>312</v>
      </c>
      <c r="P90">
        <v>2.6048124205467955E-6</v>
      </c>
      <c r="Q90" t="s">
        <v>161</v>
      </c>
      <c r="S90" t="s">
        <v>218</v>
      </c>
      <c r="T90" t="s">
        <v>312</v>
      </c>
      <c r="U90">
        <v>4.4314346534897306E-6</v>
      </c>
      <c r="V90" t="s">
        <v>161</v>
      </c>
      <c r="AC90" t="s">
        <v>19</v>
      </c>
      <c r="AD90" t="s">
        <v>312</v>
      </c>
      <c r="AE90">
        <v>1.1151948947726906E-4</v>
      </c>
      <c r="AK90">
        <v>2031</v>
      </c>
      <c r="AL90" t="s">
        <v>265</v>
      </c>
      <c r="AM90">
        <v>0.3281</v>
      </c>
      <c r="AN90" t="s">
        <v>236</v>
      </c>
    </row>
    <row r="91" spans="9:40" x14ac:dyDescent="0.45">
      <c r="I91" t="s">
        <v>173</v>
      </c>
      <c r="J91" t="s">
        <v>313</v>
      </c>
      <c r="K91">
        <v>0</v>
      </c>
      <c r="L91" t="s">
        <v>161</v>
      </c>
      <c r="N91" t="s">
        <v>196</v>
      </c>
      <c r="O91" t="s">
        <v>313</v>
      </c>
      <c r="P91">
        <v>2.7370990918032221E-6</v>
      </c>
      <c r="Q91" t="s">
        <v>161</v>
      </c>
      <c r="S91" t="s">
        <v>218</v>
      </c>
      <c r="T91" t="s">
        <v>313</v>
      </c>
      <c r="U91">
        <v>4.6719514592074686E-6</v>
      </c>
      <c r="V91" t="s">
        <v>161</v>
      </c>
      <c r="AC91" t="s">
        <v>19</v>
      </c>
      <c r="AD91" t="s">
        <v>313</v>
      </c>
      <c r="AE91">
        <v>1.1146628997788954E-4</v>
      </c>
      <c r="AK91">
        <v>2032</v>
      </c>
      <c r="AL91" t="s">
        <v>149</v>
      </c>
      <c r="AM91">
        <v>0.37376666666666664</v>
      </c>
      <c r="AN91" t="s">
        <v>236</v>
      </c>
    </row>
    <row r="92" spans="9:40" x14ac:dyDescent="0.45">
      <c r="I92" t="s">
        <v>173</v>
      </c>
      <c r="J92" t="s">
        <v>314</v>
      </c>
      <c r="K92">
        <v>0</v>
      </c>
      <c r="L92" t="s">
        <v>161</v>
      </c>
      <c r="N92" t="s">
        <v>196</v>
      </c>
      <c r="O92" t="s">
        <v>314</v>
      </c>
      <c r="P92">
        <v>4.8393375335838387E-6</v>
      </c>
      <c r="Q92" t="s">
        <v>161</v>
      </c>
      <c r="S92" t="s">
        <v>218</v>
      </c>
      <c r="T92" t="s">
        <v>314</v>
      </c>
      <c r="U92">
        <v>3.8099043991883502E-6</v>
      </c>
      <c r="V92" t="s">
        <v>161</v>
      </c>
      <c r="AC92" t="s">
        <v>19</v>
      </c>
      <c r="AD92" t="s">
        <v>314</v>
      </c>
      <c r="AE92">
        <v>1.1146628997788954E-4</v>
      </c>
      <c r="AK92">
        <v>2032</v>
      </c>
      <c r="AL92" t="s">
        <v>153</v>
      </c>
      <c r="AM92">
        <v>0.36985000000000001</v>
      </c>
      <c r="AN92" t="s">
        <v>236</v>
      </c>
    </row>
    <row r="93" spans="9:40" x14ac:dyDescent="0.45">
      <c r="I93" t="s">
        <v>173</v>
      </c>
      <c r="J93" t="s">
        <v>315</v>
      </c>
      <c r="K93">
        <v>0</v>
      </c>
      <c r="L93" t="s">
        <v>161</v>
      </c>
      <c r="N93" t="s">
        <v>196</v>
      </c>
      <c r="O93" t="s">
        <v>315</v>
      </c>
      <c r="P93">
        <v>6.0398954346510419E-6</v>
      </c>
      <c r="Q93" t="s">
        <v>161</v>
      </c>
      <c r="S93" t="s">
        <v>218</v>
      </c>
      <c r="T93" t="s">
        <v>315</v>
      </c>
      <c r="U93">
        <v>1.603442864305614E-6</v>
      </c>
      <c r="V93" t="s">
        <v>161</v>
      </c>
      <c r="AC93" t="s">
        <v>19</v>
      </c>
      <c r="AD93" t="s">
        <v>315</v>
      </c>
      <c r="AE93">
        <v>1.115710817410178E-4</v>
      </c>
      <c r="AK93">
        <v>2032</v>
      </c>
      <c r="AL93" t="s">
        <v>155</v>
      </c>
      <c r="AM93">
        <v>0.41910000000000003</v>
      </c>
      <c r="AN93" t="s">
        <v>236</v>
      </c>
    </row>
    <row r="94" spans="9:40" x14ac:dyDescent="0.45">
      <c r="I94" t="s">
        <v>173</v>
      </c>
      <c r="J94" t="s">
        <v>316</v>
      </c>
      <c r="K94">
        <v>0</v>
      </c>
      <c r="L94" t="s">
        <v>161</v>
      </c>
      <c r="N94" t="s">
        <v>196</v>
      </c>
      <c r="O94" t="s">
        <v>316</v>
      </c>
      <c r="P94">
        <v>8.6961226406389733E-6</v>
      </c>
      <c r="Q94" t="s">
        <v>161</v>
      </c>
      <c r="S94" t="s">
        <v>218</v>
      </c>
      <c r="T94" t="s">
        <v>316</v>
      </c>
      <c r="U94">
        <v>8.654083632385121E-8</v>
      </c>
      <c r="V94" t="s">
        <v>161</v>
      </c>
      <c r="AC94" t="s">
        <v>19</v>
      </c>
      <c r="AD94" t="s">
        <v>316</v>
      </c>
      <c r="AE94">
        <v>1.1189622550912895E-4</v>
      </c>
      <c r="AK94">
        <v>2032</v>
      </c>
      <c r="AL94" t="s">
        <v>157</v>
      </c>
      <c r="AM94">
        <v>0.40940000000000004</v>
      </c>
      <c r="AN94" t="s">
        <v>236</v>
      </c>
    </row>
    <row r="95" spans="9:40" x14ac:dyDescent="0.45">
      <c r="I95" t="s">
        <v>173</v>
      </c>
      <c r="J95" t="s">
        <v>317</v>
      </c>
      <c r="K95">
        <v>0</v>
      </c>
      <c r="L95" t="s">
        <v>161</v>
      </c>
      <c r="N95" t="s">
        <v>196</v>
      </c>
      <c r="O95" t="s">
        <v>317</v>
      </c>
      <c r="P95">
        <v>8.4439972996271402E-6</v>
      </c>
      <c r="Q95" t="s">
        <v>161</v>
      </c>
      <c r="S95" t="s">
        <v>218</v>
      </c>
      <c r="T95" t="s">
        <v>317</v>
      </c>
      <c r="U95">
        <v>4.3898027136827543E-7</v>
      </c>
      <c r="V95" t="s">
        <v>161</v>
      </c>
      <c r="AC95" t="s">
        <v>19</v>
      </c>
      <c r="AD95" t="s">
        <v>317</v>
      </c>
      <c r="AE95">
        <v>1.1267653840788311E-4</v>
      </c>
      <c r="AK95">
        <v>2032</v>
      </c>
      <c r="AL95" t="s">
        <v>239</v>
      </c>
      <c r="AM95">
        <v>0.36769999999999997</v>
      </c>
      <c r="AN95" t="s">
        <v>236</v>
      </c>
    </row>
    <row r="96" spans="9:40" x14ac:dyDescent="0.45">
      <c r="I96" t="s">
        <v>173</v>
      </c>
      <c r="J96" t="s">
        <v>318</v>
      </c>
      <c r="K96">
        <v>0</v>
      </c>
      <c r="L96" t="s">
        <v>161</v>
      </c>
      <c r="N96" t="s">
        <v>196</v>
      </c>
      <c r="O96" t="s">
        <v>318</v>
      </c>
      <c r="P96">
        <v>1.2820324019838729E-5</v>
      </c>
      <c r="Q96" t="s">
        <v>161</v>
      </c>
      <c r="S96" t="s">
        <v>218</v>
      </c>
      <c r="T96" t="s">
        <v>318</v>
      </c>
      <c r="U96">
        <v>6.4498837469776683E-7</v>
      </c>
      <c r="V96" t="s">
        <v>161</v>
      </c>
      <c r="AC96" t="s">
        <v>19</v>
      </c>
      <c r="AD96" t="s">
        <v>318</v>
      </c>
      <c r="AE96">
        <v>1.1351744408991848E-4</v>
      </c>
      <c r="AK96">
        <v>2032</v>
      </c>
      <c r="AL96" t="s">
        <v>241</v>
      </c>
      <c r="AM96">
        <v>0.33655000000000002</v>
      </c>
      <c r="AN96" t="s">
        <v>236</v>
      </c>
    </row>
    <row r="97" spans="9:40" x14ac:dyDescent="0.45">
      <c r="I97" t="s">
        <v>173</v>
      </c>
      <c r="J97" t="s">
        <v>319</v>
      </c>
      <c r="K97">
        <v>4.9877265813872619E-5</v>
      </c>
      <c r="L97" t="s">
        <v>161</v>
      </c>
      <c r="N97" t="s">
        <v>196</v>
      </c>
      <c r="O97" t="s">
        <v>319</v>
      </c>
      <c r="P97">
        <v>1.2269406141843203E-5</v>
      </c>
      <c r="Q97" t="s">
        <v>161</v>
      </c>
      <c r="S97" t="s">
        <v>218</v>
      </c>
      <c r="T97" t="s">
        <v>319</v>
      </c>
      <c r="U97">
        <v>6.5013994503523846E-7</v>
      </c>
      <c r="V97" t="s">
        <v>161</v>
      </c>
      <c r="AC97" t="s">
        <v>19</v>
      </c>
      <c r="AD97" t="s">
        <v>319</v>
      </c>
      <c r="AE97">
        <v>1.1404140290555979E-4</v>
      </c>
      <c r="AK97">
        <v>2032</v>
      </c>
      <c r="AL97" t="s">
        <v>264</v>
      </c>
      <c r="AM97">
        <v>0.33439999999999998</v>
      </c>
      <c r="AN97" t="s">
        <v>236</v>
      </c>
    </row>
    <row r="98" spans="9:40" x14ac:dyDescent="0.45">
      <c r="I98" t="s">
        <v>173</v>
      </c>
      <c r="J98" t="s">
        <v>320</v>
      </c>
      <c r="K98">
        <v>9.9087012846486348E-5</v>
      </c>
      <c r="L98" t="s">
        <v>161</v>
      </c>
      <c r="N98" t="s">
        <v>196</v>
      </c>
      <c r="O98" t="s">
        <v>320</v>
      </c>
      <c r="P98">
        <v>1.0309561975488796E-5</v>
      </c>
      <c r="Q98" t="s">
        <v>161</v>
      </c>
      <c r="S98" t="s">
        <v>218</v>
      </c>
      <c r="T98" t="s">
        <v>320</v>
      </c>
      <c r="U98">
        <v>6.6761528496992095E-7</v>
      </c>
      <c r="V98" t="s">
        <v>161</v>
      </c>
      <c r="AC98" t="s">
        <v>19</v>
      </c>
      <c r="AD98" t="s">
        <v>320</v>
      </c>
      <c r="AE98">
        <v>1.1435529602425532E-4</v>
      </c>
      <c r="AK98">
        <v>2032</v>
      </c>
      <c r="AL98" t="s">
        <v>265</v>
      </c>
      <c r="AM98">
        <v>0.33439999999999998</v>
      </c>
      <c r="AN98" t="s">
        <v>236</v>
      </c>
    </row>
    <row r="99" spans="9:40" x14ac:dyDescent="0.45">
      <c r="I99" t="s">
        <v>173</v>
      </c>
      <c r="J99" t="s">
        <v>321</v>
      </c>
      <c r="K99">
        <v>8.810114523231954E-5</v>
      </c>
      <c r="L99" t="s">
        <v>161</v>
      </c>
      <c r="N99" t="s">
        <v>196</v>
      </c>
      <c r="O99" t="s">
        <v>321</v>
      </c>
      <c r="P99">
        <v>8.671370758756301E-6</v>
      </c>
      <c r="Q99" t="s">
        <v>161</v>
      </c>
      <c r="S99" t="s">
        <v>218</v>
      </c>
      <c r="T99" t="s">
        <v>321</v>
      </c>
      <c r="U99">
        <v>4.4216379533515721E-7</v>
      </c>
      <c r="V99" t="s">
        <v>161</v>
      </c>
      <c r="AC99" t="s">
        <v>19</v>
      </c>
      <c r="AD99" t="s">
        <v>321</v>
      </c>
      <c r="AE99">
        <v>1.1433890222082114E-4</v>
      </c>
      <c r="AK99">
        <v>2033</v>
      </c>
      <c r="AL99" t="s">
        <v>149</v>
      </c>
      <c r="AM99">
        <v>0.36050000000000004</v>
      </c>
      <c r="AN99" t="s">
        <v>236</v>
      </c>
    </row>
    <row r="100" spans="9:40" x14ac:dyDescent="0.45">
      <c r="I100" t="s">
        <v>173</v>
      </c>
      <c r="J100" t="s">
        <v>322</v>
      </c>
      <c r="K100">
        <v>1.464162912390328E-4</v>
      </c>
      <c r="L100" t="s">
        <v>161</v>
      </c>
      <c r="N100" t="s">
        <v>196</v>
      </c>
      <c r="O100" t="s">
        <v>322</v>
      </c>
      <c r="P100">
        <v>2.5431289750688958E-5</v>
      </c>
      <c r="Q100" t="s">
        <v>161</v>
      </c>
      <c r="S100" t="s">
        <v>218</v>
      </c>
      <c r="T100" t="s">
        <v>322</v>
      </c>
      <c r="U100">
        <v>0</v>
      </c>
      <c r="V100" t="s">
        <v>161</v>
      </c>
      <c r="AC100" t="s">
        <v>19</v>
      </c>
      <c r="AD100" t="s">
        <v>322</v>
      </c>
      <c r="AE100">
        <v>1.1432990170128866E-4</v>
      </c>
      <c r="AK100">
        <v>2033</v>
      </c>
      <c r="AL100" t="s">
        <v>153</v>
      </c>
      <c r="AM100">
        <v>0.38885000000000003</v>
      </c>
      <c r="AN100" t="s">
        <v>236</v>
      </c>
    </row>
    <row r="101" spans="9:40" x14ac:dyDescent="0.45">
      <c r="I101" t="s">
        <v>173</v>
      </c>
      <c r="J101" t="s">
        <v>323</v>
      </c>
      <c r="K101">
        <v>1.7161993551674924E-4</v>
      </c>
      <c r="L101" t="s">
        <v>161</v>
      </c>
      <c r="N101" t="s">
        <v>196</v>
      </c>
      <c r="O101" t="s">
        <v>323</v>
      </c>
      <c r="P101">
        <v>2.0309581832023765E-5</v>
      </c>
      <c r="Q101" t="s">
        <v>161</v>
      </c>
      <c r="S101" t="s">
        <v>218</v>
      </c>
      <c r="T101" t="s">
        <v>323</v>
      </c>
      <c r="U101">
        <v>0</v>
      </c>
      <c r="V101" t="s">
        <v>161</v>
      </c>
      <c r="AC101" t="s">
        <v>19</v>
      </c>
      <c r="AD101" t="s">
        <v>323</v>
      </c>
      <c r="AE101">
        <v>1.1423378901056674E-4</v>
      </c>
      <c r="AK101">
        <v>2033</v>
      </c>
      <c r="AL101" t="s">
        <v>155</v>
      </c>
      <c r="AM101">
        <v>0.44764999999999999</v>
      </c>
      <c r="AN101" t="s">
        <v>236</v>
      </c>
    </row>
    <row r="102" spans="9:40" x14ac:dyDescent="0.45">
      <c r="I102" t="s">
        <v>173</v>
      </c>
      <c r="J102" t="s">
        <v>324</v>
      </c>
      <c r="K102">
        <v>1.9373961335688501E-4</v>
      </c>
      <c r="L102" t="s">
        <v>161</v>
      </c>
      <c r="N102" t="s">
        <v>196</v>
      </c>
      <c r="O102" t="s">
        <v>324</v>
      </c>
      <c r="P102">
        <v>1.0839835832568953E-5</v>
      </c>
      <c r="Q102" t="s">
        <v>161</v>
      </c>
      <c r="S102" t="s">
        <v>218</v>
      </c>
      <c r="T102" t="s">
        <v>324</v>
      </c>
      <c r="U102">
        <v>0</v>
      </c>
      <c r="V102" t="s">
        <v>161</v>
      </c>
      <c r="AC102" t="s">
        <v>19</v>
      </c>
      <c r="AD102" t="s">
        <v>324</v>
      </c>
      <c r="AE102">
        <v>1.1420743034622159E-4</v>
      </c>
      <c r="AK102">
        <v>2033</v>
      </c>
      <c r="AL102" t="s">
        <v>157</v>
      </c>
      <c r="AM102">
        <v>0.4123666666666666</v>
      </c>
      <c r="AN102" t="s">
        <v>236</v>
      </c>
    </row>
    <row r="103" spans="9:40" x14ac:dyDescent="0.45">
      <c r="I103" t="s">
        <v>173</v>
      </c>
      <c r="J103" t="s">
        <v>325</v>
      </c>
      <c r="K103">
        <v>2.284216218042636E-4</v>
      </c>
      <c r="L103" t="s">
        <v>161</v>
      </c>
      <c r="N103" t="s">
        <v>196</v>
      </c>
      <c r="O103" t="s">
        <v>325</v>
      </c>
      <c r="P103">
        <v>6.8095956898472074E-6</v>
      </c>
      <c r="Q103" t="s">
        <v>161</v>
      </c>
      <c r="S103" t="s">
        <v>218</v>
      </c>
      <c r="T103" t="s">
        <v>325</v>
      </c>
      <c r="U103">
        <v>0</v>
      </c>
      <c r="V103" t="s">
        <v>161</v>
      </c>
      <c r="AC103" t="s">
        <v>19</v>
      </c>
      <c r="AD103" t="s">
        <v>325</v>
      </c>
      <c r="AE103">
        <v>1.141651600491315E-4</v>
      </c>
      <c r="AK103">
        <v>2033</v>
      </c>
      <c r="AL103" t="s">
        <v>239</v>
      </c>
      <c r="AM103">
        <v>0.35426666666666667</v>
      </c>
      <c r="AN103" t="s">
        <v>236</v>
      </c>
    </row>
    <row r="104" spans="9:40" x14ac:dyDescent="0.45">
      <c r="I104" t="s">
        <v>173</v>
      </c>
      <c r="J104" t="s">
        <v>326</v>
      </c>
      <c r="K104">
        <v>1.521046939719981E-4</v>
      </c>
      <c r="L104" t="s">
        <v>161</v>
      </c>
      <c r="N104" t="s">
        <v>196</v>
      </c>
      <c r="O104" t="s">
        <v>326</v>
      </c>
      <c r="P104">
        <v>6.3781677430980946E-6</v>
      </c>
      <c r="Q104" t="s">
        <v>161</v>
      </c>
      <c r="S104" t="s">
        <v>218</v>
      </c>
      <c r="T104" t="s">
        <v>326</v>
      </c>
      <c r="U104">
        <v>0</v>
      </c>
      <c r="V104" t="s">
        <v>161</v>
      </c>
      <c r="AC104" t="s">
        <v>19</v>
      </c>
      <c r="AD104" t="s">
        <v>326</v>
      </c>
      <c r="AE104">
        <v>1.1435834977195385E-4</v>
      </c>
      <c r="AK104">
        <v>2033</v>
      </c>
      <c r="AL104" t="s">
        <v>241</v>
      </c>
      <c r="AM104">
        <v>0.34389999999999998</v>
      </c>
      <c r="AN104" t="s">
        <v>236</v>
      </c>
    </row>
    <row r="105" spans="9:40" x14ac:dyDescent="0.45">
      <c r="I105" t="s">
        <v>173</v>
      </c>
      <c r="J105" t="s">
        <v>327</v>
      </c>
      <c r="K105">
        <v>1.4920746784193392E-4</v>
      </c>
      <c r="L105" t="s">
        <v>161</v>
      </c>
      <c r="N105" t="s">
        <v>196</v>
      </c>
      <c r="O105" t="s">
        <v>327</v>
      </c>
      <c r="P105">
        <v>8.1966622410335522E-6</v>
      </c>
      <c r="Q105" t="s">
        <v>161</v>
      </c>
      <c r="S105" t="s">
        <v>218</v>
      </c>
      <c r="T105" t="s">
        <v>327</v>
      </c>
      <c r="U105">
        <v>0</v>
      </c>
      <c r="V105" t="s">
        <v>161</v>
      </c>
      <c r="AC105" t="s">
        <v>19</v>
      </c>
      <c r="AD105" t="s">
        <v>327</v>
      </c>
      <c r="AE105">
        <v>1.1474087185208462E-4</v>
      </c>
      <c r="AK105">
        <v>2033</v>
      </c>
      <c r="AL105" t="s">
        <v>264</v>
      </c>
      <c r="AM105">
        <v>0.33360000000000001</v>
      </c>
      <c r="AN105" t="s">
        <v>236</v>
      </c>
    </row>
    <row r="106" spans="9:40" x14ac:dyDescent="0.45">
      <c r="I106" t="s">
        <v>173</v>
      </c>
      <c r="J106" t="s">
        <v>328</v>
      </c>
      <c r="K106">
        <v>1.0117536181550199E-4</v>
      </c>
      <c r="L106" t="s">
        <v>161</v>
      </c>
      <c r="N106" t="s">
        <v>196</v>
      </c>
      <c r="O106" t="s">
        <v>328</v>
      </c>
      <c r="P106">
        <v>1.6964253440910411E-5</v>
      </c>
      <c r="Q106" t="s">
        <v>161</v>
      </c>
      <c r="S106" t="s">
        <v>218</v>
      </c>
      <c r="T106" t="s">
        <v>328</v>
      </c>
      <c r="U106">
        <v>0</v>
      </c>
      <c r="V106" t="s">
        <v>161</v>
      </c>
      <c r="AC106" t="s">
        <v>19</v>
      </c>
      <c r="AD106" t="s">
        <v>328</v>
      </c>
      <c r="AE106">
        <v>1.1485257472842532E-4</v>
      </c>
      <c r="AK106">
        <v>2033</v>
      </c>
      <c r="AL106" t="s">
        <v>265</v>
      </c>
      <c r="AM106">
        <v>0.33360000000000001</v>
      </c>
      <c r="AN106" t="s">
        <v>236</v>
      </c>
    </row>
    <row r="107" spans="9:40" x14ac:dyDescent="0.45">
      <c r="I107" t="s">
        <v>173</v>
      </c>
      <c r="J107" t="s">
        <v>329</v>
      </c>
      <c r="K107">
        <v>0</v>
      </c>
      <c r="L107" t="s">
        <v>161</v>
      </c>
      <c r="N107" t="s">
        <v>196</v>
      </c>
      <c r="O107" t="s">
        <v>329</v>
      </c>
      <c r="P107">
        <v>2.6753926052768471E-5</v>
      </c>
      <c r="Q107" t="s">
        <v>161</v>
      </c>
      <c r="S107" t="s">
        <v>218</v>
      </c>
      <c r="T107" t="s">
        <v>329</v>
      </c>
      <c r="U107">
        <v>0</v>
      </c>
      <c r="V107" t="s">
        <v>161</v>
      </c>
      <c r="AC107" t="s">
        <v>19</v>
      </c>
      <c r="AD107" t="s">
        <v>329</v>
      </c>
      <c r="AE107">
        <v>1.1484116335544662E-4</v>
      </c>
      <c r="AK107">
        <v>2034</v>
      </c>
      <c r="AL107" t="s">
        <v>149</v>
      </c>
      <c r="AM107">
        <v>0.33800000000000002</v>
      </c>
      <c r="AN107" t="s">
        <v>236</v>
      </c>
    </row>
    <row r="108" spans="9:40" x14ac:dyDescent="0.45">
      <c r="I108" t="s">
        <v>173</v>
      </c>
      <c r="J108" t="s">
        <v>330</v>
      </c>
      <c r="K108">
        <v>0</v>
      </c>
      <c r="L108" t="s">
        <v>161</v>
      </c>
      <c r="N108" t="s">
        <v>196</v>
      </c>
      <c r="O108" t="s">
        <v>330</v>
      </c>
      <c r="P108">
        <v>3.1210185418337037E-5</v>
      </c>
      <c r="Q108" t="s">
        <v>161</v>
      </c>
      <c r="S108" t="s">
        <v>218</v>
      </c>
      <c r="T108" t="s">
        <v>330</v>
      </c>
      <c r="U108">
        <v>0</v>
      </c>
      <c r="V108" t="s">
        <v>161</v>
      </c>
      <c r="AC108" t="s">
        <v>19</v>
      </c>
      <c r="AD108" t="s">
        <v>330</v>
      </c>
      <c r="AE108">
        <v>1.1465408112802132E-4</v>
      </c>
      <c r="AK108">
        <v>2034</v>
      </c>
      <c r="AL108" t="s">
        <v>153</v>
      </c>
      <c r="AM108">
        <v>0.35309999999999997</v>
      </c>
      <c r="AN108" t="s">
        <v>236</v>
      </c>
    </row>
    <row r="109" spans="9:40" x14ac:dyDescent="0.45">
      <c r="I109" t="s">
        <v>173</v>
      </c>
      <c r="J109" t="s">
        <v>331</v>
      </c>
      <c r="K109">
        <v>0</v>
      </c>
      <c r="L109" t="s">
        <v>161</v>
      </c>
      <c r="N109" t="s">
        <v>196</v>
      </c>
      <c r="O109" t="s">
        <v>331</v>
      </c>
      <c r="P109">
        <v>3.0294450425738589E-5</v>
      </c>
      <c r="Q109" t="s">
        <v>161</v>
      </c>
      <c r="S109" t="s">
        <v>218</v>
      </c>
      <c r="T109" t="s">
        <v>331</v>
      </c>
      <c r="U109">
        <v>0</v>
      </c>
      <c r="V109" t="s">
        <v>161</v>
      </c>
      <c r="AC109" t="s">
        <v>19</v>
      </c>
      <c r="AD109" t="s">
        <v>331</v>
      </c>
      <c r="AE109">
        <v>1.1452196635916944E-4</v>
      </c>
      <c r="AK109">
        <v>2034</v>
      </c>
      <c r="AL109" t="s">
        <v>155</v>
      </c>
      <c r="AM109">
        <v>0.45305000000000001</v>
      </c>
      <c r="AN109" t="s">
        <v>236</v>
      </c>
    </row>
    <row r="110" spans="9:40" x14ac:dyDescent="0.45">
      <c r="I110" t="s">
        <v>173</v>
      </c>
      <c r="J110" t="s">
        <v>332</v>
      </c>
      <c r="K110">
        <v>0</v>
      </c>
      <c r="L110" t="s">
        <v>161</v>
      </c>
      <c r="N110" t="s">
        <v>196</v>
      </c>
      <c r="O110" t="s">
        <v>332</v>
      </c>
      <c r="P110">
        <v>2.9765160583963272E-5</v>
      </c>
      <c r="Q110" t="s">
        <v>161</v>
      </c>
      <c r="S110" t="s">
        <v>218</v>
      </c>
      <c r="T110" t="s">
        <v>332</v>
      </c>
      <c r="U110">
        <v>0</v>
      </c>
      <c r="V110" t="s">
        <v>161</v>
      </c>
      <c r="AC110" t="s">
        <v>19</v>
      </c>
      <c r="AD110" t="s">
        <v>332</v>
      </c>
      <c r="AE110">
        <v>1.1416532077269458E-4</v>
      </c>
      <c r="AK110">
        <v>2034</v>
      </c>
      <c r="AL110" t="s">
        <v>157</v>
      </c>
      <c r="AM110">
        <v>0.41433333333333328</v>
      </c>
      <c r="AN110" t="s">
        <v>236</v>
      </c>
    </row>
    <row r="111" spans="9:40" x14ac:dyDescent="0.45">
      <c r="I111" t="s">
        <v>173</v>
      </c>
      <c r="J111" t="s">
        <v>333</v>
      </c>
      <c r="K111">
        <v>0</v>
      </c>
      <c r="L111" t="s">
        <v>161</v>
      </c>
      <c r="N111" t="s">
        <v>196</v>
      </c>
      <c r="O111" t="s">
        <v>333</v>
      </c>
      <c r="P111">
        <v>2.9307480653759804E-5</v>
      </c>
      <c r="Q111" t="s">
        <v>161</v>
      </c>
      <c r="S111" t="s">
        <v>218</v>
      </c>
      <c r="T111" t="s">
        <v>333</v>
      </c>
      <c r="U111">
        <v>0</v>
      </c>
      <c r="V111" t="s">
        <v>161</v>
      </c>
      <c r="AC111" t="s">
        <v>19</v>
      </c>
      <c r="AD111" t="s">
        <v>333</v>
      </c>
      <c r="AE111">
        <v>1.1391073464877562E-4</v>
      </c>
      <c r="AK111">
        <v>2034</v>
      </c>
      <c r="AL111" t="s">
        <v>239</v>
      </c>
      <c r="AM111">
        <v>0.36840000000000001</v>
      </c>
      <c r="AN111" t="s">
        <v>236</v>
      </c>
    </row>
    <row r="112" spans="9:40" x14ac:dyDescent="0.45">
      <c r="I112" t="s">
        <v>173</v>
      </c>
      <c r="J112" t="s">
        <v>334</v>
      </c>
      <c r="K112">
        <v>0</v>
      </c>
      <c r="L112" t="s">
        <v>161</v>
      </c>
      <c r="N112" t="s">
        <v>196</v>
      </c>
      <c r="O112" t="s">
        <v>334</v>
      </c>
      <c r="P112">
        <v>1.3738012743669602E-5</v>
      </c>
      <c r="Q112" t="s">
        <v>161</v>
      </c>
      <c r="S112" t="s">
        <v>218</v>
      </c>
      <c r="T112" t="s">
        <v>334</v>
      </c>
      <c r="U112">
        <v>0</v>
      </c>
      <c r="V112" t="s">
        <v>161</v>
      </c>
      <c r="AC112" t="s">
        <v>19</v>
      </c>
      <c r="AD112" t="s">
        <v>334</v>
      </c>
      <c r="AE112">
        <v>1.1207414649345868E-4</v>
      </c>
      <c r="AK112">
        <v>2034</v>
      </c>
      <c r="AL112" t="s">
        <v>241</v>
      </c>
      <c r="AM112">
        <v>0.34555000000000002</v>
      </c>
      <c r="AN112" t="s">
        <v>236</v>
      </c>
    </row>
    <row r="113" spans="9:40" x14ac:dyDescent="0.45">
      <c r="I113" t="s">
        <v>173</v>
      </c>
      <c r="J113" t="s">
        <v>164</v>
      </c>
      <c r="K113">
        <v>4.206707957634101E-3</v>
      </c>
      <c r="L113" t="s">
        <v>161</v>
      </c>
      <c r="N113" t="s">
        <v>196</v>
      </c>
      <c r="O113" t="s">
        <v>164</v>
      </c>
      <c r="P113">
        <v>3.598740746530496E-2</v>
      </c>
      <c r="Q113" t="s">
        <v>161</v>
      </c>
      <c r="S113" t="s">
        <v>218</v>
      </c>
      <c r="T113" t="s">
        <v>164</v>
      </c>
      <c r="U113">
        <v>3.6311664239221886E-2</v>
      </c>
      <c r="V113" t="s">
        <v>161</v>
      </c>
      <c r="AC113" t="s">
        <v>19</v>
      </c>
      <c r="AD113" t="s">
        <v>164</v>
      </c>
      <c r="AE113">
        <v>3.4394156082735654E-2</v>
      </c>
      <c r="AK113">
        <v>2034</v>
      </c>
      <c r="AL113" t="s">
        <v>264</v>
      </c>
      <c r="AM113">
        <v>0.34560000000000002</v>
      </c>
      <c r="AN113" t="s">
        <v>236</v>
      </c>
    </row>
    <row r="114" spans="9:40" x14ac:dyDescent="0.45">
      <c r="I114" t="s">
        <v>173</v>
      </c>
      <c r="J114" t="s">
        <v>165</v>
      </c>
      <c r="K114">
        <v>6.7332572499843113E-3</v>
      </c>
      <c r="L114" t="s">
        <v>161</v>
      </c>
      <c r="N114" t="s">
        <v>196</v>
      </c>
      <c r="O114" t="s">
        <v>165</v>
      </c>
      <c r="P114">
        <v>4.5337565343784633E-3</v>
      </c>
      <c r="Q114" t="s">
        <v>161</v>
      </c>
      <c r="S114" t="s">
        <v>218</v>
      </c>
      <c r="T114" t="s">
        <v>165</v>
      </c>
      <c r="U114">
        <v>4.4471168267119264E-3</v>
      </c>
      <c r="V114" t="s">
        <v>161</v>
      </c>
      <c r="AC114" t="s">
        <v>19</v>
      </c>
      <c r="AD114" t="s">
        <v>165</v>
      </c>
      <c r="AE114">
        <v>4.3841218680536033E-3</v>
      </c>
      <c r="AK114">
        <v>2034</v>
      </c>
      <c r="AL114" t="s">
        <v>265</v>
      </c>
      <c r="AM114">
        <v>0.34560000000000002</v>
      </c>
      <c r="AN114" t="s">
        <v>236</v>
      </c>
    </row>
    <row r="115" spans="9:40" x14ac:dyDescent="0.45">
      <c r="I115" t="s">
        <v>173</v>
      </c>
      <c r="J115" t="s">
        <v>166</v>
      </c>
      <c r="K115">
        <v>8.9223702947752892E-2</v>
      </c>
      <c r="L115" t="s">
        <v>161</v>
      </c>
      <c r="N115" t="s">
        <v>196</v>
      </c>
      <c r="O115" t="s">
        <v>166</v>
      </c>
      <c r="P115">
        <v>2.9403180270149262E-2</v>
      </c>
      <c r="Q115" t="s">
        <v>161</v>
      </c>
      <c r="S115" t="s">
        <v>218</v>
      </c>
      <c r="T115" t="s">
        <v>166</v>
      </c>
      <c r="U115">
        <v>3.1113937980181805E-2</v>
      </c>
      <c r="V115" t="s">
        <v>161</v>
      </c>
      <c r="AC115" t="s">
        <v>19</v>
      </c>
      <c r="AD115" t="s">
        <v>166</v>
      </c>
      <c r="AE115">
        <v>3.0641786788162831E-2</v>
      </c>
      <c r="AK115">
        <v>2035</v>
      </c>
      <c r="AL115" t="s">
        <v>149</v>
      </c>
      <c r="AM115">
        <v>0.34759999999999996</v>
      </c>
      <c r="AN115" t="s">
        <v>236</v>
      </c>
    </row>
    <row r="116" spans="9:40" x14ac:dyDescent="0.45">
      <c r="I116" t="s">
        <v>173</v>
      </c>
      <c r="J116" t="s">
        <v>244</v>
      </c>
      <c r="K116">
        <v>9.4849248975457795E-3</v>
      </c>
      <c r="L116" t="s">
        <v>161</v>
      </c>
      <c r="N116" t="s">
        <v>196</v>
      </c>
      <c r="O116" t="s">
        <v>244</v>
      </c>
      <c r="P116">
        <v>4.4460337938925926E-3</v>
      </c>
      <c r="Q116" t="s">
        <v>161</v>
      </c>
      <c r="S116" t="s">
        <v>218</v>
      </c>
      <c r="T116" t="s">
        <v>244</v>
      </c>
      <c r="U116">
        <v>4.8668764765210249E-3</v>
      </c>
      <c r="V116" t="s">
        <v>161</v>
      </c>
      <c r="AC116" t="s">
        <v>19</v>
      </c>
      <c r="AD116" t="s">
        <v>244</v>
      </c>
      <c r="AE116">
        <v>4.3782777985764462E-3</v>
      </c>
      <c r="AK116">
        <v>2035</v>
      </c>
      <c r="AL116" t="s">
        <v>153</v>
      </c>
      <c r="AM116">
        <v>0.37040000000000001</v>
      </c>
      <c r="AN116" t="s">
        <v>236</v>
      </c>
    </row>
    <row r="117" spans="9:40" x14ac:dyDescent="0.45">
      <c r="I117" t="s">
        <v>173</v>
      </c>
      <c r="J117" t="s">
        <v>245</v>
      </c>
      <c r="K117">
        <v>7.2980578317990213E-3</v>
      </c>
      <c r="L117" t="s">
        <v>161</v>
      </c>
      <c r="N117" t="s">
        <v>196</v>
      </c>
      <c r="O117" t="s">
        <v>245</v>
      </c>
      <c r="P117">
        <v>4.1202298183708654E-3</v>
      </c>
      <c r="Q117" t="s">
        <v>161</v>
      </c>
      <c r="S117" t="s">
        <v>218</v>
      </c>
      <c r="T117" t="s">
        <v>245</v>
      </c>
      <c r="U117">
        <v>4.9460407703007013E-3</v>
      </c>
      <c r="V117" t="s">
        <v>161</v>
      </c>
      <c r="AC117" t="s">
        <v>19</v>
      </c>
      <c r="AD117" t="s">
        <v>245</v>
      </c>
      <c r="AE117">
        <v>4.3805571801480495E-3</v>
      </c>
      <c r="AK117">
        <v>2035</v>
      </c>
      <c r="AL117" t="s">
        <v>155</v>
      </c>
      <c r="AM117">
        <v>0.44017499999999998</v>
      </c>
      <c r="AN117" t="s">
        <v>236</v>
      </c>
    </row>
    <row r="118" spans="9:40" x14ac:dyDescent="0.45">
      <c r="I118" t="s">
        <v>173</v>
      </c>
      <c r="J118" t="s">
        <v>267</v>
      </c>
      <c r="K118">
        <v>6.4339124096641316E-3</v>
      </c>
      <c r="L118" t="s">
        <v>161</v>
      </c>
      <c r="N118" t="s">
        <v>196</v>
      </c>
      <c r="O118" t="s">
        <v>267</v>
      </c>
      <c r="P118">
        <v>2.7744278684960495E-2</v>
      </c>
      <c r="Q118" t="s">
        <v>161</v>
      </c>
      <c r="S118" t="s">
        <v>218</v>
      </c>
      <c r="T118" t="s">
        <v>267</v>
      </c>
      <c r="U118">
        <v>2.9309553461958598E-2</v>
      </c>
      <c r="V118" t="s">
        <v>161</v>
      </c>
      <c r="AC118" t="s">
        <v>19</v>
      </c>
      <c r="AD118" t="s">
        <v>267</v>
      </c>
      <c r="AE118">
        <v>2.6030333172952454E-2</v>
      </c>
      <c r="AK118">
        <v>2035</v>
      </c>
      <c r="AL118" t="s">
        <v>157</v>
      </c>
      <c r="AM118">
        <v>0.40053333333333335</v>
      </c>
      <c r="AN118" t="s">
        <v>236</v>
      </c>
    </row>
    <row r="119" spans="9:40" x14ac:dyDescent="0.45">
      <c r="I119" t="s">
        <v>173</v>
      </c>
      <c r="J119" t="s">
        <v>167</v>
      </c>
      <c r="K119">
        <v>3.5245222266626283E-2</v>
      </c>
      <c r="L119" t="s">
        <v>161</v>
      </c>
      <c r="N119" t="s">
        <v>196</v>
      </c>
      <c r="O119" t="s">
        <v>167</v>
      </c>
      <c r="P119">
        <v>6.2652942613380017E-2</v>
      </c>
      <c r="Q119" t="s">
        <v>161</v>
      </c>
      <c r="S119" t="s">
        <v>218</v>
      </c>
      <c r="T119" t="s">
        <v>167</v>
      </c>
      <c r="U119">
        <v>6.9357720599159636E-2</v>
      </c>
      <c r="V119" t="s">
        <v>161</v>
      </c>
      <c r="AC119" t="s">
        <v>19</v>
      </c>
      <c r="AD119" t="s">
        <v>167</v>
      </c>
      <c r="AE119">
        <v>8.8509810425533367E-2</v>
      </c>
      <c r="AK119">
        <v>2035</v>
      </c>
      <c r="AL119" t="s">
        <v>239</v>
      </c>
      <c r="AM119">
        <v>0.33176666666666665</v>
      </c>
      <c r="AN119" t="s">
        <v>236</v>
      </c>
    </row>
    <row r="120" spans="9:40" x14ac:dyDescent="0.45">
      <c r="I120" t="s">
        <v>173</v>
      </c>
      <c r="J120" t="s">
        <v>168</v>
      </c>
      <c r="K120">
        <v>2.9023472459236213E-2</v>
      </c>
      <c r="L120" t="s">
        <v>161</v>
      </c>
      <c r="N120" t="s">
        <v>196</v>
      </c>
      <c r="O120" t="s">
        <v>168</v>
      </c>
      <c r="P120">
        <v>6.5915782600639242E-3</v>
      </c>
      <c r="Q120" t="s">
        <v>161</v>
      </c>
      <c r="S120" t="s">
        <v>218</v>
      </c>
      <c r="T120" t="s">
        <v>168</v>
      </c>
      <c r="U120">
        <v>8.5334625962219211E-3</v>
      </c>
      <c r="V120" t="s">
        <v>161</v>
      </c>
      <c r="AC120" t="s">
        <v>19</v>
      </c>
      <c r="AD120" t="s">
        <v>168</v>
      </c>
      <c r="AE120">
        <v>1.1268444626741531E-2</v>
      </c>
      <c r="AK120">
        <v>2035</v>
      </c>
      <c r="AL120" t="s">
        <v>241</v>
      </c>
      <c r="AM120">
        <v>0.3614</v>
      </c>
      <c r="AN120" t="s">
        <v>236</v>
      </c>
    </row>
    <row r="121" spans="9:40" x14ac:dyDescent="0.45">
      <c r="I121" t="s">
        <v>173</v>
      </c>
      <c r="J121" t="s">
        <v>169</v>
      </c>
      <c r="K121">
        <v>0.26282558068763734</v>
      </c>
      <c r="L121" t="s">
        <v>161</v>
      </c>
      <c r="N121" t="s">
        <v>196</v>
      </c>
      <c r="O121" t="s">
        <v>169</v>
      </c>
      <c r="P121">
        <v>4.8295518346035474E-2</v>
      </c>
      <c r="Q121" t="s">
        <v>161</v>
      </c>
      <c r="S121" t="s">
        <v>218</v>
      </c>
      <c r="T121" t="s">
        <v>169</v>
      </c>
      <c r="U121">
        <v>5.8947530957070365E-2</v>
      </c>
      <c r="V121" t="s">
        <v>161</v>
      </c>
      <c r="AC121" t="s">
        <v>19</v>
      </c>
      <c r="AD121" t="s">
        <v>169</v>
      </c>
      <c r="AE121">
        <v>7.8899516725694424E-2</v>
      </c>
      <c r="AK121">
        <v>2035</v>
      </c>
      <c r="AL121" t="s">
        <v>264</v>
      </c>
      <c r="AM121">
        <v>0.37880000000000003</v>
      </c>
      <c r="AN121" t="s">
        <v>236</v>
      </c>
    </row>
    <row r="122" spans="9:40" x14ac:dyDescent="0.45">
      <c r="I122" t="s">
        <v>173</v>
      </c>
      <c r="J122" t="s">
        <v>246</v>
      </c>
      <c r="K122">
        <v>3.1115980022854563E-2</v>
      </c>
      <c r="L122" t="s">
        <v>161</v>
      </c>
      <c r="N122" t="s">
        <v>196</v>
      </c>
      <c r="O122" t="s">
        <v>246</v>
      </c>
      <c r="P122">
        <v>7.693442022995425E-3</v>
      </c>
      <c r="Q122" t="s">
        <v>161</v>
      </c>
      <c r="S122" t="s">
        <v>218</v>
      </c>
      <c r="T122" t="s">
        <v>246</v>
      </c>
      <c r="U122">
        <v>8.6286849962190111E-3</v>
      </c>
      <c r="V122" t="s">
        <v>161</v>
      </c>
      <c r="AC122" t="s">
        <v>19</v>
      </c>
      <c r="AD122" t="s">
        <v>246</v>
      </c>
      <c r="AE122">
        <v>1.1264931209652598E-2</v>
      </c>
      <c r="AK122">
        <v>2035</v>
      </c>
      <c r="AL122" t="s">
        <v>265</v>
      </c>
      <c r="AM122">
        <v>0.37880000000000003</v>
      </c>
      <c r="AN122" t="s">
        <v>236</v>
      </c>
    </row>
    <row r="123" spans="9:40" x14ac:dyDescent="0.45">
      <c r="I123" t="s">
        <v>173</v>
      </c>
      <c r="J123" t="s">
        <v>247</v>
      </c>
      <c r="K123">
        <v>2.6074277573578379E-2</v>
      </c>
      <c r="L123" t="s">
        <v>161</v>
      </c>
      <c r="N123" t="s">
        <v>196</v>
      </c>
      <c r="O123" t="s">
        <v>247</v>
      </c>
      <c r="P123">
        <v>7.2503059000351457E-3</v>
      </c>
      <c r="Q123" t="s">
        <v>161</v>
      </c>
      <c r="S123" t="s">
        <v>218</v>
      </c>
      <c r="T123" t="s">
        <v>247</v>
      </c>
      <c r="U123">
        <v>8.6577319992527622E-3</v>
      </c>
      <c r="V123" t="s">
        <v>161</v>
      </c>
      <c r="AC123" t="s">
        <v>19</v>
      </c>
      <c r="AD123" t="s">
        <v>247</v>
      </c>
      <c r="AE123">
        <v>1.1264195256457254E-2</v>
      </c>
      <c r="AK123">
        <v>2036</v>
      </c>
      <c r="AL123" t="s">
        <v>149</v>
      </c>
      <c r="AM123">
        <v>0.37133333333333335</v>
      </c>
      <c r="AN123" t="s">
        <v>236</v>
      </c>
    </row>
    <row r="124" spans="9:40" x14ac:dyDescent="0.45">
      <c r="I124" t="s">
        <v>173</v>
      </c>
      <c r="J124" t="s">
        <v>268</v>
      </c>
      <c r="K124">
        <v>3.9279362975444862E-2</v>
      </c>
      <c r="L124" t="s">
        <v>161</v>
      </c>
      <c r="N124" t="s">
        <v>196</v>
      </c>
      <c r="O124" t="s">
        <v>268</v>
      </c>
      <c r="P124">
        <v>4.6651245753605436E-2</v>
      </c>
      <c r="Q124" t="s">
        <v>161</v>
      </c>
      <c r="S124" t="s">
        <v>218</v>
      </c>
      <c r="T124" t="s">
        <v>268</v>
      </c>
      <c r="U124">
        <v>5.2261562054776681E-2</v>
      </c>
      <c r="V124" t="s">
        <v>161</v>
      </c>
      <c r="AC124" t="s">
        <v>19</v>
      </c>
      <c r="AD124" t="s">
        <v>268</v>
      </c>
      <c r="AE124">
        <v>6.7053330035950945E-2</v>
      </c>
      <c r="AK124">
        <v>2036</v>
      </c>
      <c r="AL124" t="s">
        <v>153</v>
      </c>
      <c r="AM124">
        <v>0.38034999999999997</v>
      </c>
      <c r="AN124" t="s">
        <v>236</v>
      </c>
    </row>
    <row r="125" spans="9:40" x14ac:dyDescent="0.45">
      <c r="I125" t="s">
        <v>173</v>
      </c>
      <c r="J125" t="s">
        <v>170</v>
      </c>
      <c r="K125">
        <v>1.1853803179341491E-2</v>
      </c>
      <c r="L125" t="s">
        <v>161</v>
      </c>
      <c r="N125" t="s">
        <v>196</v>
      </c>
      <c r="O125" t="s">
        <v>170</v>
      </c>
      <c r="P125">
        <v>3.5221709244985584E-2</v>
      </c>
      <c r="Q125" t="s">
        <v>161</v>
      </c>
      <c r="S125" t="s">
        <v>218</v>
      </c>
      <c r="T125" t="s">
        <v>170</v>
      </c>
      <c r="U125">
        <v>3.8040265210983429E-2</v>
      </c>
      <c r="V125" t="s">
        <v>161</v>
      </c>
      <c r="AC125" t="s">
        <v>19</v>
      </c>
      <c r="AD125" t="s">
        <v>170</v>
      </c>
      <c r="AE125">
        <v>4.5155521941729178E-2</v>
      </c>
      <c r="AK125">
        <v>2036</v>
      </c>
      <c r="AL125" t="s">
        <v>155</v>
      </c>
      <c r="AM125">
        <v>0.42109999999999992</v>
      </c>
      <c r="AN125" t="s">
        <v>236</v>
      </c>
    </row>
    <row r="126" spans="9:40" x14ac:dyDescent="0.45">
      <c r="I126" t="s">
        <v>173</v>
      </c>
      <c r="J126" t="s">
        <v>171</v>
      </c>
      <c r="K126">
        <v>1.28598058049786E-2</v>
      </c>
      <c r="L126" t="s">
        <v>161</v>
      </c>
      <c r="N126" t="s">
        <v>196</v>
      </c>
      <c r="O126" t="s">
        <v>171</v>
      </c>
      <c r="P126">
        <v>3.7557465308236892E-3</v>
      </c>
      <c r="Q126" t="s">
        <v>161</v>
      </c>
      <c r="S126" t="s">
        <v>218</v>
      </c>
      <c r="T126" t="s">
        <v>171</v>
      </c>
      <c r="U126">
        <v>4.9177635701032792E-3</v>
      </c>
      <c r="V126" t="s">
        <v>161</v>
      </c>
      <c r="AC126" t="s">
        <v>19</v>
      </c>
      <c r="AD126" t="s">
        <v>171</v>
      </c>
      <c r="AE126">
        <v>5.7504781960811963E-3</v>
      </c>
      <c r="AK126">
        <v>2036</v>
      </c>
      <c r="AL126" t="s">
        <v>157</v>
      </c>
      <c r="AM126">
        <v>0.40543333333333331</v>
      </c>
      <c r="AN126" t="s">
        <v>236</v>
      </c>
    </row>
    <row r="127" spans="9:40" x14ac:dyDescent="0.45">
      <c r="I127" t="s">
        <v>173</v>
      </c>
      <c r="J127" t="s">
        <v>172</v>
      </c>
      <c r="K127">
        <v>0.12292352735266719</v>
      </c>
      <c r="L127" t="s">
        <v>161</v>
      </c>
      <c r="N127" t="s">
        <v>196</v>
      </c>
      <c r="O127" t="s">
        <v>172</v>
      </c>
      <c r="P127">
        <v>2.3936437705077068E-2</v>
      </c>
      <c r="Q127" t="s">
        <v>161</v>
      </c>
      <c r="S127" t="s">
        <v>218</v>
      </c>
      <c r="T127" t="s">
        <v>172</v>
      </c>
      <c r="U127">
        <v>3.5332391318840771E-2</v>
      </c>
      <c r="V127" t="s">
        <v>161</v>
      </c>
      <c r="AC127" t="s">
        <v>19</v>
      </c>
      <c r="AD127" t="s">
        <v>172</v>
      </c>
      <c r="AE127">
        <v>4.0271609908870479E-2</v>
      </c>
      <c r="AK127">
        <v>2036</v>
      </c>
      <c r="AL127" t="s">
        <v>239</v>
      </c>
      <c r="AM127">
        <v>0.36313333333333331</v>
      </c>
      <c r="AN127" t="s">
        <v>236</v>
      </c>
    </row>
    <row r="128" spans="9:40" x14ac:dyDescent="0.45">
      <c r="I128" t="s">
        <v>173</v>
      </c>
      <c r="J128" t="s">
        <v>248</v>
      </c>
      <c r="K128">
        <v>1.4736179737363209E-2</v>
      </c>
      <c r="L128" t="s">
        <v>161</v>
      </c>
      <c r="N128" t="s">
        <v>196</v>
      </c>
      <c r="O128" t="s">
        <v>248</v>
      </c>
      <c r="P128">
        <v>3.3061077346027709E-3</v>
      </c>
      <c r="Q128" t="s">
        <v>161</v>
      </c>
      <c r="S128" t="s">
        <v>218</v>
      </c>
      <c r="T128" t="s">
        <v>248</v>
      </c>
      <c r="U128">
        <v>5.0376392271711777E-3</v>
      </c>
      <c r="V128" t="s">
        <v>161</v>
      </c>
      <c r="AC128" t="s">
        <v>19</v>
      </c>
      <c r="AD128" t="s">
        <v>248</v>
      </c>
      <c r="AE128">
        <v>5.7494429756113968E-3</v>
      </c>
      <c r="AK128">
        <v>2036</v>
      </c>
      <c r="AL128" t="s">
        <v>241</v>
      </c>
      <c r="AM128">
        <v>0.35709999999999997</v>
      </c>
      <c r="AN128" t="s">
        <v>236</v>
      </c>
    </row>
    <row r="129" spans="9:40" x14ac:dyDescent="0.45">
      <c r="I129" t="s">
        <v>173</v>
      </c>
      <c r="J129" t="s">
        <v>249</v>
      </c>
      <c r="K129">
        <v>1.2242683605100972E-2</v>
      </c>
      <c r="L129" t="s">
        <v>161</v>
      </c>
      <c r="N129" t="s">
        <v>196</v>
      </c>
      <c r="O129" t="s">
        <v>249</v>
      </c>
      <c r="P129">
        <v>3.0664015494378609E-3</v>
      </c>
      <c r="Q129" t="s">
        <v>161</v>
      </c>
      <c r="S129" t="s">
        <v>218</v>
      </c>
      <c r="T129" t="s">
        <v>249</v>
      </c>
      <c r="U129">
        <v>4.9453325955570613E-3</v>
      </c>
      <c r="V129" t="s">
        <v>161</v>
      </c>
      <c r="AC129" t="s">
        <v>19</v>
      </c>
      <c r="AD129" t="s">
        <v>249</v>
      </c>
      <c r="AE129">
        <v>5.7488420302090407E-3</v>
      </c>
      <c r="AK129">
        <v>2036</v>
      </c>
      <c r="AL129" t="s">
        <v>264</v>
      </c>
      <c r="AM129">
        <v>0.36759999999999998</v>
      </c>
      <c r="AN129" t="s">
        <v>236</v>
      </c>
    </row>
    <row r="130" spans="9:40" x14ac:dyDescent="0.45">
      <c r="I130" t="s">
        <v>173</v>
      </c>
      <c r="J130" t="s">
        <v>269</v>
      </c>
      <c r="K130">
        <v>1.391320819720325E-2</v>
      </c>
      <c r="L130" t="s">
        <v>161</v>
      </c>
      <c r="N130" t="s">
        <v>196</v>
      </c>
      <c r="O130" t="s">
        <v>269</v>
      </c>
      <c r="P130">
        <v>2.2496895629108796E-2</v>
      </c>
      <c r="Q130" t="s">
        <v>161</v>
      </c>
      <c r="S130" t="s">
        <v>218</v>
      </c>
      <c r="T130" t="s">
        <v>269</v>
      </c>
      <c r="U130">
        <v>2.9207837455571543E-2</v>
      </c>
      <c r="V130" t="s">
        <v>161</v>
      </c>
      <c r="AC130" t="s">
        <v>19</v>
      </c>
      <c r="AD130" t="s">
        <v>269</v>
      </c>
      <c r="AE130">
        <v>3.4219273735220747E-2</v>
      </c>
      <c r="AK130">
        <v>2036</v>
      </c>
      <c r="AL130" t="s">
        <v>265</v>
      </c>
      <c r="AM130">
        <v>0.36759999999999998</v>
      </c>
      <c r="AN130" t="s">
        <v>236</v>
      </c>
    </row>
    <row r="131" spans="9:40" x14ac:dyDescent="0.45">
      <c r="I131" t="s">
        <v>173</v>
      </c>
      <c r="J131" t="s">
        <v>250</v>
      </c>
      <c r="K131">
        <v>1.6062217229606914E-3</v>
      </c>
      <c r="L131" t="s">
        <v>161</v>
      </c>
      <c r="N131" t="s">
        <v>196</v>
      </c>
      <c r="O131" t="s">
        <v>250</v>
      </c>
      <c r="P131">
        <v>5.581793519674183E-2</v>
      </c>
      <c r="Q131" t="s">
        <v>161</v>
      </c>
      <c r="S131" t="s">
        <v>218</v>
      </c>
      <c r="T131" t="s">
        <v>250</v>
      </c>
      <c r="U131">
        <v>5.1021974803208095E-2</v>
      </c>
      <c r="V131" t="s">
        <v>161</v>
      </c>
      <c r="AC131" t="s">
        <v>19</v>
      </c>
      <c r="AD131" t="s">
        <v>250</v>
      </c>
      <c r="AE131">
        <v>4.1566690628086961E-2</v>
      </c>
      <c r="AK131">
        <v>2037</v>
      </c>
      <c r="AL131" t="s">
        <v>149</v>
      </c>
      <c r="AM131">
        <v>0.35639999999999999</v>
      </c>
      <c r="AN131" t="s">
        <v>236</v>
      </c>
    </row>
    <row r="132" spans="9:40" x14ac:dyDescent="0.45">
      <c r="I132" t="s">
        <v>173</v>
      </c>
      <c r="J132" t="s">
        <v>251</v>
      </c>
      <c r="K132">
        <v>4.6635691609217319E-3</v>
      </c>
      <c r="L132" t="s">
        <v>161</v>
      </c>
      <c r="N132" t="s">
        <v>196</v>
      </c>
      <c r="O132" t="s">
        <v>251</v>
      </c>
      <c r="P132">
        <v>7.2294116723709556E-3</v>
      </c>
      <c r="Q132" t="s">
        <v>161</v>
      </c>
      <c r="S132" t="s">
        <v>218</v>
      </c>
      <c r="T132" t="s">
        <v>251</v>
      </c>
      <c r="U132">
        <v>6.1623614588879588E-3</v>
      </c>
      <c r="V132" t="s">
        <v>161</v>
      </c>
      <c r="AC132" t="s">
        <v>19</v>
      </c>
      <c r="AD132" t="s">
        <v>251</v>
      </c>
      <c r="AE132">
        <v>5.2924606826958692E-3</v>
      </c>
      <c r="AK132">
        <v>2037</v>
      </c>
      <c r="AL132" t="s">
        <v>153</v>
      </c>
      <c r="AM132">
        <v>0.38919999999999999</v>
      </c>
      <c r="AN132" t="s">
        <v>236</v>
      </c>
    </row>
    <row r="133" spans="9:40" x14ac:dyDescent="0.45">
      <c r="I133" t="s">
        <v>173</v>
      </c>
      <c r="J133" t="s">
        <v>252</v>
      </c>
      <c r="K133">
        <v>7.817249303632752E-2</v>
      </c>
      <c r="L133" t="s">
        <v>161</v>
      </c>
      <c r="N133" t="s">
        <v>196</v>
      </c>
      <c r="O133" t="s">
        <v>252</v>
      </c>
      <c r="P133">
        <v>4.2517900625041113E-2</v>
      </c>
      <c r="Q133" t="s">
        <v>161</v>
      </c>
      <c r="S133" t="s">
        <v>218</v>
      </c>
      <c r="T133" t="s">
        <v>252</v>
      </c>
      <c r="U133">
        <v>4.054625000557429E-2</v>
      </c>
      <c r="V133" t="s">
        <v>161</v>
      </c>
      <c r="AC133" t="s">
        <v>19</v>
      </c>
      <c r="AD133" t="s">
        <v>252</v>
      </c>
      <c r="AE133">
        <v>3.7016157396298377E-2</v>
      </c>
      <c r="AK133">
        <v>2037</v>
      </c>
      <c r="AL133" t="s">
        <v>155</v>
      </c>
      <c r="AM133">
        <v>0.42907499999999998</v>
      </c>
      <c r="AN133" t="s">
        <v>236</v>
      </c>
    </row>
    <row r="134" spans="9:40" x14ac:dyDescent="0.45">
      <c r="I134" t="s">
        <v>173</v>
      </c>
      <c r="J134" t="s">
        <v>253</v>
      </c>
      <c r="K134">
        <v>9.3652230189498788E-3</v>
      </c>
      <c r="L134" t="s">
        <v>161</v>
      </c>
      <c r="N134" t="s">
        <v>196</v>
      </c>
      <c r="O134" t="s">
        <v>253</v>
      </c>
      <c r="P134">
        <v>5.8913257192575227E-3</v>
      </c>
      <c r="Q134" t="s">
        <v>161</v>
      </c>
      <c r="S134" t="s">
        <v>218</v>
      </c>
      <c r="T134" t="s">
        <v>253</v>
      </c>
      <c r="U134">
        <v>6.0178710081997466E-3</v>
      </c>
      <c r="V134" t="s">
        <v>161</v>
      </c>
      <c r="AC134" t="s">
        <v>19</v>
      </c>
      <c r="AD134" t="s">
        <v>253</v>
      </c>
      <c r="AE134">
        <v>5.2864515501194276E-3</v>
      </c>
      <c r="AK134">
        <v>2037</v>
      </c>
      <c r="AL134" t="s">
        <v>157</v>
      </c>
      <c r="AM134">
        <v>0.38369999999999999</v>
      </c>
      <c r="AN134" t="s">
        <v>236</v>
      </c>
    </row>
    <row r="135" spans="9:40" x14ac:dyDescent="0.45">
      <c r="I135" t="s">
        <v>173</v>
      </c>
      <c r="J135" t="s">
        <v>254</v>
      </c>
      <c r="K135">
        <v>6.1382268311380144E-3</v>
      </c>
      <c r="L135" t="s">
        <v>161</v>
      </c>
      <c r="N135" t="s">
        <v>196</v>
      </c>
      <c r="O135" t="s">
        <v>254</v>
      </c>
      <c r="P135">
        <v>6.0254337664278875E-3</v>
      </c>
      <c r="Q135" t="s">
        <v>161</v>
      </c>
      <c r="S135" t="s">
        <v>218</v>
      </c>
      <c r="T135" t="s">
        <v>254</v>
      </c>
      <c r="U135">
        <v>6.0561976804828976E-3</v>
      </c>
      <c r="V135" t="s">
        <v>161</v>
      </c>
      <c r="AC135" t="s">
        <v>19</v>
      </c>
      <c r="AD135" t="s">
        <v>254</v>
      </c>
      <c r="AE135">
        <v>5.2895692657960562E-3</v>
      </c>
      <c r="AK135">
        <v>2037</v>
      </c>
      <c r="AL135" t="s">
        <v>239</v>
      </c>
      <c r="AM135">
        <v>0.33513333333333334</v>
      </c>
      <c r="AN135" t="s">
        <v>236</v>
      </c>
    </row>
    <row r="136" spans="9:40" x14ac:dyDescent="0.45">
      <c r="I136" t="s">
        <v>173</v>
      </c>
      <c r="J136" t="s">
        <v>270</v>
      </c>
      <c r="K136">
        <v>2.0033750186718544E-3</v>
      </c>
      <c r="L136" t="s">
        <v>161</v>
      </c>
      <c r="N136" t="s">
        <v>196</v>
      </c>
      <c r="O136" t="s">
        <v>270</v>
      </c>
      <c r="P136">
        <v>4.2191320512733443E-2</v>
      </c>
      <c r="Q136" t="s">
        <v>161</v>
      </c>
      <c r="S136" t="s">
        <v>218</v>
      </c>
      <c r="T136" t="s">
        <v>270</v>
      </c>
      <c r="U136">
        <v>3.7988204070520643E-2</v>
      </c>
      <c r="V136" t="s">
        <v>161</v>
      </c>
      <c r="AC136" t="s">
        <v>19</v>
      </c>
      <c r="AD136" t="s">
        <v>270</v>
      </c>
      <c r="AE136">
        <v>3.1478902351317069E-2</v>
      </c>
      <c r="AK136">
        <v>2037</v>
      </c>
      <c r="AL136" t="s">
        <v>241</v>
      </c>
      <c r="AM136">
        <v>0.34394999999999998</v>
      </c>
      <c r="AN136" t="s">
        <v>236</v>
      </c>
    </row>
    <row r="137" spans="9:40" x14ac:dyDescent="0.45">
      <c r="I137" t="s">
        <v>173</v>
      </c>
      <c r="J137" t="s">
        <v>255</v>
      </c>
      <c r="K137">
        <v>0</v>
      </c>
      <c r="L137" t="s">
        <v>161</v>
      </c>
      <c r="N137" t="s">
        <v>196</v>
      </c>
      <c r="O137" t="s">
        <v>255</v>
      </c>
      <c r="P137">
        <v>5.8718923386516193E-2</v>
      </c>
      <c r="Q137" t="s">
        <v>161</v>
      </c>
      <c r="S137" t="s">
        <v>218</v>
      </c>
      <c r="T137" t="s">
        <v>255</v>
      </c>
      <c r="U137">
        <v>4.7073654164308143E-2</v>
      </c>
      <c r="V137" t="s">
        <v>161</v>
      </c>
      <c r="AC137" t="s">
        <v>19</v>
      </c>
      <c r="AD137" t="s">
        <v>255</v>
      </c>
      <c r="AE137">
        <v>3.9746679684429465E-2</v>
      </c>
      <c r="AK137">
        <v>2037</v>
      </c>
      <c r="AL137" t="s">
        <v>264</v>
      </c>
      <c r="AM137">
        <v>0.3654</v>
      </c>
      <c r="AN137" t="s">
        <v>236</v>
      </c>
    </row>
    <row r="138" spans="9:40" x14ac:dyDescent="0.45">
      <c r="I138" t="s">
        <v>173</v>
      </c>
      <c r="J138" t="s">
        <v>256</v>
      </c>
      <c r="K138">
        <v>1.775158985982657E-4</v>
      </c>
      <c r="L138" t="s">
        <v>161</v>
      </c>
      <c r="N138" t="s">
        <v>196</v>
      </c>
      <c r="O138" t="s">
        <v>256</v>
      </c>
      <c r="P138">
        <v>7.4301505463244049E-3</v>
      </c>
      <c r="Q138" t="s">
        <v>161</v>
      </c>
      <c r="S138" t="s">
        <v>218</v>
      </c>
      <c r="T138" t="s">
        <v>256</v>
      </c>
      <c r="U138">
        <v>5.9611752741962473E-3</v>
      </c>
      <c r="V138" t="s">
        <v>161</v>
      </c>
      <c r="AC138" t="s">
        <v>19</v>
      </c>
      <c r="AD138" t="s">
        <v>256</v>
      </c>
      <c r="AE138">
        <v>5.06952733957721E-3</v>
      </c>
      <c r="AK138">
        <v>2037</v>
      </c>
      <c r="AL138" t="s">
        <v>265</v>
      </c>
      <c r="AM138">
        <v>0.3654</v>
      </c>
      <c r="AN138" t="s">
        <v>236</v>
      </c>
    </row>
    <row r="139" spans="9:40" x14ac:dyDescent="0.45">
      <c r="I139" t="s">
        <v>173</v>
      </c>
      <c r="J139" t="s">
        <v>257</v>
      </c>
      <c r="K139">
        <v>3.4447581428883704E-2</v>
      </c>
      <c r="L139" t="s">
        <v>161</v>
      </c>
      <c r="N139" t="s">
        <v>196</v>
      </c>
      <c r="O139" t="s">
        <v>257</v>
      </c>
      <c r="P139">
        <v>4.7268742139457795E-2</v>
      </c>
      <c r="Q139" t="s">
        <v>161</v>
      </c>
      <c r="S139" t="s">
        <v>218</v>
      </c>
      <c r="T139" t="s">
        <v>257</v>
      </c>
      <c r="U139">
        <v>3.9801898314754426E-2</v>
      </c>
      <c r="V139" t="s">
        <v>161</v>
      </c>
      <c r="AC139" t="s">
        <v>19</v>
      </c>
      <c r="AD139" t="s">
        <v>257</v>
      </c>
      <c r="AE139">
        <v>3.5489890579563574E-2</v>
      </c>
      <c r="AK139">
        <v>2038</v>
      </c>
      <c r="AL139" t="s">
        <v>149</v>
      </c>
      <c r="AM139">
        <v>0.33946666666666664</v>
      </c>
      <c r="AN139" t="s">
        <v>236</v>
      </c>
    </row>
    <row r="140" spans="9:40" x14ac:dyDescent="0.45">
      <c r="I140" t="s">
        <v>173</v>
      </c>
      <c r="J140" t="s">
        <v>258</v>
      </c>
      <c r="K140">
        <v>2.9461772610174905E-3</v>
      </c>
      <c r="L140" t="s">
        <v>161</v>
      </c>
      <c r="N140" t="s">
        <v>196</v>
      </c>
      <c r="O140" t="s">
        <v>258</v>
      </c>
      <c r="P140">
        <v>6.8143001268939178E-3</v>
      </c>
      <c r="Q140" t="s">
        <v>161</v>
      </c>
      <c r="S140" t="s">
        <v>218</v>
      </c>
      <c r="T140" t="s">
        <v>258</v>
      </c>
      <c r="U140">
        <v>5.7024697584287746E-3</v>
      </c>
      <c r="V140" t="s">
        <v>161</v>
      </c>
      <c r="AC140" t="s">
        <v>19</v>
      </c>
      <c r="AD140" t="s">
        <v>258</v>
      </c>
      <c r="AE140">
        <v>5.077127635428144E-3</v>
      </c>
      <c r="AK140">
        <v>2038</v>
      </c>
      <c r="AL140" t="s">
        <v>153</v>
      </c>
      <c r="AM140">
        <v>0.35365000000000002</v>
      </c>
      <c r="AN140" t="s">
        <v>236</v>
      </c>
    </row>
    <row r="141" spans="9:40" x14ac:dyDescent="0.45">
      <c r="I141" t="s">
        <v>173</v>
      </c>
      <c r="J141" t="s">
        <v>259</v>
      </c>
      <c r="K141">
        <v>2.0112526572433441E-4</v>
      </c>
      <c r="L141" t="s">
        <v>161</v>
      </c>
      <c r="N141" t="s">
        <v>196</v>
      </c>
      <c r="O141" t="s">
        <v>259</v>
      </c>
      <c r="P141">
        <v>7.0291652943967331E-3</v>
      </c>
      <c r="Q141" t="s">
        <v>161</v>
      </c>
      <c r="S141" t="s">
        <v>218</v>
      </c>
      <c r="T141" t="s">
        <v>259</v>
      </c>
      <c r="U141">
        <v>5.6927928560571378E-3</v>
      </c>
      <c r="V141" t="s">
        <v>161</v>
      </c>
      <c r="AC141" t="s">
        <v>19</v>
      </c>
      <c r="AD141" t="s">
        <v>259</v>
      </c>
      <c r="AE141">
        <v>5.0791235006344736E-3</v>
      </c>
      <c r="AK141">
        <v>2038</v>
      </c>
      <c r="AL141" t="s">
        <v>155</v>
      </c>
      <c r="AM141">
        <v>0.43670000000000003</v>
      </c>
      <c r="AN141" t="s">
        <v>236</v>
      </c>
    </row>
    <row r="142" spans="9:40" x14ac:dyDescent="0.45">
      <c r="I142" t="s">
        <v>173</v>
      </c>
      <c r="J142" t="s">
        <v>271</v>
      </c>
      <c r="K142">
        <v>0</v>
      </c>
      <c r="L142" t="s">
        <v>161</v>
      </c>
      <c r="N142" t="s">
        <v>196</v>
      </c>
      <c r="O142" t="s">
        <v>271</v>
      </c>
      <c r="P142">
        <v>4.2856911353545496E-2</v>
      </c>
      <c r="Q142" t="s">
        <v>161</v>
      </c>
      <c r="S142" t="s">
        <v>218</v>
      </c>
      <c r="T142" t="s">
        <v>271</v>
      </c>
      <c r="U142">
        <v>3.5151962210245316E-2</v>
      </c>
      <c r="V142" t="s">
        <v>161</v>
      </c>
      <c r="AC142" t="s">
        <v>19</v>
      </c>
      <c r="AD142" t="s">
        <v>271</v>
      </c>
      <c r="AE142">
        <v>3.0180145963330331E-2</v>
      </c>
      <c r="AK142">
        <v>2038</v>
      </c>
      <c r="AL142" t="s">
        <v>157</v>
      </c>
      <c r="AM142">
        <v>0.39743333333333331</v>
      </c>
      <c r="AN142" t="s">
        <v>236</v>
      </c>
    </row>
    <row r="143" spans="9:40" x14ac:dyDescent="0.45">
      <c r="I143" t="s">
        <v>173</v>
      </c>
      <c r="J143" t="s">
        <v>272</v>
      </c>
      <c r="K143">
        <v>0</v>
      </c>
      <c r="L143" t="s">
        <v>161</v>
      </c>
      <c r="N143" t="s">
        <v>196</v>
      </c>
      <c r="O143" t="s">
        <v>272</v>
      </c>
      <c r="P143">
        <v>2.2500657937683643E-2</v>
      </c>
      <c r="Q143" t="s">
        <v>161</v>
      </c>
      <c r="S143" t="s">
        <v>218</v>
      </c>
      <c r="T143" t="s">
        <v>272</v>
      </c>
      <c r="U143">
        <v>1.3375034993849202E-2</v>
      </c>
      <c r="V143" t="s">
        <v>161</v>
      </c>
      <c r="AC143" t="s">
        <v>19</v>
      </c>
      <c r="AD143" t="s">
        <v>272</v>
      </c>
      <c r="AE143">
        <v>9.0340464564262722E-3</v>
      </c>
      <c r="AK143">
        <v>2038</v>
      </c>
      <c r="AL143" t="s">
        <v>239</v>
      </c>
      <c r="AM143">
        <v>0.3439666666666667</v>
      </c>
      <c r="AN143" t="s">
        <v>236</v>
      </c>
    </row>
    <row r="144" spans="9:40" x14ac:dyDescent="0.45">
      <c r="I144" t="s">
        <v>173</v>
      </c>
      <c r="J144" t="s">
        <v>273</v>
      </c>
      <c r="K144">
        <v>0</v>
      </c>
      <c r="L144" t="s">
        <v>161</v>
      </c>
      <c r="N144" t="s">
        <v>196</v>
      </c>
      <c r="O144" t="s">
        <v>273</v>
      </c>
      <c r="P144">
        <v>2.8560320037011098E-3</v>
      </c>
      <c r="Q144" t="s">
        <v>161</v>
      </c>
      <c r="S144" t="s">
        <v>218</v>
      </c>
      <c r="T144" t="s">
        <v>273</v>
      </c>
      <c r="U144">
        <v>1.6217412250303471E-3</v>
      </c>
      <c r="V144" t="s">
        <v>161</v>
      </c>
      <c r="AC144" t="s">
        <v>19</v>
      </c>
      <c r="AD144" t="s">
        <v>273</v>
      </c>
      <c r="AE144">
        <v>1.1518885174877692E-3</v>
      </c>
      <c r="AK144">
        <v>2038</v>
      </c>
      <c r="AL144" t="s">
        <v>241</v>
      </c>
      <c r="AM144">
        <v>0.33204999999999996</v>
      </c>
      <c r="AN144" t="s">
        <v>236</v>
      </c>
    </row>
    <row r="145" spans="9:40" x14ac:dyDescent="0.45">
      <c r="I145" t="s">
        <v>173</v>
      </c>
      <c r="J145" t="s">
        <v>274</v>
      </c>
      <c r="K145">
        <v>7.3208393816695146E-3</v>
      </c>
      <c r="L145" t="s">
        <v>161</v>
      </c>
      <c r="N145" t="s">
        <v>196</v>
      </c>
      <c r="O145" t="s">
        <v>274</v>
      </c>
      <c r="P145">
        <v>1.6797569232642955E-2</v>
      </c>
      <c r="Q145" t="s">
        <v>161</v>
      </c>
      <c r="S145" t="s">
        <v>218</v>
      </c>
      <c r="T145" t="s">
        <v>274</v>
      </c>
      <c r="U145">
        <v>1.2002386019286371E-2</v>
      </c>
      <c r="V145" t="s">
        <v>161</v>
      </c>
      <c r="AC145" t="s">
        <v>19</v>
      </c>
      <c r="AD145" t="s">
        <v>274</v>
      </c>
      <c r="AE145">
        <v>8.0580205365958692E-3</v>
      </c>
      <c r="AK145">
        <v>2038</v>
      </c>
      <c r="AL145" t="s">
        <v>264</v>
      </c>
      <c r="AM145">
        <v>0.33939999999999998</v>
      </c>
      <c r="AN145" t="s">
        <v>236</v>
      </c>
    </row>
    <row r="146" spans="9:40" x14ac:dyDescent="0.45">
      <c r="I146" t="s">
        <v>173</v>
      </c>
      <c r="J146" t="s">
        <v>275</v>
      </c>
      <c r="K146">
        <v>6.3097734235854441E-4</v>
      </c>
      <c r="L146" t="s">
        <v>161</v>
      </c>
      <c r="N146" t="s">
        <v>196</v>
      </c>
      <c r="O146" t="s">
        <v>275</v>
      </c>
      <c r="P146">
        <v>2.2708342813327811E-3</v>
      </c>
      <c r="Q146" t="s">
        <v>161</v>
      </c>
      <c r="S146" t="s">
        <v>218</v>
      </c>
      <c r="T146" t="s">
        <v>275</v>
      </c>
      <c r="U146">
        <v>1.6850605606279451E-3</v>
      </c>
      <c r="V146" t="s">
        <v>161</v>
      </c>
      <c r="AC146" t="s">
        <v>19</v>
      </c>
      <c r="AD146" t="s">
        <v>275</v>
      </c>
      <c r="AE146">
        <v>1.1522625212190569E-3</v>
      </c>
      <c r="AK146">
        <v>2038</v>
      </c>
      <c r="AL146" t="s">
        <v>265</v>
      </c>
      <c r="AM146">
        <v>0.33939999999999998</v>
      </c>
      <c r="AN146" t="s">
        <v>236</v>
      </c>
    </row>
    <row r="147" spans="9:40" x14ac:dyDescent="0.45">
      <c r="I147" t="s">
        <v>173</v>
      </c>
      <c r="J147" t="s">
        <v>276</v>
      </c>
      <c r="K147">
        <v>0</v>
      </c>
      <c r="L147" t="s">
        <v>161</v>
      </c>
      <c r="N147" t="s">
        <v>196</v>
      </c>
      <c r="O147" t="s">
        <v>276</v>
      </c>
      <c r="P147">
        <v>2.3186100612448287E-3</v>
      </c>
      <c r="Q147" t="s">
        <v>161</v>
      </c>
      <c r="S147" t="s">
        <v>218</v>
      </c>
      <c r="T147" t="s">
        <v>276</v>
      </c>
      <c r="U147">
        <v>1.681066102334964E-3</v>
      </c>
      <c r="V147" t="s">
        <v>161</v>
      </c>
      <c r="AC147" t="s">
        <v>19</v>
      </c>
      <c r="AD147" t="s">
        <v>276</v>
      </c>
      <c r="AE147">
        <v>1.152709975618672E-3</v>
      </c>
      <c r="AK147">
        <v>2039</v>
      </c>
      <c r="AL147" t="s">
        <v>149</v>
      </c>
      <c r="AM147">
        <v>0.36626666666666668</v>
      </c>
      <c r="AN147" t="s">
        <v>236</v>
      </c>
    </row>
    <row r="148" spans="9:40" x14ac:dyDescent="0.45">
      <c r="I148" t="s">
        <v>173</v>
      </c>
      <c r="J148" t="s">
        <v>277</v>
      </c>
      <c r="K148">
        <v>0</v>
      </c>
      <c r="L148" t="s">
        <v>161</v>
      </c>
      <c r="N148" t="s">
        <v>196</v>
      </c>
      <c r="O148" t="s">
        <v>277</v>
      </c>
      <c r="P148">
        <v>1.4785725053399167E-2</v>
      </c>
      <c r="Q148" t="s">
        <v>161</v>
      </c>
      <c r="S148" t="s">
        <v>218</v>
      </c>
      <c r="T148" t="s">
        <v>277</v>
      </c>
      <c r="U148">
        <v>1.0033979021618872E-2</v>
      </c>
      <c r="V148" t="s">
        <v>161</v>
      </c>
      <c r="AC148" t="s">
        <v>19</v>
      </c>
      <c r="AD148" t="s">
        <v>277</v>
      </c>
      <c r="AE148">
        <v>6.8488404978125474E-3</v>
      </c>
      <c r="AK148">
        <v>2039</v>
      </c>
      <c r="AL148" t="s">
        <v>153</v>
      </c>
      <c r="AM148">
        <v>0.40959999999999996</v>
      </c>
      <c r="AN148" t="s">
        <v>236</v>
      </c>
    </row>
    <row r="149" spans="9:40" x14ac:dyDescent="0.45">
      <c r="I149" t="s">
        <v>173</v>
      </c>
      <c r="J149" t="s">
        <v>278</v>
      </c>
      <c r="K149">
        <v>0</v>
      </c>
      <c r="L149" t="s">
        <v>161</v>
      </c>
      <c r="N149" t="s">
        <v>196</v>
      </c>
      <c r="O149" t="s">
        <v>278</v>
      </c>
      <c r="P149">
        <v>8.5488432374982454E-3</v>
      </c>
      <c r="Q149" t="s">
        <v>161</v>
      </c>
      <c r="S149" t="s">
        <v>218</v>
      </c>
      <c r="T149" t="s">
        <v>278</v>
      </c>
      <c r="U149">
        <v>8.163583208492432E-3</v>
      </c>
      <c r="V149" t="s">
        <v>161</v>
      </c>
      <c r="AC149" t="s">
        <v>19</v>
      </c>
      <c r="AD149" t="s">
        <v>278</v>
      </c>
      <c r="AE149">
        <v>4.5101396790917583E-3</v>
      </c>
      <c r="AK149">
        <v>2039</v>
      </c>
      <c r="AL149" t="s">
        <v>155</v>
      </c>
      <c r="AM149">
        <v>0.43867499999999998</v>
      </c>
      <c r="AN149" t="s">
        <v>236</v>
      </c>
    </row>
    <row r="150" spans="9:40" x14ac:dyDescent="0.45">
      <c r="I150" t="s">
        <v>173</v>
      </c>
      <c r="J150" t="s">
        <v>279</v>
      </c>
      <c r="K150">
        <v>0</v>
      </c>
      <c r="L150" t="s">
        <v>161</v>
      </c>
      <c r="N150" t="s">
        <v>196</v>
      </c>
      <c r="O150" t="s">
        <v>279</v>
      </c>
      <c r="P150">
        <v>1.0859718630282515E-3</v>
      </c>
      <c r="Q150" t="s">
        <v>161</v>
      </c>
      <c r="S150" t="s">
        <v>218</v>
      </c>
      <c r="T150" t="s">
        <v>279</v>
      </c>
      <c r="U150">
        <v>1.040849650247906E-3</v>
      </c>
      <c r="V150" t="s">
        <v>161</v>
      </c>
      <c r="AC150" t="s">
        <v>19</v>
      </c>
      <c r="AD150" t="s">
        <v>279</v>
      </c>
      <c r="AE150">
        <v>5.7510190654978159E-4</v>
      </c>
      <c r="AK150">
        <v>2039</v>
      </c>
      <c r="AL150" t="s">
        <v>157</v>
      </c>
      <c r="AM150">
        <v>0.4093</v>
      </c>
      <c r="AN150" t="s">
        <v>236</v>
      </c>
    </row>
    <row r="151" spans="9:40" x14ac:dyDescent="0.45">
      <c r="I151" t="s">
        <v>173</v>
      </c>
      <c r="J151" t="s">
        <v>280</v>
      </c>
      <c r="K151">
        <v>4.1160020598594504E-3</v>
      </c>
      <c r="L151" t="s">
        <v>161</v>
      </c>
      <c r="N151" t="s">
        <v>196</v>
      </c>
      <c r="O151" t="s">
        <v>280</v>
      </c>
      <c r="P151">
        <v>7.1162787223998771E-3</v>
      </c>
      <c r="Q151" t="s">
        <v>161</v>
      </c>
      <c r="S151" t="s">
        <v>218</v>
      </c>
      <c r="T151" t="s">
        <v>280</v>
      </c>
      <c r="U151">
        <v>7.2838765000247272E-3</v>
      </c>
      <c r="V151" t="s">
        <v>161</v>
      </c>
      <c r="AC151" t="s">
        <v>19</v>
      </c>
      <c r="AD151" t="s">
        <v>280</v>
      </c>
      <c r="AE151">
        <v>4.0250267347869935E-3</v>
      </c>
      <c r="AK151">
        <v>2039</v>
      </c>
      <c r="AL151" t="s">
        <v>239</v>
      </c>
      <c r="AM151">
        <v>0.34176666666666672</v>
      </c>
      <c r="AN151" t="s">
        <v>236</v>
      </c>
    </row>
    <row r="152" spans="9:40" x14ac:dyDescent="0.45">
      <c r="I152" t="s">
        <v>173</v>
      </c>
      <c r="J152" t="s">
        <v>281</v>
      </c>
      <c r="K152">
        <v>5.4062999652819573E-4</v>
      </c>
      <c r="L152" t="s">
        <v>161</v>
      </c>
      <c r="N152" t="s">
        <v>196</v>
      </c>
      <c r="O152" t="s">
        <v>281</v>
      </c>
      <c r="P152">
        <v>9.3573142513331286E-4</v>
      </c>
      <c r="Q152" t="s">
        <v>161</v>
      </c>
      <c r="S152" t="s">
        <v>218</v>
      </c>
      <c r="T152" t="s">
        <v>281</v>
      </c>
      <c r="U152">
        <v>1.0195210431846223E-3</v>
      </c>
      <c r="V152" t="s">
        <v>161</v>
      </c>
      <c r="AC152" t="s">
        <v>19</v>
      </c>
      <c r="AD152" t="s">
        <v>281</v>
      </c>
      <c r="AE152">
        <v>5.7624384746546612E-4</v>
      </c>
      <c r="AK152">
        <v>2039</v>
      </c>
      <c r="AL152" t="s">
        <v>241</v>
      </c>
      <c r="AM152">
        <v>0.35004999999999997</v>
      </c>
      <c r="AN152" t="s">
        <v>236</v>
      </c>
    </row>
    <row r="153" spans="9:40" x14ac:dyDescent="0.45">
      <c r="I153" t="s">
        <v>173</v>
      </c>
      <c r="J153" t="s">
        <v>282</v>
      </c>
      <c r="K153">
        <v>0</v>
      </c>
      <c r="L153" t="s">
        <v>161</v>
      </c>
      <c r="N153" t="s">
        <v>196</v>
      </c>
      <c r="O153" t="s">
        <v>282</v>
      </c>
      <c r="P153">
        <v>1.0110740731564521E-3</v>
      </c>
      <c r="Q153" t="s">
        <v>161</v>
      </c>
      <c r="S153" t="s">
        <v>218</v>
      </c>
      <c r="T153" t="s">
        <v>282</v>
      </c>
      <c r="U153">
        <v>1.0247742190221693E-3</v>
      </c>
      <c r="V153" t="s">
        <v>161</v>
      </c>
      <c r="AC153" t="s">
        <v>19</v>
      </c>
      <c r="AD153" t="s">
        <v>282</v>
      </c>
      <c r="AE153">
        <v>5.7643912659460848E-4</v>
      </c>
      <c r="AK153">
        <v>2039</v>
      </c>
      <c r="AL153" t="s">
        <v>264</v>
      </c>
      <c r="AM153">
        <v>0.36969999999999997</v>
      </c>
      <c r="AN153" t="s">
        <v>236</v>
      </c>
    </row>
    <row r="154" spans="9:40" x14ac:dyDescent="0.45">
      <c r="I154" t="s">
        <v>173</v>
      </c>
      <c r="J154" t="s">
        <v>283</v>
      </c>
      <c r="K154">
        <v>0</v>
      </c>
      <c r="L154" t="s">
        <v>161</v>
      </c>
      <c r="N154" t="s">
        <v>196</v>
      </c>
      <c r="O154" t="s">
        <v>283</v>
      </c>
      <c r="P154">
        <v>6.5124813002402056E-3</v>
      </c>
      <c r="Q154" t="s">
        <v>161</v>
      </c>
      <c r="S154" t="s">
        <v>218</v>
      </c>
      <c r="T154" t="s">
        <v>283</v>
      </c>
      <c r="U154">
        <v>6.0949953729322257E-3</v>
      </c>
      <c r="V154" t="s">
        <v>161</v>
      </c>
      <c r="AC154" t="s">
        <v>19</v>
      </c>
      <c r="AD154" t="s">
        <v>283</v>
      </c>
      <c r="AE154">
        <v>3.4256607133661267E-3</v>
      </c>
      <c r="AK154">
        <v>2039</v>
      </c>
      <c r="AL154" t="s">
        <v>265</v>
      </c>
      <c r="AM154">
        <v>0.36969999999999997</v>
      </c>
      <c r="AN154" t="s">
        <v>236</v>
      </c>
    </row>
    <row r="155" spans="9:40" x14ac:dyDescent="0.45">
      <c r="I155" t="s">
        <v>174</v>
      </c>
      <c r="J155" t="s">
        <v>160</v>
      </c>
      <c r="K155">
        <v>3.5303715671331845E-6</v>
      </c>
      <c r="L155" t="s">
        <v>161</v>
      </c>
      <c r="N155" t="s">
        <v>197</v>
      </c>
      <c r="O155" t="s">
        <v>160</v>
      </c>
      <c r="P155">
        <v>7.1416395390788076E-2</v>
      </c>
      <c r="Q155" t="s">
        <v>161</v>
      </c>
      <c r="S155" t="s">
        <v>219</v>
      </c>
      <c r="T155" t="s">
        <v>160</v>
      </c>
      <c r="U155">
        <v>7.0701353611065582E-2</v>
      </c>
      <c r="V155" t="s">
        <v>161</v>
      </c>
      <c r="AK155">
        <v>2040</v>
      </c>
      <c r="AL155" t="s">
        <v>149</v>
      </c>
      <c r="AM155">
        <v>0.36956666666666665</v>
      </c>
      <c r="AN155" t="s">
        <v>236</v>
      </c>
    </row>
    <row r="156" spans="9:40" x14ac:dyDescent="0.45">
      <c r="I156" t="s">
        <v>174</v>
      </c>
      <c r="J156" t="s">
        <v>162</v>
      </c>
      <c r="K156">
        <v>2.7355981701234844E-3</v>
      </c>
      <c r="L156" t="s">
        <v>161</v>
      </c>
      <c r="N156" t="s">
        <v>197</v>
      </c>
      <c r="O156" t="s">
        <v>162</v>
      </c>
      <c r="P156">
        <v>9.0424913128578869E-3</v>
      </c>
      <c r="Q156" t="s">
        <v>161</v>
      </c>
      <c r="S156" t="s">
        <v>219</v>
      </c>
      <c r="T156" t="s">
        <v>162</v>
      </c>
      <c r="U156">
        <v>8.7419670845380743E-3</v>
      </c>
      <c r="V156" t="s">
        <v>161</v>
      </c>
      <c r="AK156">
        <v>2040</v>
      </c>
      <c r="AL156" t="s">
        <v>153</v>
      </c>
      <c r="AM156">
        <v>0.40720000000000001</v>
      </c>
      <c r="AN156" t="s">
        <v>236</v>
      </c>
    </row>
    <row r="157" spans="9:40" x14ac:dyDescent="0.45">
      <c r="I157" t="s">
        <v>174</v>
      </c>
      <c r="J157" t="s">
        <v>163</v>
      </c>
      <c r="K157">
        <v>9.0649374828105603E-2</v>
      </c>
      <c r="L157" t="s">
        <v>161</v>
      </c>
      <c r="N157" t="s">
        <v>197</v>
      </c>
      <c r="O157" t="s">
        <v>163</v>
      </c>
      <c r="P157">
        <v>6.0314738756293562E-2</v>
      </c>
      <c r="Q157" t="s">
        <v>161</v>
      </c>
      <c r="S157" t="s">
        <v>219</v>
      </c>
      <c r="T157" t="s">
        <v>163</v>
      </c>
      <c r="U157">
        <v>6.0663796758914409E-2</v>
      </c>
      <c r="V157" t="s">
        <v>161</v>
      </c>
      <c r="AK157">
        <v>2040</v>
      </c>
      <c r="AL157" t="s">
        <v>155</v>
      </c>
      <c r="AM157">
        <v>0.43035000000000001</v>
      </c>
      <c r="AN157" t="s">
        <v>236</v>
      </c>
    </row>
    <row r="158" spans="9:40" x14ac:dyDescent="0.45">
      <c r="I158" t="s">
        <v>174</v>
      </c>
      <c r="J158" t="s">
        <v>242</v>
      </c>
      <c r="K158">
        <v>1.0395680744605677E-2</v>
      </c>
      <c r="L158" t="s">
        <v>161</v>
      </c>
      <c r="N158" t="s">
        <v>197</v>
      </c>
      <c r="O158" t="s">
        <v>242</v>
      </c>
      <c r="P158">
        <v>8.5716700851035769E-3</v>
      </c>
      <c r="Q158" t="s">
        <v>161</v>
      </c>
      <c r="S158" t="s">
        <v>219</v>
      </c>
      <c r="T158" t="s">
        <v>242</v>
      </c>
      <c r="U158">
        <v>8.7902758999753132E-3</v>
      </c>
      <c r="V158" t="s">
        <v>161</v>
      </c>
      <c r="AK158">
        <v>2040</v>
      </c>
      <c r="AL158" t="s">
        <v>157</v>
      </c>
      <c r="AM158">
        <v>0.38369999999999999</v>
      </c>
      <c r="AN158" t="s">
        <v>236</v>
      </c>
    </row>
    <row r="159" spans="9:40" x14ac:dyDescent="0.45">
      <c r="I159" t="s">
        <v>174</v>
      </c>
      <c r="J159" t="s">
        <v>243</v>
      </c>
      <c r="K159">
        <v>6.2536482341609446E-3</v>
      </c>
      <c r="L159" t="s">
        <v>161</v>
      </c>
      <c r="N159" t="s">
        <v>197</v>
      </c>
      <c r="O159" t="s">
        <v>243</v>
      </c>
      <c r="P159">
        <v>8.7936745950141226E-3</v>
      </c>
      <c r="Q159" t="s">
        <v>161</v>
      </c>
      <c r="S159" t="s">
        <v>219</v>
      </c>
      <c r="T159" t="s">
        <v>243</v>
      </c>
      <c r="U159">
        <v>8.9098048364731151E-3</v>
      </c>
      <c r="V159" t="s">
        <v>161</v>
      </c>
      <c r="AK159">
        <v>2040</v>
      </c>
      <c r="AL159" t="s">
        <v>239</v>
      </c>
      <c r="AM159">
        <v>0.33960000000000007</v>
      </c>
      <c r="AN159" t="s">
        <v>236</v>
      </c>
    </row>
    <row r="160" spans="9:40" x14ac:dyDescent="0.45">
      <c r="I160" t="s">
        <v>174</v>
      </c>
      <c r="J160" t="s">
        <v>266</v>
      </c>
      <c r="K160">
        <v>2.1442457859561716E-3</v>
      </c>
      <c r="L160" t="s">
        <v>161</v>
      </c>
      <c r="N160" t="s">
        <v>197</v>
      </c>
      <c r="O160" t="s">
        <v>266</v>
      </c>
      <c r="P160">
        <v>5.4979176344161038E-2</v>
      </c>
      <c r="Q160" t="s">
        <v>161</v>
      </c>
      <c r="S160" t="s">
        <v>219</v>
      </c>
      <c r="T160" t="s">
        <v>266</v>
      </c>
      <c r="U160">
        <v>5.4016371034144008E-2</v>
      </c>
      <c r="V160" t="s">
        <v>161</v>
      </c>
      <c r="AK160">
        <v>2040</v>
      </c>
      <c r="AL160" t="s">
        <v>241</v>
      </c>
      <c r="AM160">
        <v>0.36019999999999996</v>
      </c>
      <c r="AN160" t="s">
        <v>236</v>
      </c>
    </row>
    <row r="161" spans="9:40" x14ac:dyDescent="0.45">
      <c r="I161" t="s">
        <v>174</v>
      </c>
      <c r="J161" t="s">
        <v>311</v>
      </c>
      <c r="K161">
        <v>0</v>
      </c>
      <c r="L161" t="s">
        <v>161</v>
      </c>
      <c r="N161" t="s">
        <v>197</v>
      </c>
      <c r="O161" t="s">
        <v>311</v>
      </c>
      <c r="P161">
        <v>4.337105456925889E-6</v>
      </c>
      <c r="Q161" t="s">
        <v>161</v>
      </c>
      <c r="S161" t="s">
        <v>219</v>
      </c>
      <c r="T161" t="s">
        <v>311</v>
      </c>
      <c r="U161">
        <v>6.4722534782759287E-8</v>
      </c>
      <c r="V161" t="s">
        <v>161</v>
      </c>
      <c r="AK161">
        <v>2040</v>
      </c>
      <c r="AL161" t="s">
        <v>264</v>
      </c>
      <c r="AM161">
        <v>0.3745</v>
      </c>
      <c r="AN161" t="s">
        <v>236</v>
      </c>
    </row>
    <row r="162" spans="9:40" x14ac:dyDescent="0.45">
      <c r="I162" t="s">
        <v>174</v>
      </c>
      <c r="J162" t="s">
        <v>312</v>
      </c>
      <c r="K162">
        <v>0</v>
      </c>
      <c r="L162" t="s">
        <v>161</v>
      </c>
      <c r="N162" t="s">
        <v>197</v>
      </c>
      <c r="O162" t="s">
        <v>312</v>
      </c>
      <c r="P162">
        <v>7.1997568966975541E-6</v>
      </c>
      <c r="Q162" t="s">
        <v>161</v>
      </c>
      <c r="S162" t="s">
        <v>219</v>
      </c>
      <c r="T162" t="s">
        <v>312</v>
      </c>
      <c r="U162">
        <v>5.269764283911463E-8</v>
      </c>
      <c r="V162" t="s">
        <v>161</v>
      </c>
      <c r="AK162">
        <v>2040</v>
      </c>
      <c r="AL162" t="s">
        <v>265</v>
      </c>
      <c r="AM162">
        <v>0.3745</v>
      </c>
      <c r="AN162" t="s">
        <v>236</v>
      </c>
    </row>
    <row r="163" spans="9:40" x14ac:dyDescent="0.45">
      <c r="I163" t="s">
        <v>174</v>
      </c>
      <c r="J163" t="s">
        <v>313</v>
      </c>
      <c r="K163">
        <v>0</v>
      </c>
      <c r="L163" t="s">
        <v>161</v>
      </c>
      <c r="N163" t="s">
        <v>197</v>
      </c>
      <c r="O163" t="s">
        <v>313</v>
      </c>
      <c r="P163">
        <v>7.7910171290114021E-6</v>
      </c>
      <c r="Q163" t="s">
        <v>161</v>
      </c>
      <c r="S163" t="s">
        <v>219</v>
      </c>
      <c r="T163" t="s">
        <v>313</v>
      </c>
      <c r="U163">
        <v>5.5559368514737117E-8</v>
      </c>
      <c r="V163" t="s">
        <v>161</v>
      </c>
      <c r="AK163">
        <v>2041</v>
      </c>
      <c r="AL163" t="s">
        <v>149</v>
      </c>
      <c r="AM163">
        <v>0.36230000000000001</v>
      </c>
      <c r="AN163" t="s">
        <v>236</v>
      </c>
    </row>
    <row r="164" spans="9:40" x14ac:dyDescent="0.45">
      <c r="I164" t="s">
        <v>174</v>
      </c>
      <c r="J164" t="s">
        <v>314</v>
      </c>
      <c r="K164">
        <v>0</v>
      </c>
      <c r="L164" t="s">
        <v>161</v>
      </c>
      <c r="N164" t="s">
        <v>197</v>
      </c>
      <c r="O164" t="s">
        <v>314</v>
      </c>
      <c r="P164">
        <v>9.6981768025453766E-6</v>
      </c>
      <c r="Q164" t="s">
        <v>161</v>
      </c>
      <c r="S164" t="s">
        <v>219</v>
      </c>
      <c r="T164" t="s">
        <v>314</v>
      </c>
      <c r="U164">
        <v>8.8597501643509313E-8</v>
      </c>
      <c r="V164" t="s">
        <v>161</v>
      </c>
      <c r="AK164">
        <v>2041</v>
      </c>
      <c r="AL164" t="s">
        <v>153</v>
      </c>
      <c r="AM164">
        <v>0.40010000000000001</v>
      </c>
      <c r="AN164" t="s">
        <v>236</v>
      </c>
    </row>
    <row r="165" spans="9:40" x14ac:dyDescent="0.45">
      <c r="I165" t="s">
        <v>174</v>
      </c>
      <c r="J165" t="s">
        <v>315</v>
      </c>
      <c r="K165">
        <v>0</v>
      </c>
      <c r="L165" t="s">
        <v>161</v>
      </c>
      <c r="N165" t="s">
        <v>197</v>
      </c>
      <c r="O165" t="s">
        <v>315</v>
      </c>
      <c r="P165">
        <v>8.9292905603810927E-6</v>
      </c>
      <c r="Q165" t="s">
        <v>161</v>
      </c>
      <c r="S165" t="s">
        <v>219</v>
      </c>
      <c r="T165" t="s">
        <v>315</v>
      </c>
      <c r="U165">
        <v>0</v>
      </c>
      <c r="V165" t="s">
        <v>161</v>
      </c>
      <c r="AK165">
        <v>2041</v>
      </c>
      <c r="AL165" t="s">
        <v>155</v>
      </c>
      <c r="AM165">
        <v>0.43435000000000001</v>
      </c>
      <c r="AN165" t="s">
        <v>236</v>
      </c>
    </row>
    <row r="166" spans="9:40" x14ac:dyDescent="0.45">
      <c r="I166" t="s">
        <v>174</v>
      </c>
      <c r="J166" t="s">
        <v>316</v>
      </c>
      <c r="K166">
        <v>0</v>
      </c>
      <c r="L166" t="s">
        <v>161</v>
      </c>
      <c r="N166" t="s">
        <v>197</v>
      </c>
      <c r="O166" t="s">
        <v>316</v>
      </c>
      <c r="P166">
        <v>6.9823663312697065E-6</v>
      </c>
      <c r="Q166" t="s">
        <v>161</v>
      </c>
      <c r="S166" t="s">
        <v>219</v>
      </c>
      <c r="T166" t="s">
        <v>316</v>
      </c>
      <c r="U166">
        <v>0</v>
      </c>
      <c r="V166" t="s">
        <v>161</v>
      </c>
      <c r="AK166">
        <v>2041</v>
      </c>
      <c r="AL166" t="s">
        <v>157</v>
      </c>
      <c r="AM166">
        <v>0.37729999999999997</v>
      </c>
      <c r="AN166" t="s">
        <v>236</v>
      </c>
    </row>
    <row r="167" spans="9:40" x14ac:dyDescent="0.45">
      <c r="I167" t="s">
        <v>174</v>
      </c>
      <c r="J167" t="s">
        <v>317</v>
      </c>
      <c r="K167">
        <v>0</v>
      </c>
      <c r="L167" t="s">
        <v>161</v>
      </c>
      <c r="N167" t="s">
        <v>197</v>
      </c>
      <c r="O167" t="s">
        <v>317</v>
      </c>
      <c r="P167">
        <v>5.004264381313442E-6</v>
      </c>
      <c r="Q167" t="s">
        <v>161</v>
      </c>
      <c r="S167" t="s">
        <v>219</v>
      </c>
      <c r="T167" t="s">
        <v>317</v>
      </c>
      <c r="U167">
        <v>0</v>
      </c>
      <c r="V167" t="s">
        <v>161</v>
      </c>
      <c r="AK167">
        <v>2041</v>
      </c>
      <c r="AL167" t="s">
        <v>239</v>
      </c>
      <c r="AM167">
        <v>0.33723333333333333</v>
      </c>
      <c r="AN167" t="s">
        <v>236</v>
      </c>
    </row>
    <row r="168" spans="9:40" x14ac:dyDescent="0.45">
      <c r="I168" t="s">
        <v>174</v>
      </c>
      <c r="J168" t="s">
        <v>318</v>
      </c>
      <c r="K168">
        <v>0</v>
      </c>
      <c r="L168" t="s">
        <v>161</v>
      </c>
      <c r="N168" t="s">
        <v>197</v>
      </c>
      <c r="O168" t="s">
        <v>318</v>
      </c>
      <c r="P168">
        <v>7.8993415606891595E-6</v>
      </c>
      <c r="Q168" t="s">
        <v>161</v>
      </c>
      <c r="S168" t="s">
        <v>219</v>
      </c>
      <c r="T168" t="s">
        <v>318</v>
      </c>
      <c r="U168">
        <v>0</v>
      </c>
      <c r="V168" t="s">
        <v>161</v>
      </c>
      <c r="AK168">
        <v>2041</v>
      </c>
      <c r="AL168" t="s">
        <v>241</v>
      </c>
      <c r="AM168">
        <v>0.35309999999999997</v>
      </c>
      <c r="AN168" t="s">
        <v>236</v>
      </c>
    </row>
    <row r="169" spans="9:40" x14ac:dyDescent="0.45">
      <c r="I169" t="s">
        <v>174</v>
      </c>
      <c r="J169" t="s">
        <v>319</v>
      </c>
      <c r="K169">
        <v>6.1691080631754409E-5</v>
      </c>
      <c r="L169" t="s">
        <v>161</v>
      </c>
      <c r="N169" t="s">
        <v>197</v>
      </c>
      <c r="O169" t="s">
        <v>319</v>
      </c>
      <c r="P169">
        <v>7.9394262474053643E-6</v>
      </c>
      <c r="Q169" t="s">
        <v>161</v>
      </c>
      <c r="S169" t="s">
        <v>219</v>
      </c>
      <c r="T169" t="s">
        <v>319</v>
      </c>
      <c r="U169">
        <v>0</v>
      </c>
      <c r="V169" t="s">
        <v>161</v>
      </c>
      <c r="AK169">
        <v>2041</v>
      </c>
      <c r="AL169" t="s">
        <v>264</v>
      </c>
      <c r="AM169">
        <v>0.35730000000000001</v>
      </c>
      <c r="AN169" t="s">
        <v>236</v>
      </c>
    </row>
    <row r="170" spans="9:40" x14ac:dyDescent="0.45">
      <c r="I170" t="s">
        <v>174</v>
      </c>
      <c r="J170" t="s">
        <v>320</v>
      </c>
      <c r="K170">
        <v>6.8997528336968336E-5</v>
      </c>
      <c r="L170" t="s">
        <v>161</v>
      </c>
      <c r="N170" t="s">
        <v>197</v>
      </c>
      <c r="O170" t="s">
        <v>320</v>
      </c>
      <c r="P170">
        <v>1.7384778157085092E-6</v>
      </c>
      <c r="Q170" t="s">
        <v>161</v>
      </c>
      <c r="S170" t="s">
        <v>219</v>
      </c>
      <c r="T170" t="s">
        <v>320</v>
      </c>
      <c r="U170">
        <v>0</v>
      </c>
      <c r="V170" t="s">
        <v>161</v>
      </c>
      <c r="AK170">
        <v>2041</v>
      </c>
      <c r="AL170" t="s">
        <v>265</v>
      </c>
      <c r="AM170">
        <v>0.35730000000000001</v>
      </c>
      <c r="AN170" t="s">
        <v>236</v>
      </c>
    </row>
    <row r="171" spans="9:40" x14ac:dyDescent="0.45">
      <c r="I171" t="s">
        <v>174</v>
      </c>
      <c r="J171" t="s">
        <v>321</v>
      </c>
      <c r="K171">
        <v>1.1747761421667316E-4</v>
      </c>
      <c r="L171" t="s">
        <v>161</v>
      </c>
      <c r="N171" t="s">
        <v>197</v>
      </c>
      <c r="O171" t="s">
        <v>321</v>
      </c>
      <c r="P171">
        <v>8.529213062555902E-7</v>
      </c>
      <c r="Q171" t="s">
        <v>161</v>
      </c>
      <c r="S171" t="s">
        <v>219</v>
      </c>
      <c r="T171" t="s">
        <v>321</v>
      </c>
      <c r="U171">
        <v>0</v>
      </c>
      <c r="V171" t="s">
        <v>161</v>
      </c>
      <c r="AK171">
        <v>2042</v>
      </c>
      <c r="AL171" t="s">
        <v>149</v>
      </c>
      <c r="AM171">
        <v>0.35810000000000003</v>
      </c>
      <c r="AN171" t="s">
        <v>236</v>
      </c>
    </row>
    <row r="172" spans="9:40" x14ac:dyDescent="0.45">
      <c r="I172" t="s">
        <v>174</v>
      </c>
      <c r="J172" t="s">
        <v>322</v>
      </c>
      <c r="K172">
        <v>1.3250904754729163E-4</v>
      </c>
      <c r="L172" t="s">
        <v>161</v>
      </c>
      <c r="N172" t="s">
        <v>197</v>
      </c>
      <c r="O172" t="s">
        <v>322</v>
      </c>
      <c r="P172">
        <v>1.6706987114392361E-5</v>
      </c>
      <c r="Q172" t="s">
        <v>161</v>
      </c>
      <c r="S172" t="s">
        <v>219</v>
      </c>
      <c r="T172" t="s">
        <v>322</v>
      </c>
      <c r="U172">
        <v>0</v>
      </c>
      <c r="V172" t="s">
        <v>161</v>
      </c>
      <c r="AK172">
        <v>2042</v>
      </c>
      <c r="AL172" t="s">
        <v>153</v>
      </c>
      <c r="AM172">
        <v>0.38</v>
      </c>
      <c r="AN172" t="s">
        <v>236</v>
      </c>
    </row>
    <row r="173" spans="9:40" x14ac:dyDescent="0.45">
      <c r="I173" t="s">
        <v>174</v>
      </c>
      <c r="J173" t="s">
        <v>323</v>
      </c>
      <c r="K173">
        <v>1.3855351140431465E-4</v>
      </c>
      <c r="L173" t="s">
        <v>161</v>
      </c>
      <c r="N173" t="s">
        <v>197</v>
      </c>
      <c r="O173" t="s">
        <v>323</v>
      </c>
      <c r="P173">
        <v>1.2095956237604387E-5</v>
      </c>
      <c r="Q173" t="s">
        <v>161</v>
      </c>
      <c r="S173" t="s">
        <v>219</v>
      </c>
      <c r="T173" t="s">
        <v>323</v>
      </c>
      <c r="U173">
        <v>0</v>
      </c>
      <c r="V173" t="s">
        <v>161</v>
      </c>
      <c r="AK173">
        <v>2042</v>
      </c>
      <c r="AL173" t="s">
        <v>155</v>
      </c>
      <c r="AM173">
        <v>0.44089999999999996</v>
      </c>
      <c r="AN173" t="s">
        <v>236</v>
      </c>
    </row>
    <row r="174" spans="9:40" x14ac:dyDescent="0.45">
      <c r="I174" t="s">
        <v>174</v>
      </c>
      <c r="J174" t="s">
        <v>324</v>
      </c>
      <c r="K174">
        <v>1.5044293305479701E-4</v>
      </c>
      <c r="L174" t="s">
        <v>161</v>
      </c>
      <c r="N174" t="s">
        <v>197</v>
      </c>
      <c r="O174" t="s">
        <v>324</v>
      </c>
      <c r="P174">
        <v>5.0737882604991394E-6</v>
      </c>
      <c r="Q174" t="s">
        <v>161</v>
      </c>
      <c r="S174" t="s">
        <v>219</v>
      </c>
      <c r="T174" t="s">
        <v>324</v>
      </c>
      <c r="U174">
        <v>3.5464823924428561E-7</v>
      </c>
      <c r="V174" t="s">
        <v>161</v>
      </c>
      <c r="AK174">
        <v>2042</v>
      </c>
      <c r="AL174" t="s">
        <v>157</v>
      </c>
      <c r="AM174">
        <v>0.38493333333333335</v>
      </c>
      <c r="AN174" t="s">
        <v>236</v>
      </c>
    </row>
    <row r="175" spans="9:40" x14ac:dyDescent="0.45">
      <c r="I175" t="s">
        <v>174</v>
      </c>
      <c r="J175" t="s">
        <v>325</v>
      </c>
      <c r="K175">
        <v>2.2228714735363892E-4</v>
      </c>
      <c r="L175" t="s">
        <v>161</v>
      </c>
      <c r="N175" t="s">
        <v>197</v>
      </c>
      <c r="O175" t="s">
        <v>325</v>
      </c>
      <c r="P175">
        <v>2.039006590677295E-6</v>
      </c>
      <c r="Q175" t="s">
        <v>161</v>
      </c>
      <c r="S175" t="s">
        <v>219</v>
      </c>
      <c r="T175" t="s">
        <v>325</v>
      </c>
      <c r="U175">
        <v>3.7790587341126497E-7</v>
      </c>
      <c r="V175" t="s">
        <v>161</v>
      </c>
      <c r="AK175">
        <v>2042</v>
      </c>
      <c r="AL175" t="s">
        <v>239</v>
      </c>
      <c r="AM175">
        <v>0.33936666666666665</v>
      </c>
      <c r="AN175" t="s">
        <v>236</v>
      </c>
    </row>
    <row r="176" spans="9:40" x14ac:dyDescent="0.45">
      <c r="I176" t="s">
        <v>174</v>
      </c>
      <c r="J176" t="s">
        <v>326</v>
      </c>
      <c r="K176">
        <v>2.7619547144457773E-4</v>
      </c>
      <c r="L176" t="s">
        <v>161</v>
      </c>
      <c r="N176" t="s">
        <v>197</v>
      </c>
      <c r="O176" t="s">
        <v>326</v>
      </c>
      <c r="P176">
        <v>2.0544846708048686E-6</v>
      </c>
      <c r="Q176" t="s">
        <v>161</v>
      </c>
      <c r="S176" t="s">
        <v>219</v>
      </c>
      <c r="T176" t="s">
        <v>326</v>
      </c>
      <c r="U176">
        <v>0</v>
      </c>
      <c r="V176" t="s">
        <v>161</v>
      </c>
      <c r="AK176">
        <v>2042</v>
      </c>
      <c r="AL176" t="s">
        <v>241</v>
      </c>
      <c r="AM176">
        <v>0.36675000000000002</v>
      </c>
      <c r="AN176" t="s">
        <v>236</v>
      </c>
    </row>
    <row r="177" spans="9:40" x14ac:dyDescent="0.45">
      <c r="I177" t="s">
        <v>174</v>
      </c>
      <c r="J177" t="s">
        <v>327</v>
      </c>
      <c r="K177">
        <v>3.155018585562635E-4</v>
      </c>
      <c r="L177" t="s">
        <v>161</v>
      </c>
      <c r="N177" t="s">
        <v>197</v>
      </c>
      <c r="O177" t="s">
        <v>327</v>
      </c>
      <c r="P177">
        <v>4.504766272300419E-6</v>
      </c>
      <c r="Q177" t="s">
        <v>161</v>
      </c>
      <c r="S177" t="s">
        <v>219</v>
      </c>
      <c r="T177" t="s">
        <v>327</v>
      </c>
      <c r="U177">
        <v>0</v>
      </c>
      <c r="V177" t="s">
        <v>161</v>
      </c>
      <c r="AK177">
        <v>2042</v>
      </c>
      <c r="AL177" t="s">
        <v>264</v>
      </c>
      <c r="AM177">
        <v>0.37919999999999998</v>
      </c>
      <c r="AN177" t="s">
        <v>236</v>
      </c>
    </row>
    <row r="178" spans="9:40" x14ac:dyDescent="0.45">
      <c r="I178" t="s">
        <v>174</v>
      </c>
      <c r="J178" t="s">
        <v>328</v>
      </c>
      <c r="K178">
        <v>2.254316298920113E-4</v>
      </c>
      <c r="L178" t="s">
        <v>161</v>
      </c>
      <c r="N178" t="s">
        <v>197</v>
      </c>
      <c r="O178" t="s">
        <v>328</v>
      </c>
      <c r="P178">
        <v>1.1882360303205885E-5</v>
      </c>
      <c r="Q178" t="s">
        <v>161</v>
      </c>
      <c r="S178" t="s">
        <v>219</v>
      </c>
      <c r="T178" t="s">
        <v>328</v>
      </c>
      <c r="U178">
        <v>0</v>
      </c>
      <c r="V178" t="s">
        <v>161</v>
      </c>
      <c r="AK178">
        <v>2042</v>
      </c>
      <c r="AL178" t="s">
        <v>265</v>
      </c>
      <c r="AM178">
        <v>0.37919999999999998</v>
      </c>
      <c r="AN178" t="s">
        <v>236</v>
      </c>
    </row>
    <row r="179" spans="9:40" x14ac:dyDescent="0.45">
      <c r="I179" t="s">
        <v>174</v>
      </c>
      <c r="J179" t="s">
        <v>329</v>
      </c>
      <c r="K179">
        <v>0</v>
      </c>
      <c r="L179" t="s">
        <v>161</v>
      </c>
      <c r="N179" t="s">
        <v>197</v>
      </c>
      <c r="O179" t="s">
        <v>329</v>
      </c>
      <c r="P179">
        <v>1.735555269737433E-5</v>
      </c>
      <c r="Q179" t="s">
        <v>161</v>
      </c>
      <c r="S179" t="s">
        <v>219</v>
      </c>
      <c r="T179" t="s">
        <v>329</v>
      </c>
      <c r="U179">
        <v>7.6916134452139962E-8</v>
      </c>
      <c r="V179" t="s">
        <v>161</v>
      </c>
      <c r="AK179">
        <v>2043</v>
      </c>
      <c r="AL179" t="s">
        <v>149</v>
      </c>
      <c r="AM179">
        <v>0.37056666666666666</v>
      </c>
      <c r="AN179" t="s">
        <v>236</v>
      </c>
    </row>
    <row r="180" spans="9:40" x14ac:dyDescent="0.45">
      <c r="I180" t="s">
        <v>174</v>
      </c>
      <c r="J180" t="s">
        <v>330</v>
      </c>
      <c r="K180">
        <v>0</v>
      </c>
      <c r="L180" t="s">
        <v>161</v>
      </c>
      <c r="N180" t="s">
        <v>197</v>
      </c>
      <c r="O180" t="s">
        <v>330</v>
      </c>
      <c r="P180">
        <v>2.0157121881659655E-5</v>
      </c>
      <c r="Q180" t="s">
        <v>161</v>
      </c>
      <c r="S180" t="s">
        <v>219</v>
      </c>
      <c r="T180" t="s">
        <v>330</v>
      </c>
      <c r="U180">
        <v>6.0707106383054983E-7</v>
      </c>
      <c r="V180" t="s">
        <v>161</v>
      </c>
      <c r="AK180">
        <v>2043</v>
      </c>
      <c r="AL180" t="s">
        <v>153</v>
      </c>
      <c r="AM180">
        <v>0.39690000000000003</v>
      </c>
      <c r="AN180" t="s">
        <v>236</v>
      </c>
    </row>
    <row r="181" spans="9:40" x14ac:dyDescent="0.45">
      <c r="I181" t="s">
        <v>174</v>
      </c>
      <c r="J181" t="s">
        <v>331</v>
      </c>
      <c r="K181">
        <v>0</v>
      </c>
      <c r="L181" t="s">
        <v>161</v>
      </c>
      <c r="N181" t="s">
        <v>197</v>
      </c>
      <c r="O181" t="s">
        <v>331</v>
      </c>
      <c r="P181">
        <v>1.6894740115283822E-5</v>
      </c>
      <c r="Q181" t="s">
        <v>161</v>
      </c>
      <c r="S181" t="s">
        <v>219</v>
      </c>
      <c r="T181" t="s">
        <v>331</v>
      </c>
      <c r="U181">
        <v>1.2523835909307863E-6</v>
      </c>
      <c r="V181" t="s">
        <v>161</v>
      </c>
      <c r="AK181">
        <v>2043</v>
      </c>
      <c r="AL181" t="s">
        <v>155</v>
      </c>
      <c r="AM181">
        <v>0.43385000000000001</v>
      </c>
      <c r="AN181" t="s">
        <v>236</v>
      </c>
    </row>
    <row r="182" spans="9:40" x14ac:dyDescent="0.45">
      <c r="I182" t="s">
        <v>174</v>
      </c>
      <c r="J182" t="s">
        <v>332</v>
      </c>
      <c r="K182">
        <v>0</v>
      </c>
      <c r="L182" t="s">
        <v>161</v>
      </c>
      <c r="N182" t="s">
        <v>197</v>
      </c>
      <c r="O182" t="s">
        <v>332</v>
      </c>
      <c r="P182">
        <v>1.449390046321146E-5</v>
      </c>
      <c r="Q182" t="s">
        <v>161</v>
      </c>
      <c r="S182" t="s">
        <v>219</v>
      </c>
      <c r="T182" t="s">
        <v>332</v>
      </c>
      <c r="U182">
        <v>5.8941166398392542E-7</v>
      </c>
      <c r="V182" t="s">
        <v>161</v>
      </c>
      <c r="AK182">
        <v>2043</v>
      </c>
      <c r="AL182" t="s">
        <v>157</v>
      </c>
      <c r="AM182">
        <v>0.40876666666666672</v>
      </c>
      <c r="AN182" t="s">
        <v>236</v>
      </c>
    </row>
    <row r="183" spans="9:40" x14ac:dyDescent="0.45">
      <c r="I183" t="s">
        <v>174</v>
      </c>
      <c r="J183" t="s">
        <v>333</v>
      </c>
      <c r="K183">
        <v>0</v>
      </c>
      <c r="L183" t="s">
        <v>161</v>
      </c>
      <c r="N183" t="s">
        <v>197</v>
      </c>
      <c r="O183" t="s">
        <v>333</v>
      </c>
      <c r="P183">
        <v>1.3628706392039406E-5</v>
      </c>
      <c r="Q183" t="s">
        <v>161</v>
      </c>
      <c r="S183" t="s">
        <v>219</v>
      </c>
      <c r="T183" t="s">
        <v>333</v>
      </c>
      <c r="U183">
        <v>3.2544384508544174E-6</v>
      </c>
      <c r="V183" t="s">
        <v>161</v>
      </c>
      <c r="AK183">
        <v>2043</v>
      </c>
      <c r="AL183" t="s">
        <v>239</v>
      </c>
      <c r="AM183">
        <v>0.33693333333333336</v>
      </c>
      <c r="AN183" t="s">
        <v>236</v>
      </c>
    </row>
    <row r="184" spans="9:40" x14ac:dyDescent="0.45">
      <c r="I184" t="s">
        <v>174</v>
      </c>
      <c r="J184" t="s">
        <v>334</v>
      </c>
      <c r="K184">
        <v>0</v>
      </c>
      <c r="L184" t="s">
        <v>161</v>
      </c>
      <c r="N184" t="s">
        <v>197</v>
      </c>
      <c r="O184" t="s">
        <v>334</v>
      </c>
      <c r="P184">
        <v>8.9272260417636296E-6</v>
      </c>
      <c r="Q184" t="s">
        <v>161</v>
      </c>
      <c r="S184" t="s">
        <v>219</v>
      </c>
      <c r="T184" t="s">
        <v>334</v>
      </c>
      <c r="U184">
        <v>4.1788854953703125E-7</v>
      </c>
      <c r="V184" t="s">
        <v>161</v>
      </c>
      <c r="AK184">
        <v>2043</v>
      </c>
      <c r="AL184" t="s">
        <v>241</v>
      </c>
      <c r="AM184">
        <v>0.32569999999999999</v>
      </c>
      <c r="AN184" t="s">
        <v>236</v>
      </c>
    </row>
    <row r="185" spans="9:40" x14ac:dyDescent="0.45">
      <c r="I185" t="s">
        <v>174</v>
      </c>
      <c r="J185" t="s">
        <v>164</v>
      </c>
      <c r="K185">
        <v>4.7205961610517905E-3</v>
      </c>
      <c r="L185" t="s">
        <v>161</v>
      </c>
      <c r="N185" t="s">
        <v>197</v>
      </c>
      <c r="O185" t="s">
        <v>164</v>
      </c>
      <c r="P185">
        <v>3.5552337392850387E-2</v>
      </c>
      <c r="Q185" t="s">
        <v>161</v>
      </c>
      <c r="S185" t="s">
        <v>219</v>
      </c>
      <c r="T185" t="s">
        <v>164</v>
      </c>
      <c r="U185">
        <v>3.7688927247188662E-2</v>
      </c>
      <c r="V185" t="s">
        <v>161</v>
      </c>
      <c r="AK185">
        <v>2043</v>
      </c>
      <c r="AL185" t="s">
        <v>264</v>
      </c>
      <c r="AM185">
        <v>0.34720000000000001</v>
      </c>
      <c r="AN185" t="s">
        <v>236</v>
      </c>
    </row>
    <row r="186" spans="9:40" x14ac:dyDescent="0.45">
      <c r="I186" t="s">
        <v>174</v>
      </c>
      <c r="J186" t="s">
        <v>165</v>
      </c>
      <c r="K186">
        <v>7.154745910551495E-3</v>
      </c>
      <c r="L186" t="s">
        <v>161</v>
      </c>
      <c r="N186" t="s">
        <v>197</v>
      </c>
      <c r="O186" t="s">
        <v>165</v>
      </c>
      <c r="P186">
        <v>3.8636018022584744E-3</v>
      </c>
      <c r="Q186" t="s">
        <v>161</v>
      </c>
      <c r="S186" t="s">
        <v>219</v>
      </c>
      <c r="T186" t="s">
        <v>165</v>
      </c>
      <c r="U186">
        <v>4.6097058232387553E-3</v>
      </c>
      <c r="V186" t="s">
        <v>161</v>
      </c>
      <c r="AK186">
        <v>2043</v>
      </c>
      <c r="AL186" t="s">
        <v>265</v>
      </c>
      <c r="AM186">
        <v>0.34720000000000001</v>
      </c>
      <c r="AN186" t="s">
        <v>236</v>
      </c>
    </row>
    <row r="187" spans="9:40" x14ac:dyDescent="0.45">
      <c r="I187" t="s">
        <v>174</v>
      </c>
      <c r="J187" t="s">
        <v>166</v>
      </c>
      <c r="K187">
        <v>8.765764423840712E-2</v>
      </c>
      <c r="L187" t="s">
        <v>161</v>
      </c>
      <c r="N187" t="s">
        <v>197</v>
      </c>
      <c r="O187" t="s">
        <v>166</v>
      </c>
      <c r="P187">
        <v>2.8512210021835925E-2</v>
      </c>
      <c r="Q187" t="s">
        <v>161</v>
      </c>
      <c r="S187" t="s">
        <v>219</v>
      </c>
      <c r="T187" t="s">
        <v>166</v>
      </c>
      <c r="U187">
        <v>3.1557348714863202E-2</v>
      </c>
      <c r="V187" t="s">
        <v>161</v>
      </c>
      <c r="AK187">
        <v>2044</v>
      </c>
      <c r="AL187" t="s">
        <v>149</v>
      </c>
      <c r="AM187">
        <v>0.37013333333333326</v>
      </c>
      <c r="AN187" t="s">
        <v>236</v>
      </c>
    </row>
    <row r="188" spans="9:40" x14ac:dyDescent="0.45">
      <c r="I188" t="s">
        <v>174</v>
      </c>
      <c r="J188" t="s">
        <v>244</v>
      </c>
      <c r="K188">
        <v>1.0126132970869013E-2</v>
      </c>
      <c r="L188" t="s">
        <v>161</v>
      </c>
      <c r="N188" t="s">
        <v>197</v>
      </c>
      <c r="O188" t="s">
        <v>244</v>
      </c>
      <c r="P188">
        <v>4.3257981546766695E-3</v>
      </c>
      <c r="Q188" t="s">
        <v>161</v>
      </c>
      <c r="S188" t="s">
        <v>219</v>
      </c>
      <c r="T188" t="s">
        <v>244</v>
      </c>
      <c r="U188">
        <v>4.7389779787998043E-3</v>
      </c>
      <c r="V188" t="s">
        <v>161</v>
      </c>
      <c r="AK188">
        <v>2044</v>
      </c>
      <c r="AL188" t="s">
        <v>153</v>
      </c>
      <c r="AM188">
        <v>0.39485000000000003</v>
      </c>
      <c r="AN188" t="s">
        <v>236</v>
      </c>
    </row>
    <row r="189" spans="9:40" x14ac:dyDescent="0.45">
      <c r="I189" t="s">
        <v>174</v>
      </c>
      <c r="J189" t="s">
        <v>245</v>
      </c>
      <c r="K189">
        <v>7.7981387616125053E-3</v>
      </c>
      <c r="L189" t="s">
        <v>161</v>
      </c>
      <c r="N189" t="s">
        <v>197</v>
      </c>
      <c r="O189" t="s">
        <v>245</v>
      </c>
      <c r="P189">
        <v>3.9642478353729997E-3</v>
      </c>
      <c r="Q189" t="s">
        <v>161</v>
      </c>
      <c r="S189" t="s">
        <v>219</v>
      </c>
      <c r="T189" t="s">
        <v>245</v>
      </c>
      <c r="U189">
        <v>4.8342054770976021E-3</v>
      </c>
      <c r="V189" t="s">
        <v>161</v>
      </c>
      <c r="AK189">
        <v>2044</v>
      </c>
      <c r="AL189" t="s">
        <v>155</v>
      </c>
      <c r="AM189">
        <v>0.43532500000000002</v>
      </c>
      <c r="AN189" t="s">
        <v>236</v>
      </c>
    </row>
    <row r="190" spans="9:40" x14ac:dyDescent="0.45">
      <c r="I190" t="s">
        <v>174</v>
      </c>
      <c r="J190" t="s">
        <v>267</v>
      </c>
      <c r="K190">
        <v>6.8290530242745857E-3</v>
      </c>
      <c r="L190" t="s">
        <v>161</v>
      </c>
      <c r="N190" t="s">
        <v>197</v>
      </c>
      <c r="O190" t="s">
        <v>267</v>
      </c>
      <c r="P190">
        <v>2.9478547217404866E-2</v>
      </c>
      <c r="Q190" t="s">
        <v>161</v>
      </c>
      <c r="S190" t="s">
        <v>219</v>
      </c>
      <c r="T190" t="s">
        <v>267</v>
      </c>
      <c r="U190">
        <v>2.9996677081189482E-2</v>
      </c>
      <c r="V190" t="s">
        <v>161</v>
      </c>
      <c r="AK190">
        <v>2044</v>
      </c>
      <c r="AL190" t="s">
        <v>157</v>
      </c>
      <c r="AM190">
        <v>0.39856666666666668</v>
      </c>
      <c r="AN190" t="s">
        <v>236</v>
      </c>
    </row>
    <row r="191" spans="9:40" x14ac:dyDescent="0.45">
      <c r="I191" t="s">
        <v>174</v>
      </c>
      <c r="J191" t="s">
        <v>167</v>
      </c>
      <c r="K191">
        <v>3.4570730596020921E-2</v>
      </c>
      <c r="L191" t="s">
        <v>161</v>
      </c>
      <c r="N191" t="s">
        <v>197</v>
      </c>
      <c r="O191" t="s">
        <v>167</v>
      </c>
      <c r="P191">
        <v>6.3963292931517451E-2</v>
      </c>
      <c r="Q191" t="s">
        <v>161</v>
      </c>
      <c r="S191" t="s">
        <v>219</v>
      </c>
      <c r="T191" t="s">
        <v>167</v>
      </c>
      <c r="U191">
        <v>6.8595825490868637E-2</v>
      </c>
      <c r="V191" t="s">
        <v>161</v>
      </c>
      <c r="AK191">
        <v>2044</v>
      </c>
      <c r="AL191" t="s">
        <v>239</v>
      </c>
      <c r="AM191">
        <v>0.35416666666666669</v>
      </c>
      <c r="AN191" t="s">
        <v>236</v>
      </c>
    </row>
    <row r="192" spans="9:40" x14ac:dyDescent="0.45">
      <c r="I192" t="s">
        <v>174</v>
      </c>
      <c r="J192" t="s">
        <v>168</v>
      </c>
      <c r="K192">
        <v>2.8305371823816806E-2</v>
      </c>
      <c r="L192" t="s">
        <v>161</v>
      </c>
      <c r="N192" t="s">
        <v>197</v>
      </c>
      <c r="O192" t="s">
        <v>168</v>
      </c>
      <c r="P192">
        <v>6.5100307688920134E-3</v>
      </c>
      <c r="Q192" t="s">
        <v>161</v>
      </c>
      <c r="S192" t="s">
        <v>219</v>
      </c>
      <c r="T192" t="s">
        <v>168</v>
      </c>
      <c r="U192">
        <v>8.3914453006242867E-3</v>
      </c>
      <c r="V192" t="s">
        <v>161</v>
      </c>
      <c r="AK192">
        <v>2044</v>
      </c>
      <c r="AL192" t="s">
        <v>241</v>
      </c>
      <c r="AM192">
        <v>0.35575000000000001</v>
      </c>
      <c r="AN192" t="s">
        <v>236</v>
      </c>
    </row>
    <row r="193" spans="9:40" x14ac:dyDescent="0.45">
      <c r="I193" t="s">
        <v>174</v>
      </c>
      <c r="J193" t="s">
        <v>169</v>
      </c>
      <c r="K193">
        <v>0.25735680416607948</v>
      </c>
      <c r="L193" t="s">
        <v>161</v>
      </c>
      <c r="N193" t="s">
        <v>197</v>
      </c>
      <c r="O193" t="s">
        <v>169</v>
      </c>
      <c r="P193">
        <v>4.9481607746145614E-2</v>
      </c>
      <c r="Q193" t="s">
        <v>161</v>
      </c>
      <c r="S193" t="s">
        <v>219</v>
      </c>
      <c r="T193" t="s">
        <v>169</v>
      </c>
      <c r="U193">
        <v>5.7303840428842158E-2</v>
      </c>
      <c r="V193" t="s">
        <v>161</v>
      </c>
      <c r="AK193">
        <v>2044</v>
      </c>
      <c r="AL193" t="s">
        <v>264</v>
      </c>
      <c r="AM193">
        <v>0.37430000000000002</v>
      </c>
      <c r="AN193" t="s">
        <v>236</v>
      </c>
    </row>
    <row r="194" spans="9:40" x14ac:dyDescent="0.45">
      <c r="I194" t="s">
        <v>174</v>
      </c>
      <c r="J194" t="s">
        <v>246</v>
      </c>
      <c r="K194">
        <v>3.0924894970995872E-2</v>
      </c>
      <c r="L194" t="s">
        <v>161</v>
      </c>
      <c r="N194" t="s">
        <v>197</v>
      </c>
      <c r="O194" t="s">
        <v>246</v>
      </c>
      <c r="P194">
        <v>7.8564808536395053E-3</v>
      </c>
      <c r="Q194" t="s">
        <v>161</v>
      </c>
      <c r="S194" t="s">
        <v>219</v>
      </c>
      <c r="T194" t="s">
        <v>246</v>
      </c>
      <c r="U194">
        <v>8.8386139054889273E-3</v>
      </c>
      <c r="V194" t="s">
        <v>161</v>
      </c>
      <c r="AK194">
        <v>2044</v>
      </c>
      <c r="AL194" t="s">
        <v>265</v>
      </c>
      <c r="AM194">
        <v>0.37430000000000002</v>
      </c>
      <c r="AN194" t="s">
        <v>236</v>
      </c>
    </row>
    <row r="195" spans="9:40" x14ac:dyDescent="0.45">
      <c r="I195" t="s">
        <v>174</v>
      </c>
      <c r="J195" t="s">
        <v>247</v>
      </c>
      <c r="K195">
        <v>2.583335053860809E-2</v>
      </c>
      <c r="L195" t="s">
        <v>161</v>
      </c>
      <c r="N195" t="s">
        <v>197</v>
      </c>
      <c r="O195" t="s">
        <v>247</v>
      </c>
      <c r="P195">
        <v>7.3756674473261126E-3</v>
      </c>
      <c r="Q195" t="s">
        <v>161</v>
      </c>
      <c r="S195" t="s">
        <v>219</v>
      </c>
      <c r="T195" t="s">
        <v>247</v>
      </c>
      <c r="U195">
        <v>9.0220067989506027E-3</v>
      </c>
      <c r="V195" t="s">
        <v>161</v>
      </c>
      <c r="AK195">
        <v>2045</v>
      </c>
      <c r="AL195" t="s">
        <v>149</v>
      </c>
      <c r="AM195">
        <v>0.3666666666666667</v>
      </c>
      <c r="AN195" t="s">
        <v>236</v>
      </c>
    </row>
    <row r="196" spans="9:40" x14ac:dyDescent="0.45">
      <c r="I196" t="s">
        <v>174</v>
      </c>
      <c r="J196" t="s">
        <v>268</v>
      </c>
      <c r="K196">
        <v>3.568301831095453E-2</v>
      </c>
      <c r="L196" t="s">
        <v>161</v>
      </c>
      <c r="N196" t="s">
        <v>197</v>
      </c>
      <c r="O196" t="s">
        <v>268</v>
      </c>
      <c r="P196">
        <v>4.9203167099664991E-2</v>
      </c>
      <c r="Q196" t="s">
        <v>161</v>
      </c>
      <c r="S196" t="s">
        <v>219</v>
      </c>
      <c r="T196" t="s">
        <v>268</v>
      </c>
      <c r="U196">
        <v>5.2690337583286624E-2</v>
      </c>
      <c r="V196" t="s">
        <v>161</v>
      </c>
      <c r="AK196">
        <v>2045</v>
      </c>
      <c r="AL196" t="s">
        <v>153</v>
      </c>
      <c r="AM196">
        <v>0.36560000000000004</v>
      </c>
      <c r="AN196" t="s">
        <v>236</v>
      </c>
    </row>
    <row r="197" spans="9:40" x14ac:dyDescent="0.45">
      <c r="I197" t="s">
        <v>174</v>
      </c>
      <c r="J197" t="s">
        <v>170</v>
      </c>
      <c r="K197">
        <v>1.1460519032518685E-2</v>
      </c>
      <c r="L197" t="s">
        <v>161</v>
      </c>
      <c r="N197" t="s">
        <v>197</v>
      </c>
      <c r="O197" t="s">
        <v>170</v>
      </c>
      <c r="P197">
        <v>3.7968040442564757E-2</v>
      </c>
      <c r="Q197" t="s">
        <v>161</v>
      </c>
      <c r="S197" t="s">
        <v>219</v>
      </c>
      <c r="T197" t="s">
        <v>170</v>
      </c>
      <c r="U197">
        <v>3.7016256715878562E-2</v>
      </c>
      <c r="V197" t="s">
        <v>161</v>
      </c>
      <c r="AK197">
        <v>2045</v>
      </c>
      <c r="AL197" t="s">
        <v>155</v>
      </c>
      <c r="AM197">
        <v>0.43390000000000001</v>
      </c>
      <c r="AN197" t="s">
        <v>236</v>
      </c>
    </row>
    <row r="198" spans="9:40" x14ac:dyDescent="0.45">
      <c r="I198" t="s">
        <v>174</v>
      </c>
      <c r="J198" t="s">
        <v>171</v>
      </c>
      <c r="K198">
        <v>1.2384035974887691E-2</v>
      </c>
      <c r="L198" t="s">
        <v>161</v>
      </c>
      <c r="N198" t="s">
        <v>197</v>
      </c>
      <c r="O198" t="s">
        <v>171</v>
      </c>
      <c r="P198">
        <v>3.8584981546685537E-3</v>
      </c>
      <c r="Q198" t="s">
        <v>161</v>
      </c>
      <c r="S198" t="s">
        <v>219</v>
      </c>
      <c r="T198" t="s">
        <v>171</v>
      </c>
      <c r="U198">
        <v>4.9259358930825578E-3</v>
      </c>
      <c r="V198" t="s">
        <v>161</v>
      </c>
      <c r="AK198">
        <v>2045</v>
      </c>
      <c r="AL198" t="s">
        <v>157</v>
      </c>
      <c r="AM198">
        <v>0.3995333333333333</v>
      </c>
      <c r="AN198" t="s">
        <v>236</v>
      </c>
    </row>
    <row r="199" spans="9:40" x14ac:dyDescent="0.45">
      <c r="I199" t="s">
        <v>174</v>
      </c>
      <c r="J199" t="s">
        <v>172</v>
      </c>
      <c r="K199">
        <v>0.12286692621271915</v>
      </c>
      <c r="L199" t="s">
        <v>161</v>
      </c>
      <c r="N199" t="s">
        <v>197</v>
      </c>
      <c r="O199" t="s">
        <v>172</v>
      </c>
      <c r="P199">
        <v>2.4964153023005753E-2</v>
      </c>
      <c r="Q199" t="s">
        <v>161</v>
      </c>
      <c r="S199" t="s">
        <v>219</v>
      </c>
      <c r="T199" t="s">
        <v>172</v>
      </c>
      <c r="U199">
        <v>3.3877635589853232E-2</v>
      </c>
      <c r="V199" t="s">
        <v>161</v>
      </c>
      <c r="AK199">
        <v>2045</v>
      </c>
      <c r="AL199" t="s">
        <v>239</v>
      </c>
      <c r="AM199">
        <v>0.33240000000000003</v>
      </c>
      <c r="AN199" t="s">
        <v>236</v>
      </c>
    </row>
    <row r="200" spans="9:40" x14ac:dyDescent="0.45">
      <c r="I200" t="s">
        <v>174</v>
      </c>
      <c r="J200" t="s">
        <v>248</v>
      </c>
      <c r="K200">
        <v>1.451251765280173E-2</v>
      </c>
      <c r="L200" t="s">
        <v>161</v>
      </c>
      <c r="N200" t="s">
        <v>197</v>
      </c>
      <c r="O200" t="s">
        <v>248</v>
      </c>
      <c r="P200">
        <v>3.4281871391398586E-3</v>
      </c>
      <c r="Q200" t="s">
        <v>161</v>
      </c>
      <c r="S200" t="s">
        <v>219</v>
      </c>
      <c r="T200" t="s">
        <v>248</v>
      </c>
      <c r="U200">
        <v>4.7843311543841307E-3</v>
      </c>
      <c r="V200" t="s">
        <v>161</v>
      </c>
      <c r="AK200">
        <v>2045</v>
      </c>
      <c r="AL200" t="s">
        <v>241</v>
      </c>
      <c r="AM200">
        <v>0.33829999999999999</v>
      </c>
      <c r="AN200" t="s">
        <v>236</v>
      </c>
    </row>
    <row r="201" spans="9:40" x14ac:dyDescent="0.45">
      <c r="I201" t="s">
        <v>174</v>
      </c>
      <c r="J201" t="s">
        <v>249</v>
      </c>
      <c r="K201">
        <v>1.1907762398546878E-2</v>
      </c>
      <c r="L201" t="s">
        <v>161</v>
      </c>
      <c r="N201" t="s">
        <v>197</v>
      </c>
      <c r="O201" t="s">
        <v>249</v>
      </c>
      <c r="P201">
        <v>3.1361160305462556E-3</v>
      </c>
      <c r="Q201" t="s">
        <v>161</v>
      </c>
      <c r="S201" t="s">
        <v>219</v>
      </c>
      <c r="T201" t="s">
        <v>249</v>
      </c>
      <c r="U201">
        <v>4.6097419234439798E-3</v>
      </c>
      <c r="V201" t="s">
        <v>161</v>
      </c>
      <c r="AK201">
        <v>2045</v>
      </c>
      <c r="AL201" t="s">
        <v>264</v>
      </c>
      <c r="AM201">
        <v>0.3584</v>
      </c>
      <c r="AN201" t="s">
        <v>236</v>
      </c>
    </row>
    <row r="202" spans="9:40" x14ac:dyDescent="0.45">
      <c r="I202" t="s">
        <v>174</v>
      </c>
      <c r="J202" t="s">
        <v>269</v>
      </c>
      <c r="K202">
        <v>1.3205511528780665E-2</v>
      </c>
      <c r="L202" t="s">
        <v>161</v>
      </c>
      <c r="N202" t="s">
        <v>197</v>
      </c>
      <c r="O202" t="s">
        <v>269</v>
      </c>
      <c r="P202">
        <v>2.3984468116936726E-2</v>
      </c>
      <c r="Q202" t="s">
        <v>161</v>
      </c>
      <c r="S202" t="s">
        <v>219</v>
      </c>
      <c r="T202" t="s">
        <v>269</v>
      </c>
      <c r="U202">
        <v>2.7579843866036048E-2</v>
      </c>
      <c r="V202" t="s">
        <v>161</v>
      </c>
      <c r="AK202">
        <v>2045</v>
      </c>
      <c r="AL202" t="s">
        <v>265</v>
      </c>
      <c r="AM202">
        <v>0.3584</v>
      </c>
      <c r="AN202" t="s">
        <v>236</v>
      </c>
    </row>
    <row r="203" spans="9:40" x14ac:dyDescent="0.45">
      <c r="I203" t="s">
        <v>174</v>
      </c>
      <c r="J203" t="s">
        <v>250</v>
      </c>
      <c r="K203">
        <v>1.7415575860765685E-3</v>
      </c>
      <c r="L203" t="s">
        <v>161</v>
      </c>
      <c r="N203" t="s">
        <v>197</v>
      </c>
      <c r="O203" t="s">
        <v>250</v>
      </c>
      <c r="P203">
        <v>5.2287828787736738E-2</v>
      </c>
      <c r="Q203" t="s">
        <v>161</v>
      </c>
      <c r="S203" t="s">
        <v>219</v>
      </c>
      <c r="T203" t="s">
        <v>250</v>
      </c>
      <c r="U203">
        <v>5.1344667677337121E-2</v>
      </c>
      <c r="V203" t="s">
        <v>161</v>
      </c>
      <c r="AK203">
        <v>2046</v>
      </c>
      <c r="AL203" t="s">
        <v>149</v>
      </c>
      <c r="AM203">
        <v>0.37096666666666667</v>
      </c>
      <c r="AN203" t="s">
        <v>236</v>
      </c>
    </row>
    <row r="204" spans="9:40" x14ac:dyDescent="0.45">
      <c r="I204" t="s">
        <v>174</v>
      </c>
      <c r="J204" t="s">
        <v>251</v>
      </c>
      <c r="K204">
        <v>4.7179009350531674E-3</v>
      </c>
      <c r="L204" t="s">
        <v>161</v>
      </c>
      <c r="N204" t="s">
        <v>197</v>
      </c>
      <c r="O204" t="s">
        <v>251</v>
      </c>
      <c r="P204">
        <v>6.6202864102646126E-3</v>
      </c>
      <c r="Q204" t="s">
        <v>161</v>
      </c>
      <c r="S204" t="s">
        <v>219</v>
      </c>
      <c r="T204" t="s">
        <v>251</v>
      </c>
      <c r="U204">
        <v>6.1739871082138846E-3</v>
      </c>
      <c r="V204" t="s">
        <v>161</v>
      </c>
      <c r="AK204">
        <v>2046</v>
      </c>
      <c r="AL204" t="s">
        <v>153</v>
      </c>
      <c r="AM204">
        <v>0.38300000000000001</v>
      </c>
      <c r="AN204" t="s">
        <v>236</v>
      </c>
    </row>
    <row r="205" spans="9:40" x14ac:dyDescent="0.45">
      <c r="I205" t="s">
        <v>174</v>
      </c>
      <c r="J205" t="s">
        <v>252</v>
      </c>
      <c r="K205">
        <v>7.5748598814143087E-2</v>
      </c>
      <c r="L205" t="s">
        <v>161</v>
      </c>
      <c r="N205" t="s">
        <v>197</v>
      </c>
      <c r="O205" t="s">
        <v>252</v>
      </c>
      <c r="P205">
        <v>4.101224757353835E-2</v>
      </c>
      <c r="Q205" t="s">
        <v>161</v>
      </c>
      <c r="S205" t="s">
        <v>219</v>
      </c>
      <c r="T205" t="s">
        <v>252</v>
      </c>
      <c r="U205">
        <v>4.1338351902938927E-2</v>
      </c>
      <c r="V205" t="s">
        <v>161</v>
      </c>
      <c r="AK205">
        <v>2046</v>
      </c>
      <c r="AL205" t="s">
        <v>155</v>
      </c>
      <c r="AM205">
        <v>0.43332500000000002</v>
      </c>
      <c r="AN205" t="s">
        <v>236</v>
      </c>
    </row>
    <row r="206" spans="9:40" x14ac:dyDescent="0.45">
      <c r="I206" t="s">
        <v>174</v>
      </c>
      <c r="J206" t="s">
        <v>253</v>
      </c>
      <c r="K206">
        <v>8.9304855491434774E-3</v>
      </c>
      <c r="L206" t="s">
        <v>161</v>
      </c>
      <c r="N206" t="s">
        <v>197</v>
      </c>
      <c r="O206" t="s">
        <v>253</v>
      </c>
      <c r="P206">
        <v>6.1224870278884522E-3</v>
      </c>
      <c r="Q206" t="s">
        <v>161</v>
      </c>
      <c r="S206" t="s">
        <v>219</v>
      </c>
      <c r="T206" t="s">
        <v>253</v>
      </c>
      <c r="U206">
        <v>6.1205857252900186E-3</v>
      </c>
      <c r="V206" t="s">
        <v>161</v>
      </c>
      <c r="AK206">
        <v>2046</v>
      </c>
      <c r="AL206" t="s">
        <v>157</v>
      </c>
      <c r="AM206">
        <v>0.39599999999999996</v>
      </c>
      <c r="AN206" t="s">
        <v>236</v>
      </c>
    </row>
    <row r="207" spans="9:40" x14ac:dyDescent="0.45">
      <c r="I207" t="s">
        <v>174</v>
      </c>
      <c r="J207" t="s">
        <v>254</v>
      </c>
      <c r="K207">
        <v>5.975925205826297E-3</v>
      </c>
      <c r="L207" t="s">
        <v>161</v>
      </c>
      <c r="N207" t="s">
        <v>197</v>
      </c>
      <c r="O207" t="s">
        <v>254</v>
      </c>
      <c r="P207">
        <v>6.3968825633553428E-3</v>
      </c>
      <c r="Q207" t="s">
        <v>161</v>
      </c>
      <c r="S207" t="s">
        <v>219</v>
      </c>
      <c r="T207" t="s">
        <v>254</v>
      </c>
      <c r="U207">
        <v>6.1799953773954515E-3</v>
      </c>
      <c r="V207" t="s">
        <v>161</v>
      </c>
      <c r="AK207">
        <v>2046</v>
      </c>
      <c r="AL207" t="s">
        <v>239</v>
      </c>
      <c r="AM207">
        <v>0.35180000000000006</v>
      </c>
      <c r="AN207" t="s">
        <v>236</v>
      </c>
    </row>
    <row r="208" spans="9:40" x14ac:dyDescent="0.45">
      <c r="I208" t="s">
        <v>174</v>
      </c>
      <c r="J208" t="s">
        <v>270</v>
      </c>
      <c r="K208">
        <v>1.5670200489575627E-3</v>
      </c>
      <c r="L208" t="s">
        <v>161</v>
      </c>
      <c r="N208" t="s">
        <v>197</v>
      </c>
      <c r="O208" t="s">
        <v>270</v>
      </c>
      <c r="P208">
        <v>4.2112149429735311E-2</v>
      </c>
      <c r="Q208" t="s">
        <v>161</v>
      </c>
      <c r="S208" t="s">
        <v>219</v>
      </c>
      <c r="T208" t="s">
        <v>270</v>
      </c>
      <c r="U208">
        <v>3.9334227175065045E-2</v>
      </c>
      <c r="V208" t="s">
        <v>161</v>
      </c>
      <c r="AK208">
        <v>2046</v>
      </c>
      <c r="AL208" t="s">
        <v>241</v>
      </c>
      <c r="AM208">
        <v>0.32989999999999997</v>
      </c>
      <c r="AN208" t="s">
        <v>236</v>
      </c>
    </row>
    <row r="209" spans="9:40" x14ac:dyDescent="0.45">
      <c r="I209" t="s">
        <v>174</v>
      </c>
      <c r="J209" t="s">
        <v>255</v>
      </c>
      <c r="K209">
        <v>0</v>
      </c>
      <c r="L209" t="s">
        <v>161</v>
      </c>
      <c r="N209" t="s">
        <v>197</v>
      </c>
      <c r="O209" t="s">
        <v>255</v>
      </c>
      <c r="P209">
        <v>5.2961093234321001E-2</v>
      </c>
      <c r="Q209" t="s">
        <v>161</v>
      </c>
      <c r="S209" t="s">
        <v>219</v>
      </c>
      <c r="T209" t="s">
        <v>255</v>
      </c>
      <c r="U209">
        <v>4.7955539501568417E-2</v>
      </c>
      <c r="V209" t="s">
        <v>161</v>
      </c>
      <c r="AK209">
        <v>2046</v>
      </c>
      <c r="AL209" t="s">
        <v>264</v>
      </c>
      <c r="AM209">
        <v>0.33829999999999999</v>
      </c>
      <c r="AN209" t="s">
        <v>236</v>
      </c>
    </row>
    <row r="210" spans="9:40" x14ac:dyDescent="0.45">
      <c r="I210" t="s">
        <v>174</v>
      </c>
      <c r="J210" t="s">
        <v>256</v>
      </c>
      <c r="K210">
        <v>5.9558484831579686E-4</v>
      </c>
      <c r="L210" t="s">
        <v>161</v>
      </c>
      <c r="N210" t="s">
        <v>197</v>
      </c>
      <c r="O210" t="s">
        <v>256</v>
      </c>
      <c r="P210">
        <v>7.1064871688631716E-3</v>
      </c>
      <c r="Q210" t="s">
        <v>161</v>
      </c>
      <c r="S210" t="s">
        <v>219</v>
      </c>
      <c r="T210" t="s">
        <v>256</v>
      </c>
      <c r="U210">
        <v>6.0555680812300833E-3</v>
      </c>
      <c r="V210" t="s">
        <v>161</v>
      </c>
      <c r="AK210">
        <v>2046</v>
      </c>
      <c r="AL210" t="s">
        <v>265</v>
      </c>
      <c r="AM210">
        <v>0.33829999999999999</v>
      </c>
      <c r="AN210" t="s">
        <v>236</v>
      </c>
    </row>
    <row r="211" spans="9:40" x14ac:dyDescent="0.45">
      <c r="I211" t="s">
        <v>174</v>
      </c>
      <c r="J211" t="s">
        <v>257</v>
      </c>
      <c r="K211">
        <v>4.2203315426686067E-2</v>
      </c>
      <c r="L211" t="s">
        <v>161</v>
      </c>
      <c r="N211" t="s">
        <v>197</v>
      </c>
      <c r="O211" t="s">
        <v>257</v>
      </c>
      <c r="P211">
        <v>4.6883679444586025E-2</v>
      </c>
      <c r="Q211" t="s">
        <v>161</v>
      </c>
      <c r="S211" t="s">
        <v>219</v>
      </c>
      <c r="T211" t="s">
        <v>257</v>
      </c>
      <c r="U211">
        <v>4.1343434885460661E-2</v>
      </c>
      <c r="V211" t="s">
        <v>161</v>
      </c>
      <c r="AK211">
        <v>2047</v>
      </c>
      <c r="AL211" t="s">
        <v>149</v>
      </c>
      <c r="AM211">
        <v>0.33453333333333335</v>
      </c>
      <c r="AN211" t="s">
        <v>236</v>
      </c>
    </row>
    <row r="212" spans="9:40" x14ac:dyDescent="0.45">
      <c r="I212" t="s">
        <v>174</v>
      </c>
      <c r="J212" t="s">
        <v>258</v>
      </c>
      <c r="K212">
        <v>3.6488700504588739E-3</v>
      </c>
      <c r="L212" t="s">
        <v>161</v>
      </c>
      <c r="N212" t="s">
        <v>197</v>
      </c>
      <c r="O212" t="s">
        <v>258</v>
      </c>
      <c r="P212">
        <v>6.7801831218623192E-3</v>
      </c>
      <c r="Q212" t="s">
        <v>161</v>
      </c>
      <c r="S212" t="s">
        <v>219</v>
      </c>
      <c r="T212" t="s">
        <v>258</v>
      </c>
      <c r="U212">
        <v>5.8928034372428342E-3</v>
      </c>
      <c r="V212" t="s">
        <v>161</v>
      </c>
      <c r="AK212">
        <v>2047</v>
      </c>
      <c r="AL212" t="s">
        <v>153</v>
      </c>
      <c r="AM212">
        <v>0.35034999999999999</v>
      </c>
      <c r="AN212" t="s">
        <v>236</v>
      </c>
    </row>
    <row r="213" spans="9:40" x14ac:dyDescent="0.45">
      <c r="I213" t="s">
        <v>174</v>
      </c>
      <c r="J213" t="s">
        <v>259</v>
      </c>
      <c r="K213">
        <v>2.0872301260597978E-4</v>
      </c>
      <c r="L213" t="s">
        <v>161</v>
      </c>
      <c r="N213" t="s">
        <v>197</v>
      </c>
      <c r="O213" t="s">
        <v>259</v>
      </c>
      <c r="P213">
        <v>6.9863959245764547E-3</v>
      </c>
      <c r="Q213" t="s">
        <v>161</v>
      </c>
      <c r="S213" t="s">
        <v>219</v>
      </c>
      <c r="T213" t="s">
        <v>259</v>
      </c>
      <c r="U213">
        <v>5.7913843713101407E-3</v>
      </c>
      <c r="V213" t="s">
        <v>161</v>
      </c>
      <c r="AK213">
        <v>2047</v>
      </c>
      <c r="AL213" t="s">
        <v>155</v>
      </c>
      <c r="AM213">
        <v>0.45174999999999998</v>
      </c>
      <c r="AN213" t="s">
        <v>236</v>
      </c>
    </row>
    <row r="214" spans="9:40" x14ac:dyDescent="0.45">
      <c r="I214" t="s">
        <v>174</v>
      </c>
      <c r="J214" t="s">
        <v>271</v>
      </c>
      <c r="K214">
        <v>0</v>
      </c>
      <c r="L214" t="s">
        <v>161</v>
      </c>
      <c r="N214" t="s">
        <v>197</v>
      </c>
      <c r="O214" t="s">
        <v>271</v>
      </c>
      <c r="P214">
        <v>4.1480980179624705E-2</v>
      </c>
      <c r="Q214" t="s">
        <v>161</v>
      </c>
      <c r="S214" t="s">
        <v>219</v>
      </c>
      <c r="T214" t="s">
        <v>271</v>
      </c>
      <c r="U214">
        <v>3.4807061990241028E-2</v>
      </c>
      <c r="V214" t="s">
        <v>161</v>
      </c>
      <c r="AK214">
        <v>2047</v>
      </c>
      <c r="AL214" t="s">
        <v>157</v>
      </c>
      <c r="AM214">
        <v>0.42236666666666672</v>
      </c>
      <c r="AN214" t="s">
        <v>236</v>
      </c>
    </row>
    <row r="215" spans="9:40" x14ac:dyDescent="0.45">
      <c r="I215" t="s">
        <v>174</v>
      </c>
      <c r="J215" t="s">
        <v>272</v>
      </c>
      <c r="K215">
        <v>0</v>
      </c>
      <c r="L215" t="s">
        <v>161</v>
      </c>
      <c r="N215" t="s">
        <v>197</v>
      </c>
      <c r="O215" t="s">
        <v>272</v>
      </c>
      <c r="P215">
        <v>2.0972480880671066E-2</v>
      </c>
      <c r="Q215" t="s">
        <v>161</v>
      </c>
      <c r="S215" t="s">
        <v>219</v>
      </c>
      <c r="T215" t="s">
        <v>272</v>
      </c>
      <c r="U215">
        <v>1.324572675873239E-2</v>
      </c>
      <c r="V215" t="s">
        <v>161</v>
      </c>
      <c r="AK215">
        <v>2047</v>
      </c>
      <c r="AL215" t="s">
        <v>239</v>
      </c>
      <c r="AM215">
        <v>0.33673333333333333</v>
      </c>
      <c r="AN215" t="s">
        <v>236</v>
      </c>
    </row>
    <row r="216" spans="9:40" x14ac:dyDescent="0.45">
      <c r="I216" t="s">
        <v>174</v>
      </c>
      <c r="J216" t="s">
        <v>273</v>
      </c>
      <c r="K216">
        <v>0</v>
      </c>
      <c r="L216" t="s">
        <v>161</v>
      </c>
      <c r="N216" t="s">
        <v>197</v>
      </c>
      <c r="O216" t="s">
        <v>273</v>
      </c>
      <c r="P216">
        <v>2.7499805943369993E-3</v>
      </c>
      <c r="Q216" t="s">
        <v>161</v>
      </c>
      <c r="S216" t="s">
        <v>219</v>
      </c>
      <c r="T216" t="s">
        <v>273</v>
      </c>
      <c r="U216">
        <v>1.6247795280142513E-3</v>
      </c>
      <c r="V216" t="s">
        <v>161</v>
      </c>
      <c r="AK216">
        <v>2047</v>
      </c>
      <c r="AL216" t="s">
        <v>241</v>
      </c>
      <c r="AM216">
        <v>0.3367</v>
      </c>
      <c r="AN216" t="s">
        <v>236</v>
      </c>
    </row>
    <row r="217" spans="9:40" x14ac:dyDescent="0.45">
      <c r="I217" t="s">
        <v>174</v>
      </c>
      <c r="J217" t="s">
        <v>274</v>
      </c>
      <c r="K217">
        <v>1.0512176089129953E-2</v>
      </c>
      <c r="L217" t="s">
        <v>161</v>
      </c>
      <c r="N217" t="s">
        <v>197</v>
      </c>
      <c r="O217" t="s">
        <v>274</v>
      </c>
      <c r="P217">
        <v>1.6408132575358822E-2</v>
      </c>
      <c r="Q217" t="s">
        <v>161</v>
      </c>
      <c r="S217" t="s">
        <v>219</v>
      </c>
      <c r="T217" t="s">
        <v>274</v>
      </c>
      <c r="U217">
        <v>1.1863263503457724E-2</v>
      </c>
      <c r="V217" t="s">
        <v>161</v>
      </c>
      <c r="AK217">
        <v>2047</v>
      </c>
      <c r="AL217" t="s">
        <v>264</v>
      </c>
      <c r="AM217">
        <v>0.33610000000000001</v>
      </c>
      <c r="AN217" t="s">
        <v>236</v>
      </c>
    </row>
    <row r="218" spans="9:40" x14ac:dyDescent="0.45">
      <c r="I218" t="s">
        <v>174</v>
      </c>
      <c r="J218" t="s">
        <v>275</v>
      </c>
      <c r="K218">
        <v>8.2777697837301326E-4</v>
      </c>
      <c r="L218" t="s">
        <v>161</v>
      </c>
      <c r="N218" t="s">
        <v>197</v>
      </c>
      <c r="O218" t="s">
        <v>275</v>
      </c>
      <c r="P218">
        <v>2.2314073207209528E-3</v>
      </c>
      <c r="Q218" t="s">
        <v>161</v>
      </c>
      <c r="S218" t="s">
        <v>219</v>
      </c>
      <c r="T218" t="s">
        <v>275</v>
      </c>
      <c r="U218">
        <v>1.6731520693047718E-3</v>
      </c>
      <c r="V218" t="s">
        <v>161</v>
      </c>
      <c r="AK218">
        <v>2047</v>
      </c>
      <c r="AL218" t="s">
        <v>265</v>
      </c>
      <c r="AM218">
        <v>0.33610000000000001</v>
      </c>
      <c r="AN218" t="s">
        <v>236</v>
      </c>
    </row>
    <row r="219" spans="9:40" x14ac:dyDescent="0.45">
      <c r="I219" t="s">
        <v>174</v>
      </c>
      <c r="J219" t="s">
        <v>276</v>
      </c>
      <c r="K219">
        <v>0</v>
      </c>
      <c r="L219" t="s">
        <v>161</v>
      </c>
      <c r="N219" t="s">
        <v>197</v>
      </c>
      <c r="O219" t="s">
        <v>276</v>
      </c>
      <c r="P219">
        <v>2.3221148469934156E-3</v>
      </c>
      <c r="Q219" t="s">
        <v>161</v>
      </c>
      <c r="S219" t="s">
        <v>219</v>
      </c>
      <c r="T219" t="s">
        <v>276</v>
      </c>
      <c r="U219">
        <v>1.6598604882016805E-3</v>
      </c>
      <c r="V219" t="s">
        <v>161</v>
      </c>
      <c r="AK219">
        <v>2048</v>
      </c>
      <c r="AL219" t="s">
        <v>149</v>
      </c>
      <c r="AM219">
        <v>0.35470000000000002</v>
      </c>
      <c r="AN219" t="s">
        <v>236</v>
      </c>
    </row>
    <row r="220" spans="9:40" x14ac:dyDescent="0.45">
      <c r="I220" t="s">
        <v>174</v>
      </c>
      <c r="J220" t="s">
        <v>277</v>
      </c>
      <c r="K220">
        <v>0</v>
      </c>
      <c r="L220" t="s">
        <v>161</v>
      </c>
      <c r="N220" t="s">
        <v>197</v>
      </c>
      <c r="O220" t="s">
        <v>277</v>
      </c>
      <c r="P220">
        <v>1.4237209015088795E-2</v>
      </c>
      <c r="Q220" t="s">
        <v>161</v>
      </c>
      <c r="S220" t="s">
        <v>219</v>
      </c>
      <c r="T220" t="s">
        <v>277</v>
      </c>
      <c r="U220">
        <v>1.0017114864596293E-2</v>
      </c>
      <c r="V220" t="s">
        <v>161</v>
      </c>
      <c r="AK220">
        <v>2048</v>
      </c>
      <c r="AL220" t="s">
        <v>153</v>
      </c>
      <c r="AM220">
        <v>0.38565000000000005</v>
      </c>
      <c r="AN220" t="s">
        <v>236</v>
      </c>
    </row>
    <row r="221" spans="9:40" x14ac:dyDescent="0.45">
      <c r="I221" t="s">
        <v>174</v>
      </c>
      <c r="J221" t="s">
        <v>278</v>
      </c>
      <c r="K221">
        <v>0</v>
      </c>
      <c r="L221" t="s">
        <v>161</v>
      </c>
      <c r="N221" t="s">
        <v>197</v>
      </c>
      <c r="O221" t="s">
        <v>278</v>
      </c>
      <c r="P221">
        <v>7.5993905562680127E-3</v>
      </c>
      <c r="Q221" t="s">
        <v>161</v>
      </c>
      <c r="S221" t="s">
        <v>219</v>
      </c>
      <c r="T221" t="s">
        <v>278</v>
      </c>
      <c r="U221">
        <v>8.0976799968540923E-3</v>
      </c>
      <c r="V221" t="s">
        <v>161</v>
      </c>
      <c r="AK221">
        <v>2048</v>
      </c>
      <c r="AL221" t="s">
        <v>155</v>
      </c>
      <c r="AM221">
        <v>0.44475000000000003</v>
      </c>
      <c r="AN221" t="s">
        <v>236</v>
      </c>
    </row>
    <row r="222" spans="9:40" x14ac:dyDescent="0.45">
      <c r="I222" t="s">
        <v>174</v>
      </c>
      <c r="J222" t="s">
        <v>279</v>
      </c>
      <c r="K222">
        <v>0</v>
      </c>
      <c r="L222" t="s">
        <v>161</v>
      </c>
      <c r="N222" t="s">
        <v>197</v>
      </c>
      <c r="O222" t="s">
        <v>279</v>
      </c>
      <c r="P222">
        <v>1.0267932203728688E-3</v>
      </c>
      <c r="Q222" t="s">
        <v>161</v>
      </c>
      <c r="S222" t="s">
        <v>219</v>
      </c>
      <c r="T222" t="s">
        <v>279</v>
      </c>
      <c r="U222">
        <v>1.0251833212123061E-3</v>
      </c>
      <c r="V222" t="s">
        <v>161</v>
      </c>
      <c r="AK222">
        <v>2048</v>
      </c>
      <c r="AL222" t="s">
        <v>157</v>
      </c>
      <c r="AM222">
        <v>0.41416666666666663</v>
      </c>
      <c r="AN222" t="s">
        <v>236</v>
      </c>
    </row>
    <row r="223" spans="9:40" x14ac:dyDescent="0.45">
      <c r="I223" t="s">
        <v>174</v>
      </c>
      <c r="J223" t="s">
        <v>280</v>
      </c>
      <c r="K223">
        <v>5.4319028524865655E-3</v>
      </c>
      <c r="L223" t="s">
        <v>161</v>
      </c>
      <c r="N223" t="s">
        <v>197</v>
      </c>
      <c r="O223" t="s">
        <v>280</v>
      </c>
      <c r="P223">
        <v>6.2829966382540623E-3</v>
      </c>
      <c r="Q223" t="s">
        <v>161</v>
      </c>
      <c r="S223" t="s">
        <v>219</v>
      </c>
      <c r="T223" t="s">
        <v>280</v>
      </c>
      <c r="U223">
        <v>7.3214604914118298E-3</v>
      </c>
      <c r="V223" t="s">
        <v>161</v>
      </c>
      <c r="AK223">
        <v>2048</v>
      </c>
      <c r="AL223" t="s">
        <v>239</v>
      </c>
      <c r="AM223">
        <v>0.34603333333333336</v>
      </c>
      <c r="AN223" t="s">
        <v>236</v>
      </c>
    </row>
    <row r="224" spans="9:40" x14ac:dyDescent="0.45">
      <c r="I224" t="s">
        <v>174</v>
      </c>
      <c r="J224" t="s">
        <v>281</v>
      </c>
      <c r="K224">
        <v>7.0124237228861739E-4</v>
      </c>
      <c r="L224" t="s">
        <v>161</v>
      </c>
      <c r="N224" t="s">
        <v>197</v>
      </c>
      <c r="O224" t="s">
        <v>281</v>
      </c>
      <c r="P224">
        <v>9.4623149592266954E-4</v>
      </c>
      <c r="Q224" t="s">
        <v>161</v>
      </c>
      <c r="S224" t="s">
        <v>219</v>
      </c>
      <c r="T224" t="s">
        <v>281</v>
      </c>
      <c r="U224">
        <v>1.0501421594938977E-3</v>
      </c>
      <c r="V224" t="s">
        <v>161</v>
      </c>
      <c r="AK224">
        <v>2048</v>
      </c>
      <c r="AL224" t="s">
        <v>241</v>
      </c>
      <c r="AM224">
        <v>0.34609999999999996</v>
      </c>
      <c r="AN224" t="s">
        <v>236</v>
      </c>
    </row>
    <row r="225" spans="9:40" x14ac:dyDescent="0.45">
      <c r="I225" t="s">
        <v>174</v>
      </c>
      <c r="J225" t="s">
        <v>282</v>
      </c>
      <c r="K225">
        <v>0</v>
      </c>
      <c r="L225" t="s">
        <v>161</v>
      </c>
      <c r="N225" t="s">
        <v>197</v>
      </c>
      <c r="O225" t="s">
        <v>282</v>
      </c>
      <c r="P225">
        <v>1.0496810781007123E-3</v>
      </c>
      <c r="Q225" t="s">
        <v>161</v>
      </c>
      <c r="S225" t="s">
        <v>219</v>
      </c>
      <c r="T225" t="s">
        <v>282</v>
      </c>
      <c r="U225">
        <v>1.0453425505109158E-3</v>
      </c>
      <c r="V225" t="s">
        <v>161</v>
      </c>
      <c r="AK225">
        <v>2048</v>
      </c>
      <c r="AL225" t="s">
        <v>264</v>
      </c>
      <c r="AM225">
        <v>0.36759999999999998</v>
      </c>
      <c r="AN225" t="s">
        <v>236</v>
      </c>
    </row>
    <row r="226" spans="9:40" x14ac:dyDescent="0.45">
      <c r="I226" t="s">
        <v>174</v>
      </c>
      <c r="J226" t="s">
        <v>283</v>
      </c>
      <c r="K226">
        <v>0</v>
      </c>
      <c r="L226" t="s">
        <v>161</v>
      </c>
      <c r="N226" t="s">
        <v>197</v>
      </c>
      <c r="O226" t="s">
        <v>283</v>
      </c>
      <c r="P226">
        <v>6.6640955073666982E-3</v>
      </c>
      <c r="Q226" t="s">
        <v>161</v>
      </c>
      <c r="S226" t="s">
        <v>219</v>
      </c>
      <c r="T226" t="s">
        <v>283</v>
      </c>
      <c r="U226">
        <v>6.146268596074915E-3</v>
      </c>
      <c r="V226" t="s">
        <v>161</v>
      </c>
      <c r="AK226">
        <v>2048</v>
      </c>
      <c r="AL226" t="s">
        <v>265</v>
      </c>
      <c r="AM226">
        <v>0.36759999999999998</v>
      </c>
      <c r="AN226" t="s">
        <v>236</v>
      </c>
    </row>
    <row r="227" spans="9:40" x14ac:dyDescent="0.45">
      <c r="I227" t="s">
        <v>175</v>
      </c>
      <c r="J227" t="s">
        <v>160</v>
      </c>
      <c r="K227">
        <v>2.1795461192467853E-3</v>
      </c>
      <c r="L227" t="s">
        <v>161</v>
      </c>
      <c r="N227" t="s">
        <v>198</v>
      </c>
      <c r="O227" t="s">
        <v>160</v>
      </c>
      <c r="P227">
        <v>7.3757038545978176E-2</v>
      </c>
      <c r="Q227" t="s">
        <v>161</v>
      </c>
      <c r="S227" t="s">
        <v>220</v>
      </c>
      <c r="T227" t="s">
        <v>160</v>
      </c>
      <c r="U227">
        <v>7.4983181187533318E-2</v>
      </c>
      <c r="V227" t="s">
        <v>161</v>
      </c>
      <c r="AK227">
        <v>2049</v>
      </c>
      <c r="AL227" t="s">
        <v>149</v>
      </c>
      <c r="AM227">
        <v>0.37246666666666667</v>
      </c>
      <c r="AN227" t="s">
        <v>236</v>
      </c>
    </row>
    <row r="228" spans="9:40" x14ac:dyDescent="0.45">
      <c r="I228" t="s">
        <v>175</v>
      </c>
      <c r="J228" t="s">
        <v>162</v>
      </c>
      <c r="K228">
        <v>7.2072672532846093E-3</v>
      </c>
      <c r="L228" t="s">
        <v>161</v>
      </c>
      <c r="N228" t="s">
        <v>198</v>
      </c>
      <c r="O228" t="s">
        <v>162</v>
      </c>
      <c r="P228">
        <v>9.2021357779036965E-3</v>
      </c>
      <c r="Q228" t="s">
        <v>161</v>
      </c>
      <c r="S228" t="s">
        <v>220</v>
      </c>
      <c r="T228" t="s">
        <v>162</v>
      </c>
      <c r="U228">
        <v>9.1857842509900835E-3</v>
      </c>
      <c r="V228" t="s">
        <v>161</v>
      </c>
      <c r="AK228">
        <v>2049</v>
      </c>
      <c r="AL228" t="s">
        <v>153</v>
      </c>
      <c r="AM228">
        <v>0.39959999999999996</v>
      </c>
      <c r="AN228" t="s">
        <v>236</v>
      </c>
    </row>
    <row r="229" spans="9:40" x14ac:dyDescent="0.45">
      <c r="I229" t="s">
        <v>175</v>
      </c>
      <c r="J229" t="s">
        <v>163</v>
      </c>
      <c r="K229">
        <v>9.6226961507837064E-2</v>
      </c>
      <c r="L229" t="s">
        <v>161</v>
      </c>
      <c r="N229" t="s">
        <v>198</v>
      </c>
      <c r="O229" t="s">
        <v>163</v>
      </c>
      <c r="P229">
        <v>6.2631729714654E-2</v>
      </c>
      <c r="Q229" t="s">
        <v>161</v>
      </c>
      <c r="S229" t="s">
        <v>220</v>
      </c>
      <c r="T229" t="s">
        <v>163</v>
      </c>
      <c r="U229">
        <v>6.3593541912220428E-2</v>
      </c>
      <c r="V229" t="s">
        <v>161</v>
      </c>
      <c r="AK229">
        <v>2049</v>
      </c>
      <c r="AL229" t="s">
        <v>155</v>
      </c>
      <c r="AM229">
        <v>0.43245</v>
      </c>
      <c r="AN229" t="s">
        <v>236</v>
      </c>
    </row>
    <row r="230" spans="9:40" x14ac:dyDescent="0.45">
      <c r="I230" t="s">
        <v>175</v>
      </c>
      <c r="J230" t="s">
        <v>242</v>
      </c>
      <c r="K230">
        <v>6.9351374222118385E-3</v>
      </c>
      <c r="L230" t="s">
        <v>161</v>
      </c>
      <c r="N230" t="s">
        <v>198</v>
      </c>
      <c r="O230" t="s">
        <v>242</v>
      </c>
      <c r="P230">
        <v>8.9935637200641624E-3</v>
      </c>
      <c r="Q230" t="s">
        <v>161</v>
      </c>
      <c r="S230" t="s">
        <v>220</v>
      </c>
      <c r="T230" t="s">
        <v>242</v>
      </c>
      <c r="U230">
        <v>9.2330505035815441E-3</v>
      </c>
      <c r="V230" t="s">
        <v>161</v>
      </c>
      <c r="AK230">
        <v>2049</v>
      </c>
      <c r="AL230" t="s">
        <v>157</v>
      </c>
      <c r="AM230">
        <v>0.39596666666666663</v>
      </c>
      <c r="AN230" t="s">
        <v>236</v>
      </c>
    </row>
    <row r="231" spans="9:40" x14ac:dyDescent="0.45">
      <c r="I231" t="s">
        <v>175</v>
      </c>
      <c r="J231" t="s">
        <v>243</v>
      </c>
      <c r="K231">
        <v>2.5972025919742581E-3</v>
      </c>
      <c r="L231" t="s">
        <v>161</v>
      </c>
      <c r="N231" t="s">
        <v>198</v>
      </c>
      <c r="O231" t="s">
        <v>243</v>
      </c>
      <c r="P231">
        <v>9.2288794056841431E-3</v>
      </c>
      <c r="Q231" t="s">
        <v>161</v>
      </c>
      <c r="S231" t="s">
        <v>220</v>
      </c>
      <c r="T231" t="s">
        <v>243</v>
      </c>
      <c r="U231">
        <v>9.4347855433902349E-3</v>
      </c>
      <c r="V231" t="s">
        <v>161</v>
      </c>
      <c r="AK231">
        <v>2049</v>
      </c>
      <c r="AL231" t="s">
        <v>239</v>
      </c>
      <c r="AM231">
        <v>0.35843333333333333</v>
      </c>
      <c r="AN231" t="s">
        <v>236</v>
      </c>
    </row>
    <row r="232" spans="9:40" x14ac:dyDescent="0.45">
      <c r="I232" t="s">
        <v>175</v>
      </c>
      <c r="J232" t="s">
        <v>266</v>
      </c>
      <c r="K232">
        <v>0</v>
      </c>
      <c r="L232" t="s">
        <v>161</v>
      </c>
      <c r="N232" t="s">
        <v>198</v>
      </c>
      <c r="O232" t="s">
        <v>266</v>
      </c>
      <c r="P232">
        <v>5.620566485196235E-2</v>
      </c>
      <c r="Q232" t="s">
        <v>161</v>
      </c>
      <c r="S232" t="s">
        <v>220</v>
      </c>
      <c r="T232" t="s">
        <v>266</v>
      </c>
      <c r="U232">
        <v>5.6802491313288274E-2</v>
      </c>
      <c r="V232" t="s">
        <v>161</v>
      </c>
      <c r="AK232">
        <v>2049</v>
      </c>
      <c r="AL232" t="s">
        <v>241</v>
      </c>
      <c r="AM232">
        <v>0.34914999999999996</v>
      </c>
      <c r="AN232" t="s">
        <v>236</v>
      </c>
    </row>
    <row r="233" spans="9:40" x14ac:dyDescent="0.45">
      <c r="I233" t="s">
        <v>175</v>
      </c>
      <c r="J233" t="s">
        <v>311</v>
      </c>
      <c r="K233">
        <v>0</v>
      </c>
      <c r="L233" t="s">
        <v>161</v>
      </c>
      <c r="N233" t="s">
        <v>198</v>
      </c>
      <c r="O233" t="s">
        <v>311</v>
      </c>
      <c r="P233">
        <v>1.5270141163748834E-6</v>
      </c>
      <c r="Q233" t="s">
        <v>161</v>
      </c>
      <c r="S233" t="s">
        <v>220</v>
      </c>
      <c r="T233" t="s">
        <v>311</v>
      </c>
      <c r="U233">
        <v>1.2556211012609364E-6</v>
      </c>
      <c r="V233" t="s">
        <v>161</v>
      </c>
      <c r="AK233">
        <v>2049</v>
      </c>
      <c r="AL233" t="s">
        <v>264</v>
      </c>
      <c r="AM233">
        <v>0.38119999999999998</v>
      </c>
      <c r="AN233" t="s">
        <v>236</v>
      </c>
    </row>
    <row r="234" spans="9:40" x14ac:dyDescent="0.45">
      <c r="I234" t="s">
        <v>175</v>
      </c>
      <c r="J234" t="s">
        <v>312</v>
      </c>
      <c r="K234">
        <v>0</v>
      </c>
      <c r="L234" t="s">
        <v>161</v>
      </c>
      <c r="N234" t="s">
        <v>198</v>
      </c>
      <c r="O234" t="s">
        <v>312</v>
      </c>
      <c r="P234">
        <v>6.4427226333939995E-7</v>
      </c>
      <c r="Q234" t="s">
        <v>161</v>
      </c>
      <c r="S234" t="s">
        <v>220</v>
      </c>
      <c r="T234" t="s">
        <v>312</v>
      </c>
      <c r="U234">
        <v>0</v>
      </c>
      <c r="V234" t="s">
        <v>161</v>
      </c>
      <c r="AK234">
        <v>2049</v>
      </c>
      <c r="AL234" t="s">
        <v>265</v>
      </c>
      <c r="AM234">
        <v>0.38119999999999998</v>
      </c>
      <c r="AN234" t="s">
        <v>236</v>
      </c>
    </row>
    <row r="235" spans="9:40" x14ac:dyDescent="0.45">
      <c r="I235" t="s">
        <v>175</v>
      </c>
      <c r="J235" t="s">
        <v>313</v>
      </c>
      <c r="K235">
        <v>0</v>
      </c>
      <c r="L235" t="s">
        <v>161</v>
      </c>
      <c r="N235" t="s">
        <v>198</v>
      </c>
      <c r="O235" t="s">
        <v>313</v>
      </c>
      <c r="P235">
        <v>1.0588010196860642E-6</v>
      </c>
      <c r="Q235" t="s">
        <v>161</v>
      </c>
      <c r="S235" t="s">
        <v>220</v>
      </c>
      <c r="T235" t="s">
        <v>313</v>
      </c>
      <c r="U235">
        <v>1.0655257712911271E-6</v>
      </c>
      <c r="V235" t="s">
        <v>161</v>
      </c>
      <c r="AK235">
        <v>2050</v>
      </c>
      <c r="AL235" t="s">
        <v>149</v>
      </c>
      <c r="AM235">
        <v>0.35659999999999997</v>
      </c>
      <c r="AN235" t="s">
        <v>236</v>
      </c>
    </row>
    <row r="236" spans="9:40" x14ac:dyDescent="0.45">
      <c r="I236" t="s">
        <v>175</v>
      </c>
      <c r="J236" t="s">
        <v>314</v>
      </c>
      <c r="K236">
        <v>0</v>
      </c>
      <c r="L236" t="s">
        <v>161</v>
      </c>
      <c r="N236" t="s">
        <v>198</v>
      </c>
      <c r="O236" t="s">
        <v>314</v>
      </c>
      <c r="P236">
        <v>1.7358616053413786E-6</v>
      </c>
      <c r="Q236" t="s">
        <v>161</v>
      </c>
      <c r="S236" t="s">
        <v>220</v>
      </c>
      <c r="T236" t="s">
        <v>314</v>
      </c>
      <c r="U236">
        <v>2.1841950077697014E-6</v>
      </c>
      <c r="V236" t="s">
        <v>161</v>
      </c>
      <c r="AK236">
        <v>2050</v>
      </c>
      <c r="AL236" t="s">
        <v>153</v>
      </c>
      <c r="AM236">
        <v>0.40479999999999999</v>
      </c>
      <c r="AN236" t="s">
        <v>236</v>
      </c>
    </row>
    <row r="237" spans="9:40" x14ac:dyDescent="0.45">
      <c r="I237" t="s">
        <v>175</v>
      </c>
      <c r="J237" t="s">
        <v>315</v>
      </c>
      <c r="K237">
        <v>0</v>
      </c>
      <c r="L237" t="s">
        <v>161</v>
      </c>
      <c r="N237" t="s">
        <v>198</v>
      </c>
      <c r="O237" t="s">
        <v>315</v>
      </c>
      <c r="P237">
        <v>1.6542579426630143E-6</v>
      </c>
      <c r="Q237" t="s">
        <v>161</v>
      </c>
      <c r="S237" t="s">
        <v>220</v>
      </c>
      <c r="T237" t="s">
        <v>315</v>
      </c>
      <c r="U237">
        <v>1.3803743715637663E-6</v>
      </c>
      <c r="V237" t="s">
        <v>161</v>
      </c>
      <c r="AK237">
        <v>2050</v>
      </c>
      <c r="AL237" t="s">
        <v>155</v>
      </c>
      <c r="AM237">
        <v>0.41244999999999998</v>
      </c>
      <c r="AN237" t="s">
        <v>236</v>
      </c>
    </row>
    <row r="238" spans="9:40" x14ac:dyDescent="0.45">
      <c r="I238" t="s">
        <v>175</v>
      </c>
      <c r="J238" t="s">
        <v>316</v>
      </c>
      <c r="K238">
        <v>0</v>
      </c>
      <c r="L238" t="s">
        <v>161</v>
      </c>
      <c r="N238" t="s">
        <v>198</v>
      </c>
      <c r="O238" t="s">
        <v>316</v>
      </c>
      <c r="P238">
        <v>7.509699792886119E-7</v>
      </c>
      <c r="Q238" t="s">
        <v>161</v>
      </c>
      <c r="S238" t="s">
        <v>220</v>
      </c>
      <c r="T238" t="s">
        <v>316</v>
      </c>
      <c r="U238">
        <v>4.2168645434769042E-7</v>
      </c>
      <c r="V238" t="s">
        <v>161</v>
      </c>
      <c r="AK238">
        <v>2050</v>
      </c>
      <c r="AL238" t="s">
        <v>157</v>
      </c>
      <c r="AM238">
        <v>0.39816666666666661</v>
      </c>
      <c r="AN238" t="s">
        <v>236</v>
      </c>
    </row>
    <row r="239" spans="9:40" x14ac:dyDescent="0.45">
      <c r="I239" t="s">
        <v>175</v>
      </c>
      <c r="J239" t="s">
        <v>317</v>
      </c>
      <c r="K239">
        <v>0</v>
      </c>
      <c r="L239" t="s">
        <v>161</v>
      </c>
      <c r="N239" t="s">
        <v>198</v>
      </c>
      <c r="O239" t="s">
        <v>317</v>
      </c>
      <c r="P239">
        <v>3.1391596244211309E-7</v>
      </c>
      <c r="Q239" t="s">
        <v>161</v>
      </c>
      <c r="S239" t="s">
        <v>220</v>
      </c>
      <c r="T239" t="s">
        <v>317</v>
      </c>
      <c r="U239">
        <v>0</v>
      </c>
      <c r="V239" t="s">
        <v>161</v>
      </c>
      <c r="AK239">
        <v>2050</v>
      </c>
      <c r="AL239" t="s">
        <v>239</v>
      </c>
      <c r="AM239">
        <v>0.3344333333333333</v>
      </c>
      <c r="AN239" t="s">
        <v>236</v>
      </c>
    </row>
    <row r="240" spans="9:40" x14ac:dyDescent="0.45">
      <c r="I240" t="s">
        <v>175</v>
      </c>
      <c r="J240" t="s">
        <v>318</v>
      </c>
      <c r="K240">
        <v>3.0880318251262954E-7</v>
      </c>
      <c r="L240" t="s">
        <v>161</v>
      </c>
      <c r="N240" t="s">
        <v>198</v>
      </c>
      <c r="O240" t="s">
        <v>318</v>
      </c>
      <c r="P240">
        <v>2.444220505131506E-7</v>
      </c>
      <c r="Q240" t="s">
        <v>161</v>
      </c>
      <c r="S240" t="s">
        <v>220</v>
      </c>
      <c r="T240" t="s">
        <v>318</v>
      </c>
      <c r="U240">
        <v>0</v>
      </c>
      <c r="V240" t="s">
        <v>161</v>
      </c>
      <c r="AK240">
        <v>2050</v>
      </c>
      <c r="AL240" t="s">
        <v>241</v>
      </c>
      <c r="AM240">
        <v>0.32779999999999998</v>
      </c>
      <c r="AN240" t="s">
        <v>236</v>
      </c>
    </row>
    <row r="241" spans="9:40" x14ac:dyDescent="0.45">
      <c r="I241" t="s">
        <v>175</v>
      </c>
      <c r="J241" t="s">
        <v>319</v>
      </c>
      <c r="K241">
        <v>5.4055513087238905E-5</v>
      </c>
      <c r="L241" t="s">
        <v>161</v>
      </c>
      <c r="N241" t="s">
        <v>198</v>
      </c>
      <c r="O241" t="s">
        <v>319</v>
      </c>
      <c r="P241">
        <v>1.9157908290100113E-7</v>
      </c>
      <c r="Q241" t="s">
        <v>161</v>
      </c>
      <c r="S241" t="s">
        <v>220</v>
      </c>
      <c r="T241" t="s">
        <v>319</v>
      </c>
      <c r="U241">
        <v>0</v>
      </c>
      <c r="V241" t="s">
        <v>161</v>
      </c>
      <c r="AK241">
        <v>2050</v>
      </c>
      <c r="AL241" t="s">
        <v>264</v>
      </c>
      <c r="AM241">
        <v>0.36209999999999998</v>
      </c>
      <c r="AN241" t="s">
        <v>236</v>
      </c>
    </row>
    <row r="242" spans="9:40" x14ac:dyDescent="0.45">
      <c r="I242" t="s">
        <v>175</v>
      </c>
      <c r="J242" t="s">
        <v>320</v>
      </c>
      <c r="K242">
        <v>9.432130046007504E-5</v>
      </c>
      <c r="L242" t="s">
        <v>161</v>
      </c>
      <c r="N242" t="s">
        <v>198</v>
      </c>
      <c r="O242" t="s">
        <v>320</v>
      </c>
      <c r="P242">
        <v>5.5467974614701305E-9</v>
      </c>
      <c r="Q242" t="s">
        <v>161</v>
      </c>
      <c r="S242" t="s">
        <v>220</v>
      </c>
      <c r="T242" t="s">
        <v>320</v>
      </c>
      <c r="U242">
        <v>0</v>
      </c>
      <c r="V242" t="s">
        <v>161</v>
      </c>
      <c r="AK242">
        <v>2050</v>
      </c>
      <c r="AL242" t="s">
        <v>265</v>
      </c>
      <c r="AM242">
        <v>0.36209999999999998</v>
      </c>
      <c r="AN242" t="s">
        <v>236</v>
      </c>
    </row>
    <row r="243" spans="9:40" x14ac:dyDescent="0.45">
      <c r="I243" t="s">
        <v>175</v>
      </c>
      <c r="J243" t="s">
        <v>321</v>
      </c>
      <c r="K243">
        <v>9.9670401184286976E-5</v>
      </c>
      <c r="L243" t="s">
        <v>161</v>
      </c>
      <c r="N243" t="s">
        <v>198</v>
      </c>
      <c r="O243" t="s">
        <v>321</v>
      </c>
      <c r="P243">
        <v>5.6208390662967686E-9</v>
      </c>
      <c r="Q243" t="s">
        <v>161</v>
      </c>
      <c r="S243" t="s">
        <v>220</v>
      </c>
      <c r="T243" t="s">
        <v>321</v>
      </c>
      <c r="U243">
        <v>0</v>
      </c>
      <c r="V243" t="s">
        <v>161</v>
      </c>
    </row>
    <row r="244" spans="9:40" x14ac:dyDescent="0.45">
      <c r="I244" t="s">
        <v>175</v>
      </c>
      <c r="J244" t="s">
        <v>322</v>
      </c>
      <c r="K244">
        <v>1.4092955526158037E-4</v>
      </c>
      <c r="L244" t="s">
        <v>161</v>
      </c>
      <c r="N244" t="s">
        <v>198</v>
      </c>
      <c r="O244" t="s">
        <v>322</v>
      </c>
      <c r="P244">
        <v>5.5918412095421127E-9</v>
      </c>
      <c r="Q244" t="s">
        <v>161</v>
      </c>
      <c r="S244" t="s">
        <v>220</v>
      </c>
      <c r="T244" t="s">
        <v>322</v>
      </c>
      <c r="U244">
        <v>0</v>
      </c>
      <c r="V244" t="s">
        <v>161</v>
      </c>
    </row>
    <row r="245" spans="9:40" x14ac:dyDescent="0.45">
      <c r="I245" t="s">
        <v>175</v>
      </c>
      <c r="J245" t="s">
        <v>323</v>
      </c>
      <c r="K245">
        <v>1.3568429044223578E-4</v>
      </c>
      <c r="L245" t="s">
        <v>161</v>
      </c>
      <c r="N245" t="s">
        <v>198</v>
      </c>
      <c r="O245" t="s">
        <v>323</v>
      </c>
      <c r="P245">
        <v>4.7278211381439593E-9</v>
      </c>
      <c r="Q245" t="s">
        <v>161</v>
      </c>
      <c r="S245" t="s">
        <v>220</v>
      </c>
      <c r="T245" t="s">
        <v>323</v>
      </c>
      <c r="U245">
        <v>0</v>
      </c>
      <c r="V245" t="s">
        <v>161</v>
      </c>
    </row>
    <row r="246" spans="9:40" x14ac:dyDescent="0.45">
      <c r="I246" t="s">
        <v>175</v>
      </c>
      <c r="J246" t="s">
        <v>324</v>
      </c>
      <c r="K246">
        <v>1.7167934081597898E-4</v>
      </c>
      <c r="L246" t="s">
        <v>161</v>
      </c>
      <c r="N246" t="s">
        <v>198</v>
      </c>
      <c r="O246" t="s">
        <v>324</v>
      </c>
      <c r="P246">
        <v>5.0415476476858658E-9</v>
      </c>
      <c r="Q246" t="s">
        <v>161</v>
      </c>
      <c r="S246" t="s">
        <v>220</v>
      </c>
      <c r="T246" t="s">
        <v>324</v>
      </c>
      <c r="U246">
        <v>0</v>
      </c>
      <c r="V246" t="s">
        <v>161</v>
      </c>
    </row>
    <row r="247" spans="9:40" x14ac:dyDescent="0.45">
      <c r="I247" t="s">
        <v>175</v>
      </c>
      <c r="J247" t="s">
        <v>325</v>
      </c>
      <c r="K247">
        <v>1.8517246244899505E-4</v>
      </c>
      <c r="L247" t="s">
        <v>161</v>
      </c>
      <c r="N247" t="s">
        <v>198</v>
      </c>
      <c r="O247" t="s">
        <v>325</v>
      </c>
      <c r="P247">
        <v>1.4035866693975708E-8</v>
      </c>
      <c r="Q247" t="s">
        <v>161</v>
      </c>
      <c r="S247" t="s">
        <v>220</v>
      </c>
      <c r="T247" t="s">
        <v>325</v>
      </c>
      <c r="U247">
        <v>0</v>
      </c>
      <c r="V247" t="s">
        <v>161</v>
      </c>
    </row>
    <row r="248" spans="9:40" x14ac:dyDescent="0.45">
      <c r="I248" t="s">
        <v>175</v>
      </c>
      <c r="J248" t="s">
        <v>326</v>
      </c>
      <c r="K248">
        <v>1.4121509457256124E-4</v>
      </c>
      <c r="L248" t="s">
        <v>161</v>
      </c>
      <c r="N248" t="s">
        <v>198</v>
      </c>
      <c r="O248" t="s">
        <v>326</v>
      </c>
      <c r="P248">
        <v>6.4073451042781942E-8</v>
      </c>
      <c r="Q248" t="s">
        <v>161</v>
      </c>
      <c r="S248" t="s">
        <v>220</v>
      </c>
      <c r="T248" t="s">
        <v>326</v>
      </c>
      <c r="U248">
        <v>0</v>
      </c>
      <c r="V248" t="s">
        <v>161</v>
      </c>
    </row>
    <row r="249" spans="9:40" x14ac:dyDescent="0.45">
      <c r="I249" t="s">
        <v>175</v>
      </c>
      <c r="J249" t="s">
        <v>327</v>
      </c>
      <c r="K249">
        <v>1.4583535616614072E-4</v>
      </c>
      <c r="L249" t="s">
        <v>161</v>
      </c>
      <c r="N249" t="s">
        <v>198</v>
      </c>
      <c r="O249" t="s">
        <v>327</v>
      </c>
      <c r="P249">
        <v>2.1788285343150955E-8</v>
      </c>
      <c r="Q249" t="s">
        <v>161</v>
      </c>
      <c r="S249" t="s">
        <v>220</v>
      </c>
      <c r="T249" t="s">
        <v>327</v>
      </c>
      <c r="U249">
        <v>0</v>
      </c>
      <c r="V249" t="s">
        <v>161</v>
      </c>
    </row>
    <row r="250" spans="9:40" x14ac:dyDescent="0.45">
      <c r="I250" t="s">
        <v>175</v>
      </c>
      <c r="J250" t="s">
        <v>328</v>
      </c>
      <c r="K250">
        <v>4.2814848702784924E-5</v>
      </c>
      <c r="L250" t="s">
        <v>161</v>
      </c>
      <c r="N250" t="s">
        <v>198</v>
      </c>
      <c r="O250" t="s">
        <v>328</v>
      </c>
      <c r="P250">
        <v>2.3313272940068938E-8</v>
      </c>
      <c r="Q250" t="s">
        <v>161</v>
      </c>
      <c r="S250" t="s">
        <v>220</v>
      </c>
      <c r="T250" t="s">
        <v>328</v>
      </c>
      <c r="U250">
        <v>0</v>
      </c>
      <c r="V250" t="s">
        <v>161</v>
      </c>
    </row>
    <row r="251" spans="9:40" x14ac:dyDescent="0.45">
      <c r="I251" t="s">
        <v>175</v>
      </c>
      <c r="J251" t="s">
        <v>329</v>
      </c>
      <c r="K251">
        <v>0</v>
      </c>
      <c r="L251" t="s">
        <v>161</v>
      </c>
      <c r="N251" t="s">
        <v>198</v>
      </c>
      <c r="O251" t="s">
        <v>329</v>
      </c>
      <c r="P251">
        <v>4.9156160103800216E-7</v>
      </c>
      <c r="Q251" t="s">
        <v>161</v>
      </c>
      <c r="S251" t="s">
        <v>220</v>
      </c>
      <c r="T251" t="s">
        <v>329</v>
      </c>
      <c r="U251">
        <v>0</v>
      </c>
      <c r="V251" t="s">
        <v>161</v>
      </c>
    </row>
    <row r="252" spans="9:40" x14ac:dyDescent="0.45">
      <c r="I252" t="s">
        <v>175</v>
      </c>
      <c r="J252" t="s">
        <v>330</v>
      </c>
      <c r="K252">
        <v>0</v>
      </c>
      <c r="L252" t="s">
        <v>161</v>
      </c>
      <c r="N252" t="s">
        <v>198</v>
      </c>
      <c r="O252" t="s">
        <v>330</v>
      </c>
      <c r="P252">
        <v>2.1782875825767558E-6</v>
      </c>
      <c r="Q252" t="s">
        <v>161</v>
      </c>
      <c r="S252" t="s">
        <v>220</v>
      </c>
      <c r="T252" t="s">
        <v>330</v>
      </c>
      <c r="U252">
        <v>4.1463916486922559E-9</v>
      </c>
      <c r="V252" t="s">
        <v>161</v>
      </c>
    </row>
    <row r="253" spans="9:40" x14ac:dyDescent="0.45">
      <c r="I253" t="s">
        <v>175</v>
      </c>
      <c r="J253" t="s">
        <v>331</v>
      </c>
      <c r="K253">
        <v>0</v>
      </c>
      <c r="L253" t="s">
        <v>161</v>
      </c>
      <c r="N253" t="s">
        <v>198</v>
      </c>
      <c r="O253" t="s">
        <v>331</v>
      </c>
      <c r="P253">
        <v>3.1667024974997737E-6</v>
      </c>
      <c r="Q253" t="s">
        <v>161</v>
      </c>
      <c r="S253" t="s">
        <v>220</v>
      </c>
      <c r="T253" t="s">
        <v>331</v>
      </c>
      <c r="U253">
        <v>5.7411686318908772E-9</v>
      </c>
      <c r="V253" t="s">
        <v>161</v>
      </c>
    </row>
    <row r="254" spans="9:40" x14ac:dyDescent="0.45">
      <c r="I254" t="s">
        <v>175</v>
      </c>
      <c r="J254" t="s">
        <v>332</v>
      </c>
      <c r="K254">
        <v>0</v>
      </c>
      <c r="L254" t="s">
        <v>161</v>
      </c>
      <c r="N254" t="s">
        <v>198</v>
      </c>
      <c r="O254" t="s">
        <v>332</v>
      </c>
      <c r="P254">
        <v>4.214204288000048E-6</v>
      </c>
      <c r="Q254" t="s">
        <v>161</v>
      </c>
      <c r="S254" t="s">
        <v>220</v>
      </c>
      <c r="T254" t="s">
        <v>332</v>
      </c>
      <c r="U254">
        <v>0</v>
      </c>
      <c r="V254" t="s">
        <v>161</v>
      </c>
    </row>
    <row r="255" spans="9:40" x14ac:dyDescent="0.45">
      <c r="I255" t="s">
        <v>175</v>
      </c>
      <c r="J255" t="s">
        <v>333</v>
      </c>
      <c r="K255">
        <v>0</v>
      </c>
      <c r="L255" t="s">
        <v>161</v>
      </c>
      <c r="N255" t="s">
        <v>198</v>
      </c>
      <c r="O255" t="s">
        <v>333</v>
      </c>
      <c r="P255">
        <v>5.5392916420214634E-7</v>
      </c>
      <c r="Q255" t="s">
        <v>161</v>
      </c>
      <c r="S255" t="s">
        <v>220</v>
      </c>
      <c r="T255" t="s">
        <v>333</v>
      </c>
      <c r="U255">
        <v>6.3626037125777021E-9</v>
      </c>
      <c r="V255" t="s">
        <v>161</v>
      </c>
    </row>
    <row r="256" spans="9:40" x14ac:dyDescent="0.45">
      <c r="I256" t="s">
        <v>175</v>
      </c>
      <c r="J256" t="s">
        <v>334</v>
      </c>
      <c r="K256">
        <v>0</v>
      </c>
      <c r="L256" t="s">
        <v>161</v>
      </c>
      <c r="N256" t="s">
        <v>198</v>
      </c>
      <c r="O256" t="s">
        <v>334</v>
      </c>
      <c r="P256">
        <v>2.8762238015085226E-7</v>
      </c>
      <c r="Q256" t="s">
        <v>161</v>
      </c>
      <c r="S256" t="s">
        <v>220</v>
      </c>
      <c r="T256" t="s">
        <v>334</v>
      </c>
      <c r="U256">
        <v>0</v>
      </c>
      <c r="V256" t="s">
        <v>161</v>
      </c>
    </row>
    <row r="257" spans="9:22" x14ac:dyDescent="0.45">
      <c r="I257" t="s">
        <v>175</v>
      </c>
      <c r="J257" t="s">
        <v>164</v>
      </c>
      <c r="K257">
        <v>1.0430427955156028E-2</v>
      </c>
      <c r="L257" t="s">
        <v>161</v>
      </c>
      <c r="N257" t="s">
        <v>198</v>
      </c>
      <c r="O257" t="s">
        <v>164</v>
      </c>
      <c r="P257">
        <v>3.8742671980488488E-2</v>
      </c>
      <c r="Q257" t="s">
        <v>161</v>
      </c>
      <c r="S257" t="s">
        <v>220</v>
      </c>
      <c r="T257" t="s">
        <v>164</v>
      </c>
      <c r="U257">
        <v>3.8134114404064508E-2</v>
      </c>
      <c r="V257" t="s">
        <v>161</v>
      </c>
    </row>
    <row r="258" spans="9:22" x14ac:dyDescent="0.45">
      <c r="I258" t="s">
        <v>175</v>
      </c>
      <c r="J258" t="s">
        <v>165</v>
      </c>
      <c r="K258">
        <v>1.0061096663258561E-2</v>
      </c>
      <c r="L258" t="s">
        <v>161</v>
      </c>
      <c r="N258" t="s">
        <v>198</v>
      </c>
      <c r="O258" t="s">
        <v>165</v>
      </c>
      <c r="P258">
        <v>4.4368362982195944E-3</v>
      </c>
      <c r="Q258" t="s">
        <v>161</v>
      </c>
      <c r="S258" t="s">
        <v>220</v>
      </c>
      <c r="T258" t="s">
        <v>165</v>
      </c>
      <c r="U258">
        <v>4.5852698225683237E-3</v>
      </c>
      <c r="V258" t="s">
        <v>161</v>
      </c>
    </row>
    <row r="259" spans="9:22" x14ac:dyDescent="0.45">
      <c r="I259" t="s">
        <v>175</v>
      </c>
      <c r="J259" t="s">
        <v>166</v>
      </c>
      <c r="K259">
        <v>8.8912879221231603E-2</v>
      </c>
      <c r="L259" t="s">
        <v>161</v>
      </c>
      <c r="N259" t="s">
        <v>198</v>
      </c>
      <c r="O259" t="s">
        <v>166</v>
      </c>
      <c r="P259">
        <v>3.097890938144653E-2</v>
      </c>
      <c r="Q259" t="s">
        <v>161</v>
      </c>
      <c r="S259" t="s">
        <v>220</v>
      </c>
      <c r="T259" t="s">
        <v>166</v>
      </c>
      <c r="U259">
        <v>3.0986002833651702E-2</v>
      </c>
      <c r="V259" t="s">
        <v>161</v>
      </c>
    </row>
    <row r="260" spans="9:22" x14ac:dyDescent="0.45">
      <c r="I260" t="s">
        <v>175</v>
      </c>
      <c r="J260" t="s">
        <v>244</v>
      </c>
      <c r="K260">
        <v>7.8167025027003258E-3</v>
      </c>
      <c r="L260" t="s">
        <v>161</v>
      </c>
      <c r="N260" t="s">
        <v>198</v>
      </c>
      <c r="O260" t="s">
        <v>244</v>
      </c>
      <c r="P260">
        <v>4.6809614493578833E-3</v>
      </c>
      <c r="Q260" t="s">
        <v>161</v>
      </c>
      <c r="S260" t="s">
        <v>220</v>
      </c>
      <c r="T260" t="s">
        <v>244</v>
      </c>
      <c r="U260">
        <v>4.7163454097284199E-3</v>
      </c>
      <c r="V260" t="s">
        <v>161</v>
      </c>
    </row>
    <row r="261" spans="9:22" x14ac:dyDescent="0.45">
      <c r="I261" t="s">
        <v>175</v>
      </c>
      <c r="J261" t="s">
        <v>245</v>
      </c>
      <c r="K261">
        <v>5.2720568907383795E-3</v>
      </c>
      <c r="L261" t="s">
        <v>161</v>
      </c>
      <c r="N261" t="s">
        <v>198</v>
      </c>
      <c r="O261" t="s">
        <v>245</v>
      </c>
      <c r="P261">
        <v>4.7544873057999452E-3</v>
      </c>
      <c r="Q261" t="s">
        <v>161</v>
      </c>
      <c r="S261" t="s">
        <v>220</v>
      </c>
      <c r="T261" t="s">
        <v>245</v>
      </c>
      <c r="U261">
        <v>4.8784801670673228E-3</v>
      </c>
      <c r="V261" t="s">
        <v>161</v>
      </c>
    </row>
    <row r="262" spans="9:22" x14ac:dyDescent="0.45">
      <c r="I262" t="s">
        <v>175</v>
      </c>
      <c r="J262" t="s">
        <v>267</v>
      </c>
      <c r="K262">
        <v>2.1568865196358133E-3</v>
      </c>
      <c r="L262" t="s">
        <v>161</v>
      </c>
      <c r="N262" t="s">
        <v>198</v>
      </c>
      <c r="O262" t="s">
        <v>267</v>
      </c>
      <c r="P262">
        <v>3.0808673895389594E-2</v>
      </c>
      <c r="Q262" t="s">
        <v>161</v>
      </c>
      <c r="S262" t="s">
        <v>220</v>
      </c>
      <c r="T262" t="s">
        <v>267</v>
      </c>
      <c r="U262">
        <v>3.0703765324001712E-2</v>
      </c>
      <c r="V262" t="s">
        <v>161</v>
      </c>
    </row>
    <row r="263" spans="9:22" x14ac:dyDescent="0.45">
      <c r="I263" t="s">
        <v>175</v>
      </c>
      <c r="J263" t="s">
        <v>167</v>
      </c>
      <c r="K263">
        <v>6.0294711710018538E-2</v>
      </c>
      <c r="L263" t="s">
        <v>161</v>
      </c>
      <c r="N263" t="s">
        <v>198</v>
      </c>
      <c r="O263" t="s">
        <v>167</v>
      </c>
      <c r="P263">
        <v>6.4672607566759077E-2</v>
      </c>
      <c r="Q263" t="s">
        <v>161</v>
      </c>
      <c r="S263" t="s">
        <v>220</v>
      </c>
      <c r="T263" t="s">
        <v>167</v>
      </c>
      <c r="U263">
        <v>6.5650059790391513E-2</v>
      </c>
      <c r="V263" t="s">
        <v>161</v>
      </c>
    </row>
    <row r="264" spans="9:22" x14ac:dyDescent="0.45">
      <c r="I264" t="s">
        <v>175</v>
      </c>
      <c r="J264" t="s">
        <v>168</v>
      </c>
      <c r="K264">
        <v>3.3449159749663879E-2</v>
      </c>
      <c r="L264" t="s">
        <v>161</v>
      </c>
      <c r="N264" t="s">
        <v>198</v>
      </c>
      <c r="O264" t="s">
        <v>168</v>
      </c>
      <c r="P264">
        <v>7.8408040785736457E-3</v>
      </c>
      <c r="Q264" t="s">
        <v>161</v>
      </c>
      <c r="S264" t="s">
        <v>220</v>
      </c>
      <c r="T264" t="s">
        <v>168</v>
      </c>
      <c r="U264">
        <v>8.2487744827716494E-3</v>
      </c>
      <c r="V264" t="s">
        <v>161</v>
      </c>
    </row>
    <row r="265" spans="9:22" x14ac:dyDescent="0.45">
      <c r="I265" t="s">
        <v>175</v>
      </c>
      <c r="J265" t="s">
        <v>169</v>
      </c>
      <c r="K265">
        <v>0.25791331502999526</v>
      </c>
      <c r="L265" t="s">
        <v>161</v>
      </c>
      <c r="N265" t="s">
        <v>198</v>
      </c>
      <c r="O265" t="s">
        <v>169</v>
      </c>
      <c r="P265">
        <v>5.6362754408244745E-2</v>
      </c>
      <c r="Q265" t="s">
        <v>161</v>
      </c>
      <c r="S265" t="s">
        <v>220</v>
      </c>
      <c r="T265" t="s">
        <v>169</v>
      </c>
      <c r="U265">
        <v>5.515150935292526E-2</v>
      </c>
      <c r="V265" t="s">
        <v>161</v>
      </c>
    </row>
    <row r="266" spans="9:22" x14ac:dyDescent="0.45">
      <c r="I266" t="s">
        <v>175</v>
      </c>
      <c r="J266" t="s">
        <v>246</v>
      </c>
      <c r="K266">
        <v>2.7751574415349683E-2</v>
      </c>
      <c r="L266" t="s">
        <v>161</v>
      </c>
      <c r="N266" t="s">
        <v>198</v>
      </c>
      <c r="O266" t="s">
        <v>246</v>
      </c>
      <c r="P266">
        <v>8.389863026302893E-3</v>
      </c>
      <c r="Q266" t="s">
        <v>161</v>
      </c>
      <c r="S266" t="s">
        <v>220</v>
      </c>
      <c r="T266" t="s">
        <v>246</v>
      </c>
      <c r="U266">
        <v>7.9574593418400598E-3</v>
      </c>
      <c r="V266" t="s">
        <v>161</v>
      </c>
    </row>
    <row r="267" spans="9:22" x14ac:dyDescent="0.45">
      <c r="I267" t="s">
        <v>175</v>
      </c>
      <c r="J267" t="s">
        <v>247</v>
      </c>
      <c r="K267">
        <v>2.1743399416684624E-2</v>
      </c>
      <c r="L267" t="s">
        <v>161</v>
      </c>
      <c r="N267" t="s">
        <v>198</v>
      </c>
      <c r="O267" t="s">
        <v>247</v>
      </c>
      <c r="P267">
        <v>8.143522167962337E-3</v>
      </c>
      <c r="Q267" t="s">
        <v>161</v>
      </c>
      <c r="S267" t="s">
        <v>220</v>
      </c>
      <c r="T267" t="s">
        <v>247</v>
      </c>
      <c r="U267">
        <v>8.037693111745698E-3</v>
      </c>
      <c r="V267" t="s">
        <v>161</v>
      </c>
    </row>
    <row r="268" spans="9:22" x14ac:dyDescent="0.45">
      <c r="I268" t="s">
        <v>175</v>
      </c>
      <c r="J268" t="s">
        <v>268</v>
      </c>
      <c r="K268">
        <v>2.1666983414515804E-2</v>
      </c>
      <c r="L268" t="s">
        <v>161</v>
      </c>
      <c r="N268" t="s">
        <v>198</v>
      </c>
      <c r="O268" t="s">
        <v>268</v>
      </c>
      <c r="P268">
        <v>4.9406619805272327E-2</v>
      </c>
      <c r="Q268" t="s">
        <v>161</v>
      </c>
      <c r="S268" t="s">
        <v>220</v>
      </c>
      <c r="T268" t="s">
        <v>268</v>
      </c>
      <c r="U268">
        <v>4.902096508548516E-2</v>
      </c>
      <c r="V268" t="s">
        <v>161</v>
      </c>
    </row>
    <row r="269" spans="9:22" x14ac:dyDescent="0.45">
      <c r="I269" t="s">
        <v>175</v>
      </c>
      <c r="J269" t="s">
        <v>170</v>
      </c>
      <c r="K269">
        <v>2.2453685232532473E-2</v>
      </c>
      <c r="L269" t="s">
        <v>161</v>
      </c>
      <c r="N269" t="s">
        <v>198</v>
      </c>
      <c r="O269" t="s">
        <v>170</v>
      </c>
      <c r="P269">
        <v>3.5855843177414207E-2</v>
      </c>
      <c r="Q269" t="s">
        <v>161</v>
      </c>
      <c r="S269" t="s">
        <v>220</v>
      </c>
      <c r="T269" t="s">
        <v>170</v>
      </c>
      <c r="U269">
        <v>3.5804570710091056E-2</v>
      </c>
      <c r="V269" t="s">
        <v>161</v>
      </c>
    </row>
    <row r="270" spans="9:22" x14ac:dyDescent="0.45">
      <c r="I270" t="s">
        <v>175</v>
      </c>
      <c r="J270" t="s">
        <v>171</v>
      </c>
      <c r="K270">
        <v>1.5158173658475858E-2</v>
      </c>
      <c r="L270" t="s">
        <v>161</v>
      </c>
      <c r="N270" t="s">
        <v>198</v>
      </c>
      <c r="O270" t="s">
        <v>171</v>
      </c>
      <c r="P270">
        <v>3.8968393301674524E-3</v>
      </c>
      <c r="Q270" t="s">
        <v>161</v>
      </c>
      <c r="S270" t="s">
        <v>220</v>
      </c>
      <c r="T270" t="s">
        <v>171</v>
      </c>
      <c r="U270">
        <v>4.3139409257015116E-3</v>
      </c>
      <c r="V270" t="s">
        <v>161</v>
      </c>
    </row>
    <row r="271" spans="9:22" x14ac:dyDescent="0.45">
      <c r="I271" t="s">
        <v>175</v>
      </c>
      <c r="J271" t="s">
        <v>172</v>
      </c>
      <c r="K271">
        <v>0.12300341382010913</v>
      </c>
      <c r="L271" t="s">
        <v>161</v>
      </c>
      <c r="N271" t="s">
        <v>198</v>
      </c>
      <c r="O271" t="s">
        <v>172</v>
      </c>
      <c r="P271">
        <v>3.138643802352728E-2</v>
      </c>
      <c r="Q271" t="s">
        <v>161</v>
      </c>
      <c r="S271" t="s">
        <v>220</v>
      </c>
      <c r="T271" t="s">
        <v>172</v>
      </c>
      <c r="U271">
        <v>3.1913152306625787E-2</v>
      </c>
      <c r="V271" t="s">
        <v>161</v>
      </c>
    </row>
    <row r="272" spans="9:22" x14ac:dyDescent="0.45">
      <c r="I272" t="s">
        <v>175</v>
      </c>
      <c r="J272" t="s">
        <v>248</v>
      </c>
      <c r="K272">
        <v>1.2687171825670529E-2</v>
      </c>
      <c r="L272" t="s">
        <v>161</v>
      </c>
      <c r="N272" t="s">
        <v>198</v>
      </c>
      <c r="O272" t="s">
        <v>248</v>
      </c>
      <c r="P272">
        <v>4.2439200776852107E-3</v>
      </c>
      <c r="Q272" t="s">
        <v>161</v>
      </c>
      <c r="S272" t="s">
        <v>220</v>
      </c>
      <c r="T272" t="s">
        <v>248</v>
      </c>
      <c r="U272">
        <v>4.3554721998169425E-3</v>
      </c>
      <c r="V272" t="s">
        <v>161</v>
      </c>
    </row>
    <row r="273" spans="9:22" x14ac:dyDescent="0.45">
      <c r="I273" t="s">
        <v>175</v>
      </c>
      <c r="J273" t="s">
        <v>249</v>
      </c>
      <c r="K273">
        <v>9.3096992131871999E-3</v>
      </c>
      <c r="L273" t="s">
        <v>161</v>
      </c>
      <c r="N273" t="s">
        <v>198</v>
      </c>
      <c r="O273" t="s">
        <v>249</v>
      </c>
      <c r="P273">
        <v>4.0259771264926731E-3</v>
      </c>
      <c r="Q273" t="s">
        <v>161</v>
      </c>
      <c r="S273" t="s">
        <v>220</v>
      </c>
      <c r="T273" t="s">
        <v>249</v>
      </c>
      <c r="U273">
        <v>4.2741645094787738E-3</v>
      </c>
      <c r="V273" t="s">
        <v>161</v>
      </c>
    </row>
    <row r="274" spans="9:22" x14ac:dyDescent="0.45">
      <c r="I274" t="s">
        <v>175</v>
      </c>
      <c r="J274" t="s">
        <v>269</v>
      </c>
      <c r="K274">
        <v>6.4256813205864011E-3</v>
      </c>
      <c r="L274" t="s">
        <v>161</v>
      </c>
      <c r="N274" t="s">
        <v>198</v>
      </c>
      <c r="O274" t="s">
        <v>269</v>
      </c>
      <c r="P274">
        <v>2.6245753357567646E-2</v>
      </c>
      <c r="Q274" t="s">
        <v>161</v>
      </c>
      <c r="S274" t="s">
        <v>220</v>
      </c>
      <c r="T274" t="s">
        <v>269</v>
      </c>
      <c r="U274">
        <v>2.6912353973340165E-2</v>
      </c>
      <c r="V274" t="s">
        <v>161</v>
      </c>
    </row>
    <row r="275" spans="9:22" x14ac:dyDescent="0.45">
      <c r="I275" t="s">
        <v>175</v>
      </c>
      <c r="J275" t="s">
        <v>250</v>
      </c>
      <c r="K275">
        <v>5.2323103611188948E-3</v>
      </c>
      <c r="L275" t="s">
        <v>161</v>
      </c>
      <c r="N275" t="s">
        <v>198</v>
      </c>
      <c r="O275" t="s">
        <v>250</v>
      </c>
      <c r="P275">
        <v>5.3208396768031234E-2</v>
      </c>
      <c r="Q275" t="s">
        <v>161</v>
      </c>
      <c r="S275" t="s">
        <v>220</v>
      </c>
      <c r="T275" t="s">
        <v>250</v>
      </c>
      <c r="U275">
        <v>5.17433043579376E-2</v>
      </c>
      <c r="V275" t="s">
        <v>161</v>
      </c>
    </row>
    <row r="276" spans="9:22" x14ac:dyDescent="0.45">
      <c r="I276" t="s">
        <v>175</v>
      </c>
      <c r="J276" t="s">
        <v>251</v>
      </c>
      <c r="K276">
        <v>6.9016531349920043E-3</v>
      </c>
      <c r="L276" t="s">
        <v>161</v>
      </c>
      <c r="N276" t="s">
        <v>198</v>
      </c>
      <c r="O276" t="s">
        <v>251</v>
      </c>
      <c r="P276">
        <v>6.343618422071034E-3</v>
      </c>
      <c r="Q276" t="s">
        <v>161</v>
      </c>
      <c r="S276" t="s">
        <v>220</v>
      </c>
      <c r="T276" t="s">
        <v>251</v>
      </c>
      <c r="U276">
        <v>6.3844146134827548E-3</v>
      </c>
      <c r="V276" t="s">
        <v>161</v>
      </c>
    </row>
    <row r="277" spans="9:22" x14ac:dyDescent="0.45">
      <c r="I277" t="s">
        <v>175</v>
      </c>
      <c r="J277" t="s">
        <v>252</v>
      </c>
      <c r="K277">
        <v>7.4899548463536525E-2</v>
      </c>
      <c r="L277" t="s">
        <v>161</v>
      </c>
      <c r="N277" t="s">
        <v>198</v>
      </c>
      <c r="O277" t="s">
        <v>252</v>
      </c>
      <c r="P277">
        <v>4.1976430087356617E-2</v>
      </c>
      <c r="Q277" t="s">
        <v>161</v>
      </c>
      <c r="S277" t="s">
        <v>220</v>
      </c>
      <c r="T277" t="s">
        <v>252</v>
      </c>
      <c r="U277">
        <v>4.2205898233657169E-2</v>
      </c>
      <c r="V277" t="s">
        <v>161</v>
      </c>
    </row>
    <row r="278" spans="9:22" x14ac:dyDescent="0.45">
      <c r="I278" t="s">
        <v>175</v>
      </c>
      <c r="J278" t="s">
        <v>253</v>
      </c>
      <c r="K278">
        <v>6.3546143448076457E-3</v>
      </c>
      <c r="L278" t="s">
        <v>161</v>
      </c>
      <c r="N278" t="s">
        <v>198</v>
      </c>
      <c r="O278" t="s">
        <v>253</v>
      </c>
      <c r="P278">
        <v>6.102765999432126E-3</v>
      </c>
      <c r="Q278" t="s">
        <v>161</v>
      </c>
      <c r="S278" t="s">
        <v>220</v>
      </c>
      <c r="T278" t="s">
        <v>253</v>
      </c>
      <c r="U278">
        <v>6.1494790120421123E-3</v>
      </c>
      <c r="V278" t="s">
        <v>161</v>
      </c>
    </row>
    <row r="279" spans="9:22" x14ac:dyDescent="0.45">
      <c r="I279" t="s">
        <v>175</v>
      </c>
      <c r="J279" t="s">
        <v>254</v>
      </c>
      <c r="K279">
        <v>2.239515028257449E-3</v>
      </c>
      <c r="L279" t="s">
        <v>161</v>
      </c>
      <c r="N279" t="s">
        <v>198</v>
      </c>
      <c r="O279" t="s">
        <v>254</v>
      </c>
      <c r="P279">
        <v>6.3178780340948822E-3</v>
      </c>
      <c r="Q279" t="s">
        <v>161</v>
      </c>
      <c r="S279" t="s">
        <v>220</v>
      </c>
      <c r="T279" t="s">
        <v>254</v>
      </c>
      <c r="U279">
        <v>6.2592338585599726E-3</v>
      </c>
      <c r="V279" t="s">
        <v>161</v>
      </c>
    </row>
    <row r="280" spans="9:22" x14ac:dyDescent="0.45">
      <c r="I280" t="s">
        <v>175</v>
      </c>
      <c r="J280" t="s">
        <v>270</v>
      </c>
      <c r="K280">
        <v>0</v>
      </c>
      <c r="L280" t="s">
        <v>161</v>
      </c>
      <c r="N280" t="s">
        <v>198</v>
      </c>
      <c r="O280" t="s">
        <v>270</v>
      </c>
      <c r="P280">
        <v>4.0687731646975409E-2</v>
      </c>
      <c r="Q280" t="s">
        <v>161</v>
      </c>
      <c r="S280" t="s">
        <v>220</v>
      </c>
      <c r="T280" t="s">
        <v>270</v>
      </c>
      <c r="U280">
        <v>3.927018022185999E-2</v>
      </c>
      <c r="V280" t="s">
        <v>161</v>
      </c>
    </row>
    <row r="281" spans="9:22" x14ac:dyDescent="0.45">
      <c r="I281" t="s">
        <v>175</v>
      </c>
      <c r="J281" t="s">
        <v>255</v>
      </c>
      <c r="K281">
        <v>8.3925718058765165E-5</v>
      </c>
      <c r="L281" t="s">
        <v>161</v>
      </c>
      <c r="N281" t="s">
        <v>198</v>
      </c>
      <c r="O281" t="s">
        <v>255</v>
      </c>
      <c r="P281">
        <v>4.8631622545557043E-2</v>
      </c>
      <c r="Q281" t="s">
        <v>161</v>
      </c>
      <c r="S281" t="s">
        <v>220</v>
      </c>
      <c r="T281" t="s">
        <v>255</v>
      </c>
      <c r="U281">
        <v>4.831081593024409E-2</v>
      </c>
      <c r="V281" t="s">
        <v>161</v>
      </c>
    </row>
    <row r="282" spans="9:22" x14ac:dyDescent="0.45">
      <c r="I282" t="s">
        <v>175</v>
      </c>
      <c r="J282" t="s">
        <v>256</v>
      </c>
      <c r="K282">
        <v>2.2323159072752067E-3</v>
      </c>
      <c r="L282" t="s">
        <v>161</v>
      </c>
      <c r="N282" t="s">
        <v>198</v>
      </c>
      <c r="O282" t="s">
        <v>256</v>
      </c>
      <c r="P282">
        <v>5.9814801706063745E-3</v>
      </c>
      <c r="Q282" t="s">
        <v>161</v>
      </c>
      <c r="S282" t="s">
        <v>220</v>
      </c>
      <c r="T282" t="s">
        <v>256</v>
      </c>
      <c r="U282">
        <v>6.1144373921359872E-3</v>
      </c>
      <c r="V282" t="s">
        <v>161</v>
      </c>
    </row>
    <row r="283" spans="9:22" x14ac:dyDescent="0.45">
      <c r="I283" t="s">
        <v>175</v>
      </c>
      <c r="J283" t="s">
        <v>257</v>
      </c>
      <c r="K283">
        <v>3.6216914471218498E-2</v>
      </c>
      <c r="L283" t="s">
        <v>161</v>
      </c>
      <c r="N283" t="s">
        <v>198</v>
      </c>
      <c r="O283" t="s">
        <v>257</v>
      </c>
      <c r="P283">
        <v>3.7936680488866163E-2</v>
      </c>
      <c r="Q283" t="s">
        <v>161</v>
      </c>
      <c r="S283" t="s">
        <v>220</v>
      </c>
      <c r="T283" t="s">
        <v>257</v>
      </c>
      <c r="U283">
        <v>3.9597013162031798E-2</v>
      </c>
      <c r="V283" t="s">
        <v>161</v>
      </c>
    </row>
    <row r="284" spans="9:22" x14ac:dyDescent="0.45">
      <c r="I284" t="s">
        <v>175</v>
      </c>
      <c r="J284" t="s">
        <v>258</v>
      </c>
      <c r="K284">
        <v>3.8681063725175784E-4</v>
      </c>
      <c r="L284" t="s">
        <v>161</v>
      </c>
      <c r="N284" t="s">
        <v>198</v>
      </c>
      <c r="O284" t="s">
        <v>258</v>
      </c>
      <c r="P284">
        <v>5.5574581720378591E-3</v>
      </c>
      <c r="Q284" t="s">
        <v>161</v>
      </c>
      <c r="S284" t="s">
        <v>220</v>
      </c>
      <c r="T284" t="s">
        <v>258</v>
      </c>
      <c r="U284">
        <v>5.7469661888539785E-3</v>
      </c>
      <c r="V284" t="s">
        <v>161</v>
      </c>
    </row>
    <row r="285" spans="9:22" x14ac:dyDescent="0.45">
      <c r="I285" t="s">
        <v>175</v>
      </c>
      <c r="J285" t="s">
        <v>259</v>
      </c>
      <c r="K285">
        <v>0</v>
      </c>
      <c r="L285" t="s">
        <v>161</v>
      </c>
      <c r="N285" t="s">
        <v>198</v>
      </c>
      <c r="O285" t="s">
        <v>259</v>
      </c>
      <c r="P285">
        <v>5.6490075976152517E-3</v>
      </c>
      <c r="Q285" t="s">
        <v>161</v>
      </c>
      <c r="S285" t="s">
        <v>220</v>
      </c>
      <c r="T285" t="s">
        <v>259</v>
      </c>
      <c r="U285">
        <v>5.6976364747678724E-3</v>
      </c>
      <c r="V285" t="s">
        <v>161</v>
      </c>
    </row>
    <row r="286" spans="9:22" x14ac:dyDescent="0.45">
      <c r="I286" t="s">
        <v>175</v>
      </c>
      <c r="J286" t="s">
        <v>271</v>
      </c>
      <c r="K286">
        <v>0</v>
      </c>
      <c r="L286" t="s">
        <v>161</v>
      </c>
      <c r="N286" t="s">
        <v>198</v>
      </c>
      <c r="O286" t="s">
        <v>271</v>
      </c>
      <c r="P286">
        <v>3.3808088471556814E-2</v>
      </c>
      <c r="Q286" t="s">
        <v>161</v>
      </c>
      <c r="S286" t="s">
        <v>220</v>
      </c>
      <c r="T286" t="s">
        <v>271</v>
      </c>
      <c r="U286">
        <v>3.3545128867587731E-2</v>
      </c>
      <c r="V286" t="s">
        <v>161</v>
      </c>
    </row>
    <row r="287" spans="9:22" x14ac:dyDescent="0.45">
      <c r="I287" t="s">
        <v>175</v>
      </c>
      <c r="J287" t="s">
        <v>272</v>
      </c>
      <c r="K287">
        <v>0</v>
      </c>
      <c r="L287" t="s">
        <v>161</v>
      </c>
      <c r="N287" t="s">
        <v>198</v>
      </c>
      <c r="O287" t="s">
        <v>272</v>
      </c>
      <c r="P287">
        <v>1.6142054152338509E-2</v>
      </c>
      <c r="Q287" t="s">
        <v>161</v>
      </c>
      <c r="S287" t="s">
        <v>220</v>
      </c>
      <c r="T287" t="s">
        <v>272</v>
      </c>
      <c r="U287">
        <v>1.474795383679155E-2</v>
      </c>
      <c r="V287" t="s">
        <v>161</v>
      </c>
    </row>
    <row r="288" spans="9:22" x14ac:dyDescent="0.45">
      <c r="I288" t="s">
        <v>175</v>
      </c>
      <c r="J288" t="s">
        <v>273</v>
      </c>
      <c r="K288">
        <v>2.8341344861233916E-4</v>
      </c>
      <c r="L288" t="s">
        <v>161</v>
      </c>
      <c r="N288" t="s">
        <v>198</v>
      </c>
      <c r="O288" t="s">
        <v>273</v>
      </c>
      <c r="P288">
        <v>2.0925260240240804E-3</v>
      </c>
      <c r="Q288" t="s">
        <v>161</v>
      </c>
      <c r="S288" t="s">
        <v>220</v>
      </c>
      <c r="T288" t="s">
        <v>273</v>
      </c>
      <c r="U288">
        <v>1.9715487609056901E-3</v>
      </c>
      <c r="V288" t="s">
        <v>161</v>
      </c>
    </row>
    <row r="289" spans="9:22" x14ac:dyDescent="0.45">
      <c r="I289" t="s">
        <v>175</v>
      </c>
      <c r="J289" t="s">
        <v>274</v>
      </c>
      <c r="K289">
        <v>6.6498103997894176E-3</v>
      </c>
      <c r="L289" t="s">
        <v>161</v>
      </c>
      <c r="N289" t="s">
        <v>198</v>
      </c>
      <c r="O289" t="s">
        <v>274</v>
      </c>
      <c r="P289">
        <v>1.3488932921872414E-2</v>
      </c>
      <c r="Q289" t="s">
        <v>161</v>
      </c>
      <c r="S289" t="s">
        <v>220</v>
      </c>
      <c r="T289" t="s">
        <v>274</v>
      </c>
      <c r="U289">
        <v>1.316712177398309E-2</v>
      </c>
      <c r="V289" t="s">
        <v>161</v>
      </c>
    </row>
    <row r="290" spans="9:22" x14ac:dyDescent="0.45">
      <c r="I290" t="s">
        <v>175</v>
      </c>
      <c r="J290" t="s">
        <v>275</v>
      </c>
      <c r="K290">
        <v>0</v>
      </c>
      <c r="L290" t="s">
        <v>161</v>
      </c>
      <c r="N290" t="s">
        <v>198</v>
      </c>
      <c r="O290" t="s">
        <v>275</v>
      </c>
      <c r="P290">
        <v>1.8485725330715465E-3</v>
      </c>
      <c r="Q290" t="s">
        <v>161</v>
      </c>
      <c r="S290" t="s">
        <v>220</v>
      </c>
      <c r="T290" t="s">
        <v>275</v>
      </c>
      <c r="U290">
        <v>1.8157794181464086E-3</v>
      </c>
      <c r="V290" t="s">
        <v>161</v>
      </c>
    </row>
    <row r="291" spans="9:22" x14ac:dyDescent="0.45">
      <c r="I291" t="s">
        <v>175</v>
      </c>
      <c r="J291" t="s">
        <v>276</v>
      </c>
      <c r="K291">
        <v>0</v>
      </c>
      <c r="L291" t="s">
        <v>161</v>
      </c>
      <c r="N291" t="s">
        <v>198</v>
      </c>
      <c r="O291" t="s">
        <v>276</v>
      </c>
      <c r="P291">
        <v>1.8286351004826152E-3</v>
      </c>
      <c r="Q291" t="s">
        <v>161</v>
      </c>
      <c r="S291" t="s">
        <v>220</v>
      </c>
      <c r="T291" t="s">
        <v>276</v>
      </c>
      <c r="U291">
        <v>1.7851168316978959E-3</v>
      </c>
      <c r="V291" t="s">
        <v>161</v>
      </c>
    </row>
    <row r="292" spans="9:22" x14ac:dyDescent="0.45">
      <c r="I292" t="s">
        <v>175</v>
      </c>
      <c r="J292" t="s">
        <v>277</v>
      </c>
      <c r="K292">
        <v>0</v>
      </c>
      <c r="L292" t="s">
        <v>161</v>
      </c>
      <c r="N292" t="s">
        <v>198</v>
      </c>
      <c r="O292" t="s">
        <v>277</v>
      </c>
      <c r="P292">
        <v>1.1111567789203115E-2</v>
      </c>
      <c r="Q292" t="s">
        <v>161</v>
      </c>
      <c r="S292" t="s">
        <v>220</v>
      </c>
      <c r="T292" t="s">
        <v>277</v>
      </c>
      <c r="U292">
        <v>1.0466275549127577E-2</v>
      </c>
      <c r="V292" t="s">
        <v>161</v>
      </c>
    </row>
    <row r="293" spans="9:22" x14ac:dyDescent="0.45">
      <c r="I293" t="s">
        <v>175</v>
      </c>
      <c r="J293" t="s">
        <v>278</v>
      </c>
      <c r="K293">
        <v>0</v>
      </c>
      <c r="L293" t="s">
        <v>161</v>
      </c>
      <c r="N293" t="s">
        <v>198</v>
      </c>
      <c r="O293" t="s">
        <v>278</v>
      </c>
      <c r="P293">
        <v>7.9328830744361065E-3</v>
      </c>
      <c r="Q293" t="s">
        <v>161</v>
      </c>
      <c r="S293" t="s">
        <v>220</v>
      </c>
      <c r="T293" t="s">
        <v>278</v>
      </c>
      <c r="U293">
        <v>8.0243795827390722E-3</v>
      </c>
      <c r="V293" t="s">
        <v>161</v>
      </c>
    </row>
    <row r="294" spans="9:22" x14ac:dyDescent="0.45">
      <c r="I294" t="s">
        <v>175</v>
      </c>
      <c r="J294" t="s">
        <v>279</v>
      </c>
      <c r="K294">
        <v>1.6108739925264556E-4</v>
      </c>
      <c r="L294" t="s">
        <v>161</v>
      </c>
      <c r="N294" t="s">
        <v>198</v>
      </c>
      <c r="O294" t="s">
        <v>279</v>
      </c>
      <c r="P294">
        <v>1.0721118683597801E-3</v>
      </c>
      <c r="Q294" t="s">
        <v>161</v>
      </c>
      <c r="S294" t="s">
        <v>220</v>
      </c>
      <c r="T294" t="s">
        <v>279</v>
      </c>
      <c r="U294">
        <v>1.0770123951470451E-3</v>
      </c>
      <c r="V294" t="s">
        <v>161</v>
      </c>
    </row>
    <row r="295" spans="9:22" x14ac:dyDescent="0.45">
      <c r="I295" t="s">
        <v>175</v>
      </c>
      <c r="J295" t="s">
        <v>280</v>
      </c>
      <c r="K295">
        <v>5.4932602654435923E-3</v>
      </c>
      <c r="L295" t="s">
        <v>161</v>
      </c>
      <c r="N295" t="s">
        <v>198</v>
      </c>
      <c r="O295" t="s">
        <v>280</v>
      </c>
      <c r="P295">
        <v>8.074437460343805E-3</v>
      </c>
      <c r="Q295" t="s">
        <v>161</v>
      </c>
      <c r="S295" t="s">
        <v>220</v>
      </c>
      <c r="T295" t="s">
        <v>280</v>
      </c>
      <c r="U295">
        <v>7.9363255839487862E-3</v>
      </c>
      <c r="V295" t="s">
        <v>161</v>
      </c>
    </row>
    <row r="296" spans="9:22" x14ac:dyDescent="0.45">
      <c r="I296" t="s">
        <v>175</v>
      </c>
      <c r="J296" t="s">
        <v>281</v>
      </c>
      <c r="K296">
        <v>0</v>
      </c>
      <c r="L296" t="s">
        <v>161</v>
      </c>
      <c r="N296" t="s">
        <v>198</v>
      </c>
      <c r="O296" t="s">
        <v>281</v>
      </c>
      <c r="P296">
        <v>1.1976068118966674E-3</v>
      </c>
      <c r="Q296" t="s">
        <v>161</v>
      </c>
      <c r="S296" t="s">
        <v>220</v>
      </c>
      <c r="T296" t="s">
        <v>281</v>
      </c>
      <c r="U296">
        <v>1.175489931503505E-3</v>
      </c>
      <c r="V296" t="s">
        <v>161</v>
      </c>
    </row>
    <row r="297" spans="9:22" x14ac:dyDescent="0.45">
      <c r="I297" t="s">
        <v>175</v>
      </c>
      <c r="J297" t="s">
        <v>282</v>
      </c>
      <c r="K297">
        <v>0</v>
      </c>
      <c r="L297" t="s">
        <v>161</v>
      </c>
      <c r="N297" t="s">
        <v>198</v>
      </c>
      <c r="O297" t="s">
        <v>282</v>
      </c>
      <c r="P297">
        <v>1.1989069630644086E-3</v>
      </c>
      <c r="Q297" t="s">
        <v>161</v>
      </c>
      <c r="S297" t="s">
        <v>220</v>
      </c>
      <c r="T297" t="s">
        <v>282</v>
      </c>
      <c r="U297">
        <v>1.1847110950982201E-3</v>
      </c>
      <c r="V297" t="s">
        <v>161</v>
      </c>
    </row>
    <row r="298" spans="9:22" x14ac:dyDescent="0.45">
      <c r="I298" t="s">
        <v>175</v>
      </c>
      <c r="J298" t="s">
        <v>283</v>
      </c>
      <c r="K298">
        <v>0</v>
      </c>
      <c r="L298" t="s">
        <v>161</v>
      </c>
      <c r="N298" t="s">
        <v>198</v>
      </c>
      <c r="O298" t="s">
        <v>283</v>
      </c>
      <c r="P298">
        <v>6.8989492825258627E-3</v>
      </c>
      <c r="Q298" t="s">
        <v>161</v>
      </c>
      <c r="S298" t="s">
        <v>220</v>
      </c>
      <c r="T298" t="s">
        <v>283</v>
      </c>
      <c r="U298">
        <v>6.7405248125835945E-3</v>
      </c>
      <c r="V298" t="s">
        <v>161</v>
      </c>
    </row>
    <row r="299" spans="9:22" x14ac:dyDescent="0.45">
      <c r="I299" t="s">
        <v>176</v>
      </c>
      <c r="J299" t="s">
        <v>160</v>
      </c>
      <c r="K299">
        <v>2.7817156006553984E-3</v>
      </c>
      <c r="L299" t="s">
        <v>161</v>
      </c>
      <c r="N299" t="s">
        <v>199</v>
      </c>
      <c r="O299" t="s">
        <v>160</v>
      </c>
      <c r="P299">
        <v>7.0931146502165809E-2</v>
      </c>
      <c r="Q299" t="s">
        <v>161</v>
      </c>
      <c r="S299" t="s">
        <v>221</v>
      </c>
      <c r="T299" t="s">
        <v>160</v>
      </c>
      <c r="U299">
        <v>7.1098416674989937E-2</v>
      </c>
      <c r="V299" t="s">
        <v>161</v>
      </c>
    </row>
    <row r="300" spans="9:22" x14ac:dyDescent="0.45">
      <c r="I300" t="s">
        <v>176</v>
      </c>
      <c r="J300" t="s">
        <v>162</v>
      </c>
      <c r="K300">
        <v>8.0641333395229213E-3</v>
      </c>
      <c r="L300" t="s">
        <v>161</v>
      </c>
      <c r="N300" t="s">
        <v>199</v>
      </c>
      <c r="O300" t="s">
        <v>162</v>
      </c>
      <c r="P300">
        <v>8.99821931197314E-3</v>
      </c>
      <c r="Q300" t="s">
        <v>161</v>
      </c>
      <c r="S300" t="s">
        <v>221</v>
      </c>
      <c r="T300" t="s">
        <v>162</v>
      </c>
      <c r="U300">
        <v>8.9576126151565579E-3</v>
      </c>
      <c r="V300" t="s">
        <v>161</v>
      </c>
    </row>
    <row r="301" spans="9:22" x14ac:dyDescent="0.45">
      <c r="I301" t="s">
        <v>176</v>
      </c>
      <c r="J301" t="s">
        <v>163</v>
      </c>
      <c r="K301">
        <v>0.10775709105889457</v>
      </c>
      <c r="L301" t="s">
        <v>161</v>
      </c>
      <c r="N301" t="s">
        <v>199</v>
      </c>
      <c r="O301" t="s">
        <v>163</v>
      </c>
      <c r="P301">
        <v>6.2563963274951603E-2</v>
      </c>
      <c r="Q301" t="s">
        <v>161</v>
      </c>
      <c r="S301" t="s">
        <v>221</v>
      </c>
      <c r="T301" t="s">
        <v>163</v>
      </c>
      <c r="U301">
        <v>6.4418189241442977E-2</v>
      </c>
      <c r="V301" t="s">
        <v>161</v>
      </c>
    </row>
    <row r="302" spans="9:22" x14ac:dyDescent="0.45">
      <c r="I302" t="s">
        <v>176</v>
      </c>
      <c r="J302" t="s">
        <v>242</v>
      </c>
      <c r="K302">
        <v>8.2622250406798083E-3</v>
      </c>
      <c r="L302" t="s">
        <v>161</v>
      </c>
      <c r="N302" t="s">
        <v>199</v>
      </c>
      <c r="O302" t="s">
        <v>242</v>
      </c>
      <c r="P302">
        <v>9.1207469810036003E-3</v>
      </c>
      <c r="Q302" t="s">
        <v>161</v>
      </c>
      <c r="S302" t="s">
        <v>221</v>
      </c>
      <c r="T302" t="s">
        <v>242</v>
      </c>
      <c r="U302">
        <v>9.3839161061041367E-3</v>
      </c>
      <c r="V302" t="s">
        <v>161</v>
      </c>
    </row>
    <row r="303" spans="9:22" x14ac:dyDescent="0.45">
      <c r="I303" t="s">
        <v>176</v>
      </c>
      <c r="J303" t="s">
        <v>243</v>
      </c>
      <c r="K303">
        <v>2.9049009928967667E-3</v>
      </c>
      <c r="L303" t="s">
        <v>161</v>
      </c>
      <c r="N303" t="s">
        <v>199</v>
      </c>
      <c r="O303" t="s">
        <v>243</v>
      </c>
      <c r="P303">
        <v>9.2901491307338657E-3</v>
      </c>
      <c r="Q303" t="s">
        <v>161</v>
      </c>
      <c r="S303" t="s">
        <v>221</v>
      </c>
      <c r="T303" t="s">
        <v>243</v>
      </c>
      <c r="U303">
        <v>9.5596950580014578E-3</v>
      </c>
      <c r="V303" t="s">
        <v>161</v>
      </c>
    </row>
    <row r="304" spans="9:22" x14ac:dyDescent="0.45">
      <c r="I304" t="s">
        <v>176</v>
      </c>
      <c r="J304" t="s">
        <v>266</v>
      </c>
      <c r="K304">
        <v>0</v>
      </c>
      <c r="L304" t="s">
        <v>161</v>
      </c>
      <c r="N304" t="s">
        <v>199</v>
      </c>
      <c r="O304" t="s">
        <v>266</v>
      </c>
      <c r="P304">
        <v>5.6737391925242506E-2</v>
      </c>
      <c r="Q304" t="s">
        <v>161</v>
      </c>
      <c r="S304" t="s">
        <v>221</v>
      </c>
      <c r="T304" t="s">
        <v>266</v>
      </c>
      <c r="U304">
        <v>5.7719355282130548E-2</v>
      </c>
      <c r="V304" t="s">
        <v>161</v>
      </c>
    </row>
    <row r="305" spans="9:22" x14ac:dyDescent="0.45">
      <c r="I305" t="s">
        <v>176</v>
      </c>
      <c r="J305" t="s">
        <v>311</v>
      </c>
      <c r="K305">
        <v>0</v>
      </c>
      <c r="L305" t="s">
        <v>161</v>
      </c>
      <c r="N305" t="s">
        <v>199</v>
      </c>
      <c r="O305" t="s">
        <v>311</v>
      </c>
      <c r="P305">
        <v>2.0655476293370214E-5</v>
      </c>
      <c r="Q305" t="s">
        <v>161</v>
      </c>
      <c r="S305" t="s">
        <v>221</v>
      </c>
      <c r="T305" t="s">
        <v>311</v>
      </c>
      <c r="U305">
        <v>1.6445419558490895E-5</v>
      </c>
      <c r="V305" t="s">
        <v>161</v>
      </c>
    </row>
    <row r="306" spans="9:22" x14ac:dyDescent="0.45">
      <c r="I306" t="s">
        <v>176</v>
      </c>
      <c r="J306" t="s">
        <v>312</v>
      </c>
      <c r="K306">
        <v>0</v>
      </c>
      <c r="L306" t="s">
        <v>161</v>
      </c>
      <c r="N306" t="s">
        <v>199</v>
      </c>
      <c r="O306" t="s">
        <v>312</v>
      </c>
      <c r="P306">
        <v>2.0341932507080997E-5</v>
      </c>
      <c r="Q306" t="s">
        <v>161</v>
      </c>
      <c r="S306" t="s">
        <v>221</v>
      </c>
      <c r="T306" t="s">
        <v>312</v>
      </c>
      <c r="U306">
        <v>1.4386078697581689E-5</v>
      </c>
      <c r="V306" t="s">
        <v>161</v>
      </c>
    </row>
    <row r="307" spans="9:22" x14ac:dyDescent="0.45">
      <c r="I307" t="s">
        <v>176</v>
      </c>
      <c r="J307" t="s">
        <v>313</v>
      </c>
      <c r="K307">
        <v>0</v>
      </c>
      <c r="L307" t="s">
        <v>161</v>
      </c>
      <c r="N307" t="s">
        <v>199</v>
      </c>
      <c r="O307" t="s">
        <v>313</v>
      </c>
      <c r="P307">
        <v>1.9902605351744887E-5</v>
      </c>
      <c r="Q307" t="s">
        <v>161</v>
      </c>
      <c r="S307" t="s">
        <v>221</v>
      </c>
      <c r="T307" t="s">
        <v>313</v>
      </c>
      <c r="U307">
        <v>1.3758961690664316E-5</v>
      </c>
      <c r="V307" t="s">
        <v>161</v>
      </c>
    </row>
    <row r="308" spans="9:22" x14ac:dyDescent="0.45">
      <c r="I308" t="s">
        <v>176</v>
      </c>
      <c r="J308" t="s">
        <v>314</v>
      </c>
      <c r="K308">
        <v>0</v>
      </c>
      <c r="L308" t="s">
        <v>161</v>
      </c>
      <c r="N308" t="s">
        <v>199</v>
      </c>
      <c r="O308" t="s">
        <v>314</v>
      </c>
      <c r="P308">
        <v>1.887593289489425E-5</v>
      </c>
      <c r="Q308" t="s">
        <v>161</v>
      </c>
      <c r="S308" t="s">
        <v>221</v>
      </c>
      <c r="T308" t="s">
        <v>314</v>
      </c>
      <c r="U308">
        <v>1.3393270670847398E-5</v>
      </c>
      <c r="V308" t="s">
        <v>161</v>
      </c>
    </row>
    <row r="309" spans="9:22" x14ac:dyDescent="0.45">
      <c r="I309" t="s">
        <v>176</v>
      </c>
      <c r="J309" t="s">
        <v>315</v>
      </c>
      <c r="K309">
        <v>0</v>
      </c>
      <c r="L309" t="s">
        <v>161</v>
      </c>
      <c r="N309" t="s">
        <v>199</v>
      </c>
      <c r="O309" t="s">
        <v>315</v>
      </c>
      <c r="P309">
        <v>1.1308907810968836E-5</v>
      </c>
      <c r="Q309" t="s">
        <v>161</v>
      </c>
      <c r="S309" t="s">
        <v>221</v>
      </c>
      <c r="T309" t="s">
        <v>315</v>
      </c>
      <c r="U309">
        <v>9.6456394371001001E-6</v>
      </c>
      <c r="V309" t="s">
        <v>161</v>
      </c>
    </row>
    <row r="310" spans="9:22" x14ac:dyDescent="0.45">
      <c r="I310" t="s">
        <v>176</v>
      </c>
      <c r="J310" t="s">
        <v>316</v>
      </c>
      <c r="K310">
        <v>0</v>
      </c>
      <c r="L310" t="s">
        <v>161</v>
      </c>
      <c r="N310" t="s">
        <v>199</v>
      </c>
      <c r="O310" t="s">
        <v>316</v>
      </c>
      <c r="P310">
        <v>4.5833304502574429E-6</v>
      </c>
      <c r="Q310" t="s">
        <v>161</v>
      </c>
      <c r="S310" t="s">
        <v>221</v>
      </c>
      <c r="T310" t="s">
        <v>316</v>
      </c>
      <c r="U310">
        <v>6.6503436913386098E-6</v>
      </c>
      <c r="V310" t="s">
        <v>161</v>
      </c>
    </row>
    <row r="311" spans="9:22" x14ac:dyDescent="0.45">
      <c r="I311" t="s">
        <v>176</v>
      </c>
      <c r="J311" t="s">
        <v>317</v>
      </c>
      <c r="K311">
        <v>0</v>
      </c>
      <c r="L311" t="s">
        <v>161</v>
      </c>
      <c r="N311" t="s">
        <v>199</v>
      </c>
      <c r="O311" t="s">
        <v>317</v>
      </c>
      <c r="P311">
        <v>2.6728171274625736E-6</v>
      </c>
      <c r="Q311" t="s">
        <v>161</v>
      </c>
      <c r="S311" t="s">
        <v>221</v>
      </c>
      <c r="T311" t="s">
        <v>317</v>
      </c>
      <c r="U311">
        <v>5.2844160359333655E-6</v>
      </c>
      <c r="V311" t="s">
        <v>161</v>
      </c>
    </row>
    <row r="312" spans="9:22" x14ac:dyDescent="0.45">
      <c r="I312" t="s">
        <v>176</v>
      </c>
      <c r="J312" t="s">
        <v>318</v>
      </c>
      <c r="K312">
        <v>7.7611696229385392E-6</v>
      </c>
      <c r="L312" t="s">
        <v>161</v>
      </c>
      <c r="N312" t="s">
        <v>199</v>
      </c>
      <c r="O312" t="s">
        <v>318</v>
      </c>
      <c r="P312">
        <v>1.2954776520676523E-6</v>
      </c>
      <c r="Q312" t="s">
        <v>161</v>
      </c>
      <c r="S312" t="s">
        <v>221</v>
      </c>
      <c r="T312" t="s">
        <v>318</v>
      </c>
      <c r="U312">
        <v>4.2216619707280787E-6</v>
      </c>
      <c r="V312" t="s">
        <v>161</v>
      </c>
    </row>
    <row r="313" spans="9:22" x14ac:dyDescent="0.45">
      <c r="I313" t="s">
        <v>176</v>
      </c>
      <c r="J313" t="s">
        <v>319</v>
      </c>
      <c r="K313">
        <v>3.6272685154817804E-5</v>
      </c>
      <c r="L313" t="s">
        <v>161</v>
      </c>
      <c r="N313" t="s">
        <v>199</v>
      </c>
      <c r="O313" t="s">
        <v>319</v>
      </c>
      <c r="P313">
        <v>8.4453160077325658E-7</v>
      </c>
      <c r="Q313" t="s">
        <v>161</v>
      </c>
      <c r="S313" t="s">
        <v>221</v>
      </c>
      <c r="T313" t="s">
        <v>319</v>
      </c>
      <c r="U313">
        <v>3.2838349763968604E-6</v>
      </c>
      <c r="V313" t="s">
        <v>161</v>
      </c>
    </row>
    <row r="314" spans="9:22" x14ac:dyDescent="0.45">
      <c r="I314" t="s">
        <v>176</v>
      </c>
      <c r="J314" t="s">
        <v>320</v>
      </c>
      <c r="K314">
        <v>1.590542506461292E-4</v>
      </c>
      <c r="L314" t="s">
        <v>161</v>
      </c>
      <c r="N314" t="s">
        <v>199</v>
      </c>
      <c r="O314" t="s">
        <v>320</v>
      </c>
      <c r="P314">
        <v>2.8964187476535087E-7</v>
      </c>
      <c r="Q314" t="s">
        <v>161</v>
      </c>
      <c r="S314" t="s">
        <v>221</v>
      </c>
      <c r="T314" t="s">
        <v>320</v>
      </c>
      <c r="U314">
        <v>1.571088758333559E-6</v>
      </c>
      <c r="V314" t="s">
        <v>161</v>
      </c>
    </row>
    <row r="315" spans="9:22" x14ac:dyDescent="0.45">
      <c r="I315" t="s">
        <v>176</v>
      </c>
      <c r="J315" t="s">
        <v>321</v>
      </c>
      <c r="K315">
        <v>2.9475975239816733E-4</v>
      </c>
      <c r="L315" t="s">
        <v>161</v>
      </c>
      <c r="N315" t="s">
        <v>199</v>
      </c>
      <c r="O315" t="s">
        <v>321</v>
      </c>
      <c r="P315">
        <v>6.6301618186503603E-8</v>
      </c>
      <c r="Q315" t="s">
        <v>161</v>
      </c>
      <c r="S315" t="s">
        <v>221</v>
      </c>
      <c r="T315" t="s">
        <v>321</v>
      </c>
      <c r="U315">
        <v>3.1109972695393511E-7</v>
      </c>
      <c r="V315" t="s">
        <v>161</v>
      </c>
    </row>
    <row r="316" spans="9:22" x14ac:dyDescent="0.45">
      <c r="I316" t="s">
        <v>176</v>
      </c>
      <c r="J316" t="s">
        <v>322</v>
      </c>
      <c r="K316">
        <v>3.055014566144733E-4</v>
      </c>
      <c r="L316" t="s">
        <v>161</v>
      </c>
      <c r="N316" t="s">
        <v>199</v>
      </c>
      <c r="O316" t="s">
        <v>322</v>
      </c>
      <c r="P316">
        <v>0</v>
      </c>
      <c r="Q316" t="s">
        <v>161</v>
      </c>
      <c r="S316" t="s">
        <v>221</v>
      </c>
      <c r="T316" t="s">
        <v>322</v>
      </c>
      <c r="U316">
        <v>0</v>
      </c>
      <c r="V316" t="s">
        <v>161</v>
      </c>
    </row>
    <row r="317" spans="9:22" x14ac:dyDescent="0.45">
      <c r="I317" t="s">
        <v>176</v>
      </c>
      <c r="J317" t="s">
        <v>323</v>
      </c>
      <c r="K317">
        <v>2.4355925008355731E-4</v>
      </c>
      <c r="L317" t="s">
        <v>161</v>
      </c>
      <c r="N317" t="s">
        <v>199</v>
      </c>
      <c r="O317" t="s">
        <v>323</v>
      </c>
      <c r="P317">
        <v>0</v>
      </c>
      <c r="Q317" t="s">
        <v>161</v>
      </c>
      <c r="S317" t="s">
        <v>221</v>
      </c>
      <c r="T317" t="s">
        <v>323</v>
      </c>
      <c r="U317">
        <v>0</v>
      </c>
      <c r="V317" t="s">
        <v>161</v>
      </c>
    </row>
    <row r="318" spans="9:22" x14ac:dyDescent="0.45">
      <c r="I318" t="s">
        <v>176</v>
      </c>
      <c r="J318" t="s">
        <v>324</v>
      </c>
      <c r="K318">
        <v>2.5375441055818952E-4</v>
      </c>
      <c r="L318" t="s">
        <v>161</v>
      </c>
      <c r="N318" t="s">
        <v>199</v>
      </c>
      <c r="O318" t="s">
        <v>324</v>
      </c>
      <c r="P318">
        <v>2.5995629825084156E-10</v>
      </c>
      <c r="Q318" t="s">
        <v>161</v>
      </c>
      <c r="S318" t="s">
        <v>221</v>
      </c>
      <c r="T318" t="s">
        <v>324</v>
      </c>
      <c r="U318">
        <v>0</v>
      </c>
      <c r="V318" t="s">
        <v>161</v>
      </c>
    </row>
    <row r="319" spans="9:22" x14ac:dyDescent="0.45">
      <c r="I319" t="s">
        <v>176</v>
      </c>
      <c r="J319" t="s">
        <v>325</v>
      </c>
      <c r="K319">
        <v>2.3951365584697261E-4</v>
      </c>
      <c r="L319" t="s">
        <v>161</v>
      </c>
      <c r="N319" t="s">
        <v>199</v>
      </c>
      <c r="O319" t="s">
        <v>325</v>
      </c>
      <c r="P319">
        <v>2.044039574754574E-9</v>
      </c>
      <c r="Q319" t="s">
        <v>161</v>
      </c>
      <c r="S319" t="s">
        <v>221</v>
      </c>
      <c r="T319" t="s">
        <v>325</v>
      </c>
      <c r="U319">
        <v>0</v>
      </c>
      <c r="V319" t="s">
        <v>161</v>
      </c>
    </row>
    <row r="320" spans="9:22" x14ac:dyDescent="0.45">
      <c r="I320" t="s">
        <v>176</v>
      </c>
      <c r="J320" t="s">
        <v>326</v>
      </c>
      <c r="K320">
        <v>1.7330694911450622E-4</v>
      </c>
      <c r="L320" t="s">
        <v>161</v>
      </c>
      <c r="N320" t="s">
        <v>199</v>
      </c>
      <c r="O320" t="s">
        <v>326</v>
      </c>
      <c r="P320">
        <v>5.1872937182866585E-9</v>
      </c>
      <c r="Q320" t="s">
        <v>161</v>
      </c>
      <c r="S320" t="s">
        <v>221</v>
      </c>
      <c r="T320" t="s">
        <v>326</v>
      </c>
      <c r="U320">
        <v>0</v>
      </c>
      <c r="V320" t="s">
        <v>161</v>
      </c>
    </row>
    <row r="321" spans="9:22" x14ac:dyDescent="0.45">
      <c r="I321" t="s">
        <v>176</v>
      </c>
      <c r="J321" t="s">
        <v>327</v>
      </c>
      <c r="K321">
        <v>1.5580980627771798E-4</v>
      </c>
      <c r="L321" t="s">
        <v>161</v>
      </c>
      <c r="N321" t="s">
        <v>199</v>
      </c>
      <c r="O321" t="s">
        <v>327</v>
      </c>
      <c r="P321">
        <v>6.9845763331142699E-9</v>
      </c>
      <c r="Q321" t="s">
        <v>161</v>
      </c>
      <c r="S321" t="s">
        <v>221</v>
      </c>
      <c r="T321" t="s">
        <v>327</v>
      </c>
      <c r="U321">
        <v>0</v>
      </c>
      <c r="V321" t="s">
        <v>161</v>
      </c>
    </row>
    <row r="322" spans="9:22" x14ac:dyDescent="0.45">
      <c r="I322" t="s">
        <v>176</v>
      </c>
      <c r="J322" t="s">
        <v>328</v>
      </c>
      <c r="K322">
        <v>1.0962811190854629E-4</v>
      </c>
      <c r="L322" t="s">
        <v>161</v>
      </c>
      <c r="N322" t="s">
        <v>199</v>
      </c>
      <c r="O322" t="s">
        <v>328</v>
      </c>
      <c r="P322">
        <v>5.2566920322264527E-9</v>
      </c>
      <c r="Q322" t="s">
        <v>161</v>
      </c>
      <c r="S322" t="s">
        <v>221</v>
      </c>
      <c r="T322" t="s">
        <v>328</v>
      </c>
      <c r="U322">
        <v>0</v>
      </c>
      <c r="V322" t="s">
        <v>161</v>
      </c>
    </row>
    <row r="323" spans="9:22" x14ac:dyDescent="0.45">
      <c r="I323" t="s">
        <v>176</v>
      </c>
      <c r="J323" t="s">
        <v>329</v>
      </c>
      <c r="K323">
        <v>0</v>
      </c>
      <c r="L323" t="s">
        <v>161</v>
      </c>
      <c r="N323" t="s">
        <v>199</v>
      </c>
      <c r="O323" t="s">
        <v>329</v>
      </c>
      <c r="P323">
        <v>9.269967808066127E-9</v>
      </c>
      <c r="Q323" t="s">
        <v>161</v>
      </c>
      <c r="S323" t="s">
        <v>221</v>
      </c>
      <c r="T323" t="s">
        <v>329</v>
      </c>
      <c r="U323">
        <v>0</v>
      </c>
      <c r="V323" t="s">
        <v>161</v>
      </c>
    </row>
    <row r="324" spans="9:22" x14ac:dyDescent="0.45">
      <c r="I324" t="s">
        <v>176</v>
      </c>
      <c r="J324" t="s">
        <v>330</v>
      </c>
      <c r="K324">
        <v>0</v>
      </c>
      <c r="L324" t="s">
        <v>161</v>
      </c>
      <c r="N324" t="s">
        <v>199</v>
      </c>
      <c r="O324" t="s">
        <v>330</v>
      </c>
      <c r="P324">
        <v>9.0036337936539056E-8</v>
      </c>
      <c r="Q324" t="s">
        <v>161</v>
      </c>
      <c r="S324" t="s">
        <v>221</v>
      </c>
      <c r="T324" t="s">
        <v>330</v>
      </c>
      <c r="U324">
        <v>4.167166534725777E-7</v>
      </c>
      <c r="V324" t="s">
        <v>161</v>
      </c>
    </row>
    <row r="325" spans="9:22" x14ac:dyDescent="0.45">
      <c r="I325" t="s">
        <v>176</v>
      </c>
      <c r="J325" t="s">
        <v>331</v>
      </c>
      <c r="K325">
        <v>0</v>
      </c>
      <c r="L325" t="s">
        <v>161</v>
      </c>
      <c r="N325" t="s">
        <v>199</v>
      </c>
      <c r="O325" t="s">
        <v>331</v>
      </c>
      <c r="P325">
        <v>4.9428376993002859E-7</v>
      </c>
      <c r="Q325" t="s">
        <v>161</v>
      </c>
      <c r="S325" t="s">
        <v>221</v>
      </c>
      <c r="T325" t="s">
        <v>331</v>
      </c>
      <c r="U325">
        <v>1.3450532943876976E-6</v>
      </c>
      <c r="V325" t="s">
        <v>161</v>
      </c>
    </row>
    <row r="326" spans="9:22" x14ac:dyDescent="0.45">
      <c r="I326" t="s">
        <v>176</v>
      </c>
      <c r="J326" t="s">
        <v>332</v>
      </c>
      <c r="K326">
        <v>0</v>
      </c>
      <c r="L326" t="s">
        <v>161</v>
      </c>
      <c r="N326" t="s">
        <v>199</v>
      </c>
      <c r="O326" t="s">
        <v>332</v>
      </c>
      <c r="P326">
        <v>3.0360240787651784E-6</v>
      </c>
      <c r="Q326" t="s">
        <v>161</v>
      </c>
      <c r="S326" t="s">
        <v>221</v>
      </c>
      <c r="T326" t="s">
        <v>332</v>
      </c>
      <c r="U326">
        <v>2.6475647778464475E-6</v>
      </c>
      <c r="V326" t="s">
        <v>161</v>
      </c>
    </row>
    <row r="327" spans="9:22" x14ac:dyDescent="0.45">
      <c r="I327" t="s">
        <v>176</v>
      </c>
      <c r="J327" t="s">
        <v>333</v>
      </c>
      <c r="K327">
        <v>0</v>
      </c>
      <c r="L327" t="s">
        <v>161</v>
      </c>
      <c r="N327" t="s">
        <v>199</v>
      </c>
      <c r="O327" t="s">
        <v>333</v>
      </c>
      <c r="P327">
        <v>2.9301574835199698E-6</v>
      </c>
      <c r="Q327" t="s">
        <v>161</v>
      </c>
      <c r="S327" t="s">
        <v>221</v>
      </c>
      <c r="T327" t="s">
        <v>333</v>
      </c>
      <c r="U327">
        <v>3.9344050737954995E-6</v>
      </c>
      <c r="V327" t="s">
        <v>161</v>
      </c>
    </row>
    <row r="328" spans="9:22" x14ac:dyDescent="0.45">
      <c r="I328" t="s">
        <v>176</v>
      </c>
      <c r="J328" t="s">
        <v>334</v>
      </c>
      <c r="K328">
        <v>0</v>
      </c>
      <c r="L328" t="s">
        <v>161</v>
      </c>
      <c r="N328" t="s">
        <v>199</v>
      </c>
      <c r="O328" t="s">
        <v>334</v>
      </c>
      <c r="P328">
        <v>9.031825480281097E-6</v>
      </c>
      <c r="Q328" t="s">
        <v>161</v>
      </c>
      <c r="S328" t="s">
        <v>221</v>
      </c>
      <c r="T328" t="s">
        <v>334</v>
      </c>
      <c r="U328">
        <v>1.203746347471951E-5</v>
      </c>
      <c r="V328" t="s">
        <v>161</v>
      </c>
    </row>
    <row r="329" spans="9:22" x14ac:dyDescent="0.45">
      <c r="I329" t="s">
        <v>176</v>
      </c>
      <c r="J329" t="s">
        <v>164</v>
      </c>
      <c r="K329">
        <v>1.0188782286049036E-2</v>
      </c>
      <c r="L329" t="s">
        <v>161</v>
      </c>
      <c r="N329" t="s">
        <v>199</v>
      </c>
      <c r="O329" t="s">
        <v>164</v>
      </c>
      <c r="P329">
        <v>3.711085159443113E-2</v>
      </c>
      <c r="Q329" t="s">
        <v>161</v>
      </c>
      <c r="S329" t="s">
        <v>221</v>
      </c>
      <c r="T329" t="s">
        <v>164</v>
      </c>
      <c r="U329">
        <v>3.72427139191326E-2</v>
      </c>
      <c r="V329" t="s">
        <v>161</v>
      </c>
    </row>
    <row r="330" spans="9:22" x14ac:dyDescent="0.45">
      <c r="I330" t="s">
        <v>176</v>
      </c>
      <c r="J330" t="s">
        <v>165</v>
      </c>
      <c r="K330">
        <v>9.5561532449395248E-3</v>
      </c>
      <c r="L330" t="s">
        <v>161</v>
      </c>
      <c r="N330" t="s">
        <v>199</v>
      </c>
      <c r="O330" t="s">
        <v>165</v>
      </c>
      <c r="P330">
        <v>4.544659717426792E-3</v>
      </c>
      <c r="Q330" t="s">
        <v>161</v>
      </c>
      <c r="S330" t="s">
        <v>221</v>
      </c>
      <c r="T330" t="s">
        <v>165</v>
      </c>
      <c r="U330">
        <v>4.7668270560548929E-3</v>
      </c>
      <c r="V330" t="s">
        <v>161</v>
      </c>
    </row>
    <row r="331" spans="9:22" x14ac:dyDescent="0.45">
      <c r="I331" t="s">
        <v>176</v>
      </c>
      <c r="J331" t="s">
        <v>166</v>
      </c>
      <c r="K331">
        <v>8.6593168572871776E-2</v>
      </c>
      <c r="L331" t="s">
        <v>161</v>
      </c>
      <c r="N331" t="s">
        <v>199</v>
      </c>
      <c r="O331" t="s">
        <v>166</v>
      </c>
      <c r="P331">
        <v>3.289280372958997E-2</v>
      </c>
      <c r="Q331" t="s">
        <v>161</v>
      </c>
      <c r="S331" t="s">
        <v>221</v>
      </c>
      <c r="T331" t="s">
        <v>166</v>
      </c>
      <c r="U331">
        <v>3.3287101348488196E-2</v>
      </c>
      <c r="V331" t="s">
        <v>161</v>
      </c>
    </row>
    <row r="332" spans="9:22" x14ac:dyDescent="0.45">
      <c r="I332" t="s">
        <v>176</v>
      </c>
      <c r="J332" t="s">
        <v>244</v>
      </c>
      <c r="K332">
        <v>8.1577949336299332E-3</v>
      </c>
      <c r="L332" t="s">
        <v>161</v>
      </c>
      <c r="N332" t="s">
        <v>199</v>
      </c>
      <c r="O332" t="s">
        <v>244</v>
      </c>
      <c r="P332">
        <v>5.0319397706346091E-3</v>
      </c>
      <c r="Q332" t="s">
        <v>161</v>
      </c>
      <c r="S332" t="s">
        <v>221</v>
      </c>
      <c r="T332" t="s">
        <v>244</v>
      </c>
      <c r="U332">
        <v>5.1911486451775273E-3</v>
      </c>
      <c r="V332" t="s">
        <v>161</v>
      </c>
    </row>
    <row r="333" spans="9:22" x14ac:dyDescent="0.45">
      <c r="I333" t="s">
        <v>176</v>
      </c>
      <c r="J333" t="s">
        <v>245</v>
      </c>
      <c r="K333">
        <v>5.5651904164228626E-3</v>
      </c>
      <c r="L333" t="s">
        <v>161</v>
      </c>
      <c r="N333" t="s">
        <v>199</v>
      </c>
      <c r="O333" t="s">
        <v>245</v>
      </c>
      <c r="P333">
        <v>5.0229495182512098E-3</v>
      </c>
      <c r="Q333" t="s">
        <v>161</v>
      </c>
      <c r="S333" t="s">
        <v>221</v>
      </c>
      <c r="T333" t="s">
        <v>245</v>
      </c>
      <c r="U333">
        <v>5.3580027642888273E-3</v>
      </c>
      <c r="V333" t="s">
        <v>161</v>
      </c>
    </row>
    <row r="334" spans="9:22" x14ac:dyDescent="0.45">
      <c r="I334" t="s">
        <v>176</v>
      </c>
      <c r="J334" t="s">
        <v>267</v>
      </c>
      <c r="K334">
        <v>2.3300300771645025E-3</v>
      </c>
      <c r="L334" t="s">
        <v>161</v>
      </c>
      <c r="N334" t="s">
        <v>199</v>
      </c>
      <c r="O334" t="s">
        <v>267</v>
      </c>
      <c r="P334">
        <v>3.0834410046933734E-2</v>
      </c>
      <c r="Q334" t="s">
        <v>161</v>
      </c>
      <c r="S334" t="s">
        <v>221</v>
      </c>
      <c r="T334" t="s">
        <v>267</v>
      </c>
      <c r="U334">
        <v>3.2933422097255603E-2</v>
      </c>
      <c r="V334" t="s">
        <v>161</v>
      </c>
    </row>
    <row r="335" spans="9:22" x14ac:dyDescent="0.45">
      <c r="I335" t="s">
        <v>176</v>
      </c>
      <c r="J335" t="s">
        <v>167</v>
      </c>
      <c r="K335">
        <v>5.466371358424494E-2</v>
      </c>
      <c r="L335" t="s">
        <v>161</v>
      </c>
      <c r="N335" t="s">
        <v>199</v>
      </c>
      <c r="O335" t="s">
        <v>167</v>
      </c>
      <c r="P335">
        <v>6.9540484430884744E-2</v>
      </c>
      <c r="Q335" t="s">
        <v>161</v>
      </c>
      <c r="S335" t="s">
        <v>221</v>
      </c>
      <c r="T335" t="s">
        <v>167</v>
      </c>
      <c r="U335">
        <v>7.0607057358523906E-2</v>
      </c>
      <c r="V335" t="s">
        <v>161</v>
      </c>
    </row>
    <row r="336" spans="9:22" x14ac:dyDescent="0.45">
      <c r="I336" t="s">
        <v>176</v>
      </c>
      <c r="J336" t="s">
        <v>168</v>
      </c>
      <c r="K336">
        <v>3.1394141747332675E-2</v>
      </c>
      <c r="L336" t="s">
        <v>161</v>
      </c>
      <c r="N336" t="s">
        <v>199</v>
      </c>
      <c r="O336" t="s">
        <v>168</v>
      </c>
      <c r="P336">
        <v>7.8718394085496874E-3</v>
      </c>
      <c r="Q336" t="s">
        <v>161</v>
      </c>
      <c r="S336" t="s">
        <v>221</v>
      </c>
      <c r="T336" t="s">
        <v>168</v>
      </c>
      <c r="U336">
        <v>8.3444365122382937E-3</v>
      </c>
      <c r="V336" t="s">
        <v>161</v>
      </c>
    </row>
    <row r="337" spans="9:22" x14ac:dyDescent="0.45">
      <c r="I337" t="s">
        <v>176</v>
      </c>
      <c r="J337" t="s">
        <v>169</v>
      </c>
      <c r="K337">
        <v>0.24195253802860417</v>
      </c>
      <c r="L337" t="s">
        <v>161</v>
      </c>
      <c r="N337" t="s">
        <v>199</v>
      </c>
      <c r="O337" t="s">
        <v>169</v>
      </c>
      <c r="P337">
        <v>5.5004203520174669E-2</v>
      </c>
      <c r="Q337" t="s">
        <v>161</v>
      </c>
      <c r="S337" t="s">
        <v>221</v>
      </c>
      <c r="T337" t="s">
        <v>169</v>
      </c>
      <c r="U337">
        <v>5.3804137872183765E-2</v>
      </c>
      <c r="V337" t="s">
        <v>161</v>
      </c>
    </row>
    <row r="338" spans="9:22" x14ac:dyDescent="0.45">
      <c r="I338" t="s">
        <v>176</v>
      </c>
      <c r="J338" t="s">
        <v>246</v>
      </c>
      <c r="K338">
        <v>2.4771750095995037E-2</v>
      </c>
      <c r="L338" t="s">
        <v>161</v>
      </c>
      <c r="N338" t="s">
        <v>199</v>
      </c>
      <c r="O338" t="s">
        <v>246</v>
      </c>
      <c r="P338">
        <v>8.660890018307426E-3</v>
      </c>
      <c r="Q338" t="s">
        <v>161</v>
      </c>
      <c r="S338" t="s">
        <v>221</v>
      </c>
      <c r="T338" t="s">
        <v>246</v>
      </c>
      <c r="U338">
        <v>8.5570011010381603E-3</v>
      </c>
      <c r="V338" t="s">
        <v>161</v>
      </c>
    </row>
    <row r="339" spans="9:22" x14ac:dyDescent="0.45">
      <c r="I339" t="s">
        <v>176</v>
      </c>
      <c r="J339" t="s">
        <v>247</v>
      </c>
      <c r="K339">
        <v>1.9305956760177202E-2</v>
      </c>
      <c r="L339" t="s">
        <v>161</v>
      </c>
      <c r="N339" t="s">
        <v>199</v>
      </c>
      <c r="O339" t="s">
        <v>247</v>
      </c>
      <c r="P339">
        <v>8.6123460216491719E-3</v>
      </c>
      <c r="Q339" t="s">
        <v>161</v>
      </c>
      <c r="S339" t="s">
        <v>221</v>
      </c>
      <c r="T339" t="s">
        <v>247</v>
      </c>
      <c r="U339">
        <v>8.7937238949014219E-3</v>
      </c>
      <c r="V339" t="s">
        <v>161</v>
      </c>
    </row>
    <row r="340" spans="9:22" x14ac:dyDescent="0.45">
      <c r="I340" t="s">
        <v>176</v>
      </c>
      <c r="J340" t="s">
        <v>268</v>
      </c>
      <c r="K340">
        <v>1.8425302068789874E-2</v>
      </c>
      <c r="L340" t="s">
        <v>161</v>
      </c>
      <c r="N340" t="s">
        <v>199</v>
      </c>
      <c r="O340" t="s">
        <v>268</v>
      </c>
      <c r="P340">
        <v>5.3367447962602177E-2</v>
      </c>
      <c r="Q340" t="s">
        <v>161</v>
      </c>
      <c r="S340" t="s">
        <v>221</v>
      </c>
      <c r="T340" t="s">
        <v>268</v>
      </c>
      <c r="U340">
        <v>5.571473074979813E-2</v>
      </c>
      <c r="V340" t="s">
        <v>161</v>
      </c>
    </row>
    <row r="341" spans="9:22" x14ac:dyDescent="0.45">
      <c r="I341" t="s">
        <v>176</v>
      </c>
      <c r="J341" t="s">
        <v>170</v>
      </c>
      <c r="K341">
        <v>2.0776819166661683E-2</v>
      </c>
      <c r="L341" t="s">
        <v>161</v>
      </c>
      <c r="N341" t="s">
        <v>199</v>
      </c>
      <c r="O341" t="s">
        <v>170</v>
      </c>
      <c r="P341">
        <v>3.6382751503636256E-2</v>
      </c>
      <c r="Q341" t="s">
        <v>161</v>
      </c>
      <c r="S341" t="s">
        <v>221</v>
      </c>
      <c r="T341" t="s">
        <v>170</v>
      </c>
      <c r="U341">
        <v>3.5106797672806923E-2</v>
      </c>
      <c r="V341" t="s">
        <v>161</v>
      </c>
    </row>
    <row r="342" spans="9:22" x14ac:dyDescent="0.45">
      <c r="I342" t="s">
        <v>176</v>
      </c>
      <c r="J342" t="s">
        <v>171</v>
      </c>
      <c r="K342">
        <v>1.4566023345551141E-2</v>
      </c>
      <c r="L342" t="s">
        <v>161</v>
      </c>
      <c r="N342" t="s">
        <v>199</v>
      </c>
      <c r="O342" t="s">
        <v>171</v>
      </c>
      <c r="P342">
        <v>4.0038096055787864E-3</v>
      </c>
      <c r="Q342" t="s">
        <v>161</v>
      </c>
      <c r="S342" t="s">
        <v>221</v>
      </c>
      <c r="T342" t="s">
        <v>171</v>
      </c>
      <c r="U342">
        <v>4.125193864634215E-3</v>
      </c>
      <c r="V342" t="s">
        <v>161</v>
      </c>
    </row>
    <row r="343" spans="9:22" x14ac:dyDescent="0.45">
      <c r="I343" t="s">
        <v>176</v>
      </c>
      <c r="J343" t="s">
        <v>172</v>
      </c>
      <c r="K343">
        <v>0.11686908907053649</v>
      </c>
      <c r="L343" t="s">
        <v>161</v>
      </c>
      <c r="N343" t="s">
        <v>199</v>
      </c>
      <c r="O343" t="s">
        <v>172</v>
      </c>
      <c r="P343">
        <v>2.8581474784349629E-2</v>
      </c>
      <c r="Q343" t="s">
        <v>161</v>
      </c>
      <c r="S343" t="s">
        <v>221</v>
      </c>
      <c r="T343" t="s">
        <v>172</v>
      </c>
      <c r="U343">
        <v>2.8057644883501813E-2</v>
      </c>
      <c r="V343" t="s">
        <v>161</v>
      </c>
    </row>
    <row r="344" spans="9:22" x14ac:dyDescent="0.45">
      <c r="I344" t="s">
        <v>176</v>
      </c>
      <c r="J344" t="s">
        <v>248</v>
      </c>
      <c r="K344">
        <v>1.2300964439234292E-2</v>
      </c>
      <c r="L344" t="s">
        <v>161</v>
      </c>
      <c r="N344" t="s">
        <v>199</v>
      </c>
      <c r="O344" t="s">
        <v>248</v>
      </c>
      <c r="P344">
        <v>4.5459261219544574E-3</v>
      </c>
      <c r="Q344" t="s">
        <v>161</v>
      </c>
      <c r="S344" t="s">
        <v>221</v>
      </c>
      <c r="T344" t="s">
        <v>248</v>
      </c>
      <c r="U344">
        <v>4.5566657868104828E-3</v>
      </c>
      <c r="V344" t="s">
        <v>161</v>
      </c>
    </row>
    <row r="345" spans="9:22" x14ac:dyDescent="0.45">
      <c r="I345" t="s">
        <v>176</v>
      </c>
      <c r="J345" t="s">
        <v>249</v>
      </c>
      <c r="K345">
        <v>9.3692797382812863E-3</v>
      </c>
      <c r="L345" t="s">
        <v>161</v>
      </c>
      <c r="N345" t="s">
        <v>199</v>
      </c>
      <c r="O345" t="s">
        <v>249</v>
      </c>
      <c r="P345">
        <v>4.5226641023236001E-3</v>
      </c>
      <c r="Q345" t="s">
        <v>161</v>
      </c>
      <c r="S345" t="s">
        <v>221</v>
      </c>
      <c r="T345" t="s">
        <v>249</v>
      </c>
      <c r="U345">
        <v>4.7552610225264783E-3</v>
      </c>
      <c r="V345" t="s">
        <v>161</v>
      </c>
    </row>
    <row r="346" spans="9:22" x14ac:dyDescent="0.45">
      <c r="I346" t="s">
        <v>176</v>
      </c>
      <c r="J346" t="s">
        <v>269</v>
      </c>
      <c r="K346">
        <v>6.0565069898202359E-3</v>
      </c>
      <c r="L346" t="s">
        <v>161</v>
      </c>
      <c r="N346" t="s">
        <v>199</v>
      </c>
      <c r="O346" t="s">
        <v>269</v>
      </c>
      <c r="P346">
        <v>2.9845265024313523E-2</v>
      </c>
      <c r="Q346" t="s">
        <v>161</v>
      </c>
      <c r="S346" t="s">
        <v>221</v>
      </c>
      <c r="T346" t="s">
        <v>269</v>
      </c>
      <c r="U346">
        <v>3.0638944430717102E-2</v>
      </c>
      <c r="V346" t="s">
        <v>161</v>
      </c>
    </row>
    <row r="347" spans="9:22" x14ac:dyDescent="0.45">
      <c r="I347" t="s">
        <v>176</v>
      </c>
      <c r="J347" t="s">
        <v>250</v>
      </c>
      <c r="K347">
        <v>5.3587840803629022E-3</v>
      </c>
      <c r="L347" t="s">
        <v>161</v>
      </c>
      <c r="N347" t="s">
        <v>199</v>
      </c>
      <c r="O347" t="s">
        <v>250</v>
      </c>
      <c r="P347">
        <v>4.4273066279294566E-2</v>
      </c>
      <c r="Q347" t="s">
        <v>161</v>
      </c>
      <c r="S347" t="s">
        <v>221</v>
      </c>
      <c r="T347" t="s">
        <v>250</v>
      </c>
      <c r="U347">
        <v>4.279323441303181E-2</v>
      </c>
      <c r="V347" t="s">
        <v>161</v>
      </c>
    </row>
    <row r="348" spans="9:22" x14ac:dyDescent="0.45">
      <c r="I348" t="s">
        <v>176</v>
      </c>
      <c r="J348" t="s">
        <v>251</v>
      </c>
      <c r="K348">
        <v>6.9344031201463993E-3</v>
      </c>
      <c r="L348" t="s">
        <v>161</v>
      </c>
      <c r="N348" t="s">
        <v>199</v>
      </c>
      <c r="O348" t="s">
        <v>251</v>
      </c>
      <c r="P348">
        <v>5.7027431289978217E-3</v>
      </c>
      <c r="Q348" t="s">
        <v>161</v>
      </c>
      <c r="S348" t="s">
        <v>221</v>
      </c>
      <c r="T348" t="s">
        <v>251</v>
      </c>
      <c r="U348">
        <v>5.4667905041371149E-3</v>
      </c>
      <c r="V348" t="s">
        <v>161</v>
      </c>
    </row>
    <row r="349" spans="9:22" x14ac:dyDescent="0.45">
      <c r="I349" t="s">
        <v>176</v>
      </c>
      <c r="J349" t="s">
        <v>252</v>
      </c>
      <c r="K349">
        <v>7.5173001159349509E-2</v>
      </c>
      <c r="L349" t="s">
        <v>161</v>
      </c>
      <c r="N349" t="s">
        <v>199</v>
      </c>
      <c r="O349" t="s">
        <v>252</v>
      </c>
      <c r="P349">
        <v>3.8280688785084831E-2</v>
      </c>
      <c r="Q349" t="s">
        <v>161</v>
      </c>
      <c r="S349" t="s">
        <v>221</v>
      </c>
      <c r="T349" t="s">
        <v>252</v>
      </c>
      <c r="U349">
        <v>3.7531204265014641E-2</v>
      </c>
      <c r="V349" t="s">
        <v>161</v>
      </c>
    </row>
    <row r="350" spans="9:22" x14ac:dyDescent="0.45">
      <c r="I350" t="s">
        <v>176</v>
      </c>
      <c r="J350" t="s">
        <v>253</v>
      </c>
      <c r="K350">
        <v>6.7200057387374985E-3</v>
      </c>
      <c r="L350" t="s">
        <v>161</v>
      </c>
      <c r="N350" t="s">
        <v>199</v>
      </c>
      <c r="O350" t="s">
        <v>253</v>
      </c>
      <c r="P350">
        <v>5.6659194013705854E-3</v>
      </c>
      <c r="Q350" t="s">
        <v>161</v>
      </c>
      <c r="S350" t="s">
        <v>221</v>
      </c>
      <c r="T350" t="s">
        <v>253</v>
      </c>
      <c r="U350">
        <v>5.4215978649293159E-3</v>
      </c>
      <c r="V350" t="s">
        <v>161</v>
      </c>
    </row>
    <row r="351" spans="9:22" x14ac:dyDescent="0.45">
      <c r="I351" t="s">
        <v>176</v>
      </c>
      <c r="J351" t="s">
        <v>254</v>
      </c>
      <c r="K351">
        <v>2.0404743748881947E-3</v>
      </c>
      <c r="L351" t="s">
        <v>161</v>
      </c>
      <c r="N351" t="s">
        <v>199</v>
      </c>
      <c r="O351" t="s">
        <v>254</v>
      </c>
      <c r="P351">
        <v>5.8152222834924406E-3</v>
      </c>
      <c r="Q351" t="s">
        <v>161</v>
      </c>
      <c r="S351" t="s">
        <v>221</v>
      </c>
      <c r="T351" t="s">
        <v>254</v>
      </c>
      <c r="U351">
        <v>5.6428129610591781E-3</v>
      </c>
      <c r="V351" t="s">
        <v>161</v>
      </c>
    </row>
    <row r="352" spans="9:22" x14ac:dyDescent="0.45">
      <c r="I352" t="s">
        <v>176</v>
      </c>
      <c r="J352" t="s">
        <v>270</v>
      </c>
      <c r="K352">
        <v>0</v>
      </c>
      <c r="L352" t="s">
        <v>161</v>
      </c>
      <c r="N352" t="s">
        <v>199</v>
      </c>
      <c r="O352" t="s">
        <v>270</v>
      </c>
      <c r="P352">
        <v>3.7372414452190555E-2</v>
      </c>
      <c r="Q352" t="s">
        <v>161</v>
      </c>
      <c r="S352" t="s">
        <v>221</v>
      </c>
      <c r="T352" t="s">
        <v>270</v>
      </c>
      <c r="U352">
        <v>3.6028856363661751E-2</v>
      </c>
      <c r="V352" t="s">
        <v>161</v>
      </c>
    </row>
    <row r="353" spans="9:22" x14ac:dyDescent="0.45">
      <c r="I353" t="s">
        <v>176</v>
      </c>
      <c r="J353" t="s">
        <v>255</v>
      </c>
      <c r="K353">
        <v>3.3860597806650237E-4</v>
      </c>
      <c r="L353" t="s">
        <v>161</v>
      </c>
      <c r="N353" t="s">
        <v>199</v>
      </c>
      <c r="O353" t="s">
        <v>255</v>
      </c>
      <c r="P353">
        <v>5.0525658969344182E-2</v>
      </c>
      <c r="Q353" t="s">
        <v>161</v>
      </c>
      <c r="S353" t="s">
        <v>221</v>
      </c>
      <c r="T353" t="s">
        <v>255</v>
      </c>
      <c r="U353">
        <v>4.9137161228140415E-2</v>
      </c>
      <c r="V353" t="s">
        <v>161</v>
      </c>
    </row>
    <row r="354" spans="9:22" x14ac:dyDescent="0.45">
      <c r="I354" t="s">
        <v>176</v>
      </c>
      <c r="J354" t="s">
        <v>256</v>
      </c>
      <c r="K354">
        <v>4.1549978369455664E-3</v>
      </c>
      <c r="L354" t="s">
        <v>161</v>
      </c>
      <c r="N354" t="s">
        <v>199</v>
      </c>
      <c r="O354" t="s">
        <v>256</v>
      </c>
      <c r="P354">
        <v>6.4905966325424988E-3</v>
      </c>
      <c r="Q354" t="s">
        <v>161</v>
      </c>
      <c r="S354" t="s">
        <v>221</v>
      </c>
      <c r="T354" t="s">
        <v>256</v>
      </c>
      <c r="U354">
        <v>6.1632522157291404E-3</v>
      </c>
      <c r="V354" t="s">
        <v>161</v>
      </c>
    </row>
    <row r="355" spans="9:22" x14ac:dyDescent="0.45">
      <c r="I355" t="s">
        <v>176</v>
      </c>
      <c r="J355" t="s">
        <v>257</v>
      </c>
      <c r="K355">
        <v>5.4106607245074996E-2</v>
      </c>
      <c r="L355" t="s">
        <v>161</v>
      </c>
      <c r="N355" t="s">
        <v>199</v>
      </c>
      <c r="O355" t="s">
        <v>257</v>
      </c>
      <c r="P355">
        <v>4.4128657049273205E-2</v>
      </c>
      <c r="Q355" t="s">
        <v>161</v>
      </c>
      <c r="S355" t="s">
        <v>221</v>
      </c>
      <c r="T355" t="s">
        <v>257</v>
      </c>
      <c r="U355">
        <v>4.338250705093738E-2</v>
      </c>
      <c r="V355" t="s">
        <v>161</v>
      </c>
    </row>
    <row r="356" spans="9:22" x14ac:dyDescent="0.45">
      <c r="I356" t="s">
        <v>176</v>
      </c>
      <c r="J356" t="s">
        <v>258</v>
      </c>
      <c r="K356">
        <v>7.838661865173733E-4</v>
      </c>
      <c r="L356" t="s">
        <v>161</v>
      </c>
      <c r="N356" t="s">
        <v>199</v>
      </c>
      <c r="O356" t="s">
        <v>258</v>
      </c>
      <c r="P356">
        <v>6.5144322048248703E-3</v>
      </c>
      <c r="Q356" t="s">
        <v>161</v>
      </c>
      <c r="S356" t="s">
        <v>221</v>
      </c>
      <c r="T356" t="s">
        <v>258</v>
      </c>
      <c r="U356">
        <v>6.4835353784899411E-3</v>
      </c>
      <c r="V356" t="s">
        <v>161</v>
      </c>
    </row>
    <row r="357" spans="9:22" x14ac:dyDescent="0.45">
      <c r="I357" t="s">
        <v>176</v>
      </c>
      <c r="J357" t="s">
        <v>259</v>
      </c>
      <c r="K357">
        <v>0</v>
      </c>
      <c r="L357" t="s">
        <v>161</v>
      </c>
      <c r="N357" t="s">
        <v>199</v>
      </c>
      <c r="O357" t="s">
        <v>259</v>
      </c>
      <c r="P357">
        <v>6.5432124388456036E-3</v>
      </c>
      <c r="Q357" t="s">
        <v>161</v>
      </c>
      <c r="S357" t="s">
        <v>221</v>
      </c>
      <c r="T357" t="s">
        <v>259</v>
      </c>
      <c r="U357">
        <v>6.6150176043870447E-3</v>
      </c>
      <c r="V357" t="s">
        <v>161</v>
      </c>
    </row>
    <row r="358" spans="9:22" x14ac:dyDescent="0.45">
      <c r="I358" t="s">
        <v>176</v>
      </c>
      <c r="J358" t="s">
        <v>271</v>
      </c>
      <c r="K358">
        <v>0</v>
      </c>
      <c r="L358" t="s">
        <v>161</v>
      </c>
      <c r="N358" t="s">
        <v>199</v>
      </c>
      <c r="O358" t="s">
        <v>271</v>
      </c>
      <c r="P358">
        <v>3.9506619875815129E-2</v>
      </c>
      <c r="Q358" t="s">
        <v>161</v>
      </c>
      <c r="S358" t="s">
        <v>221</v>
      </c>
      <c r="T358" t="s">
        <v>271</v>
      </c>
      <c r="U358">
        <v>3.9351567408457626E-2</v>
      </c>
      <c r="V358" t="s">
        <v>161</v>
      </c>
    </row>
    <row r="359" spans="9:22" x14ac:dyDescent="0.45">
      <c r="I359" t="s">
        <v>176</v>
      </c>
      <c r="J359" t="s">
        <v>272</v>
      </c>
      <c r="K359">
        <v>0</v>
      </c>
      <c r="L359" t="s">
        <v>161</v>
      </c>
      <c r="N359" t="s">
        <v>199</v>
      </c>
      <c r="O359" t="s">
        <v>272</v>
      </c>
      <c r="P359">
        <v>1.4520980516602439E-2</v>
      </c>
      <c r="Q359" t="s">
        <v>161</v>
      </c>
      <c r="S359" t="s">
        <v>221</v>
      </c>
      <c r="T359" t="s">
        <v>272</v>
      </c>
      <c r="U359">
        <v>1.3672840710075972E-2</v>
      </c>
      <c r="V359" t="s">
        <v>161</v>
      </c>
    </row>
    <row r="360" spans="9:22" x14ac:dyDescent="0.45">
      <c r="I360" t="s">
        <v>176</v>
      </c>
      <c r="J360" t="s">
        <v>273</v>
      </c>
      <c r="K360">
        <v>5.5128906503737344E-4</v>
      </c>
      <c r="L360" t="s">
        <v>161</v>
      </c>
      <c r="N360" t="s">
        <v>199</v>
      </c>
      <c r="O360" t="s">
        <v>273</v>
      </c>
      <c r="P360">
        <v>1.9546269744749379E-3</v>
      </c>
      <c r="Q360" t="s">
        <v>161</v>
      </c>
      <c r="S360" t="s">
        <v>221</v>
      </c>
      <c r="T360" t="s">
        <v>273</v>
      </c>
      <c r="U360">
        <v>1.8352823920813697E-3</v>
      </c>
      <c r="V360" t="s">
        <v>161</v>
      </c>
    </row>
    <row r="361" spans="9:22" x14ac:dyDescent="0.45">
      <c r="I361" t="s">
        <v>176</v>
      </c>
      <c r="J361" t="s">
        <v>274</v>
      </c>
      <c r="K361">
        <v>1.0150697006545922E-2</v>
      </c>
      <c r="L361" t="s">
        <v>161</v>
      </c>
      <c r="N361" t="s">
        <v>199</v>
      </c>
      <c r="O361" t="s">
        <v>274</v>
      </c>
      <c r="P361">
        <v>1.33206273523709E-2</v>
      </c>
      <c r="Q361" t="s">
        <v>161</v>
      </c>
      <c r="S361" t="s">
        <v>221</v>
      </c>
      <c r="T361" t="s">
        <v>274</v>
      </c>
      <c r="U361">
        <v>1.2928232573753655E-2</v>
      </c>
      <c r="V361" t="s">
        <v>161</v>
      </c>
    </row>
    <row r="362" spans="9:22" x14ac:dyDescent="0.45">
      <c r="I362" t="s">
        <v>176</v>
      </c>
      <c r="J362" t="s">
        <v>275</v>
      </c>
      <c r="K362">
        <v>0</v>
      </c>
      <c r="L362" t="s">
        <v>161</v>
      </c>
      <c r="N362" t="s">
        <v>199</v>
      </c>
      <c r="O362" t="s">
        <v>275</v>
      </c>
      <c r="P362">
        <v>1.7675171542682784E-3</v>
      </c>
      <c r="Q362" t="s">
        <v>161</v>
      </c>
      <c r="S362" t="s">
        <v>221</v>
      </c>
      <c r="T362" t="s">
        <v>275</v>
      </c>
      <c r="U362">
        <v>1.7619467577008891E-3</v>
      </c>
      <c r="V362" t="s">
        <v>161</v>
      </c>
    </row>
    <row r="363" spans="9:22" x14ac:dyDescent="0.45">
      <c r="I363" t="s">
        <v>176</v>
      </c>
      <c r="J363" t="s">
        <v>276</v>
      </c>
      <c r="K363">
        <v>0</v>
      </c>
      <c r="L363" t="s">
        <v>161</v>
      </c>
      <c r="N363" t="s">
        <v>199</v>
      </c>
      <c r="O363" t="s">
        <v>276</v>
      </c>
      <c r="P363">
        <v>1.8083855089541406E-3</v>
      </c>
      <c r="Q363" t="s">
        <v>161</v>
      </c>
      <c r="S363" t="s">
        <v>221</v>
      </c>
      <c r="T363" t="s">
        <v>276</v>
      </c>
      <c r="U363">
        <v>1.8050828143622885E-3</v>
      </c>
      <c r="V363" t="s">
        <v>161</v>
      </c>
    </row>
    <row r="364" spans="9:22" x14ac:dyDescent="0.45">
      <c r="I364" t="s">
        <v>176</v>
      </c>
      <c r="J364" t="s">
        <v>277</v>
      </c>
      <c r="K364">
        <v>0</v>
      </c>
      <c r="L364" t="s">
        <v>161</v>
      </c>
      <c r="N364" t="s">
        <v>199</v>
      </c>
      <c r="O364" t="s">
        <v>277</v>
      </c>
      <c r="P364">
        <v>9.9374429414173307E-3</v>
      </c>
      <c r="Q364" t="s">
        <v>161</v>
      </c>
      <c r="S364" t="s">
        <v>221</v>
      </c>
      <c r="T364" t="s">
        <v>277</v>
      </c>
      <c r="U364">
        <v>9.6820649755128482E-3</v>
      </c>
      <c r="V364" t="s">
        <v>161</v>
      </c>
    </row>
    <row r="365" spans="9:22" x14ac:dyDescent="0.45">
      <c r="I365" t="s">
        <v>176</v>
      </c>
      <c r="J365" t="s">
        <v>278</v>
      </c>
      <c r="K365">
        <v>0</v>
      </c>
      <c r="L365" t="s">
        <v>161</v>
      </c>
      <c r="N365" t="s">
        <v>199</v>
      </c>
      <c r="O365" t="s">
        <v>278</v>
      </c>
      <c r="P365">
        <v>6.6599099139803362E-3</v>
      </c>
      <c r="Q365" t="s">
        <v>161</v>
      </c>
      <c r="S365" t="s">
        <v>221</v>
      </c>
      <c r="T365" t="s">
        <v>278</v>
      </c>
      <c r="U365">
        <v>6.3544538864941233E-3</v>
      </c>
      <c r="V365" t="s">
        <v>161</v>
      </c>
    </row>
    <row r="366" spans="9:22" x14ac:dyDescent="0.45">
      <c r="I366" t="s">
        <v>176</v>
      </c>
      <c r="J366" t="s">
        <v>279</v>
      </c>
      <c r="K366">
        <v>5.1766415533606707E-4</v>
      </c>
      <c r="L366" t="s">
        <v>161</v>
      </c>
      <c r="N366" t="s">
        <v>199</v>
      </c>
      <c r="O366" t="s">
        <v>279</v>
      </c>
      <c r="P366">
        <v>9.0605316136075709E-4</v>
      </c>
      <c r="Q366" t="s">
        <v>161</v>
      </c>
      <c r="S366" t="s">
        <v>221</v>
      </c>
      <c r="T366" t="s">
        <v>279</v>
      </c>
      <c r="U366">
        <v>8.8552306331753387E-4</v>
      </c>
      <c r="V366" t="s">
        <v>161</v>
      </c>
    </row>
    <row r="367" spans="9:22" x14ac:dyDescent="0.45">
      <c r="I367" t="s">
        <v>176</v>
      </c>
      <c r="J367" t="s">
        <v>280</v>
      </c>
      <c r="K367">
        <v>8.5774119558122731E-3</v>
      </c>
      <c r="L367" t="s">
        <v>161</v>
      </c>
      <c r="N367" t="s">
        <v>199</v>
      </c>
      <c r="O367" t="s">
        <v>280</v>
      </c>
      <c r="P367">
        <v>6.5030960419400086E-3</v>
      </c>
      <c r="Q367" t="s">
        <v>161</v>
      </c>
      <c r="S367" t="s">
        <v>221</v>
      </c>
      <c r="T367" t="s">
        <v>280</v>
      </c>
      <c r="U367">
        <v>6.5141645233597169E-3</v>
      </c>
      <c r="V367" t="s">
        <v>161</v>
      </c>
    </row>
    <row r="368" spans="9:22" x14ac:dyDescent="0.45">
      <c r="I368" t="s">
        <v>176</v>
      </c>
      <c r="J368" t="s">
        <v>281</v>
      </c>
      <c r="K368">
        <v>0</v>
      </c>
      <c r="L368" t="s">
        <v>161</v>
      </c>
      <c r="N368" t="s">
        <v>199</v>
      </c>
      <c r="O368" t="s">
        <v>281</v>
      </c>
      <c r="P368">
        <v>9.1606786288408743E-4</v>
      </c>
      <c r="Q368" t="s">
        <v>161</v>
      </c>
      <c r="S368" t="s">
        <v>221</v>
      </c>
      <c r="T368" t="s">
        <v>281</v>
      </c>
      <c r="U368">
        <v>9.0582071181027836E-4</v>
      </c>
      <c r="V368" t="s">
        <v>161</v>
      </c>
    </row>
    <row r="369" spans="9:22" x14ac:dyDescent="0.45">
      <c r="I369" t="s">
        <v>176</v>
      </c>
      <c r="J369" t="s">
        <v>282</v>
      </c>
      <c r="K369">
        <v>0</v>
      </c>
      <c r="L369" t="s">
        <v>161</v>
      </c>
      <c r="N369" t="s">
        <v>199</v>
      </c>
      <c r="O369" t="s">
        <v>282</v>
      </c>
      <c r="P369">
        <v>8.9082556909920963E-4</v>
      </c>
      <c r="Q369" t="s">
        <v>161</v>
      </c>
      <c r="S369" t="s">
        <v>221</v>
      </c>
      <c r="T369" t="s">
        <v>282</v>
      </c>
      <c r="U369">
        <v>8.6800932795406223E-4</v>
      </c>
      <c r="V369" t="s">
        <v>161</v>
      </c>
    </row>
    <row r="370" spans="9:22" x14ac:dyDescent="0.45">
      <c r="I370" t="s">
        <v>176</v>
      </c>
      <c r="J370" t="s">
        <v>283</v>
      </c>
      <c r="K370">
        <v>0</v>
      </c>
      <c r="L370" t="s">
        <v>161</v>
      </c>
      <c r="N370" t="s">
        <v>199</v>
      </c>
      <c r="O370" t="s">
        <v>283</v>
      </c>
      <c r="P370">
        <v>5.8604532090565497E-3</v>
      </c>
      <c r="Q370" t="s">
        <v>161</v>
      </c>
      <c r="S370" t="s">
        <v>221</v>
      </c>
      <c r="T370" t="s">
        <v>283</v>
      </c>
      <c r="U370">
        <v>5.6817120292120436E-3</v>
      </c>
      <c r="V370" t="s">
        <v>161</v>
      </c>
    </row>
    <row r="371" spans="9:22" x14ac:dyDescent="0.45">
      <c r="I371" t="s">
        <v>177</v>
      </c>
      <c r="J371" t="s">
        <v>160</v>
      </c>
      <c r="K371">
        <v>2.3852663010355884E-3</v>
      </c>
      <c r="L371" t="s">
        <v>161</v>
      </c>
      <c r="N371" t="s">
        <v>200</v>
      </c>
      <c r="O371" t="s">
        <v>160</v>
      </c>
      <c r="P371">
        <v>7.5469573383318084E-2</v>
      </c>
      <c r="Q371" t="s">
        <v>161</v>
      </c>
      <c r="S371" t="s">
        <v>222</v>
      </c>
      <c r="T371" t="s">
        <v>160</v>
      </c>
      <c r="U371">
        <v>6.9910423276565256E-2</v>
      </c>
      <c r="V371" t="s">
        <v>161</v>
      </c>
    </row>
    <row r="372" spans="9:22" x14ac:dyDescent="0.45">
      <c r="I372" t="s">
        <v>177</v>
      </c>
      <c r="J372" t="s">
        <v>162</v>
      </c>
      <c r="K372">
        <v>7.5286001959518085E-3</v>
      </c>
      <c r="L372" t="s">
        <v>161</v>
      </c>
      <c r="N372" t="s">
        <v>200</v>
      </c>
      <c r="O372" t="s">
        <v>162</v>
      </c>
      <c r="P372">
        <v>9.2438081988682873E-3</v>
      </c>
      <c r="Q372" t="s">
        <v>161</v>
      </c>
      <c r="S372" t="s">
        <v>222</v>
      </c>
      <c r="T372" t="s">
        <v>162</v>
      </c>
      <c r="U372">
        <v>8.753008641532313E-3</v>
      </c>
      <c r="V372" t="s">
        <v>161</v>
      </c>
    </row>
    <row r="373" spans="9:22" x14ac:dyDescent="0.45">
      <c r="I373" t="s">
        <v>177</v>
      </c>
      <c r="J373" t="s">
        <v>163</v>
      </c>
      <c r="K373">
        <v>0.10116859609472574</v>
      </c>
      <c r="L373" t="s">
        <v>161</v>
      </c>
      <c r="N373" t="s">
        <v>200</v>
      </c>
      <c r="O373" t="s">
        <v>163</v>
      </c>
      <c r="P373">
        <v>6.1944546722767571E-2</v>
      </c>
      <c r="Q373" t="s">
        <v>161</v>
      </c>
      <c r="S373" t="s">
        <v>222</v>
      </c>
      <c r="T373" t="s">
        <v>163</v>
      </c>
      <c r="U373">
        <v>5.9370225236502414E-2</v>
      </c>
      <c r="V373" t="s">
        <v>161</v>
      </c>
    </row>
    <row r="374" spans="9:22" x14ac:dyDescent="0.45">
      <c r="I374" t="s">
        <v>177</v>
      </c>
      <c r="J374" t="s">
        <v>242</v>
      </c>
      <c r="K374">
        <v>7.8118829776119931E-3</v>
      </c>
      <c r="L374" t="s">
        <v>161</v>
      </c>
      <c r="N374" t="s">
        <v>200</v>
      </c>
      <c r="O374" t="s">
        <v>242</v>
      </c>
      <c r="P374">
        <v>8.8406876552619158E-3</v>
      </c>
      <c r="Q374" t="s">
        <v>161</v>
      </c>
      <c r="S374" t="s">
        <v>222</v>
      </c>
      <c r="T374" t="s">
        <v>242</v>
      </c>
      <c r="U374">
        <v>8.7583336162057254E-3</v>
      </c>
      <c r="V374" t="s">
        <v>161</v>
      </c>
    </row>
    <row r="375" spans="9:22" x14ac:dyDescent="0.45">
      <c r="I375" t="s">
        <v>177</v>
      </c>
      <c r="J375" t="s">
        <v>243</v>
      </c>
      <c r="K375">
        <v>3.3412044925680176E-3</v>
      </c>
      <c r="L375" t="s">
        <v>161</v>
      </c>
      <c r="N375" t="s">
        <v>200</v>
      </c>
      <c r="O375" t="s">
        <v>243</v>
      </c>
      <c r="P375">
        <v>9.1136134124403453E-3</v>
      </c>
      <c r="Q375" t="s">
        <v>161</v>
      </c>
      <c r="S375" t="s">
        <v>222</v>
      </c>
      <c r="T375" t="s">
        <v>243</v>
      </c>
      <c r="U375">
        <v>9.0503484412636833E-3</v>
      </c>
      <c r="V375" t="s">
        <v>161</v>
      </c>
    </row>
    <row r="376" spans="9:22" x14ac:dyDescent="0.45">
      <c r="I376" t="s">
        <v>177</v>
      </c>
      <c r="J376" t="s">
        <v>266</v>
      </c>
      <c r="K376">
        <v>0</v>
      </c>
      <c r="L376" t="s">
        <v>161</v>
      </c>
      <c r="N376" t="s">
        <v>200</v>
      </c>
      <c r="O376" t="s">
        <v>266</v>
      </c>
      <c r="P376">
        <v>5.711441788631054E-2</v>
      </c>
      <c r="Q376" t="s">
        <v>161</v>
      </c>
      <c r="S376" t="s">
        <v>222</v>
      </c>
      <c r="T376" t="s">
        <v>266</v>
      </c>
      <c r="U376">
        <v>5.6046313143376783E-2</v>
      </c>
      <c r="V376" t="s">
        <v>161</v>
      </c>
    </row>
    <row r="377" spans="9:22" x14ac:dyDescent="0.45">
      <c r="I377" t="s">
        <v>177</v>
      </c>
      <c r="J377" t="s">
        <v>311</v>
      </c>
      <c r="K377">
        <v>0</v>
      </c>
      <c r="L377" t="s">
        <v>161</v>
      </c>
      <c r="N377" t="s">
        <v>200</v>
      </c>
      <c r="O377" t="s">
        <v>311</v>
      </c>
      <c r="P377">
        <v>1.3185177676426377E-5</v>
      </c>
      <c r="Q377" t="s">
        <v>161</v>
      </c>
      <c r="S377" t="s">
        <v>222</v>
      </c>
      <c r="T377" t="s">
        <v>311</v>
      </c>
      <c r="U377">
        <v>1.7125829719185654E-5</v>
      </c>
      <c r="V377" t="s">
        <v>161</v>
      </c>
    </row>
    <row r="378" spans="9:22" x14ac:dyDescent="0.45">
      <c r="I378" t="s">
        <v>177</v>
      </c>
      <c r="J378" t="s">
        <v>312</v>
      </c>
      <c r="K378">
        <v>0</v>
      </c>
      <c r="L378" t="s">
        <v>161</v>
      </c>
      <c r="N378" t="s">
        <v>200</v>
      </c>
      <c r="O378" t="s">
        <v>312</v>
      </c>
      <c r="P378">
        <v>7.7875054084081044E-6</v>
      </c>
      <c r="Q378" t="s">
        <v>161</v>
      </c>
      <c r="S378" t="s">
        <v>222</v>
      </c>
      <c r="T378" t="s">
        <v>312</v>
      </c>
      <c r="U378">
        <v>2.353217143846759E-5</v>
      </c>
      <c r="V378" t="s">
        <v>161</v>
      </c>
    </row>
    <row r="379" spans="9:22" x14ac:dyDescent="0.45">
      <c r="I379" t="s">
        <v>177</v>
      </c>
      <c r="J379" t="s">
        <v>313</v>
      </c>
      <c r="K379">
        <v>0</v>
      </c>
      <c r="L379" t="s">
        <v>161</v>
      </c>
      <c r="N379" t="s">
        <v>200</v>
      </c>
      <c r="O379" t="s">
        <v>313</v>
      </c>
      <c r="P379">
        <v>5.956059547117023E-6</v>
      </c>
      <c r="Q379" t="s">
        <v>161</v>
      </c>
      <c r="S379" t="s">
        <v>222</v>
      </c>
      <c r="T379" t="s">
        <v>313</v>
      </c>
      <c r="U379">
        <v>2.1222192786439818E-5</v>
      </c>
      <c r="V379" t="s">
        <v>161</v>
      </c>
    </row>
    <row r="380" spans="9:22" x14ac:dyDescent="0.45">
      <c r="I380" t="s">
        <v>177</v>
      </c>
      <c r="J380" t="s">
        <v>314</v>
      </c>
      <c r="K380">
        <v>0</v>
      </c>
      <c r="L380" t="s">
        <v>161</v>
      </c>
      <c r="N380" t="s">
        <v>200</v>
      </c>
      <c r="O380" t="s">
        <v>314</v>
      </c>
      <c r="P380">
        <v>5.917475210674274E-6</v>
      </c>
      <c r="Q380" t="s">
        <v>161</v>
      </c>
      <c r="S380" t="s">
        <v>222</v>
      </c>
      <c r="T380" t="s">
        <v>314</v>
      </c>
      <c r="U380">
        <v>1.7860523987794843E-5</v>
      </c>
      <c r="V380" t="s">
        <v>161</v>
      </c>
    </row>
    <row r="381" spans="9:22" x14ac:dyDescent="0.45">
      <c r="I381" t="s">
        <v>177</v>
      </c>
      <c r="J381" t="s">
        <v>315</v>
      </c>
      <c r="K381">
        <v>0</v>
      </c>
      <c r="L381" t="s">
        <v>161</v>
      </c>
      <c r="N381" t="s">
        <v>200</v>
      </c>
      <c r="O381" t="s">
        <v>315</v>
      </c>
      <c r="P381">
        <v>6.0607739238150194E-6</v>
      </c>
      <c r="Q381" t="s">
        <v>161</v>
      </c>
      <c r="S381" t="s">
        <v>222</v>
      </c>
      <c r="T381" t="s">
        <v>315</v>
      </c>
      <c r="U381">
        <v>9.4830779457537711E-6</v>
      </c>
      <c r="V381" t="s">
        <v>161</v>
      </c>
    </row>
    <row r="382" spans="9:22" x14ac:dyDescent="0.45">
      <c r="I382" t="s">
        <v>177</v>
      </c>
      <c r="J382" t="s">
        <v>316</v>
      </c>
      <c r="K382">
        <v>0</v>
      </c>
      <c r="L382" t="s">
        <v>161</v>
      </c>
      <c r="N382" t="s">
        <v>200</v>
      </c>
      <c r="O382" t="s">
        <v>316</v>
      </c>
      <c r="P382">
        <v>4.7518017693630713E-6</v>
      </c>
      <c r="Q382" t="s">
        <v>161</v>
      </c>
      <c r="S382" t="s">
        <v>222</v>
      </c>
      <c r="T382" t="s">
        <v>316</v>
      </c>
      <c r="U382">
        <v>0</v>
      </c>
      <c r="V382" t="s">
        <v>161</v>
      </c>
    </row>
    <row r="383" spans="9:22" x14ac:dyDescent="0.45">
      <c r="I383" t="s">
        <v>177</v>
      </c>
      <c r="J383" t="s">
        <v>317</v>
      </c>
      <c r="K383">
        <v>0</v>
      </c>
      <c r="L383" t="s">
        <v>161</v>
      </c>
      <c r="N383" t="s">
        <v>200</v>
      </c>
      <c r="O383" t="s">
        <v>317</v>
      </c>
      <c r="P383">
        <v>2.8487419165818176E-6</v>
      </c>
      <c r="Q383" t="s">
        <v>161</v>
      </c>
      <c r="S383" t="s">
        <v>222</v>
      </c>
      <c r="T383" t="s">
        <v>317</v>
      </c>
      <c r="U383">
        <v>0</v>
      </c>
      <c r="V383" t="s">
        <v>161</v>
      </c>
    </row>
    <row r="384" spans="9:22" x14ac:dyDescent="0.45">
      <c r="I384" t="s">
        <v>177</v>
      </c>
      <c r="J384" t="s">
        <v>318</v>
      </c>
      <c r="K384">
        <v>0</v>
      </c>
      <c r="L384" t="s">
        <v>161</v>
      </c>
      <c r="N384" t="s">
        <v>200</v>
      </c>
      <c r="O384" t="s">
        <v>318</v>
      </c>
      <c r="P384">
        <v>2.2048157471085702E-6</v>
      </c>
      <c r="Q384" t="s">
        <v>161</v>
      </c>
      <c r="S384" t="s">
        <v>222</v>
      </c>
      <c r="T384" t="s">
        <v>318</v>
      </c>
      <c r="U384">
        <v>0</v>
      </c>
      <c r="V384" t="s">
        <v>161</v>
      </c>
    </row>
    <row r="385" spans="9:22" x14ac:dyDescent="0.45">
      <c r="I385" t="s">
        <v>177</v>
      </c>
      <c r="J385" t="s">
        <v>319</v>
      </c>
      <c r="K385">
        <v>2.5747334993327077E-5</v>
      </c>
      <c r="L385" t="s">
        <v>161</v>
      </c>
      <c r="N385" t="s">
        <v>200</v>
      </c>
      <c r="O385" t="s">
        <v>319</v>
      </c>
      <c r="P385">
        <v>5.2479578977739298E-7</v>
      </c>
      <c r="Q385" t="s">
        <v>161</v>
      </c>
      <c r="S385" t="s">
        <v>222</v>
      </c>
      <c r="T385" t="s">
        <v>319</v>
      </c>
      <c r="U385">
        <v>0</v>
      </c>
      <c r="V385" t="s">
        <v>161</v>
      </c>
    </row>
    <row r="386" spans="9:22" x14ac:dyDescent="0.45">
      <c r="I386" t="s">
        <v>177</v>
      </c>
      <c r="J386" t="s">
        <v>320</v>
      </c>
      <c r="K386">
        <v>9.4238248680398676E-5</v>
      </c>
      <c r="L386" t="s">
        <v>161</v>
      </c>
      <c r="N386" t="s">
        <v>200</v>
      </c>
      <c r="O386" t="s">
        <v>320</v>
      </c>
      <c r="P386">
        <v>1.4662132136226699E-7</v>
      </c>
      <c r="Q386" t="s">
        <v>161</v>
      </c>
      <c r="S386" t="s">
        <v>222</v>
      </c>
      <c r="T386" t="s">
        <v>320</v>
      </c>
      <c r="U386">
        <v>0</v>
      </c>
      <c r="V386" t="s">
        <v>161</v>
      </c>
    </row>
    <row r="387" spans="9:22" x14ac:dyDescent="0.45">
      <c r="I387" t="s">
        <v>177</v>
      </c>
      <c r="J387" t="s">
        <v>321</v>
      </c>
      <c r="K387">
        <v>1.6465173312494636E-4</v>
      </c>
      <c r="L387" t="s">
        <v>161</v>
      </c>
      <c r="N387" t="s">
        <v>200</v>
      </c>
      <c r="O387" t="s">
        <v>321</v>
      </c>
      <c r="P387">
        <v>2.2838885620344133E-7</v>
      </c>
      <c r="Q387" t="s">
        <v>161</v>
      </c>
      <c r="S387" t="s">
        <v>222</v>
      </c>
      <c r="T387" t="s">
        <v>321</v>
      </c>
      <c r="U387">
        <v>0</v>
      </c>
      <c r="V387" t="s">
        <v>161</v>
      </c>
    </row>
    <row r="388" spans="9:22" x14ac:dyDescent="0.45">
      <c r="I388" t="s">
        <v>177</v>
      </c>
      <c r="J388" t="s">
        <v>322</v>
      </c>
      <c r="K388">
        <v>2.0755782292255297E-4</v>
      </c>
      <c r="L388" t="s">
        <v>161</v>
      </c>
      <c r="N388" t="s">
        <v>200</v>
      </c>
      <c r="O388" t="s">
        <v>322</v>
      </c>
      <c r="P388">
        <v>2.5431922389011437E-7</v>
      </c>
      <c r="Q388" t="s">
        <v>161</v>
      </c>
      <c r="S388" t="s">
        <v>222</v>
      </c>
      <c r="T388" t="s">
        <v>322</v>
      </c>
      <c r="U388">
        <v>0</v>
      </c>
      <c r="V388" t="s">
        <v>161</v>
      </c>
    </row>
    <row r="389" spans="9:22" x14ac:dyDescent="0.45">
      <c r="I389" t="s">
        <v>177</v>
      </c>
      <c r="J389" t="s">
        <v>323</v>
      </c>
      <c r="K389">
        <v>2.0293232019775857E-4</v>
      </c>
      <c r="L389" t="s">
        <v>161</v>
      </c>
      <c r="N389" t="s">
        <v>200</v>
      </c>
      <c r="O389" t="s">
        <v>323</v>
      </c>
      <c r="P389">
        <v>5.5357478974032385E-7</v>
      </c>
      <c r="Q389" t="s">
        <v>161</v>
      </c>
      <c r="S389" t="s">
        <v>222</v>
      </c>
      <c r="T389" t="s">
        <v>323</v>
      </c>
      <c r="U389">
        <v>0</v>
      </c>
      <c r="V389" t="s">
        <v>161</v>
      </c>
    </row>
    <row r="390" spans="9:22" x14ac:dyDescent="0.45">
      <c r="I390" t="s">
        <v>177</v>
      </c>
      <c r="J390" t="s">
        <v>324</v>
      </c>
      <c r="K390">
        <v>2.6363641777284419E-4</v>
      </c>
      <c r="L390" t="s">
        <v>161</v>
      </c>
      <c r="N390" t="s">
        <v>200</v>
      </c>
      <c r="O390" t="s">
        <v>324</v>
      </c>
      <c r="P390">
        <v>1.8411567679080279E-7</v>
      </c>
      <c r="Q390" t="s">
        <v>161</v>
      </c>
      <c r="S390" t="s">
        <v>222</v>
      </c>
      <c r="T390" t="s">
        <v>324</v>
      </c>
      <c r="U390">
        <v>0</v>
      </c>
      <c r="V390" t="s">
        <v>161</v>
      </c>
    </row>
    <row r="391" spans="9:22" x14ac:dyDescent="0.45">
      <c r="I391" t="s">
        <v>177</v>
      </c>
      <c r="J391" t="s">
        <v>325</v>
      </c>
      <c r="K391">
        <v>2.571705657341978E-4</v>
      </c>
      <c r="L391" t="s">
        <v>161</v>
      </c>
      <c r="N391" t="s">
        <v>200</v>
      </c>
      <c r="O391" t="s">
        <v>325</v>
      </c>
      <c r="P391">
        <v>3.848676135122841E-7</v>
      </c>
      <c r="Q391" t="s">
        <v>161</v>
      </c>
      <c r="S391" t="s">
        <v>222</v>
      </c>
      <c r="T391" t="s">
        <v>325</v>
      </c>
      <c r="U391">
        <v>0</v>
      </c>
      <c r="V391" t="s">
        <v>161</v>
      </c>
    </row>
    <row r="392" spans="9:22" x14ac:dyDescent="0.45">
      <c r="I392" t="s">
        <v>177</v>
      </c>
      <c r="J392" t="s">
        <v>326</v>
      </c>
      <c r="K392">
        <v>1.759208928349893E-4</v>
      </c>
      <c r="L392" t="s">
        <v>161</v>
      </c>
      <c r="N392" t="s">
        <v>200</v>
      </c>
      <c r="O392" t="s">
        <v>326</v>
      </c>
      <c r="P392">
        <v>6.9064892810900269E-7</v>
      </c>
      <c r="Q392" t="s">
        <v>161</v>
      </c>
      <c r="S392" t="s">
        <v>222</v>
      </c>
      <c r="T392" t="s">
        <v>326</v>
      </c>
      <c r="U392">
        <v>0</v>
      </c>
      <c r="V392" t="s">
        <v>161</v>
      </c>
    </row>
    <row r="393" spans="9:22" x14ac:dyDescent="0.45">
      <c r="I393" t="s">
        <v>177</v>
      </c>
      <c r="J393" t="s">
        <v>327</v>
      </c>
      <c r="K393">
        <v>1.6811844022120268E-4</v>
      </c>
      <c r="L393" t="s">
        <v>161</v>
      </c>
      <c r="N393" t="s">
        <v>200</v>
      </c>
      <c r="O393" t="s">
        <v>327</v>
      </c>
      <c r="P393">
        <v>5.4818367840978544E-8</v>
      </c>
      <c r="Q393" t="s">
        <v>161</v>
      </c>
      <c r="S393" t="s">
        <v>222</v>
      </c>
      <c r="T393" t="s">
        <v>327</v>
      </c>
      <c r="U393">
        <v>0</v>
      </c>
      <c r="V393" t="s">
        <v>161</v>
      </c>
    </row>
    <row r="394" spans="9:22" x14ac:dyDescent="0.45">
      <c r="I394" t="s">
        <v>177</v>
      </c>
      <c r="J394" t="s">
        <v>328</v>
      </c>
      <c r="K394">
        <v>1.140334514443534E-4</v>
      </c>
      <c r="L394" t="s">
        <v>161</v>
      </c>
      <c r="N394" t="s">
        <v>200</v>
      </c>
      <c r="O394" t="s">
        <v>328</v>
      </c>
      <c r="P394">
        <v>8.5784852714173013E-8</v>
      </c>
      <c r="Q394" t="s">
        <v>161</v>
      </c>
      <c r="S394" t="s">
        <v>222</v>
      </c>
      <c r="T394" t="s">
        <v>328</v>
      </c>
      <c r="U394">
        <v>0</v>
      </c>
      <c r="V394" t="s">
        <v>161</v>
      </c>
    </row>
    <row r="395" spans="9:22" x14ac:dyDescent="0.45">
      <c r="I395" t="s">
        <v>177</v>
      </c>
      <c r="J395" t="s">
        <v>329</v>
      </c>
      <c r="K395">
        <v>0</v>
      </c>
      <c r="L395" t="s">
        <v>161</v>
      </c>
      <c r="N395" t="s">
        <v>200</v>
      </c>
      <c r="O395" t="s">
        <v>329</v>
      </c>
      <c r="P395">
        <v>1.1351943014105744E-6</v>
      </c>
      <c r="Q395" t="s">
        <v>161</v>
      </c>
      <c r="S395" t="s">
        <v>222</v>
      </c>
      <c r="T395" t="s">
        <v>329</v>
      </c>
      <c r="U395">
        <v>0</v>
      </c>
      <c r="V395" t="s">
        <v>161</v>
      </c>
    </row>
    <row r="396" spans="9:22" x14ac:dyDescent="0.45">
      <c r="I396" t="s">
        <v>177</v>
      </c>
      <c r="J396" t="s">
        <v>330</v>
      </c>
      <c r="K396">
        <v>0</v>
      </c>
      <c r="L396" t="s">
        <v>161</v>
      </c>
      <c r="N396" t="s">
        <v>200</v>
      </c>
      <c r="O396" t="s">
        <v>330</v>
      </c>
      <c r="P396">
        <v>2.7598459494174432E-6</v>
      </c>
      <c r="Q396" t="s">
        <v>161</v>
      </c>
      <c r="S396" t="s">
        <v>222</v>
      </c>
      <c r="T396" t="s">
        <v>330</v>
      </c>
      <c r="U396">
        <v>0</v>
      </c>
      <c r="V396" t="s">
        <v>161</v>
      </c>
    </row>
    <row r="397" spans="9:22" x14ac:dyDescent="0.45">
      <c r="I397" t="s">
        <v>177</v>
      </c>
      <c r="J397" t="s">
        <v>331</v>
      </c>
      <c r="K397">
        <v>0</v>
      </c>
      <c r="L397" t="s">
        <v>161</v>
      </c>
      <c r="N397" t="s">
        <v>200</v>
      </c>
      <c r="O397" t="s">
        <v>331</v>
      </c>
      <c r="P397">
        <v>2.7761118188801306E-6</v>
      </c>
      <c r="Q397" t="s">
        <v>161</v>
      </c>
      <c r="S397" t="s">
        <v>222</v>
      </c>
      <c r="T397" t="s">
        <v>331</v>
      </c>
      <c r="U397">
        <v>0</v>
      </c>
      <c r="V397" t="s">
        <v>161</v>
      </c>
    </row>
    <row r="398" spans="9:22" x14ac:dyDescent="0.45">
      <c r="I398" t="s">
        <v>177</v>
      </c>
      <c r="J398" t="s">
        <v>332</v>
      </c>
      <c r="K398">
        <v>0</v>
      </c>
      <c r="L398" t="s">
        <v>161</v>
      </c>
      <c r="N398" t="s">
        <v>200</v>
      </c>
      <c r="O398" t="s">
        <v>332</v>
      </c>
      <c r="P398">
        <v>2.4341999542259299E-6</v>
      </c>
      <c r="Q398" t="s">
        <v>161</v>
      </c>
      <c r="S398" t="s">
        <v>222</v>
      </c>
      <c r="T398" t="s">
        <v>332</v>
      </c>
      <c r="U398">
        <v>0</v>
      </c>
      <c r="V398" t="s">
        <v>161</v>
      </c>
    </row>
    <row r="399" spans="9:22" x14ac:dyDescent="0.45">
      <c r="I399" t="s">
        <v>177</v>
      </c>
      <c r="J399" t="s">
        <v>333</v>
      </c>
      <c r="K399">
        <v>0</v>
      </c>
      <c r="L399" t="s">
        <v>161</v>
      </c>
      <c r="N399" t="s">
        <v>200</v>
      </c>
      <c r="O399" t="s">
        <v>333</v>
      </c>
      <c r="P399">
        <v>2.4945114087130525E-6</v>
      </c>
      <c r="Q399" t="s">
        <v>161</v>
      </c>
      <c r="S399" t="s">
        <v>222</v>
      </c>
      <c r="T399" t="s">
        <v>333</v>
      </c>
      <c r="U399">
        <v>0</v>
      </c>
      <c r="V399" t="s">
        <v>161</v>
      </c>
    </row>
    <row r="400" spans="9:22" x14ac:dyDescent="0.45">
      <c r="I400" t="s">
        <v>177</v>
      </c>
      <c r="J400" t="s">
        <v>334</v>
      </c>
      <c r="K400">
        <v>0</v>
      </c>
      <c r="L400" t="s">
        <v>161</v>
      </c>
      <c r="N400" t="s">
        <v>200</v>
      </c>
      <c r="O400" t="s">
        <v>334</v>
      </c>
      <c r="P400">
        <v>2.3177111355212748E-6</v>
      </c>
      <c r="Q400" t="s">
        <v>161</v>
      </c>
      <c r="S400" t="s">
        <v>222</v>
      </c>
      <c r="T400" t="s">
        <v>334</v>
      </c>
      <c r="U400">
        <v>2.0668100093579782E-6</v>
      </c>
      <c r="V400" t="s">
        <v>161</v>
      </c>
    </row>
    <row r="401" spans="9:22" x14ac:dyDescent="0.45">
      <c r="I401" t="s">
        <v>177</v>
      </c>
      <c r="J401" t="s">
        <v>164</v>
      </c>
      <c r="K401">
        <v>1.0206646364094189E-2</v>
      </c>
      <c r="L401" t="s">
        <v>161</v>
      </c>
      <c r="N401" t="s">
        <v>200</v>
      </c>
      <c r="O401" t="s">
        <v>164</v>
      </c>
      <c r="P401">
        <v>3.7055875972246077E-2</v>
      </c>
      <c r="Q401" t="s">
        <v>161</v>
      </c>
      <c r="S401" t="s">
        <v>222</v>
      </c>
      <c r="T401" t="s">
        <v>164</v>
      </c>
      <c r="U401">
        <v>3.4682664703872865E-2</v>
      </c>
      <c r="V401" t="s">
        <v>161</v>
      </c>
    </row>
    <row r="402" spans="9:22" x14ac:dyDescent="0.45">
      <c r="I402" t="s">
        <v>177</v>
      </c>
      <c r="J402" t="s">
        <v>165</v>
      </c>
      <c r="K402">
        <v>1.0126998451983834E-2</v>
      </c>
      <c r="L402" t="s">
        <v>161</v>
      </c>
      <c r="N402" t="s">
        <v>200</v>
      </c>
      <c r="O402" t="s">
        <v>165</v>
      </c>
      <c r="P402">
        <v>4.4428462893256254E-3</v>
      </c>
      <c r="Q402" t="s">
        <v>161</v>
      </c>
      <c r="S402" t="s">
        <v>222</v>
      </c>
      <c r="T402" t="s">
        <v>165</v>
      </c>
      <c r="U402">
        <v>3.81532696720022E-3</v>
      </c>
      <c r="V402" t="s">
        <v>161</v>
      </c>
    </row>
    <row r="403" spans="9:22" x14ac:dyDescent="0.45">
      <c r="I403" t="s">
        <v>177</v>
      </c>
      <c r="J403" t="s">
        <v>166</v>
      </c>
      <c r="K403">
        <v>8.6265883568093796E-2</v>
      </c>
      <c r="L403" t="s">
        <v>161</v>
      </c>
      <c r="N403" t="s">
        <v>200</v>
      </c>
      <c r="O403" t="s">
        <v>166</v>
      </c>
      <c r="P403">
        <v>3.4880267363987888E-2</v>
      </c>
      <c r="Q403" t="s">
        <v>161</v>
      </c>
      <c r="S403" t="s">
        <v>222</v>
      </c>
      <c r="T403" t="s">
        <v>166</v>
      </c>
      <c r="U403">
        <v>2.5262985559485588E-2</v>
      </c>
      <c r="V403" t="s">
        <v>161</v>
      </c>
    </row>
    <row r="404" spans="9:22" x14ac:dyDescent="0.45">
      <c r="I404" t="s">
        <v>177</v>
      </c>
      <c r="J404" t="s">
        <v>244</v>
      </c>
      <c r="K404">
        <v>7.6386893491593713E-3</v>
      </c>
      <c r="L404" t="s">
        <v>161</v>
      </c>
      <c r="N404" t="s">
        <v>200</v>
      </c>
      <c r="O404" t="s">
        <v>244</v>
      </c>
      <c r="P404">
        <v>5.0860309144939008E-3</v>
      </c>
      <c r="Q404" t="s">
        <v>161</v>
      </c>
      <c r="S404" t="s">
        <v>222</v>
      </c>
      <c r="T404" t="s">
        <v>244</v>
      </c>
      <c r="U404">
        <v>3.717241704793357E-3</v>
      </c>
      <c r="V404" t="s">
        <v>161</v>
      </c>
    </row>
    <row r="405" spans="9:22" x14ac:dyDescent="0.45">
      <c r="I405" t="s">
        <v>177</v>
      </c>
      <c r="J405" t="s">
        <v>245</v>
      </c>
      <c r="K405">
        <v>5.0424296575584705E-3</v>
      </c>
      <c r="L405" t="s">
        <v>161</v>
      </c>
      <c r="N405" t="s">
        <v>200</v>
      </c>
      <c r="O405" t="s">
        <v>245</v>
      </c>
      <c r="P405">
        <v>4.9082004195255512E-3</v>
      </c>
      <c r="Q405" t="s">
        <v>161</v>
      </c>
      <c r="S405" t="s">
        <v>222</v>
      </c>
      <c r="T405" t="s">
        <v>245</v>
      </c>
      <c r="U405">
        <v>3.7572262864672915E-3</v>
      </c>
      <c r="V405" t="s">
        <v>161</v>
      </c>
    </row>
    <row r="406" spans="9:22" x14ac:dyDescent="0.45">
      <c r="I406" t="s">
        <v>177</v>
      </c>
      <c r="J406" t="s">
        <v>267</v>
      </c>
      <c r="K406">
        <v>2.5252215533046302E-3</v>
      </c>
      <c r="L406" t="s">
        <v>161</v>
      </c>
      <c r="N406" t="s">
        <v>200</v>
      </c>
      <c r="O406" t="s">
        <v>267</v>
      </c>
      <c r="P406">
        <v>3.0134880450422678E-2</v>
      </c>
      <c r="Q406" t="s">
        <v>161</v>
      </c>
      <c r="S406" t="s">
        <v>222</v>
      </c>
      <c r="T406" t="s">
        <v>267</v>
      </c>
      <c r="U406">
        <v>2.6630863554836279E-2</v>
      </c>
      <c r="V406" t="s">
        <v>161</v>
      </c>
    </row>
    <row r="407" spans="9:22" x14ac:dyDescent="0.45">
      <c r="I407" t="s">
        <v>177</v>
      </c>
      <c r="J407" t="s">
        <v>167</v>
      </c>
      <c r="K407">
        <v>5.196594285654367E-2</v>
      </c>
      <c r="L407" t="s">
        <v>161</v>
      </c>
      <c r="N407" t="s">
        <v>200</v>
      </c>
      <c r="O407" t="s">
        <v>167</v>
      </c>
      <c r="P407">
        <v>6.436933652740752E-2</v>
      </c>
      <c r="Q407" t="s">
        <v>161</v>
      </c>
      <c r="S407" t="s">
        <v>222</v>
      </c>
      <c r="T407" t="s">
        <v>167</v>
      </c>
      <c r="U407">
        <v>6.4552812151456335E-2</v>
      </c>
      <c r="V407" t="s">
        <v>161</v>
      </c>
    </row>
    <row r="408" spans="9:22" x14ac:dyDescent="0.45">
      <c r="I408" t="s">
        <v>177</v>
      </c>
      <c r="J408" t="s">
        <v>168</v>
      </c>
      <c r="K408">
        <v>3.112812922861638E-2</v>
      </c>
      <c r="L408" t="s">
        <v>161</v>
      </c>
      <c r="N408" t="s">
        <v>200</v>
      </c>
      <c r="O408" t="s">
        <v>168</v>
      </c>
      <c r="P408">
        <v>7.7736634521727715E-3</v>
      </c>
      <c r="Q408" t="s">
        <v>161</v>
      </c>
      <c r="S408" t="s">
        <v>222</v>
      </c>
      <c r="T408" t="s">
        <v>168</v>
      </c>
      <c r="U408">
        <v>6.9769618060453549E-3</v>
      </c>
      <c r="V408" t="s">
        <v>161</v>
      </c>
    </row>
    <row r="409" spans="9:22" x14ac:dyDescent="0.45">
      <c r="I409" t="s">
        <v>177</v>
      </c>
      <c r="J409" t="s">
        <v>169</v>
      </c>
      <c r="K409">
        <v>0.24922561883394059</v>
      </c>
      <c r="L409" t="s">
        <v>161</v>
      </c>
      <c r="N409" t="s">
        <v>200</v>
      </c>
      <c r="O409" t="s">
        <v>169</v>
      </c>
      <c r="P409">
        <v>5.4738975410961309E-2</v>
      </c>
      <c r="Q409" t="s">
        <v>161</v>
      </c>
      <c r="S409" t="s">
        <v>222</v>
      </c>
      <c r="T409" t="s">
        <v>169</v>
      </c>
      <c r="U409">
        <v>5.4237169482294505E-2</v>
      </c>
      <c r="V409" t="s">
        <v>161</v>
      </c>
    </row>
    <row r="410" spans="9:22" x14ac:dyDescent="0.45">
      <c r="I410" t="s">
        <v>177</v>
      </c>
      <c r="J410" t="s">
        <v>246</v>
      </c>
      <c r="K410">
        <v>2.7802997737385031E-2</v>
      </c>
      <c r="L410" t="s">
        <v>161</v>
      </c>
      <c r="N410" t="s">
        <v>200</v>
      </c>
      <c r="O410" t="s">
        <v>246</v>
      </c>
      <c r="P410">
        <v>7.8366188022533471E-3</v>
      </c>
      <c r="Q410" t="s">
        <v>161</v>
      </c>
      <c r="S410" t="s">
        <v>222</v>
      </c>
      <c r="T410" t="s">
        <v>246</v>
      </c>
      <c r="U410">
        <v>8.4237481990298256E-3</v>
      </c>
      <c r="V410" t="s">
        <v>161</v>
      </c>
    </row>
    <row r="411" spans="9:22" x14ac:dyDescent="0.45">
      <c r="I411" t="s">
        <v>177</v>
      </c>
      <c r="J411" t="s">
        <v>247</v>
      </c>
      <c r="K411">
        <v>2.2184088012461686E-2</v>
      </c>
      <c r="L411" t="s">
        <v>161</v>
      </c>
      <c r="N411" t="s">
        <v>200</v>
      </c>
      <c r="O411" t="s">
        <v>247</v>
      </c>
      <c r="P411">
        <v>7.5463396669367046E-3</v>
      </c>
      <c r="Q411" t="s">
        <v>161</v>
      </c>
      <c r="S411" t="s">
        <v>222</v>
      </c>
      <c r="T411" t="s">
        <v>247</v>
      </c>
      <c r="U411">
        <v>8.0986409222245509E-3</v>
      </c>
      <c r="V411" t="s">
        <v>161</v>
      </c>
    </row>
    <row r="412" spans="9:22" x14ac:dyDescent="0.45">
      <c r="I412" t="s">
        <v>177</v>
      </c>
      <c r="J412" t="s">
        <v>268</v>
      </c>
      <c r="K412">
        <v>2.2698903419247782E-2</v>
      </c>
      <c r="L412" t="s">
        <v>161</v>
      </c>
      <c r="N412" t="s">
        <v>200</v>
      </c>
      <c r="O412" t="s">
        <v>268</v>
      </c>
      <c r="P412">
        <v>4.8444542582730836E-2</v>
      </c>
      <c r="Q412" t="s">
        <v>161</v>
      </c>
      <c r="S412" t="s">
        <v>222</v>
      </c>
      <c r="T412" t="s">
        <v>268</v>
      </c>
      <c r="U412">
        <v>5.0206912811005623E-2</v>
      </c>
      <c r="V412" t="s">
        <v>161</v>
      </c>
    </row>
    <row r="413" spans="9:22" x14ac:dyDescent="0.45">
      <c r="I413" t="s">
        <v>177</v>
      </c>
      <c r="J413" t="s">
        <v>170</v>
      </c>
      <c r="K413">
        <v>1.999382858612414E-2</v>
      </c>
      <c r="L413" t="s">
        <v>161</v>
      </c>
      <c r="N413" t="s">
        <v>200</v>
      </c>
      <c r="O413" t="s">
        <v>170</v>
      </c>
      <c r="P413">
        <v>3.649014033290808E-2</v>
      </c>
      <c r="Q413" t="s">
        <v>161</v>
      </c>
      <c r="S413" t="s">
        <v>222</v>
      </c>
      <c r="T413" t="s">
        <v>170</v>
      </c>
      <c r="U413">
        <v>3.3643828982238992E-2</v>
      </c>
      <c r="V413" t="s">
        <v>161</v>
      </c>
    </row>
    <row r="414" spans="9:22" x14ac:dyDescent="0.45">
      <c r="I414" t="s">
        <v>177</v>
      </c>
      <c r="J414" t="s">
        <v>171</v>
      </c>
      <c r="K414">
        <v>1.4702554188893654E-2</v>
      </c>
      <c r="L414" t="s">
        <v>161</v>
      </c>
      <c r="N414" t="s">
        <v>200</v>
      </c>
      <c r="O414" t="s">
        <v>171</v>
      </c>
      <c r="P414">
        <v>4.1814998394933186E-3</v>
      </c>
      <c r="Q414" t="s">
        <v>161</v>
      </c>
      <c r="S414" t="s">
        <v>222</v>
      </c>
      <c r="T414" t="s">
        <v>171</v>
      </c>
      <c r="U414">
        <v>3.5364836974292615E-3</v>
      </c>
      <c r="V414" t="s">
        <v>161</v>
      </c>
    </row>
    <row r="415" spans="9:22" x14ac:dyDescent="0.45">
      <c r="I415" t="s">
        <v>177</v>
      </c>
      <c r="J415" t="s">
        <v>172</v>
      </c>
      <c r="K415">
        <v>0.12102522939593421</v>
      </c>
      <c r="L415" t="s">
        <v>161</v>
      </c>
      <c r="N415" t="s">
        <v>200</v>
      </c>
      <c r="O415" t="s">
        <v>172</v>
      </c>
      <c r="P415">
        <v>3.2778145087599679E-2</v>
      </c>
      <c r="Q415" t="s">
        <v>161</v>
      </c>
      <c r="S415" t="s">
        <v>222</v>
      </c>
      <c r="T415" t="s">
        <v>172</v>
      </c>
      <c r="U415">
        <v>2.5581876147354365E-2</v>
      </c>
      <c r="V415" t="s">
        <v>161</v>
      </c>
    </row>
    <row r="416" spans="9:22" x14ac:dyDescent="0.45">
      <c r="I416" t="s">
        <v>177</v>
      </c>
      <c r="J416" t="s">
        <v>248</v>
      </c>
      <c r="K416">
        <v>1.3278858393703498E-2</v>
      </c>
      <c r="L416" t="s">
        <v>161</v>
      </c>
      <c r="N416" t="s">
        <v>200</v>
      </c>
      <c r="O416" t="s">
        <v>248</v>
      </c>
      <c r="P416">
        <v>4.8611609301811185E-3</v>
      </c>
      <c r="Q416" t="s">
        <v>161</v>
      </c>
      <c r="S416" t="s">
        <v>222</v>
      </c>
      <c r="T416" t="s">
        <v>248</v>
      </c>
      <c r="U416">
        <v>3.5381060840956411E-3</v>
      </c>
      <c r="V416" t="s">
        <v>161</v>
      </c>
    </row>
    <row r="417" spans="9:22" x14ac:dyDescent="0.45">
      <c r="I417" t="s">
        <v>177</v>
      </c>
      <c r="J417" t="s">
        <v>249</v>
      </c>
      <c r="K417">
        <v>1.0265289595594689E-2</v>
      </c>
      <c r="L417" t="s">
        <v>161</v>
      </c>
      <c r="N417" t="s">
        <v>200</v>
      </c>
      <c r="O417" t="s">
        <v>249</v>
      </c>
      <c r="P417">
        <v>4.6828130288016443E-3</v>
      </c>
      <c r="Q417" t="s">
        <v>161</v>
      </c>
      <c r="S417" t="s">
        <v>222</v>
      </c>
      <c r="T417" t="s">
        <v>249</v>
      </c>
      <c r="U417">
        <v>3.2333556786951533E-3</v>
      </c>
      <c r="V417" t="s">
        <v>161</v>
      </c>
    </row>
    <row r="418" spans="9:22" x14ac:dyDescent="0.45">
      <c r="I418" t="s">
        <v>177</v>
      </c>
      <c r="J418" t="s">
        <v>269</v>
      </c>
      <c r="K418">
        <v>7.722013419130795E-3</v>
      </c>
      <c r="L418" t="s">
        <v>161</v>
      </c>
      <c r="N418" t="s">
        <v>200</v>
      </c>
      <c r="O418" t="s">
        <v>269</v>
      </c>
      <c r="P418">
        <v>2.9296275568831631E-2</v>
      </c>
      <c r="Q418" t="s">
        <v>161</v>
      </c>
      <c r="S418" t="s">
        <v>222</v>
      </c>
      <c r="T418" t="s">
        <v>269</v>
      </c>
      <c r="U418">
        <v>2.5016008685599112E-2</v>
      </c>
      <c r="V418" t="s">
        <v>161</v>
      </c>
    </row>
    <row r="419" spans="9:22" x14ac:dyDescent="0.45">
      <c r="I419" t="s">
        <v>177</v>
      </c>
      <c r="J419" t="s">
        <v>250</v>
      </c>
      <c r="K419">
        <v>4.5774365089134121E-3</v>
      </c>
      <c r="L419" t="s">
        <v>161</v>
      </c>
      <c r="N419" t="s">
        <v>200</v>
      </c>
      <c r="O419" t="s">
        <v>250</v>
      </c>
      <c r="P419">
        <v>4.8826923498094095E-2</v>
      </c>
      <c r="Q419" t="s">
        <v>161</v>
      </c>
      <c r="S419" t="s">
        <v>222</v>
      </c>
      <c r="T419" t="s">
        <v>250</v>
      </c>
      <c r="U419">
        <v>4.9176598295157803E-2</v>
      </c>
      <c r="V419" t="s">
        <v>161</v>
      </c>
    </row>
    <row r="420" spans="9:22" x14ac:dyDescent="0.45">
      <c r="I420" t="s">
        <v>177</v>
      </c>
      <c r="J420" t="s">
        <v>251</v>
      </c>
      <c r="K420">
        <v>6.5959217507313541E-3</v>
      </c>
      <c r="L420" t="s">
        <v>161</v>
      </c>
      <c r="N420" t="s">
        <v>200</v>
      </c>
      <c r="O420" t="s">
        <v>251</v>
      </c>
      <c r="P420">
        <v>6.0710207848598628E-3</v>
      </c>
      <c r="Q420" t="s">
        <v>161</v>
      </c>
      <c r="S420" t="s">
        <v>222</v>
      </c>
      <c r="T420" t="s">
        <v>251</v>
      </c>
      <c r="U420">
        <v>5.8467320999864196E-3</v>
      </c>
      <c r="V420" t="s">
        <v>161</v>
      </c>
    </row>
    <row r="421" spans="9:22" x14ac:dyDescent="0.45">
      <c r="I421" t="s">
        <v>177</v>
      </c>
      <c r="J421" t="s">
        <v>252</v>
      </c>
      <c r="K421">
        <v>7.6398627448897541E-2</v>
      </c>
      <c r="L421" t="s">
        <v>161</v>
      </c>
      <c r="N421" t="s">
        <v>200</v>
      </c>
      <c r="O421" t="s">
        <v>252</v>
      </c>
      <c r="P421">
        <v>4.0754080372075813E-2</v>
      </c>
      <c r="Q421" t="s">
        <v>161</v>
      </c>
      <c r="S421" t="s">
        <v>222</v>
      </c>
      <c r="T421" t="s">
        <v>252</v>
      </c>
      <c r="U421">
        <v>4.0093557050419823E-2</v>
      </c>
      <c r="V421" t="s">
        <v>161</v>
      </c>
    </row>
    <row r="422" spans="9:22" x14ac:dyDescent="0.45">
      <c r="I422" t="s">
        <v>177</v>
      </c>
      <c r="J422" t="s">
        <v>253</v>
      </c>
      <c r="K422">
        <v>6.7474706589847836E-3</v>
      </c>
      <c r="L422" t="s">
        <v>161</v>
      </c>
      <c r="N422" t="s">
        <v>200</v>
      </c>
      <c r="O422" t="s">
        <v>253</v>
      </c>
      <c r="P422">
        <v>5.9929955806388626E-3</v>
      </c>
      <c r="Q422" t="s">
        <v>161</v>
      </c>
      <c r="S422" t="s">
        <v>222</v>
      </c>
      <c r="T422" t="s">
        <v>253</v>
      </c>
      <c r="U422">
        <v>6.194460090019469E-3</v>
      </c>
      <c r="V422" t="s">
        <v>161</v>
      </c>
    </row>
    <row r="423" spans="9:22" x14ac:dyDescent="0.45">
      <c r="I423" t="s">
        <v>177</v>
      </c>
      <c r="J423" t="s">
        <v>254</v>
      </c>
      <c r="K423">
        <v>2.4744780420126082E-3</v>
      </c>
      <c r="L423" t="s">
        <v>161</v>
      </c>
      <c r="N423" t="s">
        <v>200</v>
      </c>
      <c r="O423" t="s">
        <v>254</v>
      </c>
      <c r="P423">
        <v>6.1664826135595791E-3</v>
      </c>
      <c r="Q423" t="s">
        <v>161</v>
      </c>
      <c r="S423" t="s">
        <v>222</v>
      </c>
      <c r="T423" t="s">
        <v>254</v>
      </c>
      <c r="U423">
        <v>6.4219762590895868E-3</v>
      </c>
      <c r="V423" t="s">
        <v>161</v>
      </c>
    </row>
    <row r="424" spans="9:22" x14ac:dyDescent="0.45">
      <c r="I424" t="s">
        <v>177</v>
      </c>
      <c r="J424" t="s">
        <v>270</v>
      </c>
      <c r="K424">
        <v>0</v>
      </c>
      <c r="L424" t="s">
        <v>161</v>
      </c>
      <c r="N424" t="s">
        <v>200</v>
      </c>
      <c r="O424" t="s">
        <v>270</v>
      </c>
      <c r="P424">
        <v>3.7846059299512798E-2</v>
      </c>
      <c r="Q424" t="s">
        <v>161</v>
      </c>
      <c r="S424" t="s">
        <v>222</v>
      </c>
      <c r="T424" t="s">
        <v>270</v>
      </c>
      <c r="U424">
        <v>4.2876838737262196E-2</v>
      </c>
      <c r="V424" t="s">
        <v>161</v>
      </c>
    </row>
    <row r="425" spans="9:22" x14ac:dyDescent="0.45">
      <c r="I425" t="s">
        <v>177</v>
      </c>
      <c r="J425" t="s">
        <v>255</v>
      </c>
      <c r="K425">
        <v>7.241718305982581E-5</v>
      </c>
      <c r="L425" t="s">
        <v>161</v>
      </c>
      <c r="N425" t="s">
        <v>200</v>
      </c>
      <c r="O425" t="s">
        <v>255</v>
      </c>
      <c r="P425">
        <v>4.9236238086328314E-2</v>
      </c>
      <c r="Q425" t="s">
        <v>161</v>
      </c>
      <c r="S425" t="s">
        <v>222</v>
      </c>
      <c r="T425" t="s">
        <v>255</v>
      </c>
      <c r="U425">
        <v>5.3046403865680145E-2</v>
      </c>
      <c r="V425" t="s">
        <v>161</v>
      </c>
    </row>
    <row r="426" spans="9:22" x14ac:dyDescent="0.45">
      <c r="I426" t="s">
        <v>177</v>
      </c>
      <c r="J426" t="s">
        <v>256</v>
      </c>
      <c r="K426">
        <v>3.2098326735980564E-3</v>
      </c>
      <c r="L426" t="s">
        <v>161</v>
      </c>
      <c r="N426" t="s">
        <v>200</v>
      </c>
      <c r="O426" t="s">
        <v>256</v>
      </c>
      <c r="P426">
        <v>6.2812008715974737E-3</v>
      </c>
      <c r="Q426" t="s">
        <v>161</v>
      </c>
      <c r="S426" t="s">
        <v>222</v>
      </c>
      <c r="T426" t="s">
        <v>256</v>
      </c>
      <c r="U426">
        <v>7.3852009923261698E-3</v>
      </c>
      <c r="V426" t="s">
        <v>161</v>
      </c>
    </row>
    <row r="427" spans="9:22" x14ac:dyDescent="0.45">
      <c r="I427" t="s">
        <v>177</v>
      </c>
      <c r="J427" t="s">
        <v>257</v>
      </c>
      <c r="K427">
        <v>4.6804315589745127E-2</v>
      </c>
      <c r="L427" t="s">
        <v>161</v>
      </c>
      <c r="N427" t="s">
        <v>200</v>
      </c>
      <c r="O427" t="s">
        <v>257</v>
      </c>
      <c r="P427">
        <v>4.1233650335857075E-2</v>
      </c>
      <c r="Q427" t="s">
        <v>161</v>
      </c>
      <c r="S427" t="s">
        <v>222</v>
      </c>
      <c r="T427" t="s">
        <v>257</v>
      </c>
      <c r="U427">
        <v>5.1327375482826287E-2</v>
      </c>
      <c r="V427" t="s">
        <v>161</v>
      </c>
    </row>
    <row r="428" spans="9:22" x14ac:dyDescent="0.45">
      <c r="I428" t="s">
        <v>177</v>
      </c>
      <c r="J428" t="s">
        <v>258</v>
      </c>
      <c r="K428">
        <v>8.9581248601094466E-4</v>
      </c>
      <c r="L428" t="s">
        <v>161</v>
      </c>
      <c r="N428" t="s">
        <v>200</v>
      </c>
      <c r="O428" t="s">
        <v>258</v>
      </c>
      <c r="P428">
        <v>5.8260137092587148E-3</v>
      </c>
      <c r="Q428" t="s">
        <v>161</v>
      </c>
      <c r="S428" t="s">
        <v>222</v>
      </c>
      <c r="T428" t="s">
        <v>258</v>
      </c>
      <c r="U428">
        <v>7.7686602113894547E-3</v>
      </c>
      <c r="V428" t="s">
        <v>161</v>
      </c>
    </row>
    <row r="429" spans="9:22" x14ac:dyDescent="0.45">
      <c r="I429" t="s">
        <v>177</v>
      </c>
      <c r="J429" t="s">
        <v>259</v>
      </c>
      <c r="K429">
        <v>0</v>
      </c>
      <c r="L429" t="s">
        <v>161</v>
      </c>
      <c r="N429" t="s">
        <v>200</v>
      </c>
      <c r="O429" t="s">
        <v>259</v>
      </c>
      <c r="P429">
        <v>5.8973391127082973E-3</v>
      </c>
      <c r="Q429" t="s">
        <v>161</v>
      </c>
      <c r="S429" t="s">
        <v>222</v>
      </c>
      <c r="T429" t="s">
        <v>259</v>
      </c>
      <c r="U429">
        <v>7.8106434544431445E-3</v>
      </c>
      <c r="V429" t="s">
        <v>161</v>
      </c>
    </row>
    <row r="430" spans="9:22" x14ac:dyDescent="0.45">
      <c r="I430" t="s">
        <v>177</v>
      </c>
      <c r="J430" t="s">
        <v>271</v>
      </c>
      <c r="K430">
        <v>0</v>
      </c>
      <c r="L430" t="s">
        <v>161</v>
      </c>
      <c r="N430" t="s">
        <v>200</v>
      </c>
      <c r="O430" t="s">
        <v>271</v>
      </c>
      <c r="P430">
        <v>3.6014342846800246E-2</v>
      </c>
      <c r="Q430" t="s">
        <v>161</v>
      </c>
      <c r="S430" t="s">
        <v>222</v>
      </c>
      <c r="T430" t="s">
        <v>271</v>
      </c>
      <c r="U430">
        <v>4.355458707722247E-2</v>
      </c>
      <c r="V430" t="s">
        <v>161</v>
      </c>
    </row>
    <row r="431" spans="9:22" x14ac:dyDescent="0.45">
      <c r="I431" t="s">
        <v>177</v>
      </c>
      <c r="J431" t="s">
        <v>272</v>
      </c>
      <c r="K431">
        <v>0</v>
      </c>
      <c r="L431" t="s">
        <v>161</v>
      </c>
      <c r="N431" t="s">
        <v>200</v>
      </c>
      <c r="O431" t="s">
        <v>272</v>
      </c>
      <c r="P431">
        <v>1.5296612097930103E-2</v>
      </c>
      <c r="Q431" t="s">
        <v>161</v>
      </c>
      <c r="S431" t="s">
        <v>222</v>
      </c>
      <c r="T431" t="s">
        <v>272</v>
      </c>
      <c r="U431">
        <v>2.0383141842961097E-2</v>
      </c>
      <c r="V431" t="s">
        <v>161</v>
      </c>
    </row>
    <row r="432" spans="9:22" x14ac:dyDescent="0.45">
      <c r="I432" t="s">
        <v>177</v>
      </c>
      <c r="J432" t="s">
        <v>273</v>
      </c>
      <c r="K432">
        <v>2.3415898097199668E-4</v>
      </c>
      <c r="L432" t="s">
        <v>161</v>
      </c>
      <c r="N432" t="s">
        <v>200</v>
      </c>
      <c r="O432" t="s">
        <v>273</v>
      </c>
      <c r="P432">
        <v>2.0282017028216514E-3</v>
      </c>
      <c r="Q432" t="s">
        <v>161</v>
      </c>
      <c r="S432" t="s">
        <v>222</v>
      </c>
      <c r="T432" t="s">
        <v>273</v>
      </c>
      <c r="U432">
        <v>2.785944455783518E-3</v>
      </c>
      <c r="V432" t="s">
        <v>161</v>
      </c>
    </row>
    <row r="433" spans="9:22" x14ac:dyDescent="0.45">
      <c r="I433" t="s">
        <v>177</v>
      </c>
      <c r="J433" t="s">
        <v>274</v>
      </c>
      <c r="K433">
        <v>7.1071525097797152E-3</v>
      </c>
      <c r="L433" t="s">
        <v>161</v>
      </c>
      <c r="N433" t="s">
        <v>200</v>
      </c>
      <c r="O433" t="s">
        <v>274</v>
      </c>
      <c r="P433">
        <v>1.3241838440222324E-2</v>
      </c>
      <c r="Q433" t="s">
        <v>161</v>
      </c>
      <c r="S433" t="s">
        <v>222</v>
      </c>
      <c r="T433" t="s">
        <v>274</v>
      </c>
      <c r="U433">
        <v>1.6047603945937482E-2</v>
      </c>
      <c r="V433" t="s">
        <v>161</v>
      </c>
    </row>
    <row r="434" spans="9:22" x14ac:dyDescent="0.45">
      <c r="I434" t="s">
        <v>177</v>
      </c>
      <c r="J434" t="s">
        <v>275</v>
      </c>
      <c r="K434">
        <v>0</v>
      </c>
      <c r="L434" t="s">
        <v>161</v>
      </c>
      <c r="N434" t="s">
        <v>200</v>
      </c>
      <c r="O434" t="s">
        <v>275</v>
      </c>
      <c r="P434">
        <v>1.8272487584527878E-3</v>
      </c>
      <c r="Q434" t="s">
        <v>161</v>
      </c>
      <c r="S434" t="s">
        <v>222</v>
      </c>
      <c r="T434" t="s">
        <v>275</v>
      </c>
      <c r="U434">
        <v>1.9598747742953998E-3</v>
      </c>
      <c r="V434" t="s">
        <v>161</v>
      </c>
    </row>
    <row r="435" spans="9:22" x14ac:dyDescent="0.45">
      <c r="I435" t="s">
        <v>177</v>
      </c>
      <c r="J435" t="s">
        <v>276</v>
      </c>
      <c r="K435">
        <v>0</v>
      </c>
      <c r="L435" t="s">
        <v>161</v>
      </c>
      <c r="N435" t="s">
        <v>200</v>
      </c>
      <c r="O435" t="s">
        <v>276</v>
      </c>
      <c r="P435">
        <v>1.8150441018105056E-3</v>
      </c>
      <c r="Q435" t="s">
        <v>161</v>
      </c>
      <c r="S435" t="s">
        <v>222</v>
      </c>
      <c r="T435" t="s">
        <v>276</v>
      </c>
      <c r="U435">
        <v>2.0816705869689733E-3</v>
      </c>
      <c r="V435" t="s">
        <v>161</v>
      </c>
    </row>
    <row r="436" spans="9:22" x14ac:dyDescent="0.45">
      <c r="I436" t="s">
        <v>177</v>
      </c>
      <c r="J436" t="s">
        <v>277</v>
      </c>
      <c r="K436">
        <v>0</v>
      </c>
      <c r="L436" t="s">
        <v>161</v>
      </c>
      <c r="N436" t="s">
        <v>200</v>
      </c>
      <c r="O436" t="s">
        <v>277</v>
      </c>
      <c r="P436">
        <v>1.0320526813652982E-2</v>
      </c>
      <c r="Q436" t="s">
        <v>161</v>
      </c>
      <c r="S436" t="s">
        <v>222</v>
      </c>
      <c r="T436" t="s">
        <v>277</v>
      </c>
      <c r="U436">
        <v>1.3595909925488141E-2</v>
      </c>
      <c r="V436" t="s">
        <v>161</v>
      </c>
    </row>
    <row r="437" spans="9:22" x14ac:dyDescent="0.45">
      <c r="I437" t="s">
        <v>177</v>
      </c>
      <c r="J437" t="s">
        <v>278</v>
      </c>
      <c r="K437">
        <v>0</v>
      </c>
      <c r="L437" t="s">
        <v>161</v>
      </c>
      <c r="N437" t="s">
        <v>200</v>
      </c>
      <c r="O437" t="s">
        <v>278</v>
      </c>
      <c r="P437">
        <v>7.1227641118151927E-3</v>
      </c>
      <c r="Q437" t="s">
        <v>161</v>
      </c>
      <c r="S437" t="s">
        <v>222</v>
      </c>
      <c r="T437" t="s">
        <v>278</v>
      </c>
      <c r="U437">
        <v>7.9190326310110744E-3</v>
      </c>
      <c r="V437" t="s">
        <v>161</v>
      </c>
    </row>
    <row r="438" spans="9:22" x14ac:dyDescent="0.45">
      <c r="I438" t="s">
        <v>177</v>
      </c>
      <c r="J438" t="s">
        <v>279</v>
      </c>
      <c r="K438">
        <v>2.7765522378301997E-4</v>
      </c>
      <c r="L438" t="s">
        <v>161</v>
      </c>
      <c r="N438" t="s">
        <v>200</v>
      </c>
      <c r="O438" t="s">
        <v>279</v>
      </c>
      <c r="P438">
        <v>9.3382013599339572E-4</v>
      </c>
      <c r="Q438" t="s">
        <v>161</v>
      </c>
      <c r="S438" t="s">
        <v>222</v>
      </c>
      <c r="T438" t="s">
        <v>279</v>
      </c>
      <c r="U438">
        <v>8.9772050861613897E-4</v>
      </c>
      <c r="V438" t="s">
        <v>161</v>
      </c>
    </row>
    <row r="439" spans="9:22" x14ac:dyDescent="0.45">
      <c r="I439" t="s">
        <v>177</v>
      </c>
      <c r="J439" t="s">
        <v>280</v>
      </c>
      <c r="K439">
        <v>6.8281393259865177E-3</v>
      </c>
      <c r="L439" t="s">
        <v>161</v>
      </c>
      <c r="N439" t="s">
        <v>200</v>
      </c>
      <c r="O439" t="s">
        <v>280</v>
      </c>
      <c r="P439">
        <v>6.9955015700305457E-3</v>
      </c>
      <c r="Q439" t="s">
        <v>161</v>
      </c>
      <c r="S439" t="s">
        <v>222</v>
      </c>
      <c r="T439" t="s">
        <v>280</v>
      </c>
      <c r="U439">
        <v>7.0007460548157617E-3</v>
      </c>
      <c r="V439" t="s">
        <v>161</v>
      </c>
    </row>
    <row r="440" spans="9:22" x14ac:dyDescent="0.45">
      <c r="I440" t="s">
        <v>177</v>
      </c>
      <c r="J440" t="s">
        <v>281</v>
      </c>
      <c r="K440">
        <v>6.7701715935522571E-5</v>
      </c>
      <c r="L440" t="s">
        <v>161</v>
      </c>
      <c r="N440" t="s">
        <v>200</v>
      </c>
      <c r="O440" t="s">
        <v>281</v>
      </c>
      <c r="P440">
        <v>1.1160597856494582E-3</v>
      </c>
      <c r="Q440" t="s">
        <v>161</v>
      </c>
      <c r="S440" t="s">
        <v>222</v>
      </c>
      <c r="T440" t="s">
        <v>281</v>
      </c>
      <c r="U440">
        <v>1.1017284251906426E-3</v>
      </c>
      <c r="V440" t="s">
        <v>161</v>
      </c>
    </row>
    <row r="441" spans="9:22" x14ac:dyDescent="0.45">
      <c r="I441" t="s">
        <v>177</v>
      </c>
      <c r="J441" t="s">
        <v>282</v>
      </c>
      <c r="K441">
        <v>0</v>
      </c>
      <c r="L441" t="s">
        <v>161</v>
      </c>
      <c r="N441" t="s">
        <v>200</v>
      </c>
      <c r="O441" t="s">
        <v>282</v>
      </c>
      <c r="P441">
        <v>1.1337748664659044E-3</v>
      </c>
      <c r="Q441" t="s">
        <v>161</v>
      </c>
      <c r="S441" t="s">
        <v>222</v>
      </c>
      <c r="T441" t="s">
        <v>282</v>
      </c>
      <c r="U441">
        <v>1.0723365408464546E-3</v>
      </c>
      <c r="V441" t="s">
        <v>161</v>
      </c>
    </row>
    <row r="442" spans="9:22" x14ac:dyDescent="0.45">
      <c r="I442" t="s">
        <v>177</v>
      </c>
      <c r="J442" t="s">
        <v>283</v>
      </c>
      <c r="K442">
        <v>0</v>
      </c>
      <c r="L442" t="s">
        <v>161</v>
      </c>
      <c r="N442" t="s">
        <v>200</v>
      </c>
      <c r="O442" t="s">
        <v>283</v>
      </c>
      <c r="P442">
        <v>6.7222627434270687E-3</v>
      </c>
      <c r="Q442" t="s">
        <v>161</v>
      </c>
      <c r="S442" t="s">
        <v>222</v>
      </c>
      <c r="T442" t="s">
        <v>283</v>
      </c>
      <c r="U442">
        <v>6.7591003068025899E-3</v>
      </c>
      <c r="V442" t="s">
        <v>161</v>
      </c>
    </row>
    <row r="443" spans="9:22" x14ac:dyDescent="0.45">
      <c r="I443" t="s">
        <v>178</v>
      </c>
      <c r="J443" t="s">
        <v>160</v>
      </c>
      <c r="K443">
        <v>0</v>
      </c>
      <c r="L443" t="s">
        <v>161</v>
      </c>
      <c r="N443" t="s">
        <v>201</v>
      </c>
      <c r="O443" t="s">
        <v>160</v>
      </c>
      <c r="P443">
        <v>7.5726166442732834E-2</v>
      </c>
      <c r="Q443" t="s">
        <v>161</v>
      </c>
      <c r="S443" t="s">
        <v>223</v>
      </c>
      <c r="T443" t="s">
        <v>160</v>
      </c>
      <c r="U443">
        <v>7.8421291533645077E-2</v>
      </c>
      <c r="V443" t="s">
        <v>161</v>
      </c>
    </row>
    <row r="444" spans="9:22" x14ac:dyDescent="0.45">
      <c r="I444" t="s">
        <v>178</v>
      </c>
      <c r="J444" t="s">
        <v>162</v>
      </c>
      <c r="K444">
        <v>2.6718814711037221E-3</v>
      </c>
      <c r="L444" t="s">
        <v>161</v>
      </c>
      <c r="N444" t="s">
        <v>201</v>
      </c>
      <c r="O444" t="s">
        <v>162</v>
      </c>
      <c r="P444">
        <v>9.6677089103590786E-3</v>
      </c>
      <c r="Q444" t="s">
        <v>161</v>
      </c>
      <c r="S444" t="s">
        <v>223</v>
      </c>
      <c r="T444" t="s">
        <v>162</v>
      </c>
      <c r="U444">
        <v>9.065297098559506E-3</v>
      </c>
      <c r="V444" t="s">
        <v>161</v>
      </c>
    </row>
    <row r="445" spans="9:22" x14ac:dyDescent="0.45">
      <c r="I445" t="s">
        <v>178</v>
      </c>
      <c r="J445" t="s">
        <v>163</v>
      </c>
      <c r="K445">
        <v>8.3261771313374935E-2</v>
      </c>
      <c r="L445" t="s">
        <v>161</v>
      </c>
      <c r="N445" t="s">
        <v>201</v>
      </c>
      <c r="O445" t="s">
        <v>163</v>
      </c>
      <c r="P445">
        <v>6.0170924614950182E-2</v>
      </c>
      <c r="Q445" t="s">
        <v>161</v>
      </c>
      <c r="S445" t="s">
        <v>223</v>
      </c>
      <c r="T445" t="s">
        <v>163</v>
      </c>
      <c r="U445">
        <v>6.4351204420844674E-2</v>
      </c>
      <c r="V445" t="s">
        <v>161</v>
      </c>
    </row>
    <row r="446" spans="9:22" x14ac:dyDescent="0.45">
      <c r="I446" t="s">
        <v>178</v>
      </c>
      <c r="J446" t="s">
        <v>242</v>
      </c>
      <c r="K446">
        <v>9.3111691476291825E-3</v>
      </c>
      <c r="L446" t="s">
        <v>161</v>
      </c>
      <c r="N446" t="s">
        <v>201</v>
      </c>
      <c r="O446" t="s">
        <v>242</v>
      </c>
      <c r="P446">
        <v>8.5505324352807485E-3</v>
      </c>
      <c r="Q446" t="s">
        <v>161</v>
      </c>
      <c r="S446" t="s">
        <v>223</v>
      </c>
      <c r="T446" t="s">
        <v>242</v>
      </c>
      <c r="U446">
        <v>9.5178590229397907E-3</v>
      </c>
      <c r="V446" t="s">
        <v>161</v>
      </c>
    </row>
    <row r="447" spans="9:22" x14ac:dyDescent="0.45">
      <c r="I447" t="s">
        <v>178</v>
      </c>
      <c r="J447" t="s">
        <v>243</v>
      </c>
      <c r="K447">
        <v>5.8486346978734441E-3</v>
      </c>
      <c r="L447" t="s">
        <v>161</v>
      </c>
      <c r="N447" t="s">
        <v>201</v>
      </c>
      <c r="O447" t="s">
        <v>243</v>
      </c>
      <c r="P447">
        <v>8.9182220004485144E-3</v>
      </c>
      <c r="Q447" t="s">
        <v>161</v>
      </c>
      <c r="S447" t="s">
        <v>223</v>
      </c>
      <c r="T447" t="s">
        <v>243</v>
      </c>
      <c r="U447">
        <v>9.8157035965948814E-3</v>
      </c>
      <c r="V447" t="s">
        <v>161</v>
      </c>
    </row>
    <row r="448" spans="9:22" x14ac:dyDescent="0.45">
      <c r="I448" t="s">
        <v>178</v>
      </c>
      <c r="J448" t="s">
        <v>266</v>
      </c>
      <c r="K448">
        <v>2.3423157132327977E-3</v>
      </c>
      <c r="L448" t="s">
        <v>161</v>
      </c>
      <c r="N448" t="s">
        <v>201</v>
      </c>
      <c r="O448" t="s">
        <v>266</v>
      </c>
      <c r="P448">
        <v>5.6959307238450767E-2</v>
      </c>
      <c r="Q448" t="s">
        <v>161</v>
      </c>
      <c r="S448" t="s">
        <v>223</v>
      </c>
      <c r="T448" t="s">
        <v>266</v>
      </c>
      <c r="U448">
        <v>5.9708771531298624E-2</v>
      </c>
      <c r="V448" t="s">
        <v>161</v>
      </c>
    </row>
    <row r="449" spans="9:22" x14ac:dyDescent="0.45">
      <c r="I449" t="s">
        <v>178</v>
      </c>
      <c r="J449" t="s">
        <v>311</v>
      </c>
      <c r="K449">
        <v>0</v>
      </c>
      <c r="L449" t="s">
        <v>161</v>
      </c>
      <c r="N449" t="s">
        <v>201</v>
      </c>
      <c r="O449" t="s">
        <v>311</v>
      </c>
      <c r="P449">
        <v>1.0621350810330216E-5</v>
      </c>
      <c r="Q449" t="s">
        <v>161</v>
      </c>
      <c r="S449" t="s">
        <v>223</v>
      </c>
      <c r="T449" t="s">
        <v>311</v>
      </c>
      <c r="U449">
        <v>9.9547015173666882E-6</v>
      </c>
      <c r="V449" t="s">
        <v>161</v>
      </c>
    </row>
    <row r="450" spans="9:22" x14ac:dyDescent="0.45">
      <c r="I450" t="s">
        <v>178</v>
      </c>
      <c r="J450" t="s">
        <v>312</v>
      </c>
      <c r="K450">
        <v>0</v>
      </c>
      <c r="L450" t="s">
        <v>161</v>
      </c>
      <c r="N450" t="s">
        <v>201</v>
      </c>
      <c r="O450" t="s">
        <v>312</v>
      </c>
      <c r="P450">
        <v>8.3591276358382532E-6</v>
      </c>
      <c r="Q450" t="s">
        <v>161</v>
      </c>
      <c r="S450" t="s">
        <v>223</v>
      </c>
      <c r="T450" t="s">
        <v>312</v>
      </c>
      <c r="U450">
        <v>4.3142940725574942E-6</v>
      </c>
      <c r="V450" t="s">
        <v>161</v>
      </c>
    </row>
    <row r="451" spans="9:22" x14ac:dyDescent="0.45">
      <c r="I451" t="s">
        <v>178</v>
      </c>
      <c r="J451" t="s">
        <v>313</v>
      </c>
      <c r="K451">
        <v>0</v>
      </c>
      <c r="L451" t="s">
        <v>161</v>
      </c>
      <c r="N451" t="s">
        <v>201</v>
      </c>
      <c r="O451" t="s">
        <v>313</v>
      </c>
      <c r="P451">
        <v>8.9545917947072626E-6</v>
      </c>
      <c r="Q451" t="s">
        <v>161</v>
      </c>
      <c r="S451" t="s">
        <v>223</v>
      </c>
      <c r="T451" t="s">
        <v>313</v>
      </c>
      <c r="U451">
        <v>4.1018516681183551E-6</v>
      </c>
      <c r="V451" t="s">
        <v>161</v>
      </c>
    </row>
    <row r="452" spans="9:22" x14ac:dyDescent="0.45">
      <c r="I452" t="s">
        <v>178</v>
      </c>
      <c r="J452" t="s">
        <v>314</v>
      </c>
      <c r="K452">
        <v>0</v>
      </c>
      <c r="L452" t="s">
        <v>161</v>
      </c>
      <c r="N452" t="s">
        <v>201</v>
      </c>
      <c r="O452" t="s">
        <v>314</v>
      </c>
      <c r="P452">
        <v>6.041390187774756E-6</v>
      </c>
      <c r="Q452" t="s">
        <v>161</v>
      </c>
      <c r="S452" t="s">
        <v>223</v>
      </c>
      <c r="T452" t="s">
        <v>314</v>
      </c>
      <c r="U452">
        <v>5.7071397167821888E-6</v>
      </c>
      <c r="V452" t="s">
        <v>161</v>
      </c>
    </row>
    <row r="453" spans="9:22" x14ac:dyDescent="0.45">
      <c r="I453" t="s">
        <v>178</v>
      </c>
      <c r="J453" t="s">
        <v>315</v>
      </c>
      <c r="K453">
        <v>0</v>
      </c>
      <c r="L453" t="s">
        <v>161</v>
      </c>
      <c r="N453" t="s">
        <v>201</v>
      </c>
      <c r="O453" t="s">
        <v>315</v>
      </c>
      <c r="P453">
        <v>4.6907663994184756E-6</v>
      </c>
      <c r="Q453" t="s">
        <v>161</v>
      </c>
      <c r="S453" t="s">
        <v>223</v>
      </c>
      <c r="T453" t="s">
        <v>315</v>
      </c>
      <c r="U453">
        <v>7.2854937799417833E-6</v>
      </c>
      <c r="V453" t="s">
        <v>161</v>
      </c>
    </row>
    <row r="454" spans="9:22" x14ac:dyDescent="0.45">
      <c r="I454" t="s">
        <v>178</v>
      </c>
      <c r="J454" t="s">
        <v>316</v>
      </c>
      <c r="K454">
        <v>0</v>
      </c>
      <c r="L454" t="s">
        <v>161</v>
      </c>
      <c r="N454" t="s">
        <v>201</v>
      </c>
      <c r="O454" t="s">
        <v>316</v>
      </c>
      <c r="P454">
        <v>4.6238939649687275E-6</v>
      </c>
      <c r="Q454" t="s">
        <v>161</v>
      </c>
      <c r="S454" t="s">
        <v>223</v>
      </c>
      <c r="T454" t="s">
        <v>316</v>
      </c>
      <c r="U454">
        <v>6.1892898791125813E-6</v>
      </c>
      <c r="V454" t="s">
        <v>161</v>
      </c>
    </row>
    <row r="455" spans="9:22" x14ac:dyDescent="0.45">
      <c r="I455" t="s">
        <v>178</v>
      </c>
      <c r="J455" t="s">
        <v>317</v>
      </c>
      <c r="K455">
        <v>0</v>
      </c>
      <c r="L455" t="s">
        <v>161</v>
      </c>
      <c r="N455" t="s">
        <v>201</v>
      </c>
      <c r="O455" t="s">
        <v>317</v>
      </c>
      <c r="P455">
        <v>5.8950523648517104E-6</v>
      </c>
      <c r="Q455" t="s">
        <v>161</v>
      </c>
      <c r="S455" t="s">
        <v>223</v>
      </c>
      <c r="T455" t="s">
        <v>317</v>
      </c>
      <c r="U455">
        <v>3.17103304850773E-6</v>
      </c>
      <c r="V455" t="s">
        <v>161</v>
      </c>
    </row>
    <row r="456" spans="9:22" x14ac:dyDescent="0.45">
      <c r="I456" t="s">
        <v>178</v>
      </c>
      <c r="J456" t="s">
        <v>318</v>
      </c>
      <c r="K456">
        <v>0</v>
      </c>
      <c r="L456" t="s">
        <v>161</v>
      </c>
      <c r="N456" t="s">
        <v>201</v>
      </c>
      <c r="O456" t="s">
        <v>318</v>
      </c>
      <c r="P456">
        <v>5.1372937052037083E-6</v>
      </c>
      <c r="Q456" t="s">
        <v>161</v>
      </c>
      <c r="S456" t="s">
        <v>223</v>
      </c>
      <c r="T456" t="s">
        <v>318</v>
      </c>
      <c r="U456">
        <v>1.4412430650464345E-6</v>
      </c>
      <c r="V456" t="s">
        <v>161</v>
      </c>
    </row>
    <row r="457" spans="9:22" x14ac:dyDescent="0.45">
      <c r="I457" t="s">
        <v>178</v>
      </c>
      <c r="J457" t="s">
        <v>319</v>
      </c>
      <c r="K457">
        <v>0</v>
      </c>
      <c r="L457" t="s">
        <v>161</v>
      </c>
      <c r="N457" t="s">
        <v>201</v>
      </c>
      <c r="O457" t="s">
        <v>319</v>
      </c>
      <c r="P457">
        <v>4.0534102498431826E-6</v>
      </c>
      <c r="Q457" t="s">
        <v>161</v>
      </c>
      <c r="S457" t="s">
        <v>223</v>
      </c>
      <c r="T457" t="s">
        <v>319</v>
      </c>
      <c r="U457">
        <v>0</v>
      </c>
      <c r="V457" t="s">
        <v>161</v>
      </c>
    </row>
    <row r="458" spans="9:22" x14ac:dyDescent="0.45">
      <c r="I458" t="s">
        <v>178</v>
      </c>
      <c r="J458" t="s">
        <v>320</v>
      </c>
      <c r="K458">
        <v>3.1325617300678506E-5</v>
      </c>
      <c r="L458" t="s">
        <v>161</v>
      </c>
      <c r="N458" t="s">
        <v>201</v>
      </c>
      <c r="O458" t="s">
        <v>320</v>
      </c>
      <c r="P458">
        <v>1.7287063483002692E-7</v>
      </c>
      <c r="Q458" t="s">
        <v>161</v>
      </c>
      <c r="S458" t="s">
        <v>223</v>
      </c>
      <c r="T458" t="s">
        <v>320</v>
      </c>
      <c r="U458">
        <v>0</v>
      </c>
      <c r="V458" t="s">
        <v>161</v>
      </c>
    </row>
    <row r="459" spans="9:22" x14ac:dyDescent="0.45">
      <c r="I459" t="s">
        <v>178</v>
      </c>
      <c r="J459" t="s">
        <v>321</v>
      </c>
      <c r="K459">
        <v>6.5573365771961429E-5</v>
      </c>
      <c r="L459" t="s">
        <v>161</v>
      </c>
      <c r="N459" t="s">
        <v>201</v>
      </c>
      <c r="O459" t="s">
        <v>321</v>
      </c>
      <c r="P459">
        <v>3.2594032320724165E-9</v>
      </c>
      <c r="Q459" t="s">
        <v>161</v>
      </c>
      <c r="S459" t="s">
        <v>223</v>
      </c>
      <c r="T459" t="s">
        <v>321</v>
      </c>
      <c r="U459">
        <v>0</v>
      </c>
      <c r="V459" t="s">
        <v>161</v>
      </c>
    </row>
    <row r="460" spans="9:22" x14ac:dyDescent="0.45">
      <c r="I460" t="s">
        <v>178</v>
      </c>
      <c r="J460" t="s">
        <v>322</v>
      </c>
      <c r="K460">
        <v>1.2367950826729893E-4</v>
      </c>
      <c r="L460" t="s">
        <v>161</v>
      </c>
      <c r="N460" t="s">
        <v>201</v>
      </c>
      <c r="O460" t="s">
        <v>322</v>
      </c>
      <c r="P460">
        <v>3.3816885708173485E-9</v>
      </c>
      <c r="Q460" t="s">
        <v>161</v>
      </c>
      <c r="S460" t="s">
        <v>223</v>
      </c>
      <c r="T460" t="s">
        <v>322</v>
      </c>
      <c r="U460">
        <v>0</v>
      </c>
      <c r="V460" t="s">
        <v>161</v>
      </c>
    </row>
    <row r="461" spans="9:22" x14ac:dyDescent="0.45">
      <c r="I461" t="s">
        <v>178</v>
      </c>
      <c r="J461" t="s">
        <v>323</v>
      </c>
      <c r="K461">
        <v>2.1796096803041587E-4</v>
      </c>
      <c r="L461" t="s">
        <v>161</v>
      </c>
      <c r="N461" t="s">
        <v>201</v>
      </c>
      <c r="O461" t="s">
        <v>323</v>
      </c>
      <c r="P461">
        <v>1.4073862832353594E-9</v>
      </c>
      <c r="Q461" t="s">
        <v>161</v>
      </c>
      <c r="S461" t="s">
        <v>223</v>
      </c>
      <c r="T461" t="s">
        <v>323</v>
      </c>
      <c r="U461">
        <v>0</v>
      </c>
      <c r="V461" t="s">
        <v>161</v>
      </c>
    </row>
    <row r="462" spans="9:22" x14ac:dyDescent="0.45">
      <c r="I462" t="s">
        <v>178</v>
      </c>
      <c r="J462" t="s">
        <v>324</v>
      </c>
      <c r="K462">
        <v>1.6634484887995216E-4</v>
      </c>
      <c r="L462" t="s">
        <v>161</v>
      </c>
      <c r="N462" t="s">
        <v>201</v>
      </c>
      <c r="O462" t="s">
        <v>324</v>
      </c>
      <c r="P462">
        <v>3.2865155401259098E-11</v>
      </c>
      <c r="Q462" t="s">
        <v>161</v>
      </c>
      <c r="S462" t="s">
        <v>223</v>
      </c>
      <c r="T462" t="s">
        <v>324</v>
      </c>
      <c r="U462">
        <v>0</v>
      </c>
      <c r="V462" t="s">
        <v>161</v>
      </c>
    </row>
    <row r="463" spans="9:22" x14ac:dyDescent="0.45">
      <c r="I463" t="s">
        <v>178</v>
      </c>
      <c r="J463" t="s">
        <v>325</v>
      </c>
      <c r="K463">
        <v>1.3470047166165756E-4</v>
      </c>
      <c r="L463" t="s">
        <v>161</v>
      </c>
      <c r="N463" t="s">
        <v>201</v>
      </c>
      <c r="O463" t="s">
        <v>325</v>
      </c>
      <c r="P463">
        <v>6.1011479535294096E-9</v>
      </c>
      <c r="Q463" t="s">
        <v>161</v>
      </c>
      <c r="S463" t="s">
        <v>223</v>
      </c>
      <c r="T463" t="s">
        <v>325</v>
      </c>
      <c r="U463">
        <v>0</v>
      </c>
      <c r="V463" t="s">
        <v>161</v>
      </c>
    </row>
    <row r="464" spans="9:22" x14ac:dyDescent="0.45">
      <c r="I464" t="s">
        <v>178</v>
      </c>
      <c r="J464" t="s">
        <v>326</v>
      </c>
      <c r="K464">
        <v>8.8050794799658202E-5</v>
      </c>
      <c r="L464" t="s">
        <v>161</v>
      </c>
      <c r="N464" t="s">
        <v>201</v>
      </c>
      <c r="O464" t="s">
        <v>326</v>
      </c>
      <c r="P464">
        <v>1.3857127217242124E-7</v>
      </c>
      <c r="Q464" t="s">
        <v>161</v>
      </c>
      <c r="S464" t="s">
        <v>223</v>
      </c>
      <c r="T464" t="s">
        <v>326</v>
      </c>
      <c r="U464">
        <v>0</v>
      </c>
      <c r="V464" t="s">
        <v>161</v>
      </c>
    </row>
    <row r="465" spans="9:22" x14ac:dyDescent="0.45">
      <c r="I465" t="s">
        <v>178</v>
      </c>
      <c r="J465" t="s">
        <v>327</v>
      </c>
      <c r="K465">
        <v>7.6784618647926942E-5</v>
      </c>
      <c r="L465" t="s">
        <v>161</v>
      </c>
      <c r="N465" t="s">
        <v>201</v>
      </c>
      <c r="O465" t="s">
        <v>327</v>
      </c>
      <c r="P465">
        <v>8.8406103696277157E-7</v>
      </c>
      <c r="Q465" t="s">
        <v>161</v>
      </c>
      <c r="S465" t="s">
        <v>223</v>
      </c>
      <c r="T465" t="s">
        <v>327</v>
      </c>
      <c r="U465">
        <v>0</v>
      </c>
      <c r="V465" t="s">
        <v>161</v>
      </c>
    </row>
    <row r="466" spans="9:22" x14ac:dyDescent="0.45">
      <c r="I466" t="s">
        <v>178</v>
      </c>
      <c r="J466" t="s">
        <v>328</v>
      </c>
      <c r="K466">
        <v>5.0569189200399884E-5</v>
      </c>
      <c r="L466" t="s">
        <v>161</v>
      </c>
      <c r="N466" t="s">
        <v>201</v>
      </c>
      <c r="O466" t="s">
        <v>328</v>
      </c>
      <c r="P466">
        <v>6.5169768157522803E-6</v>
      </c>
      <c r="Q466" t="s">
        <v>161</v>
      </c>
      <c r="S466" t="s">
        <v>223</v>
      </c>
      <c r="T466" t="s">
        <v>328</v>
      </c>
      <c r="U466">
        <v>0</v>
      </c>
      <c r="V466" t="s">
        <v>161</v>
      </c>
    </row>
    <row r="467" spans="9:22" x14ac:dyDescent="0.45">
      <c r="I467" t="s">
        <v>178</v>
      </c>
      <c r="J467" t="s">
        <v>329</v>
      </c>
      <c r="K467">
        <v>0</v>
      </c>
      <c r="L467" t="s">
        <v>161</v>
      </c>
      <c r="N467" t="s">
        <v>201</v>
      </c>
      <c r="O467" t="s">
        <v>329</v>
      </c>
      <c r="P467">
        <v>1.9373450603568824E-5</v>
      </c>
      <c r="Q467" t="s">
        <v>161</v>
      </c>
      <c r="S467" t="s">
        <v>223</v>
      </c>
      <c r="T467" t="s">
        <v>329</v>
      </c>
      <c r="U467">
        <v>1.2679198925161265E-6</v>
      </c>
      <c r="V467" t="s">
        <v>161</v>
      </c>
    </row>
    <row r="468" spans="9:22" x14ac:dyDescent="0.45">
      <c r="I468" t="s">
        <v>178</v>
      </c>
      <c r="J468" t="s">
        <v>330</v>
      </c>
      <c r="K468">
        <v>0</v>
      </c>
      <c r="L468" t="s">
        <v>161</v>
      </c>
      <c r="N468" t="s">
        <v>201</v>
      </c>
      <c r="O468" t="s">
        <v>330</v>
      </c>
      <c r="P468">
        <v>2.8651402114087817E-5</v>
      </c>
      <c r="Q468" t="s">
        <v>161</v>
      </c>
      <c r="S468" t="s">
        <v>223</v>
      </c>
      <c r="T468" t="s">
        <v>330</v>
      </c>
      <c r="U468">
        <v>3.5761035823350007E-6</v>
      </c>
      <c r="V468" t="s">
        <v>161</v>
      </c>
    </row>
    <row r="469" spans="9:22" x14ac:dyDescent="0.45">
      <c r="I469" t="s">
        <v>178</v>
      </c>
      <c r="J469" t="s">
        <v>331</v>
      </c>
      <c r="K469">
        <v>0</v>
      </c>
      <c r="L469" t="s">
        <v>161</v>
      </c>
      <c r="N469" t="s">
        <v>201</v>
      </c>
      <c r="O469" t="s">
        <v>331</v>
      </c>
      <c r="P469">
        <v>2.8799294745375005E-5</v>
      </c>
      <c r="Q469" t="s">
        <v>161</v>
      </c>
      <c r="S469" t="s">
        <v>223</v>
      </c>
      <c r="T469" t="s">
        <v>331</v>
      </c>
      <c r="U469">
        <v>3.561905578783388E-6</v>
      </c>
      <c r="V469" t="s">
        <v>161</v>
      </c>
    </row>
    <row r="470" spans="9:22" x14ac:dyDescent="0.45">
      <c r="I470" t="s">
        <v>178</v>
      </c>
      <c r="J470" t="s">
        <v>332</v>
      </c>
      <c r="K470">
        <v>0</v>
      </c>
      <c r="L470" t="s">
        <v>161</v>
      </c>
      <c r="N470" t="s">
        <v>201</v>
      </c>
      <c r="O470" t="s">
        <v>332</v>
      </c>
      <c r="P470">
        <v>2.7466040036426208E-5</v>
      </c>
      <c r="Q470" t="s">
        <v>161</v>
      </c>
      <c r="S470" t="s">
        <v>223</v>
      </c>
      <c r="T470" t="s">
        <v>332</v>
      </c>
      <c r="U470">
        <v>3.6881616085172184E-6</v>
      </c>
      <c r="V470" t="s">
        <v>161</v>
      </c>
    </row>
    <row r="471" spans="9:22" x14ac:dyDescent="0.45">
      <c r="I471" t="s">
        <v>178</v>
      </c>
      <c r="J471" t="s">
        <v>333</v>
      </c>
      <c r="K471">
        <v>0</v>
      </c>
      <c r="L471" t="s">
        <v>161</v>
      </c>
      <c r="N471" t="s">
        <v>201</v>
      </c>
      <c r="O471" t="s">
        <v>333</v>
      </c>
      <c r="P471">
        <v>1.4778489633600208E-5</v>
      </c>
      <c r="Q471" t="s">
        <v>161</v>
      </c>
      <c r="S471" t="s">
        <v>223</v>
      </c>
      <c r="T471" t="s">
        <v>333</v>
      </c>
      <c r="U471">
        <v>1.4217534746789603E-6</v>
      </c>
      <c r="V471" t="s">
        <v>161</v>
      </c>
    </row>
    <row r="472" spans="9:22" x14ac:dyDescent="0.45">
      <c r="I472" t="s">
        <v>178</v>
      </c>
      <c r="J472" t="s">
        <v>334</v>
      </c>
      <c r="K472">
        <v>0</v>
      </c>
      <c r="L472" t="s">
        <v>161</v>
      </c>
      <c r="N472" t="s">
        <v>201</v>
      </c>
      <c r="O472" t="s">
        <v>334</v>
      </c>
      <c r="P472">
        <v>1.4432996456553662E-5</v>
      </c>
      <c r="Q472" t="s">
        <v>161</v>
      </c>
      <c r="S472" t="s">
        <v>223</v>
      </c>
      <c r="T472" t="s">
        <v>334</v>
      </c>
      <c r="U472">
        <v>0</v>
      </c>
      <c r="V472" t="s">
        <v>161</v>
      </c>
    </row>
    <row r="473" spans="9:22" x14ac:dyDescent="0.45">
      <c r="I473" t="s">
        <v>178</v>
      </c>
      <c r="J473" t="s">
        <v>164</v>
      </c>
      <c r="K473">
        <v>6.5893265256804882E-3</v>
      </c>
      <c r="L473" t="s">
        <v>161</v>
      </c>
      <c r="N473" t="s">
        <v>201</v>
      </c>
      <c r="O473" t="s">
        <v>164</v>
      </c>
      <c r="P473">
        <v>4.1109141637361422E-2</v>
      </c>
      <c r="Q473" t="s">
        <v>161</v>
      </c>
      <c r="S473" t="s">
        <v>223</v>
      </c>
      <c r="T473" t="s">
        <v>164</v>
      </c>
      <c r="U473">
        <v>3.6908370764367621E-2</v>
      </c>
      <c r="V473" t="s">
        <v>161</v>
      </c>
    </row>
    <row r="474" spans="9:22" x14ac:dyDescent="0.45">
      <c r="I474" t="s">
        <v>178</v>
      </c>
      <c r="J474" t="s">
        <v>165</v>
      </c>
      <c r="K474">
        <v>9.3096183831950455E-3</v>
      </c>
      <c r="L474" t="s">
        <v>161</v>
      </c>
      <c r="N474" t="s">
        <v>201</v>
      </c>
      <c r="O474" t="s">
        <v>165</v>
      </c>
      <c r="P474">
        <v>4.6050493697398281E-3</v>
      </c>
      <c r="Q474" t="s">
        <v>161</v>
      </c>
      <c r="S474" t="s">
        <v>223</v>
      </c>
      <c r="T474" t="s">
        <v>165</v>
      </c>
      <c r="U474">
        <v>4.4995978859349471E-3</v>
      </c>
      <c r="V474" t="s">
        <v>161</v>
      </c>
    </row>
    <row r="475" spans="9:22" x14ac:dyDescent="0.45">
      <c r="I475" t="s">
        <v>178</v>
      </c>
      <c r="J475" t="s">
        <v>166</v>
      </c>
      <c r="K475">
        <v>9.4180079347143605E-2</v>
      </c>
      <c r="L475" t="s">
        <v>161</v>
      </c>
      <c r="N475" t="s">
        <v>201</v>
      </c>
      <c r="O475" t="s">
        <v>166</v>
      </c>
      <c r="P475">
        <v>3.1994308605656462E-2</v>
      </c>
      <c r="Q475" t="s">
        <v>161</v>
      </c>
      <c r="S475" t="s">
        <v>223</v>
      </c>
      <c r="T475" t="s">
        <v>166</v>
      </c>
      <c r="U475">
        <v>3.3452490882188768E-2</v>
      </c>
      <c r="V475" t="s">
        <v>161</v>
      </c>
    </row>
    <row r="476" spans="9:22" x14ac:dyDescent="0.45">
      <c r="I476" t="s">
        <v>178</v>
      </c>
      <c r="J476" t="s">
        <v>244</v>
      </c>
      <c r="K476">
        <v>9.89982987299751E-3</v>
      </c>
      <c r="L476" t="s">
        <v>161</v>
      </c>
      <c r="N476" t="s">
        <v>201</v>
      </c>
      <c r="O476" t="s">
        <v>244</v>
      </c>
      <c r="P476">
        <v>4.7848579202082213E-3</v>
      </c>
      <c r="Q476" t="s">
        <v>161</v>
      </c>
      <c r="S476" t="s">
        <v>223</v>
      </c>
      <c r="T476" t="s">
        <v>244</v>
      </c>
      <c r="U476">
        <v>4.8560139640310999E-3</v>
      </c>
      <c r="V476" t="s">
        <v>161</v>
      </c>
    </row>
    <row r="477" spans="9:22" x14ac:dyDescent="0.45">
      <c r="I477" t="s">
        <v>178</v>
      </c>
      <c r="J477" t="s">
        <v>245</v>
      </c>
      <c r="K477">
        <v>7.8530953832073608E-3</v>
      </c>
      <c r="L477" t="s">
        <v>161</v>
      </c>
      <c r="N477" t="s">
        <v>201</v>
      </c>
      <c r="O477" t="s">
        <v>245</v>
      </c>
      <c r="P477">
        <v>4.6056602590234903E-3</v>
      </c>
      <c r="Q477" t="s">
        <v>161</v>
      </c>
      <c r="S477" t="s">
        <v>223</v>
      </c>
      <c r="T477" t="s">
        <v>245</v>
      </c>
      <c r="U477">
        <v>4.613348589297398E-3</v>
      </c>
      <c r="V477" t="s">
        <v>161</v>
      </c>
    </row>
    <row r="478" spans="9:22" x14ac:dyDescent="0.45">
      <c r="I478" t="s">
        <v>178</v>
      </c>
      <c r="J478" t="s">
        <v>267</v>
      </c>
      <c r="K478">
        <v>7.6906670277574179E-3</v>
      </c>
      <c r="L478" t="s">
        <v>161</v>
      </c>
      <c r="N478" t="s">
        <v>201</v>
      </c>
      <c r="O478" t="s">
        <v>267</v>
      </c>
      <c r="P478">
        <v>3.2014455073436192E-2</v>
      </c>
      <c r="Q478" t="s">
        <v>161</v>
      </c>
      <c r="S478" t="s">
        <v>223</v>
      </c>
      <c r="T478" t="s">
        <v>267</v>
      </c>
      <c r="U478">
        <v>2.9811246032356509E-2</v>
      </c>
      <c r="V478" t="s">
        <v>161</v>
      </c>
    </row>
    <row r="479" spans="9:22" x14ac:dyDescent="0.45">
      <c r="I479" t="s">
        <v>178</v>
      </c>
      <c r="J479" t="s">
        <v>167</v>
      </c>
      <c r="K479">
        <v>4.2578084817314829E-2</v>
      </c>
      <c r="L479" t="s">
        <v>161</v>
      </c>
      <c r="N479" t="s">
        <v>201</v>
      </c>
      <c r="O479" t="s">
        <v>167</v>
      </c>
      <c r="P479">
        <v>6.0695974863018913E-2</v>
      </c>
      <c r="Q479" t="s">
        <v>161</v>
      </c>
      <c r="S479" t="s">
        <v>223</v>
      </c>
      <c r="T479" t="s">
        <v>167</v>
      </c>
      <c r="U479">
        <v>5.7517299486010094E-2</v>
      </c>
      <c r="V479" t="s">
        <v>161</v>
      </c>
    </row>
    <row r="480" spans="9:22" x14ac:dyDescent="0.45">
      <c r="I480" t="s">
        <v>178</v>
      </c>
      <c r="J480" t="s">
        <v>168</v>
      </c>
      <c r="K480">
        <v>2.9209767508315235E-2</v>
      </c>
      <c r="L480" t="s">
        <v>161</v>
      </c>
      <c r="N480" t="s">
        <v>201</v>
      </c>
      <c r="O480" t="s">
        <v>168</v>
      </c>
      <c r="P480">
        <v>7.0462036786904337E-3</v>
      </c>
      <c r="Q480" t="s">
        <v>161</v>
      </c>
      <c r="S480" t="s">
        <v>223</v>
      </c>
      <c r="T480" t="s">
        <v>168</v>
      </c>
      <c r="U480">
        <v>7.1964242395440511E-3</v>
      </c>
      <c r="V480" t="s">
        <v>161</v>
      </c>
    </row>
    <row r="481" spans="9:22" x14ac:dyDescent="0.45">
      <c r="I481" t="s">
        <v>178</v>
      </c>
      <c r="J481" t="s">
        <v>169</v>
      </c>
      <c r="K481">
        <v>0.2692232072164169</v>
      </c>
      <c r="L481" t="s">
        <v>161</v>
      </c>
      <c r="N481" t="s">
        <v>201</v>
      </c>
      <c r="O481" t="s">
        <v>169</v>
      </c>
      <c r="P481">
        <v>5.154567657453691E-2</v>
      </c>
      <c r="Q481" t="s">
        <v>161</v>
      </c>
      <c r="S481" t="s">
        <v>223</v>
      </c>
      <c r="T481" t="s">
        <v>169</v>
      </c>
      <c r="U481">
        <v>5.2505270091734155E-2</v>
      </c>
      <c r="V481" t="s">
        <v>161</v>
      </c>
    </row>
    <row r="482" spans="9:22" x14ac:dyDescent="0.45">
      <c r="I482" t="s">
        <v>178</v>
      </c>
      <c r="J482" t="s">
        <v>246</v>
      </c>
      <c r="K482">
        <v>3.2591723127796873E-2</v>
      </c>
      <c r="L482" t="s">
        <v>161</v>
      </c>
      <c r="N482" t="s">
        <v>201</v>
      </c>
      <c r="O482" t="s">
        <v>246</v>
      </c>
      <c r="P482">
        <v>7.8719892736922523E-3</v>
      </c>
      <c r="Q482" t="s">
        <v>161</v>
      </c>
      <c r="S482" t="s">
        <v>223</v>
      </c>
      <c r="T482" t="s">
        <v>246</v>
      </c>
      <c r="U482">
        <v>7.3686528341285829E-3</v>
      </c>
      <c r="V482" t="s">
        <v>161</v>
      </c>
    </row>
    <row r="483" spans="9:22" x14ac:dyDescent="0.45">
      <c r="I483" t="s">
        <v>178</v>
      </c>
      <c r="J483" t="s">
        <v>247</v>
      </c>
      <c r="K483">
        <v>2.7997366996342775E-2</v>
      </c>
      <c r="L483" t="s">
        <v>161</v>
      </c>
      <c r="N483" t="s">
        <v>201</v>
      </c>
      <c r="O483" t="s">
        <v>247</v>
      </c>
      <c r="P483">
        <v>7.4622344455429115E-3</v>
      </c>
      <c r="Q483" t="s">
        <v>161</v>
      </c>
      <c r="S483" t="s">
        <v>223</v>
      </c>
      <c r="T483" t="s">
        <v>247</v>
      </c>
      <c r="U483">
        <v>6.8468591421948846E-3</v>
      </c>
      <c r="V483" t="s">
        <v>161</v>
      </c>
    </row>
    <row r="484" spans="9:22" x14ac:dyDescent="0.45">
      <c r="I484" t="s">
        <v>178</v>
      </c>
      <c r="J484" t="s">
        <v>268</v>
      </c>
      <c r="K484">
        <v>4.4603300122678276E-2</v>
      </c>
      <c r="L484" t="s">
        <v>161</v>
      </c>
      <c r="N484" t="s">
        <v>201</v>
      </c>
      <c r="O484" t="s">
        <v>268</v>
      </c>
      <c r="P484">
        <v>4.854953280350658E-2</v>
      </c>
      <c r="Q484" t="s">
        <v>161</v>
      </c>
      <c r="S484" t="s">
        <v>223</v>
      </c>
      <c r="T484" t="s">
        <v>268</v>
      </c>
      <c r="U484">
        <v>4.2235264104993279E-2</v>
      </c>
      <c r="V484" t="s">
        <v>161</v>
      </c>
    </row>
    <row r="485" spans="9:22" x14ac:dyDescent="0.45">
      <c r="I485" t="s">
        <v>178</v>
      </c>
      <c r="J485" t="s">
        <v>170</v>
      </c>
      <c r="K485">
        <v>1.245324276448889E-2</v>
      </c>
      <c r="L485" t="s">
        <v>161</v>
      </c>
      <c r="N485" t="s">
        <v>201</v>
      </c>
      <c r="O485" t="s">
        <v>170</v>
      </c>
      <c r="P485">
        <v>3.2779427875124292E-2</v>
      </c>
      <c r="Q485" t="s">
        <v>161</v>
      </c>
      <c r="S485" t="s">
        <v>223</v>
      </c>
      <c r="T485" t="s">
        <v>170</v>
      </c>
      <c r="U485">
        <v>3.2194602770319804E-2</v>
      </c>
      <c r="V485" t="s">
        <v>161</v>
      </c>
    </row>
    <row r="486" spans="9:22" x14ac:dyDescent="0.45">
      <c r="I486" t="s">
        <v>178</v>
      </c>
      <c r="J486" t="s">
        <v>171</v>
      </c>
      <c r="K486">
        <v>1.2893645501492478E-2</v>
      </c>
      <c r="L486" t="s">
        <v>161</v>
      </c>
      <c r="N486" t="s">
        <v>201</v>
      </c>
      <c r="O486" t="s">
        <v>171</v>
      </c>
      <c r="P486">
        <v>3.5151313358123301E-3</v>
      </c>
      <c r="Q486" t="s">
        <v>161</v>
      </c>
      <c r="S486" t="s">
        <v>223</v>
      </c>
      <c r="T486" t="s">
        <v>171</v>
      </c>
      <c r="U486">
        <v>3.5776726377694437E-3</v>
      </c>
      <c r="V486" t="s">
        <v>161</v>
      </c>
    </row>
    <row r="487" spans="9:22" x14ac:dyDescent="0.45">
      <c r="I487" t="s">
        <v>178</v>
      </c>
      <c r="J487" t="s">
        <v>172</v>
      </c>
      <c r="K487">
        <v>0.12137417342503591</v>
      </c>
      <c r="L487" t="s">
        <v>161</v>
      </c>
      <c r="N487" t="s">
        <v>201</v>
      </c>
      <c r="O487" t="s">
        <v>172</v>
      </c>
      <c r="P487">
        <v>3.0014718082525572E-2</v>
      </c>
      <c r="Q487" t="s">
        <v>161</v>
      </c>
      <c r="S487" t="s">
        <v>223</v>
      </c>
      <c r="T487" t="s">
        <v>172</v>
      </c>
      <c r="U487">
        <v>2.8760312090366565E-2</v>
      </c>
      <c r="V487" t="s">
        <v>161</v>
      </c>
    </row>
    <row r="488" spans="9:22" x14ac:dyDescent="0.45">
      <c r="I488" t="s">
        <v>178</v>
      </c>
      <c r="J488" t="s">
        <v>248</v>
      </c>
      <c r="K488">
        <v>1.4220321365108528E-2</v>
      </c>
      <c r="L488" t="s">
        <v>161</v>
      </c>
      <c r="N488" t="s">
        <v>201</v>
      </c>
      <c r="O488" t="s">
        <v>248</v>
      </c>
      <c r="P488">
        <v>4.1347842141160112E-3</v>
      </c>
      <c r="Q488" t="s">
        <v>161</v>
      </c>
      <c r="S488" t="s">
        <v>223</v>
      </c>
      <c r="T488" t="s">
        <v>248</v>
      </c>
      <c r="U488">
        <v>3.973942731480969E-3</v>
      </c>
      <c r="V488" t="s">
        <v>161</v>
      </c>
    </row>
    <row r="489" spans="9:22" x14ac:dyDescent="0.45">
      <c r="I489" t="s">
        <v>178</v>
      </c>
      <c r="J489" t="s">
        <v>249</v>
      </c>
      <c r="K489">
        <v>1.1677655784270527E-2</v>
      </c>
      <c r="L489" t="s">
        <v>161</v>
      </c>
      <c r="N489" t="s">
        <v>201</v>
      </c>
      <c r="O489" t="s">
        <v>249</v>
      </c>
      <c r="P489">
        <v>3.5678242607831011E-3</v>
      </c>
      <c r="Q489" t="s">
        <v>161</v>
      </c>
      <c r="S489" t="s">
        <v>223</v>
      </c>
      <c r="T489" t="s">
        <v>249</v>
      </c>
      <c r="U489">
        <v>3.8460980429451323E-3</v>
      </c>
      <c r="V489" t="s">
        <v>161</v>
      </c>
    </row>
    <row r="490" spans="9:22" x14ac:dyDescent="0.45">
      <c r="I490" t="s">
        <v>178</v>
      </c>
      <c r="J490" t="s">
        <v>269</v>
      </c>
      <c r="K490">
        <v>1.3704579704433209E-2</v>
      </c>
      <c r="L490" t="s">
        <v>161</v>
      </c>
      <c r="N490" t="s">
        <v>201</v>
      </c>
      <c r="O490" t="s">
        <v>269</v>
      </c>
      <c r="P490">
        <v>2.3604546026182231E-2</v>
      </c>
      <c r="Q490" t="s">
        <v>161</v>
      </c>
      <c r="S490" t="s">
        <v>223</v>
      </c>
      <c r="T490" t="s">
        <v>269</v>
      </c>
      <c r="U490">
        <v>2.5347560785731405E-2</v>
      </c>
      <c r="V490" t="s">
        <v>161</v>
      </c>
    </row>
    <row r="491" spans="9:22" x14ac:dyDescent="0.45">
      <c r="I491" t="s">
        <v>178</v>
      </c>
      <c r="J491" t="s">
        <v>250</v>
      </c>
      <c r="K491">
        <v>1.3573262681335261E-3</v>
      </c>
      <c r="L491" t="s">
        <v>161</v>
      </c>
      <c r="N491" t="s">
        <v>201</v>
      </c>
      <c r="O491" t="s">
        <v>250</v>
      </c>
      <c r="P491">
        <v>5.4149336570076659E-2</v>
      </c>
      <c r="Q491" t="s">
        <v>161</v>
      </c>
      <c r="S491" t="s">
        <v>223</v>
      </c>
      <c r="T491" t="s">
        <v>250</v>
      </c>
      <c r="U491">
        <v>5.0206238614596478E-2</v>
      </c>
      <c r="V491" t="s">
        <v>161</v>
      </c>
    </row>
    <row r="492" spans="9:22" x14ac:dyDescent="0.45">
      <c r="I492" t="s">
        <v>178</v>
      </c>
      <c r="J492" t="s">
        <v>251</v>
      </c>
      <c r="K492">
        <v>4.0148806319738918E-3</v>
      </c>
      <c r="L492" t="s">
        <v>161</v>
      </c>
      <c r="N492" t="s">
        <v>201</v>
      </c>
      <c r="O492" t="s">
        <v>251</v>
      </c>
      <c r="P492">
        <v>6.2118085003727841E-3</v>
      </c>
      <c r="Q492" t="s">
        <v>161</v>
      </c>
      <c r="S492" t="s">
        <v>223</v>
      </c>
      <c r="T492" t="s">
        <v>251</v>
      </c>
      <c r="U492">
        <v>6.5014174327406521E-3</v>
      </c>
      <c r="V492" t="s">
        <v>161</v>
      </c>
    </row>
    <row r="493" spans="9:22" x14ac:dyDescent="0.45">
      <c r="I493" t="s">
        <v>178</v>
      </c>
      <c r="J493" t="s">
        <v>252</v>
      </c>
      <c r="K493">
        <v>6.9083916823982627E-2</v>
      </c>
      <c r="L493" t="s">
        <v>161</v>
      </c>
      <c r="N493" t="s">
        <v>201</v>
      </c>
      <c r="O493" t="s">
        <v>252</v>
      </c>
      <c r="P493">
        <v>4.136963968341166E-2</v>
      </c>
      <c r="Q493" t="s">
        <v>161</v>
      </c>
      <c r="S493" t="s">
        <v>223</v>
      </c>
      <c r="T493" t="s">
        <v>252</v>
      </c>
      <c r="U493">
        <v>4.4235356367090355E-2</v>
      </c>
      <c r="V493" t="s">
        <v>161</v>
      </c>
    </row>
    <row r="494" spans="9:22" x14ac:dyDescent="0.45">
      <c r="I494" t="s">
        <v>178</v>
      </c>
      <c r="J494" t="s">
        <v>253</v>
      </c>
      <c r="K494">
        <v>7.488991000700539E-3</v>
      </c>
      <c r="L494" t="s">
        <v>161</v>
      </c>
      <c r="N494" t="s">
        <v>201</v>
      </c>
      <c r="O494" t="s">
        <v>253</v>
      </c>
      <c r="P494">
        <v>6.066434023641638E-3</v>
      </c>
      <c r="Q494" t="s">
        <v>161</v>
      </c>
      <c r="S494" t="s">
        <v>223</v>
      </c>
      <c r="T494" t="s">
        <v>253</v>
      </c>
      <c r="U494">
        <v>6.5404689087397369E-3</v>
      </c>
      <c r="V494" t="s">
        <v>161</v>
      </c>
    </row>
    <row r="495" spans="9:22" x14ac:dyDescent="0.45">
      <c r="I495" t="s">
        <v>178</v>
      </c>
      <c r="J495" t="s">
        <v>254</v>
      </c>
      <c r="K495">
        <v>4.3145740459792376E-3</v>
      </c>
      <c r="L495" t="s">
        <v>161</v>
      </c>
      <c r="N495" t="s">
        <v>201</v>
      </c>
      <c r="O495" t="s">
        <v>254</v>
      </c>
      <c r="P495">
        <v>6.3511927896701178E-3</v>
      </c>
      <c r="Q495" t="s">
        <v>161</v>
      </c>
      <c r="S495" t="s">
        <v>223</v>
      </c>
      <c r="T495" t="s">
        <v>254</v>
      </c>
      <c r="U495">
        <v>6.6606348425296332E-3</v>
      </c>
      <c r="V495" t="s">
        <v>161</v>
      </c>
    </row>
    <row r="496" spans="9:22" x14ac:dyDescent="0.45">
      <c r="I496" t="s">
        <v>178</v>
      </c>
      <c r="J496" t="s">
        <v>270</v>
      </c>
      <c r="K496">
        <v>1.3699183108772548E-3</v>
      </c>
      <c r="L496" t="s">
        <v>161</v>
      </c>
      <c r="N496" t="s">
        <v>201</v>
      </c>
      <c r="O496" t="s">
        <v>270</v>
      </c>
      <c r="P496">
        <v>4.287013603951912E-2</v>
      </c>
      <c r="Q496" t="s">
        <v>161</v>
      </c>
      <c r="S496" t="s">
        <v>223</v>
      </c>
      <c r="T496" t="s">
        <v>270</v>
      </c>
      <c r="U496">
        <v>4.013666204670769E-2</v>
      </c>
      <c r="V496" t="s">
        <v>161</v>
      </c>
    </row>
    <row r="497" spans="9:22" x14ac:dyDescent="0.45">
      <c r="I497" t="s">
        <v>178</v>
      </c>
      <c r="J497" t="s">
        <v>255</v>
      </c>
      <c r="K497">
        <v>0</v>
      </c>
      <c r="L497" t="s">
        <v>161</v>
      </c>
      <c r="N497" t="s">
        <v>201</v>
      </c>
      <c r="O497" t="s">
        <v>255</v>
      </c>
      <c r="P497">
        <v>4.9201062985027973E-2</v>
      </c>
      <c r="Q497" t="s">
        <v>161</v>
      </c>
      <c r="S497" t="s">
        <v>223</v>
      </c>
      <c r="T497" t="s">
        <v>255</v>
      </c>
      <c r="U497">
        <v>5.1079232966620154E-2</v>
      </c>
      <c r="V497" t="s">
        <v>161</v>
      </c>
    </row>
    <row r="498" spans="9:22" x14ac:dyDescent="0.45">
      <c r="I498" t="s">
        <v>178</v>
      </c>
      <c r="J498" t="s">
        <v>256</v>
      </c>
      <c r="K498">
        <v>3.1680723223876283E-5</v>
      </c>
      <c r="L498" t="s">
        <v>161</v>
      </c>
      <c r="N498" t="s">
        <v>201</v>
      </c>
      <c r="O498" t="s">
        <v>256</v>
      </c>
      <c r="P498">
        <v>5.9809244769357967E-3</v>
      </c>
      <c r="Q498" t="s">
        <v>161</v>
      </c>
      <c r="S498" t="s">
        <v>223</v>
      </c>
      <c r="T498" t="s">
        <v>256</v>
      </c>
      <c r="U498">
        <v>6.7725216908429836E-3</v>
      </c>
      <c r="V498" t="s">
        <v>161</v>
      </c>
    </row>
    <row r="499" spans="9:22" x14ac:dyDescent="0.45">
      <c r="I499" t="s">
        <v>178</v>
      </c>
      <c r="J499" t="s">
        <v>257</v>
      </c>
      <c r="K499">
        <v>2.9244215821895913E-2</v>
      </c>
      <c r="L499" t="s">
        <v>161</v>
      </c>
      <c r="N499" t="s">
        <v>201</v>
      </c>
      <c r="O499" t="s">
        <v>257</v>
      </c>
      <c r="P499">
        <v>3.7940440801232732E-2</v>
      </c>
      <c r="Q499" t="s">
        <v>161</v>
      </c>
      <c r="S499" t="s">
        <v>223</v>
      </c>
      <c r="T499" t="s">
        <v>257</v>
      </c>
      <c r="U499">
        <v>4.2168602226494538E-2</v>
      </c>
      <c r="V499" t="s">
        <v>161</v>
      </c>
    </row>
    <row r="500" spans="9:22" x14ac:dyDescent="0.45">
      <c r="I500" t="s">
        <v>178</v>
      </c>
      <c r="J500" t="s">
        <v>258</v>
      </c>
      <c r="K500">
        <v>2.56061838282593E-3</v>
      </c>
      <c r="L500" t="s">
        <v>161</v>
      </c>
      <c r="N500" t="s">
        <v>201</v>
      </c>
      <c r="O500" t="s">
        <v>258</v>
      </c>
      <c r="P500">
        <v>5.5129306109431382E-3</v>
      </c>
      <c r="Q500" t="s">
        <v>161</v>
      </c>
      <c r="S500" t="s">
        <v>223</v>
      </c>
      <c r="T500" t="s">
        <v>258</v>
      </c>
      <c r="U500">
        <v>6.0070742842348139E-3</v>
      </c>
      <c r="V500" t="s">
        <v>161</v>
      </c>
    </row>
    <row r="501" spans="9:22" x14ac:dyDescent="0.45">
      <c r="I501" t="s">
        <v>178</v>
      </c>
      <c r="J501" t="s">
        <v>259</v>
      </c>
      <c r="K501">
        <v>0</v>
      </c>
      <c r="L501" t="s">
        <v>161</v>
      </c>
      <c r="N501" t="s">
        <v>201</v>
      </c>
      <c r="O501" t="s">
        <v>259</v>
      </c>
      <c r="P501">
        <v>5.7226605458573915E-3</v>
      </c>
      <c r="Q501" t="s">
        <v>161</v>
      </c>
      <c r="S501" t="s">
        <v>223</v>
      </c>
      <c r="T501" t="s">
        <v>259</v>
      </c>
      <c r="U501">
        <v>6.1691288119590029E-3</v>
      </c>
      <c r="V501" t="s">
        <v>161</v>
      </c>
    </row>
    <row r="502" spans="9:22" x14ac:dyDescent="0.45">
      <c r="I502" t="s">
        <v>178</v>
      </c>
      <c r="J502" t="s">
        <v>271</v>
      </c>
      <c r="K502">
        <v>0</v>
      </c>
      <c r="L502" t="s">
        <v>161</v>
      </c>
      <c r="N502" t="s">
        <v>201</v>
      </c>
      <c r="O502" t="s">
        <v>271</v>
      </c>
      <c r="P502">
        <v>3.7189711100086828E-2</v>
      </c>
      <c r="Q502" t="s">
        <v>161</v>
      </c>
      <c r="S502" t="s">
        <v>223</v>
      </c>
      <c r="T502" t="s">
        <v>271</v>
      </c>
      <c r="U502">
        <v>3.5717315464685012E-2</v>
      </c>
      <c r="V502" t="s">
        <v>161</v>
      </c>
    </row>
    <row r="503" spans="9:22" x14ac:dyDescent="0.45">
      <c r="I503" t="s">
        <v>178</v>
      </c>
      <c r="J503" t="s">
        <v>272</v>
      </c>
      <c r="K503">
        <v>0</v>
      </c>
      <c r="L503" t="s">
        <v>161</v>
      </c>
      <c r="N503" t="s">
        <v>201</v>
      </c>
      <c r="O503" t="s">
        <v>272</v>
      </c>
      <c r="P503">
        <v>2.0039112686528433E-2</v>
      </c>
      <c r="Q503" t="s">
        <v>161</v>
      </c>
      <c r="S503" t="s">
        <v>223</v>
      </c>
      <c r="T503" t="s">
        <v>272</v>
      </c>
      <c r="U503">
        <v>1.9620710755967927E-2</v>
      </c>
      <c r="V503" t="s">
        <v>161</v>
      </c>
    </row>
    <row r="504" spans="9:22" x14ac:dyDescent="0.45">
      <c r="I504" t="s">
        <v>178</v>
      </c>
      <c r="J504" t="s">
        <v>273</v>
      </c>
      <c r="K504">
        <v>0</v>
      </c>
      <c r="L504" t="s">
        <v>161</v>
      </c>
      <c r="N504" t="s">
        <v>201</v>
      </c>
      <c r="O504" t="s">
        <v>273</v>
      </c>
      <c r="P504">
        <v>2.5201686662531487E-3</v>
      </c>
      <c r="Q504" t="s">
        <v>161</v>
      </c>
      <c r="S504" t="s">
        <v>223</v>
      </c>
      <c r="T504" t="s">
        <v>273</v>
      </c>
      <c r="U504">
        <v>2.6301526454163286E-3</v>
      </c>
      <c r="V504" t="s">
        <v>161</v>
      </c>
    </row>
    <row r="505" spans="9:22" x14ac:dyDescent="0.45">
      <c r="I505" t="s">
        <v>178</v>
      </c>
      <c r="J505" t="s">
        <v>274</v>
      </c>
      <c r="K505">
        <v>3.4288128620191989E-3</v>
      </c>
      <c r="L505" t="s">
        <v>161</v>
      </c>
      <c r="N505" t="s">
        <v>201</v>
      </c>
      <c r="O505" t="s">
        <v>274</v>
      </c>
      <c r="P505">
        <v>1.4794203067207254E-2</v>
      </c>
      <c r="Q505" t="s">
        <v>161</v>
      </c>
      <c r="S505" t="s">
        <v>223</v>
      </c>
      <c r="T505" t="s">
        <v>274</v>
      </c>
      <c r="U505">
        <v>1.515994439571661E-2</v>
      </c>
      <c r="V505" t="s">
        <v>161</v>
      </c>
    </row>
    <row r="506" spans="9:22" x14ac:dyDescent="0.45">
      <c r="I506" t="s">
        <v>178</v>
      </c>
      <c r="J506" t="s">
        <v>275</v>
      </c>
      <c r="K506">
        <v>1.8299239867547426E-4</v>
      </c>
      <c r="L506" t="s">
        <v>161</v>
      </c>
      <c r="N506" t="s">
        <v>201</v>
      </c>
      <c r="O506" t="s">
        <v>275</v>
      </c>
      <c r="P506">
        <v>2.0125283914927405E-3</v>
      </c>
      <c r="Q506" t="s">
        <v>161</v>
      </c>
      <c r="S506" t="s">
        <v>223</v>
      </c>
      <c r="T506" t="s">
        <v>275</v>
      </c>
      <c r="U506">
        <v>2.2370475896860893E-3</v>
      </c>
      <c r="V506" t="s">
        <v>161</v>
      </c>
    </row>
    <row r="507" spans="9:22" x14ac:dyDescent="0.45">
      <c r="I507" t="s">
        <v>178</v>
      </c>
      <c r="J507" t="s">
        <v>276</v>
      </c>
      <c r="K507">
        <v>0</v>
      </c>
      <c r="L507" t="s">
        <v>161</v>
      </c>
      <c r="N507" t="s">
        <v>201</v>
      </c>
      <c r="O507" t="s">
        <v>276</v>
      </c>
      <c r="P507">
        <v>2.0391660068732713E-3</v>
      </c>
      <c r="Q507" t="s">
        <v>161</v>
      </c>
      <c r="S507" t="s">
        <v>223</v>
      </c>
      <c r="T507" t="s">
        <v>276</v>
      </c>
      <c r="U507">
        <v>2.2647306304694574E-3</v>
      </c>
      <c r="V507" t="s">
        <v>161</v>
      </c>
    </row>
    <row r="508" spans="9:22" x14ac:dyDescent="0.45">
      <c r="I508" t="s">
        <v>178</v>
      </c>
      <c r="J508" t="s">
        <v>277</v>
      </c>
      <c r="K508">
        <v>0</v>
      </c>
      <c r="L508" t="s">
        <v>161</v>
      </c>
      <c r="N508" t="s">
        <v>201</v>
      </c>
      <c r="O508" t="s">
        <v>277</v>
      </c>
      <c r="P508">
        <v>1.2890234441558417E-2</v>
      </c>
      <c r="Q508" t="s">
        <v>161</v>
      </c>
      <c r="S508" t="s">
        <v>223</v>
      </c>
      <c r="T508" t="s">
        <v>277</v>
      </c>
      <c r="U508">
        <v>1.2882535610980612E-2</v>
      </c>
      <c r="V508" t="s">
        <v>161</v>
      </c>
    </row>
    <row r="509" spans="9:22" x14ac:dyDescent="0.45">
      <c r="I509" t="s">
        <v>178</v>
      </c>
      <c r="J509" t="s">
        <v>278</v>
      </c>
      <c r="K509">
        <v>0</v>
      </c>
      <c r="L509" t="s">
        <v>161</v>
      </c>
      <c r="N509" t="s">
        <v>201</v>
      </c>
      <c r="O509" t="s">
        <v>278</v>
      </c>
      <c r="P509">
        <v>8.035160138391834E-3</v>
      </c>
      <c r="Q509" t="s">
        <v>161</v>
      </c>
      <c r="S509" t="s">
        <v>223</v>
      </c>
      <c r="T509" t="s">
        <v>278</v>
      </c>
      <c r="U509">
        <v>6.6500046835802698E-3</v>
      </c>
      <c r="V509" t="s">
        <v>161</v>
      </c>
    </row>
    <row r="510" spans="9:22" x14ac:dyDescent="0.45">
      <c r="I510" t="s">
        <v>178</v>
      </c>
      <c r="J510" t="s">
        <v>279</v>
      </c>
      <c r="K510">
        <v>0</v>
      </c>
      <c r="L510" t="s">
        <v>161</v>
      </c>
      <c r="N510" t="s">
        <v>201</v>
      </c>
      <c r="O510" t="s">
        <v>279</v>
      </c>
      <c r="P510">
        <v>1.0415529957141087E-3</v>
      </c>
      <c r="Q510" t="s">
        <v>161</v>
      </c>
      <c r="S510" t="s">
        <v>223</v>
      </c>
      <c r="T510" t="s">
        <v>279</v>
      </c>
      <c r="U510">
        <v>1.0108052618464499E-3</v>
      </c>
      <c r="V510" t="s">
        <v>161</v>
      </c>
    </row>
    <row r="511" spans="9:22" x14ac:dyDescent="0.45">
      <c r="I511" t="s">
        <v>178</v>
      </c>
      <c r="J511" t="s">
        <v>280</v>
      </c>
      <c r="K511">
        <v>4.1148439064803682E-3</v>
      </c>
      <c r="L511" t="s">
        <v>161</v>
      </c>
      <c r="N511" t="s">
        <v>201</v>
      </c>
      <c r="O511" t="s">
        <v>280</v>
      </c>
      <c r="P511">
        <v>8.0933370906724495E-3</v>
      </c>
      <c r="Q511" t="s">
        <v>161</v>
      </c>
      <c r="S511" t="s">
        <v>223</v>
      </c>
      <c r="T511" t="s">
        <v>280</v>
      </c>
      <c r="U511">
        <v>8.2167333980162557E-3</v>
      </c>
      <c r="V511" t="s">
        <v>161</v>
      </c>
    </row>
    <row r="512" spans="9:22" x14ac:dyDescent="0.45">
      <c r="I512" t="s">
        <v>178</v>
      </c>
      <c r="J512" t="s">
        <v>281</v>
      </c>
      <c r="K512">
        <v>3.6678222378211812E-4</v>
      </c>
      <c r="L512" t="s">
        <v>161</v>
      </c>
      <c r="N512" t="s">
        <v>201</v>
      </c>
      <c r="O512" t="s">
        <v>281</v>
      </c>
      <c r="P512">
        <v>1.2204039217171665E-3</v>
      </c>
      <c r="Q512" t="s">
        <v>161</v>
      </c>
      <c r="S512" t="s">
        <v>223</v>
      </c>
      <c r="T512" t="s">
        <v>281</v>
      </c>
      <c r="U512">
        <v>1.3779820516964458E-3</v>
      </c>
      <c r="V512" t="s">
        <v>161</v>
      </c>
    </row>
    <row r="513" spans="9:22" x14ac:dyDescent="0.45">
      <c r="I513" t="s">
        <v>178</v>
      </c>
      <c r="J513" t="s">
        <v>282</v>
      </c>
      <c r="K513">
        <v>0</v>
      </c>
      <c r="L513" t="s">
        <v>161</v>
      </c>
      <c r="N513" t="s">
        <v>201</v>
      </c>
      <c r="O513" t="s">
        <v>282</v>
      </c>
      <c r="P513">
        <v>1.2478575841006416E-3</v>
      </c>
      <c r="Q513" t="s">
        <v>161</v>
      </c>
      <c r="S513" t="s">
        <v>223</v>
      </c>
      <c r="T513" t="s">
        <v>282</v>
      </c>
      <c r="U513">
        <v>1.3938682371757102E-3</v>
      </c>
      <c r="V513" t="s">
        <v>161</v>
      </c>
    </row>
    <row r="514" spans="9:22" x14ac:dyDescent="0.45">
      <c r="I514" t="s">
        <v>178</v>
      </c>
      <c r="J514" t="s">
        <v>283</v>
      </c>
      <c r="K514">
        <v>0</v>
      </c>
      <c r="L514" t="s">
        <v>161</v>
      </c>
      <c r="N514" t="s">
        <v>201</v>
      </c>
      <c r="O514" t="s">
        <v>283</v>
      </c>
      <c r="P514">
        <v>7.4060137285784913E-3</v>
      </c>
      <c r="Q514" t="s">
        <v>161</v>
      </c>
      <c r="S514" t="s">
        <v>223</v>
      </c>
      <c r="T514" t="s">
        <v>283</v>
      </c>
      <c r="U514">
        <v>7.913995912048612E-3</v>
      </c>
      <c r="V514" t="s">
        <v>161</v>
      </c>
    </row>
    <row r="515" spans="9:22" x14ac:dyDescent="0.45">
      <c r="I515" t="s">
        <v>179</v>
      </c>
      <c r="J515" t="s">
        <v>160</v>
      </c>
      <c r="K515">
        <v>3.1748885325656551E-5</v>
      </c>
      <c r="L515" t="s">
        <v>161</v>
      </c>
      <c r="N515" t="s">
        <v>202</v>
      </c>
      <c r="O515" t="s">
        <v>160</v>
      </c>
      <c r="P515">
        <v>7.4775628022302976E-2</v>
      </c>
      <c r="Q515" t="s">
        <v>161</v>
      </c>
      <c r="S515" t="s">
        <v>224</v>
      </c>
      <c r="T515" t="s">
        <v>160</v>
      </c>
      <c r="U515">
        <v>7.8595100744496355E-2</v>
      </c>
      <c r="V515" t="s">
        <v>161</v>
      </c>
    </row>
    <row r="516" spans="9:22" x14ac:dyDescent="0.45">
      <c r="I516" t="s">
        <v>179</v>
      </c>
      <c r="J516" t="s">
        <v>162</v>
      </c>
      <c r="K516">
        <v>3.1864070038226514E-3</v>
      </c>
      <c r="L516" t="s">
        <v>161</v>
      </c>
      <c r="N516" t="s">
        <v>202</v>
      </c>
      <c r="O516" t="s">
        <v>162</v>
      </c>
      <c r="P516">
        <v>9.2161019355526032E-3</v>
      </c>
      <c r="Q516" t="s">
        <v>161</v>
      </c>
      <c r="S516" t="s">
        <v>224</v>
      </c>
      <c r="T516" t="s">
        <v>162</v>
      </c>
      <c r="U516">
        <v>9.8766852823373788E-3</v>
      </c>
      <c r="V516" t="s">
        <v>161</v>
      </c>
    </row>
    <row r="517" spans="9:22" x14ac:dyDescent="0.45">
      <c r="I517" t="s">
        <v>179</v>
      </c>
      <c r="J517" t="s">
        <v>163</v>
      </c>
      <c r="K517">
        <v>8.2404299291760061E-2</v>
      </c>
      <c r="L517" t="s">
        <v>161</v>
      </c>
      <c r="N517" t="s">
        <v>202</v>
      </c>
      <c r="O517" t="s">
        <v>163</v>
      </c>
      <c r="P517">
        <v>5.6729419627489897E-2</v>
      </c>
      <c r="Q517" t="s">
        <v>161</v>
      </c>
      <c r="S517" t="s">
        <v>224</v>
      </c>
      <c r="T517" t="s">
        <v>163</v>
      </c>
      <c r="U517">
        <v>6.3536340488122706E-2</v>
      </c>
      <c r="V517" t="s">
        <v>161</v>
      </c>
    </row>
    <row r="518" spans="9:22" x14ac:dyDescent="0.45">
      <c r="I518" t="s">
        <v>179</v>
      </c>
      <c r="J518" t="s">
        <v>242</v>
      </c>
      <c r="K518">
        <v>9.3325828494460923E-3</v>
      </c>
      <c r="L518" t="s">
        <v>161</v>
      </c>
      <c r="N518" t="s">
        <v>202</v>
      </c>
      <c r="O518" t="s">
        <v>242</v>
      </c>
      <c r="P518">
        <v>8.565757628879709E-3</v>
      </c>
      <c r="Q518" t="s">
        <v>161</v>
      </c>
      <c r="S518" t="s">
        <v>224</v>
      </c>
      <c r="T518" t="s">
        <v>242</v>
      </c>
      <c r="U518">
        <v>9.1231821240328002E-3</v>
      </c>
      <c r="V518" t="s">
        <v>161</v>
      </c>
    </row>
    <row r="519" spans="9:22" x14ac:dyDescent="0.45">
      <c r="I519" t="s">
        <v>179</v>
      </c>
      <c r="J519" t="s">
        <v>243</v>
      </c>
      <c r="K519">
        <v>5.4692015179816427E-3</v>
      </c>
      <c r="L519" t="s">
        <v>161</v>
      </c>
      <c r="N519" t="s">
        <v>202</v>
      </c>
      <c r="O519" t="s">
        <v>243</v>
      </c>
      <c r="P519">
        <v>8.9463511689969154E-3</v>
      </c>
      <c r="Q519" t="s">
        <v>161</v>
      </c>
      <c r="S519" t="s">
        <v>224</v>
      </c>
      <c r="T519" t="s">
        <v>243</v>
      </c>
      <c r="U519">
        <v>9.41764465616763E-3</v>
      </c>
      <c r="V519" t="s">
        <v>161</v>
      </c>
    </row>
    <row r="520" spans="9:22" x14ac:dyDescent="0.45">
      <c r="I520" t="s">
        <v>179</v>
      </c>
      <c r="J520" t="s">
        <v>266</v>
      </c>
      <c r="K520">
        <v>1.9729307052798995E-3</v>
      </c>
      <c r="L520" t="s">
        <v>161</v>
      </c>
      <c r="N520" t="s">
        <v>202</v>
      </c>
      <c r="O520" t="s">
        <v>266</v>
      </c>
      <c r="P520">
        <v>5.5935620610899246E-2</v>
      </c>
      <c r="Q520" t="s">
        <v>161</v>
      </c>
      <c r="S520" t="s">
        <v>224</v>
      </c>
      <c r="T520" t="s">
        <v>266</v>
      </c>
      <c r="U520">
        <v>5.8267681741209137E-2</v>
      </c>
      <c r="V520" t="s">
        <v>161</v>
      </c>
    </row>
    <row r="521" spans="9:22" x14ac:dyDescent="0.45">
      <c r="I521" t="s">
        <v>179</v>
      </c>
      <c r="J521" t="s">
        <v>311</v>
      </c>
      <c r="K521">
        <v>0</v>
      </c>
      <c r="L521" t="s">
        <v>161</v>
      </c>
      <c r="N521" t="s">
        <v>202</v>
      </c>
      <c r="O521" t="s">
        <v>311</v>
      </c>
      <c r="P521">
        <v>1.2347838474371865E-6</v>
      </c>
      <c r="Q521" t="s">
        <v>161</v>
      </c>
      <c r="S521" t="s">
        <v>224</v>
      </c>
      <c r="T521" t="s">
        <v>311</v>
      </c>
      <c r="U521">
        <v>8.7833681506843039E-6</v>
      </c>
      <c r="V521" t="s">
        <v>161</v>
      </c>
    </row>
    <row r="522" spans="9:22" x14ac:dyDescent="0.45">
      <c r="I522" t="s">
        <v>179</v>
      </c>
      <c r="J522" t="s">
        <v>312</v>
      </c>
      <c r="K522">
        <v>0</v>
      </c>
      <c r="L522" t="s">
        <v>161</v>
      </c>
      <c r="N522" t="s">
        <v>202</v>
      </c>
      <c r="O522" t="s">
        <v>312</v>
      </c>
      <c r="P522">
        <v>9.1106255611161932E-7</v>
      </c>
      <c r="Q522" t="s">
        <v>161</v>
      </c>
      <c r="S522" t="s">
        <v>224</v>
      </c>
      <c r="T522" t="s">
        <v>312</v>
      </c>
      <c r="U522">
        <v>5.7097863991779102E-6</v>
      </c>
      <c r="V522" t="s">
        <v>161</v>
      </c>
    </row>
    <row r="523" spans="9:22" x14ac:dyDescent="0.45">
      <c r="I523" t="s">
        <v>179</v>
      </c>
      <c r="J523" t="s">
        <v>313</v>
      </c>
      <c r="K523">
        <v>0</v>
      </c>
      <c r="L523" t="s">
        <v>161</v>
      </c>
      <c r="N523" t="s">
        <v>202</v>
      </c>
      <c r="O523" t="s">
        <v>313</v>
      </c>
      <c r="P523">
        <v>1.1911139459629526E-6</v>
      </c>
      <c r="Q523" t="s">
        <v>161</v>
      </c>
      <c r="S523" t="s">
        <v>224</v>
      </c>
      <c r="T523" t="s">
        <v>313</v>
      </c>
      <c r="U523">
        <v>7.044049161628887E-7</v>
      </c>
      <c r="V523" t="s">
        <v>161</v>
      </c>
    </row>
    <row r="524" spans="9:22" x14ac:dyDescent="0.45">
      <c r="I524" t="s">
        <v>179</v>
      </c>
      <c r="J524" t="s">
        <v>314</v>
      </c>
      <c r="K524">
        <v>0</v>
      </c>
      <c r="L524" t="s">
        <v>161</v>
      </c>
      <c r="N524" t="s">
        <v>202</v>
      </c>
      <c r="O524" t="s">
        <v>314</v>
      </c>
      <c r="P524">
        <v>1.1351140378355558E-6</v>
      </c>
      <c r="Q524" t="s">
        <v>161</v>
      </c>
      <c r="S524" t="s">
        <v>224</v>
      </c>
      <c r="T524" t="s">
        <v>314</v>
      </c>
      <c r="U524">
        <v>8.9753114851142769E-7</v>
      </c>
      <c r="V524" t="s">
        <v>161</v>
      </c>
    </row>
    <row r="525" spans="9:22" x14ac:dyDescent="0.45">
      <c r="I525" t="s">
        <v>179</v>
      </c>
      <c r="J525" t="s">
        <v>315</v>
      </c>
      <c r="K525">
        <v>0</v>
      </c>
      <c r="L525" t="s">
        <v>161</v>
      </c>
      <c r="N525" t="s">
        <v>202</v>
      </c>
      <c r="O525" t="s">
        <v>315</v>
      </c>
      <c r="P525">
        <v>2.2054145261226974E-6</v>
      </c>
      <c r="Q525" t="s">
        <v>161</v>
      </c>
      <c r="S525" t="s">
        <v>224</v>
      </c>
      <c r="T525" t="s">
        <v>315</v>
      </c>
      <c r="U525">
        <v>1.897640919744104E-6</v>
      </c>
      <c r="V525" t="s">
        <v>161</v>
      </c>
    </row>
    <row r="526" spans="9:22" x14ac:dyDescent="0.45">
      <c r="I526" t="s">
        <v>179</v>
      </c>
      <c r="J526" t="s">
        <v>316</v>
      </c>
      <c r="K526">
        <v>0</v>
      </c>
      <c r="L526" t="s">
        <v>161</v>
      </c>
      <c r="N526" t="s">
        <v>202</v>
      </c>
      <c r="O526" t="s">
        <v>316</v>
      </c>
      <c r="P526">
        <v>4.3638665002942523E-6</v>
      </c>
      <c r="Q526" t="s">
        <v>161</v>
      </c>
      <c r="S526" t="s">
        <v>224</v>
      </c>
      <c r="T526" t="s">
        <v>316</v>
      </c>
      <c r="U526">
        <v>1.2649383651871008E-6</v>
      </c>
      <c r="V526" t="s">
        <v>161</v>
      </c>
    </row>
    <row r="527" spans="9:22" x14ac:dyDescent="0.45">
      <c r="I527" t="s">
        <v>179</v>
      </c>
      <c r="J527" t="s">
        <v>317</v>
      </c>
      <c r="K527">
        <v>0</v>
      </c>
      <c r="L527" t="s">
        <v>161</v>
      </c>
      <c r="N527" t="s">
        <v>202</v>
      </c>
      <c r="O527" t="s">
        <v>317</v>
      </c>
      <c r="P527">
        <v>8.5047751296530448E-6</v>
      </c>
      <c r="Q527" t="s">
        <v>161</v>
      </c>
      <c r="S527" t="s">
        <v>224</v>
      </c>
      <c r="T527" t="s">
        <v>317</v>
      </c>
      <c r="U527">
        <v>1.6827140737542421E-6</v>
      </c>
      <c r="V527" t="s">
        <v>161</v>
      </c>
    </row>
    <row r="528" spans="9:22" x14ac:dyDescent="0.45">
      <c r="I528" t="s">
        <v>179</v>
      </c>
      <c r="J528" t="s">
        <v>318</v>
      </c>
      <c r="K528">
        <v>0</v>
      </c>
      <c r="L528" t="s">
        <v>161</v>
      </c>
      <c r="N528" t="s">
        <v>202</v>
      </c>
      <c r="O528" t="s">
        <v>318</v>
      </c>
      <c r="P528">
        <v>9.5671178289098558E-6</v>
      </c>
      <c r="Q528" t="s">
        <v>161</v>
      </c>
      <c r="S528" t="s">
        <v>224</v>
      </c>
      <c r="T528" t="s">
        <v>318</v>
      </c>
      <c r="U528">
        <v>1.658661831913981E-6</v>
      </c>
      <c r="V528" t="s">
        <v>161</v>
      </c>
    </row>
    <row r="529" spans="9:22" x14ac:dyDescent="0.45">
      <c r="I529" t="s">
        <v>179</v>
      </c>
      <c r="J529" t="s">
        <v>319</v>
      </c>
      <c r="K529">
        <v>2.9155778656965387E-5</v>
      </c>
      <c r="L529" t="s">
        <v>161</v>
      </c>
      <c r="N529" t="s">
        <v>202</v>
      </c>
      <c r="O529" t="s">
        <v>319</v>
      </c>
      <c r="P529">
        <v>7.740247968027324E-6</v>
      </c>
      <c r="Q529" t="s">
        <v>161</v>
      </c>
      <c r="S529" t="s">
        <v>224</v>
      </c>
      <c r="T529" t="s">
        <v>319</v>
      </c>
      <c r="U529">
        <v>3.406310395941779E-7</v>
      </c>
      <c r="V529" t="s">
        <v>161</v>
      </c>
    </row>
    <row r="530" spans="9:22" x14ac:dyDescent="0.45">
      <c r="I530" t="s">
        <v>179</v>
      </c>
      <c r="J530" t="s">
        <v>320</v>
      </c>
      <c r="K530">
        <v>1.2642669595739576E-4</v>
      </c>
      <c r="L530" t="s">
        <v>161</v>
      </c>
      <c r="N530" t="s">
        <v>202</v>
      </c>
      <c r="O530" t="s">
        <v>320</v>
      </c>
      <c r="P530">
        <v>1.8953139819522856E-6</v>
      </c>
      <c r="Q530" t="s">
        <v>161</v>
      </c>
      <c r="S530" t="s">
        <v>224</v>
      </c>
      <c r="T530" t="s">
        <v>320</v>
      </c>
      <c r="U530">
        <v>0</v>
      </c>
      <c r="V530" t="s">
        <v>161</v>
      </c>
    </row>
    <row r="531" spans="9:22" x14ac:dyDescent="0.45">
      <c r="I531" t="s">
        <v>179</v>
      </c>
      <c r="J531" t="s">
        <v>321</v>
      </c>
      <c r="K531">
        <v>1.9594632992441492E-4</v>
      </c>
      <c r="L531" t="s">
        <v>161</v>
      </c>
      <c r="N531" t="s">
        <v>202</v>
      </c>
      <c r="O531" t="s">
        <v>321</v>
      </c>
      <c r="P531">
        <v>1.0167475101400481E-6</v>
      </c>
      <c r="Q531" t="s">
        <v>161</v>
      </c>
      <c r="S531" t="s">
        <v>224</v>
      </c>
      <c r="T531" t="s">
        <v>321</v>
      </c>
      <c r="U531">
        <v>2.8957671105532698E-7</v>
      </c>
      <c r="V531" t="s">
        <v>161</v>
      </c>
    </row>
    <row r="532" spans="9:22" x14ac:dyDescent="0.45">
      <c r="I532" t="s">
        <v>179</v>
      </c>
      <c r="J532" t="s">
        <v>322</v>
      </c>
      <c r="K532">
        <v>2.5458130391559487E-4</v>
      </c>
      <c r="L532" t="s">
        <v>161</v>
      </c>
      <c r="N532" t="s">
        <v>202</v>
      </c>
      <c r="O532" t="s">
        <v>322</v>
      </c>
      <c r="P532">
        <v>3.3782220657759593E-6</v>
      </c>
      <c r="Q532" t="s">
        <v>161</v>
      </c>
      <c r="S532" t="s">
        <v>224</v>
      </c>
      <c r="T532" t="s">
        <v>322</v>
      </c>
      <c r="U532">
        <v>3.1906001380103921E-7</v>
      </c>
      <c r="V532" t="s">
        <v>161</v>
      </c>
    </row>
    <row r="533" spans="9:22" x14ac:dyDescent="0.45">
      <c r="I533" t="s">
        <v>179</v>
      </c>
      <c r="J533" t="s">
        <v>323</v>
      </c>
      <c r="K533">
        <v>2.3989058404537593E-4</v>
      </c>
      <c r="L533" t="s">
        <v>161</v>
      </c>
      <c r="N533" t="s">
        <v>202</v>
      </c>
      <c r="O533" t="s">
        <v>323</v>
      </c>
      <c r="P533">
        <v>4.0888424808809292E-6</v>
      </c>
      <c r="Q533" t="s">
        <v>161</v>
      </c>
      <c r="S533" t="s">
        <v>224</v>
      </c>
      <c r="T533" t="s">
        <v>323</v>
      </c>
      <c r="U533">
        <v>1.3841535139550587E-6</v>
      </c>
      <c r="V533" t="s">
        <v>161</v>
      </c>
    </row>
    <row r="534" spans="9:22" x14ac:dyDescent="0.45">
      <c r="I534" t="s">
        <v>179</v>
      </c>
      <c r="J534" t="s">
        <v>324</v>
      </c>
      <c r="K534">
        <v>2.2056010470324238E-4</v>
      </c>
      <c r="L534" t="s">
        <v>161</v>
      </c>
      <c r="N534" t="s">
        <v>202</v>
      </c>
      <c r="O534" t="s">
        <v>324</v>
      </c>
      <c r="P534">
        <v>2.8538048162322698E-6</v>
      </c>
      <c r="Q534" t="s">
        <v>161</v>
      </c>
      <c r="S534" t="s">
        <v>224</v>
      </c>
      <c r="T534" t="s">
        <v>324</v>
      </c>
      <c r="U534">
        <v>0</v>
      </c>
      <c r="V534" t="s">
        <v>161</v>
      </c>
    </row>
    <row r="535" spans="9:22" x14ac:dyDescent="0.45">
      <c r="I535" t="s">
        <v>179</v>
      </c>
      <c r="J535" t="s">
        <v>325</v>
      </c>
      <c r="K535">
        <v>1.9846079864313556E-4</v>
      </c>
      <c r="L535" t="s">
        <v>161</v>
      </c>
      <c r="N535" t="s">
        <v>202</v>
      </c>
      <c r="O535" t="s">
        <v>325</v>
      </c>
      <c r="P535">
        <v>3.1746356732079006E-6</v>
      </c>
      <c r="Q535" t="s">
        <v>161</v>
      </c>
      <c r="S535" t="s">
        <v>224</v>
      </c>
      <c r="T535" t="s">
        <v>325</v>
      </c>
      <c r="U535">
        <v>1.2018355466138789E-6</v>
      </c>
      <c r="V535" t="s">
        <v>161</v>
      </c>
    </row>
    <row r="536" spans="9:22" x14ac:dyDescent="0.45">
      <c r="I536" t="s">
        <v>179</v>
      </c>
      <c r="J536" t="s">
        <v>326</v>
      </c>
      <c r="K536">
        <v>1.6115716089723145E-4</v>
      </c>
      <c r="L536" t="s">
        <v>161</v>
      </c>
      <c r="N536" t="s">
        <v>202</v>
      </c>
      <c r="O536" t="s">
        <v>326</v>
      </c>
      <c r="P536">
        <v>3.372892976128402E-6</v>
      </c>
      <c r="Q536" t="s">
        <v>161</v>
      </c>
      <c r="S536" t="s">
        <v>224</v>
      </c>
      <c r="T536" t="s">
        <v>326</v>
      </c>
      <c r="U536">
        <v>2.0783025960615846E-6</v>
      </c>
      <c r="V536" t="s">
        <v>161</v>
      </c>
    </row>
    <row r="537" spans="9:22" x14ac:dyDescent="0.45">
      <c r="I537" t="s">
        <v>179</v>
      </c>
      <c r="J537" t="s">
        <v>327</v>
      </c>
      <c r="K537">
        <v>1.0983848385740227E-4</v>
      </c>
      <c r="L537" t="s">
        <v>161</v>
      </c>
      <c r="N537" t="s">
        <v>202</v>
      </c>
      <c r="O537" t="s">
        <v>327</v>
      </c>
      <c r="P537">
        <v>8.0106459544951912E-6</v>
      </c>
      <c r="Q537" t="s">
        <v>161</v>
      </c>
      <c r="S537" t="s">
        <v>224</v>
      </c>
      <c r="T537" t="s">
        <v>327</v>
      </c>
      <c r="U537">
        <v>0</v>
      </c>
      <c r="V537" t="s">
        <v>161</v>
      </c>
    </row>
    <row r="538" spans="9:22" x14ac:dyDescent="0.45">
      <c r="I538" t="s">
        <v>179</v>
      </c>
      <c r="J538" t="s">
        <v>328</v>
      </c>
      <c r="K538">
        <v>3.8981543911067009E-5</v>
      </c>
      <c r="L538" t="s">
        <v>161</v>
      </c>
      <c r="N538" t="s">
        <v>202</v>
      </c>
      <c r="O538" t="s">
        <v>328</v>
      </c>
      <c r="P538">
        <v>1.8872617544141263E-5</v>
      </c>
      <c r="Q538" t="s">
        <v>161</v>
      </c>
      <c r="S538" t="s">
        <v>224</v>
      </c>
      <c r="T538" t="s">
        <v>328</v>
      </c>
      <c r="U538">
        <v>0</v>
      </c>
      <c r="V538" t="s">
        <v>161</v>
      </c>
    </row>
    <row r="539" spans="9:22" x14ac:dyDescent="0.45">
      <c r="I539" t="s">
        <v>179</v>
      </c>
      <c r="J539" t="s">
        <v>329</v>
      </c>
      <c r="K539">
        <v>0</v>
      </c>
      <c r="L539" t="s">
        <v>161</v>
      </c>
      <c r="N539" t="s">
        <v>202</v>
      </c>
      <c r="O539" t="s">
        <v>329</v>
      </c>
      <c r="P539">
        <v>2.7372899436485464E-5</v>
      </c>
      <c r="Q539" t="s">
        <v>161</v>
      </c>
      <c r="S539" t="s">
        <v>224</v>
      </c>
      <c r="T539" t="s">
        <v>329</v>
      </c>
      <c r="U539">
        <v>2.2565567836469783E-6</v>
      </c>
      <c r="V539" t="s">
        <v>161</v>
      </c>
    </row>
    <row r="540" spans="9:22" x14ac:dyDescent="0.45">
      <c r="I540" t="s">
        <v>179</v>
      </c>
      <c r="J540" t="s">
        <v>330</v>
      </c>
      <c r="K540">
        <v>0</v>
      </c>
      <c r="L540" t="s">
        <v>161</v>
      </c>
      <c r="N540" t="s">
        <v>202</v>
      </c>
      <c r="O540" t="s">
        <v>330</v>
      </c>
      <c r="P540">
        <v>2.9548127455871844E-5</v>
      </c>
      <c r="Q540" t="s">
        <v>161</v>
      </c>
      <c r="S540" t="s">
        <v>224</v>
      </c>
      <c r="T540" t="s">
        <v>330</v>
      </c>
      <c r="U540">
        <v>4.5225746352634265E-6</v>
      </c>
      <c r="V540" t="s">
        <v>161</v>
      </c>
    </row>
    <row r="541" spans="9:22" x14ac:dyDescent="0.45">
      <c r="I541" t="s">
        <v>179</v>
      </c>
      <c r="J541" t="s">
        <v>331</v>
      </c>
      <c r="K541">
        <v>0</v>
      </c>
      <c r="L541" t="s">
        <v>161</v>
      </c>
      <c r="N541" t="s">
        <v>202</v>
      </c>
      <c r="O541" t="s">
        <v>331</v>
      </c>
      <c r="P541">
        <v>3.2975897958553145E-5</v>
      </c>
      <c r="Q541" t="s">
        <v>161</v>
      </c>
      <c r="S541" t="s">
        <v>224</v>
      </c>
      <c r="T541" t="s">
        <v>331</v>
      </c>
      <c r="U541">
        <v>5.0536361547872026E-6</v>
      </c>
      <c r="V541" t="s">
        <v>161</v>
      </c>
    </row>
    <row r="542" spans="9:22" x14ac:dyDescent="0.45">
      <c r="I542" t="s">
        <v>179</v>
      </c>
      <c r="J542" t="s">
        <v>332</v>
      </c>
      <c r="K542">
        <v>0</v>
      </c>
      <c r="L542" t="s">
        <v>161</v>
      </c>
      <c r="N542" t="s">
        <v>202</v>
      </c>
      <c r="O542" t="s">
        <v>332</v>
      </c>
      <c r="P542">
        <v>3.4799960759367066E-5</v>
      </c>
      <c r="Q542" t="s">
        <v>161</v>
      </c>
      <c r="S542" t="s">
        <v>224</v>
      </c>
      <c r="T542" t="s">
        <v>332</v>
      </c>
      <c r="U542">
        <v>4.329444910630855E-6</v>
      </c>
      <c r="V542" t="s">
        <v>161</v>
      </c>
    </row>
    <row r="543" spans="9:22" x14ac:dyDescent="0.45">
      <c r="I543" t="s">
        <v>179</v>
      </c>
      <c r="J543" t="s">
        <v>333</v>
      </c>
      <c r="K543">
        <v>0</v>
      </c>
      <c r="L543" t="s">
        <v>161</v>
      </c>
      <c r="N543" t="s">
        <v>202</v>
      </c>
      <c r="O543" t="s">
        <v>333</v>
      </c>
      <c r="P543">
        <v>3.4882402756956803E-5</v>
      </c>
      <c r="Q543" t="s">
        <v>161</v>
      </c>
      <c r="S543" t="s">
        <v>224</v>
      </c>
      <c r="T543" t="s">
        <v>333</v>
      </c>
      <c r="U543">
        <v>6.4450725229463251E-6</v>
      </c>
      <c r="V543" t="s">
        <v>161</v>
      </c>
    </row>
    <row r="544" spans="9:22" x14ac:dyDescent="0.45">
      <c r="I544" t="s">
        <v>179</v>
      </c>
      <c r="J544" t="s">
        <v>334</v>
      </c>
      <c r="K544">
        <v>0</v>
      </c>
      <c r="L544" t="s">
        <v>161</v>
      </c>
      <c r="N544" t="s">
        <v>202</v>
      </c>
      <c r="O544" t="s">
        <v>334</v>
      </c>
      <c r="P544">
        <v>3.3841371041569556E-5</v>
      </c>
      <c r="Q544" t="s">
        <v>161</v>
      </c>
      <c r="S544" t="s">
        <v>224</v>
      </c>
      <c r="T544" t="s">
        <v>334</v>
      </c>
      <c r="U544">
        <v>6.2572896318390162E-6</v>
      </c>
      <c r="V544" t="s">
        <v>161</v>
      </c>
    </row>
    <row r="545" spans="9:22" x14ac:dyDescent="0.45">
      <c r="I545" t="s">
        <v>179</v>
      </c>
      <c r="J545" t="s">
        <v>164</v>
      </c>
      <c r="K545">
        <v>7.3614897452213132E-3</v>
      </c>
      <c r="L545" t="s">
        <v>161</v>
      </c>
      <c r="N545" t="s">
        <v>202</v>
      </c>
      <c r="O545" t="s">
        <v>164</v>
      </c>
      <c r="P545">
        <v>4.0621986463420676E-2</v>
      </c>
      <c r="Q545" t="s">
        <v>161</v>
      </c>
      <c r="S545" t="s">
        <v>224</v>
      </c>
      <c r="T545" t="s">
        <v>164</v>
      </c>
      <c r="U545">
        <v>3.6645090315378451E-2</v>
      </c>
      <c r="V545" t="s">
        <v>161</v>
      </c>
    </row>
    <row r="546" spans="9:22" x14ac:dyDescent="0.45">
      <c r="I546" t="s">
        <v>179</v>
      </c>
      <c r="J546" t="s">
        <v>165</v>
      </c>
      <c r="K546">
        <v>9.868242789838182E-3</v>
      </c>
      <c r="L546" t="s">
        <v>161</v>
      </c>
      <c r="N546" t="s">
        <v>202</v>
      </c>
      <c r="O546" t="s">
        <v>165</v>
      </c>
      <c r="P546">
        <v>4.7441033626696664E-3</v>
      </c>
      <c r="Q546" t="s">
        <v>161</v>
      </c>
      <c r="S546" t="s">
        <v>224</v>
      </c>
      <c r="T546" t="s">
        <v>165</v>
      </c>
      <c r="U546">
        <v>4.5496484209830339E-3</v>
      </c>
      <c r="V546" t="s">
        <v>161</v>
      </c>
    </row>
    <row r="547" spans="9:22" x14ac:dyDescent="0.45">
      <c r="I547" t="s">
        <v>179</v>
      </c>
      <c r="J547" t="s">
        <v>166</v>
      </c>
      <c r="K547">
        <v>9.3866698264193846E-2</v>
      </c>
      <c r="L547" t="s">
        <v>161</v>
      </c>
      <c r="N547" t="s">
        <v>202</v>
      </c>
      <c r="O547" t="s">
        <v>166</v>
      </c>
      <c r="P547">
        <v>3.1224970174699551E-2</v>
      </c>
      <c r="Q547" t="s">
        <v>161</v>
      </c>
      <c r="S547" t="s">
        <v>224</v>
      </c>
      <c r="T547" t="s">
        <v>166</v>
      </c>
      <c r="U547">
        <v>3.38002802508061E-2</v>
      </c>
      <c r="V547" t="s">
        <v>161</v>
      </c>
    </row>
    <row r="548" spans="9:22" x14ac:dyDescent="0.45">
      <c r="I548" t="s">
        <v>179</v>
      </c>
      <c r="J548" t="s">
        <v>244</v>
      </c>
      <c r="K548">
        <v>1.0717657654598088E-2</v>
      </c>
      <c r="L548" t="s">
        <v>161</v>
      </c>
      <c r="N548" t="s">
        <v>202</v>
      </c>
      <c r="O548" t="s">
        <v>244</v>
      </c>
      <c r="P548">
        <v>4.8024867429085115E-3</v>
      </c>
      <c r="Q548" t="s">
        <v>161</v>
      </c>
      <c r="S548" t="s">
        <v>224</v>
      </c>
      <c r="T548" t="s">
        <v>244</v>
      </c>
      <c r="U548">
        <v>5.0868618101689769E-3</v>
      </c>
      <c r="V548" t="s">
        <v>161</v>
      </c>
    </row>
    <row r="549" spans="9:22" x14ac:dyDescent="0.45">
      <c r="I549" t="s">
        <v>179</v>
      </c>
      <c r="J549" t="s">
        <v>245</v>
      </c>
      <c r="K549">
        <v>8.1477843929732494E-3</v>
      </c>
      <c r="L549" t="s">
        <v>161</v>
      </c>
      <c r="N549" t="s">
        <v>202</v>
      </c>
      <c r="O549" t="s">
        <v>245</v>
      </c>
      <c r="P549">
        <v>4.6237978919091939E-3</v>
      </c>
      <c r="Q549" t="s">
        <v>161</v>
      </c>
      <c r="S549" t="s">
        <v>224</v>
      </c>
      <c r="T549" t="s">
        <v>245</v>
      </c>
      <c r="U549">
        <v>5.0500509263348868E-3</v>
      </c>
      <c r="V549" t="s">
        <v>161</v>
      </c>
    </row>
    <row r="550" spans="9:22" x14ac:dyDescent="0.45">
      <c r="I550" t="s">
        <v>179</v>
      </c>
      <c r="J550" t="s">
        <v>267</v>
      </c>
      <c r="K550">
        <v>7.150930758647746E-3</v>
      </c>
      <c r="L550" t="s">
        <v>161</v>
      </c>
      <c r="N550" t="s">
        <v>202</v>
      </c>
      <c r="O550" t="s">
        <v>267</v>
      </c>
      <c r="P550">
        <v>3.0944111482505293E-2</v>
      </c>
      <c r="Q550" t="s">
        <v>161</v>
      </c>
      <c r="S550" t="s">
        <v>224</v>
      </c>
      <c r="T550" t="s">
        <v>267</v>
      </c>
      <c r="U550">
        <v>3.0143918936945402E-2</v>
      </c>
      <c r="V550" t="s">
        <v>161</v>
      </c>
    </row>
    <row r="551" spans="9:22" x14ac:dyDescent="0.45">
      <c r="I551" t="s">
        <v>179</v>
      </c>
      <c r="J551" t="s">
        <v>167</v>
      </c>
      <c r="K551">
        <v>4.4457276198269322E-2</v>
      </c>
      <c r="L551" t="s">
        <v>161</v>
      </c>
      <c r="N551" t="s">
        <v>202</v>
      </c>
      <c r="O551" t="s">
        <v>167</v>
      </c>
      <c r="P551">
        <v>6.2073126462889011E-2</v>
      </c>
      <c r="Q551" t="s">
        <v>161</v>
      </c>
      <c r="S551" t="s">
        <v>224</v>
      </c>
      <c r="T551" t="s">
        <v>167</v>
      </c>
      <c r="U551">
        <v>6.3448611661217721E-2</v>
      </c>
      <c r="V551" t="s">
        <v>161</v>
      </c>
    </row>
    <row r="552" spans="9:22" x14ac:dyDescent="0.45">
      <c r="I552" t="s">
        <v>179</v>
      </c>
      <c r="J552" t="s">
        <v>168</v>
      </c>
      <c r="K552">
        <v>3.009248812477841E-2</v>
      </c>
      <c r="L552" t="s">
        <v>161</v>
      </c>
      <c r="N552" t="s">
        <v>202</v>
      </c>
      <c r="O552" t="s">
        <v>168</v>
      </c>
      <c r="P552">
        <v>7.3583001300508138E-3</v>
      </c>
      <c r="Q552" t="s">
        <v>161</v>
      </c>
      <c r="S552" t="s">
        <v>224</v>
      </c>
      <c r="T552" t="s">
        <v>168</v>
      </c>
      <c r="U552">
        <v>7.7173590164403118E-3</v>
      </c>
      <c r="V552" t="s">
        <v>161</v>
      </c>
    </row>
    <row r="553" spans="9:22" x14ac:dyDescent="0.45">
      <c r="I553" t="s">
        <v>179</v>
      </c>
      <c r="J553" t="s">
        <v>169</v>
      </c>
      <c r="K553">
        <v>0.27033916822513554</v>
      </c>
      <c r="L553" t="s">
        <v>161</v>
      </c>
      <c r="N553" t="s">
        <v>202</v>
      </c>
      <c r="O553" t="s">
        <v>169</v>
      </c>
      <c r="P553">
        <v>5.0373623999635346E-2</v>
      </c>
      <c r="Q553" t="s">
        <v>161</v>
      </c>
      <c r="S553" t="s">
        <v>224</v>
      </c>
      <c r="T553" t="s">
        <v>169</v>
      </c>
      <c r="U553">
        <v>4.9519732542394702E-2</v>
      </c>
      <c r="V553" t="s">
        <v>161</v>
      </c>
    </row>
    <row r="554" spans="9:22" x14ac:dyDescent="0.45">
      <c r="I554" t="s">
        <v>179</v>
      </c>
      <c r="J554" t="s">
        <v>246</v>
      </c>
      <c r="K554">
        <v>3.4326602019649599E-2</v>
      </c>
      <c r="L554" t="s">
        <v>161</v>
      </c>
      <c r="N554" t="s">
        <v>202</v>
      </c>
      <c r="O554" t="s">
        <v>246</v>
      </c>
      <c r="P554">
        <v>7.8599663592690029E-3</v>
      </c>
      <c r="Q554" t="s">
        <v>161</v>
      </c>
      <c r="S554" t="s">
        <v>224</v>
      </c>
      <c r="T554" t="s">
        <v>246</v>
      </c>
      <c r="U554">
        <v>7.2735631852614193E-3</v>
      </c>
      <c r="V554" t="s">
        <v>161</v>
      </c>
    </row>
    <row r="555" spans="9:22" x14ac:dyDescent="0.45">
      <c r="I555" t="s">
        <v>179</v>
      </c>
      <c r="J555" t="s">
        <v>247</v>
      </c>
      <c r="K555">
        <v>2.8934590402711444E-2</v>
      </c>
      <c r="L555" t="s">
        <v>161</v>
      </c>
      <c r="N555" t="s">
        <v>202</v>
      </c>
      <c r="O555" t="s">
        <v>247</v>
      </c>
      <c r="P555">
        <v>7.5456861685816341E-3</v>
      </c>
      <c r="Q555" t="s">
        <v>161</v>
      </c>
      <c r="S555" t="s">
        <v>224</v>
      </c>
      <c r="T555" t="s">
        <v>247</v>
      </c>
      <c r="U555">
        <v>7.2812148682274277E-3</v>
      </c>
      <c r="V555" t="s">
        <v>161</v>
      </c>
    </row>
    <row r="556" spans="9:22" x14ac:dyDescent="0.45">
      <c r="I556" t="s">
        <v>179</v>
      </c>
      <c r="J556" t="s">
        <v>268</v>
      </c>
      <c r="K556">
        <v>4.3765374432804205E-2</v>
      </c>
      <c r="L556" t="s">
        <v>161</v>
      </c>
      <c r="N556" t="s">
        <v>202</v>
      </c>
      <c r="O556" t="s">
        <v>268</v>
      </c>
      <c r="P556">
        <v>4.9350194504554579E-2</v>
      </c>
      <c r="Q556" t="s">
        <v>161</v>
      </c>
      <c r="S556" t="s">
        <v>224</v>
      </c>
      <c r="T556" t="s">
        <v>268</v>
      </c>
      <c r="U556">
        <v>4.8243744621422086E-2</v>
      </c>
      <c r="V556" t="s">
        <v>161</v>
      </c>
    </row>
    <row r="557" spans="9:22" x14ac:dyDescent="0.45">
      <c r="I557" t="s">
        <v>179</v>
      </c>
      <c r="J557" t="s">
        <v>170</v>
      </c>
      <c r="K557">
        <v>1.2499275283923075E-2</v>
      </c>
      <c r="L557" t="s">
        <v>161</v>
      </c>
      <c r="N557" t="s">
        <v>202</v>
      </c>
      <c r="O557" t="s">
        <v>170</v>
      </c>
      <c r="P557">
        <v>3.2544696389661336E-2</v>
      </c>
      <c r="Q557" t="s">
        <v>161</v>
      </c>
      <c r="S557" t="s">
        <v>224</v>
      </c>
      <c r="T557" t="s">
        <v>170</v>
      </c>
      <c r="U557">
        <v>3.5792481264054557E-2</v>
      </c>
      <c r="V557" t="s">
        <v>161</v>
      </c>
    </row>
    <row r="558" spans="9:22" x14ac:dyDescent="0.45">
      <c r="I558" t="s">
        <v>179</v>
      </c>
      <c r="J558" t="s">
        <v>171</v>
      </c>
      <c r="K558">
        <v>1.2765826595796774E-2</v>
      </c>
      <c r="L558" t="s">
        <v>161</v>
      </c>
      <c r="N558" t="s">
        <v>202</v>
      </c>
      <c r="O558" t="s">
        <v>171</v>
      </c>
      <c r="P558">
        <v>3.6720407982809588E-3</v>
      </c>
      <c r="Q558" t="s">
        <v>161</v>
      </c>
      <c r="S558" t="s">
        <v>224</v>
      </c>
      <c r="T558" t="s">
        <v>171</v>
      </c>
      <c r="U558">
        <v>4.1280988396300089E-3</v>
      </c>
      <c r="V558" t="s">
        <v>161</v>
      </c>
    </row>
    <row r="559" spans="9:22" x14ac:dyDescent="0.45">
      <c r="I559" t="s">
        <v>179</v>
      </c>
      <c r="J559" t="s">
        <v>172</v>
      </c>
      <c r="K559">
        <v>0.1184392438136142</v>
      </c>
      <c r="L559" t="s">
        <v>161</v>
      </c>
      <c r="N559" t="s">
        <v>202</v>
      </c>
      <c r="O559" t="s">
        <v>172</v>
      </c>
      <c r="P559">
        <v>2.4712555920759618E-2</v>
      </c>
      <c r="Q559" t="s">
        <v>161</v>
      </c>
      <c r="S559" t="s">
        <v>224</v>
      </c>
      <c r="T559" t="s">
        <v>172</v>
      </c>
      <c r="U559">
        <v>3.0594652765056237E-2</v>
      </c>
      <c r="V559" t="s">
        <v>161</v>
      </c>
    </row>
    <row r="560" spans="9:22" x14ac:dyDescent="0.45">
      <c r="I560" t="s">
        <v>179</v>
      </c>
      <c r="J560" t="s">
        <v>248</v>
      </c>
      <c r="K560">
        <v>1.3998763187365759E-2</v>
      </c>
      <c r="L560" t="s">
        <v>161</v>
      </c>
      <c r="N560" t="s">
        <v>202</v>
      </c>
      <c r="O560" t="s">
        <v>248</v>
      </c>
      <c r="P560">
        <v>3.5872891786906582E-3</v>
      </c>
      <c r="Q560" t="s">
        <v>161</v>
      </c>
      <c r="S560" t="s">
        <v>224</v>
      </c>
      <c r="T560" t="s">
        <v>248</v>
      </c>
      <c r="U560">
        <v>4.6521336575759591E-3</v>
      </c>
      <c r="V560" t="s">
        <v>161</v>
      </c>
    </row>
    <row r="561" spans="9:22" x14ac:dyDescent="0.45">
      <c r="I561" t="s">
        <v>179</v>
      </c>
      <c r="J561" t="s">
        <v>249</v>
      </c>
      <c r="K561">
        <v>1.0945748656424501E-2</v>
      </c>
      <c r="L561" t="s">
        <v>161</v>
      </c>
      <c r="N561" t="s">
        <v>202</v>
      </c>
      <c r="O561" t="s">
        <v>249</v>
      </c>
      <c r="P561">
        <v>3.0912810180285448E-3</v>
      </c>
      <c r="Q561" t="s">
        <v>161</v>
      </c>
      <c r="S561" t="s">
        <v>224</v>
      </c>
      <c r="T561" t="s">
        <v>249</v>
      </c>
      <c r="U561">
        <v>4.5841356136587441E-3</v>
      </c>
      <c r="V561" t="s">
        <v>161</v>
      </c>
    </row>
    <row r="562" spans="9:22" x14ac:dyDescent="0.45">
      <c r="I562" t="s">
        <v>179</v>
      </c>
      <c r="J562" t="s">
        <v>269</v>
      </c>
      <c r="K562">
        <v>1.2389924368831101E-2</v>
      </c>
      <c r="L562" t="s">
        <v>161</v>
      </c>
      <c r="N562" t="s">
        <v>202</v>
      </c>
      <c r="O562" t="s">
        <v>269</v>
      </c>
      <c r="P562">
        <v>2.2693338401121574E-2</v>
      </c>
      <c r="Q562" t="s">
        <v>161</v>
      </c>
      <c r="S562" t="s">
        <v>224</v>
      </c>
      <c r="T562" t="s">
        <v>269</v>
      </c>
      <c r="U562">
        <v>2.9673453132288568E-2</v>
      </c>
      <c r="V562" t="s">
        <v>161</v>
      </c>
    </row>
    <row r="563" spans="9:22" x14ac:dyDescent="0.45">
      <c r="I563" t="s">
        <v>179</v>
      </c>
      <c r="J563" t="s">
        <v>250</v>
      </c>
      <c r="K563">
        <v>1.7916409348791987E-3</v>
      </c>
      <c r="L563" t="s">
        <v>161</v>
      </c>
      <c r="N563" t="s">
        <v>202</v>
      </c>
      <c r="O563" t="s">
        <v>250</v>
      </c>
      <c r="P563">
        <v>5.4913509570803876E-2</v>
      </c>
      <c r="Q563" t="s">
        <v>161</v>
      </c>
      <c r="S563" t="s">
        <v>224</v>
      </c>
      <c r="T563" t="s">
        <v>250</v>
      </c>
      <c r="U563">
        <v>4.7300136317102101E-2</v>
      </c>
      <c r="V563" t="s">
        <v>161</v>
      </c>
    </row>
    <row r="564" spans="9:22" x14ac:dyDescent="0.45">
      <c r="I564" t="s">
        <v>179</v>
      </c>
      <c r="J564" t="s">
        <v>251</v>
      </c>
      <c r="K564">
        <v>4.4599028612877772E-3</v>
      </c>
      <c r="L564" t="s">
        <v>161</v>
      </c>
      <c r="N564" t="s">
        <v>202</v>
      </c>
      <c r="O564" t="s">
        <v>251</v>
      </c>
      <c r="P564">
        <v>6.789684759871694E-3</v>
      </c>
      <c r="Q564" t="s">
        <v>161</v>
      </c>
      <c r="S564" t="s">
        <v>224</v>
      </c>
      <c r="T564" t="s">
        <v>251</v>
      </c>
      <c r="U564">
        <v>6.1180822058338963E-3</v>
      </c>
      <c r="V564" t="s">
        <v>161</v>
      </c>
    </row>
    <row r="565" spans="9:22" x14ac:dyDescent="0.45">
      <c r="I565" t="s">
        <v>179</v>
      </c>
      <c r="J565" t="s">
        <v>252</v>
      </c>
      <c r="K565">
        <v>6.9939309618576057E-2</v>
      </c>
      <c r="L565" t="s">
        <v>161</v>
      </c>
      <c r="N565" t="s">
        <v>202</v>
      </c>
      <c r="O565" t="s">
        <v>252</v>
      </c>
      <c r="P565">
        <v>4.1624424768326604E-2</v>
      </c>
      <c r="Q565" t="s">
        <v>161</v>
      </c>
      <c r="S565" t="s">
        <v>224</v>
      </c>
      <c r="T565" t="s">
        <v>252</v>
      </c>
      <c r="U565">
        <v>4.1011972007128382E-2</v>
      </c>
      <c r="V565" t="s">
        <v>161</v>
      </c>
    </row>
    <row r="566" spans="9:22" x14ac:dyDescent="0.45">
      <c r="I566" t="s">
        <v>179</v>
      </c>
      <c r="J566" t="s">
        <v>253</v>
      </c>
      <c r="K566">
        <v>7.1893038681224266E-3</v>
      </c>
      <c r="L566" t="s">
        <v>161</v>
      </c>
      <c r="N566" t="s">
        <v>202</v>
      </c>
      <c r="O566" t="s">
        <v>253</v>
      </c>
      <c r="P566">
        <v>6.1372818239645568E-3</v>
      </c>
      <c r="Q566" t="s">
        <v>161</v>
      </c>
      <c r="S566" t="s">
        <v>224</v>
      </c>
      <c r="T566" t="s">
        <v>253</v>
      </c>
      <c r="U566">
        <v>5.9796392552988282E-3</v>
      </c>
      <c r="V566" t="s">
        <v>161</v>
      </c>
    </row>
    <row r="567" spans="9:22" x14ac:dyDescent="0.45">
      <c r="I567" t="s">
        <v>179</v>
      </c>
      <c r="J567" t="s">
        <v>254</v>
      </c>
      <c r="K567">
        <v>3.8354638190702438E-3</v>
      </c>
      <c r="L567" t="s">
        <v>161</v>
      </c>
      <c r="N567" t="s">
        <v>202</v>
      </c>
      <c r="O567" t="s">
        <v>254</v>
      </c>
      <c r="P567">
        <v>6.5553336472521009E-3</v>
      </c>
      <c r="Q567" t="s">
        <v>161</v>
      </c>
      <c r="S567" t="s">
        <v>224</v>
      </c>
      <c r="T567" t="s">
        <v>254</v>
      </c>
      <c r="U567">
        <v>6.2999004583928183E-3</v>
      </c>
      <c r="V567" t="s">
        <v>161</v>
      </c>
    </row>
    <row r="568" spans="9:22" x14ac:dyDescent="0.45">
      <c r="I568" t="s">
        <v>179</v>
      </c>
      <c r="J568" t="s">
        <v>270</v>
      </c>
      <c r="K568">
        <v>9.9841354589930609E-4</v>
      </c>
      <c r="L568" t="s">
        <v>161</v>
      </c>
      <c r="N568" t="s">
        <v>202</v>
      </c>
      <c r="O568" t="s">
        <v>270</v>
      </c>
      <c r="P568">
        <v>4.3908862010253888E-2</v>
      </c>
      <c r="Q568" t="s">
        <v>161</v>
      </c>
      <c r="S568" t="s">
        <v>224</v>
      </c>
      <c r="T568" t="s">
        <v>270</v>
      </c>
      <c r="U568">
        <v>3.7630992842303618E-2</v>
      </c>
      <c r="V568" t="s">
        <v>161</v>
      </c>
    </row>
    <row r="569" spans="9:22" x14ac:dyDescent="0.45">
      <c r="I569" t="s">
        <v>179</v>
      </c>
      <c r="J569" t="s">
        <v>255</v>
      </c>
      <c r="K569">
        <v>0</v>
      </c>
      <c r="L569" t="s">
        <v>161</v>
      </c>
      <c r="N569" t="s">
        <v>202</v>
      </c>
      <c r="O569" t="s">
        <v>255</v>
      </c>
      <c r="P569">
        <v>4.9656370954668343E-2</v>
      </c>
      <c r="Q569" t="s">
        <v>161</v>
      </c>
      <c r="S569" t="s">
        <v>224</v>
      </c>
      <c r="T569" t="s">
        <v>255</v>
      </c>
      <c r="U569">
        <v>5.01426417649838E-2</v>
      </c>
      <c r="V569" t="s">
        <v>161</v>
      </c>
    </row>
    <row r="570" spans="9:22" x14ac:dyDescent="0.45">
      <c r="I570" t="s">
        <v>179</v>
      </c>
      <c r="J570" t="s">
        <v>256</v>
      </c>
      <c r="K570">
        <v>8.8044303403390193E-5</v>
      </c>
      <c r="L570" t="s">
        <v>161</v>
      </c>
      <c r="N570" t="s">
        <v>202</v>
      </c>
      <c r="O570" t="s">
        <v>256</v>
      </c>
      <c r="P570">
        <v>5.8490161331015301E-3</v>
      </c>
      <c r="Q570" t="s">
        <v>161</v>
      </c>
      <c r="S570" t="s">
        <v>224</v>
      </c>
      <c r="T570" t="s">
        <v>256</v>
      </c>
      <c r="U570">
        <v>6.4131175943179207E-3</v>
      </c>
      <c r="V570" t="s">
        <v>161</v>
      </c>
    </row>
    <row r="571" spans="9:22" x14ac:dyDescent="0.45">
      <c r="I571" t="s">
        <v>179</v>
      </c>
      <c r="J571" t="s">
        <v>257</v>
      </c>
      <c r="K571">
        <v>2.8328689042900587E-2</v>
      </c>
      <c r="L571" t="s">
        <v>161</v>
      </c>
      <c r="N571" t="s">
        <v>202</v>
      </c>
      <c r="O571" t="s">
        <v>257</v>
      </c>
      <c r="P571">
        <v>3.8541823282938446E-2</v>
      </c>
      <c r="Q571" t="s">
        <v>161</v>
      </c>
      <c r="S571" t="s">
        <v>224</v>
      </c>
      <c r="T571" t="s">
        <v>257</v>
      </c>
      <c r="U571">
        <v>4.3449049142643831E-2</v>
      </c>
      <c r="V571" t="s">
        <v>161</v>
      </c>
    </row>
    <row r="572" spans="9:22" x14ac:dyDescent="0.45">
      <c r="I572" t="s">
        <v>179</v>
      </c>
      <c r="J572" t="s">
        <v>258</v>
      </c>
      <c r="K572">
        <v>1.9099478294241641E-3</v>
      </c>
      <c r="L572" t="s">
        <v>161</v>
      </c>
      <c r="N572" t="s">
        <v>202</v>
      </c>
      <c r="O572" t="s">
        <v>258</v>
      </c>
      <c r="P572">
        <v>6.2529711106497667E-3</v>
      </c>
      <c r="Q572" t="s">
        <v>161</v>
      </c>
      <c r="S572" t="s">
        <v>224</v>
      </c>
      <c r="T572" t="s">
        <v>258</v>
      </c>
      <c r="U572">
        <v>5.9929634008663822E-3</v>
      </c>
      <c r="V572" t="s">
        <v>161</v>
      </c>
    </row>
    <row r="573" spans="9:22" x14ac:dyDescent="0.45">
      <c r="I573" t="s">
        <v>179</v>
      </c>
      <c r="J573" t="s">
        <v>259</v>
      </c>
      <c r="K573">
        <v>0</v>
      </c>
      <c r="L573" t="s">
        <v>161</v>
      </c>
      <c r="N573" t="s">
        <v>202</v>
      </c>
      <c r="O573" t="s">
        <v>259</v>
      </c>
      <c r="P573">
        <v>6.4355224677808713E-3</v>
      </c>
      <c r="Q573" t="s">
        <v>161</v>
      </c>
      <c r="S573" t="s">
        <v>224</v>
      </c>
      <c r="T573" t="s">
        <v>259</v>
      </c>
      <c r="U573">
        <v>5.9696655774763973E-3</v>
      </c>
      <c r="V573" t="s">
        <v>161</v>
      </c>
    </row>
    <row r="574" spans="9:22" x14ac:dyDescent="0.45">
      <c r="I574" t="s">
        <v>179</v>
      </c>
      <c r="J574" t="s">
        <v>271</v>
      </c>
      <c r="K574">
        <v>0</v>
      </c>
      <c r="L574" t="s">
        <v>161</v>
      </c>
      <c r="N574" t="s">
        <v>202</v>
      </c>
      <c r="O574" t="s">
        <v>271</v>
      </c>
      <c r="P574">
        <v>4.0121846164765253E-2</v>
      </c>
      <c r="Q574" t="s">
        <v>161</v>
      </c>
      <c r="S574" t="s">
        <v>224</v>
      </c>
      <c r="T574" t="s">
        <v>271</v>
      </c>
      <c r="U574">
        <v>3.6134469702485898E-2</v>
      </c>
      <c r="V574" t="s">
        <v>161</v>
      </c>
    </row>
    <row r="575" spans="9:22" x14ac:dyDescent="0.45">
      <c r="I575" t="s">
        <v>179</v>
      </c>
      <c r="J575" t="s">
        <v>272</v>
      </c>
      <c r="K575">
        <v>0</v>
      </c>
      <c r="L575" t="s">
        <v>161</v>
      </c>
      <c r="N575" t="s">
        <v>202</v>
      </c>
      <c r="O575" t="s">
        <v>272</v>
      </c>
      <c r="P575">
        <v>2.1762460307095784E-2</v>
      </c>
      <c r="Q575" t="s">
        <v>161</v>
      </c>
      <c r="S575" t="s">
        <v>224</v>
      </c>
      <c r="T575" t="s">
        <v>272</v>
      </c>
      <c r="U575">
        <v>1.6182290560220722E-2</v>
      </c>
      <c r="V575" t="s">
        <v>161</v>
      </c>
    </row>
    <row r="576" spans="9:22" x14ac:dyDescent="0.45">
      <c r="I576" t="s">
        <v>179</v>
      </c>
      <c r="J576" t="s">
        <v>273</v>
      </c>
      <c r="K576">
        <v>0</v>
      </c>
      <c r="L576" t="s">
        <v>161</v>
      </c>
      <c r="N576" t="s">
        <v>202</v>
      </c>
      <c r="O576" t="s">
        <v>273</v>
      </c>
      <c r="P576">
        <v>2.551271451698563E-3</v>
      </c>
      <c r="Q576" t="s">
        <v>161</v>
      </c>
      <c r="S576" t="s">
        <v>224</v>
      </c>
      <c r="T576" t="s">
        <v>273</v>
      </c>
      <c r="U576">
        <v>2.1593201432176645E-3</v>
      </c>
      <c r="V576" t="s">
        <v>161</v>
      </c>
    </row>
    <row r="577" spans="9:22" x14ac:dyDescent="0.45">
      <c r="I577" t="s">
        <v>179</v>
      </c>
      <c r="J577" t="s">
        <v>274</v>
      </c>
      <c r="K577">
        <v>3.8572017119922314E-3</v>
      </c>
      <c r="L577" t="s">
        <v>161</v>
      </c>
      <c r="N577" t="s">
        <v>202</v>
      </c>
      <c r="O577" t="s">
        <v>274</v>
      </c>
      <c r="P577">
        <v>1.4983378984886294E-2</v>
      </c>
      <c r="Q577" t="s">
        <v>161</v>
      </c>
      <c r="S577" t="s">
        <v>224</v>
      </c>
      <c r="T577" t="s">
        <v>274</v>
      </c>
      <c r="U577">
        <v>1.3852797808515966E-2</v>
      </c>
      <c r="V577" t="s">
        <v>161</v>
      </c>
    </row>
    <row r="578" spans="9:22" x14ac:dyDescent="0.45">
      <c r="I578" t="s">
        <v>179</v>
      </c>
      <c r="J578" t="s">
        <v>275</v>
      </c>
      <c r="K578">
        <v>1.2009218858096187E-4</v>
      </c>
      <c r="L578" t="s">
        <v>161</v>
      </c>
      <c r="N578" t="s">
        <v>202</v>
      </c>
      <c r="O578" t="s">
        <v>275</v>
      </c>
      <c r="P578">
        <v>2.1477954859363399E-3</v>
      </c>
      <c r="Q578" t="s">
        <v>161</v>
      </c>
      <c r="S578" t="s">
        <v>224</v>
      </c>
      <c r="T578" t="s">
        <v>275</v>
      </c>
      <c r="U578">
        <v>1.8726714500304029E-3</v>
      </c>
      <c r="V578" t="s">
        <v>161</v>
      </c>
    </row>
    <row r="579" spans="9:22" x14ac:dyDescent="0.45">
      <c r="I579" t="s">
        <v>179</v>
      </c>
      <c r="J579" t="s">
        <v>276</v>
      </c>
      <c r="K579">
        <v>0</v>
      </c>
      <c r="L579" t="s">
        <v>161</v>
      </c>
      <c r="N579" t="s">
        <v>202</v>
      </c>
      <c r="O579" t="s">
        <v>276</v>
      </c>
      <c r="P579">
        <v>2.2328497544143082E-3</v>
      </c>
      <c r="Q579" t="s">
        <v>161</v>
      </c>
      <c r="S579" t="s">
        <v>224</v>
      </c>
      <c r="T579" t="s">
        <v>276</v>
      </c>
      <c r="U579">
        <v>1.8621763762248274E-3</v>
      </c>
      <c r="V579" t="s">
        <v>161</v>
      </c>
    </row>
    <row r="580" spans="9:22" x14ac:dyDescent="0.45">
      <c r="I580" t="s">
        <v>179</v>
      </c>
      <c r="J580" t="s">
        <v>277</v>
      </c>
      <c r="K580">
        <v>0</v>
      </c>
      <c r="L580" t="s">
        <v>161</v>
      </c>
      <c r="N580" t="s">
        <v>202</v>
      </c>
      <c r="O580" t="s">
        <v>277</v>
      </c>
      <c r="P580">
        <v>1.4592397916639955E-2</v>
      </c>
      <c r="Q580" t="s">
        <v>161</v>
      </c>
      <c r="S580" t="s">
        <v>224</v>
      </c>
      <c r="T580" t="s">
        <v>277</v>
      </c>
      <c r="U580">
        <v>1.0886214281160747E-2</v>
      </c>
      <c r="V580" t="s">
        <v>161</v>
      </c>
    </row>
    <row r="581" spans="9:22" x14ac:dyDescent="0.45">
      <c r="I581" t="s">
        <v>179</v>
      </c>
      <c r="J581" t="s">
        <v>278</v>
      </c>
      <c r="K581">
        <v>0</v>
      </c>
      <c r="L581" t="s">
        <v>161</v>
      </c>
      <c r="N581" t="s">
        <v>202</v>
      </c>
      <c r="O581" t="s">
        <v>278</v>
      </c>
      <c r="P581">
        <v>9.6324268562207986E-3</v>
      </c>
      <c r="Q581" t="s">
        <v>161</v>
      </c>
      <c r="S581" t="s">
        <v>224</v>
      </c>
      <c r="T581" t="s">
        <v>278</v>
      </c>
      <c r="U581">
        <v>6.6244278258581531E-3</v>
      </c>
      <c r="V581" t="s">
        <v>161</v>
      </c>
    </row>
    <row r="582" spans="9:22" x14ac:dyDescent="0.45">
      <c r="I582" t="s">
        <v>179</v>
      </c>
      <c r="J582" t="s">
        <v>279</v>
      </c>
      <c r="K582">
        <v>0</v>
      </c>
      <c r="L582" t="s">
        <v>161</v>
      </c>
      <c r="N582" t="s">
        <v>202</v>
      </c>
      <c r="O582" t="s">
        <v>279</v>
      </c>
      <c r="P582">
        <v>1.3075007102824711E-3</v>
      </c>
      <c r="Q582" t="s">
        <v>161</v>
      </c>
      <c r="S582" t="s">
        <v>224</v>
      </c>
      <c r="T582" t="s">
        <v>279</v>
      </c>
      <c r="U582">
        <v>8.3935936801812219E-4</v>
      </c>
      <c r="V582" t="s">
        <v>161</v>
      </c>
    </row>
    <row r="583" spans="9:22" x14ac:dyDescent="0.45">
      <c r="I583" t="s">
        <v>179</v>
      </c>
      <c r="J583" t="s">
        <v>280</v>
      </c>
      <c r="K583">
        <v>3.1514726952607147E-3</v>
      </c>
      <c r="L583" t="s">
        <v>161</v>
      </c>
      <c r="N583" t="s">
        <v>202</v>
      </c>
      <c r="O583" t="s">
        <v>280</v>
      </c>
      <c r="P583">
        <v>7.9957941922306972E-3</v>
      </c>
      <c r="Q583" t="s">
        <v>161</v>
      </c>
      <c r="S583" t="s">
        <v>224</v>
      </c>
      <c r="T583" t="s">
        <v>280</v>
      </c>
      <c r="U583">
        <v>6.8420138056858159E-3</v>
      </c>
      <c r="V583" t="s">
        <v>161</v>
      </c>
    </row>
    <row r="584" spans="9:22" x14ac:dyDescent="0.45">
      <c r="I584" t="s">
        <v>179</v>
      </c>
      <c r="J584" t="s">
        <v>281</v>
      </c>
      <c r="K584">
        <v>2.9126362769765161E-4</v>
      </c>
      <c r="L584" t="s">
        <v>161</v>
      </c>
      <c r="N584" t="s">
        <v>202</v>
      </c>
      <c r="O584" t="s">
        <v>281</v>
      </c>
      <c r="P584">
        <v>1.1519654041183022E-3</v>
      </c>
      <c r="Q584" t="s">
        <v>161</v>
      </c>
      <c r="S584" t="s">
        <v>224</v>
      </c>
      <c r="T584" t="s">
        <v>281</v>
      </c>
      <c r="U584">
        <v>1.1694323557915848E-3</v>
      </c>
      <c r="V584" t="s">
        <v>161</v>
      </c>
    </row>
    <row r="585" spans="9:22" x14ac:dyDescent="0.45">
      <c r="I585" t="s">
        <v>179</v>
      </c>
      <c r="J585" t="s">
        <v>282</v>
      </c>
      <c r="K585">
        <v>0</v>
      </c>
      <c r="L585" t="s">
        <v>161</v>
      </c>
      <c r="N585" t="s">
        <v>202</v>
      </c>
      <c r="O585" t="s">
        <v>282</v>
      </c>
      <c r="P585">
        <v>1.200222769821607E-3</v>
      </c>
      <c r="Q585" t="s">
        <v>161</v>
      </c>
      <c r="S585" t="s">
        <v>224</v>
      </c>
      <c r="T585" t="s">
        <v>282</v>
      </c>
      <c r="U585">
        <v>1.1941046188676566E-3</v>
      </c>
      <c r="V585" t="s">
        <v>161</v>
      </c>
    </row>
    <row r="586" spans="9:22" x14ac:dyDescent="0.45">
      <c r="I586" t="s">
        <v>179</v>
      </c>
      <c r="J586" t="s">
        <v>283</v>
      </c>
      <c r="K586">
        <v>0</v>
      </c>
      <c r="L586" t="s">
        <v>161</v>
      </c>
      <c r="N586" t="s">
        <v>202</v>
      </c>
      <c r="O586" t="s">
        <v>283</v>
      </c>
      <c r="P586">
        <v>7.3859171497671298E-3</v>
      </c>
      <c r="Q586" t="s">
        <v>161</v>
      </c>
      <c r="S586" t="s">
        <v>224</v>
      </c>
      <c r="T586" t="s">
        <v>283</v>
      </c>
      <c r="U586">
        <v>7.013817093500541E-3</v>
      </c>
      <c r="V586" t="s">
        <v>161</v>
      </c>
    </row>
    <row r="587" spans="9:22" x14ac:dyDescent="0.45">
      <c r="I587" t="s">
        <v>180</v>
      </c>
      <c r="J587" t="s">
        <v>160</v>
      </c>
      <c r="K587">
        <v>0</v>
      </c>
      <c r="L587" t="s">
        <v>161</v>
      </c>
      <c r="N587" t="s">
        <v>203</v>
      </c>
      <c r="O587" t="s">
        <v>160</v>
      </c>
      <c r="P587">
        <v>7.5768272828599992E-2</v>
      </c>
      <c r="Q587" t="s">
        <v>161</v>
      </c>
      <c r="S587" t="s">
        <v>225</v>
      </c>
      <c r="T587" t="s">
        <v>160</v>
      </c>
      <c r="U587">
        <v>7.6120136856745485E-2</v>
      </c>
      <c r="V587" t="s">
        <v>161</v>
      </c>
    </row>
    <row r="588" spans="9:22" x14ac:dyDescent="0.45">
      <c r="I588" t="s">
        <v>180</v>
      </c>
      <c r="J588" t="s">
        <v>162</v>
      </c>
      <c r="K588">
        <v>2.7613287840416233E-3</v>
      </c>
      <c r="L588" t="s">
        <v>161</v>
      </c>
      <c r="N588" t="s">
        <v>203</v>
      </c>
      <c r="O588" t="s">
        <v>162</v>
      </c>
      <c r="P588">
        <v>9.3318047324287175E-3</v>
      </c>
      <c r="Q588" t="s">
        <v>161</v>
      </c>
      <c r="S588" t="s">
        <v>225</v>
      </c>
      <c r="T588" t="s">
        <v>162</v>
      </c>
      <c r="U588">
        <v>9.8051180940596297E-3</v>
      </c>
      <c r="V588" t="s">
        <v>161</v>
      </c>
    </row>
    <row r="589" spans="9:22" x14ac:dyDescent="0.45">
      <c r="I589" t="s">
        <v>180</v>
      </c>
      <c r="J589" t="s">
        <v>163</v>
      </c>
      <c r="K589">
        <v>8.2970390165934146E-2</v>
      </c>
      <c r="L589" t="s">
        <v>161</v>
      </c>
      <c r="N589" t="s">
        <v>203</v>
      </c>
      <c r="O589" t="s">
        <v>163</v>
      </c>
      <c r="P589">
        <v>6.2281091725761697E-2</v>
      </c>
      <c r="Q589" t="s">
        <v>161</v>
      </c>
      <c r="S589" t="s">
        <v>225</v>
      </c>
      <c r="T589" t="s">
        <v>163</v>
      </c>
      <c r="U589">
        <v>6.3810103525076156E-2</v>
      </c>
      <c r="V589" t="s">
        <v>161</v>
      </c>
    </row>
    <row r="590" spans="9:22" x14ac:dyDescent="0.45">
      <c r="I590" t="s">
        <v>180</v>
      </c>
      <c r="J590" t="s">
        <v>242</v>
      </c>
      <c r="K590">
        <v>9.9796541437878351E-3</v>
      </c>
      <c r="L590" t="s">
        <v>161</v>
      </c>
      <c r="N590" t="s">
        <v>203</v>
      </c>
      <c r="O590" t="s">
        <v>242</v>
      </c>
      <c r="P590">
        <v>8.8928206912009221E-3</v>
      </c>
      <c r="Q590" t="s">
        <v>161</v>
      </c>
      <c r="S590" t="s">
        <v>225</v>
      </c>
      <c r="T590" t="s">
        <v>242</v>
      </c>
      <c r="U590">
        <v>8.9082035051062415E-3</v>
      </c>
      <c r="V590" t="s">
        <v>161</v>
      </c>
    </row>
    <row r="591" spans="9:22" x14ac:dyDescent="0.45">
      <c r="I591" t="s">
        <v>180</v>
      </c>
      <c r="J591" t="s">
        <v>243</v>
      </c>
      <c r="K591">
        <v>5.6983786071114189E-3</v>
      </c>
      <c r="L591" t="s">
        <v>161</v>
      </c>
      <c r="N591" t="s">
        <v>203</v>
      </c>
      <c r="O591" t="s">
        <v>243</v>
      </c>
      <c r="P591">
        <v>9.163305068079915E-3</v>
      </c>
      <c r="Q591" t="s">
        <v>161</v>
      </c>
      <c r="S591" t="s">
        <v>225</v>
      </c>
      <c r="T591" t="s">
        <v>243</v>
      </c>
      <c r="U591">
        <v>9.1048900748888079E-3</v>
      </c>
      <c r="V591" t="s">
        <v>161</v>
      </c>
    </row>
    <row r="592" spans="9:22" x14ac:dyDescent="0.45">
      <c r="I592" t="s">
        <v>180</v>
      </c>
      <c r="J592" t="s">
        <v>266</v>
      </c>
      <c r="K592">
        <v>2.0297816228181547E-3</v>
      </c>
      <c r="L592" t="s">
        <v>161</v>
      </c>
      <c r="N592" t="s">
        <v>203</v>
      </c>
      <c r="O592" t="s">
        <v>266</v>
      </c>
      <c r="P592">
        <v>5.6438660231535639E-2</v>
      </c>
      <c r="Q592" t="s">
        <v>161</v>
      </c>
      <c r="S592" t="s">
        <v>225</v>
      </c>
      <c r="T592" t="s">
        <v>266</v>
      </c>
      <c r="U592">
        <v>5.6950272263955035E-2</v>
      </c>
      <c r="V592" t="s">
        <v>161</v>
      </c>
    </row>
    <row r="593" spans="9:22" x14ac:dyDescent="0.45">
      <c r="I593" t="s">
        <v>180</v>
      </c>
      <c r="J593" t="s">
        <v>311</v>
      </c>
      <c r="K593">
        <v>0</v>
      </c>
      <c r="L593" t="s">
        <v>161</v>
      </c>
      <c r="N593" t="s">
        <v>203</v>
      </c>
      <c r="O593" t="s">
        <v>311</v>
      </c>
      <c r="P593">
        <v>1.2855761850888429E-5</v>
      </c>
      <c r="Q593" t="s">
        <v>161</v>
      </c>
      <c r="S593" t="s">
        <v>225</v>
      </c>
      <c r="T593" t="s">
        <v>311</v>
      </c>
      <c r="U593">
        <v>8.0099013377511592E-6</v>
      </c>
      <c r="V593" t="s">
        <v>161</v>
      </c>
    </row>
    <row r="594" spans="9:22" x14ac:dyDescent="0.45">
      <c r="I594" t="s">
        <v>180</v>
      </c>
      <c r="J594" t="s">
        <v>312</v>
      </c>
      <c r="K594">
        <v>0</v>
      </c>
      <c r="L594" t="s">
        <v>161</v>
      </c>
      <c r="N594" t="s">
        <v>203</v>
      </c>
      <c r="O594" t="s">
        <v>312</v>
      </c>
      <c r="P594">
        <v>1.0563533536870995E-5</v>
      </c>
      <c r="Q594" t="s">
        <v>161</v>
      </c>
      <c r="S594" t="s">
        <v>225</v>
      </c>
      <c r="T594" t="s">
        <v>312</v>
      </c>
      <c r="U594">
        <v>6.7259374197007535E-6</v>
      </c>
      <c r="V594" t="s">
        <v>161</v>
      </c>
    </row>
    <row r="595" spans="9:22" x14ac:dyDescent="0.45">
      <c r="I595" t="s">
        <v>180</v>
      </c>
      <c r="J595" t="s">
        <v>313</v>
      </c>
      <c r="K595">
        <v>0</v>
      </c>
      <c r="L595" t="s">
        <v>161</v>
      </c>
      <c r="N595" t="s">
        <v>203</v>
      </c>
      <c r="O595" t="s">
        <v>313</v>
      </c>
      <c r="P595">
        <v>8.8667718376151185E-6</v>
      </c>
      <c r="Q595" t="s">
        <v>161</v>
      </c>
      <c r="S595" t="s">
        <v>225</v>
      </c>
      <c r="T595" t="s">
        <v>313</v>
      </c>
      <c r="U595">
        <v>6.1572521836293169E-6</v>
      </c>
      <c r="V595" t="s">
        <v>161</v>
      </c>
    </row>
    <row r="596" spans="9:22" x14ac:dyDescent="0.45">
      <c r="I596" t="s">
        <v>180</v>
      </c>
      <c r="J596" t="s">
        <v>314</v>
      </c>
      <c r="K596">
        <v>0</v>
      </c>
      <c r="L596" t="s">
        <v>161</v>
      </c>
      <c r="N596" t="s">
        <v>203</v>
      </c>
      <c r="O596" t="s">
        <v>314</v>
      </c>
      <c r="P596">
        <v>6.989346961259052E-6</v>
      </c>
      <c r="Q596" t="s">
        <v>161</v>
      </c>
      <c r="S596" t="s">
        <v>225</v>
      </c>
      <c r="T596" t="s">
        <v>314</v>
      </c>
      <c r="U596">
        <v>2.7563384512584336E-6</v>
      </c>
      <c r="V596" t="s">
        <v>161</v>
      </c>
    </row>
    <row r="597" spans="9:22" x14ac:dyDescent="0.45">
      <c r="I597" t="s">
        <v>180</v>
      </c>
      <c r="J597" t="s">
        <v>315</v>
      </c>
      <c r="K597">
        <v>0</v>
      </c>
      <c r="L597" t="s">
        <v>161</v>
      </c>
      <c r="N597" t="s">
        <v>203</v>
      </c>
      <c r="O597" t="s">
        <v>315</v>
      </c>
      <c r="P597">
        <v>8.1230896386270721E-6</v>
      </c>
      <c r="Q597" t="s">
        <v>161</v>
      </c>
      <c r="S597" t="s">
        <v>225</v>
      </c>
      <c r="T597" t="s">
        <v>315</v>
      </c>
      <c r="U597">
        <v>1.2744363927438441E-6</v>
      </c>
      <c r="V597" t="s">
        <v>161</v>
      </c>
    </row>
    <row r="598" spans="9:22" x14ac:dyDescent="0.45">
      <c r="I598" t="s">
        <v>180</v>
      </c>
      <c r="J598" t="s">
        <v>316</v>
      </c>
      <c r="K598">
        <v>0</v>
      </c>
      <c r="L598" t="s">
        <v>161</v>
      </c>
      <c r="N598" t="s">
        <v>203</v>
      </c>
      <c r="O598" t="s">
        <v>316</v>
      </c>
      <c r="P598">
        <v>6.8221686856749026E-6</v>
      </c>
      <c r="Q598" t="s">
        <v>161</v>
      </c>
      <c r="S598" t="s">
        <v>225</v>
      </c>
      <c r="T598" t="s">
        <v>316</v>
      </c>
      <c r="U598">
        <v>1.1090769604737408E-6</v>
      </c>
      <c r="V598" t="s">
        <v>161</v>
      </c>
    </row>
    <row r="599" spans="9:22" x14ac:dyDescent="0.45">
      <c r="I599" t="s">
        <v>180</v>
      </c>
      <c r="J599" t="s">
        <v>317</v>
      </c>
      <c r="K599">
        <v>0</v>
      </c>
      <c r="L599" t="s">
        <v>161</v>
      </c>
      <c r="N599" t="s">
        <v>203</v>
      </c>
      <c r="O599" t="s">
        <v>317</v>
      </c>
      <c r="P599">
        <v>4.6917275580114914E-6</v>
      </c>
      <c r="Q599" t="s">
        <v>161</v>
      </c>
      <c r="S599" t="s">
        <v>225</v>
      </c>
      <c r="T599" t="s">
        <v>317</v>
      </c>
      <c r="U599">
        <v>2.8851959430486791E-7</v>
      </c>
      <c r="V599" t="s">
        <v>161</v>
      </c>
    </row>
    <row r="600" spans="9:22" x14ac:dyDescent="0.45">
      <c r="I600" t="s">
        <v>180</v>
      </c>
      <c r="J600" t="s">
        <v>318</v>
      </c>
      <c r="K600">
        <v>0</v>
      </c>
      <c r="L600" t="s">
        <v>161</v>
      </c>
      <c r="N600" t="s">
        <v>203</v>
      </c>
      <c r="O600" t="s">
        <v>318</v>
      </c>
      <c r="P600">
        <v>4.2126413447901684E-6</v>
      </c>
      <c r="Q600" t="s">
        <v>161</v>
      </c>
      <c r="S600" t="s">
        <v>225</v>
      </c>
      <c r="T600" t="s">
        <v>318</v>
      </c>
      <c r="U600">
        <v>0</v>
      </c>
      <c r="V600" t="s">
        <v>161</v>
      </c>
    </row>
    <row r="601" spans="9:22" x14ac:dyDescent="0.45">
      <c r="I601" t="s">
        <v>180</v>
      </c>
      <c r="J601" t="s">
        <v>319</v>
      </c>
      <c r="K601">
        <v>0</v>
      </c>
      <c r="L601" t="s">
        <v>161</v>
      </c>
      <c r="N601" t="s">
        <v>203</v>
      </c>
      <c r="O601" t="s">
        <v>319</v>
      </c>
      <c r="P601">
        <v>5.3673792403865637E-7</v>
      </c>
      <c r="Q601" t="s">
        <v>161</v>
      </c>
      <c r="S601" t="s">
        <v>225</v>
      </c>
      <c r="T601" t="s">
        <v>319</v>
      </c>
      <c r="U601">
        <v>0</v>
      </c>
      <c r="V601" t="s">
        <v>161</v>
      </c>
    </row>
    <row r="602" spans="9:22" x14ac:dyDescent="0.45">
      <c r="I602" t="s">
        <v>180</v>
      </c>
      <c r="J602" t="s">
        <v>320</v>
      </c>
      <c r="K602">
        <v>6.1664736642466045E-5</v>
      </c>
      <c r="L602" t="s">
        <v>161</v>
      </c>
      <c r="N602" t="s">
        <v>203</v>
      </c>
      <c r="O602" t="s">
        <v>320</v>
      </c>
      <c r="P602">
        <v>9.9544218870315757E-8</v>
      </c>
      <c r="Q602" t="s">
        <v>161</v>
      </c>
      <c r="S602" t="s">
        <v>225</v>
      </c>
      <c r="T602" t="s">
        <v>320</v>
      </c>
      <c r="U602">
        <v>0</v>
      </c>
      <c r="V602" t="s">
        <v>161</v>
      </c>
    </row>
    <row r="603" spans="9:22" x14ac:dyDescent="0.45">
      <c r="I603" t="s">
        <v>180</v>
      </c>
      <c r="J603" t="s">
        <v>321</v>
      </c>
      <c r="K603">
        <v>1.0870725573451851E-4</v>
      </c>
      <c r="L603" t="s">
        <v>161</v>
      </c>
      <c r="N603" t="s">
        <v>203</v>
      </c>
      <c r="O603" t="s">
        <v>321</v>
      </c>
      <c r="P603">
        <v>1.3463170932661039E-7</v>
      </c>
      <c r="Q603" t="s">
        <v>161</v>
      </c>
      <c r="S603" t="s">
        <v>225</v>
      </c>
      <c r="T603" t="s">
        <v>321</v>
      </c>
      <c r="U603">
        <v>0</v>
      </c>
      <c r="V603" t="s">
        <v>161</v>
      </c>
    </row>
    <row r="604" spans="9:22" x14ac:dyDescent="0.45">
      <c r="I604" t="s">
        <v>180</v>
      </c>
      <c r="J604" t="s">
        <v>322</v>
      </c>
      <c r="K604">
        <v>1.5794786302991755E-4</v>
      </c>
      <c r="L604" t="s">
        <v>161</v>
      </c>
      <c r="N604" t="s">
        <v>203</v>
      </c>
      <c r="O604" t="s">
        <v>322</v>
      </c>
      <c r="P604">
        <v>1.2368989207120193E-7</v>
      </c>
      <c r="Q604" t="s">
        <v>161</v>
      </c>
      <c r="S604" t="s">
        <v>225</v>
      </c>
      <c r="T604" t="s">
        <v>322</v>
      </c>
      <c r="U604">
        <v>0</v>
      </c>
      <c r="V604" t="s">
        <v>161</v>
      </c>
    </row>
    <row r="605" spans="9:22" x14ac:dyDescent="0.45">
      <c r="I605" t="s">
        <v>180</v>
      </c>
      <c r="J605" t="s">
        <v>323</v>
      </c>
      <c r="K605">
        <v>2.0484514384697905E-4</v>
      </c>
      <c r="L605" t="s">
        <v>161</v>
      </c>
      <c r="N605" t="s">
        <v>203</v>
      </c>
      <c r="O605" t="s">
        <v>323</v>
      </c>
      <c r="P605">
        <v>1.1135697012821426E-7</v>
      </c>
      <c r="Q605" t="s">
        <v>161</v>
      </c>
      <c r="S605" t="s">
        <v>225</v>
      </c>
      <c r="T605" t="s">
        <v>323</v>
      </c>
      <c r="U605">
        <v>0</v>
      </c>
      <c r="V605" t="s">
        <v>161</v>
      </c>
    </row>
    <row r="606" spans="9:22" x14ac:dyDescent="0.45">
      <c r="I606" t="s">
        <v>180</v>
      </c>
      <c r="J606" t="s">
        <v>324</v>
      </c>
      <c r="K606">
        <v>1.8952404315050823E-4</v>
      </c>
      <c r="L606" t="s">
        <v>161</v>
      </c>
      <c r="N606" t="s">
        <v>203</v>
      </c>
      <c r="O606" t="s">
        <v>324</v>
      </c>
      <c r="P606">
        <v>1.1375496603016823E-7</v>
      </c>
      <c r="Q606" t="s">
        <v>161</v>
      </c>
      <c r="S606" t="s">
        <v>225</v>
      </c>
      <c r="T606" t="s">
        <v>324</v>
      </c>
      <c r="U606">
        <v>0</v>
      </c>
      <c r="V606" t="s">
        <v>161</v>
      </c>
    </row>
    <row r="607" spans="9:22" x14ac:dyDescent="0.45">
      <c r="I607" t="s">
        <v>180</v>
      </c>
      <c r="J607" t="s">
        <v>325</v>
      </c>
      <c r="K607">
        <v>2.1392162059592648E-4</v>
      </c>
      <c r="L607" t="s">
        <v>161</v>
      </c>
      <c r="N607" t="s">
        <v>203</v>
      </c>
      <c r="O607" t="s">
        <v>325</v>
      </c>
      <c r="P607">
        <v>1.7196910456743947E-7</v>
      </c>
      <c r="Q607" t="s">
        <v>161</v>
      </c>
      <c r="S607" t="s">
        <v>225</v>
      </c>
      <c r="T607" t="s">
        <v>325</v>
      </c>
      <c r="U607">
        <v>0</v>
      </c>
      <c r="V607" t="s">
        <v>161</v>
      </c>
    </row>
    <row r="608" spans="9:22" x14ac:dyDescent="0.45">
      <c r="I608" t="s">
        <v>180</v>
      </c>
      <c r="J608" t="s">
        <v>326</v>
      </c>
      <c r="K608">
        <v>2.0405367625899056E-4</v>
      </c>
      <c r="L608" t="s">
        <v>161</v>
      </c>
      <c r="N608" t="s">
        <v>203</v>
      </c>
      <c r="O608" t="s">
        <v>326</v>
      </c>
      <c r="P608">
        <v>3.3728902109523919E-7</v>
      </c>
      <c r="Q608" t="s">
        <v>161</v>
      </c>
      <c r="S608" t="s">
        <v>225</v>
      </c>
      <c r="T608" t="s">
        <v>326</v>
      </c>
      <c r="U608">
        <v>0</v>
      </c>
      <c r="V608" t="s">
        <v>161</v>
      </c>
    </row>
    <row r="609" spans="9:22" x14ac:dyDescent="0.45">
      <c r="I609" t="s">
        <v>180</v>
      </c>
      <c r="J609" t="s">
        <v>327</v>
      </c>
      <c r="K609">
        <v>1.8221265009703226E-4</v>
      </c>
      <c r="L609" t="s">
        <v>161</v>
      </c>
      <c r="N609" t="s">
        <v>203</v>
      </c>
      <c r="O609" t="s">
        <v>327</v>
      </c>
      <c r="P609">
        <v>2.5601046922973229E-6</v>
      </c>
      <c r="Q609" t="s">
        <v>161</v>
      </c>
      <c r="S609" t="s">
        <v>225</v>
      </c>
      <c r="T609" t="s">
        <v>327</v>
      </c>
      <c r="U609">
        <v>0</v>
      </c>
      <c r="V609" t="s">
        <v>161</v>
      </c>
    </row>
    <row r="610" spans="9:22" x14ac:dyDescent="0.45">
      <c r="I610" t="s">
        <v>180</v>
      </c>
      <c r="J610" t="s">
        <v>328</v>
      </c>
      <c r="K610">
        <v>9.5318091844503612E-5</v>
      </c>
      <c r="L610" t="s">
        <v>161</v>
      </c>
      <c r="N610" t="s">
        <v>203</v>
      </c>
      <c r="O610" t="s">
        <v>328</v>
      </c>
      <c r="P610">
        <v>5.7033932934294394E-6</v>
      </c>
      <c r="Q610" t="s">
        <v>161</v>
      </c>
      <c r="S610" t="s">
        <v>225</v>
      </c>
      <c r="T610" t="s">
        <v>328</v>
      </c>
      <c r="U610">
        <v>0</v>
      </c>
      <c r="V610" t="s">
        <v>161</v>
      </c>
    </row>
    <row r="611" spans="9:22" x14ac:dyDescent="0.45">
      <c r="I611" t="s">
        <v>180</v>
      </c>
      <c r="J611" t="s">
        <v>329</v>
      </c>
      <c r="K611">
        <v>0</v>
      </c>
      <c r="L611" t="s">
        <v>161</v>
      </c>
      <c r="N611" t="s">
        <v>203</v>
      </c>
      <c r="O611" t="s">
        <v>329</v>
      </c>
      <c r="P611">
        <v>1.1390370824012194E-5</v>
      </c>
      <c r="Q611" t="s">
        <v>161</v>
      </c>
      <c r="S611" t="s">
        <v>225</v>
      </c>
      <c r="T611" t="s">
        <v>329</v>
      </c>
      <c r="U611">
        <v>0</v>
      </c>
      <c r="V611" t="s">
        <v>161</v>
      </c>
    </row>
    <row r="612" spans="9:22" x14ac:dyDescent="0.45">
      <c r="I612" t="s">
        <v>180</v>
      </c>
      <c r="J612" t="s">
        <v>330</v>
      </c>
      <c r="K612">
        <v>0</v>
      </c>
      <c r="L612" t="s">
        <v>161</v>
      </c>
      <c r="N612" t="s">
        <v>203</v>
      </c>
      <c r="O612" t="s">
        <v>330</v>
      </c>
      <c r="P612">
        <v>1.8982944657522459E-5</v>
      </c>
      <c r="Q612" t="s">
        <v>161</v>
      </c>
      <c r="S612" t="s">
        <v>225</v>
      </c>
      <c r="T612" t="s">
        <v>330</v>
      </c>
      <c r="U612">
        <v>0</v>
      </c>
      <c r="V612" t="s">
        <v>161</v>
      </c>
    </row>
    <row r="613" spans="9:22" x14ac:dyDescent="0.45">
      <c r="I613" t="s">
        <v>180</v>
      </c>
      <c r="J613" t="s">
        <v>331</v>
      </c>
      <c r="K613">
        <v>0</v>
      </c>
      <c r="L613" t="s">
        <v>161</v>
      </c>
      <c r="N613" t="s">
        <v>203</v>
      </c>
      <c r="O613" t="s">
        <v>331</v>
      </c>
      <c r="P613">
        <v>1.9211302092852577E-5</v>
      </c>
      <c r="Q613" t="s">
        <v>161</v>
      </c>
      <c r="S613" t="s">
        <v>225</v>
      </c>
      <c r="T613" t="s">
        <v>331</v>
      </c>
      <c r="U613">
        <v>0</v>
      </c>
      <c r="V613" t="s">
        <v>161</v>
      </c>
    </row>
    <row r="614" spans="9:22" x14ac:dyDescent="0.45">
      <c r="I614" t="s">
        <v>180</v>
      </c>
      <c r="J614" t="s">
        <v>332</v>
      </c>
      <c r="K614">
        <v>0</v>
      </c>
      <c r="L614" t="s">
        <v>161</v>
      </c>
      <c r="N614" t="s">
        <v>203</v>
      </c>
      <c r="O614" t="s">
        <v>332</v>
      </c>
      <c r="P614">
        <v>1.4936028494873955E-5</v>
      </c>
      <c r="Q614" t="s">
        <v>161</v>
      </c>
      <c r="S614" t="s">
        <v>225</v>
      </c>
      <c r="T614" t="s">
        <v>332</v>
      </c>
      <c r="U614">
        <v>9.1680704647507462E-7</v>
      </c>
      <c r="V614" t="s">
        <v>161</v>
      </c>
    </row>
    <row r="615" spans="9:22" x14ac:dyDescent="0.45">
      <c r="I615" t="s">
        <v>180</v>
      </c>
      <c r="J615" t="s">
        <v>333</v>
      </c>
      <c r="K615">
        <v>0</v>
      </c>
      <c r="L615" t="s">
        <v>161</v>
      </c>
      <c r="N615" t="s">
        <v>203</v>
      </c>
      <c r="O615" t="s">
        <v>333</v>
      </c>
      <c r="P615">
        <v>3.9022553488813057E-6</v>
      </c>
      <c r="Q615" t="s">
        <v>161</v>
      </c>
      <c r="S615" t="s">
        <v>225</v>
      </c>
      <c r="T615" t="s">
        <v>333</v>
      </c>
      <c r="U615">
        <v>9.2004072294121814E-7</v>
      </c>
      <c r="V615" t="s">
        <v>161</v>
      </c>
    </row>
    <row r="616" spans="9:22" x14ac:dyDescent="0.45">
      <c r="I616" t="s">
        <v>180</v>
      </c>
      <c r="J616" t="s">
        <v>334</v>
      </c>
      <c r="K616">
        <v>0</v>
      </c>
      <c r="L616" t="s">
        <v>161</v>
      </c>
      <c r="N616" t="s">
        <v>203</v>
      </c>
      <c r="O616" t="s">
        <v>334</v>
      </c>
      <c r="P616">
        <v>1.422830593317208E-6</v>
      </c>
      <c r="Q616" t="s">
        <v>161</v>
      </c>
      <c r="S616" t="s">
        <v>225</v>
      </c>
      <c r="T616" t="s">
        <v>334</v>
      </c>
      <c r="U616">
        <v>4.2513738000141813E-6</v>
      </c>
      <c r="V616" t="s">
        <v>161</v>
      </c>
    </row>
    <row r="617" spans="9:22" x14ac:dyDescent="0.45">
      <c r="I617" t="s">
        <v>180</v>
      </c>
      <c r="J617" t="s">
        <v>164</v>
      </c>
      <c r="K617">
        <v>6.5949887284057779E-3</v>
      </c>
      <c r="L617" t="s">
        <v>161</v>
      </c>
      <c r="N617" t="s">
        <v>203</v>
      </c>
      <c r="O617" t="s">
        <v>164</v>
      </c>
      <c r="P617">
        <v>3.7857368192275913E-2</v>
      </c>
      <c r="Q617" t="s">
        <v>161</v>
      </c>
      <c r="S617" t="s">
        <v>225</v>
      </c>
      <c r="T617" t="s">
        <v>164</v>
      </c>
      <c r="U617">
        <v>3.5883129758386562E-2</v>
      </c>
      <c r="V617" t="s">
        <v>161</v>
      </c>
    </row>
    <row r="618" spans="9:22" x14ac:dyDescent="0.45">
      <c r="I618" t="s">
        <v>180</v>
      </c>
      <c r="J618" t="s">
        <v>165</v>
      </c>
      <c r="K618">
        <v>9.0163523010752498E-3</v>
      </c>
      <c r="L618" t="s">
        <v>161</v>
      </c>
      <c r="N618" t="s">
        <v>203</v>
      </c>
      <c r="O618" t="s">
        <v>165</v>
      </c>
      <c r="P618">
        <v>4.1380085103516207E-3</v>
      </c>
      <c r="Q618" t="s">
        <v>161</v>
      </c>
      <c r="S618" t="s">
        <v>225</v>
      </c>
      <c r="T618" t="s">
        <v>165</v>
      </c>
      <c r="U618">
        <v>4.4207389564032392E-3</v>
      </c>
      <c r="V618" t="s">
        <v>161</v>
      </c>
    </row>
    <row r="619" spans="9:22" x14ac:dyDescent="0.45">
      <c r="I619" t="s">
        <v>180</v>
      </c>
      <c r="J619" t="s">
        <v>166</v>
      </c>
      <c r="K619">
        <v>9.1996072688518143E-2</v>
      </c>
      <c r="L619" t="s">
        <v>161</v>
      </c>
      <c r="N619" t="s">
        <v>203</v>
      </c>
      <c r="O619" t="s">
        <v>166</v>
      </c>
      <c r="P619">
        <v>3.0414974021755952E-2</v>
      </c>
      <c r="Q619" t="s">
        <v>161</v>
      </c>
      <c r="S619" t="s">
        <v>225</v>
      </c>
      <c r="T619" t="s">
        <v>166</v>
      </c>
      <c r="U619">
        <v>3.2469639165871811E-2</v>
      </c>
      <c r="V619" t="s">
        <v>161</v>
      </c>
    </row>
    <row r="620" spans="9:22" x14ac:dyDescent="0.45">
      <c r="I620" t="s">
        <v>180</v>
      </c>
      <c r="J620" t="s">
        <v>244</v>
      </c>
      <c r="K620">
        <v>1.1251277774754861E-2</v>
      </c>
      <c r="L620" t="s">
        <v>161</v>
      </c>
      <c r="N620" t="s">
        <v>203</v>
      </c>
      <c r="O620" t="s">
        <v>244</v>
      </c>
      <c r="P620">
        <v>4.4219117886542909E-3</v>
      </c>
      <c r="Q620" t="s">
        <v>161</v>
      </c>
      <c r="S620" t="s">
        <v>225</v>
      </c>
      <c r="T620" t="s">
        <v>244</v>
      </c>
      <c r="U620">
        <v>4.8463965279573066E-3</v>
      </c>
      <c r="V620" t="s">
        <v>161</v>
      </c>
    </row>
    <row r="621" spans="9:22" x14ac:dyDescent="0.45">
      <c r="I621" t="s">
        <v>180</v>
      </c>
      <c r="J621" t="s">
        <v>245</v>
      </c>
      <c r="K621">
        <v>8.8979675418594199E-3</v>
      </c>
      <c r="L621" t="s">
        <v>161</v>
      </c>
      <c r="N621" t="s">
        <v>203</v>
      </c>
      <c r="O621" t="s">
        <v>245</v>
      </c>
      <c r="P621">
        <v>4.3239559627804465E-3</v>
      </c>
      <c r="Q621" t="s">
        <v>161</v>
      </c>
      <c r="S621" t="s">
        <v>225</v>
      </c>
      <c r="T621" t="s">
        <v>245</v>
      </c>
      <c r="U621">
        <v>4.7177947011892664E-3</v>
      </c>
      <c r="V621" t="s">
        <v>161</v>
      </c>
    </row>
    <row r="622" spans="9:22" x14ac:dyDescent="0.45">
      <c r="I622" t="s">
        <v>180</v>
      </c>
      <c r="J622" t="s">
        <v>267</v>
      </c>
      <c r="K622">
        <v>8.5896731608525942E-3</v>
      </c>
      <c r="L622" t="s">
        <v>161</v>
      </c>
      <c r="N622" t="s">
        <v>203</v>
      </c>
      <c r="O622" t="s">
        <v>267</v>
      </c>
      <c r="P622">
        <v>3.0106501543659504E-2</v>
      </c>
      <c r="Q622" t="s">
        <v>161</v>
      </c>
      <c r="S622" t="s">
        <v>225</v>
      </c>
      <c r="T622" t="s">
        <v>267</v>
      </c>
      <c r="U622">
        <v>2.8871683256583607E-2</v>
      </c>
      <c r="V622" t="s">
        <v>161</v>
      </c>
    </row>
    <row r="623" spans="9:22" x14ac:dyDescent="0.45">
      <c r="I623" t="s">
        <v>180</v>
      </c>
      <c r="J623" t="s">
        <v>167</v>
      </c>
      <c r="K623">
        <v>4.2316239700660521E-2</v>
      </c>
      <c r="L623" t="s">
        <v>161</v>
      </c>
      <c r="N623" t="s">
        <v>203</v>
      </c>
      <c r="O623" t="s">
        <v>167</v>
      </c>
      <c r="P623">
        <v>5.9682805009193152E-2</v>
      </c>
      <c r="Q623" t="s">
        <v>161</v>
      </c>
      <c r="S623" t="s">
        <v>225</v>
      </c>
      <c r="T623" t="s">
        <v>167</v>
      </c>
      <c r="U623">
        <v>6.5804261625036289E-2</v>
      </c>
      <c r="V623" t="s">
        <v>161</v>
      </c>
    </row>
    <row r="624" spans="9:22" x14ac:dyDescent="0.45">
      <c r="I624" t="s">
        <v>180</v>
      </c>
      <c r="J624" t="s">
        <v>168</v>
      </c>
      <c r="K624">
        <v>2.8542971075999964E-2</v>
      </c>
      <c r="L624" t="s">
        <v>161</v>
      </c>
      <c r="N624" t="s">
        <v>203</v>
      </c>
      <c r="O624" t="s">
        <v>168</v>
      </c>
      <c r="P624">
        <v>7.1631420226078088E-3</v>
      </c>
      <c r="Q624" t="s">
        <v>161</v>
      </c>
      <c r="S624" t="s">
        <v>225</v>
      </c>
      <c r="T624" t="s">
        <v>168</v>
      </c>
      <c r="U624">
        <v>7.6420187543346967E-3</v>
      </c>
      <c r="V624" t="s">
        <v>161</v>
      </c>
    </row>
    <row r="625" spans="9:22" x14ac:dyDescent="0.45">
      <c r="I625" t="s">
        <v>180</v>
      </c>
      <c r="J625" t="s">
        <v>169</v>
      </c>
      <c r="K625">
        <v>0.26686765880493951</v>
      </c>
      <c r="L625" t="s">
        <v>161</v>
      </c>
      <c r="N625" t="s">
        <v>203</v>
      </c>
      <c r="O625" t="s">
        <v>169</v>
      </c>
      <c r="P625">
        <v>5.3329697081351865E-2</v>
      </c>
      <c r="Q625" t="s">
        <v>161</v>
      </c>
      <c r="S625" t="s">
        <v>225</v>
      </c>
      <c r="T625" t="s">
        <v>169</v>
      </c>
      <c r="U625">
        <v>5.0392628833168973E-2</v>
      </c>
      <c r="V625" t="s">
        <v>161</v>
      </c>
    </row>
    <row r="626" spans="9:22" x14ac:dyDescent="0.45">
      <c r="I626" t="s">
        <v>180</v>
      </c>
      <c r="J626" t="s">
        <v>246</v>
      </c>
      <c r="K626">
        <v>3.5076080511339598E-2</v>
      </c>
      <c r="L626" t="s">
        <v>161</v>
      </c>
      <c r="N626" t="s">
        <v>203</v>
      </c>
      <c r="O626" t="s">
        <v>246</v>
      </c>
      <c r="P626">
        <v>7.755966810948158E-3</v>
      </c>
      <c r="Q626" t="s">
        <v>161</v>
      </c>
      <c r="S626" t="s">
        <v>225</v>
      </c>
      <c r="T626" t="s">
        <v>246</v>
      </c>
      <c r="U626">
        <v>7.5690113650769717E-3</v>
      </c>
      <c r="V626" t="s">
        <v>161</v>
      </c>
    </row>
    <row r="627" spans="9:22" x14ac:dyDescent="0.45">
      <c r="I627" t="s">
        <v>180</v>
      </c>
      <c r="J627" t="s">
        <v>247</v>
      </c>
      <c r="K627">
        <v>3.052426579156697E-2</v>
      </c>
      <c r="L627" t="s">
        <v>161</v>
      </c>
      <c r="N627" t="s">
        <v>203</v>
      </c>
      <c r="O627" t="s">
        <v>247</v>
      </c>
      <c r="P627">
        <v>7.1946572103575093E-3</v>
      </c>
      <c r="Q627" t="s">
        <v>161</v>
      </c>
      <c r="S627" t="s">
        <v>225</v>
      </c>
      <c r="T627" t="s">
        <v>247</v>
      </c>
      <c r="U627">
        <v>7.3862847142165391E-3</v>
      </c>
      <c r="V627" t="s">
        <v>161</v>
      </c>
    </row>
    <row r="628" spans="9:22" x14ac:dyDescent="0.45">
      <c r="I628" t="s">
        <v>180</v>
      </c>
      <c r="J628" t="s">
        <v>268</v>
      </c>
      <c r="K628">
        <v>4.8677377267686235E-2</v>
      </c>
      <c r="L628" t="s">
        <v>161</v>
      </c>
      <c r="N628" t="s">
        <v>203</v>
      </c>
      <c r="O628" t="s">
        <v>268</v>
      </c>
      <c r="P628">
        <v>4.7214572032830179E-2</v>
      </c>
      <c r="Q628" t="s">
        <v>161</v>
      </c>
      <c r="S628" t="s">
        <v>225</v>
      </c>
      <c r="T628" t="s">
        <v>268</v>
      </c>
      <c r="U628">
        <v>4.8320528803369948E-2</v>
      </c>
      <c r="V628" t="s">
        <v>161</v>
      </c>
    </row>
    <row r="629" spans="9:22" x14ac:dyDescent="0.45">
      <c r="I629" t="s">
        <v>180</v>
      </c>
      <c r="J629" t="s">
        <v>170</v>
      </c>
      <c r="K629">
        <v>1.1954451573926413E-2</v>
      </c>
      <c r="L629" t="s">
        <v>161</v>
      </c>
      <c r="N629" t="s">
        <v>203</v>
      </c>
      <c r="O629" t="s">
        <v>170</v>
      </c>
      <c r="P629">
        <v>3.6544688135479286E-2</v>
      </c>
      <c r="Q629" t="s">
        <v>161</v>
      </c>
      <c r="S629" t="s">
        <v>225</v>
      </c>
      <c r="T629" t="s">
        <v>170</v>
      </c>
      <c r="U629">
        <v>3.7478971165611531E-2</v>
      </c>
      <c r="V629" t="s">
        <v>161</v>
      </c>
    </row>
    <row r="630" spans="9:22" x14ac:dyDescent="0.45">
      <c r="I630" t="s">
        <v>180</v>
      </c>
      <c r="J630" t="s">
        <v>171</v>
      </c>
      <c r="K630">
        <v>1.2489643086228274E-2</v>
      </c>
      <c r="L630" t="s">
        <v>161</v>
      </c>
      <c r="N630" t="s">
        <v>203</v>
      </c>
      <c r="O630" t="s">
        <v>171</v>
      </c>
      <c r="P630">
        <v>3.8648546148158337E-3</v>
      </c>
      <c r="Q630" t="s">
        <v>161</v>
      </c>
      <c r="S630" t="s">
        <v>225</v>
      </c>
      <c r="T630" t="s">
        <v>171</v>
      </c>
      <c r="U630">
        <v>4.1548854972466185E-3</v>
      </c>
      <c r="V630" t="s">
        <v>161</v>
      </c>
    </row>
    <row r="631" spans="9:22" x14ac:dyDescent="0.45">
      <c r="I631" t="s">
        <v>180</v>
      </c>
      <c r="J631" t="s">
        <v>172</v>
      </c>
      <c r="K631">
        <v>0.11812412232091447</v>
      </c>
      <c r="L631" t="s">
        <v>161</v>
      </c>
      <c r="N631" t="s">
        <v>203</v>
      </c>
      <c r="O631" t="s">
        <v>172</v>
      </c>
      <c r="P631">
        <v>2.9891491043275417E-2</v>
      </c>
      <c r="Q631" t="s">
        <v>161</v>
      </c>
      <c r="S631" t="s">
        <v>225</v>
      </c>
      <c r="T631" t="s">
        <v>172</v>
      </c>
      <c r="U631">
        <v>3.0117185398262965E-2</v>
      </c>
      <c r="V631" t="s">
        <v>161</v>
      </c>
    </row>
    <row r="632" spans="9:22" x14ac:dyDescent="0.45">
      <c r="I632" t="s">
        <v>180</v>
      </c>
      <c r="J632" t="s">
        <v>248</v>
      </c>
      <c r="K632">
        <v>1.4970018193616187E-2</v>
      </c>
      <c r="L632" t="s">
        <v>161</v>
      </c>
      <c r="N632" t="s">
        <v>203</v>
      </c>
      <c r="O632" t="s">
        <v>248</v>
      </c>
      <c r="P632">
        <v>4.000289959819576E-3</v>
      </c>
      <c r="Q632" t="s">
        <v>161</v>
      </c>
      <c r="S632" t="s">
        <v>225</v>
      </c>
      <c r="T632" t="s">
        <v>248</v>
      </c>
      <c r="U632">
        <v>4.658610280155402E-3</v>
      </c>
      <c r="V632" t="s">
        <v>161</v>
      </c>
    </row>
    <row r="633" spans="9:22" x14ac:dyDescent="0.45">
      <c r="I633" t="s">
        <v>180</v>
      </c>
      <c r="J633" t="s">
        <v>249</v>
      </c>
      <c r="K633">
        <v>1.2394436530996818E-2</v>
      </c>
      <c r="L633" t="s">
        <v>161</v>
      </c>
      <c r="N633" t="s">
        <v>203</v>
      </c>
      <c r="O633" t="s">
        <v>249</v>
      </c>
      <c r="P633">
        <v>3.6509670275608518E-3</v>
      </c>
      <c r="Q633" t="s">
        <v>161</v>
      </c>
      <c r="S633" t="s">
        <v>225</v>
      </c>
      <c r="T633" t="s">
        <v>249</v>
      </c>
      <c r="U633">
        <v>4.6282761205442523E-3</v>
      </c>
      <c r="V633" t="s">
        <v>161</v>
      </c>
    </row>
    <row r="634" spans="9:22" x14ac:dyDescent="0.45">
      <c r="I634" t="s">
        <v>180</v>
      </c>
      <c r="J634" t="s">
        <v>269</v>
      </c>
      <c r="K634">
        <v>1.4553841287078213E-2</v>
      </c>
      <c r="L634" t="s">
        <v>161</v>
      </c>
      <c r="N634" t="s">
        <v>203</v>
      </c>
      <c r="O634" t="s">
        <v>269</v>
      </c>
      <c r="P634">
        <v>2.7121189923620708E-2</v>
      </c>
      <c r="Q634" t="s">
        <v>161</v>
      </c>
      <c r="S634" t="s">
        <v>225</v>
      </c>
      <c r="T634" t="s">
        <v>269</v>
      </c>
      <c r="U634">
        <v>2.8887934517813001E-2</v>
      </c>
      <c r="V634" t="s">
        <v>161</v>
      </c>
    </row>
    <row r="635" spans="9:22" x14ac:dyDescent="0.45">
      <c r="I635" t="s">
        <v>180</v>
      </c>
      <c r="J635" t="s">
        <v>250</v>
      </c>
      <c r="K635">
        <v>1.459860606941778E-3</v>
      </c>
      <c r="L635" t="s">
        <v>161</v>
      </c>
      <c r="N635" t="s">
        <v>203</v>
      </c>
      <c r="O635" t="s">
        <v>250</v>
      </c>
      <c r="P635">
        <v>5.2057727929362051E-2</v>
      </c>
      <c r="Q635" t="s">
        <v>161</v>
      </c>
      <c r="S635" t="s">
        <v>225</v>
      </c>
      <c r="T635" t="s">
        <v>250</v>
      </c>
      <c r="U635">
        <v>4.6106637790641607E-2</v>
      </c>
      <c r="V635" t="s">
        <v>161</v>
      </c>
    </row>
    <row r="636" spans="9:22" x14ac:dyDescent="0.45">
      <c r="I636" t="s">
        <v>180</v>
      </c>
      <c r="J636" t="s">
        <v>251</v>
      </c>
      <c r="K636">
        <v>4.185089779343407E-3</v>
      </c>
      <c r="L636" t="s">
        <v>161</v>
      </c>
      <c r="N636" t="s">
        <v>203</v>
      </c>
      <c r="O636" t="s">
        <v>251</v>
      </c>
      <c r="P636">
        <v>6.3058550346889357E-3</v>
      </c>
      <c r="Q636" t="s">
        <v>161</v>
      </c>
      <c r="S636" t="s">
        <v>225</v>
      </c>
      <c r="T636" t="s">
        <v>251</v>
      </c>
      <c r="U636">
        <v>6.110615639021667E-3</v>
      </c>
      <c r="V636" t="s">
        <v>161</v>
      </c>
    </row>
    <row r="637" spans="9:22" x14ac:dyDescent="0.45">
      <c r="I637" t="s">
        <v>180</v>
      </c>
      <c r="J637" t="s">
        <v>252</v>
      </c>
      <c r="K637">
        <v>6.8010186204847833E-2</v>
      </c>
      <c r="L637" t="s">
        <v>161</v>
      </c>
      <c r="N637" t="s">
        <v>203</v>
      </c>
      <c r="O637" t="s">
        <v>252</v>
      </c>
      <c r="P637">
        <v>4.2085598474976275E-2</v>
      </c>
      <c r="Q637" t="s">
        <v>161</v>
      </c>
      <c r="S637" t="s">
        <v>225</v>
      </c>
      <c r="T637" t="s">
        <v>252</v>
      </c>
      <c r="U637">
        <v>4.0513194211547657E-2</v>
      </c>
      <c r="V637" t="s">
        <v>161</v>
      </c>
    </row>
    <row r="638" spans="9:22" x14ac:dyDescent="0.45">
      <c r="I638" t="s">
        <v>180</v>
      </c>
      <c r="J638" t="s">
        <v>253</v>
      </c>
      <c r="K638">
        <v>7.141911815157968E-3</v>
      </c>
      <c r="L638" t="s">
        <v>161</v>
      </c>
      <c r="N638" t="s">
        <v>203</v>
      </c>
      <c r="O638" t="s">
        <v>253</v>
      </c>
      <c r="P638">
        <v>6.057740081623744E-3</v>
      </c>
      <c r="Q638" t="s">
        <v>161</v>
      </c>
      <c r="S638" t="s">
        <v>225</v>
      </c>
      <c r="T638" t="s">
        <v>253</v>
      </c>
      <c r="U638">
        <v>5.7517332129725651E-3</v>
      </c>
      <c r="V638" t="s">
        <v>161</v>
      </c>
    </row>
    <row r="639" spans="9:22" x14ac:dyDescent="0.45">
      <c r="I639" t="s">
        <v>180</v>
      </c>
      <c r="J639" t="s">
        <v>254</v>
      </c>
      <c r="K639">
        <v>4.1551487865029765E-3</v>
      </c>
      <c r="L639" t="s">
        <v>161</v>
      </c>
      <c r="N639" t="s">
        <v>203</v>
      </c>
      <c r="O639" t="s">
        <v>254</v>
      </c>
      <c r="P639">
        <v>6.29696724658769E-3</v>
      </c>
      <c r="Q639" t="s">
        <v>161</v>
      </c>
      <c r="S639" t="s">
        <v>225</v>
      </c>
      <c r="T639" t="s">
        <v>254</v>
      </c>
      <c r="U639">
        <v>5.8430434365513966E-3</v>
      </c>
      <c r="V639" t="s">
        <v>161</v>
      </c>
    </row>
    <row r="640" spans="9:22" x14ac:dyDescent="0.45">
      <c r="I640" t="s">
        <v>180</v>
      </c>
      <c r="J640" t="s">
        <v>270</v>
      </c>
      <c r="K640">
        <v>1.3785299623838658E-3</v>
      </c>
      <c r="L640" t="s">
        <v>161</v>
      </c>
      <c r="N640" t="s">
        <v>203</v>
      </c>
      <c r="O640" t="s">
        <v>270</v>
      </c>
      <c r="P640">
        <v>4.0487733647793921E-2</v>
      </c>
      <c r="Q640" t="s">
        <v>161</v>
      </c>
      <c r="S640" t="s">
        <v>225</v>
      </c>
      <c r="T640" t="s">
        <v>270</v>
      </c>
      <c r="U640">
        <v>3.7973846430402129E-2</v>
      </c>
      <c r="V640" t="s">
        <v>161</v>
      </c>
    </row>
    <row r="641" spans="9:22" x14ac:dyDescent="0.45">
      <c r="I641" t="s">
        <v>180</v>
      </c>
      <c r="J641" t="s">
        <v>255</v>
      </c>
      <c r="K641">
        <v>0</v>
      </c>
      <c r="L641" t="s">
        <v>161</v>
      </c>
      <c r="N641" t="s">
        <v>203</v>
      </c>
      <c r="O641" t="s">
        <v>255</v>
      </c>
      <c r="P641">
        <v>5.2889373382331267E-2</v>
      </c>
      <c r="Q641" t="s">
        <v>161</v>
      </c>
      <c r="S641" t="s">
        <v>225</v>
      </c>
      <c r="T641" t="s">
        <v>255</v>
      </c>
      <c r="U641">
        <v>5.0703044841753454E-2</v>
      </c>
      <c r="V641" t="s">
        <v>161</v>
      </c>
    </row>
    <row r="642" spans="9:22" x14ac:dyDescent="0.45">
      <c r="I642" t="s">
        <v>180</v>
      </c>
      <c r="J642" t="s">
        <v>256</v>
      </c>
      <c r="K642">
        <v>5.0445593651048777E-6</v>
      </c>
      <c r="L642" t="s">
        <v>161</v>
      </c>
      <c r="N642" t="s">
        <v>203</v>
      </c>
      <c r="O642" t="s">
        <v>256</v>
      </c>
      <c r="P642">
        <v>6.8599889092184844E-3</v>
      </c>
      <c r="Q642" t="s">
        <v>161</v>
      </c>
      <c r="S642" t="s">
        <v>225</v>
      </c>
      <c r="T642" t="s">
        <v>256</v>
      </c>
      <c r="U642">
        <v>6.6514860005798216E-3</v>
      </c>
      <c r="V642" t="s">
        <v>161</v>
      </c>
    </row>
    <row r="643" spans="9:22" x14ac:dyDescent="0.45">
      <c r="I643" t="s">
        <v>180</v>
      </c>
      <c r="J643" t="s">
        <v>257</v>
      </c>
      <c r="K643">
        <v>2.7523580027694717E-2</v>
      </c>
      <c r="L643" t="s">
        <v>161</v>
      </c>
      <c r="N643" t="s">
        <v>203</v>
      </c>
      <c r="O643" t="s">
        <v>257</v>
      </c>
      <c r="P643">
        <v>4.2695627064454053E-2</v>
      </c>
      <c r="Q643" t="s">
        <v>161</v>
      </c>
      <c r="S643" t="s">
        <v>225</v>
      </c>
      <c r="T643" t="s">
        <v>257</v>
      </c>
      <c r="U643">
        <v>4.6453523851071377E-2</v>
      </c>
      <c r="V643" t="s">
        <v>161</v>
      </c>
    </row>
    <row r="644" spans="9:22" x14ac:dyDescent="0.45">
      <c r="I644" t="s">
        <v>180</v>
      </c>
      <c r="J644" t="s">
        <v>258</v>
      </c>
      <c r="K644">
        <v>2.2940961488647762E-3</v>
      </c>
      <c r="L644" t="s">
        <v>161</v>
      </c>
      <c r="N644" t="s">
        <v>203</v>
      </c>
      <c r="O644" t="s">
        <v>258</v>
      </c>
      <c r="P644">
        <v>5.8297857701284208E-3</v>
      </c>
      <c r="Q644" t="s">
        <v>161</v>
      </c>
      <c r="S644" t="s">
        <v>225</v>
      </c>
      <c r="T644" t="s">
        <v>258</v>
      </c>
      <c r="U644">
        <v>6.3929106367734056E-3</v>
      </c>
      <c r="V644" t="s">
        <v>161</v>
      </c>
    </row>
    <row r="645" spans="9:22" x14ac:dyDescent="0.45">
      <c r="I645" t="s">
        <v>180</v>
      </c>
      <c r="J645" t="s">
        <v>259</v>
      </c>
      <c r="K645">
        <v>0</v>
      </c>
      <c r="L645" t="s">
        <v>161</v>
      </c>
      <c r="N645" t="s">
        <v>203</v>
      </c>
      <c r="O645" t="s">
        <v>259</v>
      </c>
      <c r="P645">
        <v>5.8970430035762489E-3</v>
      </c>
      <c r="Q645" t="s">
        <v>161</v>
      </c>
      <c r="S645" t="s">
        <v>225</v>
      </c>
      <c r="T645" t="s">
        <v>259</v>
      </c>
      <c r="U645">
        <v>6.427520012525393E-3</v>
      </c>
      <c r="V645" t="s">
        <v>161</v>
      </c>
    </row>
    <row r="646" spans="9:22" x14ac:dyDescent="0.45">
      <c r="I646" t="s">
        <v>180</v>
      </c>
      <c r="J646" t="s">
        <v>271</v>
      </c>
      <c r="K646">
        <v>0</v>
      </c>
      <c r="L646" t="s">
        <v>161</v>
      </c>
      <c r="N646" t="s">
        <v>203</v>
      </c>
      <c r="O646" t="s">
        <v>271</v>
      </c>
      <c r="P646">
        <v>3.5462571316411146E-2</v>
      </c>
      <c r="Q646" t="s">
        <v>161</v>
      </c>
      <c r="S646" t="s">
        <v>225</v>
      </c>
      <c r="T646" t="s">
        <v>271</v>
      </c>
      <c r="U646">
        <v>3.7649277395980348E-2</v>
      </c>
      <c r="V646" t="s">
        <v>161</v>
      </c>
    </row>
    <row r="647" spans="9:22" x14ac:dyDescent="0.45">
      <c r="I647" t="s">
        <v>180</v>
      </c>
      <c r="J647" t="s">
        <v>272</v>
      </c>
      <c r="K647">
        <v>0</v>
      </c>
      <c r="L647" t="s">
        <v>161</v>
      </c>
      <c r="N647" t="s">
        <v>203</v>
      </c>
      <c r="O647" t="s">
        <v>272</v>
      </c>
      <c r="P647">
        <v>1.93444264020778E-2</v>
      </c>
      <c r="Q647" t="s">
        <v>161</v>
      </c>
      <c r="S647" t="s">
        <v>225</v>
      </c>
      <c r="T647" t="s">
        <v>272</v>
      </c>
      <c r="U647">
        <v>1.6035747173706792E-2</v>
      </c>
      <c r="V647" t="s">
        <v>161</v>
      </c>
    </row>
    <row r="648" spans="9:22" x14ac:dyDescent="0.45">
      <c r="I648" t="s">
        <v>180</v>
      </c>
      <c r="J648" t="s">
        <v>273</v>
      </c>
      <c r="K648">
        <v>0</v>
      </c>
      <c r="L648" t="s">
        <v>161</v>
      </c>
      <c r="N648" t="s">
        <v>203</v>
      </c>
      <c r="O648" t="s">
        <v>273</v>
      </c>
      <c r="P648">
        <v>2.5179194316360749E-3</v>
      </c>
      <c r="Q648" t="s">
        <v>161</v>
      </c>
      <c r="S648" t="s">
        <v>225</v>
      </c>
      <c r="T648" t="s">
        <v>273</v>
      </c>
      <c r="U648">
        <v>2.1726894875395467E-3</v>
      </c>
      <c r="V648" t="s">
        <v>161</v>
      </c>
    </row>
    <row r="649" spans="9:22" x14ac:dyDescent="0.45">
      <c r="I649" t="s">
        <v>180</v>
      </c>
      <c r="J649" t="s">
        <v>274</v>
      </c>
      <c r="K649">
        <v>2.9710197403880431E-3</v>
      </c>
      <c r="L649" t="s">
        <v>161</v>
      </c>
      <c r="N649" t="s">
        <v>203</v>
      </c>
      <c r="O649" t="s">
        <v>274</v>
      </c>
      <c r="P649">
        <v>1.4221370285545086E-2</v>
      </c>
      <c r="Q649" t="s">
        <v>161</v>
      </c>
      <c r="S649" t="s">
        <v>225</v>
      </c>
      <c r="T649" t="s">
        <v>274</v>
      </c>
      <c r="U649">
        <v>1.4325479965578713E-2</v>
      </c>
      <c r="V649" t="s">
        <v>161</v>
      </c>
    </row>
    <row r="650" spans="9:22" x14ac:dyDescent="0.45">
      <c r="I650" t="s">
        <v>180</v>
      </c>
      <c r="J650" t="s">
        <v>275</v>
      </c>
      <c r="K650">
        <v>8.2846924711518294E-5</v>
      </c>
      <c r="L650" t="s">
        <v>161</v>
      </c>
      <c r="N650" t="s">
        <v>203</v>
      </c>
      <c r="O650" t="s">
        <v>275</v>
      </c>
      <c r="P650">
        <v>2.012173098038807E-3</v>
      </c>
      <c r="Q650" t="s">
        <v>161</v>
      </c>
      <c r="S650" t="s">
        <v>225</v>
      </c>
      <c r="T650" t="s">
        <v>275</v>
      </c>
      <c r="U650">
        <v>1.8983532519839135E-3</v>
      </c>
      <c r="V650" t="s">
        <v>161</v>
      </c>
    </row>
    <row r="651" spans="9:22" x14ac:dyDescent="0.45">
      <c r="I651" t="s">
        <v>180</v>
      </c>
      <c r="J651" t="s">
        <v>276</v>
      </c>
      <c r="K651">
        <v>0</v>
      </c>
      <c r="L651" t="s">
        <v>161</v>
      </c>
      <c r="N651" t="s">
        <v>203</v>
      </c>
      <c r="O651" t="s">
        <v>276</v>
      </c>
      <c r="P651">
        <v>2.0022029095940175E-3</v>
      </c>
      <c r="Q651" t="s">
        <v>161</v>
      </c>
      <c r="S651" t="s">
        <v>225</v>
      </c>
      <c r="T651" t="s">
        <v>276</v>
      </c>
      <c r="U651">
        <v>1.8872184236845607E-3</v>
      </c>
      <c r="V651" t="s">
        <v>161</v>
      </c>
    </row>
    <row r="652" spans="9:22" x14ac:dyDescent="0.45">
      <c r="I652" t="s">
        <v>180</v>
      </c>
      <c r="J652" t="s">
        <v>277</v>
      </c>
      <c r="K652">
        <v>0</v>
      </c>
      <c r="L652" t="s">
        <v>161</v>
      </c>
      <c r="N652" t="s">
        <v>203</v>
      </c>
      <c r="O652" t="s">
        <v>277</v>
      </c>
      <c r="P652">
        <v>1.2354842746540405E-2</v>
      </c>
      <c r="Q652" t="s">
        <v>161</v>
      </c>
      <c r="S652" t="s">
        <v>225</v>
      </c>
      <c r="T652" t="s">
        <v>277</v>
      </c>
      <c r="U652">
        <v>1.0810446914072002E-2</v>
      </c>
      <c r="V652" t="s">
        <v>161</v>
      </c>
    </row>
    <row r="653" spans="9:22" x14ac:dyDescent="0.45">
      <c r="I653" t="s">
        <v>180</v>
      </c>
      <c r="J653" t="s">
        <v>278</v>
      </c>
      <c r="K653">
        <v>0</v>
      </c>
      <c r="L653" t="s">
        <v>161</v>
      </c>
      <c r="N653" t="s">
        <v>203</v>
      </c>
      <c r="O653" t="s">
        <v>278</v>
      </c>
      <c r="P653">
        <v>7.0606781432585577E-3</v>
      </c>
      <c r="Q653" t="s">
        <v>161</v>
      </c>
      <c r="S653" t="s">
        <v>225</v>
      </c>
      <c r="T653" t="s">
        <v>278</v>
      </c>
      <c r="U653">
        <v>7.0659363507026623E-3</v>
      </c>
      <c r="V653" t="s">
        <v>161</v>
      </c>
    </row>
    <row r="654" spans="9:22" x14ac:dyDescent="0.45">
      <c r="I654" t="s">
        <v>180</v>
      </c>
      <c r="J654" t="s">
        <v>279</v>
      </c>
      <c r="K654">
        <v>0</v>
      </c>
      <c r="L654" t="s">
        <v>161</v>
      </c>
      <c r="N654" t="s">
        <v>203</v>
      </c>
      <c r="O654" t="s">
        <v>279</v>
      </c>
      <c r="P654">
        <v>9.569405686756171E-4</v>
      </c>
      <c r="Q654" t="s">
        <v>161</v>
      </c>
      <c r="S654" t="s">
        <v>225</v>
      </c>
      <c r="T654" t="s">
        <v>279</v>
      </c>
      <c r="U654">
        <v>9.2628125463517031E-4</v>
      </c>
      <c r="V654" t="s">
        <v>161</v>
      </c>
    </row>
    <row r="655" spans="9:22" x14ac:dyDescent="0.45">
      <c r="I655" t="s">
        <v>180</v>
      </c>
      <c r="J655" t="s">
        <v>280</v>
      </c>
      <c r="K655">
        <v>2.8873382237954055E-3</v>
      </c>
      <c r="L655" t="s">
        <v>161</v>
      </c>
      <c r="N655" t="s">
        <v>203</v>
      </c>
      <c r="O655" t="s">
        <v>280</v>
      </c>
      <c r="P655">
        <v>6.4948545428596726E-3</v>
      </c>
      <c r="Q655" t="s">
        <v>161</v>
      </c>
      <c r="S655" t="s">
        <v>225</v>
      </c>
      <c r="T655" t="s">
        <v>280</v>
      </c>
      <c r="U655">
        <v>6.3268801541455071E-3</v>
      </c>
      <c r="V655" t="s">
        <v>161</v>
      </c>
    </row>
    <row r="656" spans="9:22" x14ac:dyDescent="0.45">
      <c r="I656" t="s">
        <v>180</v>
      </c>
      <c r="J656" t="s">
        <v>281</v>
      </c>
      <c r="K656">
        <v>2.1018047468612783E-4</v>
      </c>
      <c r="L656" t="s">
        <v>161</v>
      </c>
      <c r="N656" t="s">
        <v>203</v>
      </c>
      <c r="O656" t="s">
        <v>281</v>
      </c>
      <c r="P656">
        <v>1.1145593204211753E-3</v>
      </c>
      <c r="Q656" t="s">
        <v>161</v>
      </c>
      <c r="S656" t="s">
        <v>225</v>
      </c>
      <c r="T656" t="s">
        <v>281</v>
      </c>
      <c r="U656">
        <v>9.805380714121778E-4</v>
      </c>
      <c r="V656" t="s">
        <v>161</v>
      </c>
    </row>
    <row r="657" spans="9:22" x14ac:dyDescent="0.45">
      <c r="I657" t="s">
        <v>180</v>
      </c>
      <c r="J657" t="s">
        <v>282</v>
      </c>
      <c r="K657">
        <v>0</v>
      </c>
      <c r="L657" t="s">
        <v>161</v>
      </c>
      <c r="N657" t="s">
        <v>203</v>
      </c>
      <c r="O657" t="s">
        <v>282</v>
      </c>
      <c r="P657">
        <v>1.1481724283075594E-3</v>
      </c>
      <c r="Q657" t="s">
        <v>161</v>
      </c>
      <c r="S657" t="s">
        <v>225</v>
      </c>
      <c r="T657" t="s">
        <v>282</v>
      </c>
      <c r="U657">
        <v>1.0771372651646211E-3</v>
      </c>
      <c r="V657" t="s">
        <v>161</v>
      </c>
    </row>
    <row r="658" spans="9:22" x14ac:dyDescent="0.45">
      <c r="I658" t="s">
        <v>180</v>
      </c>
      <c r="J658" t="s">
        <v>283</v>
      </c>
      <c r="K658">
        <v>0</v>
      </c>
      <c r="L658" t="s">
        <v>161</v>
      </c>
      <c r="N658" t="s">
        <v>203</v>
      </c>
      <c r="O658" t="s">
        <v>283</v>
      </c>
      <c r="P658">
        <v>7.1499888477347118E-3</v>
      </c>
      <c r="Q658" t="s">
        <v>161</v>
      </c>
      <c r="S658" t="s">
        <v>225</v>
      </c>
      <c r="T658" t="s">
        <v>283</v>
      </c>
      <c r="U658">
        <v>6.9353447825847257E-3</v>
      </c>
      <c r="V658" t="s">
        <v>161</v>
      </c>
    </row>
    <row r="659" spans="9:22" x14ac:dyDescent="0.45">
      <c r="I659" t="s">
        <v>181</v>
      </c>
      <c r="J659" t="s">
        <v>160</v>
      </c>
      <c r="K659">
        <v>5.7995634890487259E-5</v>
      </c>
      <c r="L659" t="s">
        <v>161</v>
      </c>
      <c r="N659" t="s">
        <v>204</v>
      </c>
      <c r="O659" t="s">
        <v>160</v>
      </c>
      <c r="P659">
        <v>7.2931910694603058E-2</v>
      </c>
      <c r="Q659" t="s">
        <v>161</v>
      </c>
      <c r="S659" t="s">
        <v>226</v>
      </c>
      <c r="T659" t="s">
        <v>160</v>
      </c>
      <c r="U659">
        <v>7.9150321605852419E-2</v>
      </c>
      <c r="V659" t="s">
        <v>161</v>
      </c>
    </row>
    <row r="660" spans="9:22" x14ac:dyDescent="0.45">
      <c r="I660" t="s">
        <v>181</v>
      </c>
      <c r="J660" t="s">
        <v>162</v>
      </c>
      <c r="K660">
        <v>1.733261539912583E-3</v>
      </c>
      <c r="L660" t="s">
        <v>161</v>
      </c>
      <c r="N660" t="s">
        <v>204</v>
      </c>
      <c r="O660" t="s">
        <v>162</v>
      </c>
      <c r="P660">
        <v>8.978863538827566E-3</v>
      </c>
      <c r="Q660" t="s">
        <v>161</v>
      </c>
      <c r="S660" t="s">
        <v>226</v>
      </c>
      <c r="T660" t="s">
        <v>162</v>
      </c>
      <c r="U660">
        <v>9.5051276567150837E-3</v>
      </c>
      <c r="V660" t="s">
        <v>161</v>
      </c>
    </row>
    <row r="661" spans="9:22" x14ac:dyDescent="0.45">
      <c r="I661" t="s">
        <v>181</v>
      </c>
      <c r="J661" t="s">
        <v>163</v>
      </c>
      <c r="K661">
        <v>8.2412512306713717E-2</v>
      </c>
      <c r="L661" t="s">
        <v>161</v>
      </c>
      <c r="N661" t="s">
        <v>204</v>
      </c>
      <c r="O661" t="s">
        <v>163</v>
      </c>
      <c r="P661">
        <v>6.1746137143941671E-2</v>
      </c>
      <c r="Q661" t="s">
        <v>161</v>
      </c>
      <c r="S661" t="s">
        <v>226</v>
      </c>
      <c r="T661" t="s">
        <v>163</v>
      </c>
      <c r="U661">
        <v>6.2421566775064788E-2</v>
      </c>
      <c r="V661" t="s">
        <v>161</v>
      </c>
    </row>
    <row r="662" spans="9:22" x14ac:dyDescent="0.45">
      <c r="I662" t="s">
        <v>181</v>
      </c>
      <c r="J662" t="s">
        <v>242</v>
      </c>
      <c r="K662">
        <v>8.8773233922907514E-3</v>
      </c>
      <c r="L662" t="s">
        <v>161</v>
      </c>
      <c r="N662" t="s">
        <v>204</v>
      </c>
      <c r="O662" t="s">
        <v>242</v>
      </c>
      <c r="P662">
        <v>8.5798663708356194E-3</v>
      </c>
      <c r="Q662" t="s">
        <v>161</v>
      </c>
      <c r="S662" t="s">
        <v>226</v>
      </c>
      <c r="T662" t="s">
        <v>242</v>
      </c>
      <c r="U662">
        <v>9.131459894580302E-3</v>
      </c>
      <c r="V662" t="s">
        <v>161</v>
      </c>
    </row>
    <row r="663" spans="9:22" x14ac:dyDescent="0.45">
      <c r="I663" t="s">
        <v>181</v>
      </c>
      <c r="J663" t="s">
        <v>243</v>
      </c>
      <c r="K663">
        <v>4.9021949506141589E-3</v>
      </c>
      <c r="L663" t="s">
        <v>161</v>
      </c>
      <c r="N663" t="s">
        <v>204</v>
      </c>
      <c r="O663" t="s">
        <v>243</v>
      </c>
      <c r="P663">
        <v>8.8894159553250824E-3</v>
      </c>
      <c r="Q663" t="s">
        <v>161</v>
      </c>
      <c r="S663" t="s">
        <v>226</v>
      </c>
      <c r="T663" t="s">
        <v>243</v>
      </c>
      <c r="U663">
        <v>9.4636650864453054E-3</v>
      </c>
      <c r="V663" t="s">
        <v>161</v>
      </c>
    </row>
    <row r="664" spans="9:22" x14ac:dyDescent="0.45">
      <c r="I664" t="s">
        <v>181</v>
      </c>
      <c r="J664" t="s">
        <v>266</v>
      </c>
      <c r="K664">
        <v>1.5971030904416892E-3</v>
      </c>
      <c r="L664" t="s">
        <v>161</v>
      </c>
      <c r="N664" t="s">
        <v>204</v>
      </c>
      <c r="O664" t="s">
        <v>266</v>
      </c>
      <c r="P664">
        <v>5.3498032755867043E-2</v>
      </c>
      <c r="Q664" t="s">
        <v>161</v>
      </c>
      <c r="S664" t="s">
        <v>226</v>
      </c>
      <c r="T664" t="s">
        <v>266</v>
      </c>
      <c r="U664">
        <v>5.8087539324119149E-2</v>
      </c>
      <c r="V664" t="s">
        <v>161</v>
      </c>
    </row>
    <row r="665" spans="9:22" x14ac:dyDescent="0.45">
      <c r="I665" t="s">
        <v>181</v>
      </c>
      <c r="J665" t="s">
        <v>311</v>
      </c>
      <c r="K665">
        <v>0</v>
      </c>
      <c r="L665" t="s">
        <v>161</v>
      </c>
      <c r="N665" t="s">
        <v>204</v>
      </c>
      <c r="O665" t="s">
        <v>311</v>
      </c>
      <c r="P665">
        <v>5.4045439793355335E-7</v>
      </c>
      <c r="Q665" t="s">
        <v>161</v>
      </c>
      <c r="S665" t="s">
        <v>226</v>
      </c>
      <c r="T665" t="s">
        <v>311</v>
      </c>
      <c r="U665">
        <v>1.2932263598625425E-5</v>
      </c>
      <c r="V665" t="s">
        <v>161</v>
      </c>
    </row>
    <row r="666" spans="9:22" x14ac:dyDescent="0.45">
      <c r="I666" t="s">
        <v>181</v>
      </c>
      <c r="J666" t="s">
        <v>312</v>
      </c>
      <c r="K666">
        <v>0</v>
      </c>
      <c r="L666" t="s">
        <v>161</v>
      </c>
      <c r="N666" t="s">
        <v>204</v>
      </c>
      <c r="O666" t="s">
        <v>312</v>
      </c>
      <c r="P666">
        <v>3.87329838985332E-7</v>
      </c>
      <c r="Q666" t="s">
        <v>161</v>
      </c>
      <c r="S666" t="s">
        <v>226</v>
      </c>
      <c r="T666" t="s">
        <v>312</v>
      </c>
      <c r="U666">
        <v>9.6780445815896893E-6</v>
      </c>
      <c r="V666" t="s">
        <v>161</v>
      </c>
    </row>
    <row r="667" spans="9:22" x14ac:dyDescent="0.45">
      <c r="I667" t="s">
        <v>181</v>
      </c>
      <c r="J667" t="s">
        <v>313</v>
      </c>
      <c r="K667">
        <v>0</v>
      </c>
      <c r="L667" t="s">
        <v>161</v>
      </c>
      <c r="N667" t="s">
        <v>204</v>
      </c>
      <c r="O667" t="s">
        <v>313</v>
      </c>
      <c r="P667">
        <v>4.3471418485094724E-7</v>
      </c>
      <c r="Q667" t="s">
        <v>161</v>
      </c>
      <c r="S667" t="s">
        <v>226</v>
      </c>
      <c r="T667" t="s">
        <v>313</v>
      </c>
      <c r="U667">
        <v>3.9791666167483282E-6</v>
      </c>
      <c r="V667" t="s">
        <v>161</v>
      </c>
    </row>
    <row r="668" spans="9:22" x14ac:dyDescent="0.45">
      <c r="I668" t="s">
        <v>181</v>
      </c>
      <c r="J668" t="s">
        <v>314</v>
      </c>
      <c r="K668">
        <v>0</v>
      </c>
      <c r="L668" t="s">
        <v>161</v>
      </c>
      <c r="N668" t="s">
        <v>204</v>
      </c>
      <c r="O668" t="s">
        <v>314</v>
      </c>
      <c r="P668">
        <v>3.8756355588192122E-7</v>
      </c>
      <c r="Q668" t="s">
        <v>161</v>
      </c>
      <c r="S668" t="s">
        <v>226</v>
      </c>
      <c r="T668" t="s">
        <v>314</v>
      </c>
      <c r="U668">
        <v>2.6748474191696073E-6</v>
      </c>
      <c r="V668" t="s">
        <v>161</v>
      </c>
    </row>
    <row r="669" spans="9:22" x14ac:dyDescent="0.45">
      <c r="I669" t="s">
        <v>181</v>
      </c>
      <c r="J669" t="s">
        <v>315</v>
      </c>
      <c r="K669">
        <v>0</v>
      </c>
      <c r="L669" t="s">
        <v>161</v>
      </c>
      <c r="N669" t="s">
        <v>204</v>
      </c>
      <c r="O669" t="s">
        <v>315</v>
      </c>
      <c r="P669">
        <v>4.6812655381731738E-7</v>
      </c>
      <c r="Q669" t="s">
        <v>161</v>
      </c>
      <c r="S669" t="s">
        <v>226</v>
      </c>
      <c r="T669" t="s">
        <v>315</v>
      </c>
      <c r="U669">
        <v>4.6095364515960908E-6</v>
      </c>
      <c r="V669" t="s">
        <v>161</v>
      </c>
    </row>
    <row r="670" spans="9:22" x14ac:dyDescent="0.45">
      <c r="I670" t="s">
        <v>181</v>
      </c>
      <c r="J670" t="s">
        <v>316</v>
      </c>
      <c r="K670">
        <v>0</v>
      </c>
      <c r="L670" t="s">
        <v>161</v>
      </c>
      <c r="N670" t="s">
        <v>204</v>
      </c>
      <c r="O670" t="s">
        <v>316</v>
      </c>
      <c r="P670">
        <v>4.0084826335470748E-7</v>
      </c>
      <c r="Q670" t="s">
        <v>161</v>
      </c>
      <c r="S670" t="s">
        <v>226</v>
      </c>
      <c r="T670" t="s">
        <v>316</v>
      </c>
      <c r="U670">
        <v>2.6628644252116176E-6</v>
      </c>
      <c r="V670" t="s">
        <v>161</v>
      </c>
    </row>
    <row r="671" spans="9:22" x14ac:dyDescent="0.45">
      <c r="I671" t="s">
        <v>181</v>
      </c>
      <c r="J671" t="s">
        <v>317</v>
      </c>
      <c r="K671">
        <v>0</v>
      </c>
      <c r="L671" t="s">
        <v>161</v>
      </c>
      <c r="N671" t="s">
        <v>204</v>
      </c>
      <c r="O671" t="s">
        <v>317</v>
      </c>
      <c r="P671">
        <v>2.1228671119146493E-7</v>
      </c>
      <c r="Q671" t="s">
        <v>161</v>
      </c>
      <c r="S671" t="s">
        <v>226</v>
      </c>
      <c r="T671" t="s">
        <v>317</v>
      </c>
      <c r="U671">
        <v>3.4307683553307282E-6</v>
      </c>
      <c r="V671" t="s">
        <v>161</v>
      </c>
    </row>
    <row r="672" spans="9:22" x14ac:dyDescent="0.45">
      <c r="I672" t="s">
        <v>181</v>
      </c>
      <c r="J672" t="s">
        <v>318</v>
      </c>
      <c r="K672">
        <v>0</v>
      </c>
      <c r="L672" t="s">
        <v>161</v>
      </c>
      <c r="N672" t="s">
        <v>204</v>
      </c>
      <c r="O672" t="s">
        <v>318</v>
      </c>
      <c r="P672">
        <v>1.8333725182890933E-7</v>
      </c>
      <c r="Q672" t="s">
        <v>161</v>
      </c>
      <c r="S672" t="s">
        <v>226</v>
      </c>
      <c r="T672" t="s">
        <v>318</v>
      </c>
      <c r="U672">
        <v>3.0969440681097853E-6</v>
      </c>
      <c r="V672" t="s">
        <v>161</v>
      </c>
    </row>
    <row r="673" spans="9:22" x14ac:dyDescent="0.45">
      <c r="I673" t="s">
        <v>181</v>
      </c>
      <c r="J673" t="s">
        <v>319</v>
      </c>
      <c r="K673">
        <v>3.1898342416947368E-6</v>
      </c>
      <c r="L673" t="s">
        <v>161</v>
      </c>
      <c r="N673" t="s">
        <v>204</v>
      </c>
      <c r="O673" t="s">
        <v>319</v>
      </c>
      <c r="P673">
        <v>4.9519516341831006E-8</v>
      </c>
      <c r="Q673" t="s">
        <v>161</v>
      </c>
      <c r="S673" t="s">
        <v>226</v>
      </c>
      <c r="T673" t="s">
        <v>319</v>
      </c>
      <c r="U673">
        <v>0</v>
      </c>
      <c r="V673" t="s">
        <v>161</v>
      </c>
    </row>
    <row r="674" spans="9:22" x14ac:dyDescent="0.45">
      <c r="I674" t="s">
        <v>181</v>
      </c>
      <c r="J674" t="s">
        <v>320</v>
      </c>
      <c r="K674">
        <v>1.9480311097587395E-5</v>
      </c>
      <c r="L674" t="s">
        <v>161</v>
      </c>
      <c r="N674" t="s">
        <v>204</v>
      </c>
      <c r="O674" t="s">
        <v>320</v>
      </c>
      <c r="P674">
        <v>1.4194701659029344E-8</v>
      </c>
      <c r="Q674" t="s">
        <v>161</v>
      </c>
      <c r="S674" t="s">
        <v>226</v>
      </c>
      <c r="T674" t="s">
        <v>320</v>
      </c>
      <c r="U674">
        <v>0</v>
      </c>
      <c r="V674" t="s">
        <v>161</v>
      </c>
    </row>
    <row r="675" spans="9:22" x14ac:dyDescent="0.45">
      <c r="I675" t="s">
        <v>181</v>
      </c>
      <c r="J675" t="s">
        <v>321</v>
      </c>
      <c r="K675">
        <v>7.3006597242272048E-5</v>
      </c>
      <c r="L675" t="s">
        <v>161</v>
      </c>
      <c r="N675" t="s">
        <v>204</v>
      </c>
      <c r="O675" t="s">
        <v>321</v>
      </c>
      <c r="P675">
        <v>5.5586924402291518E-7</v>
      </c>
      <c r="Q675" t="s">
        <v>161</v>
      </c>
      <c r="S675" t="s">
        <v>226</v>
      </c>
      <c r="T675" t="s">
        <v>321</v>
      </c>
      <c r="U675">
        <v>0</v>
      </c>
      <c r="V675" t="s">
        <v>161</v>
      </c>
    </row>
    <row r="676" spans="9:22" x14ac:dyDescent="0.45">
      <c r="I676" t="s">
        <v>181</v>
      </c>
      <c r="J676" t="s">
        <v>322</v>
      </c>
      <c r="K676">
        <v>1.0920635208880371E-4</v>
      </c>
      <c r="L676" t="s">
        <v>161</v>
      </c>
      <c r="N676" t="s">
        <v>204</v>
      </c>
      <c r="O676" t="s">
        <v>322</v>
      </c>
      <c r="P676">
        <v>2.3455864979915764E-7</v>
      </c>
      <c r="Q676" t="s">
        <v>161</v>
      </c>
      <c r="S676" t="s">
        <v>226</v>
      </c>
      <c r="T676" t="s">
        <v>322</v>
      </c>
      <c r="U676">
        <v>0</v>
      </c>
      <c r="V676" t="s">
        <v>161</v>
      </c>
    </row>
    <row r="677" spans="9:22" x14ac:dyDescent="0.45">
      <c r="I677" t="s">
        <v>181</v>
      </c>
      <c r="J677" t="s">
        <v>323</v>
      </c>
      <c r="K677">
        <v>1.5599680846069793E-4</v>
      </c>
      <c r="L677" t="s">
        <v>161</v>
      </c>
      <c r="N677" t="s">
        <v>204</v>
      </c>
      <c r="O677" t="s">
        <v>323</v>
      </c>
      <c r="P677">
        <v>2.4964193629372528E-7</v>
      </c>
      <c r="Q677" t="s">
        <v>161</v>
      </c>
      <c r="S677" t="s">
        <v>226</v>
      </c>
      <c r="T677" t="s">
        <v>323</v>
      </c>
      <c r="U677">
        <v>0</v>
      </c>
      <c r="V677" t="s">
        <v>161</v>
      </c>
    </row>
    <row r="678" spans="9:22" x14ac:dyDescent="0.45">
      <c r="I678" t="s">
        <v>181</v>
      </c>
      <c r="J678" t="s">
        <v>324</v>
      </c>
      <c r="K678">
        <v>1.8514276883533308E-4</v>
      </c>
      <c r="L678" t="s">
        <v>161</v>
      </c>
      <c r="N678" t="s">
        <v>204</v>
      </c>
      <c r="O678" t="s">
        <v>324</v>
      </c>
      <c r="P678">
        <v>4.214888836570492E-7</v>
      </c>
      <c r="Q678" t="s">
        <v>161</v>
      </c>
      <c r="S678" t="s">
        <v>226</v>
      </c>
      <c r="T678" t="s">
        <v>324</v>
      </c>
      <c r="U678">
        <v>0</v>
      </c>
      <c r="V678" t="s">
        <v>161</v>
      </c>
    </row>
    <row r="679" spans="9:22" x14ac:dyDescent="0.45">
      <c r="I679" t="s">
        <v>181</v>
      </c>
      <c r="J679" t="s">
        <v>325</v>
      </c>
      <c r="K679">
        <v>1.8037881963834027E-4</v>
      </c>
      <c r="L679" t="s">
        <v>161</v>
      </c>
      <c r="N679" t="s">
        <v>204</v>
      </c>
      <c r="O679" t="s">
        <v>325</v>
      </c>
      <c r="P679">
        <v>6.3277277435961411E-7</v>
      </c>
      <c r="Q679" t="s">
        <v>161</v>
      </c>
      <c r="S679" t="s">
        <v>226</v>
      </c>
      <c r="T679" t="s">
        <v>325</v>
      </c>
      <c r="U679">
        <v>0</v>
      </c>
      <c r="V679" t="s">
        <v>161</v>
      </c>
    </row>
    <row r="680" spans="9:22" x14ac:dyDescent="0.45">
      <c r="I680" t="s">
        <v>181</v>
      </c>
      <c r="J680" t="s">
        <v>326</v>
      </c>
      <c r="K680">
        <v>1.2144137666133325E-4</v>
      </c>
      <c r="L680" t="s">
        <v>161</v>
      </c>
      <c r="N680" t="s">
        <v>204</v>
      </c>
      <c r="O680" t="s">
        <v>326</v>
      </c>
      <c r="P680">
        <v>1.3973353947160774E-6</v>
      </c>
      <c r="Q680" t="s">
        <v>161</v>
      </c>
      <c r="S680" t="s">
        <v>226</v>
      </c>
      <c r="T680" t="s">
        <v>326</v>
      </c>
      <c r="U680">
        <v>2.9631882518868021E-7</v>
      </c>
      <c r="V680" t="s">
        <v>161</v>
      </c>
    </row>
    <row r="681" spans="9:22" x14ac:dyDescent="0.45">
      <c r="I681" t="s">
        <v>181</v>
      </c>
      <c r="J681" t="s">
        <v>327</v>
      </c>
      <c r="K681">
        <v>1.0970499561263336E-4</v>
      </c>
      <c r="L681" t="s">
        <v>161</v>
      </c>
      <c r="N681" t="s">
        <v>204</v>
      </c>
      <c r="O681" t="s">
        <v>327</v>
      </c>
      <c r="P681">
        <v>7.9640539746743312E-6</v>
      </c>
      <c r="Q681" t="s">
        <v>161</v>
      </c>
      <c r="S681" t="s">
        <v>226</v>
      </c>
      <c r="T681" t="s">
        <v>327</v>
      </c>
      <c r="U681">
        <v>0</v>
      </c>
      <c r="V681" t="s">
        <v>161</v>
      </c>
    </row>
    <row r="682" spans="9:22" x14ac:dyDescent="0.45">
      <c r="I682" t="s">
        <v>181</v>
      </c>
      <c r="J682" t="s">
        <v>328</v>
      </c>
      <c r="K682">
        <v>5.3354618117874103E-5</v>
      </c>
      <c r="L682" t="s">
        <v>161</v>
      </c>
      <c r="N682" t="s">
        <v>204</v>
      </c>
      <c r="O682" t="s">
        <v>328</v>
      </c>
      <c r="P682">
        <v>1.857497017091097E-5</v>
      </c>
      <c r="Q682" t="s">
        <v>161</v>
      </c>
      <c r="S682" t="s">
        <v>226</v>
      </c>
      <c r="T682" t="s">
        <v>328</v>
      </c>
      <c r="U682">
        <v>0</v>
      </c>
      <c r="V682" t="s">
        <v>161</v>
      </c>
    </row>
    <row r="683" spans="9:22" x14ac:dyDescent="0.45">
      <c r="I683" t="s">
        <v>181</v>
      </c>
      <c r="J683" t="s">
        <v>329</v>
      </c>
      <c r="K683">
        <v>0</v>
      </c>
      <c r="L683" t="s">
        <v>161</v>
      </c>
      <c r="N683" t="s">
        <v>204</v>
      </c>
      <c r="O683" t="s">
        <v>329</v>
      </c>
      <c r="P683">
        <v>1.8596389504972197E-5</v>
      </c>
      <c r="Q683" t="s">
        <v>161</v>
      </c>
      <c r="S683" t="s">
        <v>226</v>
      </c>
      <c r="T683" t="s">
        <v>329</v>
      </c>
      <c r="U683">
        <v>4.5489458057510055E-7</v>
      </c>
      <c r="V683" t="s">
        <v>161</v>
      </c>
    </row>
    <row r="684" spans="9:22" x14ac:dyDescent="0.45">
      <c r="I684" t="s">
        <v>181</v>
      </c>
      <c r="J684" t="s">
        <v>330</v>
      </c>
      <c r="K684">
        <v>0</v>
      </c>
      <c r="L684" t="s">
        <v>161</v>
      </c>
      <c r="N684" t="s">
        <v>204</v>
      </c>
      <c r="O684" t="s">
        <v>330</v>
      </c>
      <c r="P684">
        <v>1.5185072793324273E-5</v>
      </c>
      <c r="Q684" t="s">
        <v>161</v>
      </c>
      <c r="S684" t="s">
        <v>226</v>
      </c>
      <c r="T684" t="s">
        <v>330</v>
      </c>
      <c r="U684">
        <v>3.5724551838376053E-6</v>
      </c>
      <c r="V684" t="s">
        <v>161</v>
      </c>
    </row>
    <row r="685" spans="9:22" x14ac:dyDescent="0.45">
      <c r="I685" t="s">
        <v>181</v>
      </c>
      <c r="J685" t="s">
        <v>331</v>
      </c>
      <c r="K685">
        <v>0</v>
      </c>
      <c r="L685" t="s">
        <v>161</v>
      </c>
      <c r="N685" t="s">
        <v>204</v>
      </c>
      <c r="O685" t="s">
        <v>331</v>
      </c>
      <c r="P685">
        <v>1.8424212995101281E-5</v>
      </c>
      <c r="Q685" t="s">
        <v>161</v>
      </c>
      <c r="S685" t="s">
        <v>226</v>
      </c>
      <c r="T685" t="s">
        <v>331</v>
      </c>
      <c r="U685">
        <v>4.0132138284324261E-6</v>
      </c>
      <c r="V685" t="s">
        <v>161</v>
      </c>
    </row>
    <row r="686" spans="9:22" x14ac:dyDescent="0.45">
      <c r="I686" t="s">
        <v>181</v>
      </c>
      <c r="J686" t="s">
        <v>332</v>
      </c>
      <c r="K686">
        <v>0</v>
      </c>
      <c r="L686" t="s">
        <v>161</v>
      </c>
      <c r="N686" t="s">
        <v>204</v>
      </c>
      <c r="O686" t="s">
        <v>332</v>
      </c>
      <c r="P686">
        <v>1.8468695376876361E-5</v>
      </c>
      <c r="Q686" t="s">
        <v>161</v>
      </c>
      <c r="S686" t="s">
        <v>226</v>
      </c>
      <c r="T686" t="s">
        <v>332</v>
      </c>
      <c r="U686">
        <v>3.7545400134883721E-6</v>
      </c>
      <c r="V686" t="s">
        <v>161</v>
      </c>
    </row>
    <row r="687" spans="9:22" x14ac:dyDescent="0.45">
      <c r="I687" t="s">
        <v>181</v>
      </c>
      <c r="J687" t="s">
        <v>333</v>
      </c>
      <c r="K687">
        <v>0</v>
      </c>
      <c r="L687" t="s">
        <v>161</v>
      </c>
      <c r="N687" t="s">
        <v>204</v>
      </c>
      <c r="O687" t="s">
        <v>333</v>
      </c>
      <c r="P687">
        <v>3.1213405297645659E-6</v>
      </c>
      <c r="Q687" t="s">
        <v>161</v>
      </c>
      <c r="S687" t="s">
        <v>226</v>
      </c>
      <c r="T687" t="s">
        <v>333</v>
      </c>
      <c r="U687">
        <v>4.0115160326982992E-6</v>
      </c>
      <c r="V687" t="s">
        <v>161</v>
      </c>
    </row>
    <row r="688" spans="9:22" x14ac:dyDescent="0.45">
      <c r="I688" t="s">
        <v>181</v>
      </c>
      <c r="J688" t="s">
        <v>334</v>
      </c>
      <c r="K688">
        <v>0</v>
      </c>
      <c r="L688" t="s">
        <v>161</v>
      </c>
      <c r="N688" t="s">
        <v>204</v>
      </c>
      <c r="O688" t="s">
        <v>334</v>
      </c>
      <c r="P688">
        <v>4.3946014879550722E-6</v>
      </c>
      <c r="Q688" t="s">
        <v>161</v>
      </c>
      <c r="S688" t="s">
        <v>226</v>
      </c>
      <c r="T688" t="s">
        <v>334</v>
      </c>
      <c r="U688">
        <v>3.3437721176759679E-6</v>
      </c>
      <c r="V688" t="s">
        <v>161</v>
      </c>
    </row>
    <row r="689" spans="9:22" x14ac:dyDescent="0.45">
      <c r="I689" t="s">
        <v>181</v>
      </c>
      <c r="J689" t="s">
        <v>164</v>
      </c>
      <c r="K689">
        <v>5.1850665656163093E-3</v>
      </c>
      <c r="L689" t="s">
        <v>161</v>
      </c>
      <c r="N689" t="s">
        <v>204</v>
      </c>
      <c r="O689" t="s">
        <v>164</v>
      </c>
      <c r="P689">
        <v>3.5213730634798372E-2</v>
      </c>
      <c r="Q689" t="s">
        <v>161</v>
      </c>
      <c r="S689" t="s">
        <v>226</v>
      </c>
      <c r="T689" t="s">
        <v>164</v>
      </c>
      <c r="U689">
        <v>3.68630893565575E-2</v>
      </c>
      <c r="V689" t="s">
        <v>161</v>
      </c>
    </row>
    <row r="690" spans="9:22" x14ac:dyDescent="0.45">
      <c r="I690" t="s">
        <v>181</v>
      </c>
      <c r="J690" t="s">
        <v>165</v>
      </c>
      <c r="K690">
        <v>7.6964582400121384E-3</v>
      </c>
      <c r="L690" t="s">
        <v>161</v>
      </c>
      <c r="N690" t="s">
        <v>204</v>
      </c>
      <c r="O690" t="s">
        <v>165</v>
      </c>
      <c r="P690">
        <v>4.1426659746741775E-3</v>
      </c>
      <c r="Q690" t="s">
        <v>161</v>
      </c>
      <c r="S690" t="s">
        <v>226</v>
      </c>
      <c r="T690" t="s">
        <v>165</v>
      </c>
      <c r="U690">
        <v>4.2071699037596125E-3</v>
      </c>
      <c r="V690" t="s">
        <v>161</v>
      </c>
    </row>
    <row r="691" spans="9:22" x14ac:dyDescent="0.45">
      <c r="I691" t="s">
        <v>181</v>
      </c>
      <c r="J691" t="s">
        <v>166</v>
      </c>
      <c r="K691">
        <v>9.1045407504517867E-2</v>
      </c>
      <c r="L691" t="s">
        <v>161</v>
      </c>
      <c r="N691" t="s">
        <v>204</v>
      </c>
      <c r="O691" t="s">
        <v>166</v>
      </c>
      <c r="P691">
        <v>2.8697892489554074E-2</v>
      </c>
      <c r="Q691" t="s">
        <v>161</v>
      </c>
      <c r="S691" t="s">
        <v>226</v>
      </c>
      <c r="T691" t="s">
        <v>166</v>
      </c>
      <c r="U691">
        <v>3.3053483512245935E-2</v>
      </c>
      <c r="V691" t="s">
        <v>161</v>
      </c>
    </row>
    <row r="692" spans="9:22" x14ac:dyDescent="0.45">
      <c r="I692" t="s">
        <v>181</v>
      </c>
      <c r="J692" t="s">
        <v>244</v>
      </c>
      <c r="K692">
        <v>1.0174531679126637E-2</v>
      </c>
      <c r="L692" t="s">
        <v>161</v>
      </c>
      <c r="N692" t="s">
        <v>204</v>
      </c>
      <c r="O692" t="s">
        <v>244</v>
      </c>
      <c r="P692">
        <v>4.3918784085807665E-3</v>
      </c>
      <c r="Q692" t="s">
        <v>161</v>
      </c>
      <c r="S692" t="s">
        <v>226</v>
      </c>
      <c r="T692" t="s">
        <v>244</v>
      </c>
      <c r="U692">
        <v>4.744258558608213E-3</v>
      </c>
      <c r="V692" t="s">
        <v>161</v>
      </c>
    </row>
    <row r="693" spans="9:22" x14ac:dyDescent="0.45">
      <c r="I693" t="s">
        <v>181</v>
      </c>
      <c r="J693" t="s">
        <v>245</v>
      </c>
      <c r="K693">
        <v>7.5912440339797639E-3</v>
      </c>
      <c r="L693" t="s">
        <v>161</v>
      </c>
      <c r="N693" t="s">
        <v>204</v>
      </c>
      <c r="O693" t="s">
        <v>245</v>
      </c>
      <c r="P693">
        <v>4.2851119406647469E-3</v>
      </c>
      <c r="Q693" t="s">
        <v>161</v>
      </c>
      <c r="S693" t="s">
        <v>226</v>
      </c>
      <c r="T693" t="s">
        <v>245</v>
      </c>
      <c r="U693">
        <v>4.5993112958074098E-3</v>
      </c>
      <c r="V693" t="s">
        <v>161</v>
      </c>
    </row>
    <row r="694" spans="9:22" x14ac:dyDescent="0.45">
      <c r="I694" t="s">
        <v>181</v>
      </c>
      <c r="J694" t="s">
        <v>267</v>
      </c>
      <c r="K694">
        <v>5.9922020501980292E-3</v>
      </c>
      <c r="L694" t="s">
        <v>161</v>
      </c>
      <c r="N694" t="s">
        <v>204</v>
      </c>
      <c r="O694" t="s">
        <v>267</v>
      </c>
      <c r="P694">
        <v>2.7766754566801017E-2</v>
      </c>
      <c r="Q694" t="s">
        <v>161</v>
      </c>
      <c r="S694" t="s">
        <v>226</v>
      </c>
      <c r="T694" t="s">
        <v>267</v>
      </c>
      <c r="U694">
        <v>2.9149510497502185E-2</v>
      </c>
      <c r="V694" t="s">
        <v>161</v>
      </c>
    </row>
    <row r="695" spans="9:22" x14ac:dyDescent="0.45">
      <c r="I695" t="s">
        <v>181</v>
      </c>
      <c r="J695" t="s">
        <v>167</v>
      </c>
      <c r="K695">
        <v>3.9423642987852621E-2</v>
      </c>
      <c r="L695" t="s">
        <v>161</v>
      </c>
      <c r="N695" t="s">
        <v>204</v>
      </c>
      <c r="O695" t="s">
        <v>167</v>
      </c>
      <c r="P695">
        <v>5.692055357472358E-2</v>
      </c>
      <c r="Q695" t="s">
        <v>161</v>
      </c>
      <c r="S695" t="s">
        <v>226</v>
      </c>
      <c r="T695" t="s">
        <v>167</v>
      </c>
      <c r="U695">
        <v>5.7729482912231282E-2</v>
      </c>
      <c r="V695" t="s">
        <v>161</v>
      </c>
    </row>
    <row r="696" spans="9:22" x14ac:dyDescent="0.45">
      <c r="I696" t="s">
        <v>181</v>
      </c>
      <c r="J696" t="s">
        <v>168</v>
      </c>
      <c r="K696">
        <v>3.0047914963205059E-2</v>
      </c>
      <c r="L696" t="s">
        <v>161</v>
      </c>
      <c r="N696" t="s">
        <v>204</v>
      </c>
      <c r="O696" t="s">
        <v>168</v>
      </c>
      <c r="P696">
        <v>6.9535364801071812E-3</v>
      </c>
      <c r="Q696" t="s">
        <v>161</v>
      </c>
      <c r="S696" t="s">
        <v>226</v>
      </c>
      <c r="T696" t="s">
        <v>168</v>
      </c>
      <c r="U696">
        <v>7.2188633377459812E-3</v>
      </c>
      <c r="V696" t="s">
        <v>161</v>
      </c>
    </row>
    <row r="697" spans="9:22" x14ac:dyDescent="0.45">
      <c r="I697" t="s">
        <v>181</v>
      </c>
      <c r="J697" t="s">
        <v>169</v>
      </c>
      <c r="K697">
        <v>0.26312586836211427</v>
      </c>
      <c r="L697" t="s">
        <v>161</v>
      </c>
      <c r="N697" t="s">
        <v>204</v>
      </c>
      <c r="O697" t="s">
        <v>169</v>
      </c>
      <c r="P697">
        <v>5.4726397607387622E-2</v>
      </c>
      <c r="Q697" t="s">
        <v>161</v>
      </c>
      <c r="S697" t="s">
        <v>226</v>
      </c>
      <c r="T697" t="s">
        <v>169</v>
      </c>
      <c r="U697">
        <v>5.0350698667112788E-2</v>
      </c>
      <c r="V697" t="s">
        <v>161</v>
      </c>
    </row>
    <row r="698" spans="9:22" x14ac:dyDescent="0.45">
      <c r="I698" t="s">
        <v>181</v>
      </c>
      <c r="J698" t="s">
        <v>246</v>
      </c>
      <c r="K698">
        <v>3.0914550246333095E-2</v>
      </c>
      <c r="L698" t="s">
        <v>161</v>
      </c>
      <c r="N698" t="s">
        <v>204</v>
      </c>
      <c r="O698" t="s">
        <v>246</v>
      </c>
      <c r="P698">
        <v>8.0229646380047277E-3</v>
      </c>
      <c r="Q698" t="s">
        <v>161</v>
      </c>
      <c r="S698" t="s">
        <v>226</v>
      </c>
      <c r="T698" t="s">
        <v>246</v>
      </c>
      <c r="U698">
        <v>7.2502914024162252E-3</v>
      </c>
      <c r="V698" t="s">
        <v>161</v>
      </c>
    </row>
    <row r="699" spans="9:22" x14ac:dyDescent="0.45">
      <c r="I699" t="s">
        <v>181</v>
      </c>
      <c r="J699" t="s">
        <v>247</v>
      </c>
      <c r="K699">
        <v>2.5882582958555844E-2</v>
      </c>
      <c r="L699" t="s">
        <v>161</v>
      </c>
      <c r="N699" t="s">
        <v>204</v>
      </c>
      <c r="O699" t="s">
        <v>247</v>
      </c>
      <c r="P699">
        <v>7.1320449700298712E-3</v>
      </c>
      <c r="Q699" t="s">
        <v>161</v>
      </c>
      <c r="S699" t="s">
        <v>226</v>
      </c>
      <c r="T699" t="s">
        <v>247</v>
      </c>
      <c r="U699">
        <v>6.826594766260209E-3</v>
      </c>
      <c r="V699" t="s">
        <v>161</v>
      </c>
    </row>
    <row r="700" spans="9:22" x14ac:dyDescent="0.45">
      <c r="I700" t="s">
        <v>181</v>
      </c>
      <c r="J700" t="s">
        <v>268</v>
      </c>
      <c r="K700">
        <v>3.885196389596713E-2</v>
      </c>
      <c r="L700" t="s">
        <v>161</v>
      </c>
      <c r="N700" t="s">
        <v>204</v>
      </c>
      <c r="O700" t="s">
        <v>268</v>
      </c>
      <c r="P700">
        <v>4.4768832426781729E-2</v>
      </c>
      <c r="Q700" t="s">
        <v>161</v>
      </c>
      <c r="S700" t="s">
        <v>226</v>
      </c>
      <c r="T700" t="s">
        <v>268</v>
      </c>
      <c r="U700">
        <v>4.6012374049959198E-2</v>
      </c>
      <c r="V700" t="s">
        <v>161</v>
      </c>
    </row>
    <row r="701" spans="9:22" x14ac:dyDescent="0.45">
      <c r="I701" t="s">
        <v>181</v>
      </c>
      <c r="J701" t="s">
        <v>170</v>
      </c>
      <c r="K701">
        <v>1.2587540115925487E-2</v>
      </c>
      <c r="L701" t="s">
        <v>161</v>
      </c>
      <c r="N701" t="s">
        <v>204</v>
      </c>
      <c r="O701" t="s">
        <v>170</v>
      </c>
      <c r="P701">
        <v>3.3381220523222288E-2</v>
      </c>
      <c r="Q701" t="s">
        <v>161</v>
      </c>
      <c r="S701" t="s">
        <v>226</v>
      </c>
      <c r="T701" t="s">
        <v>170</v>
      </c>
      <c r="U701">
        <v>3.4824631861413137E-2</v>
      </c>
      <c r="V701" t="s">
        <v>161</v>
      </c>
    </row>
    <row r="702" spans="9:22" x14ac:dyDescent="0.45">
      <c r="I702" t="s">
        <v>181</v>
      </c>
      <c r="J702" t="s">
        <v>171</v>
      </c>
      <c r="K702">
        <v>1.3139155925469607E-2</v>
      </c>
      <c r="L702" t="s">
        <v>161</v>
      </c>
      <c r="N702" t="s">
        <v>204</v>
      </c>
      <c r="O702" t="s">
        <v>171</v>
      </c>
      <c r="P702">
        <v>3.9081607115979532E-3</v>
      </c>
      <c r="Q702" t="s">
        <v>161</v>
      </c>
      <c r="S702" t="s">
        <v>226</v>
      </c>
      <c r="T702" t="s">
        <v>171</v>
      </c>
      <c r="U702">
        <v>3.8987361689332787E-3</v>
      </c>
      <c r="V702" t="s">
        <v>161</v>
      </c>
    </row>
    <row r="703" spans="9:22" x14ac:dyDescent="0.45">
      <c r="I703" t="s">
        <v>181</v>
      </c>
      <c r="J703" t="s">
        <v>172</v>
      </c>
      <c r="K703">
        <v>0.1250020017457491</v>
      </c>
      <c r="L703" t="s">
        <v>161</v>
      </c>
      <c r="N703" t="s">
        <v>204</v>
      </c>
      <c r="O703" t="s">
        <v>172</v>
      </c>
      <c r="P703">
        <v>2.9965065640278704E-2</v>
      </c>
      <c r="Q703" t="s">
        <v>161</v>
      </c>
      <c r="S703" t="s">
        <v>226</v>
      </c>
      <c r="T703" t="s">
        <v>172</v>
      </c>
      <c r="U703">
        <v>2.8038152590336221E-2</v>
      </c>
      <c r="V703" t="s">
        <v>161</v>
      </c>
    </row>
    <row r="704" spans="9:22" x14ac:dyDescent="0.45">
      <c r="I704" t="s">
        <v>181</v>
      </c>
      <c r="J704" t="s">
        <v>248</v>
      </c>
      <c r="K704">
        <v>1.4173619587636646E-2</v>
      </c>
      <c r="L704" t="s">
        <v>161</v>
      </c>
      <c r="N704" t="s">
        <v>204</v>
      </c>
      <c r="O704" t="s">
        <v>248</v>
      </c>
      <c r="P704">
        <v>3.9959574395203815E-3</v>
      </c>
      <c r="Q704" t="s">
        <v>161</v>
      </c>
      <c r="S704" t="s">
        <v>226</v>
      </c>
      <c r="T704" t="s">
        <v>248</v>
      </c>
      <c r="U704">
        <v>3.9441236049374134E-3</v>
      </c>
      <c r="V704" t="s">
        <v>161</v>
      </c>
    </row>
    <row r="705" spans="9:22" x14ac:dyDescent="0.45">
      <c r="I705" t="s">
        <v>181</v>
      </c>
      <c r="J705" t="s">
        <v>249</v>
      </c>
      <c r="K705">
        <v>1.182559362830448E-2</v>
      </c>
      <c r="L705" t="s">
        <v>161</v>
      </c>
      <c r="N705" t="s">
        <v>204</v>
      </c>
      <c r="O705" t="s">
        <v>249</v>
      </c>
      <c r="P705">
        <v>3.6640399960827697E-3</v>
      </c>
      <c r="Q705" t="s">
        <v>161</v>
      </c>
      <c r="S705" t="s">
        <v>226</v>
      </c>
      <c r="T705" t="s">
        <v>249</v>
      </c>
      <c r="U705">
        <v>3.7356816471158022E-3</v>
      </c>
      <c r="V705" t="s">
        <v>161</v>
      </c>
    </row>
    <row r="706" spans="9:22" x14ac:dyDescent="0.45">
      <c r="I706" t="s">
        <v>181</v>
      </c>
      <c r="J706" t="s">
        <v>269</v>
      </c>
      <c r="K706">
        <v>1.3757796257356174E-2</v>
      </c>
      <c r="L706" t="s">
        <v>161</v>
      </c>
      <c r="N706" t="s">
        <v>204</v>
      </c>
      <c r="O706" t="s">
        <v>269</v>
      </c>
      <c r="P706">
        <v>2.4290902070777349E-2</v>
      </c>
      <c r="Q706" t="s">
        <v>161</v>
      </c>
      <c r="S706" t="s">
        <v>226</v>
      </c>
      <c r="T706" t="s">
        <v>269</v>
      </c>
      <c r="U706">
        <v>2.7325651361837174E-2</v>
      </c>
      <c r="V706" t="s">
        <v>161</v>
      </c>
    </row>
    <row r="707" spans="9:22" x14ac:dyDescent="0.45">
      <c r="I707" t="s">
        <v>181</v>
      </c>
      <c r="J707" t="s">
        <v>250</v>
      </c>
      <c r="K707">
        <v>1.9936098108837199E-3</v>
      </c>
      <c r="L707" t="s">
        <v>161</v>
      </c>
      <c r="N707" t="s">
        <v>204</v>
      </c>
      <c r="O707" t="s">
        <v>250</v>
      </c>
      <c r="P707">
        <v>5.4126297316615529E-2</v>
      </c>
      <c r="Q707" t="s">
        <v>161</v>
      </c>
      <c r="S707" t="s">
        <v>226</v>
      </c>
      <c r="T707" t="s">
        <v>250</v>
      </c>
      <c r="U707">
        <v>4.8178499750205897E-2</v>
      </c>
      <c r="V707" t="s">
        <v>161</v>
      </c>
    </row>
    <row r="708" spans="9:22" x14ac:dyDescent="0.45">
      <c r="I708" t="s">
        <v>181</v>
      </c>
      <c r="J708" t="s">
        <v>251</v>
      </c>
      <c r="K708">
        <v>5.3734888520770019E-3</v>
      </c>
      <c r="L708" t="s">
        <v>161</v>
      </c>
      <c r="N708" t="s">
        <v>204</v>
      </c>
      <c r="O708" t="s">
        <v>251</v>
      </c>
      <c r="P708">
        <v>6.770474633740124E-3</v>
      </c>
      <c r="Q708" t="s">
        <v>161</v>
      </c>
      <c r="S708" t="s">
        <v>226</v>
      </c>
      <c r="T708" t="s">
        <v>251</v>
      </c>
      <c r="U708">
        <v>6.0958919409562478E-3</v>
      </c>
      <c r="V708" t="s">
        <v>161</v>
      </c>
    </row>
    <row r="709" spans="9:22" x14ac:dyDescent="0.45">
      <c r="I709" t="s">
        <v>181</v>
      </c>
      <c r="J709" t="s">
        <v>252</v>
      </c>
      <c r="K709">
        <v>8.0605060604732715E-2</v>
      </c>
      <c r="L709" t="s">
        <v>161</v>
      </c>
      <c r="N709" t="s">
        <v>204</v>
      </c>
      <c r="O709" t="s">
        <v>252</v>
      </c>
      <c r="P709">
        <v>4.2681911333850818E-2</v>
      </c>
      <c r="Q709" t="s">
        <v>161</v>
      </c>
      <c r="S709" t="s">
        <v>226</v>
      </c>
      <c r="T709" t="s">
        <v>252</v>
      </c>
      <c r="U709">
        <v>4.2492569664864532E-2</v>
      </c>
      <c r="V709" t="s">
        <v>161</v>
      </c>
    </row>
    <row r="710" spans="9:22" x14ac:dyDescent="0.45">
      <c r="I710" t="s">
        <v>181</v>
      </c>
      <c r="J710" t="s">
        <v>253</v>
      </c>
      <c r="K710">
        <v>8.5231009617479404E-3</v>
      </c>
      <c r="L710" t="s">
        <v>161</v>
      </c>
      <c r="N710" t="s">
        <v>204</v>
      </c>
      <c r="O710" t="s">
        <v>253</v>
      </c>
      <c r="P710">
        <v>6.1489166548895574E-3</v>
      </c>
      <c r="Q710" t="s">
        <v>161</v>
      </c>
      <c r="S710" t="s">
        <v>226</v>
      </c>
      <c r="T710" t="s">
        <v>253</v>
      </c>
      <c r="U710">
        <v>6.2682312427275125E-3</v>
      </c>
      <c r="V710" t="s">
        <v>161</v>
      </c>
    </row>
    <row r="711" spans="9:22" x14ac:dyDescent="0.45">
      <c r="I711" t="s">
        <v>181</v>
      </c>
      <c r="J711" t="s">
        <v>254</v>
      </c>
      <c r="K711">
        <v>5.13408379062265E-3</v>
      </c>
      <c r="L711" t="s">
        <v>161</v>
      </c>
      <c r="N711" t="s">
        <v>204</v>
      </c>
      <c r="O711" t="s">
        <v>254</v>
      </c>
      <c r="P711">
        <v>6.36749902829004E-3</v>
      </c>
      <c r="Q711" t="s">
        <v>161</v>
      </c>
      <c r="S711" t="s">
        <v>226</v>
      </c>
      <c r="T711" t="s">
        <v>254</v>
      </c>
      <c r="U711">
        <v>6.5549373365788319E-3</v>
      </c>
      <c r="V711" t="s">
        <v>161</v>
      </c>
    </row>
    <row r="712" spans="9:22" x14ac:dyDescent="0.45">
      <c r="I712" t="s">
        <v>181</v>
      </c>
      <c r="J712" t="s">
        <v>270</v>
      </c>
      <c r="K712">
        <v>1.3685076811350858E-3</v>
      </c>
      <c r="L712" t="s">
        <v>161</v>
      </c>
      <c r="N712" t="s">
        <v>204</v>
      </c>
      <c r="O712" t="s">
        <v>270</v>
      </c>
      <c r="P712">
        <v>4.1933961491580164E-2</v>
      </c>
      <c r="Q712" t="s">
        <v>161</v>
      </c>
      <c r="S712" t="s">
        <v>226</v>
      </c>
      <c r="T712" t="s">
        <v>270</v>
      </c>
      <c r="U712">
        <v>4.0051051969162699E-2</v>
      </c>
      <c r="V712" t="s">
        <v>161</v>
      </c>
    </row>
    <row r="713" spans="9:22" x14ac:dyDescent="0.45">
      <c r="I713" t="s">
        <v>181</v>
      </c>
      <c r="J713" t="s">
        <v>255</v>
      </c>
      <c r="K713">
        <v>0</v>
      </c>
      <c r="L713" t="s">
        <v>161</v>
      </c>
      <c r="N713" t="s">
        <v>204</v>
      </c>
      <c r="O713" t="s">
        <v>255</v>
      </c>
      <c r="P713">
        <v>5.5973940202839016E-2</v>
      </c>
      <c r="Q713" t="s">
        <v>161</v>
      </c>
      <c r="S713" t="s">
        <v>226</v>
      </c>
      <c r="T713" t="s">
        <v>255</v>
      </c>
      <c r="U713">
        <v>5.2298196546924823E-2</v>
      </c>
      <c r="V713" t="s">
        <v>161</v>
      </c>
    </row>
    <row r="714" spans="9:22" x14ac:dyDescent="0.45">
      <c r="I714" t="s">
        <v>181</v>
      </c>
      <c r="J714" t="s">
        <v>256</v>
      </c>
      <c r="K714">
        <v>1.2222210698245586E-4</v>
      </c>
      <c r="L714" t="s">
        <v>161</v>
      </c>
      <c r="N714" t="s">
        <v>204</v>
      </c>
      <c r="O714" t="s">
        <v>256</v>
      </c>
      <c r="P714">
        <v>6.9384944657691636E-3</v>
      </c>
      <c r="Q714" t="s">
        <v>161</v>
      </c>
      <c r="S714" t="s">
        <v>226</v>
      </c>
      <c r="T714" t="s">
        <v>256</v>
      </c>
      <c r="U714">
        <v>7.0138508425762669E-3</v>
      </c>
      <c r="V714" t="s">
        <v>161</v>
      </c>
    </row>
    <row r="715" spans="9:22" x14ac:dyDescent="0.45">
      <c r="I715" t="s">
        <v>181</v>
      </c>
      <c r="J715" t="s">
        <v>257</v>
      </c>
      <c r="K715">
        <v>3.4239276692163048E-2</v>
      </c>
      <c r="L715" t="s">
        <v>161</v>
      </c>
      <c r="N715" t="s">
        <v>204</v>
      </c>
      <c r="O715" t="s">
        <v>257</v>
      </c>
      <c r="P715">
        <v>4.4237187020720957E-2</v>
      </c>
      <c r="Q715" t="s">
        <v>161</v>
      </c>
      <c r="S715" t="s">
        <v>226</v>
      </c>
      <c r="T715" t="s">
        <v>257</v>
      </c>
      <c r="U715">
        <v>4.6418799293643287E-2</v>
      </c>
      <c r="V715" t="s">
        <v>161</v>
      </c>
    </row>
    <row r="716" spans="9:22" x14ac:dyDescent="0.45">
      <c r="I716" t="s">
        <v>181</v>
      </c>
      <c r="J716" t="s">
        <v>258</v>
      </c>
      <c r="K716">
        <v>2.7887252770885714E-3</v>
      </c>
      <c r="L716" t="s">
        <v>161</v>
      </c>
      <c r="N716" t="s">
        <v>204</v>
      </c>
      <c r="O716" t="s">
        <v>258</v>
      </c>
      <c r="P716">
        <v>6.2557723525272649E-3</v>
      </c>
      <c r="Q716" t="s">
        <v>161</v>
      </c>
      <c r="S716" t="s">
        <v>226</v>
      </c>
      <c r="T716" t="s">
        <v>258</v>
      </c>
      <c r="U716">
        <v>6.3260179794374016E-3</v>
      </c>
      <c r="V716" t="s">
        <v>161</v>
      </c>
    </row>
    <row r="717" spans="9:22" x14ac:dyDescent="0.45">
      <c r="I717" t="s">
        <v>181</v>
      </c>
      <c r="J717" t="s">
        <v>259</v>
      </c>
      <c r="K717">
        <v>1.7887387541919891E-5</v>
      </c>
      <c r="L717" t="s">
        <v>161</v>
      </c>
      <c r="N717" t="s">
        <v>204</v>
      </c>
      <c r="O717" t="s">
        <v>259</v>
      </c>
      <c r="P717">
        <v>6.420052629194384E-3</v>
      </c>
      <c r="Q717" t="s">
        <v>161</v>
      </c>
      <c r="S717" t="s">
        <v>226</v>
      </c>
      <c r="T717" t="s">
        <v>259</v>
      </c>
      <c r="U717">
        <v>6.2623616988751445E-3</v>
      </c>
      <c r="V717" t="s">
        <v>161</v>
      </c>
    </row>
    <row r="718" spans="9:22" x14ac:dyDescent="0.45">
      <c r="I718" t="s">
        <v>181</v>
      </c>
      <c r="J718" t="s">
        <v>271</v>
      </c>
      <c r="K718">
        <v>0</v>
      </c>
      <c r="L718" t="s">
        <v>161</v>
      </c>
      <c r="N718" t="s">
        <v>204</v>
      </c>
      <c r="O718" t="s">
        <v>271</v>
      </c>
      <c r="P718">
        <v>3.8838789856649888E-2</v>
      </c>
      <c r="Q718" t="s">
        <v>161</v>
      </c>
      <c r="S718" t="s">
        <v>226</v>
      </c>
      <c r="T718" t="s">
        <v>271</v>
      </c>
      <c r="U718">
        <v>3.6361823400545015E-2</v>
      </c>
      <c r="V718" t="s">
        <v>161</v>
      </c>
    </row>
    <row r="719" spans="9:22" x14ac:dyDescent="0.45">
      <c r="I719" t="s">
        <v>181</v>
      </c>
      <c r="J719" t="s">
        <v>272</v>
      </c>
      <c r="K719">
        <v>0</v>
      </c>
      <c r="L719" t="s">
        <v>161</v>
      </c>
      <c r="N719" t="s">
        <v>204</v>
      </c>
      <c r="O719" t="s">
        <v>272</v>
      </c>
      <c r="P719">
        <v>2.198659951831828E-2</v>
      </c>
      <c r="Q719" t="s">
        <v>161</v>
      </c>
      <c r="S719" t="s">
        <v>226</v>
      </c>
      <c r="T719" t="s">
        <v>272</v>
      </c>
      <c r="U719">
        <v>1.9478318761507754E-2</v>
      </c>
      <c r="V719" t="s">
        <v>161</v>
      </c>
    </row>
    <row r="720" spans="9:22" x14ac:dyDescent="0.45">
      <c r="I720" t="s">
        <v>181</v>
      </c>
      <c r="J720" t="s">
        <v>273</v>
      </c>
      <c r="K720">
        <v>0</v>
      </c>
      <c r="L720" t="s">
        <v>161</v>
      </c>
      <c r="N720" t="s">
        <v>204</v>
      </c>
      <c r="O720" t="s">
        <v>273</v>
      </c>
      <c r="P720">
        <v>2.7519576601381796E-3</v>
      </c>
      <c r="Q720" t="s">
        <v>161</v>
      </c>
      <c r="S720" t="s">
        <v>226</v>
      </c>
      <c r="T720" t="s">
        <v>273</v>
      </c>
      <c r="U720">
        <v>2.5978663316063274E-3</v>
      </c>
      <c r="V720" t="s">
        <v>161</v>
      </c>
    </row>
    <row r="721" spans="9:22" x14ac:dyDescent="0.45">
      <c r="I721" t="s">
        <v>181</v>
      </c>
      <c r="J721" t="s">
        <v>274</v>
      </c>
      <c r="K721">
        <v>6.7074554295196752E-3</v>
      </c>
      <c r="L721" t="s">
        <v>161</v>
      </c>
      <c r="N721" t="s">
        <v>204</v>
      </c>
      <c r="O721" t="s">
        <v>274</v>
      </c>
      <c r="P721">
        <v>1.5969676949904379E-2</v>
      </c>
      <c r="Q721" t="s">
        <v>161</v>
      </c>
      <c r="S721" t="s">
        <v>226</v>
      </c>
      <c r="T721" t="s">
        <v>274</v>
      </c>
      <c r="U721">
        <v>1.5081718397840249E-2</v>
      </c>
      <c r="V721" t="s">
        <v>161</v>
      </c>
    </row>
    <row r="722" spans="9:22" x14ac:dyDescent="0.45">
      <c r="I722" t="s">
        <v>181</v>
      </c>
      <c r="J722" t="s">
        <v>275</v>
      </c>
      <c r="K722">
        <v>4.8161716514031564E-4</v>
      </c>
      <c r="L722" t="s">
        <v>161</v>
      </c>
      <c r="N722" t="s">
        <v>204</v>
      </c>
      <c r="O722" t="s">
        <v>275</v>
      </c>
      <c r="P722">
        <v>2.2250566022686052E-3</v>
      </c>
      <c r="Q722" t="s">
        <v>161</v>
      </c>
      <c r="S722" t="s">
        <v>226</v>
      </c>
      <c r="T722" t="s">
        <v>275</v>
      </c>
      <c r="U722">
        <v>2.0856570640293078E-3</v>
      </c>
      <c r="V722" t="s">
        <v>161</v>
      </c>
    </row>
    <row r="723" spans="9:22" x14ac:dyDescent="0.45">
      <c r="I723" t="s">
        <v>181</v>
      </c>
      <c r="J723" t="s">
        <v>276</v>
      </c>
      <c r="K723">
        <v>0</v>
      </c>
      <c r="L723" t="s">
        <v>161</v>
      </c>
      <c r="N723" t="s">
        <v>204</v>
      </c>
      <c r="O723" t="s">
        <v>276</v>
      </c>
      <c r="P723">
        <v>2.2596190224839757E-3</v>
      </c>
      <c r="Q723" t="s">
        <v>161</v>
      </c>
      <c r="S723" t="s">
        <v>226</v>
      </c>
      <c r="T723" t="s">
        <v>276</v>
      </c>
      <c r="U723">
        <v>2.1205570286755393E-3</v>
      </c>
      <c r="V723" t="s">
        <v>161</v>
      </c>
    </row>
    <row r="724" spans="9:22" x14ac:dyDescent="0.45">
      <c r="I724" t="s">
        <v>181</v>
      </c>
      <c r="J724" t="s">
        <v>277</v>
      </c>
      <c r="K724">
        <v>0</v>
      </c>
      <c r="L724" t="s">
        <v>161</v>
      </c>
      <c r="N724" t="s">
        <v>204</v>
      </c>
      <c r="O724" t="s">
        <v>277</v>
      </c>
      <c r="P724">
        <v>1.4345627797490372E-2</v>
      </c>
      <c r="Q724" t="s">
        <v>161</v>
      </c>
      <c r="S724" t="s">
        <v>226</v>
      </c>
      <c r="T724" t="s">
        <v>277</v>
      </c>
      <c r="U724">
        <v>1.2739637837665418E-2</v>
      </c>
      <c r="V724" t="s">
        <v>161</v>
      </c>
    </row>
    <row r="725" spans="9:22" x14ac:dyDescent="0.45">
      <c r="I725" t="s">
        <v>181</v>
      </c>
      <c r="J725" t="s">
        <v>278</v>
      </c>
      <c r="K725">
        <v>0</v>
      </c>
      <c r="L725" t="s">
        <v>161</v>
      </c>
      <c r="N725" t="s">
        <v>204</v>
      </c>
      <c r="O725" t="s">
        <v>278</v>
      </c>
      <c r="P725">
        <v>8.4785188897315237E-3</v>
      </c>
      <c r="Q725" t="s">
        <v>161</v>
      </c>
      <c r="S725" t="s">
        <v>226</v>
      </c>
      <c r="T725" t="s">
        <v>278</v>
      </c>
      <c r="U725">
        <v>6.5935420839356353E-3</v>
      </c>
      <c r="V725" t="s">
        <v>161</v>
      </c>
    </row>
    <row r="726" spans="9:22" x14ac:dyDescent="0.45">
      <c r="I726" t="s">
        <v>181</v>
      </c>
      <c r="J726" t="s">
        <v>279</v>
      </c>
      <c r="K726">
        <v>0</v>
      </c>
      <c r="L726" t="s">
        <v>161</v>
      </c>
      <c r="N726" t="s">
        <v>204</v>
      </c>
      <c r="O726" t="s">
        <v>279</v>
      </c>
      <c r="P726">
        <v>1.2797067685433102E-3</v>
      </c>
      <c r="Q726" t="s">
        <v>161</v>
      </c>
      <c r="S726" t="s">
        <v>226</v>
      </c>
      <c r="T726" t="s">
        <v>279</v>
      </c>
      <c r="U726">
        <v>8.2903662515499733E-4</v>
      </c>
      <c r="V726" t="s">
        <v>161</v>
      </c>
    </row>
    <row r="727" spans="9:22" x14ac:dyDescent="0.45">
      <c r="I727" t="s">
        <v>181</v>
      </c>
      <c r="J727" t="s">
        <v>280</v>
      </c>
      <c r="K727">
        <v>5.0990797547066447E-3</v>
      </c>
      <c r="L727" t="s">
        <v>161</v>
      </c>
      <c r="N727" t="s">
        <v>204</v>
      </c>
      <c r="O727" t="s">
        <v>280</v>
      </c>
      <c r="P727">
        <v>7.7231340295121718E-3</v>
      </c>
      <c r="Q727" t="s">
        <v>161</v>
      </c>
      <c r="S727" t="s">
        <v>226</v>
      </c>
      <c r="T727" t="s">
        <v>280</v>
      </c>
      <c r="U727">
        <v>6.5252087990563031E-3</v>
      </c>
      <c r="V727" t="s">
        <v>161</v>
      </c>
    </row>
    <row r="728" spans="9:22" x14ac:dyDescent="0.45">
      <c r="I728" t="s">
        <v>181</v>
      </c>
      <c r="J728" t="s">
        <v>281</v>
      </c>
      <c r="K728">
        <v>5.3745034087567434E-4</v>
      </c>
      <c r="L728" t="s">
        <v>161</v>
      </c>
      <c r="N728" t="s">
        <v>204</v>
      </c>
      <c r="O728" t="s">
        <v>281</v>
      </c>
      <c r="P728">
        <v>1.0925065826312261E-3</v>
      </c>
      <c r="Q728" t="s">
        <v>161</v>
      </c>
      <c r="S728" t="s">
        <v>226</v>
      </c>
      <c r="T728" t="s">
        <v>281</v>
      </c>
      <c r="U728">
        <v>1.1812484518613242E-3</v>
      </c>
      <c r="V728" t="s">
        <v>161</v>
      </c>
    </row>
    <row r="729" spans="9:22" x14ac:dyDescent="0.45">
      <c r="I729" t="s">
        <v>181</v>
      </c>
      <c r="J729" t="s">
        <v>282</v>
      </c>
      <c r="K729">
        <v>0</v>
      </c>
      <c r="L729" t="s">
        <v>161</v>
      </c>
      <c r="N729" t="s">
        <v>204</v>
      </c>
      <c r="O729" t="s">
        <v>282</v>
      </c>
      <c r="P729">
        <v>1.108285034002262E-3</v>
      </c>
      <c r="Q729" t="s">
        <v>161</v>
      </c>
      <c r="S729" t="s">
        <v>226</v>
      </c>
      <c r="T729" t="s">
        <v>282</v>
      </c>
      <c r="U729">
        <v>1.2245210018677643E-3</v>
      </c>
      <c r="V729" t="s">
        <v>161</v>
      </c>
    </row>
    <row r="730" spans="9:22" x14ac:dyDescent="0.45">
      <c r="I730" t="s">
        <v>181</v>
      </c>
      <c r="J730" t="s">
        <v>283</v>
      </c>
      <c r="K730">
        <v>0</v>
      </c>
      <c r="L730" t="s">
        <v>161</v>
      </c>
      <c r="N730" t="s">
        <v>204</v>
      </c>
      <c r="O730" t="s">
        <v>283</v>
      </c>
      <c r="P730">
        <v>7.122778226630622E-3</v>
      </c>
      <c r="Q730" t="s">
        <v>161</v>
      </c>
      <c r="S730" t="s">
        <v>226</v>
      </c>
      <c r="T730" t="s">
        <v>283</v>
      </c>
      <c r="U730">
        <v>7.6261589666493657E-3</v>
      </c>
      <c r="V730" t="s">
        <v>161</v>
      </c>
    </row>
    <row r="731" spans="9:22" x14ac:dyDescent="0.45">
      <c r="I731" t="s">
        <v>182</v>
      </c>
      <c r="J731" t="s">
        <v>160</v>
      </c>
      <c r="K731">
        <v>0</v>
      </c>
      <c r="L731" t="s">
        <v>161</v>
      </c>
      <c r="N731" t="s">
        <v>205</v>
      </c>
      <c r="O731" t="s">
        <v>160</v>
      </c>
      <c r="P731">
        <v>8.8909273093310967E-2</v>
      </c>
      <c r="Q731" t="s">
        <v>161</v>
      </c>
    </row>
    <row r="732" spans="9:22" x14ac:dyDescent="0.45">
      <c r="I732" t="s">
        <v>182</v>
      </c>
      <c r="J732" t="s">
        <v>162</v>
      </c>
      <c r="K732">
        <v>1.8778502589615375E-3</v>
      </c>
      <c r="L732" t="s">
        <v>161</v>
      </c>
      <c r="N732" t="s">
        <v>205</v>
      </c>
      <c r="O732" t="s">
        <v>162</v>
      </c>
      <c r="P732">
        <v>1.0370583911471063E-2</v>
      </c>
      <c r="Q732" t="s">
        <v>161</v>
      </c>
    </row>
    <row r="733" spans="9:22" x14ac:dyDescent="0.45">
      <c r="I733" t="s">
        <v>182</v>
      </c>
      <c r="J733" t="s">
        <v>163</v>
      </c>
      <c r="K733">
        <v>7.581181600282931E-2</v>
      </c>
      <c r="L733" t="s">
        <v>161</v>
      </c>
      <c r="N733" t="s">
        <v>205</v>
      </c>
      <c r="O733" t="s">
        <v>163</v>
      </c>
      <c r="P733">
        <v>6.5836598243426844E-2</v>
      </c>
      <c r="Q733" t="s">
        <v>161</v>
      </c>
    </row>
    <row r="734" spans="9:22" x14ac:dyDescent="0.45">
      <c r="I734" t="s">
        <v>182</v>
      </c>
      <c r="J734" t="s">
        <v>242</v>
      </c>
      <c r="K734">
        <v>8.4332557746000011E-3</v>
      </c>
      <c r="L734" t="s">
        <v>161</v>
      </c>
      <c r="N734" t="s">
        <v>205</v>
      </c>
      <c r="O734" t="s">
        <v>242</v>
      </c>
      <c r="P734">
        <v>1.1073963948835659E-2</v>
      </c>
      <c r="Q734" t="s">
        <v>161</v>
      </c>
    </row>
    <row r="735" spans="9:22" x14ac:dyDescent="0.45">
      <c r="I735" t="s">
        <v>182</v>
      </c>
      <c r="J735" t="s">
        <v>243</v>
      </c>
      <c r="K735">
        <v>5.0747274167288253E-3</v>
      </c>
      <c r="L735" t="s">
        <v>161</v>
      </c>
      <c r="N735" t="s">
        <v>205</v>
      </c>
      <c r="O735" t="s">
        <v>243</v>
      </c>
      <c r="P735">
        <v>1.1547647355100051E-2</v>
      </c>
      <c r="Q735" t="s">
        <v>161</v>
      </c>
    </row>
    <row r="736" spans="9:22" x14ac:dyDescent="0.45">
      <c r="I736" t="s">
        <v>182</v>
      </c>
      <c r="J736" t="s">
        <v>266</v>
      </c>
      <c r="K736">
        <v>1.7951764816206254E-3</v>
      </c>
      <c r="L736" t="s">
        <v>161</v>
      </c>
      <c r="N736" t="s">
        <v>205</v>
      </c>
      <c r="O736" t="s">
        <v>266</v>
      </c>
      <c r="P736">
        <v>7.0136241093583102E-2</v>
      </c>
      <c r="Q736" t="s">
        <v>161</v>
      </c>
    </row>
    <row r="737" spans="9:17" x14ac:dyDescent="0.45">
      <c r="I737" t="s">
        <v>182</v>
      </c>
      <c r="J737" t="s">
        <v>311</v>
      </c>
      <c r="K737">
        <v>0</v>
      </c>
      <c r="L737" t="s">
        <v>161</v>
      </c>
      <c r="N737" t="s">
        <v>205</v>
      </c>
      <c r="O737" t="s">
        <v>311</v>
      </c>
      <c r="P737">
        <v>6.510792899908E-7</v>
      </c>
      <c r="Q737" t="s">
        <v>161</v>
      </c>
    </row>
    <row r="738" spans="9:17" x14ac:dyDescent="0.45">
      <c r="I738" t="s">
        <v>182</v>
      </c>
      <c r="J738" t="s">
        <v>312</v>
      </c>
      <c r="K738">
        <v>0</v>
      </c>
      <c r="L738" t="s">
        <v>161</v>
      </c>
      <c r="N738" t="s">
        <v>205</v>
      </c>
      <c r="O738" t="s">
        <v>312</v>
      </c>
      <c r="P738">
        <v>1.4687765380191466E-7</v>
      </c>
      <c r="Q738" t="s">
        <v>161</v>
      </c>
    </row>
    <row r="739" spans="9:17" x14ac:dyDescent="0.45">
      <c r="I739" t="s">
        <v>182</v>
      </c>
      <c r="J739" t="s">
        <v>313</v>
      </c>
      <c r="K739">
        <v>0</v>
      </c>
      <c r="L739" t="s">
        <v>161</v>
      </c>
      <c r="N739" t="s">
        <v>205</v>
      </c>
      <c r="O739" t="s">
        <v>313</v>
      </c>
      <c r="P739">
        <v>0</v>
      </c>
      <c r="Q739" t="s">
        <v>161</v>
      </c>
    </row>
    <row r="740" spans="9:17" x14ac:dyDescent="0.45">
      <c r="I740" t="s">
        <v>182</v>
      </c>
      <c r="J740" t="s">
        <v>314</v>
      </c>
      <c r="K740">
        <v>0</v>
      </c>
      <c r="L740" t="s">
        <v>161</v>
      </c>
      <c r="N740" t="s">
        <v>205</v>
      </c>
      <c r="O740" t="s">
        <v>314</v>
      </c>
      <c r="P740">
        <v>0</v>
      </c>
      <c r="Q740" t="s">
        <v>161</v>
      </c>
    </row>
    <row r="741" spans="9:17" x14ac:dyDescent="0.45">
      <c r="I741" t="s">
        <v>182</v>
      </c>
      <c r="J741" t="s">
        <v>315</v>
      </c>
      <c r="K741">
        <v>0</v>
      </c>
      <c r="L741" t="s">
        <v>161</v>
      </c>
      <c r="N741" t="s">
        <v>205</v>
      </c>
      <c r="O741" t="s">
        <v>315</v>
      </c>
      <c r="P741">
        <v>0</v>
      </c>
      <c r="Q741" t="s">
        <v>161</v>
      </c>
    </row>
    <row r="742" spans="9:17" x14ac:dyDescent="0.45">
      <c r="I742" t="s">
        <v>182</v>
      </c>
      <c r="J742" t="s">
        <v>316</v>
      </c>
      <c r="K742">
        <v>0</v>
      </c>
      <c r="L742" t="s">
        <v>161</v>
      </c>
      <c r="N742" t="s">
        <v>205</v>
      </c>
      <c r="O742" t="s">
        <v>316</v>
      </c>
      <c r="P742">
        <v>3.582368701420647E-9</v>
      </c>
      <c r="Q742" t="s">
        <v>161</v>
      </c>
    </row>
    <row r="743" spans="9:17" x14ac:dyDescent="0.45">
      <c r="I743" t="s">
        <v>182</v>
      </c>
      <c r="J743" t="s">
        <v>317</v>
      </c>
      <c r="K743">
        <v>0</v>
      </c>
      <c r="L743" t="s">
        <v>161</v>
      </c>
      <c r="N743" t="s">
        <v>205</v>
      </c>
      <c r="O743" t="s">
        <v>317</v>
      </c>
      <c r="P743">
        <v>2.5975968645725085E-7</v>
      </c>
      <c r="Q743" t="s">
        <v>161</v>
      </c>
    </row>
    <row r="744" spans="9:17" x14ac:dyDescent="0.45">
      <c r="I744" t="s">
        <v>182</v>
      </c>
      <c r="J744" t="s">
        <v>318</v>
      </c>
      <c r="K744">
        <v>0</v>
      </c>
      <c r="L744" t="s">
        <v>161</v>
      </c>
      <c r="N744" t="s">
        <v>205</v>
      </c>
      <c r="O744" t="s">
        <v>318</v>
      </c>
      <c r="P744">
        <v>3.7512943201929091E-7</v>
      </c>
      <c r="Q744" t="s">
        <v>161</v>
      </c>
    </row>
    <row r="745" spans="9:17" x14ac:dyDescent="0.45">
      <c r="I745" t="s">
        <v>182</v>
      </c>
      <c r="J745" t="s">
        <v>319</v>
      </c>
      <c r="K745">
        <v>1.2555571660063254E-6</v>
      </c>
      <c r="L745" t="s">
        <v>161</v>
      </c>
      <c r="N745" t="s">
        <v>205</v>
      </c>
      <c r="O745" t="s">
        <v>319</v>
      </c>
      <c r="P745">
        <v>3.9239667228368752E-7</v>
      </c>
      <c r="Q745" t="s">
        <v>161</v>
      </c>
    </row>
    <row r="746" spans="9:17" x14ac:dyDescent="0.45">
      <c r="I746" t="s">
        <v>182</v>
      </c>
      <c r="J746" t="s">
        <v>320</v>
      </c>
      <c r="K746">
        <v>1.2554592821002278E-5</v>
      </c>
      <c r="L746" t="s">
        <v>161</v>
      </c>
      <c r="N746" t="s">
        <v>205</v>
      </c>
      <c r="O746" t="s">
        <v>320</v>
      </c>
      <c r="P746">
        <v>1.007021651939283E-7</v>
      </c>
      <c r="Q746" t="s">
        <v>161</v>
      </c>
    </row>
    <row r="747" spans="9:17" x14ac:dyDescent="0.45">
      <c r="I747" t="s">
        <v>182</v>
      </c>
      <c r="J747" t="s">
        <v>321</v>
      </c>
      <c r="K747">
        <v>4.9307039401785783E-5</v>
      </c>
      <c r="L747" t="s">
        <v>161</v>
      </c>
      <c r="N747" t="s">
        <v>205</v>
      </c>
      <c r="O747" t="s">
        <v>321</v>
      </c>
      <c r="P747">
        <v>0</v>
      </c>
      <c r="Q747" t="s">
        <v>161</v>
      </c>
    </row>
    <row r="748" spans="9:17" x14ac:dyDescent="0.45">
      <c r="I748" t="s">
        <v>182</v>
      </c>
      <c r="J748" t="s">
        <v>322</v>
      </c>
      <c r="K748">
        <v>9.1367109043683569E-5</v>
      </c>
      <c r="L748" t="s">
        <v>161</v>
      </c>
      <c r="N748" t="s">
        <v>205</v>
      </c>
      <c r="O748" t="s">
        <v>322</v>
      </c>
      <c r="P748">
        <v>0</v>
      </c>
      <c r="Q748" t="s">
        <v>161</v>
      </c>
    </row>
    <row r="749" spans="9:17" x14ac:dyDescent="0.45">
      <c r="I749" t="s">
        <v>182</v>
      </c>
      <c r="J749" t="s">
        <v>323</v>
      </c>
      <c r="K749">
        <v>1.3735565258392641E-4</v>
      </c>
      <c r="L749" t="s">
        <v>161</v>
      </c>
      <c r="N749" t="s">
        <v>205</v>
      </c>
      <c r="O749" t="s">
        <v>323</v>
      </c>
      <c r="P749">
        <v>1.7559895775487937E-7</v>
      </c>
      <c r="Q749" t="s">
        <v>161</v>
      </c>
    </row>
    <row r="750" spans="9:17" x14ac:dyDescent="0.45">
      <c r="I750" t="s">
        <v>182</v>
      </c>
      <c r="J750" t="s">
        <v>324</v>
      </c>
      <c r="K750">
        <v>1.4242412685280291E-4</v>
      </c>
      <c r="L750" t="s">
        <v>161</v>
      </c>
      <c r="N750" t="s">
        <v>205</v>
      </c>
      <c r="O750" t="s">
        <v>324</v>
      </c>
      <c r="P750">
        <v>1.1798577232266554E-6</v>
      </c>
      <c r="Q750" t="s">
        <v>161</v>
      </c>
    </row>
    <row r="751" spans="9:17" x14ac:dyDescent="0.45">
      <c r="I751" t="s">
        <v>182</v>
      </c>
      <c r="J751" t="s">
        <v>325</v>
      </c>
      <c r="K751">
        <v>1.2428805106458094E-4</v>
      </c>
      <c r="L751" t="s">
        <v>161</v>
      </c>
      <c r="N751" t="s">
        <v>205</v>
      </c>
      <c r="O751" t="s">
        <v>325</v>
      </c>
      <c r="P751">
        <v>1.1655384406585616E-5</v>
      </c>
      <c r="Q751" t="s">
        <v>161</v>
      </c>
    </row>
    <row r="752" spans="9:17" x14ac:dyDescent="0.45">
      <c r="I752" t="s">
        <v>182</v>
      </c>
      <c r="J752" t="s">
        <v>326</v>
      </c>
      <c r="K752">
        <v>9.4458236007869317E-5</v>
      </c>
      <c r="L752" t="s">
        <v>161</v>
      </c>
      <c r="N752" t="s">
        <v>205</v>
      </c>
      <c r="O752" t="s">
        <v>326</v>
      </c>
      <c r="P752">
        <v>2.2126234640989108E-5</v>
      </c>
      <c r="Q752" t="s">
        <v>161</v>
      </c>
    </row>
    <row r="753" spans="9:17" x14ac:dyDescent="0.45">
      <c r="I753" t="s">
        <v>182</v>
      </c>
      <c r="J753" t="s">
        <v>327</v>
      </c>
      <c r="K753">
        <v>6.2365295543737381E-5</v>
      </c>
      <c r="L753" t="s">
        <v>161</v>
      </c>
      <c r="N753" t="s">
        <v>205</v>
      </c>
      <c r="O753" t="s">
        <v>327</v>
      </c>
      <c r="P753">
        <v>2.2858426070239342E-5</v>
      </c>
      <c r="Q753" t="s">
        <v>161</v>
      </c>
    </row>
    <row r="754" spans="9:17" x14ac:dyDescent="0.45">
      <c r="I754" t="s">
        <v>182</v>
      </c>
      <c r="J754" t="s">
        <v>328</v>
      </c>
      <c r="K754">
        <v>4.4154890135651262E-5</v>
      </c>
      <c r="L754" t="s">
        <v>161</v>
      </c>
      <c r="N754" t="s">
        <v>205</v>
      </c>
      <c r="O754" t="s">
        <v>328</v>
      </c>
      <c r="P754">
        <v>4.1331768456717131E-5</v>
      </c>
      <c r="Q754" t="s">
        <v>161</v>
      </c>
    </row>
    <row r="755" spans="9:17" x14ac:dyDescent="0.45">
      <c r="I755" t="s">
        <v>182</v>
      </c>
      <c r="J755" t="s">
        <v>329</v>
      </c>
      <c r="K755">
        <v>0</v>
      </c>
      <c r="L755" t="s">
        <v>161</v>
      </c>
      <c r="N755" t="s">
        <v>205</v>
      </c>
      <c r="O755" t="s">
        <v>329</v>
      </c>
      <c r="P755">
        <v>6.6611881719871109E-5</v>
      </c>
      <c r="Q755" t="s">
        <v>161</v>
      </c>
    </row>
    <row r="756" spans="9:17" x14ac:dyDescent="0.45">
      <c r="I756" t="s">
        <v>182</v>
      </c>
      <c r="J756" t="s">
        <v>330</v>
      </c>
      <c r="K756">
        <v>0</v>
      </c>
      <c r="L756" t="s">
        <v>161</v>
      </c>
      <c r="N756" t="s">
        <v>205</v>
      </c>
      <c r="O756" t="s">
        <v>330</v>
      </c>
      <c r="P756">
        <v>7.9263701318285553E-5</v>
      </c>
      <c r="Q756" t="s">
        <v>161</v>
      </c>
    </row>
    <row r="757" spans="9:17" x14ac:dyDescent="0.45">
      <c r="I757" t="s">
        <v>182</v>
      </c>
      <c r="J757" t="s">
        <v>331</v>
      </c>
      <c r="K757">
        <v>0</v>
      </c>
      <c r="L757" t="s">
        <v>161</v>
      </c>
      <c r="N757" t="s">
        <v>205</v>
      </c>
      <c r="O757" t="s">
        <v>331</v>
      </c>
      <c r="P757">
        <v>7.2878912751031877E-5</v>
      </c>
      <c r="Q757" t="s">
        <v>161</v>
      </c>
    </row>
    <row r="758" spans="9:17" x14ac:dyDescent="0.45">
      <c r="I758" t="s">
        <v>182</v>
      </c>
      <c r="J758" t="s">
        <v>332</v>
      </c>
      <c r="K758">
        <v>0</v>
      </c>
      <c r="L758" t="s">
        <v>161</v>
      </c>
      <c r="N758" t="s">
        <v>205</v>
      </c>
      <c r="O758" t="s">
        <v>332</v>
      </c>
      <c r="P758">
        <v>5.9887603260024323E-5</v>
      </c>
      <c r="Q758" t="s">
        <v>161</v>
      </c>
    </row>
    <row r="759" spans="9:17" x14ac:dyDescent="0.45">
      <c r="I759" t="s">
        <v>182</v>
      </c>
      <c r="J759" t="s">
        <v>333</v>
      </c>
      <c r="K759">
        <v>0</v>
      </c>
      <c r="L759" t="s">
        <v>161</v>
      </c>
      <c r="N759" t="s">
        <v>205</v>
      </c>
      <c r="O759" t="s">
        <v>333</v>
      </c>
      <c r="P759">
        <v>5.1647249407896505E-5</v>
      </c>
      <c r="Q759" t="s">
        <v>161</v>
      </c>
    </row>
    <row r="760" spans="9:17" x14ac:dyDescent="0.45">
      <c r="I760" t="s">
        <v>182</v>
      </c>
      <c r="J760" t="s">
        <v>334</v>
      </c>
      <c r="K760">
        <v>0</v>
      </c>
      <c r="L760" t="s">
        <v>161</v>
      </c>
      <c r="N760" t="s">
        <v>205</v>
      </c>
      <c r="O760" t="s">
        <v>334</v>
      </c>
      <c r="P760">
        <v>4.2887012957501823E-5</v>
      </c>
      <c r="Q760" t="s">
        <v>161</v>
      </c>
    </row>
    <row r="761" spans="9:17" x14ac:dyDescent="0.45">
      <c r="I761" t="s">
        <v>182</v>
      </c>
      <c r="J761" t="s">
        <v>164</v>
      </c>
      <c r="K761">
        <v>5.6149359154590781E-3</v>
      </c>
      <c r="L761" t="s">
        <v>161</v>
      </c>
      <c r="N761" t="s">
        <v>205</v>
      </c>
      <c r="O761" t="s">
        <v>164</v>
      </c>
      <c r="P761">
        <v>3.4433188601400967E-2</v>
      </c>
      <c r="Q761" t="s">
        <v>161</v>
      </c>
    </row>
    <row r="762" spans="9:17" x14ac:dyDescent="0.45">
      <c r="I762" t="s">
        <v>182</v>
      </c>
      <c r="J762" t="s">
        <v>165</v>
      </c>
      <c r="K762">
        <v>8.265496261749234E-3</v>
      </c>
      <c r="L762" t="s">
        <v>161</v>
      </c>
      <c r="N762" t="s">
        <v>205</v>
      </c>
      <c r="O762" t="s">
        <v>165</v>
      </c>
      <c r="P762">
        <v>4.2913754231554265E-3</v>
      </c>
      <c r="Q762" t="s">
        <v>161</v>
      </c>
    </row>
    <row r="763" spans="9:17" x14ac:dyDescent="0.45">
      <c r="I763" t="s">
        <v>182</v>
      </c>
      <c r="J763" t="s">
        <v>166</v>
      </c>
      <c r="K763">
        <v>9.3152144295423137E-2</v>
      </c>
      <c r="L763" t="s">
        <v>161</v>
      </c>
      <c r="N763" t="s">
        <v>205</v>
      </c>
      <c r="O763" t="s">
        <v>166</v>
      </c>
      <c r="P763">
        <v>3.1958072812389035E-2</v>
      </c>
      <c r="Q763" t="s">
        <v>161</v>
      </c>
    </row>
    <row r="764" spans="9:17" x14ac:dyDescent="0.45">
      <c r="I764" t="s">
        <v>182</v>
      </c>
      <c r="J764" t="s">
        <v>244</v>
      </c>
      <c r="K764">
        <v>1.0570058890500356E-2</v>
      </c>
      <c r="L764" t="s">
        <v>161</v>
      </c>
      <c r="N764" t="s">
        <v>205</v>
      </c>
      <c r="O764" t="s">
        <v>244</v>
      </c>
      <c r="P764">
        <v>5.1306098660043025E-3</v>
      </c>
      <c r="Q764" t="s">
        <v>161</v>
      </c>
    </row>
    <row r="765" spans="9:17" x14ac:dyDescent="0.45">
      <c r="I765" t="s">
        <v>182</v>
      </c>
      <c r="J765" t="s">
        <v>245</v>
      </c>
      <c r="K765">
        <v>8.2920939978230693E-3</v>
      </c>
      <c r="L765" t="s">
        <v>161</v>
      </c>
      <c r="N765" t="s">
        <v>205</v>
      </c>
      <c r="O765" t="s">
        <v>245</v>
      </c>
      <c r="P765">
        <v>4.910791616967689E-3</v>
      </c>
      <c r="Q765" t="s">
        <v>161</v>
      </c>
    </row>
    <row r="766" spans="9:17" x14ac:dyDescent="0.45">
      <c r="I766" t="s">
        <v>182</v>
      </c>
      <c r="J766" t="s">
        <v>267</v>
      </c>
      <c r="K766">
        <v>6.7423523789510711E-3</v>
      </c>
      <c r="L766" t="s">
        <v>161</v>
      </c>
      <c r="N766" t="s">
        <v>205</v>
      </c>
      <c r="O766" t="s">
        <v>267</v>
      </c>
      <c r="P766">
        <v>2.8959754178126639E-2</v>
      </c>
      <c r="Q766" t="s">
        <v>161</v>
      </c>
    </row>
    <row r="767" spans="9:17" x14ac:dyDescent="0.45">
      <c r="I767" t="s">
        <v>182</v>
      </c>
      <c r="J767" t="s">
        <v>167</v>
      </c>
      <c r="K767">
        <v>4.2006916430368017E-2</v>
      </c>
      <c r="L767" t="s">
        <v>161</v>
      </c>
      <c r="N767" t="s">
        <v>205</v>
      </c>
      <c r="O767" t="s">
        <v>167</v>
      </c>
      <c r="P767">
        <v>7.5482121729337798E-2</v>
      </c>
      <c r="Q767" t="s">
        <v>161</v>
      </c>
    </row>
    <row r="768" spans="9:17" x14ac:dyDescent="0.45">
      <c r="I768" t="s">
        <v>182</v>
      </c>
      <c r="J768" t="s">
        <v>168</v>
      </c>
      <c r="K768">
        <v>3.0004648065592446E-2</v>
      </c>
      <c r="L768" t="s">
        <v>161</v>
      </c>
      <c r="N768" t="s">
        <v>205</v>
      </c>
      <c r="O768" t="s">
        <v>168</v>
      </c>
      <c r="P768">
        <v>6.6327403659522076E-3</v>
      </c>
      <c r="Q768" t="s">
        <v>161</v>
      </c>
    </row>
    <row r="769" spans="9:17" x14ac:dyDescent="0.45">
      <c r="I769" t="s">
        <v>182</v>
      </c>
      <c r="J769" t="s">
        <v>169</v>
      </c>
      <c r="K769">
        <v>0.27264941921093588</v>
      </c>
      <c r="L769" t="s">
        <v>161</v>
      </c>
      <c r="N769" t="s">
        <v>205</v>
      </c>
      <c r="O769" t="s">
        <v>169</v>
      </c>
      <c r="P769">
        <v>5.8968895048788786E-2</v>
      </c>
      <c r="Q769" t="s">
        <v>161</v>
      </c>
    </row>
    <row r="770" spans="9:17" x14ac:dyDescent="0.45">
      <c r="I770" t="s">
        <v>182</v>
      </c>
      <c r="J770" t="s">
        <v>246</v>
      </c>
      <c r="K770">
        <v>3.2178819742898809E-2</v>
      </c>
      <c r="L770" t="s">
        <v>161</v>
      </c>
      <c r="N770" t="s">
        <v>205</v>
      </c>
      <c r="O770" t="s">
        <v>246</v>
      </c>
      <c r="P770">
        <v>1.1165364538013324E-2</v>
      </c>
      <c r="Q770" t="s">
        <v>161</v>
      </c>
    </row>
    <row r="771" spans="9:17" x14ac:dyDescent="0.45">
      <c r="I771" t="s">
        <v>182</v>
      </c>
      <c r="J771" t="s">
        <v>247</v>
      </c>
      <c r="K771">
        <v>2.7281797872738562E-2</v>
      </c>
      <c r="L771" t="s">
        <v>161</v>
      </c>
      <c r="N771" t="s">
        <v>205</v>
      </c>
      <c r="O771" t="s">
        <v>247</v>
      </c>
      <c r="P771">
        <v>1.1175233842298205E-2</v>
      </c>
      <c r="Q771" t="s">
        <v>161</v>
      </c>
    </row>
    <row r="772" spans="9:17" x14ac:dyDescent="0.45">
      <c r="I772" t="s">
        <v>182</v>
      </c>
      <c r="J772" t="s">
        <v>268</v>
      </c>
      <c r="K772">
        <v>4.1049786615075891E-2</v>
      </c>
      <c r="L772" t="s">
        <v>161</v>
      </c>
      <c r="N772" t="s">
        <v>205</v>
      </c>
      <c r="O772" t="s">
        <v>268</v>
      </c>
      <c r="P772">
        <v>7.2802589081186794E-2</v>
      </c>
      <c r="Q772" t="s">
        <v>161</v>
      </c>
    </row>
    <row r="773" spans="9:17" x14ac:dyDescent="0.45">
      <c r="I773" t="s">
        <v>182</v>
      </c>
      <c r="J773" t="s">
        <v>170</v>
      </c>
      <c r="K773">
        <v>1.1811220866102652E-2</v>
      </c>
      <c r="L773" t="s">
        <v>161</v>
      </c>
      <c r="N773" t="s">
        <v>205</v>
      </c>
      <c r="O773" t="s">
        <v>170</v>
      </c>
      <c r="P773">
        <v>3.7109879292311451E-2</v>
      </c>
      <c r="Q773" t="s">
        <v>161</v>
      </c>
    </row>
    <row r="774" spans="9:17" x14ac:dyDescent="0.45">
      <c r="I774" t="s">
        <v>182</v>
      </c>
      <c r="J774" t="s">
        <v>171</v>
      </c>
      <c r="K774">
        <v>1.2850110230522526E-2</v>
      </c>
      <c r="L774" t="s">
        <v>161</v>
      </c>
      <c r="N774" t="s">
        <v>205</v>
      </c>
      <c r="O774" t="s">
        <v>171</v>
      </c>
      <c r="P774">
        <v>3.3800036699925861E-3</v>
      </c>
      <c r="Q774" t="s">
        <v>161</v>
      </c>
    </row>
    <row r="775" spans="9:17" x14ac:dyDescent="0.45">
      <c r="I775" t="s">
        <v>182</v>
      </c>
      <c r="J775" t="s">
        <v>172</v>
      </c>
      <c r="K775">
        <v>0.1246101215659218</v>
      </c>
      <c r="L775" t="s">
        <v>161</v>
      </c>
      <c r="N775" t="s">
        <v>205</v>
      </c>
      <c r="O775" t="s">
        <v>172</v>
      </c>
      <c r="P775">
        <v>2.6943075492639725E-2</v>
      </c>
      <c r="Q775" t="s">
        <v>161</v>
      </c>
    </row>
    <row r="776" spans="9:17" x14ac:dyDescent="0.45">
      <c r="I776" t="s">
        <v>182</v>
      </c>
      <c r="J776" t="s">
        <v>248</v>
      </c>
      <c r="K776">
        <v>1.4402233086357012E-2</v>
      </c>
      <c r="L776" t="s">
        <v>161</v>
      </c>
      <c r="N776" t="s">
        <v>205</v>
      </c>
      <c r="O776" t="s">
        <v>248</v>
      </c>
      <c r="P776">
        <v>4.6501986263253331E-3</v>
      </c>
      <c r="Q776" t="s">
        <v>161</v>
      </c>
    </row>
    <row r="777" spans="9:17" x14ac:dyDescent="0.45">
      <c r="I777" t="s">
        <v>182</v>
      </c>
      <c r="J777" t="s">
        <v>249</v>
      </c>
      <c r="K777">
        <v>1.2188156302799234E-2</v>
      </c>
      <c r="L777" t="s">
        <v>161</v>
      </c>
      <c r="N777" t="s">
        <v>205</v>
      </c>
      <c r="O777" t="s">
        <v>249</v>
      </c>
      <c r="P777">
        <v>4.3201826531213076E-3</v>
      </c>
      <c r="Q777" t="s">
        <v>161</v>
      </c>
    </row>
    <row r="778" spans="9:17" x14ac:dyDescent="0.45">
      <c r="I778" t="s">
        <v>182</v>
      </c>
      <c r="J778" t="s">
        <v>269</v>
      </c>
      <c r="K778">
        <v>1.4201842036492617E-2</v>
      </c>
      <c r="L778" t="s">
        <v>161</v>
      </c>
      <c r="N778" t="s">
        <v>205</v>
      </c>
      <c r="O778" t="s">
        <v>269</v>
      </c>
      <c r="P778">
        <v>2.4295208278975324E-2</v>
      </c>
      <c r="Q778" t="s">
        <v>161</v>
      </c>
    </row>
    <row r="779" spans="9:17" x14ac:dyDescent="0.45">
      <c r="I779" t="s">
        <v>182</v>
      </c>
      <c r="J779" t="s">
        <v>250</v>
      </c>
      <c r="K779">
        <v>1.4729184018602069E-3</v>
      </c>
      <c r="L779" t="s">
        <v>161</v>
      </c>
      <c r="N779" t="s">
        <v>205</v>
      </c>
      <c r="O779" t="s">
        <v>250</v>
      </c>
      <c r="P779">
        <v>3.5304139497058455E-2</v>
      </c>
      <c r="Q779" t="s">
        <v>161</v>
      </c>
    </row>
    <row r="780" spans="9:17" x14ac:dyDescent="0.45">
      <c r="I780" t="s">
        <v>182</v>
      </c>
      <c r="J780" t="s">
        <v>251</v>
      </c>
      <c r="K780">
        <v>4.6593096174537101E-3</v>
      </c>
      <c r="L780" t="s">
        <v>161</v>
      </c>
      <c r="N780" t="s">
        <v>205</v>
      </c>
      <c r="O780" t="s">
        <v>251</v>
      </c>
      <c r="P780">
        <v>4.5808073644203837E-3</v>
      </c>
      <c r="Q780" t="s">
        <v>161</v>
      </c>
    </row>
    <row r="781" spans="9:17" x14ac:dyDescent="0.45">
      <c r="I781" t="s">
        <v>182</v>
      </c>
      <c r="J781" t="s">
        <v>252</v>
      </c>
      <c r="K781">
        <v>7.2918780833836197E-2</v>
      </c>
      <c r="L781" t="s">
        <v>161</v>
      </c>
      <c r="N781" t="s">
        <v>205</v>
      </c>
      <c r="O781" t="s">
        <v>252</v>
      </c>
      <c r="P781">
        <v>2.6617358668280293E-2</v>
      </c>
      <c r="Q781" t="s">
        <v>161</v>
      </c>
    </row>
    <row r="782" spans="9:17" x14ac:dyDescent="0.45">
      <c r="I782" t="s">
        <v>182</v>
      </c>
      <c r="J782" t="s">
        <v>253</v>
      </c>
      <c r="K782">
        <v>7.8923780522562412E-3</v>
      </c>
      <c r="L782" t="s">
        <v>161</v>
      </c>
      <c r="N782" t="s">
        <v>205</v>
      </c>
      <c r="O782" t="s">
        <v>253</v>
      </c>
      <c r="P782">
        <v>4.5456099537019663E-3</v>
      </c>
      <c r="Q782" t="s">
        <v>161</v>
      </c>
    </row>
    <row r="783" spans="9:17" x14ac:dyDescent="0.45">
      <c r="I783" t="s">
        <v>182</v>
      </c>
      <c r="J783" t="s">
        <v>254</v>
      </c>
      <c r="K783">
        <v>4.7557616017892129E-3</v>
      </c>
      <c r="L783" t="s">
        <v>161</v>
      </c>
      <c r="N783" t="s">
        <v>205</v>
      </c>
      <c r="O783" t="s">
        <v>254</v>
      </c>
      <c r="P783">
        <v>4.5811863231071193E-3</v>
      </c>
      <c r="Q783" t="s">
        <v>161</v>
      </c>
    </row>
    <row r="784" spans="9:17" x14ac:dyDescent="0.45">
      <c r="I784" t="s">
        <v>182</v>
      </c>
      <c r="J784" t="s">
        <v>270</v>
      </c>
      <c r="K784">
        <v>1.3952499298684371E-3</v>
      </c>
      <c r="L784" t="s">
        <v>161</v>
      </c>
      <c r="N784" t="s">
        <v>205</v>
      </c>
      <c r="O784" t="s">
        <v>270</v>
      </c>
      <c r="P784">
        <v>2.5546527389520634E-2</v>
      </c>
      <c r="Q784" t="s">
        <v>161</v>
      </c>
    </row>
    <row r="785" spans="9:17" x14ac:dyDescent="0.45">
      <c r="I785" t="s">
        <v>182</v>
      </c>
      <c r="J785" t="s">
        <v>255</v>
      </c>
      <c r="K785">
        <v>0</v>
      </c>
      <c r="L785" t="s">
        <v>161</v>
      </c>
      <c r="N785" t="s">
        <v>205</v>
      </c>
      <c r="O785" t="s">
        <v>255</v>
      </c>
      <c r="P785">
        <v>5.9357193194080678E-2</v>
      </c>
      <c r="Q785" t="s">
        <v>161</v>
      </c>
    </row>
    <row r="786" spans="9:17" x14ac:dyDescent="0.45">
      <c r="I786" t="s">
        <v>182</v>
      </c>
      <c r="J786" t="s">
        <v>256</v>
      </c>
      <c r="K786">
        <v>8.732413704660603E-5</v>
      </c>
      <c r="L786" t="s">
        <v>161</v>
      </c>
      <c r="N786" t="s">
        <v>205</v>
      </c>
      <c r="O786" t="s">
        <v>256</v>
      </c>
      <c r="P786">
        <v>6.1020115497711852E-3</v>
      </c>
      <c r="Q786" t="s">
        <v>161</v>
      </c>
    </row>
    <row r="787" spans="9:17" x14ac:dyDescent="0.45">
      <c r="I787" t="s">
        <v>182</v>
      </c>
      <c r="J787" t="s">
        <v>257</v>
      </c>
      <c r="K787">
        <v>3.1166884810165392E-2</v>
      </c>
      <c r="L787" t="s">
        <v>161</v>
      </c>
      <c r="N787" t="s">
        <v>205</v>
      </c>
      <c r="O787" t="s">
        <v>257</v>
      </c>
      <c r="P787">
        <v>3.580019440257224E-2</v>
      </c>
      <c r="Q787" t="s">
        <v>161</v>
      </c>
    </row>
    <row r="788" spans="9:17" x14ac:dyDescent="0.45">
      <c r="I788" t="s">
        <v>182</v>
      </c>
      <c r="J788" t="s">
        <v>258</v>
      </c>
      <c r="K788">
        <v>2.5030534795219823E-3</v>
      </c>
      <c r="L788" t="s">
        <v>161</v>
      </c>
      <c r="N788" t="s">
        <v>205</v>
      </c>
      <c r="O788" t="s">
        <v>258</v>
      </c>
      <c r="P788">
        <v>5.2585908272065086E-3</v>
      </c>
      <c r="Q788" t="s">
        <v>161</v>
      </c>
    </row>
    <row r="789" spans="9:17" x14ac:dyDescent="0.45">
      <c r="I789" t="s">
        <v>182</v>
      </c>
      <c r="J789" t="s">
        <v>259</v>
      </c>
      <c r="K789">
        <v>9.0171153538450303E-6</v>
      </c>
      <c r="L789" t="s">
        <v>161</v>
      </c>
      <c r="N789" t="s">
        <v>205</v>
      </c>
      <c r="O789" t="s">
        <v>259</v>
      </c>
      <c r="P789">
        <v>5.7948228382272175E-3</v>
      </c>
      <c r="Q789" t="s">
        <v>161</v>
      </c>
    </row>
    <row r="790" spans="9:17" x14ac:dyDescent="0.45">
      <c r="I790" t="s">
        <v>182</v>
      </c>
      <c r="J790" t="s">
        <v>271</v>
      </c>
      <c r="K790">
        <v>0</v>
      </c>
      <c r="L790" t="s">
        <v>161</v>
      </c>
      <c r="N790" t="s">
        <v>205</v>
      </c>
      <c r="O790" t="s">
        <v>271</v>
      </c>
      <c r="P790">
        <v>4.1301499152738737E-2</v>
      </c>
      <c r="Q790" t="s">
        <v>161</v>
      </c>
    </row>
    <row r="791" spans="9:17" x14ac:dyDescent="0.45">
      <c r="I791" t="s">
        <v>182</v>
      </c>
      <c r="J791" t="s">
        <v>272</v>
      </c>
      <c r="K791">
        <v>0</v>
      </c>
      <c r="L791" t="s">
        <v>161</v>
      </c>
      <c r="N791" t="s">
        <v>205</v>
      </c>
      <c r="O791" t="s">
        <v>272</v>
      </c>
      <c r="P791">
        <v>1.0766376984243249E-2</v>
      </c>
      <c r="Q791" t="s">
        <v>161</v>
      </c>
    </row>
    <row r="792" spans="9:17" x14ac:dyDescent="0.45">
      <c r="I792" t="s">
        <v>182</v>
      </c>
      <c r="J792" t="s">
        <v>273</v>
      </c>
      <c r="K792">
        <v>0</v>
      </c>
      <c r="L792" t="s">
        <v>161</v>
      </c>
      <c r="N792" t="s">
        <v>205</v>
      </c>
      <c r="O792" t="s">
        <v>273</v>
      </c>
      <c r="P792">
        <v>1.0755697696820973E-3</v>
      </c>
      <c r="Q792" t="s">
        <v>161</v>
      </c>
    </row>
    <row r="793" spans="9:17" x14ac:dyDescent="0.45">
      <c r="I793" t="s">
        <v>182</v>
      </c>
      <c r="J793" t="s">
        <v>274</v>
      </c>
      <c r="K793">
        <v>5.1492293135523099E-3</v>
      </c>
      <c r="L793" t="s">
        <v>161</v>
      </c>
      <c r="N793" t="s">
        <v>205</v>
      </c>
      <c r="O793" t="s">
        <v>274</v>
      </c>
      <c r="P793">
        <v>6.3484861617079807E-3</v>
      </c>
      <c r="Q793" t="s">
        <v>161</v>
      </c>
    </row>
    <row r="794" spans="9:17" x14ac:dyDescent="0.45">
      <c r="I794" t="s">
        <v>182</v>
      </c>
      <c r="J794" t="s">
        <v>275</v>
      </c>
      <c r="K794">
        <v>4.1220699519753959E-4</v>
      </c>
      <c r="L794" t="s">
        <v>161</v>
      </c>
      <c r="N794" t="s">
        <v>205</v>
      </c>
      <c r="O794" t="s">
        <v>275</v>
      </c>
      <c r="P794">
        <v>1.5370726231740913E-3</v>
      </c>
      <c r="Q794" t="s">
        <v>161</v>
      </c>
    </row>
    <row r="795" spans="9:17" x14ac:dyDescent="0.45">
      <c r="I795" t="s">
        <v>182</v>
      </c>
      <c r="J795" t="s">
        <v>276</v>
      </c>
      <c r="K795">
        <v>0</v>
      </c>
      <c r="L795" t="s">
        <v>161</v>
      </c>
      <c r="N795" t="s">
        <v>205</v>
      </c>
      <c r="O795" t="s">
        <v>276</v>
      </c>
      <c r="P795">
        <v>1.5479400908936132E-3</v>
      </c>
      <c r="Q795" t="s">
        <v>161</v>
      </c>
    </row>
    <row r="796" spans="9:17" x14ac:dyDescent="0.45">
      <c r="I796" t="s">
        <v>182</v>
      </c>
      <c r="J796" t="s">
        <v>277</v>
      </c>
      <c r="K796">
        <v>0</v>
      </c>
      <c r="L796" t="s">
        <v>161</v>
      </c>
      <c r="N796" t="s">
        <v>205</v>
      </c>
      <c r="O796" t="s">
        <v>277</v>
      </c>
      <c r="P796">
        <v>9.3314779763307952E-3</v>
      </c>
      <c r="Q796" t="s">
        <v>161</v>
      </c>
    </row>
    <row r="797" spans="9:17" x14ac:dyDescent="0.45">
      <c r="I797" t="s">
        <v>182</v>
      </c>
      <c r="J797" t="s">
        <v>278</v>
      </c>
      <c r="K797">
        <v>0</v>
      </c>
      <c r="L797" t="s">
        <v>161</v>
      </c>
      <c r="N797" t="s">
        <v>205</v>
      </c>
      <c r="O797" t="s">
        <v>278</v>
      </c>
      <c r="P797">
        <v>6.2558949900401433E-3</v>
      </c>
      <c r="Q797" t="s">
        <v>161</v>
      </c>
    </row>
    <row r="798" spans="9:17" x14ac:dyDescent="0.45">
      <c r="I798" t="s">
        <v>182</v>
      </c>
      <c r="J798" t="s">
        <v>279</v>
      </c>
      <c r="K798">
        <v>0</v>
      </c>
      <c r="L798" t="s">
        <v>161</v>
      </c>
      <c r="N798" t="s">
        <v>205</v>
      </c>
      <c r="O798" t="s">
        <v>279</v>
      </c>
      <c r="P798">
        <v>4.5016374320847085E-4</v>
      </c>
      <c r="Q798" t="s">
        <v>161</v>
      </c>
    </row>
    <row r="799" spans="9:17" x14ac:dyDescent="0.45">
      <c r="I799" t="s">
        <v>182</v>
      </c>
      <c r="J799" t="s">
        <v>280</v>
      </c>
      <c r="K799">
        <v>5.3885380824695382E-3</v>
      </c>
      <c r="L799" t="s">
        <v>161</v>
      </c>
      <c r="N799" t="s">
        <v>205</v>
      </c>
      <c r="O799" t="s">
        <v>280</v>
      </c>
      <c r="P799">
        <v>1.1754158635235014E-3</v>
      </c>
      <c r="Q799" t="s">
        <v>161</v>
      </c>
    </row>
    <row r="800" spans="9:17" x14ac:dyDescent="0.45">
      <c r="I800" t="s">
        <v>182</v>
      </c>
      <c r="J800" t="s">
        <v>281</v>
      </c>
      <c r="K800">
        <v>5.6483737855262111E-4</v>
      </c>
      <c r="L800" t="s">
        <v>161</v>
      </c>
      <c r="N800" t="s">
        <v>205</v>
      </c>
      <c r="O800" t="s">
        <v>281</v>
      </c>
      <c r="P800">
        <v>1.4557996145084584E-4</v>
      </c>
      <c r="Q800" t="s">
        <v>161</v>
      </c>
    </row>
    <row r="801" spans="9:17" x14ac:dyDescent="0.45">
      <c r="I801" t="s">
        <v>182</v>
      </c>
      <c r="J801" t="s">
        <v>282</v>
      </c>
      <c r="K801">
        <v>0</v>
      </c>
      <c r="L801" t="s">
        <v>161</v>
      </c>
      <c r="N801" t="s">
        <v>205</v>
      </c>
      <c r="O801" t="s">
        <v>282</v>
      </c>
      <c r="P801">
        <v>1.8069496476635382E-4</v>
      </c>
      <c r="Q801" t="s">
        <v>161</v>
      </c>
    </row>
    <row r="802" spans="9:17" x14ac:dyDescent="0.45">
      <c r="I802" t="s">
        <v>182</v>
      </c>
      <c r="J802" t="s">
        <v>283</v>
      </c>
      <c r="K802">
        <v>0</v>
      </c>
      <c r="L802" t="s">
        <v>161</v>
      </c>
      <c r="N802" t="s">
        <v>205</v>
      </c>
      <c r="O802" t="s">
        <v>283</v>
      </c>
      <c r="P802">
        <v>1.4373597886369214E-3</v>
      </c>
      <c r="Q802" t="s">
        <v>161</v>
      </c>
    </row>
    <row r="803" spans="9:17" x14ac:dyDescent="0.45">
      <c r="I803" t="s">
        <v>183</v>
      </c>
      <c r="J803" t="s">
        <v>160</v>
      </c>
      <c r="K803">
        <v>6.9307706789229674E-5</v>
      </c>
      <c r="L803" t="s">
        <v>161</v>
      </c>
      <c r="N803" t="s">
        <v>206</v>
      </c>
      <c r="O803" t="s">
        <v>160</v>
      </c>
      <c r="P803">
        <v>7.5223373591445125E-2</v>
      </c>
      <c r="Q803" t="s">
        <v>161</v>
      </c>
    </row>
    <row r="804" spans="9:17" x14ac:dyDescent="0.45">
      <c r="I804" t="s">
        <v>183</v>
      </c>
      <c r="J804" t="s">
        <v>162</v>
      </c>
      <c r="K804">
        <v>2.334154492818622E-3</v>
      </c>
      <c r="L804" t="s">
        <v>161</v>
      </c>
      <c r="N804" t="s">
        <v>206</v>
      </c>
      <c r="O804" t="s">
        <v>162</v>
      </c>
      <c r="P804">
        <v>9.2575117903261808E-3</v>
      </c>
      <c r="Q804" t="s">
        <v>161</v>
      </c>
    </row>
    <row r="805" spans="9:17" x14ac:dyDescent="0.45">
      <c r="I805" t="s">
        <v>183</v>
      </c>
      <c r="J805" t="s">
        <v>163</v>
      </c>
      <c r="K805">
        <v>7.7316994321546109E-2</v>
      </c>
      <c r="L805" t="s">
        <v>161</v>
      </c>
      <c r="N805" t="s">
        <v>206</v>
      </c>
      <c r="O805" t="s">
        <v>163</v>
      </c>
      <c r="P805">
        <v>6.137581907113878E-2</v>
      </c>
      <c r="Q805" t="s">
        <v>161</v>
      </c>
    </row>
    <row r="806" spans="9:17" x14ac:dyDescent="0.45">
      <c r="I806" t="s">
        <v>183</v>
      </c>
      <c r="J806" t="s">
        <v>242</v>
      </c>
      <c r="K806">
        <v>7.7168758730495092E-3</v>
      </c>
      <c r="L806" t="s">
        <v>161</v>
      </c>
      <c r="N806" t="s">
        <v>206</v>
      </c>
      <c r="O806" t="s">
        <v>242</v>
      </c>
      <c r="P806">
        <v>8.7773027087413129E-3</v>
      </c>
      <c r="Q806" t="s">
        <v>161</v>
      </c>
    </row>
    <row r="807" spans="9:17" x14ac:dyDescent="0.45">
      <c r="I807" t="s">
        <v>183</v>
      </c>
      <c r="J807" t="s">
        <v>243</v>
      </c>
      <c r="K807">
        <v>4.5430993816378369E-3</v>
      </c>
      <c r="L807" t="s">
        <v>161</v>
      </c>
      <c r="N807" t="s">
        <v>206</v>
      </c>
      <c r="O807" t="s">
        <v>243</v>
      </c>
      <c r="P807">
        <v>9.2108927694943641E-3</v>
      </c>
      <c r="Q807" t="s">
        <v>161</v>
      </c>
    </row>
    <row r="808" spans="9:17" x14ac:dyDescent="0.45">
      <c r="I808" t="s">
        <v>183</v>
      </c>
      <c r="J808" t="s">
        <v>266</v>
      </c>
      <c r="K808">
        <v>1.7809900231856204E-3</v>
      </c>
      <c r="L808" t="s">
        <v>161</v>
      </c>
      <c r="N808" t="s">
        <v>206</v>
      </c>
      <c r="O808" t="s">
        <v>266</v>
      </c>
      <c r="P808">
        <v>5.7824573034985102E-2</v>
      </c>
      <c r="Q808" t="s">
        <v>161</v>
      </c>
    </row>
    <row r="809" spans="9:17" x14ac:dyDescent="0.45">
      <c r="I809" t="s">
        <v>183</v>
      </c>
      <c r="J809" t="s">
        <v>311</v>
      </c>
      <c r="K809">
        <v>0</v>
      </c>
      <c r="L809" t="s">
        <v>161</v>
      </c>
      <c r="N809" t="s">
        <v>206</v>
      </c>
      <c r="O809" t="s">
        <v>311</v>
      </c>
      <c r="P809">
        <v>8.7399879071616245E-6</v>
      </c>
      <c r="Q809" t="s">
        <v>161</v>
      </c>
    </row>
    <row r="810" spans="9:17" x14ac:dyDescent="0.45">
      <c r="I810" t="s">
        <v>183</v>
      </c>
      <c r="J810" t="s">
        <v>312</v>
      </c>
      <c r="K810">
        <v>0</v>
      </c>
      <c r="L810" t="s">
        <v>161</v>
      </c>
      <c r="N810" t="s">
        <v>206</v>
      </c>
      <c r="O810" t="s">
        <v>312</v>
      </c>
      <c r="P810">
        <v>5.1516116326965201E-6</v>
      </c>
      <c r="Q810" t="s">
        <v>161</v>
      </c>
    </row>
    <row r="811" spans="9:17" x14ac:dyDescent="0.45">
      <c r="I811" t="s">
        <v>183</v>
      </c>
      <c r="J811" t="s">
        <v>313</v>
      </c>
      <c r="K811">
        <v>0</v>
      </c>
      <c r="L811" t="s">
        <v>161</v>
      </c>
      <c r="N811" t="s">
        <v>206</v>
      </c>
      <c r="O811" t="s">
        <v>313</v>
      </c>
      <c r="P811">
        <v>1.9319369262470092E-6</v>
      </c>
      <c r="Q811" t="s">
        <v>161</v>
      </c>
    </row>
    <row r="812" spans="9:17" x14ac:dyDescent="0.45">
      <c r="I812" t="s">
        <v>183</v>
      </c>
      <c r="J812" t="s">
        <v>314</v>
      </c>
      <c r="K812">
        <v>0</v>
      </c>
      <c r="L812" t="s">
        <v>161</v>
      </c>
      <c r="N812" t="s">
        <v>206</v>
      </c>
      <c r="O812" t="s">
        <v>314</v>
      </c>
      <c r="P812">
        <v>2.1311846739383082E-6</v>
      </c>
      <c r="Q812" t="s">
        <v>161</v>
      </c>
    </row>
    <row r="813" spans="9:17" x14ac:dyDescent="0.45">
      <c r="I813" t="s">
        <v>183</v>
      </c>
      <c r="J813" t="s">
        <v>315</v>
      </c>
      <c r="K813">
        <v>0</v>
      </c>
      <c r="L813" t="s">
        <v>161</v>
      </c>
      <c r="N813" t="s">
        <v>206</v>
      </c>
      <c r="O813" t="s">
        <v>315</v>
      </c>
      <c r="P813">
        <v>2.2449918777946052E-6</v>
      </c>
      <c r="Q813" t="s">
        <v>161</v>
      </c>
    </row>
    <row r="814" spans="9:17" x14ac:dyDescent="0.45">
      <c r="I814" t="s">
        <v>183</v>
      </c>
      <c r="J814" t="s">
        <v>316</v>
      </c>
      <c r="K814">
        <v>0</v>
      </c>
      <c r="L814" t="s">
        <v>161</v>
      </c>
      <c r="N814" t="s">
        <v>206</v>
      </c>
      <c r="O814" t="s">
        <v>316</v>
      </c>
      <c r="P814">
        <v>6.851330058195299E-6</v>
      </c>
      <c r="Q814" t="s">
        <v>161</v>
      </c>
    </row>
    <row r="815" spans="9:17" x14ac:dyDescent="0.45">
      <c r="I815" t="s">
        <v>183</v>
      </c>
      <c r="J815" t="s">
        <v>317</v>
      </c>
      <c r="K815">
        <v>0</v>
      </c>
      <c r="L815" t="s">
        <v>161</v>
      </c>
      <c r="N815" t="s">
        <v>206</v>
      </c>
      <c r="O815" t="s">
        <v>317</v>
      </c>
      <c r="P815">
        <v>9.3984672998150549E-6</v>
      </c>
      <c r="Q815" t="s">
        <v>161</v>
      </c>
    </row>
    <row r="816" spans="9:17" x14ac:dyDescent="0.45">
      <c r="I816" t="s">
        <v>183</v>
      </c>
      <c r="J816" t="s">
        <v>318</v>
      </c>
      <c r="K816">
        <v>0</v>
      </c>
      <c r="L816" t="s">
        <v>161</v>
      </c>
      <c r="N816" t="s">
        <v>206</v>
      </c>
      <c r="O816" t="s">
        <v>318</v>
      </c>
      <c r="P816">
        <v>1.4285833722726514E-5</v>
      </c>
      <c r="Q816" t="s">
        <v>161</v>
      </c>
    </row>
    <row r="817" spans="9:17" x14ac:dyDescent="0.45">
      <c r="I817" t="s">
        <v>183</v>
      </c>
      <c r="J817" t="s">
        <v>319</v>
      </c>
      <c r="K817">
        <v>4.011980289848408E-5</v>
      </c>
      <c r="L817" t="s">
        <v>161</v>
      </c>
      <c r="N817" t="s">
        <v>206</v>
      </c>
      <c r="O817" t="s">
        <v>319</v>
      </c>
      <c r="P817">
        <v>1.8306236433385684E-5</v>
      </c>
      <c r="Q817" t="s">
        <v>161</v>
      </c>
    </row>
    <row r="818" spans="9:17" x14ac:dyDescent="0.45">
      <c r="I818" t="s">
        <v>183</v>
      </c>
      <c r="J818" t="s">
        <v>320</v>
      </c>
      <c r="K818">
        <v>1.0568099552487981E-4</v>
      </c>
      <c r="L818" t="s">
        <v>161</v>
      </c>
      <c r="N818" t="s">
        <v>206</v>
      </c>
      <c r="O818" t="s">
        <v>320</v>
      </c>
      <c r="P818">
        <v>1.5536720585359077E-5</v>
      </c>
      <c r="Q818" t="s">
        <v>161</v>
      </c>
    </row>
    <row r="819" spans="9:17" x14ac:dyDescent="0.45">
      <c r="I819" t="s">
        <v>183</v>
      </c>
      <c r="J819" t="s">
        <v>321</v>
      </c>
      <c r="K819">
        <v>1.9044822303438164E-4</v>
      </c>
      <c r="L819" t="s">
        <v>161</v>
      </c>
      <c r="N819" t="s">
        <v>206</v>
      </c>
      <c r="O819" t="s">
        <v>321</v>
      </c>
      <c r="P819">
        <v>1.0491910024164274E-5</v>
      </c>
      <c r="Q819" t="s">
        <v>161</v>
      </c>
    </row>
    <row r="820" spans="9:17" x14ac:dyDescent="0.45">
      <c r="I820" t="s">
        <v>183</v>
      </c>
      <c r="J820" t="s">
        <v>322</v>
      </c>
      <c r="K820">
        <v>2.5924411535907152E-4</v>
      </c>
      <c r="L820" t="s">
        <v>161</v>
      </c>
      <c r="N820" t="s">
        <v>206</v>
      </c>
      <c r="O820" t="s">
        <v>322</v>
      </c>
      <c r="P820">
        <v>4.6855230372063884E-5</v>
      </c>
      <c r="Q820" t="s">
        <v>161</v>
      </c>
    </row>
    <row r="821" spans="9:17" x14ac:dyDescent="0.45">
      <c r="I821" t="s">
        <v>183</v>
      </c>
      <c r="J821" t="s">
        <v>323</v>
      </c>
      <c r="K821">
        <v>2.4318390447463449E-4</v>
      </c>
      <c r="L821" t="s">
        <v>161</v>
      </c>
      <c r="N821" t="s">
        <v>206</v>
      </c>
      <c r="O821" t="s">
        <v>323</v>
      </c>
      <c r="P821">
        <v>3.7149851217685435E-5</v>
      </c>
      <c r="Q821" t="s">
        <v>161</v>
      </c>
    </row>
    <row r="822" spans="9:17" x14ac:dyDescent="0.45">
      <c r="I822" t="s">
        <v>183</v>
      </c>
      <c r="J822" t="s">
        <v>324</v>
      </c>
      <c r="K822">
        <v>2.0368946721163722E-4</v>
      </c>
      <c r="L822" t="s">
        <v>161</v>
      </c>
      <c r="N822" t="s">
        <v>206</v>
      </c>
      <c r="O822" t="s">
        <v>324</v>
      </c>
      <c r="P822">
        <v>2.9145394892630253E-5</v>
      </c>
      <c r="Q822" t="s">
        <v>161</v>
      </c>
    </row>
    <row r="823" spans="9:17" x14ac:dyDescent="0.45">
      <c r="I823" t="s">
        <v>183</v>
      </c>
      <c r="J823" t="s">
        <v>325</v>
      </c>
      <c r="K823">
        <v>1.3492060570862265E-4</v>
      </c>
      <c r="L823" t="s">
        <v>161</v>
      </c>
      <c r="N823" t="s">
        <v>206</v>
      </c>
      <c r="O823" t="s">
        <v>325</v>
      </c>
      <c r="P823">
        <v>2.4717618414142724E-5</v>
      </c>
      <c r="Q823" t="s">
        <v>161</v>
      </c>
    </row>
    <row r="824" spans="9:17" x14ac:dyDescent="0.45">
      <c r="I824" t="s">
        <v>183</v>
      </c>
      <c r="J824" t="s">
        <v>326</v>
      </c>
      <c r="K824">
        <v>7.9725954172749222E-5</v>
      </c>
      <c r="L824" t="s">
        <v>161</v>
      </c>
      <c r="N824" t="s">
        <v>206</v>
      </c>
      <c r="O824" t="s">
        <v>326</v>
      </c>
      <c r="P824">
        <v>1.7305811348271873E-5</v>
      </c>
      <c r="Q824" t="s">
        <v>161</v>
      </c>
    </row>
    <row r="825" spans="9:17" x14ac:dyDescent="0.45">
      <c r="I825" t="s">
        <v>183</v>
      </c>
      <c r="J825" t="s">
        <v>327</v>
      </c>
      <c r="K825">
        <v>3.133582046492738E-5</v>
      </c>
      <c r="L825" t="s">
        <v>161</v>
      </c>
      <c r="N825" t="s">
        <v>206</v>
      </c>
      <c r="O825" t="s">
        <v>327</v>
      </c>
      <c r="P825">
        <v>1.3918970372555874E-5</v>
      </c>
      <c r="Q825" t="s">
        <v>161</v>
      </c>
    </row>
    <row r="826" spans="9:17" x14ac:dyDescent="0.45">
      <c r="I826" t="s">
        <v>183</v>
      </c>
      <c r="J826" t="s">
        <v>328</v>
      </c>
      <c r="K826">
        <v>4.100337353334425E-5</v>
      </c>
      <c r="L826" t="s">
        <v>161</v>
      </c>
      <c r="N826" t="s">
        <v>206</v>
      </c>
      <c r="O826" t="s">
        <v>328</v>
      </c>
      <c r="P826">
        <v>2.2060005327433087E-5</v>
      </c>
      <c r="Q826" t="s">
        <v>161</v>
      </c>
    </row>
    <row r="827" spans="9:17" x14ac:dyDescent="0.45">
      <c r="I827" t="s">
        <v>183</v>
      </c>
      <c r="J827" t="s">
        <v>329</v>
      </c>
      <c r="K827">
        <v>0</v>
      </c>
      <c r="L827" t="s">
        <v>161</v>
      </c>
      <c r="N827" t="s">
        <v>206</v>
      </c>
      <c r="O827" t="s">
        <v>329</v>
      </c>
      <c r="P827">
        <v>4.2138816678506643E-5</v>
      </c>
      <c r="Q827" t="s">
        <v>161</v>
      </c>
    </row>
    <row r="828" spans="9:17" x14ac:dyDescent="0.45">
      <c r="I828" t="s">
        <v>183</v>
      </c>
      <c r="J828" t="s">
        <v>330</v>
      </c>
      <c r="K828">
        <v>0</v>
      </c>
      <c r="L828" t="s">
        <v>161</v>
      </c>
      <c r="N828" t="s">
        <v>206</v>
      </c>
      <c r="O828" t="s">
        <v>330</v>
      </c>
      <c r="P828">
        <v>6.3349994585391373E-5</v>
      </c>
      <c r="Q828" t="s">
        <v>161</v>
      </c>
    </row>
    <row r="829" spans="9:17" x14ac:dyDescent="0.45">
      <c r="I829" t="s">
        <v>183</v>
      </c>
      <c r="J829" t="s">
        <v>331</v>
      </c>
      <c r="K829">
        <v>0</v>
      </c>
      <c r="L829" t="s">
        <v>161</v>
      </c>
      <c r="N829" t="s">
        <v>206</v>
      </c>
      <c r="O829" t="s">
        <v>331</v>
      </c>
      <c r="P829">
        <v>7.2603813879035302E-5</v>
      </c>
      <c r="Q829" t="s">
        <v>161</v>
      </c>
    </row>
    <row r="830" spans="9:17" x14ac:dyDescent="0.45">
      <c r="I830" t="s">
        <v>183</v>
      </c>
      <c r="J830" t="s">
        <v>332</v>
      </c>
      <c r="K830">
        <v>0</v>
      </c>
      <c r="L830" t="s">
        <v>161</v>
      </c>
      <c r="N830" t="s">
        <v>206</v>
      </c>
      <c r="O830" t="s">
        <v>332</v>
      </c>
      <c r="P830">
        <v>7.377362918902758E-5</v>
      </c>
      <c r="Q830" t="s">
        <v>161</v>
      </c>
    </row>
    <row r="831" spans="9:17" x14ac:dyDescent="0.45">
      <c r="I831" t="s">
        <v>183</v>
      </c>
      <c r="J831" t="s">
        <v>333</v>
      </c>
      <c r="K831">
        <v>0</v>
      </c>
      <c r="L831" t="s">
        <v>161</v>
      </c>
      <c r="N831" t="s">
        <v>206</v>
      </c>
      <c r="O831" t="s">
        <v>333</v>
      </c>
      <c r="P831">
        <v>6.9865566111705415E-5</v>
      </c>
      <c r="Q831" t="s">
        <v>161</v>
      </c>
    </row>
    <row r="832" spans="9:17" x14ac:dyDescent="0.45">
      <c r="I832" t="s">
        <v>183</v>
      </c>
      <c r="J832" t="s">
        <v>334</v>
      </c>
      <c r="K832">
        <v>0</v>
      </c>
      <c r="L832" t="s">
        <v>161</v>
      </c>
      <c r="N832" t="s">
        <v>206</v>
      </c>
      <c r="O832" t="s">
        <v>334</v>
      </c>
      <c r="P832">
        <v>3.8801100047008408E-5</v>
      </c>
      <c r="Q832" t="s">
        <v>161</v>
      </c>
    </row>
    <row r="833" spans="9:17" x14ac:dyDescent="0.45">
      <c r="I833" t="s">
        <v>183</v>
      </c>
      <c r="J833" t="s">
        <v>164</v>
      </c>
      <c r="K833">
        <v>6.798443122542094E-3</v>
      </c>
      <c r="L833" t="s">
        <v>161</v>
      </c>
      <c r="N833" t="s">
        <v>206</v>
      </c>
      <c r="O833" t="s">
        <v>164</v>
      </c>
      <c r="P833">
        <v>4.3033912671802753E-2</v>
      </c>
      <c r="Q833" t="s">
        <v>161</v>
      </c>
    </row>
    <row r="834" spans="9:17" x14ac:dyDescent="0.45">
      <c r="I834" t="s">
        <v>183</v>
      </c>
      <c r="J834" t="s">
        <v>165</v>
      </c>
      <c r="K834">
        <v>9.4784609351641746E-3</v>
      </c>
      <c r="L834" t="s">
        <v>161</v>
      </c>
      <c r="N834" t="s">
        <v>206</v>
      </c>
      <c r="O834" t="s">
        <v>165</v>
      </c>
      <c r="P834">
        <v>5.9846003083532566E-3</v>
      </c>
      <c r="Q834" t="s">
        <v>161</v>
      </c>
    </row>
    <row r="835" spans="9:17" x14ac:dyDescent="0.45">
      <c r="I835" t="s">
        <v>183</v>
      </c>
      <c r="J835" t="s">
        <v>166</v>
      </c>
      <c r="K835">
        <v>9.5890815613537489E-2</v>
      </c>
      <c r="L835" t="s">
        <v>161</v>
      </c>
      <c r="N835" t="s">
        <v>206</v>
      </c>
      <c r="O835" t="s">
        <v>166</v>
      </c>
      <c r="P835">
        <v>3.7112507026841768E-2</v>
      </c>
      <c r="Q835" t="s">
        <v>161</v>
      </c>
    </row>
    <row r="836" spans="9:17" x14ac:dyDescent="0.45">
      <c r="I836" t="s">
        <v>183</v>
      </c>
      <c r="J836" t="s">
        <v>244</v>
      </c>
      <c r="K836">
        <v>1.01206824559244E-2</v>
      </c>
      <c r="L836" t="s">
        <v>161</v>
      </c>
      <c r="N836" t="s">
        <v>206</v>
      </c>
      <c r="O836" t="s">
        <v>244</v>
      </c>
      <c r="P836">
        <v>4.9544391234421729E-3</v>
      </c>
      <c r="Q836" t="s">
        <v>161</v>
      </c>
    </row>
    <row r="837" spans="9:17" x14ac:dyDescent="0.45">
      <c r="I837" t="s">
        <v>183</v>
      </c>
      <c r="J837" t="s">
        <v>245</v>
      </c>
      <c r="K837">
        <v>7.9141775462015923E-3</v>
      </c>
      <c r="L837" t="s">
        <v>161</v>
      </c>
      <c r="N837" t="s">
        <v>206</v>
      </c>
      <c r="O837" t="s">
        <v>245</v>
      </c>
      <c r="P837">
        <v>4.9998471629930591E-3</v>
      </c>
      <c r="Q837" t="s">
        <v>161</v>
      </c>
    </row>
    <row r="838" spans="9:17" x14ac:dyDescent="0.45">
      <c r="I838" t="s">
        <v>183</v>
      </c>
      <c r="J838" t="s">
        <v>267</v>
      </c>
      <c r="K838">
        <v>6.5812422056806385E-3</v>
      </c>
      <c r="L838" t="s">
        <v>161</v>
      </c>
      <c r="N838" t="s">
        <v>206</v>
      </c>
      <c r="O838" t="s">
        <v>267</v>
      </c>
      <c r="P838">
        <v>3.259963776826684E-2</v>
      </c>
      <c r="Q838" t="s">
        <v>161</v>
      </c>
    </row>
    <row r="839" spans="9:17" x14ac:dyDescent="0.45">
      <c r="I839" t="s">
        <v>183</v>
      </c>
      <c r="J839" t="s">
        <v>167</v>
      </c>
      <c r="K839">
        <v>4.4753623777102916E-2</v>
      </c>
      <c r="L839" t="s">
        <v>161</v>
      </c>
      <c r="N839" t="s">
        <v>206</v>
      </c>
      <c r="O839" t="s">
        <v>167</v>
      </c>
      <c r="P839">
        <v>6.2965851928473121E-2</v>
      </c>
      <c r="Q839" t="s">
        <v>161</v>
      </c>
    </row>
    <row r="840" spans="9:17" x14ac:dyDescent="0.45">
      <c r="I840" t="s">
        <v>183</v>
      </c>
      <c r="J840" t="s">
        <v>168</v>
      </c>
      <c r="K840">
        <v>3.1382215208792197E-2</v>
      </c>
      <c r="L840" t="s">
        <v>161</v>
      </c>
      <c r="N840" t="s">
        <v>206</v>
      </c>
      <c r="O840" t="s">
        <v>168</v>
      </c>
      <c r="P840">
        <v>6.07778870409379E-3</v>
      </c>
      <c r="Q840" t="s">
        <v>161</v>
      </c>
    </row>
    <row r="841" spans="9:17" x14ac:dyDescent="0.45">
      <c r="I841" t="s">
        <v>183</v>
      </c>
      <c r="J841" t="s">
        <v>169</v>
      </c>
      <c r="K841">
        <v>0.27286808724012152</v>
      </c>
      <c r="L841" t="s">
        <v>161</v>
      </c>
      <c r="N841" t="s">
        <v>206</v>
      </c>
      <c r="O841" t="s">
        <v>169</v>
      </c>
      <c r="P841">
        <v>4.434952122976258E-2</v>
      </c>
      <c r="Q841" t="s">
        <v>161</v>
      </c>
    </row>
    <row r="842" spans="9:17" x14ac:dyDescent="0.45">
      <c r="I842" t="s">
        <v>183</v>
      </c>
      <c r="J842" t="s">
        <v>246</v>
      </c>
      <c r="K842">
        <v>3.2439899949352591E-2</v>
      </c>
      <c r="L842" t="s">
        <v>161</v>
      </c>
      <c r="N842" t="s">
        <v>206</v>
      </c>
      <c r="O842" t="s">
        <v>246</v>
      </c>
      <c r="P842">
        <v>7.7795767690304173E-3</v>
      </c>
      <c r="Q842" t="s">
        <v>161</v>
      </c>
    </row>
    <row r="843" spans="9:17" x14ac:dyDescent="0.45">
      <c r="I843" t="s">
        <v>183</v>
      </c>
      <c r="J843" t="s">
        <v>247</v>
      </c>
      <c r="K843">
        <v>2.7316363167821142E-2</v>
      </c>
      <c r="L843" t="s">
        <v>161</v>
      </c>
      <c r="N843" t="s">
        <v>206</v>
      </c>
      <c r="O843" t="s">
        <v>247</v>
      </c>
      <c r="P843">
        <v>8.2113860031734019E-3</v>
      </c>
      <c r="Q843" t="s">
        <v>161</v>
      </c>
    </row>
    <row r="844" spans="9:17" x14ac:dyDescent="0.45">
      <c r="I844" t="s">
        <v>183</v>
      </c>
      <c r="J844" t="s">
        <v>268</v>
      </c>
      <c r="K844">
        <v>3.9495778606312947E-2</v>
      </c>
      <c r="L844" t="s">
        <v>161</v>
      </c>
      <c r="N844" t="s">
        <v>206</v>
      </c>
      <c r="O844" t="s">
        <v>268</v>
      </c>
      <c r="P844">
        <v>5.5717900154870478E-2</v>
      </c>
      <c r="Q844" t="s">
        <v>161</v>
      </c>
    </row>
    <row r="845" spans="9:17" x14ac:dyDescent="0.45">
      <c r="I845" t="s">
        <v>183</v>
      </c>
      <c r="J845" t="s">
        <v>170</v>
      </c>
      <c r="K845">
        <v>1.2142568022416662E-2</v>
      </c>
      <c r="L845" t="s">
        <v>161</v>
      </c>
      <c r="N845" t="s">
        <v>206</v>
      </c>
      <c r="O845" t="s">
        <v>170</v>
      </c>
      <c r="P845">
        <v>3.0886067879761253E-2</v>
      </c>
      <c r="Q845" t="s">
        <v>161</v>
      </c>
    </row>
    <row r="846" spans="9:17" x14ac:dyDescent="0.45">
      <c r="I846" t="s">
        <v>183</v>
      </c>
      <c r="J846" t="s">
        <v>171</v>
      </c>
      <c r="K846">
        <v>1.2878794607629588E-2</v>
      </c>
      <c r="L846" t="s">
        <v>161</v>
      </c>
      <c r="N846" t="s">
        <v>206</v>
      </c>
      <c r="O846" t="s">
        <v>171</v>
      </c>
      <c r="P846">
        <v>3.5863434519501263E-3</v>
      </c>
      <c r="Q846" t="s">
        <v>161</v>
      </c>
    </row>
    <row r="847" spans="9:17" x14ac:dyDescent="0.45">
      <c r="I847" t="s">
        <v>183</v>
      </c>
      <c r="J847" t="s">
        <v>172</v>
      </c>
      <c r="K847">
        <v>0.12274727030759387</v>
      </c>
      <c r="L847" t="s">
        <v>161</v>
      </c>
      <c r="N847" t="s">
        <v>206</v>
      </c>
      <c r="O847" t="s">
        <v>172</v>
      </c>
      <c r="P847">
        <v>2.4190099581548472E-2</v>
      </c>
      <c r="Q847" t="s">
        <v>161</v>
      </c>
    </row>
    <row r="848" spans="9:17" x14ac:dyDescent="0.45">
      <c r="I848" t="s">
        <v>183</v>
      </c>
      <c r="J848" t="s">
        <v>248</v>
      </c>
      <c r="K848">
        <v>1.3715180860731877E-2</v>
      </c>
      <c r="L848" t="s">
        <v>161</v>
      </c>
      <c r="N848" t="s">
        <v>206</v>
      </c>
      <c r="O848" t="s">
        <v>248</v>
      </c>
      <c r="P848">
        <v>3.6279619592988117E-3</v>
      </c>
      <c r="Q848" t="s">
        <v>161</v>
      </c>
    </row>
    <row r="849" spans="9:17" x14ac:dyDescent="0.45">
      <c r="I849" t="s">
        <v>183</v>
      </c>
      <c r="J849" t="s">
        <v>249</v>
      </c>
      <c r="K849">
        <v>1.141734332583034E-2</v>
      </c>
      <c r="L849" t="s">
        <v>161</v>
      </c>
      <c r="N849" t="s">
        <v>206</v>
      </c>
      <c r="O849" t="s">
        <v>249</v>
      </c>
      <c r="P849">
        <v>3.4451976727095518E-3</v>
      </c>
      <c r="Q849" t="s">
        <v>161</v>
      </c>
    </row>
    <row r="850" spans="9:17" x14ac:dyDescent="0.45">
      <c r="I850" t="s">
        <v>183</v>
      </c>
      <c r="J850" t="s">
        <v>269</v>
      </c>
      <c r="K850">
        <v>1.2388220038780302E-2</v>
      </c>
      <c r="L850" t="s">
        <v>161</v>
      </c>
      <c r="N850" t="s">
        <v>206</v>
      </c>
      <c r="O850" t="s">
        <v>269</v>
      </c>
      <c r="P850">
        <v>2.2111791140434413E-2</v>
      </c>
      <c r="Q850" t="s">
        <v>161</v>
      </c>
    </row>
    <row r="851" spans="9:17" x14ac:dyDescent="0.45">
      <c r="I851" t="s">
        <v>183</v>
      </c>
      <c r="J851" t="s">
        <v>250</v>
      </c>
      <c r="K851">
        <v>1.8890102469499592E-3</v>
      </c>
      <c r="L851" t="s">
        <v>161</v>
      </c>
      <c r="N851" t="s">
        <v>206</v>
      </c>
      <c r="O851" t="s">
        <v>250</v>
      </c>
      <c r="P851">
        <v>4.9076402057415043E-2</v>
      </c>
      <c r="Q851" t="s">
        <v>161</v>
      </c>
    </row>
    <row r="852" spans="9:17" x14ac:dyDescent="0.45">
      <c r="I852" t="s">
        <v>183</v>
      </c>
      <c r="J852" t="s">
        <v>251</v>
      </c>
      <c r="K852">
        <v>4.720682719714671E-3</v>
      </c>
      <c r="L852" t="s">
        <v>161</v>
      </c>
      <c r="N852" t="s">
        <v>206</v>
      </c>
      <c r="O852" t="s">
        <v>251</v>
      </c>
      <c r="P852">
        <v>6.6979578488860214E-3</v>
      </c>
      <c r="Q852" t="s">
        <v>161</v>
      </c>
    </row>
    <row r="853" spans="9:17" x14ac:dyDescent="0.45">
      <c r="I853" t="s">
        <v>183</v>
      </c>
      <c r="J853" t="s">
        <v>252</v>
      </c>
      <c r="K853">
        <v>7.261472672080227E-2</v>
      </c>
      <c r="L853" t="s">
        <v>161</v>
      </c>
      <c r="N853" t="s">
        <v>206</v>
      </c>
      <c r="O853" t="s">
        <v>252</v>
      </c>
      <c r="P853">
        <v>4.0687958611055994E-2</v>
      </c>
      <c r="Q853" t="s">
        <v>161</v>
      </c>
    </row>
    <row r="854" spans="9:17" x14ac:dyDescent="0.45">
      <c r="I854" t="s">
        <v>183</v>
      </c>
      <c r="J854" t="s">
        <v>253</v>
      </c>
      <c r="K854">
        <v>7.9034295330354856E-3</v>
      </c>
      <c r="L854" t="s">
        <v>161</v>
      </c>
      <c r="N854" t="s">
        <v>206</v>
      </c>
      <c r="O854" t="s">
        <v>253</v>
      </c>
      <c r="P854">
        <v>5.4867122367620088E-3</v>
      </c>
      <c r="Q854" t="s">
        <v>161</v>
      </c>
    </row>
    <row r="855" spans="9:17" x14ac:dyDescent="0.45">
      <c r="I855" t="s">
        <v>183</v>
      </c>
      <c r="J855" t="s">
        <v>254</v>
      </c>
      <c r="K855">
        <v>4.3634341570936057E-3</v>
      </c>
      <c r="L855" t="s">
        <v>161</v>
      </c>
      <c r="N855" t="s">
        <v>206</v>
      </c>
      <c r="O855" t="s">
        <v>254</v>
      </c>
      <c r="P855">
        <v>5.7531835708145339E-3</v>
      </c>
      <c r="Q855" t="s">
        <v>161</v>
      </c>
    </row>
    <row r="856" spans="9:17" x14ac:dyDescent="0.45">
      <c r="I856" t="s">
        <v>183</v>
      </c>
      <c r="J856" t="s">
        <v>270</v>
      </c>
      <c r="K856">
        <v>1.0571793168776948E-3</v>
      </c>
      <c r="L856" t="s">
        <v>161</v>
      </c>
      <c r="N856" t="s">
        <v>206</v>
      </c>
      <c r="O856" t="s">
        <v>270</v>
      </c>
      <c r="P856">
        <v>3.9671728725207439E-2</v>
      </c>
      <c r="Q856" t="s">
        <v>161</v>
      </c>
    </row>
    <row r="857" spans="9:17" x14ac:dyDescent="0.45">
      <c r="I857" t="s">
        <v>183</v>
      </c>
      <c r="J857" t="s">
        <v>255</v>
      </c>
      <c r="K857">
        <v>0</v>
      </c>
      <c r="L857" t="s">
        <v>161</v>
      </c>
      <c r="N857" t="s">
        <v>206</v>
      </c>
      <c r="O857" t="s">
        <v>255</v>
      </c>
      <c r="P857">
        <v>5.9110770672366884E-2</v>
      </c>
      <c r="Q857" t="s">
        <v>161</v>
      </c>
    </row>
    <row r="858" spans="9:17" x14ac:dyDescent="0.45">
      <c r="I858" t="s">
        <v>183</v>
      </c>
      <c r="J858" t="s">
        <v>256</v>
      </c>
      <c r="K858">
        <v>7.3841552474211751E-5</v>
      </c>
      <c r="L858" t="s">
        <v>161</v>
      </c>
      <c r="N858" t="s">
        <v>206</v>
      </c>
      <c r="O858" t="s">
        <v>256</v>
      </c>
      <c r="P858">
        <v>8.0663517782576296E-3</v>
      </c>
      <c r="Q858" t="s">
        <v>161</v>
      </c>
    </row>
    <row r="859" spans="9:17" x14ac:dyDescent="0.45">
      <c r="I859" t="s">
        <v>183</v>
      </c>
      <c r="J859" t="s">
        <v>257</v>
      </c>
      <c r="K859">
        <v>2.9037817938713961E-2</v>
      </c>
      <c r="L859" t="s">
        <v>161</v>
      </c>
      <c r="N859" t="s">
        <v>206</v>
      </c>
      <c r="O859" t="s">
        <v>257</v>
      </c>
      <c r="P859">
        <v>4.9815834743270587E-2</v>
      </c>
      <c r="Q859" t="s">
        <v>161</v>
      </c>
    </row>
    <row r="860" spans="9:17" x14ac:dyDescent="0.45">
      <c r="I860" t="s">
        <v>183</v>
      </c>
      <c r="J860" t="s">
        <v>258</v>
      </c>
      <c r="K860">
        <v>1.9124726863090475E-3</v>
      </c>
      <c r="L860" t="s">
        <v>161</v>
      </c>
      <c r="N860" t="s">
        <v>206</v>
      </c>
      <c r="O860" t="s">
        <v>258</v>
      </c>
      <c r="P860">
        <v>6.6972864078894499E-3</v>
      </c>
      <c r="Q860" t="s">
        <v>161</v>
      </c>
    </row>
    <row r="861" spans="9:17" x14ac:dyDescent="0.45">
      <c r="I861" t="s">
        <v>183</v>
      </c>
      <c r="J861" t="s">
        <v>259</v>
      </c>
      <c r="K861">
        <v>0</v>
      </c>
      <c r="L861" t="s">
        <v>161</v>
      </c>
      <c r="N861" t="s">
        <v>206</v>
      </c>
      <c r="O861" t="s">
        <v>259</v>
      </c>
      <c r="P861">
        <v>6.8557027097934731E-3</v>
      </c>
      <c r="Q861" t="s">
        <v>161</v>
      </c>
    </row>
    <row r="862" spans="9:17" x14ac:dyDescent="0.45">
      <c r="I862" t="s">
        <v>183</v>
      </c>
      <c r="J862" t="s">
        <v>271</v>
      </c>
      <c r="K862">
        <v>0</v>
      </c>
      <c r="L862" t="s">
        <v>161</v>
      </c>
      <c r="N862" t="s">
        <v>206</v>
      </c>
      <c r="O862" t="s">
        <v>271</v>
      </c>
      <c r="P862">
        <v>4.3173911700046808E-2</v>
      </c>
      <c r="Q862" t="s">
        <v>161</v>
      </c>
    </row>
    <row r="863" spans="9:17" x14ac:dyDescent="0.45">
      <c r="I863" t="s">
        <v>183</v>
      </c>
      <c r="J863" t="s">
        <v>272</v>
      </c>
      <c r="K863">
        <v>0</v>
      </c>
      <c r="L863" t="s">
        <v>161</v>
      </c>
      <c r="N863" t="s">
        <v>206</v>
      </c>
      <c r="O863" t="s">
        <v>272</v>
      </c>
      <c r="P863">
        <v>1.5841230828547544E-2</v>
      </c>
      <c r="Q863" t="s">
        <v>161</v>
      </c>
    </row>
    <row r="864" spans="9:17" x14ac:dyDescent="0.45">
      <c r="I864" t="s">
        <v>183</v>
      </c>
      <c r="J864" t="s">
        <v>273</v>
      </c>
      <c r="K864">
        <v>0</v>
      </c>
      <c r="L864" t="s">
        <v>161</v>
      </c>
      <c r="N864" t="s">
        <v>206</v>
      </c>
      <c r="O864" t="s">
        <v>273</v>
      </c>
      <c r="P864">
        <v>1.8474561642247229E-3</v>
      </c>
      <c r="Q864" t="s">
        <v>161</v>
      </c>
    </row>
    <row r="865" spans="9:17" x14ac:dyDescent="0.45">
      <c r="I865" t="s">
        <v>183</v>
      </c>
      <c r="J865" t="s">
        <v>274</v>
      </c>
      <c r="K865">
        <v>5.9111995241871119E-3</v>
      </c>
      <c r="L865" t="s">
        <v>161</v>
      </c>
      <c r="N865" t="s">
        <v>206</v>
      </c>
      <c r="O865" t="s">
        <v>274</v>
      </c>
      <c r="P865">
        <v>8.9628995671983454E-3</v>
      </c>
      <c r="Q865" t="s">
        <v>161</v>
      </c>
    </row>
    <row r="866" spans="9:17" x14ac:dyDescent="0.45">
      <c r="I866" t="s">
        <v>183</v>
      </c>
      <c r="J866" t="s">
        <v>275</v>
      </c>
      <c r="K866">
        <v>3.6691012422046879E-4</v>
      </c>
      <c r="L866" t="s">
        <v>161</v>
      </c>
      <c r="N866" t="s">
        <v>206</v>
      </c>
      <c r="O866" t="s">
        <v>275</v>
      </c>
      <c r="P866">
        <v>1.3088550233612557E-3</v>
      </c>
      <c r="Q866" t="s">
        <v>161</v>
      </c>
    </row>
    <row r="867" spans="9:17" x14ac:dyDescent="0.45">
      <c r="I867" t="s">
        <v>183</v>
      </c>
      <c r="J867" t="s">
        <v>276</v>
      </c>
      <c r="K867">
        <v>0</v>
      </c>
      <c r="L867" t="s">
        <v>161</v>
      </c>
      <c r="N867" t="s">
        <v>206</v>
      </c>
      <c r="O867" t="s">
        <v>276</v>
      </c>
      <c r="P867">
        <v>1.5453673523417434E-3</v>
      </c>
      <c r="Q867" t="s">
        <v>161</v>
      </c>
    </row>
    <row r="868" spans="9:17" x14ac:dyDescent="0.45">
      <c r="I868" t="s">
        <v>183</v>
      </c>
      <c r="J868" t="s">
        <v>277</v>
      </c>
      <c r="K868">
        <v>0</v>
      </c>
      <c r="L868" t="s">
        <v>161</v>
      </c>
      <c r="N868" t="s">
        <v>206</v>
      </c>
      <c r="O868" t="s">
        <v>277</v>
      </c>
      <c r="P868">
        <v>1.1080849049787915E-2</v>
      </c>
      <c r="Q868" t="s">
        <v>161</v>
      </c>
    </row>
    <row r="869" spans="9:17" x14ac:dyDescent="0.45">
      <c r="I869" t="s">
        <v>183</v>
      </c>
      <c r="J869" t="s">
        <v>278</v>
      </c>
      <c r="K869">
        <v>0</v>
      </c>
      <c r="L869" t="s">
        <v>161</v>
      </c>
      <c r="N869" t="s">
        <v>206</v>
      </c>
      <c r="O869" t="s">
        <v>278</v>
      </c>
      <c r="P869">
        <v>6.1278427145331224E-3</v>
      </c>
      <c r="Q869" t="s">
        <v>161</v>
      </c>
    </row>
    <row r="870" spans="9:17" x14ac:dyDescent="0.45">
      <c r="I870" t="s">
        <v>183</v>
      </c>
      <c r="J870" t="s">
        <v>279</v>
      </c>
      <c r="K870">
        <v>0</v>
      </c>
      <c r="L870" t="s">
        <v>161</v>
      </c>
      <c r="N870" t="s">
        <v>206</v>
      </c>
      <c r="O870" t="s">
        <v>279</v>
      </c>
      <c r="P870">
        <v>6.132043853959311E-4</v>
      </c>
      <c r="Q870" t="s">
        <v>161</v>
      </c>
    </row>
    <row r="871" spans="9:17" x14ac:dyDescent="0.45">
      <c r="I871" t="s">
        <v>183</v>
      </c>
      <c r="J871" t="s">
        <v>280</v>
      </c>
      <c r="K871">
        <v>4.3123012190556809E-3</v>
      </c>
      <c r="L871" t="s">
        <v>161</v>
      </c>
      <c r="N871" t="s">
        <v>206</v>
      </c>
      <c r="O871" t="s">
        <v>280</v>
      </c>
      <c r="P871">
        <v>3.2657051871271179E-3</v>
      </c>
      <c r="Q871" t="s">
        <v>161</v>
      </c>
    </row>
    <row r="872" spans="9:17" x14ac:dyDescent="0.45">
      <c r="I872" t="s">
        <v>183</v>
      </c>
      <c r="J872" t="s">
        <v>281</v>
      </c>
      <c r="K872">
        <v>4.1705320761914228E-4</v>
      </c>
      <c r="L872" t="s">
        <v>161</v>
      </c>
      <c r="N872" t="s">
        <v>206</v>
      </c>
      <c r="O872" t="s">
        <v>281</v>
      </c>
      <c r="P872">
        <v>3.9339947003964664E-4</v>
      </c>
      <c r="Q872" t="s">
        <v>161</v>
      </c>
    </row>
    <row r="873" spans="9:17" x14ac:dyDescent="0.45">
      <c r="I873" t="s">
        <v>183</v>
      </c>
      <c r="J873" t="s">
        <v>282</v>
      </c>
      <c r="K873">
        <v>0</v>
      </c>
      <c r="L873" t="s">
        <v>161</v>
      </c>
      <c r="N873" t="s">
        <v>206</v>
      </c>
      <c r="O873" t="s">
        <v>282</v>
      </c>
      <c r="P873">
        <v>4.6886778445922499E-4</v>
      </c>
      <c r="Q873" t="s">
        <v>161</v>
      </c>
    </row>
    <row r="874" spans="9:17" x14ac:dyDescent="0.45">
      <c r="I874" t="s">
        <v>183</v>
      </c>
      <c r="J874" t="s">
        <v>283</v>
      </c>
      <c r="K874">
        <v>0</v>
      </c>
      <c r="L874" t="s">
        <v>161</v>
      </c>
      <c r="N874" t="s">
        <v>206</v>
      </c>
      <c r="O874" t="s">
        <v>283</v>
      </c>
      <c r="P874">
        <v>3.499861894703912E-3</v>
      </c>
      <c r="Q874" t="s">
        <v>161</v>
      </c>
    </row>
    <row r="875" spans="9:17" x14ac:dyDescent="0.45">
      <c r="I875" t="s">
        <v>184</v>
      </c>
      <c r="J875" t="s">
        <v>160</v>
      </c>
      <c r="K875">
        <v>1.3079746366149348E-3</v>
      </c>
      <c r="L875" t="s">
        <v>161</v>
      </c>
      <c r="N875" t="s">
        <v>207</v>
      </c>
      <c r="O875" t="s">
        <v>160</v>
      </c>
      <c r="P875">
        <v>8.3552476310916821E-2</v>
      </c>
      <c r="Q875" t="s">
        <v>161</v>
      </c>
    </row>
    <row r="876" spans="9:17" x14ac:dyDescent="0.45">
      <c r="I876" t="s">
        <v>184</v>
      </c>
      <c r="J876" t="s">
        <v>162</v>
      </c>
      <c r="K876">
        <v>4.5362181872816241E-3</v>
      </c>
      <c r="L876" t="s">
        <v>161</v>
      </c>
      <c r="N876" t="s">
        <v>207</v>
      </c>
      <c r="O876" t="s">
        <v>162</v>
      </c>
      <c r="P876">
        <v>1.0202821332811309E-2</v>
      </c>
      <c r="Q876" t="s">
        <v>161</v>
      </c>
    </row>
    <row r="877" spans="9:17" x14ac:dyDescent="0.45">
      <c r="I877" t="s">
        <v>184</v>
      </c>
      <c r="J877" t="s">
        <v>163</v>
      </c>
      <c r="K877">
        <v>8.6891362969459207E-2</v>
      </c>
      <c r="L877" t="s">
        <v>161</v>
      </c>
      <c r="N877" t="s">
        <v>207</v>
      </c>
      <c r="O877" t="s">
        <v>163</v>
      </c>
      <c r="P877">
        <v>5.9847482134080025E-2</v>
      </c>
      <c r="Q877" t="s">
        <v>161</v>
      </c>
    </row>
    <row r="878" spans="9:17" x14ac:dyDescent="0.45">
      <c r="I878" t="s">
        <v>184</v>
      </c>
      <c r="J878" t="s">
        <v>242</v>
      </c>
      <c r="K878">
        <v>6.9826611375825342E-3</v>
      </c>
      <c r="L878" t="s">
        <v>161</v>
      </c>
      <c r="N878" t="s">
        <v>207</v>
      </c>
      <c r="O878" t="s">
        <v>242</v>
      </c>
      <c r="P878">
        <v>8.6870071048256951E-3</v>
      </c>
      <c r="Q878" t="s">
        <v>161</v>
      </c>
    </row>
    <row r="879" spans="9:17" x14ac:dyDescent="0.45">
      <c r="I879" t="s">
        <v>184</v>
      </c>
      <c r="J879" t="s">
        <v>243</v>
      </c>
      <c r="K879">
        <v>2.5117388779913679E-3</v>
      </c>
      <c r="L879" t="s">
        <v>161</v>
      </c>
      <c r="N879" t="s">
        <v>207</v>
      </c>
      <c r="O879" t="s">
        <v>243</v>
      </c>
      <c r="P879">
        <v>9.0421361997800095E-3</v>
      </c>
      <c r="Q879" t="s">
        <v>161</v>
      </c>
    </row>
    <row r="880" spans="9:17" x14ac:dyDescent="0.45">
      <c r="I880" t="s">
        <v>184</v>
      </c>
      <c r="J880" t="s">
        <v>266</v>
      </c>
      <c r="K880">
        <v>0</v>
      </c>
      <c r="L880" t="s">
        <v>161</v>
      </c>
      <c r="N880" t="s">
        <v>207</v>
      </c>
      <c r="O880" t="s">
        <v>266</v>
      </c>
      <c r="P880">
        <v>6.2679644359354733E-2</v>
      </c>
      <c r="Q880" t="s">
        <v>161</v>
      </c>
    </row>
    <row r="881" spans="9:17" x14ac:dyDescent="0.45">
      <c r="I881" t="s">
        <v>184</v>
      </c>
      <c r="J881" t="s">
        <v>311</v>
      </c>
      <c r="K881">
        <v>0</v>
      </c>
      <c r="L881" t="s">
        <v>161</v>
      </c>
      <c r="N881" t="s">
        <v>207</v>
      </c>
      <c r="O881" t="s">
        <v>311</v>
      </c>
      <c r="P881">
        <v>2.5995261702470042E-5</v>
      </c>
      <c r="Q881" t="s">
        <v>161</v>
      </c>
    </row>
    <row r="882" spans="9:17" x14ac:dyDescent="0.45">
      <c r="I882" t="s">
        <v>184</v>
      </c>
      <c r="J882" t="s">
        <v>312</v>
      </c>
      <c r="K882">
        <v>0</v>
      </c>
      <c r="L882" t="s">
        <v>161</v>
      </c>
      <c r="N882" t="s">
        <v>207</v>
      </c>
      <c r="O882" t="s">
        <v>312</v>
      </c>
      <c r="P882">
        <v>1.6827047623615873E-5</v>
      </c>
      <c r="Q882" t="s">
        <v>161</v>
      </c>
    </row>
    <row r="883" spans="9:17" x14ac:dyDescent="0.45">
      <c r="I883" t="s">
        <v>184</v>
      </c>
      <c r="J883" t="s">
        <v>313</v>
      </c>
      <c r="K883">
        <v>0</v>
      </c>
      <c r="L883" t="s">
        <v>161</v>
      </c>
      <c r="N883" t="s">
        <v>207</v>
      </c>
      <c r="O883" t="s">
        <v>313</v>
      </c>
      <c r="P883">
        <v>9.7600066474553503E-6</v>
      </c>
      <c r="Q883" t="s">
        <v>161</v>
      </c>
    </row>
    <row r="884" spans="9:17" x14ac:dyDescent="0.45">
      <c r="I884" t="s">
        <v>184</v>
      </c>
      <c r="J884" t="s">
        <v>314</v>
      </c>
      <c r="K884">
        <v>0</v>
      </c>
      <c r="L884" t="s">
        <v>161</v>
      </c>
      <c r="N884" t="s">
        <v>207</v>
      </c>
      <c r="O884" t="s">
        <v>314</v>
      </c>
      <c r="P884">
        <v>5.2129511262053901E-6</v>
      </c>
      <c r="Q884" t="s">
        <v>161</v>
      </c>
    </row>
    <row r="885" spans="9:17" x14ac:dyDescent="0.45">
      <c r="I885" t="s">
        <v>184</v>
      </c>
      <c r="J885" t="s">
        <v>315</v>
      </c>
      <c r="K885">
        <v>0</v>
      </c>
      <c r="L885" t="s">
        <v>161</v>
      </c>
      <c r="N885" t="s">
        <v>207</v>
      </c>
      <c r="O885" t="s">
        <v>315</v>
      </c>
      <c r="P885">
        <v>1.2446975603929051E-6</v>
      </c>
      <c r="Q885" t="s">
        <v>161</v>
      </c>
    </row>
    <row r="886" spans="9:17" x14ac:dyDescent="0.45">
      <c r="I886" t="s">
        <v>184</v>
      </c>
      <c r="J886" t="s">
        <v>316</v>
      </c>
      <c r="K886">
        <v>0</v>
      </c>
      <c r="L886" t="s">
        <v>161</v>
      </c>
      <c r="N886" t="s">
        <v>207</v>
      </c>
      <c r="O886" t="s">
        <v>316</v>
      </c>
      <c r="P886">
        <v>6.2227630027248487E-6</v>
      </c>
      <c r="Q886" t="s">
        <v>161</v>
      </c>
    </row>
    <row r="887" spans="9:17" x14ac:dyDescent="0.45">
      <c r="I887" t="s">
        <v>184</v>
      </c>
      <c r="J887" t="s">
        <v>317</v>
      </c>
      <c r="K887">
        <v>0</v>
      </c>
      <c r="L887" t="s">
        <v>161</v>
      </c>
      <c r="N887" t="s">
        <v>207</v>
      </c>
      <c r="O887" t="s">
        <v>317</v>
      </c>
      <c r="P887">
        <v>1.0081753721521664E-5</v>
      </c>
      <c r="Q887" t="s">
        <v>161</v>
      </c>
    </row>
    <row r="888" spans="9:17" x14ac:dyDescent="0.45">
      <c r="I888" t="s">
        <v>184</v>
      </c>
      <c r="J888" t="s">
        <v>318</v>
      </c>
      <c r="K888">
        <v>0</v>
      </c>
      <c r="L888" t="s">
        <v>161</v>
      </c>
      <c r="N888" t="s">
        <v>207</v>
      </c>
      <c r="O888" t="s">
        <v>318</v>
      </c>
      <c r="P888">
        <v>1.1736978708335023E-5</v>
      </c>
      <c r="Q888" t="s">
        <v>161</v>
      </c>
    </row>
    <row r="889" spans="9:17" x14ac:dyDescent="0.45">
      <c r="I889" t="s">
        <v>184</v>
      </c>
      <c r="J889" t="s">
        <v>319</v>
      </c>
      <c r="K889">
        <v>2.6931419918862161E-5</v>
      </c>
      <c r="L889" t="s">
        <v>161</v>
      </c>
      <c r="N889" t="s">
        <v>207</v>
      </c>
      <c r="O889" t="s">
        <v>319</v>
      </c>
      <c r="P889">
        <v>9.4648228655127275E-6</v>
      </c>
      <c r="Q889" t="s">
        <v>161</v>
      </c>
    </row>
    <row r="890" spans="9:17" x14ac:dyDescent="0.45">
      <c r="I890" t="s">
        <v>184</v>
      </c>
      <c r="J890" t="s">
        <v>320</v>
      </c>
      <c r="K890">
        <v>7.2851139734081386E-5</v>
      </c>
      <c r="L890" t="s">
        <v>161</v>
      </c>
      <c r="N890" t="s">
        <v>207</v>
      </c>
      <c r="O890" t="s">
        <v>320</v>
      </c>
      <c r="P890">
        <v>3.1295458776504223E-6</v>
      </c>
      <c r="Q890" t="s">
        <v>161</v>
      </c>
    </row>
    <row r="891" spans="9:17" x14ac:dyDescent="0.45">
      <c r="I891" t="s">
        <v>184</v>
      </c>
      <c r="J891" t="s">
        <v>321</v>
      </c>
      <c r="K891">
        <v>1.1632356243193785E-4</v>
      </c>
      <c r="L891" t="s">
        <v>161</v>
      </c>
      <c r="N891" t="s">
        <v>207</v>
      </c>
      <c r="O891" t="s">
        <v>321</v>
      </c>
      <c r="P891">
        <v>5.1342828962490485E-9</v>
      </c>
      <c r="Q891" t="s">
        <v>161</v>
      </c>
    </row>
    <row r="892" spans="9:17" x14ac:dyDescent="0.45">
      <c r="I892" t="s">
        <v>184</v>
      </c>
      <c r="J892" t="s">
        <v>322</v>
      </c>
      <c r="K892">
        <v>1.7591634771264066E-4</v>
      </c>
      <c r="L892" t="s">
        <v>161</v>
      </c>
      <c r="N892" t="s">
        <v>207</v>
      </c>
      <c r="O892" t="s">
        <v>322</v>
      </c>
      <c r="P892">
        <v>3.5551544554716126E-6</v>
      </c>
      <c r="Q892" t="s">
        <v>161</v>
      </c>
    </row>
    <row r="893" spans="9:17" x14ac:dyDescent="0.45">
      <c r="I893" t="s">
        <v>184</v>
      </c>
      <c r="J893" t="s">
        <v>323</v>
      </c>
      <c r="K893">
        <v>1.4426781600767357E-4</v>
      </c>
      <c r="L893" t="s">
        <v>161</v>
      </c>
      <c r="N893" t="s">
        <v>207</v>
      </c>
      <c r="O893" t="s">
        <v>323</v>
      </c>
      <c r="P893">
        <v>8.193246424641317E-6</v>
      </c>
      <c r="Q893" t="s">
        <v>161</v>
      </c>
    </row>
    <row r="894" spans="9:17" x14ac:dyDescent="0.45">
      <c r="I894" t="s">
        <v>184</v>
      </c>
      <c r="J894" t="s">
        <v>324</v>
      </c>
      <c r="K894">
        <v>1.5292032260022796E-4</v>
      </c>
      <c r="L894" t="s">
        <v>161</v>
      </c>
      <c r="N894" t="s">
        <v>207</v>
      </c>
      <c r="O894" t="s">
        <v>324</v>
      </c>
      <c r="P894">
        <v>7.241701686318027E-6</v>
      </c>
      <c r="Q894" t="s">
        <v>161</v>
      </c>
    </row>
    <row r="895" spans="9:17" x14ac:dyDescent="0.45">
      <c r="I895" t="s">
        <v>184</v>
      </c>
      <c r="J895" t="s">
        <v>325</v>
      </c>
      <c r="K895">
        <v>1.4882636089424815E-4</v>
      </c>
      <c r="L895" t="s">
        <v>161</v>
      </c>
      <c r="N895" t="s">
        <v>207</v>
      </c>
      <c r="O895" t="s">
        <v>325</v>
      </c>
      <c r="P895">
        <v>6.9645862690952584E-6</v>
      </c>
      <c r="Q895" t="s">
        <v>161</v>
      </c>
    </row>
    <row r="896" spans="9:17" x14ac:dyDescent="0.45">
      <c r="I896" t="s">
        <v>184</v>
      </c>
      <c r="J896" t="s">
        <v>326</v>
      </c>
      <c r="K896">
        <v>7.8930851469556502E-5</v>
      </c>
      <c r="L896" t="s">
        <v>161</v>
      </c>
      <c r="N896" t="s">
        <v>207</v>
      </c>
      <c r="O896" t="s">
        <v>326</v>
      </c>
      <c r="P896">
        <v>6.2781289095579718E-6</v>
      </c>
      <c r="Q896" t="s">
        <v>161</v>
      </c>
    </row>
    <row r="897" spans="9:17" x14ac:dyDescent="0.45">
      <c r="I897" t="s">
        <v>184</v>
      </c>
      <c r="J897" t="s">
        <v>327</v>
      </c>
      <c r="K897">
        <v>3.9955268309742404E-5</v>
      </c>
      <c r="L897" t="s">
        <v>161</v>
      </c>
      <c r="N897" t="s">
        <v>207</v>
      </c>
      <c r="O897" t="s">
        <v>327</v>
      </c>
      <c r="P897">
        <v>5.1582303686905987E-6</v>
      </c>
      <c r="Q897" t="s">
        <v>161</v>
      </c>
    </row>
    <row r="898" spans="9:17" x14ac:dyDescent="0.45">
      <c r="I898" t="s">
        <v>184</v>
      </c>
      <c r="J898" t="s">
        <v>328</v>
      </c>
      <c r="K898">
        <v>6.214046704257139E-6</v>
      </c>
      <c r="L898" t="s">
        <v>161</v>
      </c>
      <c r="N898" t="s">
        <v>207</v>
      </c>
      <c r="O898" t="s">
        <v>328</v>
      </c>
      <c r="P898">
        <v>1.6776070277153336E-5</v>
      </c>
      <c r="Q898" t="s">
        <v>161</v>
      </c>
    </row>
    <row r="899" spans="9:17" x14ac:dyDescent="0.45">
      <c r="I899" t="s">
        <v>184</v>
      </c>
      <c r="J899" t="s">
        <v>329</v>
      </c>
      <c r="K899">
        <v>0</v>
      </c>
      <c r="L899" t="s">
        <v>161</v>
      </c>
      <c r="N899" t="s">
        <v>207</v>
      </c>
      <c r="O899" t="s">
        <v>329</v>
      </c>
      <c r="P899">
        <v>3.7213093950977197E-5</v>
      </c>
      <c r="Q899" t="s">
        <v>161</v>
      </c>
    </row>
    <row r="900" spans="9:17" x14ac:dyDescent="0.45">
      <c r="I900" t="s">
        <v>184</v>
      </c>
      <c r="J900" t="s">
        <v>330</v>
      </c>
      <c r="K900">
        <v>0</v>
      </c>
      <c r="L900" t="s">
        <v>161</v>
      </c>
      <c r="N900" t="s">
        <v>207</v>
      </c>
      <c r="O900" t="s">
        <v>330</v>
      </c>
      <c r="P900">
        <v>5.5024870013853441E-5</v>
      </c>
      <c r="Q900" t="s">
        <v>161</v>
      </c>
    </row>
    <row r="901" spans="9:17" x14ac:dyDescent="0.45">
      <c r="I901" t="s">
        <v>184</v>
      </c>
      <c r="J901" t="s">
        <v>331</v>
      </c>
      <c r="K901">
        <v>0</v>
      </c>
      <c r="L901" t="s">
        <v>161</v>
      </c>
      <c r="N901" t="s">
        <v>207</v>
      </c>
      <c r="O901" t="s">
        <v>331</v>
      </c>
      <c r="P901">
        <v>6.1478513693398281E-5</v>
      </c>
      <c r="Q901" t="s">
        <v>161</v>
      </c>
    </row>
    <row r="902" spans="9:17" x14ac:dyDescent="0.45">
      <c r="I902" t="s">
        <v>184</v>
      </c>
      <c r="J902" t="s">
        <v>332</v>
      </c>
      <c r="K902">
        <v>0</v>
      </c>
      <c r="L902" t="s">
        <v>161</v>
      </c>
      <c r="N902" t="s">
        <v>207</v>
      </c>
      <c r="O902" t="s">
        <v>332</v>
      </c>
      <c r="P902">
        <v>6.3225408338586948E-5</v>
      </c>
      <c r="Q902" t="s">
        <v>161</v>
      </c>
    </row>
    <row r="903" spans="9:17" x14ac:dyDescent="0.45">
      <c r="I903" t="s">
        <v>184</v>
      </c>
      <c r="J903" t="s">
        <v>333</v>
      </c>
      <c r="K903">
        <v>0</v>
      </c>
      <c r="L903" t="s">
        <v>161</v>
      </c>
      <c r="N903" t="s">
        <v>207</v>
      </c>
      <c r="O903" t="s">
        <v>333</v>
      </c>
      <c r="P903">
        <v>6.2606777293694162E-5</v>
      </c>
      <c r="Q903" t="s">
        <v>161</v>
      </c>
    </row>
    <row r="904" spans="9:17" x14ac:dyDescent="0.45">
      <c r="I904" t="s">
        <v>184</v>
      </c>
      <c r="J904" t="s">
        <v>334</v>
      </c>
      <c r="K904">
        <v>0</v>
      </c>
      <c r="L904" t="s">
        <v>161</v>
      </c>
      <c r="N904" t="s">
        <v>207</v>
      </c>
      <c r="O904" t="s">
        <v>334</v>
      </c>
      <c r="P904">
        <v>5.0386007010927166E-5</v>
      </c>
      <c r="Q904" t="s">
        <v>161</v>
      </c>
    </row>
    <row r="905" spans="9:17" x14ac:dyDescent="0.45">
      <c r="I905" t="s">
        <v>184</v>
      </c>
      <c r="J905" t="s">
        <v>164</v>
      </c>
      <c r="K905">
        <v>1.2032614038290835E-2</v>
      </c>
      <c r="L905" t="s">
        <v>161</v>
      </c>
      <c r="N905" t="s">
        <v>207</v>
      </c>
      <c r="O905" t="s">
        <v>164</v>
      </c>
      <c r="P905">
        <v>4.7582156291603506E-2</v>
      </c>
      <c r="Q905" t="s">
        <v>161</v>
      </c>
    </row>
    <row r="906" spans="9:17" x14ac:dyDescent="0.45">
      <c r="I906" t="s">
        <v>184</v>
      </c>
      <c r="J906" t="s">
        <v>165</v>
      </c>
      <c r="K906">
        <v>1.1420266675798018E-2</v>
      </c>
      <c r="L906" t="s">
        <v>161</v>
      </c>
      <c r="N906" t="s">
        <v>207</v>
      </c>
      <c r="O906" t="s">
        <v>165</v>
      </c>
      <c r="P906">
        <v>5.9357036115009502E-3</v>
      </c>
      <c r="Q906" t="s">
        <v>161</v>
      </c>
    </row>
    <row r="907" spans="9:17" x14ac:dyDescent="0.45">
      <c r="I907" t="s">
        <v>184</v>
      </c>
      <c r="J907" t="s">
        <v>166</v>
      </c>
      <c r="K907">
        <v>9.5970913136706207E-2</v>
      </c>
      <c r="L907" t="s">
        <v>161</v>
      </c>
      <c r="N907" t="s">
        <v>207</v>
      </c>
      <c r="O907" t="s">
        <v>166</v>
      </c>
      <c r="P907">
        <v>3.1437780085157678E-2</v>
      </c>
      <c r="Q907" t="s">
        <v>161</v>
      </c>
    </row>
    <row r="908" spans="9:17" x14ac:dyDescent="0.45">
      <c r="I908" t="s">
        <v>184</v>
      </c>
      <c r="J908" t="s">
        <v>244</v>
      </c>
      <c r="K908">
        <v>1.0525380720539858E-2</v>
      </c>
      <c r="L908" t="s">
        <v>161</v>
      </c>
      <c r="N908" t="s">
        <v>207</v>
      </c>
      <c r="O908" t="s">
        <v>244</v>
      </c>
      <c r="P908">
        <v>4.1221216788611447E-3</v>
      </c>
      <c r="Q908" t="s">
        <v>161</v>
      </c>
    </row>
    <row r="909" spans="9:17" x14ac:dyDescent="0.45">
      <c r="I909" t="s">
        <v>184</v>
      </c>
      <c r="J909" t="s">
        <v>245</v>
      </c>
      <c r="K909">
        <v>8.0290420035919741E-3</v>
      </c>
      <c r="L909" t="s">
        <v>161</v>
      </c>
      <c r="N909" t="s">
        <v>207</v>
      </c>
      <c r="O909" t="s">
        <v>245</v>
      </c>
      <c r="P909">
        <v>4.3145902739186127E-3</v>
      </c>
      <c r="Q909" t="s">
        <v>161</v>
      </c>
    </row>
    <row r="910" spans="9:17" x14ac:dyDescent="0.45">
      <c r="I910" t="s">
        <v>184</v>
      </c>
      <c r="J910" t="s">
        <v>267</v>
      </c>
      <c r="K910">
        <v>4.5331617446918776E-3</v>
      </c>
      <c r="L910" t="s">
        <v>161</v>
      </c>
      <c r="N910" t="s">
        <v>207</v>
      </c>
      <c r="O910" t="s">
        <v>267</v>
      </c>
      <c r="P910">
        <v>3.3579648807267548E-2</v>
      </c>
      <c r="Q910" t="s">
        <v>161</v>
      </c>
    </row>
    <row r="911" spans="9:17" x14ac:dyDescent="0.45">
      <c r="I911" t="s">
        <v>184</v>
      </c>
      <c r="J911" t="s">
        <v>167</v>
      </c>
      <c r="K911">
        <v>4.9706560826251509E-2</v>
      </c>
      <c r="L911" t="s">
        <v>161</v>
      </c>
      <c r="N911" t="s">
        <v>207</v>
      </c>
      <c r="O911" t="s">
        <v>167</v>
      </c>
      <c r="P911">
        <v>7.5678166635623212E-2</v>
      </c>
      <c r="Q911" t="s">
        <v>161</v>
      </c>
    </row>
    <row r="912" spans="9:17" x14ac:dyDescent="0.45">
      <c r="I912" t="s">
        <v>184</v>
      </c>
      <c r="J912" t="s">
        <v>168</v>
      </c>
      <c r="K912">
        <v>2.8626514275549644E-2</v>
      </c>
      <c r="L912" t="s">
        <v>161</v>
      </c>
      <c r="N912" t="s">
        <v>207</v>
      </c>
      <c r="O912" t="s">
        <v>168</v>
      </c>
      <c r="P912">
        <v>5.9208743272068627E-3</v>
      </c>
      <c r="Q912" t="s">
        <v>161</v>
      </c>
    </row>
    <row r="913" spans="9:17" x14ac:dyDescent="0.45">
      <c r="I913" t="s">
        <v>184</v>
      </c>
      <c r="J913" t="s">
        <v>169</v>
      </c>
      <c r="K913">
        <v>0.26619960238745327</v>
      </c>
      <c r="L913" t="s">
        <v>161</v>
      </c>
      <c r="N913" t="s">
        <v>207</v>
      </c>
      <c r="O913" t="s">
        <v>169</v>
      </c>
      <c r="P913">
        <v>4.2528178404120993E-2</v>
      </c>
      <c r="Q913" t="s">
        <v>161</v>
      </c>
    </row>
    <row r="914" spans="9:17" x14ac:dyDescent="0.45">
      <c r="I914" t="s">
        <v>184</v>
      </c>
      <c r="J914" t="s">
        <v>246</v>
      </c>
      <c r="K914">
        <v>3.1919815410266644E-2</v>
      </c>
      <c r="L914" t="s">
        <v>161</v>
      </c>
      <c r="N914" t="s">
        <v>207</v>
      </c>
      <c r="O914" t="s">
        <v>246</v>
      </c>
      <c r="P914">
        <v>7.884117707644852E-3</v>
      </c>
      <c r="Q914" t="s">
        <v>161</v>
      </c>
    </row>
    <row r="915" spans="9:17" x14ac:dyDescent="0.45">
      <c r="I915" t="s">
        <v>184</v>
      </c>
      <c r="J915" t="s">
        <v>247</v>
      </c>
      <c r="K915">
        <v>2.612554247037014E-2</v>
      </c>
      <c r="L915" t="s">
        <v>161</v>
      </c>
      <c r="N915" t="s">
        <v>207</v>
      </c>
      <c r="O915" t="s">
        <v>247</v>
      </c>
      <c r="P915">
        <v>8.3940598916990346E-3</v>
      </c>
      <c r="Q915" t="s">
        <v>161</v>
      </c>
    </row>
    <row r="916" spans="9:17" x14ac:dyDescent="0.45">
      <c r="I916" t="s">
        <v>184</v>
      </c>
      <c r="J916" t="s">
        <v>268</v>
      </c>
      <c r="K916">
        <v>3.2421171551459398E-2</v>
      </c>
      <c r="L916" t="s">
        <v>161</v>
      </c>
      <c r="N916" t="s">
        <v>207</v>
      </c>
      <c r="O916" t="s">
        <v>268</v>
      </c>
      <c r="P916">
        <v>6.4163393194609383E-2</v>
      </c>
      <c r="Q916" t="s">
        <v>161</v>
      </c>
    </row>
    <row r="917" spans="9:17" x14ac:dyDescent="0.45">
      <c r="I917" t="s">
        <v>184</v>
      </c>
      <c r="J917" t="s">
        <v>170</v>
      </c>
      <c r="K917">
        <v>1.6817390207082235E-2</v>
      </c>
      <c r="L917" t="s">
        <v>161</v>
      </c>
      <c r="N917" t="s">
        <v>207</v>
      </c>
      <c r="O917" t="s">
        <v>170</v>
      </c>
      <c r="P917">
        <v>3.6051519909489224E-2</v>
      </c>
      <c r="Q917" t="s">
        <v>161</v>
      </c>
    </row>
    <row r="918" spans="9:17" x14ac:dyDescent="0.45">
      <c r="I918" t="s">
        <v>184</v>
      </c>
      <c r="J918" t="s">
        <v>171</v>
      </c>
      <c r="K918">
        <v>1.3086263376984044E-2</v>
      </c>
      <c r="L918" t="s">
        <v>161</v>
      </c>
      <c r="N918" t="s">
        <v>207</v>
      </c>
      <c r="O918" t="s">
        <v>171</v>
      </c>
      <c r="P918">
        <v>2.9294566467651531E-3</v>
      </c>
      <c r="Q918" t="s">
        <v>161</v>
      </c>
    </row>
    <row r="919" spans="9:17" x14ac:dyDescent="0.45">
      <c r="I919" t="s">
        <v>184</v>
      </c>
      <c r="J919" t="s">
        <v>172</v>
      </c>
      <c r="K919">
        <v>0.11790717573321795</v>
      </c>
      <c r="L919" t="s">
        <v>161</v>
      </c>
      <c r="N919" t="s">
        <v>207</v>
      </c>
      <c r="O919" t="s">
        <v>172</v>
      </c>
      <c r="P919">
        <v>2.0842934833452825E-2</v>
      </c>
      <c r="Q919" t="s">
        <v>161</v>
      </c>
    </row>
    <row r="920" spans="9:17" x14ac:dyDescent="0.45">
      <c r="I920" t="s">
        <v>184</v>
      </c>
      <c r="J920" t="s">
        <v>248</v>
      </c>
      <c r="K920">
        <v>1.4216106809269286E-2</v>
      </c>
      <c r="L920" t="s">
        <v>161</v>
      </c>
      <c r="N920" t="s">
        <v>207</v>
      </c>
      <c r="O920" t="s">
        <v>248</v>
      </c>
      <c r="P920">
        <v>3.0327601472810465E-3</v>
      </c>
      <c r="Q920" t="s">
        <v>161</v>
      </c>
    </row>
    <row r="921" spans="9:17" x14ac:dyDescent="0.45">
      <c r="I921" t="s">
        <v>184</v>
      </c>
      <c r="J921" t="s">
        <v>249</v>
      </c>
      <c r="K921">
        <v>1.1173163337314555E-2</v>
      </c>
      <c r="L921" t="s">
        <v>161</v>
      </c>
      <c r="N921" t="s">
        <v>207</v>
      </c>
      <c r="O921" t="s">
        <v>249</v>
      </c>
      <c r="P921">
        <v>3.1250037788007816E-3</v>
      </c>
      <c r="Q921" t="s">
        <v>161</v>
      </c>
    </row>
    <row r="922" spans="9:17" x14ac:dyDescent="0.45">
      <c r="I922" t="s">
        <v>184</v>
      </c>
      <c r="J922" t="s">
        <v>269</v>
      </c>
      <c r="K922">
        <v>9.1977789969390489E-3</v>
      </c>
      <c r="L922" t="s">
        <v>161</v>
      </c>
      <c r="N922" t="s">
        <v>207</v>
      </c>
      <c r="O922" t="s">
        <v>269</v>
      </c>
      <c r="P922">
        <v>2.4406447665261875E-2</v>
      </c>
      <c r="Q922" t="s">
        <v>161</v>
      </c>
    </row>
    <row r="923" spans="9:17" x14ac:dyDescent="0.45">
      <c r="I923" t="s">
        <v>184</v>
      </c>
      <c r="J923" t="s">
        <v>250</v>
      </c>
      <c r="K923">
        <v>4.226004077384991E-3</v>
      </c>
      <c r="L923" t="s">
        <v>161</v>
      </c>
      <c r="N923" t="s">
        <v>207</v>
      </c>
      <c r="O923" t="s">
        <v>250</v>
      </c>
      <c r="P923">
        <v>4.6655895124488721E-2</v>
      </c>
      <c r="Q923" t="s">
        <v>161</v>
      </c>
    </row>
    <row r="924" spans="9:17" x14ac:dyDescent="0.45">
      <c r="I924" t="s">
        <v>184</v>
      </c>
      <c r="J924" t="s">
        <v>251</v>
      </c>
      <c r="K924">
        <v>7.4484324227632884E-3</v>
      </c>
      <c r="L924" t="s">
        <v>161</v>
      </c>
      <c r="N924" t="s">
        <v>207</v>
      </c>
      <c r="O924" t="s">
        <v>251</v>
      </c>
      <c r="P924">
        <v>5.9572142408353254E-3</v>
      </c>
      <c r="Q924" t="s">
        <v>161</v>
      </c>
    </row>
    <row r="925" spans="9:17" x14ac:dyDescent="0.45">
      <c r="I925" t="s">
        <v>184</v>
      </c>
      <c r="J925" t="s">
        <v>252</v>
      </c>
      <c r="K925">
        <v>7.4644403140791946E-2</v>
      </c>
      <c r="L925" t="s">
        <v>161</v>
      </c>
      <c r="N925" t="s">
        <v>207</v>
      </c>
      <c r="O925" t="s">
        <v>252</v>
      </c>
      <c r="P925">
        <v>3.1037038560195369E-2</v>
      </c>
      <c r="Q925" t="s">
        <v>161</v>
      </c>
    </row>
    <row r="926" spans="9:17" x14ac:dyDescent="0.45">
      <c r="I926" t="s">
        <v>184</v>
      </c>
      <c r="J926" t="s">
        <v>253</v>
      </c>
      <c r="K926">
        <v>6.755636434088024E-3</v>
      </c>
      <c r="L926" t="s">
        <v>161</v>
      </c>
      <c r="N926" t="s">
        <v>207</v>
      </c>
      <c r="O926" t="s">
        <v>253</v>
      </c>
      <c r="P926">
        <v>4.7203850831757359E-3</v>
      </c>
      <c r="Q926" t="s">
        <v>161</v>
      </c>
    </row>
    <row r="927" spans="9:17" x14ac:dyDescent="0.45">
      <c r="I927" t="s">
        <v>184</v>
      </c>
      <c r="J927" t="s">
        <v>254</v>
      </c>
      <c r="K927">
        <v>2.7849132028089814E-3</v>
      </c>
      <c r="L927" t="s">
        <v>161</v>
      </c>
      <c r="N927" t="s">
        <v>207</v>
      </c>
      <c r="O927" t="s">
        <v>254</v>
      </c>
      <c r="P927">
        <v>5.0213297783190244E-3</v>
      </c>
      <c r="Q927" t="s">
        <v>161</v>
      </c>
    </row>
    <row r="928" spans="9:17" x14ac:dyDescent="0.45">
      <c r="I928" t="s">
        <v>184</v>
      </c>
      <c r="J928" t="s">
        <v>270</v>
      </c>
      <c r="K928">
        <v>2.5762930593478342E-6</v>
      </c>
      <c r="L928" t="s">
        <v>161</v>
      </c>
      <c r="N928" t="s">
        <v>207</v>
      </c>
      <c r="O928" t="s">
        <v>270</v>
      </c>
      <c r="P928">
        <v>3.7564928963270176E-2</v>
      </c>
      <c r="Q928" t="s">
        <v>161</v>
      </c>
    </row>
    <row r="929" spans="9:17" x14ac:dyDescent="0.45">
      <c r="I929" t="s">
        <v>184</v>
      </c>
      <c r="J929" t="s">
        <v>255</v>
      </c>
      <c r="K929">
        <v>0</v>
      </c>
      <c r="L929" t="s">
        <v>161</v>
      </c>
      <c r="N929" t="s">
        <v>207</v>
      </c>
      <c r="O929" t="s">
        <v>255</v>
      </c>
      <c r="P929">
        <v>6.2163372854665049E-2</v>
      </c>
      <c r="Q929" t="s">
        <v>161</v>
      </c>
    </row>
    <row r="930" spans="9:17" x14ac:dyDescent="0.45">
      <c r="I930" t="s">
        <v>184</v>
      </c>
      <c r="J930" t="s">
        <v>256</v>
      </c>
      <c r="K930">
        <v>1.6858081573298605E-3</v>
      </c>
      <c r="L930" t="s">
        <v>161</v>
      </c>
      <c r="N930" t="s">
        <v>207</v>
      </c>
      <c r="O930" t="s">
        <v>256</v>
      </c>
      <c r="P930">
        <v>7.2368171043741573E-3</v>
      </c>
      <c r="Q930" t="s">
        <v>161</v>
      </c>
    </row>
    <row r="931" spans="9:17" x14ac:dyDescent="0.45">
      <c r="I931" t="s">
        <v>184</v>
      </c>
      <c r="J931" t="s">
        <v>257</v>
      </c>
      <c r="K931">
        <v>3.1984641760281644E-2</v>
      </c>
      <c r="L931" t="s">
        <v>161</v>
      </c>
      <c r="N931" t="s">
        <v>207</v>
      </c>
      <c r="O931" t="s">
        <v>257</v>
      </c>
      <c r="P931">
        <v>3.9387423115021969E-2</v>
      </c>
      <c r="Q931" t="s">
        <v>161</v>
      </c>
    </row>
    <row r="932" spans="9:17" x14ac:dyDescent="0.45">
      <c r="I932" t="s">
        <v>184</v>
      </c>
      <c r="J932" t="s">
        <v>258</v>
      </c>
      <c r="K932">
        <v>2.7806355170446396E-4</v>
      </c>
      <c r="L932" t="s">
        <v>161</v>
      </c>
      <c r="N932" t="s">
        <v>207</v>
      </c>
      <c r="O932" t="s">
        <v>258</v>
      </c>
      <c r="P932">
        <v>5.4520446522543812E-3</v>
      </c>
      <c r="Q932" t="s">
        <v>161</v>
      </c>
    </row>
    <row r="933" spans="9:17" x14ac:dyDescent="0.45">
      <c r="I933" t="s">
        <v>184</v>
      </c>
      <c r="J933" t="s">
        <v>259</v>
      </c>
      <c r="K933">
        <v>0</v>
      </c>
      <c r="L933" t="s">
        <v>161</v>
      </c>
      <c r="N933" t="s">
        <v>207</v>
      </c>
      <c r="O933" t="s">
        <v>259</v>
      </c>
      <c r="P933">
        <v>6.0759530531410248E-3</v>
      </c>
      <c r="Q933" t="s">
        <v>161</v>
      </c>
    </row>
    <row r="934" spans="9:17" x14ac:dyDescent="0.45">
      <c r="I934" t="s">
        <v>184</v>
      </c>
      <c r="J934" t="s">
        <v>271</v>
      </c>
      <c r="K934">
        <v>0</v>
      </c>
      <c r="L934" t="s">
        <v>161</v>
      </c>
      <c r="N934" t="s">
        <v>207</v>
      </c>
      <c r="O934" t="s">
        <v>271</v>
      </c>
      <c r="P934">
        <v>4.466799159381802E-2</v>
      </c>
      <c r="Q934" t="s">
        <v>161</v>
      </c>
    </row>
    <row r="935" spans="9:17" x14ac:dyDescent="0.45">
      <c r="I935" t="s">
        <v>184</v>
      </c>
      <c r="J935" t="s">
        <v>272</v>
      </c>
      <c r="K935">
        <v>0</v>
      </c>
      <c r="L935" t="s">
        <v>161</v>
      </c>
      <c r="N935" t="s">
        <v>207</v>
      </c>
      <c r="O935" t="s">
        <v>272</v>
      </c>
      <c r="P935">
        <v>1.3366311758032807E-2</v>
      </c>
      <c r="Q935" t="s">
        <v>161</v>
      </c>
    </row>
    <row r="936" spans="9:17" x14ac:dyDescent="0.45">
      <c r="I936" t="s">
        <v>184</v>
      </c>
      <c r="J936" t="s">
        <v>273</v>
      </c>
      <c r="K936">
        <v>0</v>
      </c>
      <c r="L936" t="s">
        <v>161</v>
      </c>
      <c r="N936" t="s">
        <v>207</v>
      </c>
      <c r="O936" t="s">
        <v>273</v>
      </c>
      <c r="P936">
        <v>1.4085504750738673E-3</v>
      </c>
      <c r="Q936" t="s">
        <v>161</v>
      </c>
    </row>
    <row r="937" spans="9:17" x14ac:dyDescent="0.45">
      <c r="I937" t="s">
        <v>184</v>
      </c>
      <c r="J937" t="s">
        <v>274</v>
      </c>
      <c r="K937">
        <v>4.3902998748045728E-3</v>
      </c>
      <c r="L937" t="s">
        <v>161</v>
      </c>
      <c r="N937" t="s">
        <v>207</v>
      </c>
      <c r="O937" t="s">
        <v>274</v>
      </c>
      <c r="P937">
        <v>6.1167752341941507E-3</v>
      </c>
      <c r="Q937" t="s">
        <v>161</v>
      </c>
    </row>
    <row r="938" spans="9:17" x14ac:dyDescent="0.45">
      <c r="I938" t="s">
        <v>184</v>
      </c>
      <c r="J938" t="s">
        <v>275</v>
      </c>
      <c r="K938">
        <v>0</v>
      </c>
      <c r="L938" t="s">
        <v>161</v>
      </c>
      <c r="N938" t="s">
        <v>207</v>
      </c>
      <c r="O938" t="s">
        <v>275</v>
      </c>
      <c r="P938">
        <v>1.260134600823692E-3</v>
      </c>
      <c r="Q938" t="s">
        <v>161</v>
      </c>
    </row>
    <row r="939" spans="9:17" x14ac:dyDescent="0.45">
      <c r="I939" t="s">
        <v>184</v>
      </c>
      <c r="J939" t="s">
        <v>276</v>
      </c>
      <c r="K939">
        <v>0</v>
      </c>
      <c r="L939" t="s">
        <v>161</v>
      </c>
      <c r="N939" t="s">
        <v>207</v>
      </c>
      <c r="O939" t="s">
        <v>276</v>
      </c>
      <c r="P939">
        <v>1.5617237611066463E-3</v>
      </c>
      <c r="Q939" t="s">
        <v>161</v>
      </c>
    </row>
    <row r="940" spans="9:17" x14ac:dyDescent="0.45">
      <c r="I940" t="s">
        <v>184</v>
      </c>
      <c r="J940" t="s">
        <v>277</v>
      </c>
      <c r="K940">
        <v>0</v>
      </c>
      <c r="L940" t="s">
        <v>161</v>
      </c>
      <c r="N940" t="s">
        <v>207</v>
      </c>
      <c r="O940" t="s">
        <v>277</v>
      </c>
      <c r="P940">
        <v>1.1518507578139979E-2</v>
      </c>
      <c r="Q940" t="s">
        <v>161</v>
      </c>
    </row>
    <row r="941" spans="9:17" x14ac:dyDescent="0.45">
      <c r="I941" t="s">
        <v>184</v>
      </c>
      <c r="J941" t="s">
        <v>278</v>
      </c>
      <c r="K941">
        <v>0</v>
      </c>
      <c r="L941" t="s">
        <v>161</v>
      </c>
      <c r="N941" t="s">
        <v>207</v>
      </c>
      <c r="O941" t="s">
        <v>278</v>
      </c>
      <c r="P941">
        <v>6.9324673874105822E-3</v>
      </c>
      <c r="Q941" t="s">
        <v>161</v>
      </c>
    </row>
    <row r="942" spans="9:17" x14ac:dyDescent="0.45">
      <c r="I942" t="s">
        <v>184</v>
      </c>
      <c r="J942" t="s">
        <v>279</v>
      </c>
      <c r="K942">
        <v>0</v>
      </c>
      <c r="L942" t="s">
        <v>161</v>
      </c>
      <c r="N942" t="s">
        <v>207</v>
      </c>
      <c r="O942" t="s">
        <v>279</v>
      </c>
      <c r="P942">
        <v>3.7935144368702402E-4</v>
      </c>
      <c r="Q942" t="s">
        <v>161</v>
      </c>
    </row>
    <row r="943" spans="9:17" x14ac:dyDescent="0.45">
      <c r="I943" t="s">
        <v>184</v>
      </c>
      <c r="J943" t="s">
        <v>280</v>
      </c>
      <c r="K943">
        <v>2.6976644384907392E-3</v>
      </c>
      <c r="L943" t="s">
        <v>161</v>
      </c>
      <c r="N943" t="s">
        <v>207</v>
      </c>
      <c r="O943" t="s">
        <v>280</v>
      </c>
      <c r="P943">
        <v>1.2970659101607007E-3</v>
      </c>
      <c r="Q943" t="s">
        <v>161</v>
      </c>
    </row>
    <row r="944" spans="9:17" x14ac:dyDescent="0.45">
      <c r="I944" t="s">
        <v>184</v>
      </c>
      <c r="J944" t="s">
        <v>281</v>
      </c>
      <c r="K944">
        <v>0</v>
      </c>
      <c r="L944" t="s">
        <v>161</v>
      </c>
      <c r="N944" t="s">
        <v>207</v>
      </c>
      <c r="O944" t="s">
        <v>281</v>
      </c>
      <c r="P944">
        <v>1.7706292111294831E-4</v>
      </c>
      <c r="Q944" t="s">
        <v>161</v>
      </c>
    </row>
    <row r="945" spans="9:17" x14ac:dyDescent="0.45">
      <c r="I945" t="s">
        <v>184</v>
      </c>
      <c r="J945" t="s">
        <v>282</v>
      </c>
      <c r="K945">
        <v>0</v>
      </c>
      <c r="L945" t="s">
        <v>161</v>
      </c>
      <c r="N945" t="s">
        <v>207</v>
      </c>
      <c r="O945" t="s">
        <v>282</v>
      </c>
      <c r="P945">
        <v>2.9010193245592841E-4</v>
      </c>
      <c r="Q945" t="s">
        <v>161</v>
      </c>
    </row>
    <row r="946" spans="9:17" x14ac:dyDescent="0.45">
      <c r="I946" t="s">
        <v>184</v>
      </c>
      <c r="J946" t="s">
        <v>283</v>
      </c>
      <c r="K946">
        <v>0</v>
      </c>
      <c r="L946" t="s">
        <v>161</v>
      </c>
      <c r="N946" t="s">
        <v>207</v>
      </c>
      <c r="O946" t="s">
        <v>283</v>
      </c>
      <c r="P946">
        <v>3.32728879039695E-3</v>
      </c>
      <c r="Q946" t="s">
        <v>161</v>
      </c>
    </row>
    <row r="947" spans="9:17" x14ac:dyDescent="0.45">
      <c r="I947" t="s">
        <v>185</v>
      </c>
      <c r="J947" t="s">
        <v>160</v>
      </c>
      <c r="K947">
        <v>1.9638952640274737E-3</v>
      </c>
      <c r="L947" t="s">
        <v>161</v>
      </c>
      <c r="N947" t="s">
        <v>208</v>
      </c>
      <c r="O947" t="s">
        <v>160</v>
      </c>
      <c r="P947">
        <v>7.753674432921033E-2</v>
      </c>
      <c r="Q947" t="s">
        <v>161</v>
      </c>
    </row>
    <row r="948" spans="9:17" x14ac:dyDescent="0.45">
      <c r="I948" t="s">
        <v>185</v>
      </c>
      <c r="J948" t="s">
        <v>162</v>
      </c>
      <c r="K948">
        <v>5.6442892878613661E-3</v>
      </c>
      <c r="L948" t="s">
        <v>161</v>
      </c>
      <c r="N948" t="s">
        <v>208</v>
      </c>
      <c r="O948" t="s">
        <v>162</v>
      </c>
      <c r="P948">
        <v>9.4073992389861871E-3</v>
      </c>
      <c r="Q948" t="s">
        <v>161</v>
      </c>
    </row>
    <row r="949" spans="9:17" x14ac:dyDescent="0.45">
      <c r="I949" t="s">
        <v>185</v>
      </c>
      <c r="J949" t="s">
        <v>163</v>
      </c>
      <c r="K949">
        <v>8.9613354483178906E-2</v>
      </c>
      <c r="L949" t="s">
        <v>161</v>
      </c>
      <c r="N949" t="s">
        <v>208</v>
      </c>
      <c r="O949" t="s">
        <v>163</v>
      </c>
      <c r="P949">
        <v>6.0530985940775807E-2</v>
      </c>
      <c r="Q949" t="s">
        <v>161</v>
      </c>
    </row>
    <row r="950" spans="9:17" x14ac:dyDescent="0.45">
      <c r="I950" t="s">
        <v>185</v>
      </c>
      <c r="J950" t="s">
        <v>242</v>
      </c>
      <c r="K950">
        <v>7.0747026328462932E-3</v>
      </c>
      <c r="L950" t="s">
        <v>161</v>
      </c>
      <c r="N950" t="s">
        <v>208</v>
      </c>
      <c r="O950" t="s">
        <v>242</v>
      </c>
      <c r="P950">
        <v>9.9722262998294103E-3</v>
      </c>
      <c r="Q950" t="s">
        <v>161</v>
      </c>
    </row>
    <row r="951" spans="9:17" x14ac:dyDescent="0.45">
      <c r="I951" t="s">
        <v>185</v>
      </c>
      <c r="J951" t="s">
        <v>243</v>
      </c>
      <c r="K951">
        <v>2.6633089560182789E-3</v>
      </c>
      <c r="L951" t="s">
        <v>161</v>
      </c>
      <c r="N951" t="s">
        <v>208</v>
      </c>
      <c r="O951" t="s">
        <v>243</v>
      </c>
      <c r="P951">
        <v>1.01750778860898E-2</v>
      </c>
      <c r="Q951" t="s">
        <v>161</v>
      </c>
    </row>
    <row r="952" spans="9:17" x14ac:dyDescent="0.45">
      <c r="I952" t="s">
        <v>185</v>
      </c>
      <c r="J952" t="s">
        <v>266</v>
      </c>
      <c r="K952">
        <v>0</v>
      </c>
      <c r="L952" t="s">
        <v>161</v>
      </c>
      <c r="N952" t="s">
        <v>208</v>
      </c>
      <c r="O952" t="s">
        <v>266</v>
      </c>
      <c r="P952">
        <v>5.9055177674875586E-2</v>
      </c>
      <c r="Q952" t="s">
        <v>161</v>
      </c>
    </row>
    <row r="953" spans="9:17" x14ac:dyDescent="0.45">
      <c r="I953" t="s">
        <v>185</v>
      </c>
      <c r="J953" t="s">
        <v>311</v>
      </c>
      <c r="K953">
        <v>0</v>
      </c>
      <c r="L953" t="s">
        <v>161</v>
      </c>
      <c r="N953" t="s">
        <v>208</v>
      </c>
      <c r="O953" t="s">
        <v>311</v>
      </c>
      <c r="P953">
        <v>2.6886758328660812E-7</v>
      </c>
      <c r="Q953" t="s">
        <v>161</v>
      </c>
    </row>
    <row r="954" spans="9:17" x14ac:dyDescent="0.45">
      <c r="I954" t="s">
        <v>185</v>
      </c>
      <c r="J954" t="s">
        <v>312</v>
      </c>
      <c r="K954">
        <v>0</v>
      </c>
      <c r="L954" t="s">
        <v>161</v>
      </c>
      <c r="N954" t="s">
        <v>208</v>
      </c>
      <c r="O954" t="s">
        <v>312</v>
      </c>
      <c r="P954">
        <v>2.1601692290246172E-9</v>
      </c>
      <c r="Q954" t="s">
        <v>161</v>
      </c>
    </row>
    <row r="955" spans="9:17" x14ac:dyDescent="0.45">
      <c r="I955" t="s">
        <v>185</v>
      </c>
      <c r="J955" t="s">
        <v>313</v>
      </c>
      <c r="K955">
        <v>0</v>
      </c>
      <c r="L955" t="s">
        <v>161</v>
      </c>
      <c r="N955" t="s">
        <v>208</v>
      </c>
      <c r="O955" t="s">
        <v>313</v>
      </c>
      <c r="P955">
        <v>0</v>
      </c>
      <c r="Q955" t="s">
        <v>161</v>
      </c>
    </row>
    <row r="956" spans="9:17" x14ac:dyDescent="0.45">
      <c r="I956" t="s">
        <v>185</v>
      </c>
      <c r="J956" t="s">
        <v>314</v>
      </c>
      <c r="K956">
        <v>0</v>
      </c>
      <c r="L956" t="s">
        <v>161</v>
      </c>
      <c r="N956" t="s">
        <v>208</v>
      </c>
      <c r="O956" t="s">
        <v>314</v>
      </c>
      <c r="P956">
        <v>0</v>
      </c>
      <c r="Q956" t="s">
        <v>161</v>
      </c>
    </row>
    <row r="957" spans="9:17" x14ac:dyDescent="0.45">
      <c r="I957" t="s">
        <v>185</v>
      </c>
      <c r="J957" t="s">
        <v>315</v>
      </c>
      <c r="K957">
        <v>0</v>
      </c>
      <c r="L957" t="s">
        <v>161</v>
      </c>
      <c r="N957" t="s">
        <v>208</v>
      </c>
      <c r="O957" t="s">
        <v>315</v>
      </c>
      <c r="P957">
        <v>0</v>
      </c>
      <c r="Q957" t="s">
        <v>161</v>
      </c>
    </row>
    <row r="958" spans="9:17" x14ac:dyDescent="0.45">
      <c r="I958" t="s">
        <v>185</v>
      </c>
      <c r="J958" t="s">
        <v>316</v>
      </c>
      <c r="K958">
        <v>0</v>
      </c>
      <c r="L958" t="s">
        <v>161</v>
      </c>
      <c r="N958" t="s">
        <v>208</v>
      </c>
      <c r="O958" t="s">
        <v>316</v>
      </c>
      <c r="P958">
        <v>0</v>
      </c>
      <c r="Q958" t="s">
        <v>161</v>
      </c>
    </row>
    <row r="959" spans="9:17" x14ac:dyDescent="0.45">
      <c r="I959" t="s">
        <v>185</v>
      </c>
      <c r="J959" t="s">
        <v>317</v>
      </c>
      <c r="K959">
        <v>0</v>
      </c>
      <c r="L959" t="s">
        <v>161</v>
      </c>
      <c r="N959" t="s">
        <v>208</v>
      </c>
      <c r="O959" t="s">
        <v>317</v>
      </c>
      <c r="P959">
        <v>4.9027306851734103E-10</v>
      </c>
      <c r="Q959" t="s">
        <v>161</v>
      </c>
    </row>
    <row r="960" spans="9:17" x14ac:dyDescent="0.45">
      <c r="I960" t="s">
        <v>185</v>
      </c>
      <c r="J960" t="s">
        <v>318</v>
      </c>
      <c r="K960">
        <v>0</v>
      </c>
      <c r="L960" t="s">
        <v>161</v>
      </c>
      <c r="N960" t="s">
        <v>208</v>
      </c>
      <c r="O960" t="s">
        <v>318</v>
      </c>
      <c r="P960">
        <v>1.7326584993805329E-9</v>
      </c>
      <c r="Q960" t="s">
        <v>161</v>
      </c>
    </row>
    <row r="961" spans="9:17" x14ac:dyDescent="0.45">
      <c r="I961" t="s">
        <v>185</v>
      </c>
      <c r="J961" t="s">
        <v>319</v>
      </c>
      <c r="K961">
        <v>6.3947459783728322E-6</v>
      </c>
      <c r="L961" t="s">
        <v>161</v>
      </c>
      <c r="N961" t="s">
        <v>208</v>
      </c>
      <c r="O961" t="s">
        <v>319</v>
      </c>
      <c r="P961">
        <v>2.5987349304798434E-9</v>
      </c>
      <c r="Q961" t="s">
        <v>161</v>
      </c>
    </row>
    <row r="962" spans="9:17" x14ac:dyDescent="0.45">
      <c r="I962" t="s">
        <v>185</v>
      </c>
      <c r="J962" t="s">
        <v>320</v>
      </c>
      <c r="K962">
        <v>2.8118997086441147E-5</v>
      </c>
      <c r="L962" t="s">
        <v>161</v>
      </c>
      <c r="N962" t="s">
        <v>208</v>
      </c>
      <c r="O962" t="s">
        <v>320</v>
      </c>
      <c r="P962">
        <v>1.9779384095199648E-9</v>
      </c>
      <c r="Q962" t="s">
        <v>161</v>
      </c>
    </row>
    <row r="963" spans="9:17" x14ac:dyDescent="0.45">
      <c r="I963" t="s">
        <v>185</v>
      </c>
      <c r="J963" t="s">
        <v>321</v>
      </c>
      <c r="K963">
        <v>6.7799872122447657E-5</v>
      </c>
      <c r="L963" t="s">
        <v>161</v>
      </c>
      <c r="N963" t="s">
        <v>208</v>
      </c>
      <c r="O963" t="s">
        <v>321</v>
      </c>
      <c r="P963">
        <v>0</v>
      </c>
      <c r="Q963" t="s">
        <v>161</v>
      </c>
    </row>
    <row r="964" spans="9:17" x14ac:dyDescent="0.45">
      <c r="I964" t="s">
        <v>185</v>
      </c>
      <c r="J964" t="s">
        <v>322</v>
      </c>
      <c r="K964">
        <v>1.0039831027281804E-4</v>
      </c>
      <c r="L964" t="s">
        <v>161</v>
      </c>
      <c r="N964" t="s">
        <v>208</v>
      </c>
      <c r="O964" t="s">
        <v>322</v>
      </c>
      <c r="P964">
        <v>2.1618710523034843E-6</v>
      </c>
      <c r="Q964" t="s">
        <v>161</v>
      </c>
    </row>
    <row r="965" spans="9:17" x14ac:dyDescent="0.45">
      <c r="I965" t="s">
        <v>185</v>
      </c>
      <c r="J965" t="s">
        <v>323</v>
      </c>
      <c r="K965">
        <v>1.0465092121795062E-4</v>
      </c>
      <c r="L965" t="s">
        <v>161</v>
      </c>
      <c r="N965" t="s">
        <v>208</v>
      </c>
      <c r="O965" t="s">
        <v>323</v>
      </c>
      <c r="P965">
        <v>5.1346935144047887E-6</v>
      </c>
      <c r="Q965" t="s">
        <v>161</v>
      </c>
    </row>
    <row r="966" spans="9:17" x14ac:dyDescent="0.45">
      <c r="I966" t="s">
        <v>185</v>
      </c>
      <c r="J966" t="s">
        <v>324</v>
      </c>
      <c r="K966">
        <v>8.7046944628812786E-5</v>
      </c>
      <c r="L966" t="s">
        <v>161</v>
      </c>
      <c r="N966" t="s">
        <v>208</v>
      </c>
      <c r="O966" t="s">
        <v>324</v>
      </c>
      <c r="P966">
        <v>3.8318941115419283E-6</v>
      </c>
      <c r="Q966" t="s">
        <v>161</v>
      </c>
    </row>
    <row r="967" spans="9:17" x14ac:dyDescent="0.45">
      <c r="I967" t="s">
        <v>185</v>
      </c>
      <c r="J967" t="s">
        <v>325</v>
      </c>
      <c r="K967">
        <v>6.6046997844990688E-5</v>
      </c>
      <c r="L967" t="s">
        <v>161</v>
      </c>
      <c r="N967" t="s">
        <v>208</v>
      </c>
      <c r="O967" t="s">
        <v>325</v>
      </c>
      <c r="P967">
        <v>5.3994265640307932E-7</v>
      </c>
      <c r="Q967" t="s">
        <v>161</v>
      </c>
    </row>
    <row r="968" spans="9:17" x14ac:dyDescent="0.45">
      <c r="I968" t="s">
        <v>185</v>
      </c>
      <c r="J968" t="s">
        <v>326</v>
      </c>
      <c r="K968">
        <v>4.6460103673692982E-5</v>
      </c>
      <c r="L968" t="s">
        <v>161</v>
      </c>
      <c r="N968" t="s">
        <v>208</v>
      </c>
      <c r="O968" t="s">
        <v>326</v>
      </c>
      <c r="P968">
        <v>5.2471777223615079E-7</v>
      </c>
      <c r="Q968" t="s">
        <v>161</v>
      </c>
    </row>
    <row r="969" spans="9:17" x14ac:dyDescent="0.45">
      <c r="I969" t="s">
        <v>185</v>
      </c>
      <c r="J969" t="s">
        <v>327</v>
      </c>
      <c r="K969">
        <v>2.707070662859172E-5</v>
      </c>
      <c r="L969" t="s">
        <v>161</v>
      </c>
      <c r="N969" t="s">
        <v>208</v>
      </c>
      <c r="O969" t="s">
        <v>327</v>
      </c>
      <c r="P969">
        <v>3.5657237249519216E-6</v>
      </c>
      <c r="Q969" t="s">
        <v>161</v>
      </c>
    </row>
    <row r="970" spans="9:17" x14ac:dyDescent="0.45">
      <c r="I970" t="s">
        <v>185</v>
      </c>
      <c r="J970" t="s">
        <v>328</v>
      </c>
      <c r="K970">
        <v>1.6746278104775328E-7</v>
      </c>
      <c r="L970" t="s">
        <v>161</v>
      </c>
      <c r="N970" t="s">
        <v>208</v>
      </c>
      <c r="O970" t="s">
        <v>328</v>
      </c>
      <c r="P970">
        <v>1.0063461699261278E-5</v>
      </c>
      <c r="Q970" t="s">
        <v>161</v>
      </c>
    </row>
    <row r="971" spans="9:17" x14ac:dyDescent="0.45">
      <c r="I971" t="s">
        <v>185</v>
      </c>
      <c r="J971" t="s">
        <v>329</v>
      </c>
      <c r="K971">
        <v>0</v>
      </c>
      <c r="L971" t="s">
        <v>161</v>
      </c>
      <c r="N971" t="s">
        <v>208</v>
      </c>
      <c r="O971" t="s">
        <v>329</v>
      </c>
      <c r="P971">
        <v>2.1082542500345074E-5</v>
      </c>
      <c r="Q971" t="s">
        <v>161</v>
      </c>
    </row>
    <row r="972" spans="9:17" x14ac:dyDescent="0.45">
      <c r="I972" t="s">
        <v>185</v>
      </c>
      <c r="J972" t="s">
        <v>330</v>
      </c>
      <c r="K972">
        <v>0</v>
      </c>
      <c r="L972" t="s">
        <v>161</v>
      </c>
      <c r="N972" t="s">
        <v>208</v>
      </c>
      <c r="O972" t="s">
        <v>330</v>
      </c>
      <c r="P972">
        <v>3.2062927996495741E-5</v>
      </c>
      <c r="Q972" t="s">
        <v>161</v>
      </c>
    </row>
    <row r="973" spans="9:17" x14ac:dyDescent="0.45">
      <c r="I973" t="s">
        <v>185</v>
      </c>
      <c r="J973" t="s">
        <v>331</v>
      </c>
      <c r="K973">
        <v>0</v>
      </c>
      <c r="L973" t="s">
        <v>161</v>
      </c>
      <c r="N973" t="s">
        <v>208</v>
      </c>
      <c r="O973" t="s">
        <v>331</v>
      </c>
      <c r="P973">
        <v>3.9263042704917083E-5</v>
      </c>
      <c r="Q973" t="s">
        <v>161</v>
      </c>
    </row>
    <row r="974" spans="9:17" x14ac:dyDescent="0.45">
      <c r="I974" t="s">
        <v>185</v>
      </c>
      <c r="J974" t="s">
        <v>332</v>
      </c>
      <c r="K974">
        <v>0</v>
      </c>
      <c r="L974" t="s">
        <v>161</v>
      </c>
      <c r="N974" t="s">
        <v>208</v>
      </c>
      <c r="O974" t="s">
        <v>332</v>
      </c>
      <c r="P974">
        <v>4.7135127112107652E-5</v>
      </c>
      <c r="Q974" t="s">
        <v>161</v>
      </c>
    </row>
    <row r="975" spans="9:17" x14ac:dyDescent="0.45">
      <c r="I975" t="s">
        <v>185</v>
      </c>
      <c r="J975" t="s">
        <v>333</v>
      </c>
      <c r="K975">
        <v>0</v>
      </c>
      <c r="L975" t="s">
        <v>161</v>
      </c>
      <c r="N975" t="s">
        <v>208</v>
      </c>
      <c r="O975" t="s">
        <v>333</v>
      </c>
      <c r="P975">
        <v>5.2563030347389964E-5</v>
      </c>
      <c r="Q975" t="s">
        <v>161</v>
      </c>
    </row>
    <row r="976" spans="9:17" x14ac:dyDescent="0.45">
      <c r="I976" t="s">
        <v>185</v>
      </c>
      <c r="J976" t="s">
        <v>334</v>
      </c>
      <c r="K976">
        <v>0</v>
      </c>
      <c r="L976" t="s">
        <v>161</v>
      </c>
      <c r="N976" t="s">
        <v>208</v>
      </c>
      <c r="O976" t="s">
        <v>334</v>
      </c>
      <c r="P976">
        <v>3.4007738129569343E-5</v>
      </c>
      <c r="Q976" t="s">
        <v>161</v>
      </c>
    </row>
    <row r="977" spans="9:17" x14ac:dyDescent="0.45">
      <c r="I977" t="s">
        <v>185</v>
      </c>
      <c r="J977" t="s">
        <v>164</v>
      </c>
      <c r="K977">
        <v>1.2380060098840412E-2</v>
      </c>
      <c r="L977" t="s">
        <v>161</v>
      </c>
      <c r="N977" t="s">
        <v>208</v>
      </c>
      <c r="O977" t="s">
        <v>164</v>
      </c>
      <c r="P977">
        <v>4.4025625843559783E-2</v>
      </c>
      <c r="Q977" t="s">
        <v>161</v>
      </c>
    </row>
    <row r="978" spans="9:17" x14ac:dyDescent="0.45">
      <c r="I978" t="s">
        <v>185</v>
      </c>
      <c r="J978" t="s">
        <v>165</v>
      </c>
      <c r="K978">
        <v>1.1399528761506482E-2</v>
      </c>
      <c r="L978" t="s">
        <v>161</v>
      </c>
      <c r="N978" t="s">
        <v>208</v>
      </c>
      <c r="O978" t="s">
        <v>165</v>
      </c>
      <c r="P978">
        <v>6.364307609266171E-3</v>
      </c>
      <c r="Q978" t="s">
        <v>161</v>
      </c>
    </row>
    <row r="979" spans="9:17" x14ac:dyDescent="0.45">
      <c r="I979" t="s">
        <v>185</v>
      </c>
      <c r="J979" t="s">
        <v>166</v>
      </c>
      <c r="K979">
        <v>9.4755579264650058E-2</v>
      </c>
      <c r="L979" t="s">
        <v>161</v>
      </c>
      <c r="N979" t="s">
        <v>208</v>
      </c>
      <c r="O979" t="s">
        <v>166</v>
      </c>
      <c r="P979">
        <v>3.93627028715519E-2</v>
      </c>
      <c r="Q979" t="s">
        <v>161</v>
      </c>
    </row>
    <row r="980" spans="9:17" x14ac:dyDescent="0.45">
      <c r="I980" t="s">
        <v>185</v>
      </c>
      <c r="J980" t="s">
        <v>244</v>
      </c>
      <c r="K980">
        <v>9.0995180755264853E-3</v>
      </c>
      <c r="L980" t="s">
        <v>161</v>
      </c>
      <c r="N980" t="s">
        <v>208</v>
      </c>
      <c r="O980" t="s">
        <v>244</v>
      </c>
      <c r="P980">
        <v>4.9210209200798759E-3</v>
      </c>
      <c r="Q980" t="s">
        <v>161</v>
      </c>
    </row>
    <row r="981" spans="9:17" x14ac:dyDescent="0.45">
      <c r="I981" t="s">
        <v>185</v>
      </c>
      <c r="J981" t="s">
        <v>245</v>
      </c>
      <c r="K981">
        <v>6.7649785618326026E-3</v>
      </c>
      <c r="L981" t="s">
        <v>161</v>
      </c>
      <c r="N981" t="s">
        <v>208</v>
      </c>
      <c r="O981" t="s">
        <v>245</v>
      </c>
      <c r="P981">
        <v>4.933254886559834E-3</v>
      </c>
      <c r="Q981" t="s">
        <v>161</v>
      </c>
    </row>
    <row r="982" spans="9:17" x14ac:dyDescent="0.45">
      <c r="I982" t="s">
        <v>185</v>
      </c>
      <c r="J982" t="s">
        <v>267</v>
      </c>
      <c r="K982">
        <v>3.4985560718638373E-3</v>
      </c>
      <c r="L982" t="s">
        <v>161</v>
      </c>
      <c r="N982" t="s">
        <v>208</v>
      </c>
      <c r="O982" t="s">
        <v>267</v>
      </c>
      <c r="P982">
        <v>3.3237643148188736E-2</v>
      </c>
      <c r="Q982" t="s">
        <v>161</v>
      </c>
    </row>
    <row r="983" spans="9:17" x14ac:dyDescent="0.45">
      <c r="I983" t="s">
        <v>185</v>
      </c>
      <c r="J983" t="s">
        <v>167</v>
      </c>
      <c r="K983">
        <v>5.6579544773610435E-2</v>
      </c>
      <c r="L983" t="s">
        <v>161</v>
      </c>
      <c r="N983" t="s">
        <v>208</v>
      </c>
      <c r="O983" t="s">
        <v>167</v>
      </c>
      <c r="P983">
        <v>6.5394400674427505E-2</v>
      </c>
      <c r="Q983" t="s">
        <v>161</v>
      </c>
    </row>
    <row r="984" spans="9:17" x14ac:dyDescent="0.45">
      <c r="I984" t="s">
        <v>185</v>
      </c>
      <c r="J984" t="s">
        <v>168</v>
      </c>
      <c r="K984">
        <v>3.0976571507975489E-2</v>
      </c>
      <c r="L984" t="s">
        <v>161</v>
      </c>
      <c r="N984" t="s">
        <v>208</v>
      </c>
      <c r="O984" t="s">
        <v>168</v>
      </c>
      <c r="P984">
        <v>6.483323189294103E-3</v>
      </c>
      <c r="Q984" t="s">
        <v>161</v>
      </c>
    </row>
    <row r="985" spans="9:17" x14ac:dyDescent="0.45">
      <c r="I985" t="s">
        <v>185</v>
      </c>
      <c r="J985" t="s">
        <v>169</v>
      </c>
      <c r="K985">
        <v>0.26323002960129799</v>
      </c>
      <c r="L985" t="s">
        <v>161</v>
      </c>
      <c r="N985" t="s">
        <v>208</v>
      </c>
      <c r="O985" t="s">
        <v>169</v>
      </c>
      <c r="P985">
        <v>4.9287230774702623E-2</v>
      </c>
      <c r="Q985" t="s">
        <v>161</v>
      </c>
    </row>
    <row r="986" spans="9:17" x14ac:dyDescent="0.45">
      <c r="I986" t="s">
        <v>185</v>
      </c>
      <c r="J986" t="s">
        <v>246</v>
      </c>
      <c r="K986">
        <v>2.9126564993091741E-2</v>
      </c>
      <c r="L986" t="s">
        <v>161</v>
      </c>
      <c r="N986" t="s">
        <v>208</v>
      </c>
      <c r="O986" t="s">
        <v>246</v>
      </c>
      <c r="P986">
        <v>9.0162929640089633E-3</v>
      </c>
      <c r="Q986" t="s">
        <v>161</v>
      </c>
    </row>
    <row r="987" spans="9:17" x14ac:dyDescent="0.45">
      <c r="I987" t="s">
        <v>185</v>
      </c>
      <c r="J987" t="s">
        <v>247</v>
      </c>
      <c r="K987">
        <v>2.4122126486846824E-2</v>
      </c>
      <c r="L987" t="s">
        <v>161</v>
      </c>
      <c r="N987" t="s">
        <v>208</v>
      </c>
      <c r="O987" t="s">
        <v>247</v>
      </c>
      <c r="P987">
        <v>9.2997355449147938E-3</v>
      </c>
      <c r="Q987" t="s">
        <v>161</v>
      </c>
    </row>
    <row r="988" spans="9:17" x14ac:dyDescent="0.45">
      <c r="I988" t="s">
        <v>185</v>
      </c>
      <c r="J988" t="s">
        <v>268</v>
      </c>
      <c r="K988">
        <v>2.9356786215088616E-2</v>
      </c>
      <c r="L988" t="s">
        <v>161</v>
      </c>
      <c r="N988" t="s">
        <v>208</v>
      </c>
      <c r="O988" t="s">
        <v>268</v>
      </c>
      <c r="P988">
        <v>5.9892622618235782E-2</v>
      </c>
      <c r="Q988" t="s">
        <v>161</v>
      </c>
    </row>
    <row r="989" spans="9:17" x14ac:dyDescent="0.45">
      <c r="I989" t="s">
        <v>185</v>
      </c>
      <c r="J989" t="s">
        <v>170</v>
      </c>
      <c r="K989">
        <v>1.9631872601681689E-2</v>
      </c>
      <c r="L989" t="s">
        <v>161</v>
      </c>
      <c r="N989" t="s">
        <v>208</v>
      </c>
      <c r="O989" t="s">
        <v>170</v>
      </c>
      <c r="P989">
        <v>3.3453869397953626E-2</v>
      </c>
      <c r="Q989" t="s">
        <v>161</v>
      </c>
    </row>
    <row r="990" spans="9:17" x14ac:dyDescent="0.45">
      <c r="I990" t="s">
        <v>185</v>
      </c>
      <c r="J990" t="s">
        <v>171</v>
      </c>
      <c r="K990">
        <v>1.4123119123968185E-2</v>
      </c>
      <c r="L990" t="s">
        <v>161</v>
      </c>
      <c r="N990" t="s">
        <v>208</v>
      </c>
      <c r="O990" t="s">
        <v>171</v>
      </c>
      <c r="P990">
        <v>3.2873960607078838E-3</v>
      </c>
      <c r="Q990" t="s">
        <v>161</v>
      </c>
    </row>
    <row r="991" spans="9:17" x14ac:dyDescent="0.45">
      <c r="I991" t="s">
        <v>185</v>
      </c>
      <c r="J991" t="s">
        <v>172</v>
      </c>
      <c r="K991">
        <v>0.11828652456633039</v>
      </c>
      <c r="L991" t="s">
        <v>161</v>
      </c>
      <c r="N991" t="s">
        <v>208</v>
      </c>
      <c r="O991" t="s">
        <v>172</v>
      </c>
      <c r="P991">
        <v>2.4427392641754843E-2</v>
      </c>
      <c r="Q991" t="s">
        <v>161</v>
      </c>
    </row>
    <row r="992" spans="9:17" x14ac:dyDescent="0.45">
      <c r="I992" t="s">
        <v>185</v>
      </c>
      <c r="J992" t="s">
        <v>248</v>
      </c>
      <c r="K992">
        <v>1.3796105083155877E-2</v>
      </c>
      <c r="L992" t="s">
        <v>161</v>
      </c>
      <c r="N992" t="s">
        <v>208</v>
      </c>
      <c r="O992" t="s">
        <v>248</v>
      </c>
      <c r="P992">
        <v>3.897570571976336E-3</v>
      </c>
      <c r="Q992" t="s">
        <v>161</v>
      </c>
    </row>
    <row r="993" spans="9:17" x14ac:dyDescent="0.45">
      <c r="I993" t="s">
        <v>185</v>
      </c>
      <c r="J993" t="s">
        <v>249</v>
      </c>
      <c r="K993">
        <v>1.0084225974547613E-2</v>
      </c>
      <c r="L993" t="s">
        <v>161</v>
      </c>
      <c r="N993" t="s">
        <v>208</v>
      </c>
      <c r="O993" t="s">
        <v>249</v>
      </c>
      <c r="P993">
        <v>3.8216567979639212E-3</v>
      </c>
      <c r="Q993" t="s">
        <v>161</v>
      </c>
    </row>
    <row r="994" spans="9:17" x14ac:dyDescent="0.45">
      <c r="I994" t="s">
        <v>185</v>
      </c>
      <c r="J994" t="s">
        <v>269</v>
      </c>
      <c r="K994">
        <v>8.2677503113254697E-3</v>
      </c>
      <c r="L994" t="s">
        <v>161</v>
      </c>
      <c r="N994" t="s">
        <v>208</v>
      </c>
      <c r="O994" t="s">
        <v>269</v>
      </c>
      <c r="P994">
        <v>2.3487722846295057E-2</v>
      </c>
      <c r="Q994" t="s">
        <v>161</v>
      </c>
    </row>
    <row r="995" spans="9:17" x14ac:dyDescent="0.45">
      <c r="I995" t="s">
        <v>185</v>
      </c>
      <c r="J995" t="s">
        <v>250</v>
      </c>
      <c r="K995">
        <v>4.5596296378322063E-3</v>
      </c>
      <c r="L995" t="s">
        <v>161</v>
      </c>
      <c r="N995" t="s">
        <v>208</v>
      </c>
      <c r="O995" t="s">
        <v>250</v>
      </c>
      <c r="P995">
        <v>4.2626819537166079E-2</v>
      </c>
      <c r="Q995" t="s">
        <v>161</v>
      </c>
    </row>
    <row r="996" spans="9:17" x14ac:dyDescent="0.45">
      <c r="I996" t="s">
        <v>185</v>
      </c>
      <c r="J996" t="s">
        <v>251</v>
      </c>
      <c r="K996">
        <v>7.8255520876699541E-3</v>
      </c>
      <c r="L996" t="s">
        <v>161</v>
      </c>
      <c r="N996" t="s">
        <v>208</v>
      </c>
      <c r="O996" t="s">
        <v>251</v>
      </c>
      <c r="P996">
        <v>5.5406449485912012E-3</v>
      </c>
      <c r="Q996" t="s">
        <v>161</v>
      </c>
    </row>
    <row r="997" spans="9:17" x14ac:dyDescent="0.45">
      <c r="I997" t="s">
        <v>185</v>
      </c>
      <c r="J997" t="s">
        <v>252</v>
      </c>
      <c r="K997">
        <v>7.5170230361347082E-2</v>
      </c>
      <c r="L997" t="s">
        <v>161</v>
      </c>
      <c r="N997" t="s">
        <v>208</v>
      </c>
      <c r="O997" t="s">
        <v>252</v>
      </c>
      <c r="P997">
        <v>3.6375632370520113E-2</v>
      </c>
      <c r="Q997" t="s">
        <v>161</v>
      </c>
    </row>
    <row r="998" spans="9:17" x14ac:dyDescent="0.45">
      <c r="I998" t="s">
        <v>185</v>
      </c>
      <c r="J998" t="s">
        <v>253</v>
      </c>
      <c r="K998">
        <v>6.0331982894917154E-3</v>
      </c>
      <c r="L998" t="s">
        <v>161</v>
      </c>
      <c r="N998" t="s">
        <v>208</v>
      </c>
      <c r="O998" t="s">
        <v>253</v>
      </c>
      <c r="P998">
        <v>5.1107721000041174E-3</v>
      </c>
      <c r="Q998" t="s">
        <v>161</v>
      </c>
    </row>
    <row r="999" spans="9:17" x14ac:dyDescent="0.45">
      <c r="I999" t="s">
        <v>185</v>
      </c>
      <c r="J999" t="s">
        <v>254</v>
      </c>
      <c r="K999">
        <v>2.2768578974194263E-3</v>
      </c>
      <c r="L999" t="s">
        <v>161</v>
      </c>
      <c r="N999" t="s">
        <v>208</v>
      </c>
      <c r="O999" t="s">
        <v>254</v>
      </c>
      <c r="P999">
        <v>5.226284416117233E-3</v>
      </c>
      <c r="Q999" t="s">
        <v>161</v>
      </c>
    </row>
    <row r="1000" spans="9:17" x14ac:dyDescent="0.45">
      <c r="I1000" t="s">
        <v>185</v>
      </c>
      <c r="J1000" t="s">
        <v>270</v>
      </c>
      <c r="K1000">
        <v>0</v>
      </c>
      <c r="L1000" t="s">
        <v>161</v>
      </c>
      <c r="N1000" t="s">
        <v>208</v>
      </c>
      <c r="O1000" t="s">
        <v>270</v>
      </c>
      <c r="P1000">
        <v>3.6083697146083761E-2</v>
      </c>
      <c r="Q1000" t="s">
        <v>161</v>
      </c>
    </row>
    <row r="1001" spans="9:17" x14ac:dyDescent="0.45">
      <c r="I1001" t="s">
        <v>185</v>
      </c>
      <c r="J1001" t="s">
        <v>255</v>
      </c>
      <c r="K1001">
        <v>0</v>
      </c>
      <c r="L1001" t="s">
        <v>161</v>
      </c>
      <c r="N1001" t="s">
        <v>208</v>
      </c>
      <c r="O1001" t="s">
        <v>255</v>
      </c>
      <c r="P1001">
        <v>6.3179560951697453E-2</v>
      </c>
      <c r="Q1001" t="s">
        <v>161</v>
      </c>
    </row>
    <row r="1002" spans="9:17" x14ac:dyDescent="0.45">
      <c r="I1002" t="s">
        <v>185</v>
      </c>
      <c r="J1002" t="s">
        <v>256</v>
      </c>
      <c r="K1002">
        <v>1.9513961261331642E-3</v>
      </c>
      <c r="L1002" t="s">
        <v>161</v>
      </c>
      <c r="N1002" t="s">
        <v>208</v>
      </c>
      <c r="O1002" t="s">
        <v>256</v>
      </c>
      <c r="P1002">
        <v>8.0829714865275539E-3</v>
      </c>
      <c r="Q1002" t="s">
        <v>161</v>
      </c>
    </row>
    <row r="1003" spans="9:17" x14ac:dyDescent="0.45">
      <c r="I1003" t="s">
        <v>185</v>
      </c>
      <c r="J1003" t="s">
        <v>257</v>
      </c>
      <c r="K1003">
        <v>3.2350252356547586E-2</v>
      </c>
      <c r="L1003" t="s">
        <v>161</v>
      </c>
      <c r="N1003" t="s">
        <v>208</v>
      </c>
      <c r="O1003" t="s">
        <v>257</v>
      </c>
      <c r="P1003">
        <v>4.9547696211770458E-2</v>
      </c>
      <c r="Q1003" t="s">
        <v>161</v>
      </c>
    </row>
    <row r="1004" spans="9:17" x14ac:dyDescent="0.45">
      <c r="I1004" t="s">
        <v>185</v>
      </c>
      <c r="J1004" t="s">
        <v>258</v>
      </c>
      <c r="K1004">
        <v>1.9024790052778832E-4</v>
      </c>
      <c r="L1004" t="s">
        <v>161</v>
      </c>
      <c r="N1004" t="s">
        <v>208</v>
      </c>
      <c r="O1004" t="s">
        <v>258</v>
      </c>
      <c r="P1004">
        <v>6.4769878489594618E-3</v>
      </c>
      <c r="Q1004" t="s">
        <v>161</v>
      </c>
    </row>
    <row r="1005" spans="9:17" x14ac:dyDescent="0.45">
      <c r="I1005" t="s">
        <v>185</v>
      </c>
      <c r="J1005" t="s">
        <v>259</v>
      </c>
      <c r="K1005">
        <v>0</v>
      </c>
      <c r="L1005" t="s">
        <v>161</v>
      </c>
      <c r="N1005" t="s">
        <v>208</v>
      </c>
      <c r="O1005" t="s">
        <v>259</v>
      </c>
      <c r="P1005">
        <v>6.5440970209553221E-3</v>
      </c>
      <c r="Q1005" t="s">
        <v>161</v>
      </c>
    </row>
    <row r="1006" spans="9:17" x14ac:dyDescent="0.45">
      <c r="I1006" t="s">
        <v>185</v>
      </c>
      <c r="J1006" t="s">
        <v>271</v>
      </c>
      <c r="K1006">
        <v>0</v>
      </c>
      <c r="L1006" t="s">
        <v>161</v>
      </c>
      <c r="N1006" t="s">
        <v>208</v>
      </c>
      <c r="O1006" t="s">
        <v>271</v>
      </c>
      <c r="P1006">
        <v>4.3830690190225015E-2</v>
      </c>
      <c r="Q1006" t="s">
        <v>161</v>
      </c>
    </row>
    <row r="1007" spans="9:17" x14ac:dyDescent="0.45">
      <c r="I1007" t="s">
        <v>185</v>
      </c>
      <c r="J1007" t="s">
        <v>272</v>
      </c>
      <c r="K1007">
        <v>0</v>
      </c>
      <c r="L1007" t="s">
        <v>161</v>
      </c>
      <c r="N1007" t="s">
        <v>208</v>
      </c>
      <c r="O1007" t="s">
        <v>272</v>
      </c>
      <c r="P1007">
        <v>1.2026834450162463E-2</v>
      </c>
      <c r="Q1007" t="s">
        <v>161</v>
      </c>
    </row>
    <row r="1008" spans="9:17" x14ac:dyDescent="0.45">
      <c r="I1008" t="s">
        <v>185</v>
      </c>
      <c r="J1008" t="s">
        <v>273</v>
      </c>
      <c r="K1008">
        <v>0</v>
      </c>
      <c r="L1008" t="s">
        <v>161</v>
      </c>
      <c r="N1008" t="s">
        <v>208</v>
      </c>
      <c r="O1008" t="s">
        <v>273</v>
      </c>
      <c r="P1008">
        <v>1.6864899941606713E-3</v>
      </c>
      <c r="Q1008" t="s">
        <v>161</v>
      </c>
    </row>
    <row r="1009" spans="9:17" x14ac:dyDescent="0.45">
      <c r="I1009" t="s">
        <v>185</v>
      </c>
      <c r="J1009" t="s">
        <v>274</v>
      </c>
      <c r="K1009">
        <v>3.7285114052497243E-3</v>
      </c>
      <c r="L1009" t="s">
        <v>161</v>
      </c>
      <c r="N1009" t="s">
        <v>208</v>
      </c>
      <c r="O1009" t="s">
        <v>274</v>
      </c>
      <c r="P1009">
        <v>6.7311787854377244E-3</v>
      </c>
      <c r="Q1009" t="s">
        <v>161</v>
      </c>
    </row>
    <row r="1010" spans="9:17" x14ac:dyDescent="0.45">
      <c r="I1010" t="s">
        <v>185</v>
      </c>
      <c r="J1010" t="s">
        <v>275</v>
      </c>
      <c r="K1010">
        <v>0</v>
      </c>
      <c r="L1010" t="s">
        <v>161</v>
      </c>
      <c r="N1010" t="s">
        <v>208</v>
      </c>
      <c r="O1010" t="s">
        <v>275</v>
      </c>
      <c r="P1010">
        <v>1.11559669947997E-3</v>
      </c>
      <c r="Q1010" t="s">
        <v>161</v>
      </c>
    </row>
    <row r="1011" spans="9:17" x14ac:dyDescent="0.45">
      <c r="I1011" t="s">
        <v>185</v>
      </c>
      <c r="J1011" t="s">
        <v>276</v>
      </c>
      <c r="K1011">
        <v>0</v>
      </c>
      <c r="L1011" t="s">
        <v>161</v>
      </c>
      <c r="N1011" t="s">
        <v>208</v>
      </c>
      <c r="O1011" t="s">
        <v>276</v>
      </c>
      <c r="P1011">
        <v>1.3258380198065526E-3</v>
      </c>
      <c r="Q1011" t="s">
        <v>161</v>
      </c>
    </row>
    <row r="1012" spans="9:17" x14ac:dyDescent="0.45">
      <c r="I1012" t="s">
        <v>185</v>
      </c>
      <c r="J1012" t="s">
        <v>277</v>
      </c>
      <c r="K1012">
        <v>0</v>
      </c>
      <c r="L1012" t="s">
        <v>161</v>
      </c>
      <c r="N1012" t="s">
        <v>208</v>
      </c>
      <c r="O1012" t="s">
        <v>277</v>
      </c>
      <c r="P1012">
        <v>8.398999520196156E-3</v>
      </c>
      <c r="Q1012" t="s">
        <v>161</v>
      </c>
    </row>
    <row r="1013" spans="9:17" x14ac:dyDescent="0.45">
      <c r="I1013" t="s">
        <v>185</v>
      </c>
      <c r="J1013" t="s">
        <v>278</v>
      </c>
      <c r="K1013">
        <v>0</v>
      </c>
      <c r="L1013" t="s">
        <v>161</v>
      </c>
      <c r="N1013" t="s">
        <v>208</v>
      </c>
      <c r="O1013" t="s">
        <v>278</v>
      </c>
      <c r="P1013">
        <v>4.2511897757166418E-3</v>
      </c>
      <c r="Q1013" t="s">
        <v>161</v>
      </c>
    </row>
    <row r="1014" spans="9:17" x14ac:dyDescent="0.45">
      <c r="I1014" t="s">
        <v>185</v>
      </c>
      <c r="J1014" t="s">
        <v>279</v>
      </c>
      <c r="K1014">
        <v>0</v>
      </c>
      <c r="L1014" t="s">
        <v>161</v>
      </c>
      <c r="N1014" t="s">
        <v>208</v>
      </c>
      <c r="O1014" t="s">
        <v>279</v>
      </c>
      <c r="P1014">
        <v>5.4887136294244317E-4</v>
      </c>
      <c r="Q1014" t="s">
        <v>161</v>
      </c>
    </row>
    <row r="1015" spans="9:17" x14ac:dyDescent="0.45">
      <c r="I1015" t="s">
        <v>185</v>
      </c>
      <c r="J1015" t="s">
        <v>280</v>
      </c>
      <c r="K1015">
        <v>2.9409761784765136E-3</v>
      </c>
      <c r="L1015" t="s">
        <v>161</v>
      </c>
      <c r="N1015" t="s">
        <v>208</v>
      </c>
      <c r="O1015" t="s">
        <v>280</v>
      </c>
      <c r="P1015">
        <v>1.6406141354611086E-3</v>
      </c>
      <c r="Q1015" t="s">
        <v>161</v>
      </c>
    </row>
    <row r="1016" spans="9:17" x14ac:dyDescent="0.45">
      <c r="I1016" t="s">
        <v>185</v>
      </c>
      <c r="J1016" t="s">
        <v>281</v>
      </c>
      <c r="K1016">
        <v>0</v>
      </c>
      <c r="L1016" t="s">
        <v>161</v>
      </c>
      <c r="N1016" t="s">
        <v>208</v>
      </c>
      <c r="O1016" t="s">
        <v>281</v>
      </c>
      <c r="P1016">
        <v>1.5157608828336811E-4</v>
      </c>
      <c r="Q1016" t="s">
        <v>161</v>
      </c>
    </row>
    <row r="1017" spans="9:17" x14ac:dyDescent="0.45">
      <c r="I1017" t="s">
        <v>185</v>
      </c>
      <c r="J1017" t="s">
        <v>282</v>
      </c>
      <c r="K1017">
        <v>0</v>
      </c>
      <c r="L1017" t="s">
        <v>161</v>
      </c>
      <c r="N1017" t="s">
        <v>208</v>
      </c>
      <c r="O1017" t="s">
        <v>282</v>
      </c>
      <c r="P1017">
        <v>1.8546791460742512E-4</v>
      </c>
      <c r="Q1017" t="s">
        <v>161</v>
      </c>
    </row>
    <row r="1018" spans="9:17" x14ac:dyDescent="0.45">
      <c r="I1018" t="s">
        <v>185</v>
      </c>
      <c r="J1018" t="s">
        <v>283</v>
      </c>
      <c r="K1018">
        <v>0</v>
      </c>
      <c r="L1018" t="s">
        <v>161</v>
      </c>
      <c r="N1018" t="s">
        <v>208</v>
      </c>
      <c r="O1018" t="s">
        <v>283</v>
      </c>
      <c r="P1018">
        <v>1.7878937532380694E-3</v>
      </c>
      <c r="Q1018" t="s">
        <v>161</v>
      </c>
    </row>
    <row r="1019" spans="9:17" x14ac:dyDescent="0.45">
      <c r="I1019" t="s">
        <v>186</v>
      </c>
      <c r="J1019" t="s">
        <v>160</v>
      </c>
      <c r="K1019">
        <v>2.2223276216923279E-3</v>
      </c>
      <c r="L1019" t="s">
        <v>161</v>
      </c>
      <c r="N1019" t="s">
        <v>209</v>
      </c>
      <c r="O1019" t="s">
        <v>160</v>
      </c>
      <c r="P1019">
        <v>7.1981921747442182E-2</v>
      </c>
      <c r="Q1019" t="s">
        <v>161</v>
      </c>
    </row>
    <row r="1020" spans="9:17" x14ac:dyDescent="0.45">
      <c r="I1020" t="s">
        <v>186</v>
      </c>
      <c r="J1020" t="s">
        <v>162</v>
      </c>
      <c r="K1020">
        <v>6.5013496175976111E-3</v>
      </c>
      <c r="L1020" t="s">
        <v>161</v>
      </c>
      <c r="N1020" t="s">
        <v>209</v>
      </c>
      <c r="O1020" t="s">
        <v>162</v>
      </c>
      <c r="P1020">
        <v>8.7887949288506188E-3</v>
      </c>
      <c r="Q1020" t="s">
        <v>161</v>
      </c>
    </row>
    <row r="1021" spans="9:17" x14ac:dyDescent="0.45">
      <c r="I1021" t="s">
        <v>186</v>
      </c>
      <c r="J1021" t="s">
        <v>163</v>
      </c>
      <c r="K1021">
        <v>8.7680502823400772E-2</v>
      </c>
      <c r="L1021" t="s">
        <v>161</v>
      </c>
      <c r="N1021" t="s">
        <v>209</v>
      </c>
      <c r="O1021" t="s">
        <v>163</v>
      </c>
      <c r="P1021">
        <v>5.2469600259654407E-2</v>
      </c>
      <c r="Q1021" t="s">
        <v>161</v>
      </c>
    </row>
    <row r="1022" spans="9:17" x14ac:dyDescent="0.45">
      <c r="I1022" t="s">
        <v>186</v>
      </c>
      <c r="J1022" t="s">
        <v>242</v>
      </c>
      <c r="K1022">
        <v>6.5009601232805863E-3</v>
      </c>
      <c r="L1022" t="s">
        <v>161</v>
      </c>
      <c r="N1022" t="s">
        <v>209</v>
      </c>
      <c r="O1022" t="s">
        <v>242</v>
      </c>
      <c r="P1022">
        <v>8.1889975913793378E-3</v>
      </c>
      <c r="Q1022" t="s">
        <v>161</v>
      </c>
    </row>
    <row r="1023" spans="9:17" x14ac:dyDescent="0.45">
      <c r="I1023" t="s">
        <v>186</v>
      </c>
      <c r="J1023" t="s">
        <v>243</v>
      </c>
      <c r="K1023">
        <v>2.5715590910572765E-3</v>
      </c>
      <c r="L1023" t="s">
        <v>161</v>
      </c>
      <c r="N1023" t="s">
        <v>209</v>
      </c>
      <c r="O1023" t="s">
        <v>243</v>
      </c>
      <c r="P1023">
        <v>8.660481115933167E-3</v>
      </c>
      <c r="Q1023" t="s">
        <v>161</v>
      </c>
    </row>
    <row r="1024" spans="9:17" x14ac:dyDescent="0.45">
      <c r="I1024" t="s">
        <v>186</v>
      </c>
      <c r="J1024" t="s">
        <v>266</v>
      </c>
      <c r="K1024">
        <v>0</v>
      </c>
      <c r="L1024" t="s">
        <v>161</v>
      </c>
      <c r="N1024" t="s">
        <v>209</v>
      </c>
      <c r="O1024" t="s">
        <v>266</v>
      </c>
      <c r="P1024">
        <v>5.4361394019583349E-2</v>
      </c>
      <c r="Q1024" t="s">
        <v>161</v>
      </c>
    </row>
    <row r="1025" spans="9:17" x14ac:dyDescent="0.45">
      <c r="I1025" t="s">
        <v>186</v>
      </c>
      <c r="J1025" t="s">
        <v>311</v>
      </c>
      <c r="K1025">
        <v>0</v>
      </c>
      <c r="L1025" t="s">
        <v>161</v>
      </c>
      <c r="N1025" t="s">
        <v>209</v>
      </c>
      <c r="O1025" t="s">
        <v>311</v>
      </c>
      <c r="P1025">
        <v>9.1482543270555308E-6</v>
      </c>
      <c r="Q1025" t="s">
        <v>161</v>
      </c>
    </row>
    <row r="1026" spans="9:17" x14ac:dyDescent="0.45">
      <c r="I1026" t="s">
        <v>186</v>
      </c>
      <c r="J1026" t="s">
        <v>312</v>
      </c>
      <c r="K1026">
        <v>0</v>
      </c>
      <c r="L1026" t="s">
        <v>161</v>
      </c>
      <c r="N1026" t="s">
        <v>209</v>
      </c>
      <c r="O1026" t="s">
        <v>312</v>
      </c>
      <c r="P1026">
        <v>9.5679403098574827E-6</v>
      </c>
      <c r="Q1026" t="s">
        <v>161</v>
      </c>
    </row>
    <row r="1027" spans="9:17" x14ac:dyDescent="0.45">
      <c r="I1027" t="s">
        <v>186</v>
      </c>
      <c r="J1027" t="s">
        <v>313</v>
      </c>
      <c r="K1027">
        <v>0</v>
      </c>
      <c r="L1027" t="s">
        <v>161</v>
      </c>
      <c r="N1027" t="s">
        <v>209</v>
      </c>
      <c r="O1027" t="s">
        <v>313</v>
      </c>
      <c r="P1027">
        <v>1.3967576930280154E-5</v>
      </c>
      <c r="Q1027" t="s">
        <v>161</v>
      </c>
    </row>
    <row r="1028" spans="9:17" x14ac:dyDescent="0.45">
      <c r="I1028" t="s">
        <v>186</v>
      </c>
      <c r="J1028" t="s">
        <v>314</v>
      </c>
      <c r="K1028">
        <v>0</v>
      </c>
      <c r="L1028" t="s">
        <v>161</v>
      </c>
      <c r="N1028" t="s">
        <v>209</v>
      </c>
      <c r="O1028" t="s">
        <v>314</v>
      </c>
      <c r="P1028">
        <v>1.9575346227121972E-5</v>
      </c>
      <c r="Q1028" t="s">
        <v>161</v>
      </c>
    </row>
    <row r="1029" spans="9:17" x14ac:dyDescent="0.45">
      <c r="I1029" t="s">
        <v>186</v>
      </c>
      <c r="J1029" t="s">
        <v>315</v>
      </c>
      <c r="K1029">
        <v>0</v>
      </c>
      <c r="L1029" t="s">
        <v>161</v>
      </c>
      <c r="N1029" t="s">
        <v>209</v>
      </c>
      <c r="O1029" t="s">
        <v>315</v>
      </c>
      <c r="P1029">
        <v>2.8579712731184695E-5</v>
      </c>
      <c r="Q1029" t="s">
        <v>161</v>
      </c>
    </row>
    <row r="1030" spans="9:17" x14ac:dyDescent="0.45">
      <c r="I1030" t="s">
        <v>186</v>
      </c>
      <c r="J1030" t="s">
        <v>316</v>
      </c>
      <c r="K1030">
        <v>0</v>
      </c>
      <c r="L1030" t="s">
        <v>161</v>
      </c>
      <c r="N1030" t="s">
        <v>209</v>
      </c>
      <c r="O1030" t="s">
        <v>316</v>
      </c>
      <c r="P1030">
        <v>3.0920272678737556E-5</v>
      </c>
      <c r="Q1030" t="s">
        <v>161</v>
      </c>
    </row>
    <row r="1031" spans="9:17" x14ac:dyDescent="0.45">
      <c r="I1031" t="s">
        <v>186</v>
      </c>
      <c r="J1031" t="s">
        <v>317</v>
      </c>
      <c r="K1031">
        <v>0</v>
      </c>
      <c r="L1031" t="s">
        <v>161</v>
      </c>
      <c r="N1031" t="s">
        <v>209</v>
      </c>
      <c r="O1031" t="s">
        <v>317</v>
      </c>
      <c r="P1031">
        <v>3.1760161809307958E-5</v>
      </c>
      <c r="Q1031" t="s">
        <v>161</v>
      </c>
    </row>
    <row r="1032" spans="9:17" x14ac:dyDescent="0.45">
      <c r="I1032" t="s">
        <v>186</v>
      </c>
      <c r="J1032" t="s">
        <v>318</v>
      </c>
      <c r="K1032">
        <v>0</v>
      </c>
      <c r="L1032" t="s">
        <v>161</v>
      </c>
      <c r="N1032" t="s">
        <v>209</v>
      </c>
      <c r="O1032" t="s">
        <v>318</v>
      </c>
      <c r="P1032">
        <v>2.9177006921787018E-5</v>
      </c>
      <c r="Q1032" t="s">
        <v>161</v>
      </c>
    </row>
    <row r="1033" spans="9:17" x14ac:dyDescent="0.45">
      <c r="I1033" t="s">
        <v>186</v>
      </c>
      <c r="J1033" t="s">
        <v>319</v>
      </c>
      <c r="K1033">
        <v>1.1373059582217176E-5</v>
      </c>
      <c r="L1033" t="s">
        <v>161</v>
      </c>
      <c r="N1033" t="s">
        <v>209</v>
      </c>
      <c r="O1033" t="s">
        <v>319</v>
      </c>
      <c r="P1033">
        <v>1.8486740569613052E-5</v>
      </c>
      <c r="Q1033" t="s">
        <v>161</v>
      </c>
    </row>
    <row r="1034" spans="9:17" x14ac:dyDescent="0.45">
      <c r="I1034" t="s">
        <v>186</v>
      </c>
      <c r="J1034" t="s">
        <v>320</v>
      </c>
      <c r="K1034">
        <v>4.1385668943382374E-5</v>
      </c>
      <c r="L1034" t="s">
        <v>161</v>
      </c>
      <c r="N1034" t="s">
        <v>209</v>
      </c>
      <c r="O1034" t="s">
        <v>320</v>
      </c>
      <c r="P1034">
        <v>1.694258598346562E-5</v>
      </c>
      <c r="Q1034" t="s">
        <v>161</v>
      </c>
    </row>
    <row r="1035" spans="9:17" x14ac:dyDescent="0.45">
      <c r="I1035" t="s">
        <v>186</v>
      </c>
      <c r="J1035" t="s">
        <v>321</v>
      </c>
      <c r="K1035">
        <v>8.7096950123362129E-5</v>
      </c>
      <c r="L1035" t="s">
        <v>161</v>
      </c>
      <c r="N1035" t="s">
        <v>209</v>
      </c>
      <c r="O1035" t="s">
        <v>321</v>
      </c>
      <c r="P1035">
        <v>1.1705374493339246E-5</v>
      </c>
      <c r="Q1035" t="s">
        <v>161</v>
      </c>
    </row>
    <row r="1036" spans="9:17" x14ac:dyDescent="0.45">
      <c r="I1036" t="s">
        <v>186</v>
      </c>
      <c r="J1036" t="s">
        <v>322</v>
      </c>
      <c r="K1036">
        <v>1.2369493677356647E-4</v>
      </c>
      <c r="L1036" t="s">
        <v>161</v>
      </c>
      <c r="N1036" t="s">
        <v>209</v>
      </c>
      <c r="O1036" t="s">
        <v>322</v>
      </c>
      <c r="P1036">
        <v>2.2894973305289512E-5</v>
      </c>
      <c r="Q1036" t="s">
        <v>161</v>
      </c>
    </row>
    <row r="1037" spans="9:17" x14ac:dyDescent="0.45">
      <c r="I1037" t="s">
        <v>186</v>
      </c>
      <c r="J1037" t="s">
        <v>323</v>
      </c>
      <c r="K1037">
        <v>1.1197221194557795E-4</v>
      </c>
      <c r="L1037" t="s">
        <v>161</v>
      </c>
      <c r="N1037" t="s">
        <v>209</v>
      </c>
      <c r="O1037" t="s">
        <v>323</v>
      </c>
      <c r="P1037">
        <v>3.9981047912800377E-5</v>
      </c>
      <c r="Q1037" t="s">
        <v>161</v>
      </c>
    </row>
    <row r="1038" spans="9:17" x14ac:dyDescent="0.45">
      <c r="I1038" t="s">
        <v>186</v>
      </c>
      <c r="J1038" t="s">
        <v>324</v>
      </c>
      <c r="K1038">
        <v>1.1401634070940528E-4</v>
      </c>
      <c r="L1038" t="s">
        <v>161</v>
      </c>
      <c r="N1038" t="s">
        <v>209</v>
      </c>
      <c r="O1038" t="s">
        <v>324</v>
      </c>
      <c r="P1038">
        <v>4.7331340354781181E-5</v>
      </c>
      <c r="Q1038" t="s">
        <v>161</v>
      </c>
    </row>
    <row r="1039" spans="9:17" x14ac:dyDescent="0.45">
      <c r="I1039" t="s">
        <v>186</v>
      </c>
      <c r="J1039" t="s">
        <v>325</v>
      </c>
      <c r="K1039">
        <v>9.425471313908142E-5</v>
      </c>
      <c r="L1039" t="s">
        <v>161</v>
      </c>
      <c r="N1039" t="s">
        <v>209</v>
      </c>
      <c r="O1039" t="s">
        <v>325</v>
      </c>
      <c r="P1039">
        <v>4.68316694797217E-5</v>
      </c>
      <c r="Q1039" t="s">
        <v>161</v>
      </c>
    </row>
    <row r="1040" spans="9:17" x14ac:dyDescent="0.45">
      <c r="I1040" t="s">
        <v>186</v>
      </c>
      <c r="J1040" t="s">
        <v>326</v>
      </c>
      <c r="K1040">
        <v>6.7131238268240212E-5</v>
      </c>
      <c r="L1040" t="s">
        <v>161</v>
      </c>
      <c r="N1040" t="s">
        <v>209</v>
      </c>
      <c r="O1040" t="s">
        <v>326</v>
      </c>
      <c r="P1040">
        <v>3.9213966749443775E-5</v>
      </c>
      <c r="Q1040" t="s">
        <v>161</v>
      </c>
    </row>
    <row r="1041" spans="9:17" x14ac:dyDescent="0.45">
      <c r="I1041" t="s">
        <v>186</v>
      </c>
      <c r="J1041" t="s">
        <v>327</v>
      </c>
      <c r="K1041">
        <v>4.6865675190568263E-5</v>
      </c>
      <c r="L1041" t="s">
        <v>161</v>
      </c>
      <c r="N1041" t="s">
        <v>209</v>
      </c>
      <c r="O1041" t="s">
        <v>327</v>
      </c>
      <c r="P1041">
        <v>4.0845334429893866E-5</v>
      </c>
      <c r="Q1041" t="s">
        <v>161</v>
      </c>
    </row>
    <row r="1042" spans="9:17" x14ac:dyDescent="0.45">
      <c r="I1042" t="s">
        <v>186</v>
      </c>
      <c r="J1042" t="s">
        <v>328</v>
      </c>
      <c r="K1042">
        <v>0</v>
      </c>
      <c r="L1042" t="s">
        <v>161</v>
      </c>
      <c r="N1042" t="s">
        <v>209</v>
      </c>
      <c r="O1042" t="s">
        <v>328</v>
      </c>
      <c r="P1042">
        <v>5.956458116770384E-5</v>
      </c>
      <c r="Q1042" t="s">
        <v>161</v>
      </c>
    </row>
    <row r="1043" spans="9:17" x14ac:dyDescent="0.45">
      <c r="I1043" t="s">
        <v>186</v>
      </c>
      <c r="J1043" t="s">
        <v>329</v>
      </c>
      <c r="K1043">
        <v>0</v>
      </c>
      <c r="L1043" t="s">
        <v>161</v>
      </c>
      <c r="N1043" t="s">
        <v>209</v>
      </c>
      <c r="O1043" t="s">
        <v>329</v>
      </c>
      <c r="P1043">
        <v>8.6379862469165904E-5</v>
      </c>
      <c r="Q1043" t="s">
        <v>161</v>
      </c>
    </row>
    <row r="1044" spans="9:17" x14ac:dyDescent="0.45">
      <c r="I1044" t="s">
        <v>186</v>
      </c>
      <c r="J1044" t="s">
        <v>330</v>
      </c>
      <c r="K1044">
        <v>0</v>
      </c>
      <c r="L1044" t="s">
        <v>161</v>
      </c>
      <c r="N1044" t="s">
        <v>209</v>
      </c>
      <c r="O1044" t="s">
        <v>330</v>
      </c>
      <c r="P1044">
        <v>9.9296882334141018E-5</v>
      </c>
      <c r="Q1044" t="s">
        <v>161</v>
      </c>
    </row>
    <row r="1045" spans="9:17" x14ac:dyDescent="0.45">
      <c r="I1045" t="s">
        <v>186</v>
      </c>
      <c r="J1045" t="s">
        <v>331</v>
      </c>
      <c r="K1045">
        <v>0</v>
      </c>
      <c r="L1045" t="s">
        <v>161</v>
      </c>
      <c r="N1045" t="s">
        <v>209</v>
      </c>
      <c r="O1045" t="s">
        <v>331</v>
      </c>
      <c r="P1045">
        <v>1.0412566076415126E-4</v>
      </c>
      <c r="Q1045" t="s">
        <v>161</v>
      </c>
    </row>
    <row r="1046" spans="9:17" x14ac:dyDescent="0.45">
      <c r="I1046" t="s">
        <v>186</v>
      </c>
      <c r="J1046" t="s">
        <v>332</v>
      </c>
      <c r="K1046">
        <v>0</v>
      </c>
      <c r="L1046" t="s">
        <v>161</v>
      </c>
      <c r="N1046" t="s">
        <v>209</v>
      </c>
      <c r="O1046" t="s">
        <v>332</v>
      </c>
      <c r="P1046">
        <v>9.9529330671218016E-5</v>
      </c>
      <c r="Q1046" t="s">
        <v>161</v>
      </c>
    </row>
    <row r="1047" spans="9:17" x14ac:dyDescent="0.45">
      <c r="I1047" t="s">
        <v>186</v>
      </c>
      <c r="J1047" t="s">
        <v>333</v>
      </c>
      <c r="K1047">
        <v>0</v>
      </c>
      <c r="L1047" t="s">
        <v>161</v>
      </c>
      <c r="N1047" t="s">
        <v>209</v>
      </c>
      <c r="O1047" t="s">
        <v>333</v>
      </c>
      <c r="P1047">
        <v>9.5017700784904893E-5</v>
      </c>
      <c r="Q1047" t="s">
        <v>161</v>
      </c>
    </row>
    <row r="1048" spans="9:17" x14ac:dyDescent="0.45">
      <c r="I1048" t="s">
        <v>186</v>
      </c>
      <c r="J1048" t="s">
        <v>334</v>
      </c>
      <c r="K1048">
        <v>0</v>
      </c>
      <c r="L1048" t="s">
        <v>161</v>
      </c>
      <c r="N1048" t="s">
        <v>209</v>
      </c>
      <c r="O1048" t="s">
        <v>334</v>
      </c>
      <c r="P1048">
        <v>9.7200084901341685E-5</v>
      </c>
      <c r="Q1048" t="s">
        <v>161</v>
      </c>
    </row>
    <row r="1049" spans="9:17" x14ac:dyDescent="0.45">
      <c r="I1049" t="s">
        <v>186</v>
      </c>
      <c r="J1049" t="s">
        <v>164</v>
      </c>
      <c r="K1049">
        <v>1.4387999090433274E-2</v>
      </c>
      <c r="L1049" t="s">
        <v>161</v>
      </c>
      <c r="N1049" t="s">
        <v>209</v>
      </c>
      <c r="O1049" t="s">
        <v>164</v>
      </c>
      <c r="P1049">
        <v>4.9043251488726493E-2</v>
      </c>
      <c r="Q1049" t="s">
        <v>161</v>
      </c>
    </row>
    <row r="1050" spans="9:17" x14ac:dyDescent="0.45">
      <c r="I1050" t="s">
        <v>186</v>
      </c>
      <c r="J1050" t="s">
        <v>165</v>
      </c>
      <c r="K1050">
        <v>1.1538025183553201E-2</v>
      </c>
      <c r="L1050" t="s">
        <v>161</v>
      </c>
      <c r="N1050" t="s">
        <v>209</v>
      </c>
      <c r="O1050" t="s">
        <v>165</v>
      </c>
      <c r="P1050">
        <v>5.7258823137340724E-3</v>
      </c>
      <c r="Q1050" t="s">
        <v>161</v>
      </c>
    </row>
    <row r="1051" spans="9:17" x14ac:dyDescent="0.45">
      <c r="I1051" t="s">
        <v>186</v>
      </c>
      <c r="J1051" t="s">
        <v>166</v>
      </c>
      <c r="K1051">
        <v>9.3655621069862277E-2</v>
      </c>
      <c r="L1051" t="s">
        <v>161</v>
      </c>
      <c r="N1051" t="s">
        <v>209</v>
      </c>
      <c r="O1051" t="s">
        <v>166</v>
      </c>
      <c r="P1051">
        <v>3.5039081379130706E-2</v>
      </c>
      <c r="Q1051" t="s">
        <v>161</v>
      </c>
    </row>
    <row r="1052" spans="9:17" x14ac:dyDescent="0.45">
      <c r="I1052" t="s">
        <v>186</v>
      </c>
      <c r="J1052" t="s">
        <v>244</v>
      </c>
      <c r="K1052">
        <v>9.1085560364549123E-3</v>
      </c>
      <c r="L1052" t="s">
        <v>161</v>
      </c>
      <c r="N1052" t="s">
        <v>209</v>
      </c>
      <c r="O1052" t="s">
        <v>244</v>
      </c>
      <c r="P1052">
        <v>5.4133743724777564E-3</v>
      </c>
      <c r="Q1052" t="s">
        <v>161</v>
      </c>
    </row>
    <row r="1053" spans="9:17" x14ac:dyDescent="0.45">
      <c r="I1053" t="s">
        <v>186</v>
      </c>
      <c r="J1053" t="s">
        <v>245</v>
      </c>
      <c r="K1053">
        <v>6.4847551722172821E-3</v>
      </c>
      <c r="L1053" t="s">
        <v>161</v>
      </c>
      <c r="N1053" t="s">
        <v>209</v>
      </c>
      <c r="O1053" t="s">
        <v>245</v>
      </c>
      <c r="P1053">
        <v>5.1840523063123025E-3</v>
      </c>
      <c r="Q1053" t="s">
        <v>161</v>
      </c>
    </row>
    <row r="1054" spans="9:17" x14ac:dyDescent="0.45">
      <c r="I1054" t="s">
        <v>186</v>
      </c>
      <c r="J1054" t="s">
        <v>267</v>
      </c>
      <c r="K1054">
        <v>3.1683826647866805E-3</v>
      </c>
      <c r="L1054" t="s">
        <v>161</v>
      </c>
      <c r="N1054" t="s">
        <v>209</v>
      </c>
      <c r="O1054" t="s">
        <v>267</v>
      </c>
      <c r="P1054">
        <v>3.4963553299997813E-2</v>
      </c>
      <c r="Q1054" t="s">
        <v>161</v>
      </c>
    </row>
    <row r="1055" spans="9:17" x14ac:dyDescent="0.45">
      <c r="I1055" t="s">
        <v>186</v>
      </c>
      <c r="J1055" t="s">
        <v>167</v>
      </c>
      <c r="K1055">
        <v>6.5472172303405865E-2</v>
      </c>
      <c r="L1055" t="s">
        <v>161</v>
      </c>
      <c r="N1055" t="s">
        <v>209</v>
      </c>
      <c r="O1055" t="s">
        <v>167</v>
      </c>
      <c r="P1055">
        <v>6.8496253032396578E-2</v>
      </c>
      <c r="Q1055" t="s">
        <v>161</v>
      </c>
    </row>
    <row r="1056" spans="9:17" x14ac:dyDescent="0.45">
      <c r="I1056" t="s">
        <v>186</v>
      </c>
      <c r="J1056" t="s">
        <v>168</v>
      </c>
      <c r="K1056">
        <v>3.3553714605410359E-2</v>
      </c>
      <c r="L1056" t="s">
        <v>161</v>
      </c>
      <c r="N1056" t="s">
        <v>209</v>
      </c>
      <c r="O1056" t="s">
        <v>168</v>
      </c>
      <c r="P1056">
        <v>7.3047042406450841E-3</v>
      </c>
      <c r="Q1056" t="s">
        <v>161</v>
      </c>
    </row>
    <row r="1057" spans="9:17" x14ac:dyDescent="0.45">
      <c r="I1057" t="s">
        <v>186</v>
      </c>
      <c r="J1057" t="s">
        <v>169</v>
      </c>
      <c r="K1057">
        <v>0.26483229254052426</v>
      </c>
      <c r="L1057" t="s">
        <v>161</v>
      </c>
      <c r="N1057" t="s">
        <v>209</v>
      </c>
      <c r="O1057" t="s">
        <v>169</v>
      </c>
      <c r="P1057">
        <v>5.1568880145741444E-2</v>
      </c>
      <c r="Q1057" t="s">
        <v>161</v>
      </c>
    </row>
    <row r="1058" spans="9:17" x14ac:dyDescent="0.45">
      <c r="I1058" t="s">
        <v>186</v>
      </c>
      <c r="J1058" t="s">
        <v>246</v>
      </c>
      <c r="K1058">
        <v>2.8809714813585668E-2</v>
      </c>
      <c r="L1058" t="s">
        <v>161</v>
      </c>
      <c r="N1058" t="s">
        <v>209</v>
      </c>
      <c r="O1058" t="s">
        <v>246</v>
      </c>
      <c r="P1058">
        <v>8.0147886860878342E-3</v>
      </c>
      <c r="Q1058" t="s">
        <v>161</v>
      </c>
    </row>
    <row r="1059" spans="9:17" x14ac:dyDescent="0.45">
      <c r="I1059" t="s">
        <v>186</v>
      </c>
      <c r="J1059" t="s">
        <v>247</v>
      </c>
      <c r="K1059">
        <v>2.3496645162880001E-2</v>
      </c>
      <c r="L1059" t="s">
        <v>161</v>
      </c>
      <c r="N1059" t="s">
        <v>209</v>
      </c>
      <c r="O1059" t="s">
        <v>247</v>
      </c>
      <c r="P1059">
        <v>7.6863939944612171E-3</v>
      </c>
      <c r="Q1059" t="s">
        <v>161</v>
      </c>
    </row>
    <row r="1060" spans="9:17" x14ac:dyDescent="0.45">
      <c r="I1060" t="s">
        <v>186</v>
      </c>
      <c r="J1060" t="s">
        <v>268</v>
      </c>
      <c r="K1060">
        <v>2.5961520332778373E-2</v>
      </c>
      <c r="L1060" t="s">
        <v>161</v>
      </c>
      <c r="N1060" t="s">
        <v>209</v>
      </c>
      <c r="O1060" t="s">
        <v>268</v>
      </c>
      <c r="P1060">
        <v>5.5246322501918112E-2</v>
      </c>
      <c r="Q1060" t="s">
        <v>161</v>
      </c>
    </row>
    <row r="1061" spans="9:17" x14ac:dyDescent="0.45">
      <c r="I1061" t="s">
        <v>186</v>
      </c>
      <c r="J1061" t="s">
        <v>170</v>
      </c>
      <c r="K1061">
        <v>2.247644281390879E-2</v>
      </c>
      <c r="L1061" t="s">
        <v>161</v>
      </c>
      <c r="N1061" t="s">
        <v>209</v>
      </c>
      <c r="O1061" t="s">
        <v>170</v>
      </c>
      <c r="P1061">
        <v>2.9128084729255235E-2</v>
      </c>
      <c r="Q1061" t="s">
        <v>161</v>
      </c>
    </row>
    <row r="1062" spans="9:17" x14ac:dyDescent="0.45">
      <c r="I1062" t="s">
        <v>186</v>
      </c>
      <c r="J1062" t="s">
        <v>171</v>
      </c>
      <c r="K1062">
        <v>1.4925380986144297E-2</v>
      </c>
      <c r="L1062" t="s">
        <v>161</v>
      </c>
      <c r="N1062" t="s">
        <v>209</v>
      </c>
      <c r="O1062" t="s">
        <v>171</v>
      </c>
      <c r="P1062">
        <v>3.0394135782985349E-3</v>
      </c>
      <c r="Q1062" t="s">
        <v>161</v>
      </c>
    </row>
    <row r="1063" spans="9:17" x14ac:dyDescent="0.45">
      <c r="I1063" t="s">
        <v>186</v>
      </c>
      <c r="J1063" t="s">
        <v>172</v>
      </c>
      <c r="K1063">
        <v>0.11639734185175879</v>
      </c>
      <c r="L1063" t="s">
        <v>161</v>
      </c>
      <c r="N1063" t="s">
        <v>209</v>
      </c>
      <c r="O1063" t="s">
        <v>172</v>
      </c>
      <c r="P1063">
        <v>1.9765182716401597E-2</v>
      </c>
      <c r="Q1063" t="s">
        <v>161</v>
      </c>
    </row>
    <row r="1064" spans="9:17" x14ac:dyDescent="0.45">
      <c r="I1064" t="s">
        <v>186</v>
      </c>
      <c r="J1064" t="s">
        <v>248</v>
      </c>
      <c r="K1064">
        <v>1.2118198605731913E-2</v>
      </c>
      <c r="L1064" t="s">
        <v>161</v>
      </c>
      <c r="N1064" t="s">
        <v>209</v>
      </c>
      <c r="O1064" t="s">
        <v>248</v>
      </c>
      <c r="P1064">
        <v>3.0428277710482367E-3</v>
      </c>
      <c r="Q1064" t="s">
        <v>161</v>
      </c>
    </row>
    <row r="1065" spans="9:17" x14ac:dyDescent="0.45">
      <c r="I1065" t="s">
        <v>186</v>
      </c>
      <c r="J1065" t="s">
        <v>249</v>
      </c>
      <c r="K1065">
        <v>9.3481996344911052E-3</v>
      </c>
      <c r="L1065" t="s">
        <v>161</v>
      </c>
      <c r="N1065" t="s">
        <v>209</v>
      </c>
      <c r="O1065" t="s">
        <v>249</v>
      </c>
      <c r="P1065">
        <v>2.6653285347973655E-3</v>
      </c>
      <c r="Q1065" t="s">
        <v>161</v>
      </c>
    </row>
    <row r="1066" spans="9:17" x14ac:dyDescent="0.45">
      <c r="I1066" t="s">
        <v>186</v>
      </c>
      <c r="J1066" t="s">
        <v>269</v>
      </c>
      <c r="K1066">
        <v>7.2637264386823585E-3</v>
      </c>
      <c r="L1066" t="s">
        <v>161</v>
      </c>
      <c r="N1066" t="s">
        <v>209</v>
      </c>
      <c r="O1066" t="s">
        <v>269</v>
      </c>
      <c r="P1066">
        <v>2.142146221158029E-2</v>
      </c>
      <c r="Q1066" t="s">
        <v>161</v>
      </c>
    </row>
    <row r="1067" spans="9:17" x14ac:dyDescent="0.45">
      <c r="I1067" t="s">
        <v>186</v>
      </c>
      <c r="J1067" t="s">
        <v>250</v>
      </c>
      <c r="K1067">
        <v>4.65660366424354E-3</v>
      </c>
      <c r="L1067" t="s">
        <v>161</v>
      </c>
      <c r="N1067" t="s">
        <v>209</v>
      </c>
      <c r="O1067" t="s">
        <v>250</v>
      </c>
      <c r="P1067">
        <v>5.158887895847987E-2</v>
      </c>
      <c r="Q1067" t="s">
        <v>161</v>
      </c>
    </row>
    <row r="1068" spans="9:17" x14ac:dyDescent="0.45">
      <c r="I1068" t="s">
        <v>186</v>
      </c>
      <c r="J1068" t="s">
        <v>251</v>
      </c>
      <c r="K1068">
        <v>7.3309709373379434E-3</v>
      </c>
      <c r="L1068" t="s">
        <v>161</v>
      </c>
      <c r="N1068" t="s">
        <v>209</v>
      </c>
      <c r="O1068" t="s">
        <v>251</v>
      </c>
      <c r="P1068">
        <v>6.1625895330889198E-3</v>
      </c>
      <c r="Q1068" t="s">
        <v>161</v>
      </c>
    </row>
    <row r="1069" spans="9:17" x14ac:dyDescent="0.45">
      <c r="I1069" t="s">
        <v>186</v>
      </c>
      <c r="J1069" t="s">
        <v>252</v>
      </c>
      <c r="K1069">
        <v>7.0827651747053563E-2</v>
      </c>
      <c r="L1069" t="s">
        <v>161</v>
      </c>
      <c r="N1069" t="s">
        <v>209</v>
      </c>
      <c r="O1069" t="s">
        <v>252</v>
      </c>
      <c r="P1069">
        <v>3.6947952115824564E-2</v>
      </c>
      <c r="Q1069" t="s">
        <v>161</v>
      </c>
    </row>
    <row r="1070" spans="9:17" x14ac:dyDescent="0.45">
      <c r="I1070" t="s">
        <v>186</v>
      </c>
      <c r="J1070" t="s">
        <v>253</v>
      </c>
      <c r="K1070">
        <v>5.234491107209467E-3</v>
      </c>
      <c r="L1070" t="s">
        <v>161</v>
      </c>
      <c r="N1070" t="s">
        <v>209</v>
      </c>
      <c r="O1070" t="s">
        <v>253</v>
      </c>
      <c r="P1070">
        <v>5.6388912801688534E-3</v>
      </c>
      <c r="Q1070" t="s">
        <v>161</v>
      </c>
    </row>
    <row r="1071" spans="9:17" x14ac:dyDescent="0.45">
      <c r="I1071" t="s">
        <v>186</v>
      </c>
      <c r="J1071" t="s">
        <v>254</v>
      </c>
      <c r="K1071">
        <v>1.9304386862527142E-3</v>
      </c>
      <c r="L1071" t="s">
        <v>161</v>
      </c>
      <c r="N1071" t="s">
        <v>209</v>
      </c>
      <c r="O1071" t="s">
        <v>254</v>
      </c>
      <c r="P1071">
        <v>6.1328406612359901E-3</v>
      </c>
      <c r="Q1071" t="s">
        <v>161</v>
      </c>
    </row>
    <row r="1072" spans="9:17" x14ac:dyDescent="0.45">
      <c r="I1072" t="s">
        <v>186</v>
      </c>
      <c r="J1072" t="s">
        <v>270</v>
      </c>
      <c r="K1072">
        <v>0</v>
      </c>
      <c r="L1072" t="s">
        <v>161</v>
      </c>
      <c r="N1072" t="s">
        <v>209</v>
      </c>
      <c r="O1072" t="s">
        <v>270</v>
      </c>
      <c r="P1072">
        <v>3.941197384951832E-2</v>
      </c>
      <c r="Q1072" t="s">
        <v>161</v>
      </c>
    </row>
    <row r="1073" spans="9:17" x14ac:dyDescent="0.45">
      <c r="I1073" t="s">
        <v>186</v>
      </c>
      <c r="J1073" t="s">
        <v>255</v>
      </c>
      <c r="K1073">
        <v>4.3753041276753114E-9</v>
      </c>
      <c r="L1073" t="s">
        <v>161</v>
      </c>
      <c r="N1073" t="s">
        <v>209</v>
      </c>
      <c r="O1073" t="s">
        <v>255</v>
      </c>
      <c r="P1073">
        <v>5.0840148704489822E-2</v>
      </c>
      <c r="Q1073" t="s">
        <v>161</v>
      </c>
    </row>
    <row r="1074" spans="9:17" x14ac:dyDescent="0.45">
      <c r="I1074" t="s">
        <v>186</v>
      </c>
      <c r="J1074" t="s">
        <v>256</v>
      </c>
      <c r="K1074">
        <v>1.899296000337104E-3</v>
      </c>
      <c r="L1074" t="s">
        <v>161</v>
      </c>
      <c r="N1074" t="s">
        <v>209</v>
      </c>
      <c r="O1074" t="s">
        <v>256</v>
      </c>
      <c r="P1074">
        <v>5.7339373865948401E-3</v>
      </c>
      <c r="Q1074" t="s">
        <v>161</v>
      </c>
    </row>
    <row r="1075" spans="9:17" x14ac:dyDescent="0.45">
      <c r="I1075" t="s">
        <v>186</v>
      </c>
      <c r="J1075" t="s">
        <v>257</v>
      </c>
      <c r="K1075">
        <v>3.1889806854425294E-2</v>
      </c>
      <c r="L1075" t="s">
        <v>161</v>
      </c>
      <c r="N1075" t="s">
        <v>209</v>
      </c>
      <c r="O1075" t="s">
        <v>257</v>
      </c>
      <c r="P1075">
        <v>3.9501671881347677E-2</v>
      </c>
      <c r="Q1075" t="s">
        <v>161</v>
      </c>
    </row>
    <row r="1076" spans="9:17" x14ac:dyDescent="0.45">
      <c r="I1076" t="s">
        <v>186</v>
      </c>
      <c r="J1076" t="s">
        <v>258</v>
      </c>
      <c r="K1076">
        <v>3.7914751457427632E-5</v>
      </c>
      <c r="L1076" t="s">
        <v>161</v>
      </c>
      <c r="N1076" t="s">
        <v>209</v>
      </c>
      <c r="O1076" t="s">
        <v>258</v>
      </c>
      <c r="P1076">
        <v>6.7751462260856521E-3</v>
      </c>
      <c r="Q1076" t="s">
        <v>161</v>
      </c>
    </row>
    <row r="1077" spans="9:17" x14ac:dyDescent="0.45">
      <c r="I1077" t="s">
        <v>186</v>
      </c>
      <c r="J1077" t="s">
        <v>259</v>
      </c>
      <c r="K1077">
        <v>0</v>
      </c>
      <c r="L1077" t="s">
        <v>161</v>
      </c>
      <c r="N1077" t="s">
        <v>209</v>
      </c>
      <c r="O1077" t="s">
        <v>259</v>
      </c>
      <c r="P1077">
        <v>7.1932105368251471E-3</v>
      </c>
      <c r="Q1077" t="s">
        <v>161</v>
      </c>
    </row>
    <row r="1078" spans="9:17" x14ac:dyDescent="0.45">
      <c r="I1078" t="s">
        <v>186</v>
      </c>
      <c r="J1078" t="s">
        <v>271</v>
      </c>
      <c r="K1078">
        <v>0</v>
      </c>
      <c r="L1078" t="s">
        <v>161</v>
      </c>
      <c r="N1078" t="s">
        <v>209</v>
      </c>
      <c r="O1078" t="s">
        <v>271</v>
      </c>
      <c r="P1078">
        <v>4.209700085736659E-2</v>
      </c>
      <c r="Q1078" t="s">
        <v>161</v>
      </c>
    </row>
    <row r="1079" spans="9:17" x14ac:dyDescent="0.45">
      <c r="I1079" t="s">
        <v>186</v>
      </c>
      <c r="J1079" t="s">
        <v>272</v>
      </c>
      <c r="K1079">
        <v>0</v>
      </c>
      <c r="L1079" t="s">
        <v>161</v>
      </c>
      <c r="N1079" t="s">
        <v>209</v>
      </c>
      <c r="O1079" t="s">
        <v>272</v>
      </c>
      <c r="P1079">
        <v>2.1754301013350956E-2</v>
      </c>
      <c r="Q1079" t="s">
        <v>161</v>
      </c>
    </row>
    <row r="1080" spans="9:17" x14ac:dyDescent="0.45">
      <c r="I1080" t="s">
        <v>186</v>
      </c>
      <c r="J1080" t="s">
        <v>273</v>
      </c>
      <c r="K1080">
        <v>0</v>
      </c>
      <c r="L1080" t="s">
        <v>161</v>
      </c>
      <c r="N1080" t="s">
        <v>209</v>
      </c>
      <c r="O1080" t="s">
        <v>273</v>
      </c>
      <c r="P1080">
        <v>2.4977419110024071E-3</v>
      </c>
      <c r="Q1080" t="s">
        <v>161</v>
      </c>
    </row>
    <row r="1081" spans="9:17" x14ac:dyDescent="0.45">
      <c r="I1081" t="s">
        <v>186</v>
      </c>
      <c r="J1081" t="s">
        <v>274</v>
      </c>
      <c r="K1081">
        <v>3.3122334055698467E-3</v>
      </c>
      <c r="L1081" t="s">
        <v>161</v>
      </c>
      <c r="N1081" t="s">
        <v>209</v>
      </c>
      <c r="O1081" t="s">
        <v>274</v>
      </c>
      <c r="P1081">
        <v>1.4350597888679191E-2</v>
      </c>
      <c r="Q1081" t="s">
        <v>161</v>
      </c>
    </row>
    <row r="1082" spans="9:17" x14ac:dyDescent="0.45">
      <c r="I1082" t="s">
        <v>186</v>
      </c>
      <c r="J1082" t="s">
        <v>275</v>
      </c>
      <c r="K1082">
        <v>0</v>
      </c>
      <c r="L1082" t="s">
        <v>161</v>
      </c>
      <c r="N1082" t="s">
        <v>209</v>
      </c>
      <c r="O1082" t="s">
        <v>275</v>
      </c>
      <c r="P1082">
        <v>2.1671803036665098E-3</v>
      </c>
      <c r="Q1082" t="s">
        <v>161</v>
      </c>
    </row>
    <row r="1083" spans="9:17" x14ac:dyDescent="0.45">
      <c r="I1083" t="s">
        <v>186</v>
      </c>
      <c r="J1083" t="s">
        <v>276</v>
      </c>
      <c r="K1083">
        <v>0</v>
      </c>
      <c r="L1083" t="s">
        <v>161</v>
      </c>
      <c r="N1083" t="s">
        <v>209</v>
      </c>
      <c r="O1083" t="s">
        <v>276</v>
      </c>
      <c r="P1083">
        <v>2.2358784029386154E-3</v>
      </c>
      <c r="Q1083" t="s">
        <v>161</v>
      </c>
    </row>
    <row r="1084" spans="9:17" x14ac:dyDescent="0.45">
      <c r="I1084" t="s">
        <v>186</v>
      </c>
      <c r="J1084" t="s">
        <v>277</v>
      </c>
      <c r="K1084">
        <v>0</v>
      </c>
      <c r="L1084" t="s">
        <v>161</v>
      </c>
      <c r="N1084" t="s">
        <v>209</v>
      </c>
      <c r="O1084" t="s">
        <v>277</v>
      </c>
      <c r="P1084">
        <v>1.5107273847871406E-2</v>
      </c>
      <c r="Q1084" t="s">
        <v>161</v>
      </c>
    </row>
    <row r="1085" spans="9:17" x14ac:dyDescent="0.45">
      <c r="I1085" t="s">
        <v>186</v>
      </c>
      <c r="J1085" t="s">
        <v>278</v>
      </c>
      <c r="K1085">
        <v>0</v>
      </c>
      <c r="L1085" t="s">
        <v>161</v>
      </c>
      <c r="N1085" t="s">
        <v>209</v>
      </c>
      <c r="O1085" t="s">
        <v>278</v>
      </c>
      <c r="P1085">
        <v>8.8134526577344358E-3</v>
      </c>
      <c r="Q1085" t="s">
        <v>161</v>
      </c>
    </row>
    <row r="1086" spans="9:17" x14ac:dyDescent="0.45">
      <c r="I1086" t="s">
        <v>186</v>
      </c>
      <c r="J1086" t="s">
        <v>279</v>
      </c>
      <c r="K1086">
        <v>0</v>
      </c>
      <c r="L1086" t="s">
        <v>161</v>
      </c>
      <c r="N1086" t="s">
        <v>209</v>
      </c>
      <c r="O1086" t="s">
        <v>279</v>
      </c>
      <c r="P1086">
        <v>1.2054498665621592E-3</v>
      </c>
      <c r="Q1086" t="s">
        <v>161</v>
      </c>
    </row>
    <row r="1087" spans="9:17" x14ac:dyDescent="0.45">
      <c r="I1087" t="s">
        <v>186</v>
      </c>
      <c r="J1087" t="s">
        <v>280</v>
      </c>
      <c r="K1087">
        <v>3.7074090924945099E-3</v>
      </c>
      <c r="L1087" t="s">
        <v>161</v>
      </c>
      <c r="N1087" t="s">
        <v>209</v>
      </c>
      <c r="O1087" t="s">
        <v>280</v>
      </c>
      <c r="P1087">
        <v>6.7186540809573373E-3</v>
      </c>
      <c r="Q1087" t="s">
        <v>161</v>
      </c>
    </row>
    <row r="1088" spans="9:17" x14ac:dyDescent="0.45">
      <c r="I1088" t="s">
        <v>186</v>
      </c>
      <c r="J1088" t="s">
        <v>281</v>
      </c>
      <c r="K1088">
        <v>0</v>
      </c>
      <c r="L1088" t="s">
        <v>161</v>
      </c>
      <c r="N1088" t="s">
        <v>209</v>
      </c>
      <c r="O1088" t="s">
        <v>281</v>
      </c>
      <c r="P1088">
        <v>1.0102797863020855E-3</v>
      </c>
      <c r="Q1088" t="s">
        <v>161</v>
      </c>
    </row>
    <row r="1089" spans="9:17" x14ac:dyDescent="0.45">
      <c r="I1089" t="s">
        <v>186</v>
      </c>
      <c r="J1089" t="s">
        <v>282</v>
      </c>
      <c r="K1089">
        <v>0</v>
      </c>
      <c r="L1089" t="s">
        <v>161</v>
      </c>
      <c r="N1089" t="s">
        <v>209</v>
      </c>
      <c r="O1089" t="s">
        <v>282</v>
      </c>
      <c r="P1089">
        <v>1.045526962883056E-3</v>
      </c>
      <c r="Q1089" t="s">
        <v>161</v>
      </c>
    </row>
    <row r="1090" spans="9:17" x14ac:dyDescent="0.45">
      <c r="I1090" t="s">
        <v>186</v>
      </c>
      <c r="J1090" t="s">
        <v>283</v>
      </c>
      <c r="K1090">
        <v>0</v>
      </c>
      <c r="L1090" t="s">
        <v>161</v>
      </c>
      <c r="N1090" t="s">
        <v>209</v>
      </c>
      <c r="O1090" t="s">
        <v>283</v>
      </c>
      <c r="P1090">
        <v>6.7713509128643446E-3</v>
      </c>
      <c r="Q1090" t="s">
        <v>161</v>
      </c>
    </row>
    <row r="1091" spans="9:17" x14ac:dyDescent="0.45">
      <c r="I1091" t="s">
        <v>187</v>
      </c>
      <c r="J1091" t="s">
        <v>160</v>
      </c>
      <c r="K1091">
        <v>2.3918469413202765E-3</v>
      </c>
      <c r="L1091" t="s">
        <v>161</v>
      </c>
      <c r="N1091" t="s">
        <v>210</v>
      </c>
      <c r="O1091" t="s">
        <v>160</v>
      </c>
      <c r="P1091">
        <v>7.4691544642001492E-2</v>
      </c>
      <c r="Q1091" t="s">
        <v>161</v>
      </c>
    </row>
    <row r="1092" spans="9:17" x14ac:dyDescent="0.45">
      <c r="I1092" t="s">
        <v>187</v>
      </c>
      <c r="J1092" t="s">
        <v>162</v>
      </c>
      <c r="K1092">
        <v>6.2494057835208684E-3</v>
      </c>
      <c r="L1092" t="s">
        <v>161</v>
      </c>
      <c r="N1092" t="s">
        <v>210</v>
      </c>
      <c r="O1092" t="s">
        <v>162</v>
      </c>
      <c r="P1092">
        <v>9.091160550179762E-3</v>
      </c>
      <c r="Q1092" t="s">
        <v>161</v>
      </c>
    </row>
    <row r="1093" spans="9:17" x14ac:dyDescent="0.45">
      <c r="I1093" t="s">
        <v>187</v>
      </c>
      <c r="J1093" t="s">
        <v>163</v>
      </c>
      <c r="K1093">
        <v>8.7374409015887708E-2</v>
      </c>
      <c r="L1093" t="s">
        <v>161</v>
      </c>
      <c r="N1093" t="s">
        <v>210</v>
      </c>
      <c r="O1093" t="s">
        <v>163</v>
      </c>
      <c r="P1093">
        <v>5.7716937424967987E-2</v>
      </c>
      <c r="Q1093" t="s">
        <v>161</v>
      </c>
    </row>
    <row r="1094" spans="9:17" x14ac:dyDescent="0.45">
      <c r="I1094" t="s">
        <v>187</v>
      </c>
      <c r="J1094" t="s">
        <v>242</v>
      </c>
      <c r="K1094">
        <v>6.4956826100011581E-3</v>
      </c>
      <c r="L1094" t="s">
        <v>161</v>
      </c>
      <c r="N1094" t="s">
        <v>210</v>
      </c>
      <c r="O1094" t="s">
        <v>242</v>
      </c>
      <c r="P1094">
        <v>8.8105787168003737E-3</v>
      </c>
      <c r="Q1094" t="s">
        <v>161</v>
      </c>
    </row>
    <row r="1095" spans="9:17" x14ac:dyDescent="0.45">
      <c r="I1095" t="s">
        <v>187</v>
      </c>
      <c r="J1095" t="s">
        <v>243</v>
      </c>
      <c r="K1095">
        <v>2.8088855273168799E-3</v>
      </c>
      <c r="L1095" t="s">
        <v>161</v>
      </c>
      <c r="N1095" t="s">
        <v>210</v>
      </c>
      <c r="O1095" t="s">
        <v>243</v>
      </c>
      <c r="P1095">
        <v>9.4095535565112687E-3</v>
      </c>
      <c r="Q1095" t="s">
        <v>161</v>
      </c>
    </row>
    <row r="1096" spans="9:17" x14ac:dyDescent="0.45">
      <c r="I1096" t="s">
        <v>187</v>
      </c>
      <c r="J1096" t="s">
        <v>266</v>
      </c>
      <c r="K1096">
        <v>0</v>
      </c>
      <c r="L1096" t="s">
        <v>161</v>
      </c>
      <c r="N1096" t="s">
        <v>210</v>
      </c>
      <c r="O1096" t="s">
        <v>266</v>
      </c>
      <c r="P1096">
        <v>5.5732801734830938E-2</v>
      </c>
      <c r="Q1096" t="s">
        <v>161</v>
      </c>
    </row>
    <row r="1097" spans="9:17" x14ac:dyDescent="0.45">
      <c r="I1097" t="s">
        <v>187</v>
      </c>
      <c r="J1097" t="s">
        <v>311</v>
      </c>
      <c r="K1097">
        <v>0</v>
      </c>
      <c r="L1097" t="s">
        <v>161</v>
      </c>
      <c r="N1097" t="s">
        <v>210</v>
      </c>
      <c r="O1097" t="s">
        <v>311</v>
      </c>
      <c r="P1097">
        <v>4.235663829543934E-6</v>
      </c>
      <c r="Q1097" t="s">
        <v>161</v>
      </c>
    </row>
    <row r="1098" spans="9:17" x14ac:dyDescent="0.45">
      <c r="I1098" t="s">
        <v>187</v>
      </c>
      <c r="J1098" t="s">
        <v>312</v>
      </c>
      <c r="K1098">
        <v>0</v>
      </c>
      <c r="L1098" t="s">
        <v>161</v>
      </c>
      <c r="N1098" t="s">
        <v>210</v>
      </c>
      <c r="O1098" t="s">
        <v>312</v>
      </c>
      <c r="P1098">
        <v>5.2442413470298908E-6</v>
      </c>
      <c r="Q1098" t="s">
        <v>161</v>
      </c>
    </row>
    <row r="1099" spans="9:17" x14ac:dyDescent="0.45">
      <c r="I1099" t="s">
        <v>187</v>
      </c>
      <c r="J1099" t="s">
        <v>313</v>
      </c>
      <c r="K1099">
        <v>0</v>
      </c>
      <c r="L1099" t="s">
        <v>161</v>
      </c>
      <c r="N1099" t="s">
        <v>210</v>
      </c>
      <c r="O1099" t="s">
        <v>313</v>
      </c>
      <c r="P1099">
        <v>5.8735656394658092E-6</v>
      </c>
      <c r="Q1099" t="s">
        <v>161</v>
      </c>
    </row>
    <row r="1100" spans="9:17" x14ac:dyDescent="0.45">
      <c r="I1100" t="s">
        <v>187</v>
      </c>
      <c r="J1100" t="s">
        <v>314</v>
      </c>
      <c r="K1100">
        <v>0</v>
      </c>
      <c r="L1100" t="s">
        <v>161</v>
      </c>
      <c r="N1100" t="s">
        <v>210</v>
      </c>
      <c r="O1100" t="s">
        <v>314</v>
      </c>
      <c r="P1100">
        <v>4.0142304017296275E-6</v>
      </c>
      <c r="Q1100" t="s">
        <v>161</v>
      </c>
    </row>
    <row r="1101" spans="9:17" x14ac:dyDescent="0.45">
      <c r="I1101" t="s">
        <v>187</v>
      </c>
      <c r="J1101" t="s">
        <v>315</v>
      </c>
      <c r="K1101">
        <v>0</v>
      </c>
      <c r="L1101" t="s">
        <v>161</v>
      </c>
      <c r="N1101" t="s">
        <v>210</v>
      </c>
      <c r="O1101" t="s">
        <v>315</v>
      </c>
      <c r="P1101">
        <v>6.2185760862062499E-6</v>
      </c>
      <c r="Q1101" t="s">
        <v>161</v>
      </c>
    </row>
    <row r="1102" spans="9:17" x14ac:dyDescent="0.45">
      <c r="I1102" t="s">
        <v>187</v>
      </c>
      <c r="J1102" t="s">
        <v>316</v>
      </c>
      <c r="K1102">
        <v>0</v>
      </c>
      <c r="L1102" t="s">
        <v>161</v>
      </c>
      <c r="N1102" t="s">
        <v>210</v>
      </c>
      <c r="O1102" t="s">
        <v>316</v>
      </c>
      <c r="P1102">
        <v>9.1088219734012885E-6</v>
      </c>
      <c r="Q1102" t="s">
        <v>161</v>
      </c>
    </row>
    <row r="1103" spans="9:17" x14ac:dyDescent="0.45">
      <c r="I1103" t="s">
        <v>187</v>
      </c>
      <c r="J1103" t="s">
        <v>317</v>
      </c>
      <c r="K1103">
        <v>0</v>
      </c>
      <c r="L1103" t="s">
        <v>161</v>
      </c>
      <c r="N1103" t="s">
        <v>210</v>
      </c>
      <c r="O1103" t="s">
        <v>317</v>
      </c>
      <c r="P1103">
        <v>1.668017381777569E-5</v>
      </c>
      <c r="Q1103" t="s">
        <v>161</v>
      </c>
    </row>
    <row r="1104" spans="9:17" x14ac:dyDescent="0.45">
      <c r="I1104" t="s">
        <v>187</v>
      </c>
      <c r="J1104" t="s">
        <v>318</v>
      </c>
      <c r="K1104">
        <v>0</v>
      </c>
      <c r="L1104" t="s">
        <v>161</v>
      </c>
      <c r="N1104" t="s">
        <v>210</v>
      </c>
      <c r="O1104" t="s">
        <v>318</v>
      </c>
      <c r="P1104">
        <v>2.0333329802909141E-5</v>
      </c>
      <c r="Q1104" t="s">
        <v>161</v>
      </c>
    </row>
    <row r="1105" spans="9:17" x14ac:dyDescent="0.45">
      <c r="I1105" t="s">
        <v>187</v>
      </c>
      <c r="J1105" t="s">
        <v>319</v>
      </c>
      <c r="K1105">
        <v>9.2875199579440469E-6</v>
      </c>
      <c r="L1105" t="s">
        <v>161</v>
      </c>
      <c r="N1105" t="s">
        <v>210</v>
      </c>
      <c r="O1105" t="s">
        <v>319</v>
      </c>
      <c r="P1105">
        <v>1.5805210321644546E-5</v>
      </c>
      <c r="Q1105" t="s">
        <v>161</v>
      </c>
    </row>
    <row r="1106" spans="9:17" x14ac:dyDescent="0.45">
      <c r="I1106" t="s">
        <v>187</v>
      </c>
      <c r="J1106" t="s">
        <v>320</v>
      </c>
      <c r="K1106">
        <v>2.3499078880935393E-5</v>
      </c>
      <c r="L1106" t="s">
        <v>161</v>
      </c>
      <c r="N1106" t="s">
        <v>210</v>
      </c>
      <c r="O1106" t="s">
        <v>320</v>
      </c>
      <c r="P1106">
        <v>2.0861969187326086E-5</v>
      </c>
      <c r="Q1106" t="s">
        <v>161</v>
      </c>
    </row>
    <row r="1107" spans="9:17" x14ac:dyDescent="0.45">
      <c r="I1107" t="s">
        <v>187</v>
      </c>
      <c r="J1107" t="s">
        <v>321</v>
      </c>
      <c r="K1107">
        <v>4.4261714516873614E-5</v>
      </c>
      <c r="L1107" t="s">
        <v>161</v>
      </c>
      <c r="N1107" t="s">
        <v>210</v>
      </c>
      <c r="O1107" t="s">
        <v>321</v>
      </c>
      <c r="P1107">
        <v>3.0546849008174597E-5</v>
      </c>
      <c r="Q1107" t="s">
        <v>161</v>
      </c>
    </row>
    <row r="1108" spans="9:17" x14ac:dyDescent="0.45">
      <c r="I1108" t="s">
        <v>187</v>
      </c>
      <c r="J1108" t="s">
        <v>322</v>
      </c>
      <c r="K1108">
        <v>6.8093915421878396E-5</v>
      </c>
      <c r="L1108" t="s">
        <v>161</v>
      </c>
      <c r="N1108" t="s">
        <v>210</v>
      </c>
      <c r="O1108" t="s">
        <v>322</v>
      </c>
      <c r="P1108">
        <v>3.2371163377739748E-5</v>
      </c>
      <c r="Q1108" t="s">
        <v>161</v>
      </c>
    </row>
    <row r="1109" spans="9:17" x14ac:dyDescent="0.45">
      <c r="I1109" t="s">
        <v>187</v>
      </c>
      <c r="J1109" t="s">
        <v>323</v>
      </c>
      <c r="K1109">
        <v>6.1857840477259595E-5</v>
      </c>
      <c r="L1109" t="s">
        <v>161</v>
      </c>
      <c r="N1109" t="s">
        <v>210</v>
      </c>
      <c r="O1109" t="s">
        <v>323</v>
      </c>
      <c r="P1109">
        <v>2.4581263609337193E-5</v>
      </c>
      <c r="Q1109" t="s">
        <v>161</v>
      </c>
    </row>
    <row r="1110" spans="9:17" x14ac:dyDescent="0.45">
      <c r="I1110" t="s">
        <v>187</v>
      </c>
      <c r="J1110" t="s">
        <v>324</v>
      </c>
      <c r="K1110">
        <v>9.2790292746889905E-5</v>
      </c>
      <c r="L1110" t="s">
        <v>161</v>
      </c>
      <c r="N1110" t="s">
        <v>210</v>
      </c>
      <c r="O1110" t="s">
        <v>324</v>
      </c>
      <c r="P1110">
        <v>2.3160688376616456E-5</v>
      </c>
      <c r="Q1110" t="s">
        <v>161</v>
      </c>
    </row>
    <row r="1111" spans="9:17" x14ac:dyDescent="0.45">
      <c r="I1111" t="s">
        <v>187</v>
      </c>
      <c r="J1111" t="s">
        <v>325</v>
      </c>
      <c r="K1111">
        <v>7.4933990800028918E-5</v>
      </c>
      <c r="L1111" t="s">
        <v>161</v>
      </c>
      <c r="N1111" t="s">
        <v>210</v>
      </c>
      <c r="O1111" t="s">
        <v>325</v>
      </c>
      <c r="P1111">
        <v>2.7197988308350991E-5</v>
      </c>
      <c r="Q1111" t="s">
        <v>161</v>
      </c>
    </row>
    <row r="1112" spans="9:17" x14ac:dyDescent="0.45">
      <c r="I1112" t="s">
        <v>187</v>
      </c>
      <c r="J1112" t="s">
        <v>326</v>
      </c>
      <c r="K1112">
        <v>4.7932754959125456E-5</v>
      </c>
      <c r="L1112" t="s">
        <v>161</v>
      </c>
      <c r="N1112" t="s">
        <v>210</v>
      </c>
      <c r="O1112" t="s">
        <v>326</v>
      </c>
      <c r="P1112">
        <v>2.580435745111926E-5</v>
      </c>
      <c r="Q1112" t="s">
        <v>161</v>
      </c>
    </row>
    <row r="1113" spans="9:17" x14ac:dyDescent="0.45">
      <c r="I1113" t="s">
        <v>187</v>
      </c>
      <c r="J1113" t="s">
        <v>327</v>
      </c>
      <c r="K1113">
        <v>2.4463055578668301E-5</v>
      </c>
      <c r="L1113" t="s">
        <v>161</v>
      </c>
      <c r="N1113" t="s">
        <v>210</v>
      </c>
      <c r="O1113" t="s">
        <v>327</v>
      </c>
      <c r="P1113">
        <v>3.3932831252859534E-5</v>
      </c>
      <c r="Q1113" t="s">
        <v>161</v>
      </c>
    </row>
    <row r="1114" spans="9:17" x14ac:dyDescent="0.45">
      <c r="I1114" t="s">
        <v>187</v>
      </c>
      <c r="J1114" t="s">
        <v>328</v>
      </c>
      <c r="K1114">
        <v>0</v>
      </c>
      <c r="L1114" t="s">
        <v>161</v>
      </c>
      <c r="N1114" t="s">
        <v>210</v>
      </c>
      <c r="O1114" t="s">
        <v>328</v>
      </c>
      <c r="P1114">
        <v>5.4913636885850909E-5</v>
      </c>
      <c r="Q1114" t="s">
        <v>161</v>
      </c>
    </row>
    <row r="1115" spans="9:17" x14ac:dyDescent="0.45">
      <c r="I1115" t="s">
        <v>187</v>
      </c>
      <c r="J1115" t="s">
        <v>329</v>
      </c>
      <c r="K1115">
        <v>0</v>
      </c>
      <c r="L1115" t="s">
        <v>161</v>
      </c>
      <c r="N1115" t="s">
        <v>210</v>
      </c>
      <c r="O1115" t="s">
        <v>329</v>
      </c>
      <c r="P1115">
        <v>7.2090396456353257E-5</v>
      </c>
      <c r="Q1115" t="s">
        <v>161</v>
      </c>
    </row>
    <row r="1116" spans="9:17" x14ac:dyDescent="0.45">
      <c r="I1116" t="s">
        <v>187</v>
      </c>
      <c r="J1116" t="s">
        <v>330</v>
      </c>
      <c r="K1116">
        <v>0</v>
      </c>
      <c r="L1116" t="s">
        <v>161</v>
      </c>
      <c r="N1116" t="s">
        <v>210</v>
      </c>
      <c r="O1116" t="s">
        <v>330</v>
      </c>
      <c r="P1116">
        <v>7.8344000172175216E-5</v>
      </c>
      <c r="Q1116" t="s">
        <v>161</v>
      </c>
    </row>
    <row r="1117" spans="9:17" x14ac:dyDescent="0.45">
      <c r="I1117" t="s">
        <v>187</v>
      </c>
      <c r="J1117" t="s">
        <v>331</v>
      </c>
      <c r="K1117">
        <v>0</v>
      </c>
      <c r="L1117" t="s">
        <v>161</v>
      </c>
      <c r="N1117" t="s">
        <v>210</v>
      </c>
      <c r="O1117" t="s">
        <v>331</v>
      </c>
      <c r="P1117">
        <v>7.8367386617265997E-5</v>
      </c>
      <c r="Q1117" t="s">
        <v>161</v>
      </c>
    </row>
    <row r="1118" spans="9:17" x14ac:dyDescent="0.45">
      <c r="I1118" t="s">
        <v>187</v>
      </c>
      <c r="J1118" t="s">
        <v>332</v>
      </c>
      <c r="K1118">
        <v>0</v>
      </c>
      <c r="L1118" t="s">
        <v>161</v>
      </c>
      <c r="N1118" t="s">
        <v>210</v>
      </c>
      <c r="O1118" t="s">
        <v>332</v>
      </c>
      <c r="P1118">
        <v>7.2241359516147851E-5</v>
      </c>
      <c r="Q1118" t="s">
        <v>161</v>
      </c>
    </row>
    <row r="1119" spans="9:17" x14ac:dyDescent="0.45">
      <c r="I1119" t="s">
        <v>187</v>
      </c>
      <c r="J1119" t="s">
        <v>333</v>
      </c>
      <c r="K1119">
        <v>0</v>
      </c>
      <c r="L1119" t="s">
        <v>161</v>
      </c>
      <c r="N1119" t="s">
        <v>210</v>
      </c>
      <c r="O1119" t="s">
        <v>333</v>
      </c>
      <c r="P1119">
        <v>5.5526049739863605E-5</v>
      </c>
      <c r="Q1119" t="s">
        <v>161</v>
      </c>
    </row>
    <row r="1120" spans="9:17" x14ac:dyDescent="0.45">
      <c r="I1120" t="s">
        <v>187</v>
      </c>
      <c r="J1120" t="s">
        <v>334</v>
      </c>
      <c r="K1120">
        <v>0</v>
      </c>
      <c r="L1120" t="s">
        <v>161</v>
      </c>
      <c r="N1120" t="s">
        <v>210</v>
      </c>
      <c r="O1120" t="s">
        <v>334</v>
      </c>
      <c r="P1120">
        <v>5.6763604243219823E-5</v>
      </c>
      <c r="Q1120" t="s">
        <v>161</v>
      </c>
    </row>
    <row r="1121" spans="9:17" x14ac:dyDescent="0.45">
      <c r="I1121" t="s">
        <v>187</v>
      </c>
      <c r="J1121" t="s">
        <v>164</v>
      </c>
      <c r="K1121">
        <v>1.4350881201082381E-2</v>
      </c>
      <c r="L1121" t="s">
        <v>161</v>
      </c>
      <c r="N1121" t="s">
        <v>210</v>
      </c>
      <c r="O1121" t="s">
        <v>164</v>
      </c>
      <c r="P1121">
        <v>4.5310817616851677E-2</v>
      </c>
      <c r="Q1121" t="s">
        <v>161</v>
      </c>
    </row>
    <row r="1122" spans="9:17" x14ac:dyDescent="0.45">
      <c r="I1122" t="s">
        <v>187</v>
      </c>
      <c r="J1122" t="s">
        <v>165</v>
      </c>
      <c r="K1122">
        <v>1.1307202956685998E-2</v>
      </c>
      <c r="L1122" t="s">
        <v>161</v>
      </c>
      <c r="N1122" t="s">
        <v>210</v>
      </c>
      <c r="O1122" t="s">
        <v>165</v>
      </c>
      <c r="P1122">
        <v>5.5978243312251588E-3</v>
      </c>
      <c r="Q1122" t="s">
        <v>161</v>
      </c>
    </row>
    <row r="1123" spans="9:17" x14ac:dyDescent="0.45">
      <c r="I1123" t="s">
        <v>187</v>
      </c>
      <c r="J1123" t="s">
        <v>166</v>
      </c>
      <c r="K1123">
        <v>9.1447768686020683E-2</v>
      </c>
      <c r="L1123" t="s">
        <v>161</v>
      </c>
      <c r="N1123" t="s">
        <v>210</v>
      </c>
      <c r="O1123" t="s">
        <v>166</v>
      </c>
      <c r="P1123">
        <v>3.2551875459949448E-2</v>
      </c>
      <c r="Q1123" t="s">
        <v>161</v>
      </c>
    </row>
    <row r="1124" spans="9:17" x14ac:dyDescent="0.45">
      <c r="I1124" t="s">
        <v>187</v>
      </c>
      <c r="J1124" t="s">
        <v>244</v>
      </c>
      <c r="K1124">
        <v>9.7424017036342198E-3</v>
      </c>
      <c r="L1124" t="s">
        <v>161</v>
      </c>
      <c r="N1124" t="s">
        <v>210</v>
      </c>
      <c r="O1124" t="s">
        <v>244</v>
      </c>
      <c r="P1124">
        <v>5.1814167799940185E-3</v>
      </c>
      <c r="Q1124" t="s">
        <v>161</v>
      </c>
    </row>
    <row r="1125" spans="9:17" x14ac:dyDescent="0.45">
      <c r="I1125" t="s">
        <v>187</v>
      </c>
      <c r="J1125" t="s">
        <v>245</v>
      </c>
      <c r="K1125">
        <v>7.311572370103595E-3</v>
      </c>
      <c r="L1125" t="s">
        <v>161</v>
      </c>
      <c r="N1125" t="s">
        <v>210</v>
      </c>
      <c r="O1125" t="s">
        <v>245</v>
      </c>
      <c r="P1125">
        <v>5.3545630823579457E-3</v>
      </c>
      <c r="Q1125" t="s">
        <v>161</v>
      </c>
    </row>
    <row r="1126" spans="9:17" x14ac:dyDescent="0.45">
      <c r="I1126" t="s">
        <v>187</v>
      </c>
      <c r="J1126" t="s">
        <v>267</v>
      </c>
      <c r="K1126">
        <v>3.7299349457301984E-3</v>
      </c>
      <c r="L1126" t="s">
        <v>161</v>
      </c>
      <c r="N1126" t="s">
        <v>210</v>
      </c>
      <c r="O1126" t="s">
        <v>267</v>
      </c>
      <c r="P1126">
        <v>3.4763975445292535E-2</v>
      </c>
      <c r="Q1126" t="s">
        <v>161</v>
      </c>
    </row>
    <row r="1127" spans="9:17" x14ac:dyDescent="0.45">
      <c r="I1127" t="s">
        <v>187</v>
      </c>
      <c r="J1127" t="s">
        <v>167</v>
      </c>
      <c r="K1127">
        <v>6.2346161747632321E-2</v>
      </c>
      <c r="L1127" t="s">
        <v>161</v>
      </c>
      <c r="N1127" t="s">
        <v>210</v>
      </c>
      <c r="O1127" t="s">
        <v>167</v>
      </c>
      <c r="P1127">
        <v>6.2564322309708528E-2</v>
      </c>
      <c r="Q1127" t="s">
        <v>161</v>
      </c>
    </row>
    <row r="1128" spans="9:17" x14ac:dyDescent="0.45">
      <c r="I1128" t="s">
        <v>187</v>
      </c>
      <c r="J1128" t="s">
        <v>168</v>
      </c>
      <c r="K1128">
        <v>3.1283734436433938E-2</v>
      </c>
      <c r="L1128" t="s">
        <v>161</v>
      </c>
      <c r="N1128" t="s">
        <v>210</v>
      </c>
      <c r="O1128" t="s">
        <v>168</v>
      </c>
      <c r="P1128">
        <v>6.7351330634240055E-3</v>
      </c>
      <c r="Q1128" t="s">
        <v>161</v>
      </c>
    </row>
    <row r="1129" spans="9:17" x14ac:dyDescent="0.45">
      <c r="I1129" t="s">
        <v>187</v>
      </c>
      <c r="J1129" t="s">
        <v>169</v>
      </c>
      <c r="K1129">
        <v>0.26581696891320633</v>
      </c>
      <c r="L1129" t="s">
        <v>161</v>
      </c>
      <c r="N1129" t="s">
        <v>210</v>
      </c>
      <c r="O1129" t="s">
        <v>169</v>
      </c>
      <c r="P1129">
        <v>4.8272149484774429E-2</v>
      </c>
      <c r="Q1129" t="s">
        <v>161</v>
      </c>
    </row>
    <row r="1130" spans="9:17" x14ac:dyDescent="0.45">
      <c r="I1130" t="s">
        <v>187</v>
      </c>
      <c r="J1130" t="s">
        <v>246</v>
      </c>
      <c r="K1130">
        <v>3.2009789572713047E-2</v>
      </c>
      <c r="L1130" t="s">
        <v>161</v>
      </c>
      <c r="N1130" t="s">
        <v>210</v>
      </c>
      <c r="O1130" t="s">
        <v>246</v>
      </c>
      <c r="P1130">
        <v>7.8833024324472725E-3</v>
      </c>
      <c r="Q1130" t="s">
        <v>161</v>
      </c>
    </row>
    <row r="1131" spans="9:17" x14ac:dyDescent="0.45">
      <c r="I1131" t="s">
        <v>187</v>
      </c>
      <c r="J1131" t="s">
        <v>247</v>
      </c>
      <c r="K1131">
        <v>2.6587010906893839E-2</v>
      </c>
      <c r="L1131" t="s">
        <v>161</v>
      </c>
      <c r="N1131" t="s">
        <v>210</v>
      </c>
      <c r="O1131" t="s">
        <v>247</v>
      </c>
      <c r="P1131">
        <v>7.7479512221427438E-3</v>
      </c>
      <c r="Q1131" t="s">
        <v>161</v>
      </c>
    </row>
    <row r="1132" spans="9:17" x14ac:dyDescent="0.45">
      <c r="I1132" t="s">
        <v>187</v>
      </c>
      <c r="J1132" t="s">
        <v>268</v>
      </c>
      <c r="K1132">
        <v>3.0979456950216616E-2</v>
      </c>
      <c r="L1132" t="s">
        <v>161</v>
      </c>
      <c r="N1132" t="s">
        <v>210</v>
      </c>
      <c r="O1132" t="s">
        <v>268</v>
      </c>
      <c r="P1132">
        <v>5.573884974644689E-2</v>
      </c>
      <c r="Q1132" t="s">
        <v>161</v>
      </c>
    </row>
    <row r="1133" spans="9:17" x14ac:dyDescent="0.45">
      <c r="I1133" t="s">
        <v>187</v>
      </c>
      <c r="J1133" t="s">
        <v>170</v>
      </c>
      <c r="K1133">
        <v>2.0749737071427705E-2</v>
      </c>
      <c r="L1133" t="s">
        <v>161</v>
      </c>
      <c r="N1133" t="s">
        <v>210</v>
      </c>
      <c r="O1133" t="s">
        <v>170</v>
      </c>
      <c r="P1133">
        <v>3.0040039620996589E-2</v>
      </c>
      <c r="Q1133" t="s">
        <v>161</v>
      </c>
    </row>
    <row r="1134" spans="9:17" x14ac:dyDescent="0.45">
      <c r="I1134" t="s">
        <v>187</v>
      </c>
      <c r="J1134" t="s">
        <v>171</v>
      </c>
      <c r="K1134">
        <v>1.3964462509030056E-2</v>
      </c>
      <c r="L1134" t="s">
        <v>161</v>
      </c>
      <c r="N1134" t="s">
        <v>210</v>
      </c>
      <c r="O1134" t="s">
        <v>171</v>
      </c>
      <c r="P1134">
        <v>3.1373978030930266E-3</v>
      </c>
      <c r="Q1134" t="s">
        <v>161</v>
      </c>
    </row>
    <row r="1135" spans="9:17" x14ac:dyDescent="0.45">
      <c r="I1135" t="s">
        <v>187</v>
      </c>
      <c r="J1135" t="s">
        <v>172</v>
      </c>
      <c r="K1135">
        <v>0.11340499961447537</v>
      </c>
      <c r="L1135" t="s">
        <v>161</v>
      </c>
      <c r="N1135" t="s">
        <v>210</v>
      </c>
      <c r="O1135" t="s">
        <v>172</v>
      </c>
      <c r="P1135">
        <v>1.9195199913303436E-2</v>
      </c>
      <c r="Q1135" t="s">
        <v>161</v>
      </c>
    </row>
    <row r="1136" spans="9:17" x14ac:dyDescent="0.45">
      <c r="I1136" t="s">
        <v>187</v>
      </c>
      <c r="J1136" t="s">
        <v>248</v>
      </c>
      <c r="K1136">
        <v>1.3858724894421002E-2</v>
      </c>
      <c r="L1136" t="s">
        <v>161</v>
      </c>
      <c r="N1136" t="s">
        <v>210</v>
      </c>
      <c r="O1136" t="s">
        <v>248</v>
      </c>
      <c r="P1136">
        <v>2.9922377961056224E-3</v>
      </c>
      <c r="Q1136" t="s">
        <v>161</v>
      </c>
    </row>
    <row r="1137" spans="9:17" x14ac:dyDescent="0.45">
      <c r="I1137" t="s">
        <v>187</v>
      </c>
      <c r="J1137" t="s">
        <v>249</v>
      </c>
      <c r="K1137">
        <v>1.0630251711952518E-2</v>
      </c>
      <c r="L1137" t="s">
        <v>161</v>
      </c>
      <c r="N1137" t="s">
        <v>210</v>
      </c>
      <c r="O1137" t="s">
        <v>249</v>
      </c>
      <c r="P1137">
        <v>2.8512075857911982E-3</v>
      </c>
      <c r="Q1137" t="s">
        <v>161</v>
      </c>
    </row>
    <row r="1138" spans="9:17" x14ac:dyDescent="0.45">
      <c r="I1138" t="s">
        <v>187</v>
      </c>
      <c r="J1138" t="s">
        <v>269</v>
      </c>
      <c r="K1138">
        <v>8.3042247351534943E-3</v>
      </c>
      <c r="L1138" t="s">
        <v>161</v>
      </c>
      <c r="N1138" t="s">
        <v>210</v>
      </c>
      <c r="O1138" t="s">
        <v>269</v>
      </c>
      <c r="P1138">
        <v>2.1105376161963924E-2</v>
      </c>
      <c r="Q1138" t="s">
        <v>161</v>
      </c>
    </row>
    <row r="1139" spans="9:17" x14ac:dyDescent="0.45">
      <c r="I1139" t="s">
        <v>187</v>
      </c>
      <c r="J1139" t="s">
        <v>250</v>
      </c>
      <c r="K1139">
        <v>4.7983696945753281E-3</v>
      </c>
      <c r="L1139" t="s">
        <v>161</v>
      </c>
      <c r="N1139" t="s">
        <v>210</v>
      </c>
      <c r="O1139" t="s">
        <v>250</v>
      </c>
      <c r="P1139">
        <v>5.4086404282382594E-2</v>
      </c>
      <c r="Q1139" t="s">
        <v>161</v>
      </c>
    </row>
    <row r="1140" spans="9:17" x14ac:dyDescent="0.45">
      <c r="I1140" t="s">
        <v>187</v>
      </c>
      <c r="J1140" t="s">
        <v>251</v>
      </c>
      <c r="K1140">
        <v>7.4160780372115615E-3</v>
      </c>
      <c r="L1140" t="s">
        <v>161</v>
      </c>
      <c r="N1140" t="s">
        <v>210</v>
      </c>
      <c r="O1140" t="s">
        <v>251</v>
      </c>
      <c r="P1140">
        <v>6.5724704172395948E-3</v>
      </c>
      <c r="Q1140" t="s">
        <v>161</v>
      </c>
    </row>
    <row r="1141" spans="9:17" x14ac:dyDescent="0.45">
      <c r="I1141" t="s">
        <v>187</v>
      </c>
      <c r="J1141" t="s">
        <v>252</v>
      </c>
      <c r="K1141">
        <v>6.7616440628127203E-2</v>
      </c>
      <c r="L1141" t="s">
        <v>161</v>
      </c>
      <c r="N1141" t="s">
        <v>210</v>
      </c>
      <c r="O1141" t="s">
        <v>252</v>
      </c>
      <c r="P1141">
        <v>3.6676443883287377E-2</v>
      </c>
      <c r="Q1141" t="s">
        <v>161</v>
      </c>
    </row>
    <row r="1142" spans="9:17" x14ac:dyDescent="0.45">
      <c r="I1142" t="s">
        <v>187</v>
      </c>
      <c r="J1142" t="s">
        <v>253</v>
      </c>
      <c r="K1142">
        <v>5.1209502982553301E-3</v>
      </c>
      <c r="L1142" t="s">
        <v>161</v>
      </c>
      <c r="N1142" t="s">
        <v>210</v>
      </c>
      <c r="O1142" t="s">
        <v>253</v>
      </c>
      <c r="P1142">
        <v>5.4360365777397371E-3</v>
      </c>
      <c r="Q1142" t="s">
        <v>161</v>
      </c>
    </row>
    <row r="1143" spans="9:17" x14ac:dyDescent="0.45">
      <c r="I1143" t="s">
        <v>187</v>
      </c>
      <c r="J1143" t="s">
        <v>254</v>
      </c>
      <c r="K1143">
        <v>1.9844561798111394E-3</v>
      </c>
      <c r="L1143" t="s">
        <v>161</v>
      </c>
      <c r="N1143" t="s">
        <v>210</v>
      </c>
      <c r="O1143" t="s">
        <v>254</v>
      </c>
      <c r="P1143">
        <v>6.1023696128256963E-3</v>
      </c>
      <c r="Q1143" t="s">
        <v>161</v>
      </c>
    </row>
    <row r="1144" spans="9:17" x14ac:dyDescent="0.45">
      <c r="I1144" t="s">
        <v>187</v>
      </c>
      <c r="J1144" t="s">
        <v>270</v>
      </c>
      <c r="K1144">
        <v>0</v>
      </c>
      <c r="L1144" t="s">
        <v>161</v>
      </c>
      <c r="N1144" t="s">
        <v>210</v>
      </c>
      <c r="O1144" t="s">
        <v>270</v>
      </c>
      <c r="P1144">
        <v>4.2348235148936215E-2</v>
      </c>
      <c r="Q1144" t="s">
        <v>161</v>
      </c>
    </row>
    <row r="1145" spans="9:17" x14ac:dyDescent="0.45">
      <c r="I1145" t="s">
        <v>187</v>
      </c>
      <c r="J1145" t="s">
        <v>255</v>
      </c>
      <c r="K1145">
        <v>0</v>
      </c>
      <c r="L1145" t="s">
        <v>161</v>
      </c>
      <c r="N1145" t="s">
        <v>210</v>
      </c>
      <c r="O1145" t="s">
        <v>255</v>
      </c>
      <c r="P1145">
        <v>5.6182082345301247E-2</v>
      </c>
      <c r="Q1145" t="s">
        <v>161</v>
      </c>
    </row>
    <row r="1146" spans="9:17" x14ac:dyDescent="0.45">
      <c r="I1146" t="s">
        <v>187</v>
      </c>
      <c r="J1146" t="s">
        <v>256</v>
      </c>
      <c r="K1146">
        <v>1.7125350670200894E-3</v>
      </c>
      <c r="L1146" t="s">
        <v>161</v>
      </c>
      <c r="N1146" t="s">
        <v>210</v>
      </c>
      <c r="O1146" t="s">
        <v>256</v>
      </c>
      <c r="P1146">
        <v>6.5005422283122274E-3</v>
      </c>
      <c r="Q1146" t="s">
        <v>161</v>
      </c>
    </row>
    <row r="1147" spans="9:17" x14ac:dyDescent="0.45">
      <c r="I1147" t="s">
        <v>187</v>
      </c>
      <c r="J1147" t="s">
        <v>257</v>
      </c>
      <c r="K1147">
        <v>3.144555065901574E-2</v>
      </c>
      <c r="L1147" t="s">
        <v>161</v>
      </c>
      <c r="N1147" t="s">
        <v>210</v>
      </c>
      <c r="O1147" t="s">
        <v>257</v>
      </c>
      <c r="P1147">
        <v>4.0936623399471891E-2</v>
      </c>
      <c r="Q1147" t="s">
        <v>161</v>
      </c>
    </row>
    <row r="1148" spans="9:17" x14ac:dyDescent="0.45">
      <c r="I1148" t="s">
        <v>187</v>
      </c>
      <c r="J1148" t="s">
        <v>258</v>
      </c>
      <c r="K1148">
        <v>3.5969989251436045E-6</v>
      </c>
      <c r="L1148" t="s">
        <v>161</v>
      </c>
      <c r="N1148" t="s">
        <v>210</v>
      </c>
      <c r="O1148" t="s">
        <v>258</v>
      </c>
      <c r="P1148">
        <v>6.1485762368366885E-3</v>
      </c>
      <c r="Q1148" t="s">
        <v>161</v>
      </c>
    </row>
    <row r="1149" spans="9:17" x14ac:dyDescent="0.45">
      <c r="I1149" t="s">
        <v>187</v>
      </c>
      <c r="J1149" t="s">
        <v>259</v>
      </c>
      <c r="K1149">
        <v>0</v>
      </c>
      <c r="L1149" t="s">
        <v>161</v>
      </c>
      <c r="N1149" t="s">
        <v>210</v>
      </c>
      <c r="O1149" t="s">
        <v>259</v>
      </c>
      <c r="P1149">
        <v>6.5199941157376064E-3</v>
      </c>
      <c r="Q1149" t="s">
        <v>161</v>
      </c>
    </row>
    <row r="1150" spans="9:17" x14ac:dyDescent="0.45">
      <c r="I1150" t="s">
        <v>187</v>
      </c>
      <c r="J1150" t="s">
        <v>271</v>
      </c>
      <c r="K1150">
        <v>0</v>
      </c>
      <c r="L1150" t="s">
        <v>161</v>
      </c>
      <c r="N1150" t="s">
        <v>210</v>
      </c>
      <c r="O1150" t="s">
        <v>271</v>
      </c>
      <c r="P1150">
        <v>4.256796900621003E-2</v>
      </c>
      <c r="Q1150" t="s">
        <v>161</v>
      </c>
    </row>
    <row r="1151" spans="9:17" x14ac:dyDescent="0.45">
      <c r="I1151" t="s">
        <v>187</v>
      </c>
      <c r="J1151" t="s">
        <v>272</v>
      </c>
      <c r="K1151">
        <v>0</v>
      </c>
      <c r="L1151" t="s">
        <v>161</v>
      </c>
      <c r="N1151" t="s">
        <v>210</v>
      </c>
      <c r="O1151" t="s">
        <v>272</v>
      </c>
      <c r="P1151">
        <v>1.8505499449187248E-2</v>
      </c>
      <c r="Q1151" t="s">
        <v>161</v>
      </c>
    </row>
    <row r="1152" spans="9:17" x14ac:dyDescent="0.45">
      <c r="I1152" t="s">
        <v>187</v>
      </c>
      <c r="J1152" t="s">
        <v>273</v>
      </c>
      <c r="K1152">
        <v>0</v>
      </c>
      <c r="L1152" t="s">
        <v>161</v>
      </c>
      <c r="N1152" t="s">
        <v>210</v>
      </c>
      <c r="O1152" t="s">
        <v>273</v>
      </c>
      <c r="P1152">
        <v>2.215134314728303E-3</v>
      </c>
      <c r="Q1152" t="s">
        <v>161</v>
      </c>
    </row>
    <row r="1153" spans="9:17" x14ac:dyDescent="0.45">
      <c r="I1153" t="s">
        <v>187</v>
      </c>
      <c r="J1153" t="s">
        <v>274</v>
      </c>
      <c r="K1153">
        <v>3.3088027529542103E-3</v>
      </c>
      <c r="L1153" t="s">
        <v>161</v>
      </c>
      <c r="N1153" t="s">
        <v>210</v>
      </c>
      <c r="O1153" t="s">
        <v>274</v>
      </c>
      <c r="P1153">
        <v>1.3652976778060185E-2</v>
      </c>
      <c r="Q1153" t="s">
        <v>161</v>
      </c>
    </row>
    <row r="1154" spans="9:17" x14ac:dyDescent="0.45">
      <c r="I1154" t="s">
        <v>187</v>
      </c>
      <c r="J1154" t="s">
        <v>275</v>
      </c>
      <c r="K1154">
        <v>0</v>
      </c>
      <c r="L1154" t="s">
        <v>161</v>
      </c>
      <c r="N1154" t="s">
        <v>210</v>
      </c>
      <c r="O1154" t="s">
        <v>275</v>
      </c>
      <c r="P1154">
        <v>2.1504493975723939E-3</v>
      </c>
      <c r="Q1154" t="s">
        <v>161</v>
      </c>
    </row>
    <row r="1155" spans="9:17" x14ac:dyDescent="0.45">
      <c r="I1155" t="s">
        <v>187</v>
      </c>
      <c r="J1155" t="s">
        <v>276</v>
      </c>
      <c r="K1155">
        <v>0</v>
      </c>
      <c r="L1155" t="s">
        <v>161</v>
      </c>
      <c r="N1155" t="s">
        <v>210</v>
      </c>
      <c r="O1155" t="s">
        <v>276</v>
      </c>
      <c r="P1155">
        <v>2.2396338637585642E-3</v>
      </c>
      <c r="Q1155" t="s">
        <v>161</v>
      </c>
    </row>
    <row r="1156" spans="9:17" x14ac:dyDescent="0.45">
      <c r="I1156" t="s">
        <v>187</v>
      </c>
      <c r="J1156" t="s">
        <v>277</v>
      </c>
      <c r="K1156">
        <v>0</v>
      </c>
      <c r="L1156" t="s">
        <v>161</v>
      </c>
      <c r="N1156" t="s">
        <v>210</v>
      </c>
      <c r="O1156" t="s">
        <v>277</v>
      </c>
      <c r="P1156">
        <v>1.4541686512529408E-2</v>
      </c>
      <c r="Q1156" t="s">
        <v>161</v>
      </c>
    </row>
    <row r="1157" spans="9:17" x14ac:dyDescent="0.45">
      <c r="I1157" t="s">
        <v>187</v>
      </c>
      <c r="J1157" t="s">
        <v>278</v>
      </c>
      <c r="K1157">
        <v>0</v>
      </c>
      <c r="L1157" t="s">
        <v>161</v>
      </c>
      <c r="N1157" t="s">
        <v>210</v>
      </c>
      <c r="O1157" t="s">
        <v>278</v>
      </c>
      <c r="P1157">
        <v>8.3295878436172918E-3</v>
      </c>
      <c r="Q1157" t="s">
        <v>161</v>
      </c>
    </row>
    <row r="1158" spans="9:17" x14ac:dyDescent="0.45">
      <c r="I1158" t="s">
        <v>187</v>
      </c>
      <c r="J1158" t="s">
        <v>279</v>
      </c>
      <c r="K1158">
        <v>0</v>
      </c>
      <c r="L1158" t="s">
        <v>161</v>
      </c>
      <c r="N1158" t="s">
        <v>210</v>
      </c>
      <c r="O1158" t="s">
        <v>279</v>
      </c>
      <c r="P1158">
        <v>9.5241088716196379E-4</v>
      </c>
      <c r="Q1158" t="s">
        <v>161</v>
      </c>
    </row>
    <row r="1159" spans="9:17" x14ac:dyDescent="0.45">
      <c r="I1159" t="s">
        <v>187</v>
      </c>
      <c r="J1159" t="s">
        <v>280</v>
      </c>
      <c r="K1159">
        <v>3.0005847159080444E-3</v>
      </c>
      <c r="L1159" t="s">
        <v>161</v>
      </c>
      <c r="N1159" t="s">
        <v>210</v>
      </c>
      <c r="O1159" t="s">
        <v>280</v>
      </c>
      <c r="P1159">
        <v>5.6050802042284572E-3</v>
      </c>
      <c r="Q1159" t="s">
        <v>161</v>
      </c>
    </row>
    <row r="1160" spans="9:17" x14ac:dyDescent="0.45">
      <c r="I1160" t="s">
        <v>187</v>
      </c>
      <c r="J1160" t="s">
        <v>281</v>
      </c>
      <c r="K1160">
        <v>0</v>
      </c>
      <c r="L1160" t="s">
        <v>161</v>
      </c>
      <c r="N1160" t="s">
        <v>210</v>
      </c>
      <c r="O1160" t="s">
        <v>281</v>
      </c>
      <c r="P1160">
        <v>9.7714201772930377E-4</v>
      </c>
      <c r="Q1160" t="s">
        <v>161</v>
      </c>
    </row>
    <row r="1161" spans="9:17" x14ac:dyDescent="0.45">
      <c r="I1161" t="s">
        <v>187</v>
      </c>
      <c r="J1161" t="s">
        <v>282</v>
      </c>
      <c r="K1161">
        <v>0</v>
      </c>
      <c r="L1161" t="s">
        <v>161</v>
      </c>
      <c r="N1161" t="s">
        <v>210</v>
      </c>
      <c r="O1161" t="s">
        <v>282</v>
      </c>
      <c r="P1161">
        <v>1.0250838807202311E-3</v>
      </c>
      <c r="Q1161" t="s">
        <v>161</v>
      </c>
    </row>
    <row r="1162" spans="9:17" x14ac:dyDescent="0.45">
      <c r="I1162" t="s">
        <v>187</v>
      </c>
      <c r="J1162" t="s">
        <v>283</v>
      </c>
      <c r="K1162">
        <v>0</v>
      </c>
      <c r="L1162" t="s">
        <v>161</v>
      </c>
      <c r="N1162" t="s">
        <v>210</v>
      </c>
      <c r="O1162" t="s">
        <v>283</v>
      </c>
      <c r="P1162">
        <v>6.4771337578429355E-3</v>
      </c>
      <c r="Q1162" t="s">
        <v>161</v>
      </c>
    </row>
    <row r="1163" spans="9:17" x14ac:dyDescent="0.45">
      <c r="I1163" t="s">
        <v>188</v>
      </c>
      <c r="J1163" t="s">
        <v>160</v>
      </c>
      <c r="K1163">
        <v>1.7243991207857635E-3</v>
      </c>
      <c r="L1163" t="s">
        <v>161</v>
      </c>
      <c r="N1163" t="s">
        <v>211</v>
      </c>
      <c r="O1163" t="s">
        <v>160</v>
      </c>
      <c r="P1163">
        <v>7.1145750171134628E-2</v>
      </c>
      <c r="Q1163" t="s">
        <v>161</v>
      </c>
    </row>
    <row r="1164" spans="9:17" x14ac:dyDescent="0.45">
      <c r="I1164" t="s">
        <v>188</v>
      </c>
      <c r="J1164" t="s">
        <v>162</v>
      </c>
      <c r="K1164">
        <v>5.3643441872640706E-3</v>
      </c>
      <c r="L1164" t="s">
        <v>161</v>
      </c>
      <c r="N1164" t="s">
        <v>211</v>
      </c>
      <c r="O1164" t="s">
        <v>162</v>
      </c>
      <c r="P1164">
        <v>8.7829507310636951E-3</v>
      </c>
      <c r="Q1164" t="s">
        <v>161</v>
      </c>
    </row>
    <row r="1165" spans="9:17" x14ac:dyDescent="0.45">
      <c r="I1165" t="s">
        <v>188</v>
      </c>
      <c r="J1165" t="s">
        <v>163</v>
      </c>
      <c r="K1165">
        <v>9.4062287656426574E-2</v>
      </c>
      <c r="L1165" t="s">
        <v>161</v>
      </c>
      <c r="N1165" t="s">
        <v>211</v>
      </c>
      <c r="O1165" t="s">
        <v>163</v>
      </c>
      <c r="P1165">
        <v>5.9464881237995433E-2</v>
      </c>
      <c r="Q1165" t="s">
        <v>161</v>
      </c>
    </row>
    <row r="1166" spans="9:17" x14ac:dyDescent="0.45">
      <c r="I1166" t="s">
        <v>188</v>
      </c>
      <c r="J1166" t="s">
        <v>242</v>
      </c>
      <c r="K1166">
        <v>7.6543995092482999E-3</v>
      </c>
      <c r="L1166" t="s">
        <v>161</v>
      </c>
      <c r="N1166" t="s">
        <v>211</v>
      </c>
      <c r="O1166" t="s">
        <v>242</v>
      </c>
      <c r="P1166">
        <v>8.7299860337553842E-3</v>
      </c>
      <c r="Q1166" t="s">
        <v>161</v>
      </c>
    </row>
    <row r="1167" spans="9:17" x14ac:dyDescent="0.45">
      <c r="I1167" t="s">
        <v>188</v>
      </c>
      <c r="J1167" t="s">
        <v>243</v>
      </c>
      <c r="K1167">
        <v>3.1084662299893486E-3</v>
      </c>
      <c r="L1167" t="s">
        <v>161</v>
      </c>
      <c r="N1167" t="s">
        <v>211</v>
      </c>
      <c r="O1167" t="s">
        <v>243</v>
      </c>
      <c r="P1167">
        <v>9.0560825875533185E-3</v>
      </c>
      <c r="Q1167" t="s">
        <v>161</v>
      </c>
    </row>
    <row r="1168" spans="9:17" x14ac:dyDescent="0.45">
      <c r="I1168" t="s">
        <v>188</v>
      </c>
      <c r="J1168" t="s">
        <v>266</v>
      </c>
      <c r="K1168">
        <v>0</v>
      </c>
      <c r="L1168" t="s">
        <v>161</v>
      </c>
      <c r="N1168" t="s">
        <v>211</v>
      </c>
      <c r="O1168" t="s">
        <v>266</v>
      </c>
      <c r="P1168">
        <v>5.2333094436079364E-2</v>
      </c>
      <c r="Q1168" t="s">
        <v>161</v>
      </c>
    </row>
    <row r="1169" spans="9:17" x14ac:dyDescent="0.45">
      <c r="I1169" t="s">
        <v>188</v>
      </c>
      <c r="J1169" t="s">
        <v>311</v>
      </c>
      <c r="K1169">
        <v>0</v>
      </c>
      <c r="L1169" t="s">
        <v>161</v>
      </c>
      <c r="N1169" t="s">
        <v>211</v>
      </c>
      <c r="O1169" t="s">
        <v>311</v>
      </c>
      <c r="P1169">
        <v>3.896698029619889E-6</v>
      </c>
      <c r="Q1169" t="s">
        <v>161</v>
      </c>
    </row>
    <row r="1170" spans="9:17" x14ac:dyDescent="0.45">
      <c r="I1170" t="s">
        <v>188</v>
      </c>
      <c r="J1170" t="s">
        <v>312</v>
      </c>
      <c r="K1170">
        <v>0</v>
      </c>
      <c r="L1170" t="s">
        <v>161</v>
      </c>
      <c r="N1170" t="s">
        <v>211</v>
      </c>
      <c r="O1170" t="s">
        <v>312</v>
      </c>
      <c r="P1170">
        <v>5.0718226135893131E-6</v>
      </c>
      <c r="Q1170" t="s">
        <v>161</v>
      </c>
    </row>
    <row r="1171" spans="9:17" x14ac:dyDescent="0.45">
      <c r="I1171" t="s">
        <v>188</v>
      </c>
      <c r="J1171" t="s">
        <v>313</v>
      </c>
      <c r="K1171">
        <v>0</v>
      </c>
      <c r="L1171" t="s">
        <v>161</v>
      </c>
      <c r="N1171" t="s">
        <v>211</v>
      </c>
      <c r="O1171" t="s">
        <v>313</v>
      </c>
      <c r="P1171">
        <v>5.2131790221403185E-6</v>
      </c>
      <c r="Q1171" t="s">
        <v>161</v>
      </c>
    </row>
    <row r="1172" spans="9:17" x14ac:dyDescent="0.45">
      <c r="I1172" t="s">
        <v>188</v>
      </c>
      <c r="J1172" t="s">
        <v>314</v>
      </c>
      <c r="K1172">
        <v>0</v>
      </c>
      <c r="L1172" t="s">
        <v>161</v>
      </c>
      <c r="N1172" t="s">
        <v>211</v>
      </c>
      <c r="O1172" t="s">
        <v>314</v>
      </c>
      <c r="P1172">
        <v>3.6795075583917877E-6</v>
      </c>
      <c r="Q1172" t="s">
        <v>161</v>
      </c>
    </row>
    <row r="1173" spans="9:17" x14ac:dyDescent="0.45">
      <c r="I1173" t="s">
        <v>188</v>
      </c>
      <c r="J1173" t="s">
        <v>315</v>
      </c>
      <c r="K1173">
        <v>0</v>
      </c>
      <c r="L1173" t="s">
        <v>161</v>
      </c>
      <c r="N1173" t="s">
        <v>211</v>
      </c>
      <c r="O1173" t="s">
        <v>315</v>
      </c>
      <c r="P1173">
        <v>4.9458243746988147E-6</v>
      </c>
      <c r="Q1173" t="s">
        <v>161</v>
      </c>
    </row>
    <row r="1174" spans="9:17" x14ac:dyDescent="0.45">
      <c r="I1174" t="s">
        <v>188</v>
      </c>
      <c r="J1174" t="s">
        <v>316</v>
      </c>
      <c r="K1174">
        <v>0</v>
      </c>
      <c r="L1174" t="s">
        <v>161</v>
      </c>
      <c r="N1174" t="s">
        <v>211</v>
      </c>
      <c r="O1174" t="s">
        <v>316</v>
      </c>
      <c r="P1174">
        <v>4.8416695377439114E-6</v>
      </c>
      <c r="Q1174" t="s">
        <v>161</v>
      </c>
    </row>
    <row r="1175" spans="9:17" x14ac:dyDescent="0.45">
      <c r="I1175" t="s">
        <v>188</v>
      </c>
      <c r="J1175" t="s">
        <v>317</v>
      </c>
      <c r="K1175">
        <v>0</v>
      </c>
      <c r="L1175" t="s">
        <v>161</v>
      </c>
      <c r="N1175" t="s">
        <v>211</v>
      </c>
      <c r="O1175" t="s">
        <v>317</v>
      </c>
      <c r="P1175">
        <v>6.4373429024614629E-6</v>
      </c>
      <c r="Q1175" t="s">
        <v>161</v>
      </c>
    </row>
    <row r="1176" spans="9:17" x14ac:dyDescent="0.45">
      <c r="I1176" t="s">
        <v>188</v>
      </c>
      <c r="J1176" t="s">
        <v>318</v>
      </c>
      <c r="K1176">
        <v>0</v>
      </c>
      <c r="L1176" t="s">
        <v>161</v>
      </c>
      <c r="N1176" t="s">
        <v>211</v>
      </c>
      <c r="O1176" t="s">
        <v>318</v>
      </c>
      <c r="P1176">
        <v>9.278665679064219E-6</v>
      </c>
      <c r="Q1176" t="s">
        <v>161</v>
      </c>
    </row>
    <row r="1177" spans="9:17" x14ac:dyDescent="0.45">
      <c r="I1177" t="s">
        <v>188</v>
      </c>
      <c r="J1177" t="s">
        <v>319</v>
      </c>
      <c r="K1177">
        <v>4.6841409763147886E-5</v>
      </c>
      <c r="L1177" t="s">
        <v>161</v>
      </c>
      <c r="N1177" t="s">
        <v>211</v>
      </c>
      <c r="O1177" t="s">
        <v>319</v>
      </c>
      <c r="P1177">
        <v>9.4024150523986653E-6</v>
      </c>
      <c r="Q1177" t="s">
        <v>161</v>
      </c>
    </row>
    <row r="1178" spans="9:17" x14ac:dyDescent="0.45">
      <c r="I1178" t="s">
        <v>188</v>
      </c>
      <c r="J1178" t="s">
        <v>320</v>
      </c>
      <c r="K1178">
        <v>9.2281572748189526E-5</v>
      </c>
      <c r="L1178" t="s">
        <v>161</v>
      </c>
      <c r="N1178" t="s">
        <v>211</v>
      </c>
      <c r="O1178" t="s">
        <v>320</v>
      </c>
      <c r="P1178">
        <v>9.510378627547501E-6</v>
      </c>
      <c r="Q1178" t="s">
        <v>161</v>
      </c>
    </row>
    <row r="1179" spans="9:17" x14ac:dyDescent="0.45">
      <c r="I1179" t="s">
        <v>188</v>
      </c>
      <c r="J1179" t="s">
        <v>321</v>
      </c>
      <c r="K1179">
        <v>1.4604202510207565E-4</v>
      </c>
      <c r="L1179" t="s">
        <v>161</v>
      </c>
      <c r="N1179" t="s">
        <v>211</v>
      </c>
      <c r="O1179" t="s">
        <v>321</v>
      </c>
      <c r="P1179">
        <v>1.4087879501279509E-5</v>
      </c>
      <c r="Q1179" t="s">
        <v>161</v>
      </c>
    </row>
    <row r="1180" spans="9:17" x14ac:dyDescent="0.45">
      <c r="I1180" t="s">
        <v>188</v>
      </c>
      <c r="J1180" t="s">
        <v>322</v>
      </c>
      <c r="K1180">
        <v>1.989755311405136E-4</v>
      </c>
      <c r="L1180" t="s">
        <v>161</v>
      </c>
      <c r="N1180" t="s">
        <v>211</v>
      </c>
      <c r="O1180" t="s">
        <v>322</v>
      </c>
      <c r="P1180">
        <v>1.2530317586172638E-5</v>
      </c>
      <c r="Q1180" t="s">
        <v>161</v>
      </c>
    </row>
    <row r="1181" spans="9:17" x14ac:dyDescent="0.45">
      <c r="I1181" t="s">
        <v>188</v>
      </c>
      <c r="J1181" t="s">
        <v>323</v>
      </c>
      <c r="K1181">
        <v>1.9579172917584913E-4</v>
      </c>
      <c r="L1181" t="s">
        <v>161</v>
      </c>
      <c r="N1181" t="s">
        <v>211</v>
      </c>
      <c r="O1181" t="s">
        <v>323</v>
      </c>
      <c r="P1181">
        <v>9.3966628926548927E-6</v>
      </c>
      <c r="Q1181" t="s">
        <v>161</v>
      </c>
    </row>
    <row r="1182" spans="9:17" x14ac:dyDescent="0.45">
      <c r="I1182" t="s">
        <v>188</v>
      </c>
      <c r="J1182" t="s">
        <v>324</v>
      </c>
      <c r="K1182">
        <v>2.3361678445894514E-4</v>
      </c>
      <c r="L1182" t="s">
        <v>161</v>
      </c>
      <c r="N1182" t="s">
        <v>211</v>
      </c>
      <c r="O1182" t="s">
        <v>324</v>
      </c>
      <c r="P1182">
        <v>8.8905255290974084E-6</v>
      </c>
      <c r="Q1182" t="s">
        <v>161</v>
      </c>
    </row>
    <row r="1183" spans="9:17" x14ac:dyDescent="0.45">
      <c r="I1183" t="s">
        <v>188</v>
      </c>
      <c r="J1183" t="s">
        <v>325</v>
      </c>
      <c r="K1183">
        <v>2.4175482693923056E-4</v>
      </c>
      <c r="L1183" t="s">
        <v>161</v>
      </c>
      <c r="N1183" t="s">
        <v>211</v>
      </c>
      <c r="O1183" t="s">
        <v>325</v>
      </c>
      <c r="P1183">
        <v>1.0260543607266877E-5</v>
      </c>
      <c r="Q1183" t="s">
        <v>161</v>
      </c>
    </row>
    <row r="1184" spans="9:17" x14ac:dyDescent="0.45">
      <c r="I1184" t="s">
        <v>188</v>
      </c>
      <c r="J1184" t="s">
        <v>326</v>
      </c>
      <c r="K1184">
        <v>1.493489915557797E-4</v>
      </c>
      <c r="L1184" t="s">
        <v>161</v>
      </c>
      <c r="N1184" t="s">
        <v>211</v>
      </c>
      <c r="O1184" t="s">
        <v>326</v>
      </c>
      <c r="P1184">
        <v>1.1858674234227865E-5</v>
      </c>
      <c r="Q1184" t="s">
        <v>161</v>
      </c>
    </row>
    <row r="1185" spans="9:17" x14ac:dyDescent="0.45">
      <c r="I1185" t="s">
        <v>188</v>
      </c>
      <c r="J1185" t="s">
        <v>327</v>
      </c>
      <c r="K1185">
        <v>1.027941450083245E-4</v>
      </c>
      <c r="L1185" t="s">
        <v>161</v>
      </c>
      <c r="N1185" t="s">
        <v>211</v>
      </c>
      <c r="O1185" t="s">
        <v>327</v>
      </c>
      <c r="P1185">
        <v>2.0803136687325775E-5</v>
      </c>
      <c r="Q1185" t="s">
        <v>161</v>
      </c>
    </row>
    <row r="1186" spans="9:17" x14ac:dyDescent="0.45">
      <c r="I1186" t="s">
        <v>188</v>
      </c>
      <c r="J1186" t="s">
        <v>328</v>
      </c>
      <c r="K1186">
        <v>8.5328549317858907E-5</v>
      </c>
      <c r="L1186" t="s">
        <v>161</v>
      </c>
      <c r="N1186" t="s">
        <v>211</v>
      </c>
      <c r="O1186" t="s">
        <v>328</v>
      </c>
      <c r="P1186">
        <v>3.5084240746481247E-5</v>
      </c>
      <c r="Q1186" t="s">
        <v>161</v>
      </c>
    </row>
    <row r="1187" spans="9:17" x14ac:dyDescent="0.45">
      <c r="I1187" t="s">
        <v>188</v>
      </c>
      <c r="J1187" t="s">
        <v>329</v>
      </c>
      <c r="K1187">
        <v>0</v>
      </c>
      <c r="L1187" t="s">
        <v>161</v>
      </c>
      <c r="N1187" t="s">
        <v>211</v>
      </c>
      <c r="O1187" t="s">
        <v>329</v>
      </c>
      <c r="P1187">
        <v>4.0838205417648729E-5</v>
      </c>
      <c r="Q1187" t="s">
        <v>161</v>
      </c>
    </row>
    <row r="1188" spans="9:17" x14ac:dyDescent="0.45">
      <c r="I1188" t="s">
        <v>188</v>
      </c>
      <c r="J1188" t="s">
        <v>330</v>
      </c>
      <c r="K1188">
        <v>0</v>
      </c>
      <c r="L1188" t="s">
        <v>161</v>
      </c>
      <c r="N1188" t="s">
        <v>211</v>
      </c>
      <c r="O1188" t="s">
        <v>330</v>
      </c>
      <c r="P1188">
        <v>3.530961707522475E-5</v>
      </c>
      <c r="Q1188" t="s">
        <v>161</v>
      </c>
    </row>
    <row r="1189" spans="9:17" x14ac:dyDescent="0.45">
      <c r="I1189" t="s">
        <v>188</v>
      </c>
      <c r="J1189" t="s">
        <v>331</v>
      </c>
      <c r="K1189">
        <v>0</v>
      </c>
      <c r="L1189" t="s">
        <v>161</v>
      </c>
      <c r="N1189" t="s">
        <v>211</v>
      </c>
      <c r="O1189" t="s">
        <v>331</v>
      </c>
      <c r="P1189">
        <v>3.1062582766488693E-5</v>
      </c>
      <c r="Q1189" t="s">
        <v>161</v>
      </c>
    </row>
    <row r="1190" spans="9:17" x14ac:dyDescent="0.45">
      <c r="I1190" t="s">
        <v>188</v>
      </c>
      <c r="J1190" t="s">
        <v>332</v>
      </c>
      <c r="K1190">
        <v>0</v>
      </c>
      <c r="L1190" t="s">
        <v>161</v>
      </c>
      <c r="N1190" t="s">
        <v>211</v>
      </c>
      <c r="O1190" t="s">
        <v>332</v>
      </c>
      <c r="P1190">
        <v>2.9997286028074799E-5</v>
      </c>
      <c r="Q1190" t="s">
        <v>161</v>
      </c>
    </row>
    <row r="1191" spans="9:17" x14ac:dyDescent="0.45">
      <c r="I1191" t="s">
        <v>188</v>
      </c>
      <c r="J1191" t="s">
        <v>333</v>
      </c>
      <c r="K1191">
        <v>0</v>
      </c>
      <c r="L1191" t="s">
        <v>161</v>
      </c>
      <c r="N1191" t="s">
        <v>211</v>
      </c>
      <c r="O1191" t="s">
        <v>333</v>
      </c>
      <c r="P1191">
        <v>2.3690553624974059E-5</v>
      </c>
      <c r="Q1191" t="s">
        <v>161</v>
      </c>
    </row>
    <row r="1192" spans="9:17" x14ac:dyDescent="0.45">
      <c r="I1192" t="s">
        <v>188</v>
      </c>
      <c r="J1192" t="s">
        <v>334</v>
      </c>
      <c r="K1192">
        <v>0</v>
      </c>
      <c r="L1192" t="s">
        <v>161</v>
      </c>
      <c r="N1192" t="s">
        <v>211</v>
      </c>
      <c r="O1192" t="s">
        <v>334</v>
      </c>
      <c r="P1192">
        <v>2.4708551221849288E-5</v>
      </c>
      <c r="Q1192" t="s">
        <v>161</v>
      </c>
    </row>
    <row r="1193" spans="9:17" x14ac:dyDescent="0.45">
      <c r="I1193" t="s">
        <v>188</v>
      </c>
      <c r="J1193" t="s">
        <v>164</v>
      </c>
      <c r="K1193">
        <v>1.0371647757622062E-2</v>
      </c>
      <c r="L1193" t="s">
        <v>161</v>
      </c>
      <c r="N1193" t="s">
        <v>211</v>
      </c>
      <c r="O1193" t="s">
        <v>164</v>
      </c>
      <c r="P1193">
        <v>3.8782136027723381E-2</v>
      </c>
      <c r="Q1193" t="s">
        <v>161</v>
      </c>
    </row>
    <row r="1194" spans="9:17" x14ac:dyDescent="0.45">
      <c r="I1194" t="s">
        <v>188</v>
      </c>
      <c r="J1194" t="s">
        <v>165</v>
      </c>
      <c r="K1194">
        <v>1.117127770124908E-2</v>
      </c>
      <c r="L1194" t="s">
        <v>161</v>
      </c>
      <c r="N1194" t="s">
        <v>211</v>
      </c>
      <c r="O1194" t="s">
        <v>165</v>
      </c>
      <c r="P1194">
        <v>4.8640700017167707E-3</v>
      </c>
      <c r="Q1194" t="s">
        <v>161</v>
      </c>
    </row>
    <row r="1195" spans="9:17" x14ac:dyDescent="0.45">
      <c r="I1195" t="s">
        <v>188</v>
      </c>
      <c r="J1195" t="s">
        <v>166</v>
      </c>
      <c r="K1195">
        <v>9.5127657133393453E-2</v>
      </c>
      <c r="L1195" t="s">
        <v>161</v>
      </c>
      <c r="N1195" t="s">
        <v>211</v>
      </c>
      <c r="O1195" t="s">
        <v>166</v>
      </c>
      <c r="P1195">
        <v>3.2386044285150753E-2</v>
      </c>
      <c r="Q1195" t="s">
        <v>161</v>
      </c>
    </row>
    <row r="1196" spans="9:17" x14ac:dyDescent="0.45">
      <c r="I1196" t="s">
        <v>188</v>
      </c>
      <c r="J1196" t="s">
        <v>244</v>
      </c>
      <c r="K1196">
        <v>8.4465747517719989E-3</v>
      </c>
      <c r="L1196" t="s">
        <v>161</v>
      </c>
      <c r="N1196" t="s">
        <v>211</v>
      </c>
      <c r="O1196" t="s">
        <v>244</v>
      </c>
      <c r="P1196">
        <v>5.2426170967827708E-3</v>
      </c>
      <c r="Q1196" t="s">
        <v>161</v>
      </c>
    </row>
    <row r="1197" spans="9:17" x14ac:dyDescent="0.45">
      <c r="I1197" t="s">
        <v>188</v>
      </c>
      <c r="J1197" t="s">
        <v>245</v>
      </c>
      <c r="K1197">
        <v>5.7760473078564628E-3</v>
      </c>
      <c r="L1197" t="s">
        <v>161</v>
      </c>
      <c r="N1197" t="s">
        <v>211</v>
      </c>
      <c r="O1197" t="s">
        <v>245</v>
      </c>
      <c r="P1197">
        <v>5.086087842983417E-3</v>
      </c>
      <c r="Q1197" t="s">
        <v>161</v>
      </c>
    </row>
    <row r="1198" spans="9:17" x14ac:dyDescent="0.45">
      <c r="I1198" t="s">
        <v>188</v>
      </c>
      <c r="J1198" t="s">
        <v>267</v>
      </c>
      <c r="K1198">
        <v>3.2352863987157349E-3</v>
      </c>
      <c r="L1198" t="s">
        <v>161</v>
      </c>
      <c r="N1198" t="s">
        <v>211</v>
      </c>
      <c r="O1198" t="s">
        <v>267</v>
      </c>
      <c r="P1198">
        <v>3.093736181491135E-2</v>
      </c>
      <c r="Q1198" t="s">
        <v>161</v>
      </c>
    </row>
    <row r="1199" spans="9:17" x14ac:dyDescent="0.45">
      <c r="I1199" t="s">
        <v>188</v>
      </c>
      <c r="J1199" t="s">
        <v>167</v>
      </c>
      <c r="K1199">
        <v>5.2061022045423413E-2</v>
      </c>
      <c r="L1199" t="s">
        <v>161</v>
      </c>
      <c r="N1199" t="s">
        <v>211</v>
      </c>
      <c r="O1199" t="s">
        <v>167</v>
      </c>
      <c r="P1199">
        <v>6.020284957834901E-2</v>
      </c>
      <c r="Q1199" t="s">
        <v>161</v>
      </c>
    </row>
    <row r="1200" spans="9:17" x14ac:dyDescent="0.45">
      <c r="I1200" t="s">
        <v>188</v>
      </c>
      <c r="J1200" t="s">
        <v>168</v>
      </c>
      <c r="K1200">
        <v>3.1708538211330517E-2</v>
      </c>
      <c r="L1200" t="s">
        <v>161</v>
      </c>
      <c r="N1200" t="s">
        <v>211</v>
      </c>
      <c r="O1200" t="s">
        <v>168</v>
      </c>
      <c r="P1200">
        <v>7.4473414959041855E-3</v>
      </c>
      <c r="Q1200" t="s">
        <v>161</v>
      </c>
    </row>
    <row r="1201" spans="9:17" x14ac:dyDescent="0.45">
      <c r="I1201" t="s">
        <v>188</v>
      </c>
      <c r="J1201" t="s">
        <v>169</v>
      </c>
      <c r="K1201">
        <v>0.25894982513915854</v>
      </c>
      <c r="L1201" t="s">
        <v>161</v>
      </c>
      <c r="N1201" t="s">
        <v>211</v>
      </c>
      <c r="O1201" t="s">
        <v>169</v>
      </c>
      <c r="P1201">
        <v>5.6263392286591211E-2</v>
      </c>
      <c r="Q1201" t="s">
        <v>161</v>
      </c>
    </row>
    <row r="1202" spans="9:17" x14ac:dyDescent="0.45">
      <c r="I1202" t="s">
        <v>188</v>
      </c>
      <c r="J1202" t="s">
        <v>246</v>
      </c>
      <c r="K1202">
        <v>2.9093353980604E-2</v>
      </c>
      <c r="L1202" t="s">
        <v>161</v>
      </c>
      <c r="N1202" t="s">
        <v>211</v>
      </c>
      <c r="O1202" t="s">
        <v>246</v>
      </c>
      <c r="P1202">
        <v>8.4992970201523219E-3</v>
      </c>
      <c r="Q1202" t="s">
        <v>161</v>
      </c>
    </row>
    <row r="1203" spans="9:17" x14ac:dyDescent="0.45">
      <c r="I1203" t="s">
        <v>188</v>
      </c>
      <c r="J1203" t="s">
        <v>247</v>
      </c>
      <c r="K1203">
        <v>2.3469015911068446E-2</v>
      </c>
      <c r="L1203" t="s">
        <v>161</v>
      </c>
      <c r="N1203" t="s">
        <v>211</v>
      </c>
      <c r="O1203" t="s">
        <v>247</v>
      </c>
      <c r="P1203">
        <v>7.9553669972102399E-3</v>
      </c>
      <c r="Q1203" t="s">
        <v>161</v>
      </c>
    </row>
    <row r="1204" spans="9:17" x14ac:dyDescent="0.45">
      <c r="I1204" t="s">
        <v>188</v>
      </c>
      <c r="J1204" t="s">
        <v>268</v>
      </c>
      <c r="K1204">
        <v>2.6096135185877143E-2</v>
      </c>
      <c r="L1204" t="s">
        <v>161</v>
      </c>
      <c r="N1204" t="s">
        <v>211</v>
      </c>
      <c r="O1204" t="s">
        <v>268</v>
      </c>
      <c r="P1204">
        <v>4.8831259626520421E-2</v>
      </c>
      <c r="Q1204" t="s">
        <v>161</v>
      </c>
    </row>
    <row r="1205" spans="9:17" x14ac:dyDescent="0.45">
      <c r="I1205" t="s">
        <v>188</v>
      </c>
      <c r="J1205" t="s">
        <v>170</v>
      </c>
      <c r="K1205">
        <v>2.0555940661237698E-2</v>
      </c>
      <c r="L1205" t="s">
        <v>161</v>
      </c>
      <c r="N1205" t="s">
        <v>211</v>
      </c>
      <c r="O1205" t="s">
        <v>170</v>
      </c>
      <c r="P1205">
        <v>2.9184086288672528E-2</v>
      </c>
      <c r="Q1205" t="s">
        <v>161</v>
      </c>
    </row>
    <row r="1206" spans="9:17" x14ac:dyDescent="0.45">
      <c r="I1206" t="s">
        <v>188</v>
      </c>
      <c r="J1206" t="s">
        <v>171</v>
      </c>
      <c r="K1206">
        <v>1.5476779126701571E-2</v>
      </c>
      <c r="L1206" t="s">
        <v>161</v>
      </c>
      <c r="N1206" t="s">
        <v>211</v>
      </c>
      <c r="O1206" t="s">
        <v>171</v>
      </c>
      <c r="P1206">
        <v>3.4783084590683335E-3</v>
      </c>
      <c r="Q1206" t="s">
        <v>161</v>
      </c>
    </row>
    <row r="1207" spans="9:17" x14ac:dyDescent="0.45">
      <c r="I1207" t="s">
        <v>188</v>
      </c>
      <c r="J1207" t="s">
        <v>172</v>
      </c>
      <c r="K1207">
        <v>0.12546235763867242</v>
      </c>
      <c r="L1207" t="s">
        <v>161</v>
      </c>
      <c r="N1207" t="s">
        <v>211</v>
      </c>
      <c r="O1207" t="s">
        <v>172</v>
      </c>
      <c r="P1207">
        <v>2.4419958811507072E-2</v>
      </c>
      <c r="Q1207" t="s">
        <v>161</v>
      </c>
    </row>
    <row r="1208" spans="9:17" x14ac:dyDescent="0.45">
      <c r="I1208" t="s">
        <v>188</v>
      </c>
      <c r="J1208" t="s">
        <v>248</v>
      </c>
      <c r="K1208">
        <v>1.2543415115818692E-2</v>
      </c>
      <c r="L1208" t="s">
        <v>161</v>
      </c>
      <c r="N1208" t="s">
        <v>211</v>
      </c>
      <c r="O1208" t="s">
        <v>248</v>
      </c>
      <c r="P1208">
        <v>3.5384140847304841E-3</v>
      </c>
      <c r="Q1208" t="s">
        <v>161</v>
      </c>
    </row>
    <row r="1209" spans="9:17" x14ac:dyDescent="0.45">
      <c r="I1209" t="s">
        <v>188</v>
      </c>
      <c r="J1209" t="s">
        <v>249</v>
      </c>
      <c r="K1209">
        <v>9.8175096026884463E-3</v>
      </c>
      <c r="L1209" t="s">
        <v>161</v>
      </c>
      <c r="N1209" t="s">
        <v>211</v>
      </c>
      <c r="O1209" t="s">
        <v>249</v>
      </c>
      <c r="P1209">
        <v>3.2008456979798821E-3</v>
      </c>
      <c r="Q1209" t="s">
        <v>161</v>
      </c>
    </row>
    <row r="1210" spans="9:17" x14ac:dyDescent="0.45">
      <c r="I1210" t="s">
        <v>188</v>
      </c>
      <c r="J1210" t="s">
        <v>269</v>
      </c>
      <c r="K1210">
        <v>8.2644842989268216E-3</v>
      </c>
      <c r="L1210" t="s">
        <v>161</v>
      </c>
      <c r="N1210" t="s">
        <v>211</v>
      </c>
      <c r="O1210" t="s">
        <v>269</v>
      </c>
      <c r="P1210">
        <v>2.1350086379452102E-2</v>
      </c>
      <c r="Q1210" t="s">
        <v>161</v>
      </c>
    </row>
    <row r="1211" spans="9:17" x14ac:dyDescent="0.45">
      <c r="I1211" t="s">
        <v>188</v>
      </c>
      <c r="J1211" t="s">
        <v>250</v>
      </c>
      <c r="K1211">
        <v>3.8653624634440074E-3</v>
      </c>
      <c r="L1211" t="s">
        <v>161</v>
      </c>
      <c r="N1211" t="s">
        <v>211</v>
      </c>
      <c r="O1211" t="s">
        <v>250</v>
      </c>
      <c r="P1211">
        <v>5.1323754220149939E-2</v>
      </c>
      <c r="Q1211" t="s">
        <v>161</v>
      </c>
    </row>
    <row r="1212" spans="9:17" x14ac:dyDescent="0.45">
      <c r="I1212" t="s">
        <v>188</v>
      </c>
      <c r="J1212" t="s">
        <v>251</v>
      </c>
      <c r="K1212">
        <v>6.6687831875391016E-3</v>
      </c>
      <c r="L1212" t="s">
        <v>161</v>
      </c>
      <c r="N1212" t="s">
        <v>211</v>
      </c>
      <c r="O1212" t="s">
        <v>251</v>
      </c>
      <c r="P1212">
        <v>6.5862179635786397E-3</v>
      </c>
      <c r="Q1212" t="s">
        <v>161</v>
      </c>
    </row>
    <row r="1213" spans="9:17" x14ac:dyDescent="0.45">
      <c r="I1213" t="s">
        <v>188</v>
      </c>
      <c r="J1213" t="s">
        <v>252</v>
      </c>
      <c r="K1213">
        <v>7.3102374996802541E-2</v>
      </c>
      <c r="L1213" t="s">
        <v>161</v>
      </c>
      <c r="N1213" t="s">
        <v>211</v>
      </c>
      <c r="O1213" t="s">
        <v>252</v>
      </c>
      <c r="P1213">
        <v>4.1562973645768365E-2</v>
      </c>
      <c r="Q1213" t="s">
        <v>161</v>
      </c>
    </row>
    <row r="1214" spans="9:17" x14ac:dyDescent="0.45">
      <c r="I1214" t="s">
        <v>188</v>
      </c>
      <c r="J1214" t="s">
        <v>253</v>
      </c>
      <c r="K1214">
        <v>6.2418964555726441E-3</v>
      </c>
      <c r="L1214" t="s">
        <v>161</v>
      </c>
      <c r="N1214" t="s">
        <v>211</v>
      </c>
      <c r="O1214" t="s">
        <v>253</v>
      </c>
      <c r="P1214">
        <v>5.9880290279465571E-3</v>
      </c>
      <c r="Q1214" t="s">
        <v>161</v>
      </c>
    </row>
    <row r="1215" spans="9:17" x14ac:dyDescent="0.45">
      <c r="I1215" t="s">
        <v>188</v>
      </c>
      <c r="J1215" t="s">
        <v>254</v>
      </c>
      <c r="K1215">
        <v>2.2461512309413872E-3</v>
      </c>
      <c r="L1215" t="s">
        <v>161</v>
      </c>
      <c r="N1215" t="s">
        <v>211</v>
      </c>
      <c r="O1215" t="s">
        <v>254</v>
      </c>
      <c r="P1215">
        <v>6.4077478245436557E-3</v>
      </c>
      <c r="Q1215" t="s">
        <v>161</v>
      </c>
    </row>
    <row r="1216" spans="9:17" x14ac:dyDescent="0.45">
      <c r="I1216" t="s">
        <v>188</v>
      </c>
      <c r="J1216" t="s">
        <v>270</v>
      </c>
      <c r="K1216">
        <v>2.6711525342290173E-6</v>
      </c>
      <c r="L1216" t="s">
        <v>161</v>
      </c>
      <c r="N1216" t="s">
        <v>211</v>
      </c>
      <c r="O1216" t="s">
        <v>270</v>
      </c>
      <c r="P1216">
        <v>4.1836776391136109E-2</v>
      </c>
      <c r="Q1216" t="s">
        <v>161</v>
      </c>
    </row>
    <row r="1217" spans="9:17" x14ac:dyDescent="0.45">
      <c r="I1217" t="s">
        <v>188</v>
      </c>
      <c r="J1217" t="s">
        <v>255</v>
      </c>
      <c r="K1217">
        <v>0</v>
      </c>
      <c r="L1217" t="s">
        <v>161</v>
      </c>
      <c r="N1217" t="s">
        <v>211</v>
      </c>
      <c r="O1217" t="s">
        <v>255</v>
      </c>
      <c r="P1217">
        <v>5.363299644700039E-2</v>
      </c>
      <c r="Q1217" t="s">
        <v>161</v>
      </c>
    </row>
    <row r="1218" spans="9:17" x14ac:dyDescent="0.45">
      <c r="I1218" t="s">
        <v>188</v>
      </c>
      <c r="J1218" t="s">
        <v>256</v>
      </c>
      <c r="K1218">
        <v>1.8323947446471998E-3</v>
      </c>
      <c r="L1218" t="s">
        <v>161</v>
      </c>
      <c r="N1218" t="s">
        <v>211</v>
      </c>
      <c r="O1218" t="s">
        <v>256</v>
      </c>
      <c r="P1218">
        <v>6.2945281182939187E-3</v>
      </c>
      <c r="Q1218" t="s">
        <v>161</v>
      </c>
    </row>
    <row r="1219" spans="9:17" x14ac:dyDescent="0.45">
      <c r="I1219" t="s">
        <v>188</v>
      </c>
      <c r="J1219" t="s">
        <v>257</v>
      </c>
      <c r="K1219">
        <v>3.5136342430741013E-2</v>
      </c>
      <c r="L1219" t="s">
        <v>161</v>
      </c>
      <c r="N1219" t="s">
        <v>211</v>
      </c>
      <c r="O1219" t="s">
        <v>257</v>
      </c>
      <c r="P1219">
        <v>4.1950148108176467E-2</v>
      </c>
      <c r="Q1219" t="s">
        <v>161</v>
      </c>
    </row>
    <row r="1220" spans="9:17" x14ac:dyDescent="0.45">
      <c r="I1220" t="s">
        <v>188</v>
      </c>
      <c r="J1220" t="s">
        <v>258</v>
      </c>
      <c r="K1220">
        <v>6.7134346540074379E-4</v>
      </c>
      <c r="L1220" t="s">
        <v>161</v>
      </c>
      <c r="N1220" t="s">
        <v>211</v>
      </c>
      <c r="O1220" t="s">
        <v>258</v>
      </c>
      <c r="P1220">
        <v>6.4692647129252967E-3</v>
      </c>
      <c r="Q1220" t="s">
        <v>161</v>
      </c>
    </row>
    <row r="1221" spans="9:17" x14ac:dyDescent="0.45">
      <c r="I1221" t="s">
        <v>188</v>
      </c>
      <c r="J1221" t="s">
        <v>259</v>
      </c>
      <c r="K1221">
        <v>0</v>
      </c>
      <c r="L1221" t="s">
        <v>161</v>
      </c>
      <c r="N1221" t="s">
        <v>211</v>
      </c>
      <c r="O1221" t="s">
        <v>259</v>
      </c>
      <c r="P1221">
        <v>6.6805659520126374E-3</v>
      </c>
      <c r="Q1221" t="s">
        <v>161</v>
      </c>
    </row>
    <row r="1222" spans="9:17" x14ac:dyDescent="0.45">
      <c r="I1222" t="s">
        <v>188</v>
      </c>
      <c r="J1222" t="s">
        <v>271</v>
      </c>
      <c r="K1222">
        <v>0</v>
      </c>
      <c r="L1222" t="s">
        <v>161</v>
      </c>
      <c r="N1222" t="s">
        <v>211</v>
      </c>
      <c r="O1222" t="s">
        <v>271</v>
      </c>
      <c r="P1222">
        <v>4.0655279341068787E-2</v>
      </c>
      <c r="Q1222" t="s">
        <v>161</v>
      </c>
    </row>
    <row r="1223" spans="9:17" x14ac:dyDescent="0.45">
      <c r="I1223" t="s">
        <v>188</v>
      </c>
      <c r="J1223" t="s">
        <v>272</v>
      </c>
      <c r="K1223">
        <v>0</v>
      </c>
      <c r="L1223" t="s">
        <v>161</v>
      </c>
      <c r="N1223" t="s">
        <v>211</v>
      </c>
      <c r="O1223" t="s">
        <v>272</v>
      </c>
      <c r="P1223">
        <v>2.222229127131569E-2</v>
      </c>
      <c r="Q1223" t="s">
        <v>161</v>
      </c>
    </row>
    <row r="1224" spans="9:17" x14ac:dyDescent="0.45">
      <c r="I1224" t="s">
        <v>188</v>
      </c>
      <c r="J1224" t="s">
        <v>273</v>
      </c>
      <c r="K1224">
        <v>0</v>
      </c>
      <c r="L1224" t="s">
        <v>161</v>
      </c>
      <c r="N1224" t="s">
        <v>211</v>
      </c>
      <c r="O1224" t="s">
        <v>273</v>
      </c>
      <c r="P1224">
        <v>2.6907212066591027E-3</v>
      </c>
      <c r="Q1224" t="s">
        <v>161</v>
      </c>
    </row>
    <row r="1225" spans="9:17" x14ac:dyDescent="0.45">
      <c r="I1225" t="s">
        <v>188</v>
      </c>
      <c r="J1225" t="s">
        <v>274</v>
      </c>
      <c r="K1225">
        <v>5.6261710488744307E-3</v>
      </c>
      <c r="L1225" t="s">
        <v>161</v>
      </c>
      <c r="N1225" t="s">
        <v>211</v>
      </c>
      <c r="O1225" t="s">
        <v>274</v>
      </c>
      <c r="P1225">
        <v>1.6509402277673082E-2</v>
      </c>
      <c r="Q1225" t="s">
        <v>161</v>
      </c>
    </row>
    <row r="1226" spans="9:17" x14ac:dyDescent="0.45">
      <c r="I1226" t="s">
        <v>188</v>
      </c>
      <c r="J1226" t="s">
        <v>275</v>
      </c>
      <c r="K1226">
        <v>0</v>
      </c>
      <c r="L1226" t="s">
        <v>161</v>
      </c>
      <c r="N1226" t="s">
        <v>211</v>
      </c>
      <c r="O1226" t="s">
        <v>275</v>
      </c>
      <c r="P1226">
        <v>2.2936717295715574E-3</v>
      </c>
      <c r="Q1226" t="s">
        <v>161</v>
      </c>
    </row>
    <row r="1227" spans="9:17" x14ac:dyDescent="0.45">
      <c r="I1227" t="s">
        <v>188</v>
      </c>
      <c r="J1227" t="s">
        <v>276</v>
      </c>
      <c r="K1227">
        <v>0</v>
      </c>
      <c r="L1227" t="s">
        <v>161</v>
      </c>
      <c r="N1227" t="s">
        <v>211</v>
      </c>
      <c r="O1227" t="s">
        <v>276</v>
      </c>
      <c r="P1227">
        <v>2.3657591524764397E-3</v>
      </c>
      <c r="Q1227" t="s">
        <v>161</v>
      </c>
    </row>
    <row r="1228" spans="9:17" x14ac:dyDescent="0.45">
      <c r="I1228" t="s">
        <v>188</v>
      </c>
      <c r="J1228" t="s">
        <v>277</v>
      </c>
      <c r="K1228">
        <v>0</v>
      </c>
      <c r="L1228" t="s">
        <v>161</v>
      </c>
      <c r="N1228" t="s">
        <v>211</v>
      </c>
      <c r="O1228" t="s">
        <v>277</v>
      </c>
      <c r="P1228">
        <v>1.5276498479907471E-2</v>
      </c>
      <c r="Q1228" t="s">
        <v>161</v>
      </c>
    </row>
    <row r="1229" spans="9:17" x14ac:dyDescent="0.45">
      <c r="I1229" t="s">
        <v>188</v>
      </c>
      <c r="J1229" t="s">
        <v>278</v>
      </c>
      <c r="K1229">
        <v>0</v>
      </c>
      <c r="L1229" t="s">
        <v>161</v>
      </c>
      <c r="N1229" t="s">
        <v>211</v>
      </c>
      <c r="O1229" t="s">
        <v>278</v>
      </c>
      <c r="P1229">
        <v>9.113414420054056E-3</v>
      </c>
      <c r="Q1229" t="s">
        <v>161</v>
      </c>
    </row>
    <row r="1230" spans="9:17" x14ac:dyDescent="0.45">
      <c r="I1230" t="s">
        <v>188</v>
      </c>
      <c r="J1230" t="s">
        <v>279</v>
      </c>
      <c r="K1230">
        <v>0</v>
      </c>
      <c r="L1230" t="s">
        <v>161</v>
      </c>
      <c r="N1230" t="s">
        <v>211</v>
      </c>
      <c r="O1230" t="s">
        <v>279</v>
      </c>
      <c r="P1230">
        <v>1.3244739187918129E-3</v>
      </c>
      <c r="Q1230" t="s">
        <v>161</v>
      </c>
    </row>
    <row r="1231" spans="9:17" x14ac:dyDescent="0.45">
      <c r="I1231" t="s">
        <v>188</v>
      </c>
      <c r="J1231" t="s">
        <v>280</v>
      </c>
      <c r="K1231">
        <v>3.5729685864610799E-3</v>
      </c>
      <c r="L1231" t="s">
        <v>161</v>
      </c>
      <c r="N1231" t="s">
        <v>211</v>
      </c>
      <c r="O1231" t="s">
        <v>280</v>
      </c>
      <c r="P1231">
        <v>8.1219420055669549E-3</v>
      </c>
      <c r="Q1231" t="s">
        <v>161</v>
      </c>
    </row>
    <row r="1232" spans="9:17" x14ac:dyDescent="0.45">
      <c r="I1232" t="s">
        <v>188</v>
      </c>
      <c r="J1232" t="s">
        <v>281</v>
      </c>
      <c r="K1232">
        <v>0</v>
      </c>
      <c r="L1232" t="s">
        <v>161</v>
      </c>
      <c r="N1232" t="s">
        <v>211</v>
      </c>
      <c r="O1232" t="s">
        <v>281</v>
      </c>
      <c r="P1232">
        <v>1.065385761567764E-3</v>
      </c>
      <c r="Q1232" t="s">
        <v>161</v>
      </c>
    </row>
    <row r="1233" spans="9:17" x14ac:dyDescent="0.45">
      <c r="I1233" t="s">
        <v>188</v>
      </c>
      <c r="J1233" t="s">
        <v>282</v>
      </c>
      <c r="K1233">
        <v>0</v>
      </c>
      <c r="L1233" t="s">
        <v>161</v>
      </c>
      <c r="N1233" t="s">
        <v>211</v>
      </c>
      <c r="O1233" t="s">
        <v>282</v>
      </c>
      <c r="P1233">
        <v>1.0929208936416464E-3</v>
      </c>
      <c r="Q1233" t="s">
        <v>161</v>
      </c>
    </row>
    <row r="1234" spans="9:17" x14ac:dyDescent="0.45">
      <c r="I1234" t="s">
        <v>188</v>
      </c>
      <c r="J1234" t="s">
        <v>283</v>
      </c>
      <c r="K1234">
        <v>0</v>
      </c>
      <c r="L1234" t="s">
        <v>161</v>
      </c>
      <c r="N1234" t="s">
        <v>211</v>
      </c>
      <c r="O1234" t="s">
        <v>283</v>
      </c>
      <c r="P1234">
        <v>6.9821718568703253E-3</v>
      </c>
      <c r="Q1234" t="s">
        <v>161</v>
      </c>
    </row>
    <row r="1235" spans="9:17" x14ac:dyDescent="0.45">
      <c r="I1235" t="s">
        <v>189</v>
      </c>
      <c r="J1235" t="s">
        <v>160</v>
      </c>
      <c r="K1235">
        <v>2.0179467180957934E-3</v>
      </c>
      <c r="L1235" t="s">
        <v>161</v>
      </c>
      <c r="N1235" t="s">
        <v>212</v>
      </c>
      <c r="O1235" t="s">
        <v>160</v>
      </c>
      <c r="P1235">
        <v>8.3453827149801402E-2</v>
      </c>
      <c r="Q1235" t="s">
        <v>161</v>
      </c>
    </row>
    <row r="1236" spans="9:17" x14ac:dyDescent="0.45">
      <c r="I1236" t="s">
        <v>189</v>
      </c>
      <c r="J1236" t="s">
        <v>162</v>
      </c>
      <c r="K1236">
        <v>6.4319938944366623E-3</v>
      </c>
      <c r="L1236" t="s">
        <v>161</v>
      </c>
      <c r="N1236" t="s">
        <v>212</v>
      </c>
      <c r="O1236" t="s">
        <v>162</v>
      </c>
      <c r="P1236">
        <v>9.4536566457491551E-3</v>
      </c>
      <c r="Q1236" t="s">
        <v>161</v>
      </c>
    </row>
    <row r="1237" spans="9:17" x14ac:dyDescent="0.45">
      <c r="I1237" t="s">
        <v>189</v>
      </c>
      <c r="J1237" t="s">
        <v>163</v>
      </c>
      <c r="K1237">
        <v>9.4196005123966406E-2</v>
      </c>
      <c r="L1237" t="s">
        <v>161</v>
      </c>
      <c r="N1237" t="s">
        <v>212</v>
      </c>
      <c r="O1237" t="s">
        <v>163</v>
      </c>
      <c r="P1237">
        <v>5.7952000353864032E-2</v>
      </c>
      <c r="Q1237" t="s">
        <v>161</v>
      </c>
    </row>
    <row r="1238" spans="9:17" x14ac:dyDescent="0.45">
      <c r="I1238" t="s">
        <v>189</v>
      </c>
      <c r="J1238" t="s">
        <v>242</v>
      </c>
      <c r="K1238">
        <v>7.5032176107355276E-3</v>
      </c>
      <c r="L1238" t="s">
        <v>161</v>
      </c>
      <c r="N1238" t="s">
        <v>212</v>
      </c>
      <c r="O1238" t="s">
        <v>242</v>
      </c>
      <c r="P1238">
        <v>9.3133602937910467E-3</v>
      </c>
      <c r="Q1238" t="s">
        <v>161</v>
      </c>
    </row>
    <row r="1239" spans="9:17" x14ac:dyDescent="0.45">
      <c r="I1239" t="s">
        <v>189</v>
      </c>
      <c r="J1239" t="s">
        <v>243</v>
      </c>
      <c r="K1239">
        <v>3.4224327523842382E-3</v>
      </c>
      <c r="L1239" t="s">
        <v>161</v>
      </c>
      <c r="N1239" t="s">
        <v>212</v>
      </c>
      <c r="O1239" t="s">
        <v>243</v>
      </c>
      <c r="P1239">
        <v>9.8066428079869091E-3</v>
      </c>
      <c r="Q1239" t="s">
        <v>161</v>
      </c>
    </row>
    <row r="1240" spans="9:17" x14ac:dyDescent="0.45">
      <c r="I1240" t="s">
        <v>189</v>
      </c>
      <c r="J1240" t="s">
        <v>266</v>
      </c>
      <c r="K1240">
        <v>1.5509885138534424E-6</v>
      </c>
      <c r="L1240" t="s">
        <v>161</v>
      </c>
      <c r="N1240" t="s">
        <v>212</v>
      </c>
      <c r="O1240" t="s">
        <v>266</v>
      </c>
      <c r="P1240">
        <v>6.6818366552816311E-2</v>
      </c>
      <c r="Q1240" t="s">
        <v>161</v>
      </c>
    </row>
    <row r="1241" spans="9:17" x14ac:dyDescent="0.45">
      <c r="I1241" t="s">
        <v>189</v>
      </c>
      <c r="J1241" t="s">
        <v>311</v>
      </c>
      <c r="K1241">
        <v>0</v>
      </c>
      <c r="L1241" t="s">
        <v>161</v>
      </c>
      <c r="N1241" t="s">
        <v>212</v>
      </c>
      <c r="O1241" t="s">
        <v>311</v>
      </c>
      <c r="P1241">
        <v>2.0027179059603665E-5</v>
      </c>
      <c r="Q1241" t="s">
        <v>161</v>
      </c>
    </row>
    <row r="1242" spans="9:17" x14ac:dyDescent="0.45">
      <c r="I1242" t="s">
        <v>189</v>
      </c>
      <c r="J1242" t="s">
        <v>312</v>
      </c>
      <c r="K1242">
        <v>0</v>
      </c>
      <c r="L1242" t="s">
        <v>161</v>
      </c>
      <c r="N1242" t="s">
        <v>212</v>
      </c>
      <c r="O1242" t="s">
        <v>312</v>
      </c>
      <c r="P1242">
        <v>1.3400197902653867E-5</v>
      </c>
      <c r="Q1242" t="s">
        <v>161</v>
      </c>
    </row>
    <row r="1243" spans="9:17" x14ac:dyDescent="0.45">
      <c r="I1243" t="s">
        <v>189</v>
      </c>
      <c r="J1243" t="s">
        <v>313</v>
      </c>
      <c r="K1243">
        <v>0</v>
      </c>
      <c r="L1243" t="s">
        <v>161</v>
      </c>
      <c r="N1243" t="s">
        <v>212</v>
      </c>
      <c r="O1243" t="s">
        <v>313</v>
      </c>
      <c r="P1243">
        <v>6.7358634502344794E-6</v>
      </c>
      <c r="Q1243" t="s">
        <v>161</v>
      </c>
    </row>
    <row r="1244" spans="9:17" x14ac:dyDescent="0.45">
      <c r="I1244" t="s">
        <v>189</v>
      </c>
      <c r="J1244" t="s">
        <v>314</v>
      </c>
      <c r="K1244">
        <v>0</v>
      </c>
      <c r="L1244" t="s">
        <v>161</v>
      </c>
      <c r="N1244" t="s">
        <v>212</v>
      </c>
      <c r="O1244" t="s">
        <v>314</v>
      </c>
      <c r="P1244">
        <v>1.9729935882886087E-6</v>
      </c>
      <c r="Q1244" t="s">
        <v>161</v>
      </c>
    </row>
    <row r="1245" spans="9:17" x14ac:dyDescent="0.45">
      <c r="I1245" t="s">
        <v>189</v>
      </c>
      <c r="J1245" t="s">
        <v>315</v>
      </c>
      <c r="K1245">
        <v>0</v>
      </c>
      <c r="L1245" t="s">
        <v>161</v>
      </c>
      <c r="N1245" t="s">
        <v>212</v>
      </c>
      <c r="O1245" t="s">
        <v>315</v>
      </c>
      <c r="P1245">
        <v>2.4004655393338421E-6</v>
      </c>
      <c r="Q1245" t="s">
        <v>161</v>
      </c>
    </row>
    <row r="1246" spans="9:17" x14ac:dyDescent="0.45">
      <c r="I1246" t="s">
        <v>189</v>
      </c>
      <c r="J1246" t="s">
        <v>316</v>
      </c>
      <c r="K1246">
        <v>0</v>
      </c>
      <c r="L1246" t="s">
        <v>161</v>
      </c>
      <c r="N1246" t="s">
        <v>212</v>
      </c>
      <c r="O1246" t="s">
        <v>316</v>
      </c>
      <c r="P1246">
        <v>2.7586627417049472E-6</v>
      </c>
      <c r="Q1246" t="s">
        <v>161</v>
      </c>
    </row>
    <row r="1247" spans="9:17" x14ac:dyDescent="0.45">
      <c r="I1247" t="s">
        <v>189</v>
      </c>
      <c r="J1247" t="s">
        <v>317</v>
      </c>
      <c r="K1247">
        <v>0</v>
      </c>
      <c r="L1247" t="s">
        <v>161</v>
      </c>
      <c r="N1247" t="s">
        <v>212</v>
      </c>
      <c r="O1247" t="s">
        <v>317</v>
      </c>
      <c r="P1247">
        <v>3.1999938163631902E-6</v>
      </c>
      <c r="Q1247" t="s">
        <v>161</v>
      </c>
    </row>
    <row r="1248" spans="9:17" x14ac:dyDescent="0.45">
      <c r="I1248" t="s">
        <v>189</v>
      </c>
      <c r="J1248" t="s">
        <v>318</v>
      </c>
      <c r="K1248">
        <v>0</v>
      </c>
      <c r="L1248" t="s">
        <v>161</v>
      </c>
      <c r="N1248" t="s">
        <v>212</v>
      </c>
      <c r="O1248" t="s">
        <v>318</v>
      </c>
      <c r="P1248">
        <v>2.3674256598465734E-6</v>
      </c>
      <c r="Q1248" t="s">
        <v>161</v>
      </c>
    </row>
    <row r="1249" spans="9:17" x14ac:dyDescent="0.45">
      <c r="I1249" t="s">
        <v>189</v>
      </c>
      <c r="J1249" t="s">
        <v>319</v>
      </c>
      <c r="K1249">
        <v>2.6180199003395932E-5</v>
      </c>
      <c r="L1249" t="s">
        <v>161</v>
      </c>
      <c r="N1249" t="s">
        <v>212</v>
      </c>
      <c r="O1249" t="s">
        <v>319</v>
      </c>
      <c r="P1249">
        <v>3.8790576628646107E-7</v>
      </c>
      <c r="Q1249" t="s">
        <v>161</v>
      </c>
    </row>
    <row r="1250" spans="9:17" x14ac:dyDescent="0.45">
      <c r="I1250" t="s">
        <v>189</v>
      </c>
      <c r="J1250" t="s">
        <v>320</v>
      </c>
      <c r="K1250">
        <v>7.3257025001976489E-5</v>
      </c>
      <c r="L1250" t="s">
        <v>161</v>
      </c>
      <c r="N1250" t="s">
        <v>212</v>
      </c>
      <c r="O1250" t="s">
        <v>320</v>
      </c>
      <c r="P1250">
        <v>2.7880958257498084E-6</v>
      </c>
      <c r="Q1250" t="s">
        <v>161</v>
      </c>
    </row>
    <row r="1251" spans="9:17" x14ac:dyDescent="0.45">
      <c r="I1251" t="s">
        <v>189</v>
      </c>
      <c r="J1251" t="s">
        <v>321</v>
      </c>
      <c r="K1251">
        <v>1.0634673369574081E-4</v>
      </c>
      <c r="L1251" t="s">
        <v>161</v>
      </c>
      <c r="N1251" t="s">
        <v>212</v>
      </c>
      <c r="O1251" t="s">
        <v>321</v>
      </c>
      <c r="P1251">
        <v>2.0380142816924002E-5</v>
      </c>
      <c r="Q1251" t="s">
        <v>161</v>
      </c>
    </row>
    <row r="1252" spans="9:17" x14ac:dyDescent="0.45">
      <c r="I1252" t="s">
        <v>189</v>
      </c>
      <c r="J1252" t="s">
        <v>322</v>
      </c>
      <c r="K1252">
        <v>1.3971182612495495E-4</v>
      </c>
      <c r="L1252" t="s">
        <v>161</v>
      </c>
      <c r="N1252" t="s">
        <v>212</v>
      </c>
      <c r="O1252" t="s">
        <v>322</v>
      </c>
      <c r="P1252">
        <v>1.7754010134869448E-5</v>
      </c>
      <c r="Q1252" t="s">
        <v>161</v>
      </c>
    </row>
    <row r="1253" spans="9:17" x14ac:dyDescent="0.45">
      <c r="I1253" t="s">
        <v>189</v>
      </c>
      <c r="J1253" t="s">
        <v>323</v>
      </c>
      <c r="K1253">
        <v>1.6172640111058914E-4</v>
      </c>
      <c r="L1253" t="s">
        <v>161</v>
      </c>
      <c r="N1253" t="s">
        <v>212</v>
      </c>
      <c r="O1253" t="s">
        <v>323</v>
      </c>
      <c r="P1253">
        <v>2.5691056281447749E-5</v>
      </c>
      <c r="Q1253" t="s">
        <v>161</v>
      </c>
    </row>
    <row r="1254" spans="9:17" x14ac:dyDescent="0.45">
      <c r="I1254" t="s">
        <v>189</v>
      </c>
      <c r="J1254" t="s">
        <v>324</v>
      </c>
      <c r="K1254">
        <v>2.4794890088010424E-4</v>
      </c>
      <c r="L1254" t="s">
        <v>161</v>
      </c>
      <c r="N1254" t="s">
        <v>212</v>
      </c>
      <c r="O1254" t="s">
        <v>324</v>
      </c>
      <c r="P1254">
        <v>5.3554853146902993E-5</v>
      </c>
      <c r="Q1254" t="s">
        <v>161</v>
      </c>
    </row>
    <row r="1255" spans="9:17" x14ac:dyDescent="0.45">
      <c r="I1255" t="s">
        <v>189</v>
      </c>
      <c r="J1255" t="s">
        <v>325</v>
      </c>
      <c r="K1255">
        <v>2.069214821336545E-4</v>
      </c>
      <c r="L1255" t="s">
        <v>161</v>
      </c>
      <c r="N1255" t="s">
        <v>212</v>
      </c>
      <c r="O1255" t="s">
        <v>325</v>
      </c>
      <c r="P1255">
        <v>7.1587654629227078E-5</v>
      </c>
      <c r="Q1255" t="s">
        <v>161</v>
      </c>
    </row>
    <row r="1256" spans="9:17" x14ac:dyDescent="0.45">
      <c r="I1256" t="s">
        <v>189</v>
      </c>
      <c r="J1256" t="s">
        <v>326</v>
      </c>
      <c r="K1256">
        <v>1.4468920403502166E-4</v>
      </c>
      <c r="L1256" t="s">
        <v>161</v>
      </c>
      <c r="N1256" t="s">
        <v>212</v>
      </c>
      <c r="O1256" t="s">
        <v>326</v>
      </c>
      <c r="P1256">
        <v>7.0246887363452986E-5</v>
      </c>
      <c r="Q1256" t="s">
        <v>161</v>
      </c>
    </row>
    <row r="1257" spans="9:17" x14ac:dyDescent="0.45">
      <c r="I1257" t="s">
        <v>189</v>
      </c>
      <c r="J1257" t="s">
        <v>327</v>
      </c>
      <c r="K1257">
        <v>1.3179849842134229E-4</v>
      </c>
      <c r="L1257" t="s">
        <v>161</v>
      </c>
      <c r="N1257" t="s">
        <v>212</v>
      </c>
      <c r="O1257" t="s">
        <v>327</v>
      </c>
      <c r="P1257">
        <v>7.3865189218943003E-5</v>
      </c>
      <c r="Q1257" t="s">
        <v>161</v>
      </c>
    </row>
    <row r="1258" spans="9:17" x14ac:dyDescent="0.45">
      <c r="I1258" t="s">
        <v>189</v>
      </c>
      <c r="J1258" t="s">
        <v>328</v>
      </c>
      <c r="K1258">
        <v>1.0118027386921423E-4</v>
      </c>
      <c r="L1258" t="s">
        <v>161</v>
      </c>
      <c r="N1258" t="s">
        <v>212</v>
      </c>
      <c r="O1258" t="s">
        <v>328</v>
      </c>
      <c r="P1258">
        <v>9.8814647619174724E-5</v>
      </c>
      <c r="Q1258" t="s">
        <v>161</v>
      </c>
    </row>
    <row r="1259" spans="9:17" x14ac:dyDescent="0.45">
      <c r="I1259" t="s">
        <v>189</v>
      </c>
      <c r="J1259" t="s">
        <v>329</v>
      </c>
      <c r="K1259">
        <v>0</v>
      </c>
      <c r="L1259" t="s">
        <v>161</v>
      </c>
      <c r="N1259" t="s">
        <v>212</v>
      </c>
      <c r="O1259" t="s">
        <v>329</v>
      </c>
      <c r="P1259">
        <v>1.1871103038112552E-4</v>
      </c>
      <c r="Q1259" t="s">
        <v>161</v>
      </c>
    </row>
    <row r="1260" spans="9:17" x14ac:dyDescent="0.45">
      <c r="I1260" t="s">
        <v>189</v>
      </c>
      <c r="J1260" t="s">
        <v>330</v>
      </c>
      <c r="K1260">
        <v>0</v>
      </c>
      <c r="L1260" t="s">
        <v>161</v>
      </c>
      <c r="N1260" t="s">
        <v>212</v>
      </c>
      <c r="O1260" t="s">
        <v>330</v>
      </c>
      <c r="P1260">
        <v>1.1885441001546162E-4</v>
      </c>
      <c r="Q1260" t="s">
        <v>161</v>
      </c>
    </row>
    <row r="1261" spans="9:17" x14ac:dyDescent="0.45">
      <c r="I1261" t="s">
        <v>189</v>
      </c>
      <c r="J1261" t="s">
        <v>331</v>
      </c>
      <c r="K1261">
        <v>0</v>
      </c>
      <c r="L1261" t="s">
        <v>161</v>
      </c>
      <c r="N1261" t="s">
        <v>212</v>
      </c>
      <c r="O1261" t="s">
        <v>331</v>
      </c>
      <c r="P1261">
        <v>1.153619170218049E-4</v>
      </c>
      <c r="Q1261" t="s">
        <v>161</v>
      </c>
    </row>
    <row r="1262" spans="9:17" x14ac:dyDescent="0.45">
      <c r="I1262" t="s">
        <v>189</v>
      </c>
      <c r="J1262" t="s">
        <v>332</v>
      </c>
      <c r="K1262">
        <v>0</v>
      </c>
      <c r="L1262" t="s">
        <v>161</v>
      </c>
      <c r="N1262" t="s">
        <v>212</v>
      </c>
      <c r="O1262" t="s">
        <v>332</v>
      </c>
      <c r="P1262">
        <v>1.1579433520715306E-4</v>
      </c>
      <c r="Q1262" t="s">
        <v>161</v>
      </c>
    </row>
    <row r="1263" spans="9:17" x14ac:dyDescent="0.45">
      <c r="I1263" t="s">
        <v>189</v>
      </c>
      <c r="J1263" t="s">
        <v>333</v>
      </c>
      <c r="K1263">
        <v>0</v>
      </c>
      <c r="L1263" t="s">
        <v>161</v>
      </c>
      <c r="N1263" t="s">
        <v>212</v>
      </c>
      <c r="O1263" t="s">
        <v>333</v>
      </c>
      <c r="P1263">
        <v>1.0758262923838305E-4</v>
      </c>
      <c r="Q1263" t="s">
        <v>161</v>
      </c>
    </row>
    <row r="1264" spans="9:17" x14ac:dyDescent="0.45">
      <c r="I1264" t="s">
        <v>189</v>
      </c>
      <c r="J1264" t="s">
        <v>334</v>
      </c>
      <c r="K1264">
        <v>0</v>
      </c>
      <c r="L1264" t="s">
        <v>161</v>
      </c>
      <c r="N1264" t="s">
        <v>212</v>
      </c>
      <c r="O1264" t="s">
        <v>334</v>
      </c>
      <c r="P1264">
        <v>7.8985218678169028E-5</v>
      </c>
      <c r="Q1264" t="s">
        <v>161</v>
      </c>
    </row>
    <row r="1265" spans="9:17" x14ac:dyDescent="0.45">
      <c r="I1265" t="s">
        <v>189</v>
      </c>
      <c r="J1265" t="s">
        <v>164</v>
      </c>
      <c r="K1265">
        <v>9.8072806058015268E-3</v>
      </c>
      <c r="L1265" t="s">
        <v>161</v>
      </c>
      <c r="N1265" t="s">
        <v>212</v>
      </c>
      <c r="O1265" t="s">
        <v>164</v>
      </c>
      <c r="P1265">
        <v>4.3921661376194882E-2</v>
      </c>
      <c r="Q1265" t="s">
        <v>161</v>
      </c>
    </row>
    <row r="1266" spans="9:17" x14ac:dyDescent="0.45">
      <c r="I1266" t="s">
        <v>189</v>
      </c>
      <c r="J1266" t="s">
        <v>165</v>
      </c>
      <c r="K1266">
        <v>1.0863326433786989E-2</v>
      </c>
      <c r="L1266" t="s">
        <v>161</v>
      </c>
      <c r="N1266" t="s">
        <v>212</v>
      </c>
      <c r="O1266" t="s">
        <v>165</v>
      </c>
      <c r="P1266">
        <v>5.1200108018434557E-3</v>
      </c>
      <c r="Q1266" t="s">
        <v>161</v>
      </c>
    </row>
    <row r="1267" spans="9:17" x14ac:dyDescent="0.45">
      <c r="I1267" t="s">
        <v>189</v>
      </c>
      <c r="J1267" t="s">
        <v>166</v>
      </c>
      <c r="K1267">
        <v>9.0426386315395957E-2</v>
      </c>
      <c r="L1267" t="s">
        <v>161</v>
      </c>
      <c r="N1267" t="s">
        <v>212</v>
      </c>
      <c r="O1267" t="s">
        <v>166</v>
      </c>
      <c r="P1267">
        <v>3.1474216412596595E-2</v>
      </c>
      <c r="Q1267" t="s">
        <v>161</v>
      </c>
    </row>
    <row r="1268" spans="9:17" x14ac:dyDescent="0.45">
      <c r="I1268" t="s">
        <v>189</v>
      </c>
      <c r="J1268" t="s">
        <v>244</v>
      </c>
      <c r="K1268">
        <v>7.7745138968178182E-3</v>
      </c>
      <c r="L1268" t="s">
        <v>161</v>
      </c>
      <c r="N1268" t="s">
        <v>212</v>
      </c>
      <c r="O1268" t="s">
        <v>244</v>
      </c>
      <c r="P1268">
        <v>4.0769607899942177E-3</v>
      </c>
      <c r="Q1268" t="s">
        <v>161</v>
      </c>
    </row>
    <row r="1269" spans="9:17" x14ac:dyDescent="0.45">
      <c r="I1269" t="s">
        <v>189</v>
      </c>
      <c r="J1269" t="s">
        <v>245</v>
      </c>
      <c r="K1269">
        <v>5.2402895173571402E-3</v>
      </c>
      <c r="L1269" t="s">
        <v>161</v>
      </c>
      <c r="N1269" t="s">
        <v>212</v>
      </c>
      <c r="O1269" t="s">
        <v>245</v>
      </c>
      <c r="P1269">
        <v>4.4634717458952268E-3</v>
      </c>
      <c r="Q1269" t="s">
        <v>161</v>
      </c>
    </row>
    <row r="1270" spans="9:17" x14ac:dyDescent="0.45">
      <c r="I1270" t="s">
        <v>189</v>
      </c>
      <c r="J1270" t="s">
        <v>267</v>
      </c>
      <c r="K1270">
        <v>2.7840427455604901E-3</v>
      </c>
      <c r="L1270" t="s">
        <v>161</v>
      </c>
      <c r="N1270" t="s">
        <v>212</v>
      </c>
      <c r="O1270" t="s">
        <v>267</v>
      </c>
      <c r="P1270">
        <v>3.1208569188467181E-2</v>
      </c>
      <c r="Q1270" t="s">
        <v>161</v>
      </c>
    </row>
    <row r="1271" spans="9:17" x14ac:dyDescent="0.45">
      <c r="I1271" t="s">
        <v>189</v>
      </c>
      <c r="J1271" t="s">
        <v>167</v>
      </c>
      <c r="K1271">
        <v>5.1829668153088218E-2</v>
      </c>
      <c r="L1271" t="s">
        <v>161</v>
      </c>
      <c r="N1271" t="s">
        <v>212</v>
      </c>
      <c r="O1271" t="s">
        <v>167</v>
      </c>
      <c r="P1271">
        <v>6.2537803295437094E-2</v>
      </c>
      <c r="Q1271" t="s">
        <v>161</v>
      </c>
    </row>
    <row r="1272" spans="9:17" x14ac:dyDescent="0.45">
      <c r="I1272" t="s">
        <v>189</v>
      </c>
      <c r="J1272" t="s">
        <v>168</v>
      </c>
      <c r="K1272">
        <v>3.1396733044808632E-2</v>
      </c>
      <c r="L1272" t="s">
        <v>161</v>
      </c>
      <c r="N1272" t="s">
        <v>212</v>
      </c>
      <c r="O1272" t="s">
        <v>168</v>
      </c>
      <c r="P1272">
        <v>6.5884284465572446E-3</v>
      </c>
      <c r="Q1272" t="s">
        <v>161</v>
      </c>
    </row>
    <row r="1273" spans="9:17" x14ac:dyDescent="0.45">
      <c r="I1273" t="s">
        <v>189</v>
      </c>
      <c r="J1273" t="s">
        <v>169</v>
      </c>
      <c r="K1273">
        <v>0.2576839400291252</v>
      </c>
      <c r="L1273" t="s">
        <v>161</v>
      </c>
      <c r="N1273" t="s">
        <v>212</v>
      </c>
      <c r="O1273" t="s">
        <v>169</v>
      </c>
      <c r="P1273">
        <v>5.8449246309125902E-2</v>
      </c>
      <c r="Q1273" t="s">
        <v>161</v>
      </c>
    </row>
    <row r="1274" spans="9:17" x14ac:dyDescent="0.45">
      <c r="I1274" t="s">
        <v>189</v>
      </c>
      <c r="J1274" t="s">
        <v>246</v>
      </c>
      <c r="K1274">
        <v>2.9616922580314627E-2</v>
      </c>
      <c r="L1274" t="s">
        <v>161</v>
      </c>
      <c r="N1274" t="s">
        <v>212</v>
      </c>
      <c r="O1274" t="s">
        <v>246</v>
      </c>
      <c r="P1274">
        <v>9.1608892806482167E-3</v>
      </c>
      <c r="Q1274" t="s">
        <v>161</v>
      </c>
    </row>
    <row r="1275" spans="9:17" x14ac:dyDescent="0.45">
      <c r="I1275" t="s">
        <v>189</v>
      </c>
      <c r="J1275" t="s">
        <v>247</v>
      </c>
      <c r="K1275">
        <v>2.3685888942222739E-2</v>
      </c>
      <c r="L1275" t="s">
        <v>161</v>
      </c>
      <c r="N1275" t="s">
        <v>212</v>
      </c>
      <c r="O1275" t="s">
        <v>247</v>
      </c>
      <c r="P1275">
        <v>8.6021839516008218E-3</v>
      </c>
      <c r="Q1275" t="s">
        <v>161</v>
      </c>
    </row>
    <row r="1276" spans="9:17" x14ac:dyDescent="0.45">
      <c r="I1276" t="s">
        <v>189</v>
      </c>
      <c r="J1276" t="s">
        <v>268</v>
      </c>
      <c r="K1276">
        <v>2.5704050696970029E-2</v>
      </c>
      <c r="L1276" t="s">
        <v>161</v>
      </c>
      <c r="N1276" t="s">
        <v>212</v>
      </c>
      <c r="O1276" t="s">
        <v>268</v>
      </c>
      <c r="P1276">
        <v>6.012357161776119E-2</v>
      </c>
      <c r="Q1276" t="s">
        <v>161</v>
      </c>
    </row>
    <row r="1277" spans="9:17" x14ac:dyDescent="0.45">
      <c r="I1277" t="s">
        <v>189</v>
      </c>
      <c r="J1277" t="s">
        <v>170</v>
      </c>
      <c r="K1277">
        <v>2.0565560986049183E-2</v>
      </c>
      <c r="L1277" t="s">
        <v>161</v>
      </c>
      <c r="N1277" t="s">
        <v>212</v>
      </c>
      <c r="O1277" t="s">
        <v>170</v>
      </c>
      <c r="P1277">
        <v>3.6853345986024098E-2</v>
      </c>
      <c r="Q1277" t="s">
        <v>161</v>
      </c>
    </row>
    <row r="1278" spans="9:17" x14ac:dyDescent="0.45">
      <c r="I1278" t="s">
        <v>189</v>
      </c>
      <c r="J1278" t="s">
        <v>171</v>
      </c>
      <c r="K1278">
        <v>1.5437196836132939E-2</v>
      </c>
      <c r="L1278" t="s">
        <v>161</v>
      </c>
      <c r="N1278" t="s">
        <v>212</v>
      </c>
      <c r="O1278" t="s">
        <v>171</v>
      </c>
      <c r="P1278">
        <v>3.7371934630328562E-3</v>
      </c>
      <c r="Q1278" t="s">
        <v>161</v>
      </c>
    </row>
    <row r="1279" spans="9:17" x14ac:dyDescent="0.45">
      <c r="I1279" t="s">
        <v>189</v>
      </c>
      <c r="J1279" t="s">
        <v>172</v>
      </c>
      <c r="K1279">
        <v>0.12649437999421262</v>
      </c>
      <c r="L1279" t="s">
        <v>161</v>
      </c>
      <c r="N1279" t="s">
        <v>212</v>
      </c>
      <c r="O1279" t="s">
        <v>172</v>
      </c>
      <c r="P1279">
        <v>2.5750399253817436E-2</v>
      </c>
      <c r="Q1279" t="s">
        <v>161</v>
      </c>
    </row>
    <row r="1280" spans="9:17" x14ac:dyDescent="0.45">
      <c r="I1280" t="s">
        <v>189</v>
      </c>
      <c r="J1280" t="s">
        <v>248</v>
      </c>
      <c r="K1280">
        <v>1.357482270489283E-2</v>
      </c>
      <c r="L1280" t="s">
        <v>161</v>
      </c>
      <c r="N1280" t="s">
        <v>212</v>
      </c>
      <c r="O1280" t="s">
        <v>248</v>
      </c>
      <c r="P1280">
        <v>3.6271997389262654E-3</v>
      </c>
      <c r="Q1280" t="s">
        <v>161</v>
      </c>
    </row>
    <row r="1281" spans="9:17" x14ac:dyDescent="0.45">
      <c r="I1281" t="s">
        <v>189</v>
      </c>
      <c r="J1281" t="s">
        <v>249</v>
      </c>
      <c r="K1281">
        <v>1.0374296678895546E-2</v>
      </c>
      <c r="L1281" t="s">
        <v>161</v>
      </c>
      <c r="N1281" t="s">
        <v>212</v>
      </c>
      <c r="O1281" t="s">
        <v>249</v>
      </c>
      <c r="P1281">
        <v>3.315056160194087E-3</v>
      </c>
      <c r="Q1281" t="s">
        <v>161</v>
      </c>
    </row>
    <row r="1282" spans="9:17" x14ac:dyDescent="0.45">
      <c r="I1282" t="s">
        <v>189</v>
      </c>
      <c r="J1282" t="s">
        <v>269</v>
      </c>
      <c r="K1282">
        <v>8.4262399348433142E-3</v>
      </c>
      <c r="L1282" t="s">
        <v>161</v>
      </c>
      <c r="N1282" t="s">
        <v>212</v>
      </c>
      <c r="O1282" t="s">
        <v>269</v>
      </c>
      <c r="P1282">
        <v>2.6549515529908977E-2</v>
      </c>
      <c r="Q1282" t="s">
        <v>161</v>
      </c>
    </row>
    <row r="1283" spans="9:17" x14ac:dyDescent="0.45">
      <c r="I1283" t="s">
        <v>189</v>
      </c>
      <c r="J1283" t="s">
        <v>250</v>
      </c>
      <c r="K1283">
        <v>4.0626708684498008E-3</v>
      </c>
      <c r="L1283" t="s">
        <v>161</v>
      </c>
      <c r="N1283" t="s">
        <v>212</v>
      </c>
      <c r="O1283" t="s">
        <v>250</v>
      </c>
      <c r="P1283">
        <v>4.421349477080621E-2</v>
      </c>
      <c r="Q1283" t="s">
        <v>161</v>
      </c>
    </row>
    <row r="1284" spans="9:17" x14ac:dyDescent="0.45">
      <c r="I1284" t="s">
        <v>189</v>
      </c>
      <c r="J1284" t="s">
        <v>251</v>
      </c>
      <c r="K1284">
        <v>6.6289992808220627E-3</v>
      </c>
      <c r="L1284" t="s">
        <v>161</v>
      </c>
      <c r="N1284" t="s">
        <v>212</v>
      </c>
      <c r="O1284" t="s">
        <v>251</v>
      </c>
      <c r="P1284">
        <v>4.6175767708102836E-3</v>
      </c>
      <c r="Q1284" t="s">
        <v>161</v>
      </c>
    </row>
    <row r="1285" spans="9:17" x14ac:dyDescent="0.45">
      <c r="I1285" t="s">
        <v>189</v>
      </c>
      <c r="J1285" t="s">
        <v>252</v>
      </c>
      <c r="K1285">
        <v>7.311488921998778E-2</v>
      </c>
      <c r="L1285" t="s">
        <v>161</v>
      </c>
      <c r="N1285" t="s">
        <v>212</v>
      </c>
      <c r="O1285" t="s">
        <v>252</v>
      </c>
      <c r="P1285">
        <v>2.9212490504107243E-2</v>
      </c>
      <c r="Q1285" t="s">
        <v>161</v>
      </c>
    </row>
    <row r="1286" spans="9:17" x14ac:dyDescent="0.45">
      <c r="I1286" t="s">
        <v>189</v>
      </c>
      <c r="J1286" t="s">
        <v>253</v>
      </c>
      <c r="K1286">
        <v>6.4730701807310153E-3</v>
      </c>
      <c r="L1286" t="s">
        <v>161</v>
      </c>
      <c r="N1286" t="s">
        <v>212</v>
      </c>
      <c r="O1286" t="s">
        <v>253</v>
      </c>
      <c r="P1286">
        <v>4.8657840301120497E-3</v>
      </c>
      <c r="Q1286" t="s">
        <v>161</v>
      </c>
    </row>
    <row r="1287" spans="9:17" x14ac:dyDescent="0.45">
      <c r="I1287" t="s">
        <v>189</v>
      </c>
      <c r="J1287" t="s">
        <v>254</v>
      </c>
      <c r="K1287">
        <v>2.412378297038025E-3</v>
      </c>
      <c r="L1287" t="s">
        <v>161</v>
      </c>
      <c r="N1287" t="s">
        <v>212</v>
      </c>
      <c r="O1287" t="s">
        <v>254</v>
      </c>
      <c r="P1287">
        <v>5.3289608958935917E-3</v>
      </c>
      <c r="Q1287" t="s">
        <v>161</v>
      </c>
    </row>
    <row r="1288" spans="9:17" x14ac:dyDescent="0.45">
      <c r="I1288" t="s">
        <v>189</v>
      </c>
      <c r="J1288" t="s">
        <v>270</v>
      </c>
      <c r="K1288">
        <v>2.4981865680207286E-6</v>
      </c>
      <c r="L1288" t="s">
        <v>161</v>
      </c>
      <c r="N1288" t="s">
        <v>212</v>
      </c>
      <c r="O1288" t="s">
        <v>270</v>
      </c>
      <c r="P1288">
        <v>3.4406941814717706E-2</v>
      </c>
      <c r="Q1288" t="s">
        <v>161</v>
      </c>
    </row>
    <row r="1289" spans="9:17" x14ac:dyDescent="0.45">
      <c r="I1289" t="s">
        <v>189</v>
      </c>
      <c r="J1289" t="s">
        <v>255</v>
      </c>
      <c r="K1289">
        <v>6.1471339709829036E-7</v>
      </c>
      <c r="L1289" t="s">
        <v>161</v>
      </c>
      <c r="N1289" t="s">
        <v>212</v>
      </c>
      <c r="O1289" t="s">
        <v>255</v>
      </c>
      <c r="P1289">
        <v>5.8719789282221241E-2</v>
      </c>
      <c r="Q1289" t="s">
        <v>161</v>
      </c>
    </row>
    <row r="1290" spans="9:17" x14ac:dyDescent="0.45">
      <c r="I1290" t="s">
        <v>189</v>
      </c>
      <c r="J1290" t="s">
        <v>256</v>
      </c>
      <c r="K1290">
        <v>1.989643989411375E-3</v>
      </c>
      <c r="L1290" t="s">
        <v>161</v>
      </c>
      <c r="N1290" t="s">
        <v>212</v>
      </c>
      <c r="O1290" t="s">
        <v>256</v>
      </c>
      <c r="P1290">
        <v>6.673929917568551E-3</v>
      </c>
      <c r="Q1290" t="s">
        <v>161</v>
      </c>
    </row>
    <row r="1291" spans="9:17" x14ac:dyDescent="0.45">
      <c r="I1291" t="s">
        <v>189</v>
      </c>
      <c r="J1291" t="s">
        <v>257</v>
      </c>
      <c r="K1291">
        <v>3.815919212004714E-2</v>
      </c>
      <c r="L1291" t="s">
        <v>161</v>
      </c>
      <c r="N1291" t="s">
        <v>212</v>
      </c>
      <c r="O1291" t="s">
        <v>257</v>
      </c>
      <c r="P1291">
        <v>4.013448891496231E-2</v>
      </c>
      <c r="Q1291" t="s">
        <v>161</v>
      </c>
    </row>
    <row r="1292" spans="9:17" x14ac:dyDescent="0.45">
      <c r="I1292" t="s">
        <v>189</v>
      </c>
      <c r="J1292" t="s">
        <v>258</v>
      </c>
      <c r="K1292">
        <v>8.71731158328213E-4</v>
      </c>
      <c r="L1292" t="s">
        <v>161</v>
      </c>
      <c r="N1292" t="s">
        <v>212</v>
      </c>
      <c r="O1292" t="s">
        <v>258</v>
      </c>
      <c r="P1292">
        <v>7.2470086259581517E-3</v>
      </c>
      <c r="Q1292" t="s">
        <v>161</v>
      </c>
    </row>
    <row r="1293" spans="9:17" x14ac:dyDescent="0.45">
      <c r="I1293" t="s">
        <v>189</v>
      </c>
      <c r="J1293" t="s">
        <v>259</v>
      </c>
      <c r="K1293">
        <v>0</v>
      </c>
      <c r="L1293" t="s">
        <v>161</v>
      </c>
      <c r="N1293" t="s">
        <v>212</v>
      </c>
      <c r="O1293" t="s">
        <v>259</v>
      </c>
      <c r="P1293">
        <v>7.4289179653749763E-3</v>
      </c>
      <c r="Q1293" t="s">
        <v>161</v>
      </c>
    </row>
    <row r="1294" spans="9:17" x14ac:dyDescent="0.45">
      <c r="I1294" t="s">
        <v>189</v>
      </c>
      <c r="J1294" t="s">
        <v>271</v>
      </c>
      <c r="K1294">
        <v>0</v>
      </c>
      <c r="L1294" t="s">
        <v>161</v>
      </c>
      <c r="N1294" t="s">
        <v>212</v>
      </c>
      <c r="O1294" t="s">
        <v>271</v>
      </c>
      <c r="P1294">
        <v>4.3970496006494421E-2</v>
      </c>
      <c r="Q1294" t="s">
        <v>161</v>
      </c>
    </row>
    <row r="1295" spans="9:17" x14ac:dyDescent="0.45">
      <c r="I1295" t="s">
        <v>189</v>
      </c>
      <c r="J1295" t="s">
        <v>272</v>
      </c>
      <c r="K1295">
        <v>0</v>
      </c>
      <c r="L1295" t="s">
        <v>161</v>
      </c>
      <c r="N1295" t="s">
        <v>212</v>
      </c>
      <c r="O1295" t="s">
        <v>272</v>
      </c>
      <c r="P1295">
        <v>1.4021400364724606E-2</v>
      </c>
      <c r="Q1295" t="s">
        <v>161</v>
      </c>
    </row>
    <row r="1296" spans="9:17" x14ac:dyDescent="0.45">
      <c r="I1296" t="s">
        <v>189</v>
      </c>
      <c r="J1296" t="s">
        <v>273</v>
      </c>
      <c r="K1296">
        <v>1.063196959809439E-5</v>
      </c>
      <c r="L1296" t="s">
        <v>161</v>
      </c>
      <c r="N1296" t="s">
        <v>212</v>
      </c>
      <c r="O1296" t="s">
        <v>273</v>
      </c>
      <c r="P1296">
        <v>1.4246852582758241E-3</v>
      </c>
      <c r="Q1296" t="s">
        <v>161</v>
      </c>
    </row>
    <row r="1297" spans="9:17" x14ac:dyDescent="0.45">
      <c r="I1297" t="s">
        <v>189</v>
      </c>
      <c r="J1297" t="s">
        <v>274</v>
      </c>
      <c r="K1297">
        <v>5.1841595538329923E-3</v>
      </c>
      <c r="L1297" t="s">
        <v>161</v>
      </c>
      <c r="N1297" t="s">
        <v>212</v>
      </c>
      <c r="O1297" t="s">
        <v>274</v>
      </c>
      <c r="P1297">
        <v>8.5439609276844724E-3</v>
      </c>
      <c r="Q1297" t="s">
        <v>161</v>
      </c>
    </row>
    <row r="1298" spans="9:17" x14ac:dyDescent="0.45">
      <c r="I1298" t="s">
        <v>189</v>
      </c>
      <c r="J1298" t="s">
        <v>275</v>
      </c>
      <c r="K1298">
        <v>0</v>
      </c>
      <c r="L1298" t="s">
        <v>161</v>
      </c>
      <c r="N1298" t="s">
        <v>212</v>
      </c>
      <c r="O1298" t="s">
        <v>275</v>
      </c>
      <c r="P1298">
        <v>1.7321913158913501E-3</v>
      </c>
      <c r="Q1298" t="s">
        <v>161</v>
      </c>
    </row>
    <row r="1299" spans="9:17" x14ac:dyDescent="0.45">
      <c r="I1299" t="s">
        <v>189</v>
      </c>
      <c r="J1299" t="s">
        <v>276</v>
      </c>
      <c r="K1299">
        <v>0</v>
      </c>
      <c r="L1299" t="s">
        <v>161</v>
      </c>
      <c r="N1299" t="s">
        <v>212</v>
      </c>
      <c r="O1299" t="s">
        <v>276</v>
      </c>
      <c r="P1299">
        <v>1.7866123883393773E-3</v>
      </c>
      <c r="Q1299" t="s">
        <v>161</v>
      </c>
    </row>
    <row r="1300" spans="9:17" x14ac:dyDescent="0.45">
      <c r="I1300" t="s">
        <v>189</v>
      </c>
      <c r="J1300" t="s">
        <v>277</v>
      </c>
      <c r="K1300">
        <v>0</v>
      </c>
      <c r="L1300" t="s">
        <v>161</v>
      </c>
      <c r="N1300" t="s">
        <v>212</v>
      </c>
      <c r="O1300" t="s">
        <v>277</v>
      </c>
      <c r="P1300">
        <v>9.7446953113492982E-3</v>
      </c>
      <c r="Q1300" t="s">
        <v>161</v>
      </c>
    </row>
    <row r="1301" spans="9:17" x14ac:dyDescent="0.45">
      <c r="I1301" t="s">
        <v>189</v>
      </c>
      <c r="J1301" t="s">
        <v>278</v>
      </c>
      <c r="K1301">
        <v>0</v>
      </c>
      <c r="L1301" t="s">
        <v>161</v>
      </c>
      <c r="N1301" t="s">
        <v>212</v>
      </c>
      <c r="O1301" t="s">
        <v>278</v>
      </c>
      <c r="P1301">
        <v>6.2936428487310641E-3</v>
      </c>
      <c r="Q1301" t="s">
        <v>161</v>
      </c>
    </row>
    <row r="1302" spans="9:17" x14ac:dyDescent="0.45">
      <c r="I1302" t="s">
        <v>189</v>
      </c>
      <c r="J1302" t="s">
        <v>279</v>
      </c>
      <c r="K1302">
        <v>0</v>
      </c>
      <c r="L1302" t="s">
        <v>161</v>
      </c>
      <c r="N1302" t="s">
        <v>212</v>
      </c>
      <c r="O1302" t="s">
        <v>279</v>
      </c>
      <c r="P1302">
        <v>4.9241656870904651E-4</v>
      </c>
      <c r="Q1302" t="s">
        <v>161</v>
      </c>
    </row>
    <row r="1303" spans="9:17" x14ac:dyDescent="0.45">
      <c r="I1303" t="s">
        <v>189</v>
      </c>
      <c r="J1303" t="s">
        <v>280</v>
      </c>
      <c r="K1303">
        <v>4.4790868313950476E-3</v>
      </c>
      <c r="L1303" t="s">
        <v>161</v>
      </c>
      <c r="N1303" t="s">
        <v>212</v>
      </c>
      <c r="O1303" t="s">
        <v>280</v>
      </c>
      <c r="P1303">
        <v>1.2780331021153028E-3</v>
      </c>
      <c r="Q1303" t="s">
        <v>161</v>
      </c>
    </row>
    <row r="1304" spans="9:17" x14ac:dyDescent="0.45">
      <c r="I1304" t="s">
        <v>189</v>
      </c>
      <c r="J1304" t="s">
        <v>281</v>
      </c>
      <c r="K1304">
        <v>1.1985901709345212E-5</v>
      </c>
      <c r="L1304" t="s">
        <v>161</v>
      </c>
      <c r="N1304" t="s">
        <v>212</v>
      </c>
      <c r="O1304" t="s">
        <v>281</v>
      </c>
      <c r="P1304">
        <v>2.5247882866021823E-4</v>
      </c>
      <c r="Q1304" t="s">
        <v>161</v>
      </c>
    </row>
    <row r="1305" spans="9:17" x14ac:dyDescent="0.45">
      <c r="I1305" t="s">
        <v>189</v>
      </c>
      <c r="J1305" t="s">
        <v>282</v>
      </c>
      <c r="K1305">
        <v>0</v>
      </c>
      <c r="L1305" t="s">
        <v>161</v>
      </c>
      <c r="N1305" t="s">
        <v>212</v>
      </c>
      <c r="O1305" t="s">
        <v>282</v>
      </c>
      <c r="P1305">
        <v>3.6666072122872777E-4</v>
      </c>
      <c r="Q1305" t="s">
        <v>161</v>
      </c>
    </row>
    <row r="1306" spans="9:17" x14ac:dyDescent="0.45">
      <c r="I1306" t="s">
        <v>189</v>
      </c>
      <c r="J1306" t="s">
        <v>283</v>
      </c>
      <c r="K1306">
        <v>0</v>
      </c>
      <c r="L1306" t="s">
        <v>161</v>
      </c>
      <c r="N1306" t="s">
        <v>212</v>
      </c>
      <c r="O1306" t="s">
        <v>283</v>
      </c>
      <c r="P1306">
        <v>3.7425429481242269E-3</v>
      </c>
      <c r="Q1306" t="s">
        <v>161</v>
      </c>
    </row>
    <row r="1307" spans="9:17" x14ac:dyDescent="0.45">
      <c r="I1307" t="s">
        <v>190</v>
      </c>
      <c r="J1307" t="s">
        <v>160</v>
      </c>
      <c r="K1307">
        <v>1.6868626678150618E-3</v>
      </c>
      <c r="L1307" t="s">
        <v>161</v>
      </c>
      <c r="N1307" t="s">
        <v>213</v>
      </c>
      <c r="O1307" t="s">
        <v>160</v>
      </c>
      <c r="P1307">
        <v>8.0127659683239566E-2</v>
      </c>
      <c r="Q1307" t="s">
        <v>161</v>
      </c>
    </row>
    <row r="1308" spans="9:17" x14ac:dyDescent="0.45">
      <c r="I1308" t="s">
        <v>190</v>
      </c>
      <c r="J1308" t="s">
        <v>162</v>
      </c>
      <c r="K1308">
        <v>5.5017693444451479E-3</v>
      </c>
      <c r="L1308" t="s">
        <v>161</v>
      </c>
      <c r="N1308" t="s">
        <v>213</v>
      </c>
      <c r="O1308" t="s">
        <v>162</v>
      </c>
      <c r="P1308">
        <v>9.4591885662171776E-3</v>
      </c>
      <c r="Q1308" t="s">
        <v>161</v>
      </c>
    </row>
    <row r="1309" spans="9:17" x14ac:dyDescent="0.45">
      <c r="I1309" t="s">
        <v>190</v>
      </c>
      <c r="J1309" t="s">
        <v>163</v>
      </c>
      <c r="K1309">
        <v>8.1984901028063301E-2</v>
      </c>
      <c r="L1309" t="s">
        <v>161</v>
      </c>
      <c r="N1309" t="s">
        <v>213</v>
      </c>
      <c r="O1309" t="s">
        <v>163</v>
      </c>
      <c r="P1309">
        <v>5.6340534727698857E-2</v>
      </c>
      <c r="Q1309" t="s">
        <v>161</v>
      </c>
    </row>
    <row r="1310" spans="9:17" x14ac:dyDescent="0.45">
      <c r="I1310" t="s">
        <v>190</v>
      </c>
      <c r="J1310" t="s">
        <v>242</v>
      </c>
      <c r="K1310">
        <v>6.2853657830295295E-3</v>
      </c>
      <c r="L1310" t="s">
        <v>161</v>
      </c>
      <c r="N1310" t="s">
        <v>213</v>
      </c>
      <c r="O1310" t="s">
        <v>242</v>
      </c>
      <c r="P1310">
        <v>8.7673502302858548E-3</v>
      </c>
      <c r="Q1310" t="s">
        <v>161</v>
      </c>
    </row>
    <row r="1311" spans="9:17" x14ac:dyDescent="0.45">
      <c r="I1311" t="s">
        <v>190</v>
      </c>
      <c r="J1311" t="s">
        <v>243</v>
      </c>
      <c r="K1311">
        <v>2.4179052755828275E-3</v>
      </c>
      <c r="L1311" t="s">
        <v>161</v>
      </c>
      <c r="N1311" t="s">
        <v>213</v>
      </c>
      <c r="O1311" t="s">
        <v>243</v>
      </c>
      <c r="P1311">
        <v>9.5467344071965884E-3</v>
      </c>
      <c r="Q1311" t="s">
        <v>161</v>
      </c>
    </row>
    <row r="1312" spans="9:17" x14ac:dyDescent="0.45">
      <c r="I1312" t="s">
        <v>190</v>
      </c>
      <c r="J1312" t="s">
        <v>266</v>
      </c>
      <c r="K1312">
        <v>0</v>
      </c>
      <c r="L1312" t="s">
        <v>161</v>
      </c>
      <c r="N1312" t="s">
        <v>213</v>
      </c>
      <c r="O1312" t="s">
        <v>266</v>
      </c>
      <c r="P1312">
        <v>6.0698413089449434E-2</v>
      </c>
      <c r="Q1312" t="s">
        <v>161</v>
      </c>
    </row>
    <row r="1313" spans="9:17" x14ac:dyDescent="0.45">
      <c r="I1313" t="s">
        <v>190</v>
      </c>
      <c r="J1313" t="s">
        <v>311</v>
      </c>
      <c r="K1313">
        <v>0</v>
      </c>
      <c r="L1313" t="s">
        <v>161</v>
      </c>
      <c r="N1313" t="s">
        <v>213</v>
      </c>
      <c r="O1313" t="s">
        <v>311</v>
      </c>
      <c r="P1313">
        <v>1.6312658697270093E-6</v>
      </c>
      <c r="Q1313" t="s">
        <v>161</v>
      </c>
    </row>
    <row r="1314" spans="9:17" x14ac:dyDescent="0.45">
      <c r="I1314" t="s">
        <v>190</v>
      </c>
      <c r="J1314" t="s">
        <v>312</v>
      </c>
      <c r="K1314">
        <v>0</v>
      </c>
      <c r="L1314" t="s">
        <v>161</v>
      </c>
      <c r="N1314" t="s">
        <v>213</v>
      </c>
      <c r="O1314" t="s">
        <v>312</v>
      </c>
      <c r="P1314">
        <v>5.6533348233845406E-6</v>
      </c>
      <c r="Q1314" t="s">
        <v>161</v>
      </c>
    </row>
    <row r="1315" spans="9:17" x14ac:dyDescent="0.45">
      <c r="I1315" t="s">
        <v>190</v>
      </c>
      <c r="J1315" t="s">
        <v>313</v>
      </c>
      <c r="K1315">
        <v>0</v>
      </c>
      <c r="L1315" t="s">
        <v>161</v>
      </c>
      <c r="N1315" t="s">
        <v>213</v>
      </c>
      <c r="O1315" t="s">
        <v>313</v>
      </c>
      <c r="P1315">
        <v>1.5107157725266917E-5</v>
      </c>
      <c r="Q1315" t="s">
        <v>161</v>
      </c>
    </row>
    <row r="1316" spans="9:17" x14ac:dyDescent="0.45">
      <c r="I1316" t="s">
        <v>190</v>
      </c>
      <c r="J1316" t="s">
        <v>314</v>
      </c>
      <c r="K1316">
        <v>0</v>
      </c>
      <c r="L1316" t="s">
        <v>161</v>
      </c>
      <c r="N1316" t="s">
        <v>213</v>
      </c>
      <c r="O1316" t="s">
        <v>314</v>
      </c>
      <c r="P1316">
        <v>5.4915485901883981E-6</v>
      </c>
      <c r="Q1316" t="s">
        <v>161</v>
      </c>
    </row>
    <row r="1317" spans="9:17" x14ac:dyDescent="0.45">
      <c r="I1317" t="s">
        <v>190</v>
      </c>
      <c r="J1317" t="s">
        <v>315</v>
      </c>
      <c r="K1317">
        <v>0</v>
      </c>
      <c r="L1317" t="s">
        <v>161</v>
      </c>
      <c r="N1317" t="s">
        <v>213</v>
      </c>
      <c r="O1317" t="s">
        <v>315</v>
      </c>
      <c r="P1317">
        <v>3.6718352679359056E-6</v>
      </c>
      <c r="Q1317" t="s">
        <v>161</v>
      </c>
    </row>
    <row r="1318" spans="9:17" x14ac:dyDescent="0.45">
      <c r="I1318" t="s">
        <v>190</v>
      </c>
      <c r="J1318" t="s">
        <v>316</v>
      </c>
      <c r="K1318">
        <v>0</v>
      </c>
      <c r="L1318" t="s">
        <v>161</v>
      </c>
      <c r="N1318" t="s">
        <v>213</v>
      </c>
      <c r="O1318" t="s">
        <v>316</v>
      </c>
      <c r="P1318">
        <v>4.3350860439929552E-6</v>
      </c>
      <c r="Q1318" t="s">
        <v>161</v>
      </c>
    </row>
    <row r="1319" spans="9:17" x14ac:dyDescent="0.45">
      <c r="I1319" t="s">
        <v>190</v>
      </c>
      <c r="J1319" t="s">
        <v>317</v>
      </c>
      <c r="K1319">
        <v>0</v>
      </c>
      <c r="L1319" t="s">
        <v>161</v>
      </c>
      <c r="N1319" t="s">
        <v>213</v>
      </c>
      <c r="O1319" t="s">
        <v>317</v>
      </c>
      <c r="P1319">
        <v>5.1303436896503369E-6</v>
      </c>
      <c r="Q1319" t="s">
        <v>161</v>
      </c>
    </row>
    <row r="1320" spans="9:17" x14ac:dyDescent="0.45">
      <c r="I1320" t="s">
        <v>190</v>
      </c>
      <c r="J1320" t="s">
        <v>318</v>
      </c>
      <c r="K1320">
        <v>0</v>
      </c>
      <c r="L1320" t="s">
        <v>161</v>
      </c>
      <c r="N1320" t="s">
        <v>213</v>
      </c>
      <c r="O1320" t="s">
        <v>318</v>
      </c>
      <c r="P1320">
        <v>4.0965573216065564E-6</v>
      </c>
      <c r="Q1320" t="s">
        <v>161</v>
      </c>
    </row>
    <row r="1321" spans="9:17" x14ac:dyDescent="0.45">
      <c r="I1321" t="s">
        <v>190</v>
      </c>
      <c r="J1321" t="s">
        <v>319</v>
      </c>
      <c r="K1321">
        <v>3.3059634736441524E-5</v>
      </c>
      <c r="L1321" t="s">
        <v>161</v>
      </c>
      <c r="N1321" t="s">
        <v>213</v>
      </c>
      <c r="O1321" t="s">
        <v>319</v>
      </c>
      <c r="P1321">
        <v>8.0769351293063244E-7</v>
      </c>
      <c r="Q1321" t="s">
        <v>161</v>
      </c>
    </row>
    <row r="1322" spans="9:17" x14ac:dyDescent="0.45">
      <c r="I1322" t="s">
        <v>190</v>
      </c>
      <c r="J1322" t="s">
        <v>320</v>
      </c>
      <c r="K1322">
        <v>6.6496722321767051E-5</v>
      </c>
      <c r="L1322" t="s">
        <v>161</v>
      </c>
      <c r="N1322" t="s">
        <v>213</v>
      </c>
      <c r="O1322" t="s">
        <v>320</v>
      </c>
      <c r="P1322">
        <v>1.1242214087429287E-7</v>
      </c>
      <c r="Q1322" t="s">
        <v>161</v>
      </c>
    </row>
    <row r="1323" spans="9:17" x14ac:dyDescent="0.45">
      <c r="I1323" t="s">
        <v>190</v>
      </c>
      <c r="J1323" t="s">
        <v>321</v>
      </c>
      <c r="K1323">
        <v>1.2248825649243281E-4</v>
      </c>
      <c r="L1323" t="s">
        <v>161</v>
      </c>
      <c r="N1323" t="s">
        <v>213</v>
      </c>
      <c r="O1323" t="s">
        <v>321</v>
      </c>
      <c r="P1323">
        <v>2.324138645852854E-6</v>
      </c>
      <c r="Q1323" t="s">
        <v>161</v>
      </c>
    </row>
    <row r="1324" spans="9:17" x14ac:dyDescent="0.45">
      <c r="I1324" t="s">
        <v>190</v>
      </c>
      <c r="J1324" t="s">
        <v>322</v>
      </c>
      <c r="K1324">
        <v>1.5455816768229487E-4</v>
      </c>
      <c r="L1324" t="s">
        <v>161</v>
      </c>
      <c r="N1324" t="s">
        <v>213</v>
      </c>
      <c r="O1324" t="s">
        <v>322</v>
      </c>
      <c r="P1324">
        <v>1.1363603139949429E-5</v>
      </c>
      <c r="Q1324" t="s">
        <v>161</v>
      </c>
    </row>
    <row r="1325" spans="9:17" x14ac:dyDescent="0.45">
      <c r="I1325" t="s">
        <v>190</v>
      </c>
      <c r="J1325" t="s">
        <v>323</v>
      </c>
      <c r="K1325">
        <v>1.7375997996028951E-4</v>
      </c>
      <c r="L1325" t="s">
        <v>161</v>
      </c>
      <c r="N1325" t="s">
        <v>213</v>
      </c>
      <c r="O1325" t="s">
        <v>323</v>
      </c>
      <c r="P1325">
        <v>2.0148942297240701E-5</v>
      </c>
      <c r="Q1325" t="s">
        <v>161</v>
      </c>
    </row>
    <row r="1326" spans="9:17" x14ac:dyDescent="0.45">
      <c r="I1326" t="s">
        <v>190</v>
      </c>
      <c r="J1326" t="s">
        <v>324</v>
      </c>
      <c r="K1326">
        <v>1.5807408211231401E-4</v>
      </c>
      <c r="L1326" t="s">
        <v>161</v>
      </c>
      <c r="N1326" t="s">
        <v>213</v>
      </c>
      <c r="O1326" t="s">
        <v>324</v>
      </c>
      <c r="P1326">
        <v>2.7325039039009303E-5</v>
      </c>
      <c r="Q1326" t="s">
        <v>161</v>
      </c>
    </row>
    <row r="1327" spans="9:17" x14ac:dyDescent="0.45">
      <c r="I1327" t="s">
        <v>190</v>
      </c>
      <c r="J1327" t="s">
        <v>325</v>
      </c>
      <c r="K1327">
        <v>1.1871050812568147E-4</v>
      </c>
      <c r="L1327" t="s">
        <v>161</v>
      </c>
      <c r="N1327" t="s">
        <v>213</v>
      </c>
      <c r="O1327" t="s">
        <v>325</v>
      </c>
      <c r="P1327">
        <v>3.7949259421284942E-5</v>
      </c>
      <c r="Q1327" t="s">
        <v>161</v>
      </c>
    </row>
    <row r="1328" spans="9:17" x14ac:dyDescent="0.45">
      <c r="I1328" t="s">
        <v>190</v>
      </c>
      <c r="J1328" t="s">
        <v>326</v>
      </c>
      <c r="K1328">
        <v>1.284058429518621E-4</v>
      </c>
      <c r="L1328" t="s">
        <v>161</v>
      </c>
      <c r="N1328" t="s">
        <v>213</v>
      </c>
      <c r="O1328" t="s">
        <v>326</v>
      </c>
      <c r="P1328">
        <v>3.9011307048265546E-5</v>
      </c>
      <c r="Q1328" t="s">
        <v>161</v>
      </c>
    </row>
    <row r="1329" spans="9:17" x14ac:dyDescent="0.45">
      <c r="I1329" t="s">
        <v>190</v>
      </c>
      <c r="J1329" t="s">
        <v>327</v>
      </c>
      <c r="K1329">
        <v>4.0012193813310171E-5</v>
      </c>
      <c r="L1329" t="s">
        <v>161</v>
      </c>
      <c r="N1329" t="s">
        <v>213</v>
      </c>
      <c r="O1329" t="s">
        <v>327</v>
      </c>
      <c r="P1329">
        <v>4.7921660617207894E-5</v>
      </c>
      <c r="Q1329" t="s">
        <v>161</v>
      </c>
    </row>
    <row r="1330" spans="9:17" x14ac:dyDescent="0.45">
      <c r="I1330" t="s">
        <v>190</v>
      </c>
      <c r="J1330" t="s">
        <v>328</v>
      </c>
      <c r="K1330">
        <v>0</v>
      </c>
      <c r="L1330" t="s">
        <v>161</v>
      </c>
      <c r="N1330" t="s">
        <v>213</v>
      </c>
      <c r="O1330" t="s">
        <v>328</v>
      </c>
      <c r="P1330">
        <v>7.7177793699453054E-5</v>
      </c>
      <c r="Q1330" t="s">
        <v>161</v>
      </c>
    </row>
    <row r="1331" spans="9:17" x14ac:dyDescent="0.45">
      <c r="I1331" t="s">
        <v>190</v>
      </c>
      <c r="J1331" t="s">
        <v>329</v>
      </c>
      <c r="K1331">
        <v>0</v>
      </c>
      <c r="L1331" t="s">
        <v>161</v>
      </c>
      <c r="N1331" t="s">
        <v>213</v>
      </c>
      <c r="O1331" t="s">
        <v>329</v>
      </c>
      <c r="P1331">
        <v>9.8783191812714101E-5</v>
      </c>
      <c r="Q1331" t="s">
        <v>161</v>
      </c>
    </row>
    <row r="1332" spans="9:17" x14ac:dyDescent="0.45">
      <c r="I1332" t="s">
        <v>190</v>
      </c>
      <c r="J1332" t="s">
        <v>330</v>
      </c>
      <c r="K1332">
        <v>0</v>
      </c>
      <c r="L1332" t="s">
        <v>161</v>
      </c>
      <c r="N1332" t="s">
        <v>213</v>
      </c>
      <c r="O1332" t="s">
        <v>330</v>
      </c>
      <c r="P1332">
        <v>9.7907592099943005E-5</v>
      </c>
      <c r="Q1332" t="s">
        <v>161</v>
      </c>
    </row>
    <row r="1333" spans="9:17" x14ac:dyDescent="0.45">
      <c r="I1333" t="s">
        <v>190</v>
      </c>
      <c r="J1333" t="s">
        <v>331</v>
      </c>
      <c r="K1333">
        <v>0</v>
      </c>
      <c r="L1333" t="s">
        <v>161</v>
      </c>
      <c r="N1333" t="s">
        <v>213</v>
      </c>
      <c r="O1333" t="s">
        <v>331</v>
      </c>
      <c r="P1333">
        <v>9.4970797013225336E-5</v>
      </c>
      <c r="Q1333" t="s">
        <v>161</v>
      </c>
    </row>
    <row r="1334" spans="9:17" x14ac:dyDescent="0.45">
      <c r="I1334" t="s">
        <v>190</v>
      </c>
      <c r="J1334" t="s">
        <v>332</v>
      </c>
      <c r="K1334">
        <v>0</v>
      </c>
      <c r="L1334" t="s">
        <v>161</v>
      </c>
      <c r="N1334" t="s">
        <v>213</v>
      </c>
      <c r="O1334" t="s">
        <v>332</v>
      </c>
      <c r="P1334">
        <v>9.3698856648036913E-5</v>
      </c>
      <c r="Q1334" t="s">
        <v>161</v>
      </c>
    </row>
    <row r="1335" spans="9:17" x14ac:dyDescent="0.45">
      <c r="I1335" t="s">
        <v>190</v>
      </c>
      <c r="J1335" t="s">
        <v>333</v>
      </c>
      <c r="K1335">
        <v>0</v>
      </c>
      <c r="L1335" t="s">
        <v>161</v>
      </c>
      <c r="N1335" t="s">
        <v>213</v>
      </c>
      <c r="O1335" t="s">
        <v>333</v>
      </c>
      <c r="P1335">
        <v>6.5781960673224401E-5</v>
      </c>
      <c r="Q1335" t="s">
        <v>161</v>
      </c>
    </row>
    <row r="1336" spans="9:17" x14ac:dyDescent="0.45">
      <c r="I1336" t="s">
        <v>190</v>
      </c>
      <c r="J1336" t="s">
        <v>334</v>
      </c>
      <c r="K1336">
        <v>0</v>
      </c>
      <c r="L1336" t="s">
        <v>161</v>
      </c>
      <c r="N1336" t="s">
        <v>213</v>
      </c>
      <c r="O1336" t="s">
        <v>334</v>
      </c>
      <c r="P1336">
        <v>6.220988716998228E-5</v>
      </c>
      <c r="Q1336" t="s">
        <v>161</v>
      </c>
    </row>
    <row r="1337" spans="9:17" x14ac:dyDescent="0.45">
      <c r="I1337" t="s">
        <v>190</v>
      </c>
      <c r="J1337" t="s">
        <v>164</v>
      </c>
      <c r="K1337">
        <v>1.2229398450832209E-2</v>
      </c>
      <c r="L1337" t="s">
        <v>161</v>
      </c>
      <c r="N1337" t="s">
        <v>213</v>
      </c>
      <c r="O1337" t="s">
        <v>164</v>
      </c>
      <c r="P1337">
        <v>4.7886138842331089E-2</v>
      </c>
      <c r="Q1337" t="s">
        <v>161</v>
      </c>
    </row>
    <row r="1338" spans="9:17" x14ac:dyDescent="0.45">
      <c r="I1338" t="s">
        <v>190</v>
      </c>
      <c r="J1338" t="s">
        <v>165</v>
      </c>
      <c r="K1338">
        <v>1.0860455588429718E-2</v>
      </c>
      <c r="L1338" t="s">
        <v>161</v>
      </c>
      <c r="N1338" t="s">
        <v>213</v>
      </c>
      <c r="O1338" t="s">
        <v>165</v>
      </c>
      <c r="P1338">
        <v>5.4506109943970107E-3</v>
      </c>
      <c r="Q1338" t="s">
        <v>161</v>
      </c>
    </row>
    <row r="1339" spans="9:17" x14ac:dyDescent="0.45">
      <c r="I1339" t="s">
        <v>190</v>
      </c>
      <c r="J1339" t="s">
        <v>166</v>
      </c>
      <c r="K1339">
        <v>9.3623515478623021E-2</v>
      </c>
      <c r="L1339" t="s">
        <v>161</v>
      </c>
      <c r="N1339" t="s">
        <v>213</v>
      </c>
      <c r="O1339" t="s">
        <v>166</v>
      </c>
      <c r="P1339">
        <v>2.9572735390654692E-2</v>
      </c>
      <c r="Q1339" t="s">
        <v>161</v>
      </c>
    </row>
    <row r="1340" spans="9:17" x14ac:dyDescent="0.45">
      <c r="I1340" t="s">
        <v>190</v>
      </c>
      <c r="J1340" t="s">
        <v>244</v>
      </c>
      <c r="K1340">
        <v>8.5975675602384394E-3</v>
      </c>
      <c r="L1340" t="s">
        <v>161</v>
      </c>
      <c r="N1340" t="s">
        <v>213</v>
      </c>
      <c r="O1340" t="s">
        <v>244</v>
      </c>
      <c r="P1340">
        <v>4.3277890356144023E-3</v>
      </c>
      <c r="Q1340" t="s">
        <v>161</v>
      </c>
    </row>
    <row r="1341" spans="9:17" x14ac:dyDescent="0.45">
      <c r="I1341" t="s">
        <v>190</v>
      </c>
      <c r="J1341" t="s">
        <v>245</v>
      </c>
      <c r="K1341">
        <v>5.3820627774921045E-3</v>
      </c>
      <c r="L1341" t="s">
        <v>161</v>
      </c>
      <c r="N1341" t="s">
        <v>213</v>
      </c>
      <c r="O1341" t="s">
        <v>245</v>
      </c>
      <c r="P1341">
        <v>4.738077743422448E-3</v>
      </c>
      <c r="Q1341" t="s">
        <v>161</v>
      </c>
    </row>
    <row r="1342" spans="9:17" x14ac:dyDescent="0.45">
      <c r="I1342" t="s">
        <v>190</v>
      </c>
      <c r="J1342" t="s">
        <v>267</v>
      </c>
      <c r="K1342">
        <v>2.2778369789741445E-3</v>
      </c>
      <c r="L1342" t="s">
        <v>161</v>
      </c>
      <c r="N1342" t="s">
        <v>213</v>
      </c>
      <c r="O1342" t="s">
        <v>267</v>
      </c>
      <c r="P1342">
        <v>3.5249778821105804E-2</v>
      </c>
      <c r="Q1342" t="s">
        <v>161</v>
      </c>
    </row>
    <row r="1343" spans="9:17" x14ac:dyDescent="0.45">
      <c r="I1343" t="s">
        <v>190</v>
      </c>
      <c r="J1343" t="s">
        <v>167</v>
      </c>
      <c r="K1343">
        <v>6.6197705539267626E-2</v>
      </c>
      <c r="L1343" t="s">
        <v>161</v>
      </c>
      <c r="N1343" t="s">
        <v>213</v>
      </c>
      <c r="O1343" t="s">
        <v>167</v>
      </c>
      <c r="P1343">
        <v>6.3012543882967925E-2</v>
      </c>
      <c r="Q1343" t="s">
        <v>161</v>
      </c>
    </row>
    <row r="1344" spans="9:17" x14ac:dyDescent="0.45">
      <c r="I1344" t="s">
        <v>190</v>
      </c>
      <c r="J1344" t="s">
        <v>168</v>
      </c>
      <c r="K1344">
        <v>3.4562638126357986E-2</v>
      </c>
      <c r="L1344" t="s">
        <v>161</v>
      </c>
      <c r="N1344" t="s">
        <v>213</v>
      </c>
      <c r="O1344" t="s">
        <v>168</v>
      </c>
      <c r="P1344">
        <v>6.0668398854821365E-3</v>
      </c>
      <c r="Q1344" t="s">
        <v>161</v>
      </c>
    </row>
    <row r="1345" spans="9:17" x14ac:dyDescent="0.45">
      <c r="I1345" t="s">
        <v>190</v>
      </c>
      <c r="J1345" t="s">
        <v>169</v>
      </c>
      <c r="K1345">
        <v>0.26940577366064478</v>
      </c>
      <c r="L1345" t="s">
        <v>161</v>
      </c>
      <c r="N1345" t="s">
        <v>213</v>
      </c>
      <c r="O1345" t="s">
        <v>169</v>
      </c>
      <c r="P1345">
        <v>4.6868413059596957E-2</v>
      </c>
      <c r="Q1345" t="s">
        <v>161</v>
      </c>
    </row>
    <row r="1346" spans="9:17" x14ac:dyDescent="0.45">
      <c r="I1346" t="s">
        <v>190</v>
      </c>
      <c r="J1346" t="s">
        <v>246</v>
      </c>
      <c r="K1346">
        <v>2.7812777713126836E-2</v>
      </c>
      <c r="L1346" t="s">
        <v>161</v>
      </c>
      <c r="N1346" t="s">
        <v>213</v>
      </c>
      <c r="O1346" t="s">
        <v>246</v>
      </c>
      <c r="P1346">
        <v>7.6951615831642711E-3</v>
      </c>
      <c r="Q1346" t="s">
        <v>161</v>
      </c>
    </row>
    <row r="1347" spans="9:17" x14ac:dyDescent="0.45">
      <c r="I1347" t="s">
        <v>190</v>
      </c>
      <c r="J1347" t="s">
        <v>247</v>
      </c>
      <c r="K1347">
        <v>2.1820617190539359E-2</v>
      </c>
      <c r="L1347" t="s">
        <v>161</v>
      </c>
      <c r="N1347" t="s">
        <v>213</v>
      </c>
      <c r="O1347" t="s">
        <v>247</v>
      </c>
      <c r="P1347">
        <v>7.8826260820468712E-3</v>
      </c>
      <c r="Q1347" t="s">
        <v>161</v>
      </c>
    </row>
    <row r="1348" spans="9:17" x14ac:dyDescent="0.45">
      <c r="I1348" t="s">
        <v>190</v>
      </c>
      <c r="J1348" t="s">
        <v>268</v>
      </c>
      <c r="K1348">
        <v>2.2468961820208442E-2</v>
      </c>
      <c r="L1348" t="s">
        <v>161</v>
      </c>
      <c r="N1348" t="s">
        <v>213</v>
      </c>
      <c r="O1348" t="s">
        <v>268</v>
      </c>
      <c r="P1348">
        <v>5.9609688550579916E-2</v>
      </c>
      <c r="Q1348" t="s">
        <v>161</v>
      </c>
    </row>
    <row r="1349" spans="9:17" x14ac:dyDescent="0.45">
      <c r="I1349" t="s">
        <v>190</v>
      </c>
      <c r="J1349" t="s">
        <v>170</v>
      </c>
      <c r="K1349">
        <v>2.2653143096631682E-2</v>
      </c>
      <c r="L1349" t="s">
        <v>161</v>
      </c>
      <c r="N1349" t="s">
        <v>213</v>
      </c>
      <c r="O1349" t="s">
        <v>170</v>
      </c>
      <c r="P1349">
        <v>3.236384097659703E-2</v>
      </c>
      <c r="Q1349" t="s">
        <v>161</v>
      </c>
    </row>
    <row r="1350" spans="9:17" x14ac:dyDescent="0.45">
      <c r="I1350" t="s">
        <v>190</v>
      </c>
      <c r="J1350" t="s">
        <v>171</v>
      </c>
      <c r="K1350">
        <v>1.5257810250791802E-2</v>
      </c>
      <c r="L1350" t="s">
        <v>161</v>
      </c>
      <c r="N1350" t="s">
        <v>213</v>
      </c>
      <c r="O1350" t="s">
        <v>171</v>
      </c>
      <c r="P1350">
        <v>3.4514691951379999E-3</v>
      </c>
      <c r="Q1350" t="s">
        <v>161</v>
      </c>
    </row>
    <row r="1351" spans="9:17" x14ac:dyDescent="0.45">
      <c r="I1351" t="s">
        <v>190</v>
      </c>
      <c r="J1351" t="s">
        <v>172</v>
      </c>
      <c r="K1351">
        <v>0.12284672417017059</v>
      </c>
      <c r="L1351" t="s">
        <v>161</v>
      </c>
      <c r="N1351" t="s">
        <v>213</v>
      </c>
      <c r="O1351" t="s">
        <v>172</v>
      </c>
      <c r="P1351">
        <v>2.0173075525745422E-2</v>
      </c>
      <c r="Q1351" t="s">
        <v>161</v>
      </c>
    </row>
    <row r="1352" spans="9:17" x14ac:dyDescent="0.45">
      <c r="I1352" t="s">
        <v>190</v>
      </c>
      <c r="J1352" t="s">
        <v>248</v>
      </c>
      <c r="K1352">
        <v>1.2536707216931365E-2</v>
      </c>
      <c r="L1352" t="s">
        <v>161</v>
      </c>
      <c r="N1352" t="s">
        <v>213</v>
      </c>
      <c r="O1352" t="s">
        <v>248</v>
      </c>
      <c r="P1352">
        <v>3.1692538506569146E-3</v>
      </c>
      <c r="Q1352" t="s">
        <v>161</v>
      </c>
    </row>
    <row r="1353" spans="9:17" x14ac:dyDescent="0.45">
      <c r="I1353" t="s">
        <v>190</v>
      </c>
      <c r="J1353" t="s">
        <v>249</v>
      </c>
      <c r="K1353">
        <v>9.0756635840695959E-3</v>
      </c>
      <c r="L1353" t="s">
        <v>161</v>
      </c>
      <c r="N1353" t="s">
        <v>213</v>
      </c>
      <c r="O1353" t="s">
        <v>249</v>
      </c>
      <c r="P1353">
        <v>3.0742800641369436E-3</v>
      </c>
      <c r="Q1353" t="s">
        <v>161</v>
      </c>
    </row>
    <row r="1354" spans="9:17" x14ac:dyDescent="0.45">
      <c r="I1354" t="s">
        <v>190</v>
      </c>
      <c r="J1354" t="s">
        <v>269</v>
      </c>
      <c r="K1354">
        <v>6.5200586000980151E-3</v>
      </c>
      <c r="L1354" t="s">
        <v>161</v>
      </c>
      <c r="N1354" t="s">
        <v>213</v>
      </c>
      <c r="O1354" t="s">
        <v>269</v>
      </c>
      <c r="P1354">
        <v>2.3649074168043453E-2</v>
      </c>
      <c r="Q1354" t="s">
        <v>161</v>
      </c>
    </row>
    <row r="1355" spans="9:17" x14ac:dyDescent="0.45">
      <c r="I1355" t="s">
        <v>190</v>
      </c>
      <c r="J1355" t="s">
        <v>250</v>
      </c>
      <c r="K1355">
        <v>5.136276512724843E-3</v>
      </c>
      <c r="L1355" t="s">
        <v>161</v>
      </c>
      <c r="N1355" t="s">
        <v>213</v>
      </c>
      <c r="O1355" t="s">
        <v>250</v>
      </c>
      <c r="P1355">
        <v>5.3060339437507577E-2</v>
      </c>
      <c r="Q1355" t="s">
        <v>161</v>
      </c>
    </row>
    <row r="1356" spans="9:17" x14ac:dyDescent="0.45">
      <c r="I1356" t="s">
        <v>190</v>
      </c>
      <c r="J1356" t="s">
        <v>251</v>
      </c>
      <c r="K1356">
        <v>7.4093631654898427E-3</v>
      </c>
      <c r="L1356" t="s">
        <v>161</v>
      </c>
      <c r="N1356" t="s">
        <v>213</v>
      </c>
      <c r="O1356" t="s">
        <v>251</v>
      </c>
      <c r="P1356">
        <v>6.089240611332025E-3</v>
      </c>
      <c r="Q1356" t="s">
        <v>161</v>
      </c>
    </row>
    <row r="1357" spans="9:17" x14ac:dyDescent="0.45">
      <c r="I1357" t="s">
        <v>190</v>
      </c>
      <c r="J1357" t="s">
        <v>252</v>
      </c>
      <c r="K1357">
        <v>7.333932324151704E-2</v>
      </c>
      <c r="L1357" t="s">
        <v>161</v>
      </c>
      <c r="N1357" t="s">
        <v>213</v>
      </c>
      <c r="O1357" t="s">
        <v>252</v>
      </c>
      <c r="P1357">
        <v>3.3609242692967216E-2</v>
      </c>
      <c r="Q1357" t="s">
        <v>161</v>
      </c>
    </row>
    <row r="1358" spans="9:17" x14ac:dyDescent="0.45">
      <c r="I1358" t="s">
        <v>190</v>
      </c>
      <c r="J1358" t="s">
        <v>253</v>
      </c>
      <c r="K1358">
        <v>5.0477997634476007E-3</v>
      </c>
      <c r="L1358" t="s">
        <v>161</v>
      </c>
      <c r="N1358" t="s">
        <v>213</v>
      </c>
      <c r="O1358" t="s">
        <v>253</v>
      </c>
      <c r="P1358">
        <v>5.2314328358812725E-3</v>
      </c>
      <c r="Q1358" t="s">
        <v>161</v>
      </c>
    </row>
    <row r="1359" spans="9:17" x14ac:dyDescent="0.45">
      <c r="I1359" t="s">
        <v>190</v>
      </c>
      <c r="J1359" t="s">
        <v>254</v>
      </c>
      <c r="K1359">
        <v>1.5444067464391881E-3</v>
      </c>
      <c r="L1359" t="s">
        <v>161</v>
      </c>
      <c r="N1359" t="s">
        <v>213</v>
      </c>
      <c r="O1359" t="s">
        <v>254</v>
      </c>
      <c r="P1359">
        <v>5.6670085856644044E-3</v>
      </c>
      <c r="Q1359" t="s">
        <v>161</v>
      </c>
    </row>
    <row r="1360" spans="9:17" x14ac:dyDescent="0.45">
      <c r="I1360" t="s">
        <v>190</v>
      </c>
      <c r="J1360" t="s">
        <v>270</v>
      </c>
      <c r="K1360">
        <v>0</v>
      </c>
      <c r="L1360" t="s">
        <v>161</v>
      </c>
      <c r="N1360" t="s">
        <v>213</v>
      </c>
      <c r="O1360" t="s">
        <v>270</v>
      </c>
      <c r="P1360">
        <v>3.7916855877360663E-2</v>
      </c>
      <c r="Q1360" t="s">
        <v>161</v>
      </c>
    </row>
    <row r="1361" spans="9:17" x14ac:dyDescent="0.45">
      <c r="I1361" t="s">
        <v>190</v>
      </c>
      <c r="J1361" t="s">
        <v>255</v>
      </c>
      <c r="K1361">
        <v>3.912015407843669E-6</v>
      </c>
      <c r="L1361" t="s">
        <v>161</v>
      </c>
      <c r="N1361" t="s">
        <v>213</v>
      </c>
      <c r="O1361" t="s">
        <v>255</v>
      </c>
      <c r="P1361">
        <v>5.929391274236806E-2</v>
      </c>
      <c r="Q1361" t="s">
        <v>161</v>
      </c>
    </row>
    <row r="1362" spans="9:17" x14ac:dyDescent="0.45">
      <c r="I1362" t="s">
        <v>190</v>
      </c>
      <c r="J1362" t="s">
        <v>256</v>
      </c>
      <c r="K1362">
        <v>1.8716677774813107E-3</v>
      </c>
      <c r="L1362" t="s">
        <v>161</v>
      </c>
      <c r="N1362" t="s">
        <v>213</v>
      </c>
      <c r="O1362" t="s">
        <v>256</v>
      </c>
      <c r="P1362">
        <v>6.7740972570897355E-3</v>
      </c>
      <c r="Q1362" t="s">
        <v>161</v>
      </c>
    </row>
    <row r="1363" spans="9:17" x14ac:dyDescent="0.45">
      <c r="I1363" t="s">
        <v>190</v>
      </c>
      <c r="J1363" t="s">
        <v>257</v>
      </c>
      <c r="K1363">
        <v>3.2748772530013751E-2</v>
      </c>
      <c r="L1363" t="s">
        <v>161</v>
      </c>
      <c r="N1363" t="s">
        <v>213</v>
      </c>
      <c r="O1363" t="s">
        <v>257</v>
      </c>
      <c r="P1363">
        <v>4.0494688536901066E-2</v>
      </c>
      <c r="Q1363" t="s">
        <v>161</v>
      </c>
    </row>
    <row r="1364" spans="9:17" x14ac:dyDescent="0.45">
      <c r="I1364" t="s">
        <v>190</v>
      </c>
      <c r="J1364" t="s">
        <v>258</v>
      </c>
      <c r="K1364">
        <v>1.5005857531796089E-4</v>
      </c>
      <c r="L1364" t="s">
        <v>161</v>
      </c>
      <c r="N1364" t="s">
        <v>213</v>
      </c>
      <c r="O1364" t="s">
        <v>258</v>
      </c>
      <c r="P1364">
        <v>6.9194863743501306E-3</v>
      </c>
      <c r="Q1364" t="s">
        <v>161</v>
      </c>
    </row>
    <row r="1365" spans="9:17" x14ac:dyDescent="0.45">
      <c r="I1365" t="s">
        <v>190</v>
      </c>
      <c r="J1365" t="s">
        <v>259</v>
      </c>
      <c r="K1365">
        <v>0</v>
      </c>
      <c r="L1365" t="s">
        <v>161</v>
      </c>
      <c r="N1365" t="s">
        <v>213</v>
      </c>
      <c r="O1365" t="s">
        <v>259</v>
      </c>
      <c r="P1365">
        <v>7.3858584273655044E-3</v>
      </c>
      <c r="Q1365" t="s">
        <v>161</v>
      </c>
    </row>
    <row r="1366" spans="9:17" x14ac:dyDescent="0.45">
      <c r="I1366" t="s">
        <v>190</v>
      </c>
      <c r="J1366" t="s">
        <v>271</v>
      </c>
      <c r="K1366">
        <v>0</v>
      </c>
      <c r="L1366" t="s">
        <v>161</v>
      </c>
      <c r="N1366" t="s">
        <v>213</v>
      </c>
      <c r="O1366" t="s">
        <v>271</v>
      </c>
      <c r="P1366">
        <v>4.6618287697711022E-2</v>
      </c>
      <c r="Q1366" t="s">
        <v>161</v>
      </c>
    </row>
    <row r="1367" spans="9:17" x14ac:dyDescent="0.45">
      <c r="I1367" t="s">
        <v>190</v>
      </c>
      <c r="J1367" t="s">
        <v>272</v>
      </c>
      <c r="K1367">
        <v>0</v>
      </c>
      <c r="L1367" t="s">
        <v>161</v>
      </c>
      <c r="N1367" t="s">
        <v>213</v>
      </c>
      <c r="O1367" t="s">
        <v>272</v>
      </c>
      <c r="P1367">
        <v>1.5288058352767666E-2</v>
      </c>
      <c r="Q1367" t="s">
        <v>161</v>
      </c>
    </row>
    <row r="1368" spans="9:17" x14ac:dyDescent="0.45">
      <c r="I1368" t="s">
        <v>190</v>
      </c>
      <c r="J1368" t="s">
        <v>273</v>
      </c>
      <c r="K1368">
        <v>0</v>
      </c>
      <c r="L1368" t="s">
        <v>161</v>
      </c>
      <c r="N1368" t="s">
        <v>213</v>
      </c>
      <c r="O1368" t="s">
        <v>273</v>
      </c>
      <c r="P1368">
        <v>1.6555520781137776E-3</v>
      </c>
      <c r="Q1368" t="s">
        <v>161</v>
      </c>
    </row>
    <row r="1369" spans="9:17" x14ac:dyDescent="0.45">
      <c r="I1369" t="s">
        <v>190</v>
      </c>
      <c r="J1369" t="s">
        <v>274</v>
      </c>
      <c r="K1369">
        <v>4.7342241262128418E-3</v>
      </c>
      <c r="L1369" t="s">
        <v>161</v>
      </c>
      <c r="N1369" t="s">
        <v>213</v>
      </c>
      <c r="O1369" t="s">
        <v>274</v>
      </c>
      <c r="P1369">
        <v>1.0594043445372996E-2</v>
      </c>
      <c r="Q1369" t="s">
        <v>161</v>
      </c>
    </row>
    <row r="1370" spans="9:17" x14ac:dyDescent="0.45">
      <c r="I1370" t="s">
        <v>190</v>
      </c>
      <c r="J1370" t="s">
        <v>275</v>
      </c>
      <c r="K1370">
        <v>0</v>
      </c>
      <c r="L1370" t="s">
        <v>161</v>
      </c>
      <c r="N1370" t="s">
        <v>213</v>
      </c>
      <c r="O1370" t="s">
        <v>275</v>
      </c>
      <c r="P1370">
        <v>1.9584677437668725E-3</v>
      </c>
      <c r="Q1370" t="s">
        <v>161</v>
      </c>
    </row>
    <row r="1371" spans="9:17" x14ac:dyDescent="0.45">
      <c r="I1371" t="s">
        <v>190</v>
      </c>
      <c r="J1371" t="s">
        <v>276</v>
      </c>
      <c r="K1371">
        <v>0</v>
      </c>
      <c r="L1371" t="s">
        <v>161</v>
      </c>
      <c r="N1371" t="s">
        <v>213</v>
      </c>
      <c r="O1371" t="s">
        <v>276</v>
      </c>
      <c r="P1371">
        <v>2.1263591974150509E-3</v>
      </c>
      <c r="Q1371" t="s">
        <v>161</v>
      </c>
    </row>
    <row r="1372" spans="9:17" x14ac:dyDescent="0.45">
      <c r="I1372" t="s">
        <v>190</v>
      </c>
      <c r="J1372" t="s">
        <v>277</v>
      </c>
      <c r="K1372">
        <v>0</v>
      </c>
      <c r="L1372" t="s">
        <v>161</v>
      </c>
      <c r="N1372" t="s">
        <v>213</v>
      </c>
      <c r="O1372" t="s">
        <v>277</v>
      </c>
      <c r="P1372">
        <v>1.211713959174412E-2</v>
      </c>
      <c r="Q1372" t="s">
        <v>161</v>
      </c>
    </row>
    <row r="1373" spans="9:17" x14ac:dyDescent="0.45">
      <c r="I1373" t="s">
        <v>190</v>
      </c>
      <c r="J1373" t="s">
        <v>278</v>
      </c>
      <c r="K1373">
        <v>0</v>
      </c>
      <c r="L1373" t="s">
        <v>161</v>
      </c>
      <c r="N1373" t="s">
        <v>213</v>
      </c>
      <c r="O1373" t="s">
        <v>278</v>
      </c>
      <c r="P1373">
        <v>6.8462660240192624E-3</v>
      </c>
      <c r="Q1373" t="s">
        <v>161</v>
      </c>
    </row>
    <row r="1374" spans="9:17" x14ac:dyDescent="0.45">
      <c r="I1374" t="s">
        <v>190</v>
      </c>
      <c r="J1374" t="s">
        <v>279</v>
      </c>
      <c r="K1374">
        <v>0</v>
      </c>
      <c r="L1374" t="s">
        <v>161</v>
      </c>
      <c r="N1374" t="s">
        <v>213</v>
      </c>
      <c r="O1374" t="s">
        <v>279</v>
      </c>
      <c r="P1374">
        <v>6.2970484276735875E-4</v>
      </c>
      <c r="Q1374" t="s">
        <v>161</v>
      </c>
    </row>
    <row r="1375" spans="9:17" x14ac:dyDescent="0.45">
      <c r="I1375" t="s">
        <v>190</v>
      </c>
      <c r="J1375" t="s">
        <v>280</v>
      </c>
      <c r="K1375">
        <v>5.0124082553892084E-3</v>
      </c>
      <c r="L1375" t="s">
        <v>161</v>
      </c>
      <c r="N1375" t="s">
        <v>213</v>
      </c>
      <c r="O1375" t="s">
        <v>280</v>
      </c>
      <c r="P1375">
        <v>2.7580994865645872E-3</v>
      </c>
      <c r="Q1375" t="s">
        <v>161</v>
      </c>
    </row>
    <row r="1376" spans="9:17" x14ac:dyDescent="0.45">
      <c r="I1376" t="s">
        <v>190</v>
      </c>
      <c r="J1376" t="s">
        <v>281</v>
      </c>
      <c r="K1376">
        <v>0</v>
      </c>
      <c r="L1376" t="s">
        <v>161</v>
      </c>
      <c r="N1376" t="s">
        <v>213</v>
      </c>
      <c r="O1376" t="s">
        <v>281</v>
      </c>
      <c r="P1376">
        <v>6.5909939717924296E-4</v>
      </c>
      <c r="Q1376" t="s">
        <v>161</v>
      </c>
    </row>
    <row r="1377" spans="9:17" x14ac:dyDescent="0.45">
      <c r="I1377" t="s">
        <v>190</v>
      </c>
      <c r="J1377" t="s">
        <v>282</v>
      </c>
      <c r="K1377">
        <v>0</v>
      </c>
      <c r="L1377" t="s">
        <v>161</v>
      </c>
      <c r="N1377" t="s">
        <v>213</v>
      </c>
      <c r="O1377" t="s">
        <v>282</v>
      </c>
      <c r="P1377">
        <v>7.6712281005269286E-4</v>
      </c>
      <c r="Q1377" t="s">
        <v>161</v>
      </c>
    </row>
    <row r="1378" spans="9:17" x14ac:dyDescent="0.45">
      <c r="I1378" t="s">
        <v>190</v>
      </c>
      <c r="J1378" t="s">
        <v>283</v>
      </c>
      <c r="K1378">
        <v>0</v>
      </c>
      <c r="L1378" t="s">
        <v>161</v>
      </c>
      <c r="N1378" t="s">
        <v>213</v>
      </c>
      <c r="O1378" t="s">
        <v>283</v>
      </c>
      <c r="P1378">
        <v>5.5357463236628181E-3</v>
      </c>
      <c r="Q1378" t="s">
        <v>161</v>
      </c>
    </row>
    <row r="1379" spans="9:17" x14ac:dyDescent="0.45">
      <c r="I1379" t="s">
        <v>191</v>
      </c>
      <c r="J1379" t="s">
        <v>160</v>
      </c>
      <c r="K1379">
        <v>1.5128402644778282E-3</v>
      </c>
      <c r="L1379" t="s">
        <v>161</v>
      </c>
      <c r="N1379" t="s">
        <v>214</v>
      </c>
      <c r="O1379" t="s">
        <v>160</v>
      </c>
      <c r="P1379">
        <v>7.5489448971152534E-2</v>
      </c>
      <c r="Q1379" t="s">
        <v>161</v>
      </c>
    </row>
    <row r="1380" spans="9:17" x14ac:dyDescent="0.45">
      <c r="I1380" t="s">
        <v>191</v>
      </c>
      <c r="J1380" t="s">
        <v>162</v>
      </c>
      <c r="K1380">
        <v>5.5954811887482412E-3</v>
      </c>
      <c r="L1380" t="s">
        <v>161</v>
      </c>
      <c r="N1380" t="s">
        <v>214</v>
      </c>
      <c r="O1380" t="s">
        <v>162</v>
      </c>
      <c r="P1380">
        <v>9.4042886213511583E-3</v>
      </c>
      <c r="Q1380" t="s">
        <v>161</v>
      </c>
    </row>
    <row r="1381" spans="9:17" x14ac:dyDescent="0.45">
      <c r="I1381" t="s">
        <v>191</v>
      </c>
      <c r="J1381" t="s">
        <v>163</v>
      </c>
      <c r="K1381">
        <v>8.7523835856502863E-2</v>
      </c>
      <c r="L1381" t="s">
        <v>161</v>
      </c>
      <c r="N1381" t="s">
        <v>214</v>
      </c>
      <c r="O1381" t="s">
        <v>163</v>
      </c>
      <c r="P1381">
        <v>6.5198029489263676E-2</v>
      </c>
      <c r="Q1381" t="s">
        <v>161</v>
      </c>
    </row>
    <row r="1382" spans="9:17" x14ac:dyDescent="0.45">
      <c r="I1382" t="s">
        <v>191</v>
      </c>
      <c r="J1382" t="s">
        <v>242</v>
      </c>
      <c r="K1382">
        <v>6.658816061495044E-3</v>
      </c>
      <c r="L1382" t="s">
        <v>161</v>
      </c>
      <c r="N1382" t="s">
        <v>214</v>
      </c>
      <c r="O1382" t="s">
        <v>242</v>
      </c>
      <c r="P1382">
        <v>1.0719309182810296E-2</v>
      </c>
      <c r="Q1382" t="s">
        <v>161</v>
      </c>
    </row>
    <row r="1383" spans="9:17" x14ac:dyDescent="0.45">
      <c r="I1383" t="s">
        <v>191</v>
      </c>
      <c r="J1383" t="s">
        <v>243</v>
      </c>
      <c r="K1383">
        <v>2.641163838474517E-3</v>
      </c>
      <c r="L1383" t="s">
        <v>161</v>
      </c>
      <c r="N1383" t="s">
        <v>214</v>
      </c>
      <c r="O1383" t="s">
        <v>243</v>
      </c>
      <c r="P1383">
        <v>1.1075550218584343E-2</v>
      </c>
      <c r="Q1383" t="s">
        <v>161</v>
      </c>
    </row>
    <row r="1384" spans="9:17" x14ac:dyDescent="0.45">
      <c r="I1384" t="s">
        <v>191</v>
      </c>
      <c r="J1384" t="s">
        <v>266</v>
      </c>
      <c r="K1384">
        <v>0</v>
      </c>
      <c r="L1384" t="s">
        <v>161</v>
      </c>
      <c r="N1384" t="s">
        <v>214</v>
      </c>
      <c r="O1384" t="s">
        <v>266</v>
      </c>
      <c r="P1384">
        <v>7.008868906252208E-2</v>
      </c>
      <c r="Q1384" t="s">
        <v>161</v>
      </c>
    </row>
    <row r="1385" spans="9:17" x14ac:dyDescent="0.45">
      <c r="I1385" t="s">
        <v>191</v>
      </c>
      <c r="J1385" t="s">
        <v>311</v>
      </c>
      <c r="K1385">
        <v>0</v>
      </c>
      <c r="L1385" t="s">
        <v>161</v>
      </c>
      <c r="N1385" t="s">
        <v>214</v>
      </c>
      <c r="O1385" t="s">
        <v>311</v>
      </c>
      <c r="P1385">
        <v>9.6293601490810712E-5</v>
      </c>
      <c r="Q1385" t="s">
        <v>161</v>
      </c>
    </row>
    <row r="1386" spans="9:17" x14ac:dyDescent="0.45">
      <c r="I1386" t="s">
        <v>191</v>
      </c>
      <c r="J1386" t="s">
        <v>312</v>
      </c>
      <c r="K1386">
        <v>0</v>
      </c>
      <c r="L1386" t="s">
        <v>161</v>
      </c>
      <c r="N1386" t="s">
        <v>214</v>
      </c>
      <c r="O1386" t="s">
        <v>312</v>
      </c>
      <c r="P1386">
        <v>8.5207003409069223E-5</v>
      </c>
      <c r="Q1386" t="s">
        <v>161</v>
      </c>
    </row>
    <row r="1387" spans="9:17" x14ac:dyDescent="0.45">
      <c r="I1387" t="s">
        <v>191</v>
      </c>
      <c r="J1387" t="s">
        <v>313</v>
      </c>
      <c r="K1387">
        <v>0</v>
      </c>
      <c r="L1387" t="s">
        <v>161</v>
      </c>
      <c r="N1387" t="s">
        <v>214</v>
      </c>
      <c r="O1387" t="s">
        <v>313</v>
      </c>
      <c r="P1387">
        <v>9.0029169768262167E-5</v>
      </c>
      <c r="Q1387" t="s">
        <v>161</v>
      </c>
    </row>
    <row r="1388" spans="9:17" x14ac:dyDescent="0.45">
      <c r="I1388" t="s">
        <v>191</v>
      </c>
      <c r="J1388" t="s">
        <v>314</v>
      </c>
      <c r="K1388">
        <v>0</v>
      </c>
      <c r="L1388" t="s">
        <v>161</v>
      </c>
      <c r="N1388" t="s">
        <v>214</v>
      </c>
      <c r="O1388" t="s">
        <v>314</v>
      </c>
      <c r="P1388">
        <v>1.0084380431646976E-4</v>
      </c>
      <c r="Q1388" t="s">
        <v>161</v>
      </c>
    </row>
    <row r="1389" spans="9:17" x14ac:dyDescent="0.45">
      <c r="I1389" t="s">
        <v>191</v>
      </c>
      <c r="J1389" t="s">
        <v>315</v>
      </c>
      <c r="K1389">
        <v>0</v>
      </c>
      <c r="L1389" t="s">
        <v>161</v>
      </c>
      <c r="N1389" t="s">
        <v>214</v>
      </c>
      <c r="O1389" t="s">
        <v>315</v>
      </c>
      <c r="P1389">
        <v>9.5779201395439773E-5</v>
      </c>
      <c r="Q1389" t="s">
        <v>161</v>
      </c>
    </row>
    <row r="1390" spans="9:17" x14ac:dyDescent="0.45">
      <c r="I1390" t="s">
        <v>191</v>
      </c>
      <c r="J1390" t="s">
        <v>316</v>
      </c>
      <c r="K1390">
        <v>0</v>
      </c>
      <c r="L1390" t="s">
        <v>161</v>
      </c>
      <c r="N1390" t="s">
        <v>214</v>
      </c>
      <c r="O1390" t="s">
        <v>316</v>
      </c>
      <c r="P1390">
        <v>8.5314927656392718E-5</v>
      </c>
      <c r="Q1390" t="s">
        <v>161</v>
      </c>
    </row>
    <row r="1391" spans="9:17" x14ac:dyDescent="0.45">
      <c r="I1391" t="s">
        <v>191</v>
      </c>
      <c r="J1391" t="s">
        <v>317</v>
      </c>
      <c r="K1391">
        <v>0</v>
      </c>
      <c r="L1391" t="s">
        <v>161</v>
      </c>
      <c r="N1391" t="s">
        <v>214</v>
      </c>
      <c r="O1391" t="s">
        <v>317</v>
      </c>
      <c r="P1391">
        <v>9.1573000029767013E-5</v>
      </c>
      <c r="Q1391" t="s">
        <v>161</v>
      </c>
    </row>
    <row r="1392" spans="9:17" x14ac:dyDescent="0.45">
      <c r="I1392" t="s">
        <v>191</v>
      </c>
      <c r="J1392" t="s">
        <v>318</v>
      </c>
      <c r="K1392">
        <v>0</v>
      </c>
      <c r="L1392" t="s">
        <v>161</v>
      </c>
      <c r="N1392" t="s">
        <v>214</v>
      </c>
      <c r="O1392" t="s">
        <v>318</v>
      </c>
      <c r="P1392">
        <v>8.8313778906139504E-5</v>
      </c>
      <c r="Q1392" t="s">
        <v>161</v>
      </c>
    </row>
    <row r="1393" spans="9:17" x14ac:dyDescent="0.45">
      <c r="I1393" t="s">
        <v>191</v>
      </c>
      <c r="J1393" t="s">
        <v>319</v>
      </c>
      <c r="K1393">
        <v>2.3667782638253395E-5</v>
      </c>
      <c r="L1393" t="s">
        <v>161</v>
      </c>
      <c r="N1393" t="s">
        <v>214</v>
      </c>
      <c r="O1393" t="s">
        <v>319</v>
      </c>
      <c r="P1393">
        <v>6.4879822864190388E-5</v>
      </c>
      <c r="Q1393" t="s">
        <v>161</v>
      </c>
    </row>
    <row r="1394" spans="9:17" x14ac:dyDescent="0.45">
      <c r="I1394" t="s">
        <v>191</v>
      </c>
      <c r="J1394" t="s">
        <v>320</v>
      </c>
      <c r="K1394">
        <v>7.0554811398646611E-5</v>
      </c>
      <c r="L1394" t="s">
        <v>161</v>
      </c>
      <c r="N1394" t="s">
        <v>214</v>
      </c>
      <c r="O1394" t="s">
        <v>320</v>
      </c>
      <c r="P1394">
        <v>8.1436343249472856E-5</v>
      </c>
      <c r="Q1394" t="s">
        <v>161</v>
      </c>
    </row>
    <row r="1395" spans="9:17" x14ac:dyDescent="0.45">
      <c r="I1395" t="s">
        <v>191</v>
      </c>
      <c r="J1395" t="s">
        <v>321</v>
      </c>
      <c r="K1395">
        <v>1.2380208948377708E-4</v>
      </c>
      <c r="L1395" t="s">
        <v>161</v>
      </c>
      <c r="N1395" t="s">
        <v>214</v>
      </c>
      <c r="O1395" t="s">
        <v>321</v>
      </c>
      <c r="P1395">
        <v>8.1215545747258231E-5</v>
      </c>
      <c r="Q1395" t="s">
        <v>161</v>
      </c>
    </row>
    <row r="1396" spans="9:17" x14ac:dyDescent="0.45">
      <c r="I1396" t="s">
        <v>191</v>
      </c>
      <c r="J1396" t="s">
        <v>322</v>
      </c>
      <c r="K1396">
        <v>1.9947629612196546E-4</v>
      </c>
      <c r="L1396" t="s">
        <v>161</v>
      </c>
      <c r="N1396" t="s">
        <v>214</v>
      </c>
      <c r="O1396" t="s">
        <v>322</v>
      </c>
      <c r="P1396">
        <v>9.0221482291700245E-5</v>
      </c>
      <c r="Q1396" t="s">
        <v>161</v>
      </c>
    </row>
    <row r="1397" spans="9:17" x14ac:dyDescent="0.45">
      <c r="I1397" t="s">
        <v>191</v>
      </c>
      <c r="J1397" t="s">
        <v>323</v>
      </c>
      <c r="K1397">
        <v>1.7009694373572626E-4</v>
      </c>
      <c r="L1397" t="s">
        <v>161</v>
      </c>
      <c r="N1397" t="s">
        <v>214</v>
      </c>
      <c r="O1397" t="s">
        <v>323</v>
      </c>
      <c r="P1397">
        <v>1.1977108148416412E-4</v>
      </c>
      <c r="Q1397" t="s">
        <v>161</v>
      </c>
    </row>
    <row r="1398" spans="9:17" x14ac:dyDescent="0.45">
      <c r="I1398" t="s">
        <v>191</v>
      </c>
      <c r="J1398" t="s">
        <v>324</v>
      </c>
      <c r="K1398">
        <v>1.3805368194370711E-4</v>
      </c>
      <c r="L1398" t="s">
        <v>161</v>
      </c>
      <c r="N1398" t="s">
        <v>214</v>
      </c>
      <c r="O1398" t="s">
        <v>324</v>
      </c>
      <c r="P1398">
        <v>1.5034365190704752E-4</v>
      </c>
      <c r="Q1398" t="s">
        <v>161</v>
      </c>
    </row>
    <row r="1399" spans="9:17" x14ac:dyDescent="0.45">
      <c r="I1399" t="s">
        <v>191</v>
      </c>
      <c r="J1399" t="s">
        <v>325</v>
      </c>
      <c r="K1399">
        <v>1.3049039344494414E-4</v>
      </c>
      <c r="L1399" t="s">
        <v>161</v>
      </c>
      <c r="N1399" t="s">
        <v>214</v>
      </c>
      <c r="O1399" t="s">
        <v>325</v>
      </c>
      <c r="P1399">
        <v>1.575061482305091E-4</v>
      </c>
      <c r="Q1399" t="s">
        <v>161</v>
      </c>
    </row>
    <row r="1400" spans="9:17" x14ac:dyDescent="0.45">
      <c r="I1400" t="s">
        <v>191</v>
      </c>
      <c r="J1400" t="s">
        <v>326</v>
      </c>
      <c r="K1400">
        <v>1.0679493702947236E-4</v>
      </c>
      <c r="L1400" t="s">
        <v>161</v>
      </c>
      <c r="N1400" t="s">
        <v>214</v>
      </c>
      <c r="O1400" t="s">
        <v>326</v>
      </c>
      <c r="P1400">
        <v>1.1181103502194135E-4</v>
      </c>
      <c r="Q1400" t="s">
        <v>161</v>
      </c>
    </row>
    <row r="1401" spans="9:17" x14ac:dyDescent="0.45">
      <c r="I1401" t="s">
        <v>191</v>
      </c>
      <c r="J1401" t="s">
        <v>327</v>
      </c>
      <c r="K1401">
        <v>7.3924787514230414E-5</v>
      </c>
      <c r="L1401" t="s">
        <v>161</v>
      </c>
      <c r="N1401" t="s">
        <v>214</v>
      </c>
      <c r="O1401" t="s">
        <v>327</v>
      </c>
      <c r="P1401">
        <v>9.523262526264377E-5</v>
      </c>
      <c r="Q1401" t="s">
        <v>161</v>
      </c>
    </row>
    <row r="1402" spans="9:17" x14ac:dyDescent="0.45">
      <c r="I1402" t="s">
        <v>191</v>
      </c>
      <c r="J1402" t="s">
        <v>328</v>
      </c>
      <c r="K1402">
        <v>2.343171426350804E-5</v>
      </c>
      <c r="L1402" t="s">
        <v>161</v>
      </c>
      <c r="N1402" t="s">
        <v>214</v>
      </c>
      <c r="O1402" t="s">
        <v>328</v>
      </c>
      <c r="P1402">
        <v>1.266745128632998E-4</v>
      </c>
      <c r="Q1402" t="s">
        <v>161</v>
      </c>
    </row>
    <row r="1403" spans="9:17" x14ac:dyDescent="0.45">
      <c r="I1403" t="s">
        <v>191</v>
      </c>
      <c r="J1403" t="s">
        <v>329</v>
      </c>
      <c r="K1403">
        <v>0</v>
      </c>
      <c r="L1403" t="s">
        <v>161</v>
      </c>
      <c r="N1403" t="s">
        <v>214</v>
      </c>
      <c r="O1403" t="s">
        <v>329</v>
      </c>
      <c r="P1403">
        <v>1.9180190534667219E-4</v>
      </c>
      <c r="Q1403" t="s">
        <v>161</v>
      </c>
    </row>
    <row r="1404" spans="9:17" x14ac:dyDescent="0.45">
      <c r="I1404" t="s">
        <v>191</v>
      </c>
      <c r="J1404" t="s">
        <v>330</v>
      </c>
      <c r="K1404">
        <v>0</v>
      </c>
      <c r="L1404" t="s">
        <v>161</v>
      </c>
      <c r="N1404" t="s">
        <v>214</v>
      </c>
      <c r="O1404" t="s">
        <v>330</v>
      </c>
      <c r="P1404">
        <v>2.4115022406737173E-4</v>
      </c>
      <c r="Q1404" t="s">
        <v>161</v>
      </c>
    </row>
    <row r="1405" spans="9:17" x14ac:dyDescent="0.45">
      <c r="I1405" t="s">
        <v>191</v>
      </c>
      <c r="J1405" t="s">
        <v>331</v>
      </c>
      <c r="K1405">
        <v>0</v>
      </c>
      <c r="L1405" t="s">
        <v>161</v>
      </c>
      <c r="N1405" t="s">
        <v>214</v>
      </c>
      <c r="O1405" t="s">
        <v>331</v>
      </c>
      <c r="P1405">
        <v>2.612981728623222E-4</v>
      </c>
      <c r="Q1405" t="s">
        <v>161</v>
      </c>
    </row>
    <row r="1406" spans="9:17" x14ac:dyDescent="0.45">
      <c r="I1406" t="s">
        <v>191</v>
      </c>
      <c r="J1406" t="s">
        <v>332</v>
      </c>
      <c r="K1406">
        <v>0</v>
      </c>
      <c r="L1406" t="s">
        <v>161</v>
      </c>
      <c r="N1406" t="s">
        <v>214</v>
      </c>
      <c r="O1406" t="s">
        <v>332</v>
      </c>
      <c r="P1406">
        <v>2.4547399149629355E-4</v>
      </c>
      <c r="Q1406" t="s">
        <v>161</v>
      </c>
    </row>
    <row r="1407" spans="9:17" x14ac:dyDescent="0.45">
      <c r="I1407" t="s">
        <v>191</v>
      </c>
      <c r="J1407" t="s">
        <v>333</v>
      </c>
      <c r="K1407">
        <v>0</v>
      </c>
      <c r="L1407" t="s">
        <v>161</v>
      </c>
      <c r="N1407" t="s">
        <v>214</v>
      </c>
      <c r="O1407" t="s">
        <v>333</v>
      </c>
      <c r="P1407">
        <v>2.1894536218948355E-4</v>
      </c>
      <c r="Q1407" t="s">
        <v>161</v>
      </c>
    </row>
    <row r="1408" spans="9:17" x14ac:dyDescent="0.45">
      <c r="I1408" t="s">
        <v>191</v>
      </c>
      <c r="J1408" t="s">
        <v>334</v>
      </c>
      <c r="K1408">
        <v>0</v>
      </c>
      <c r="L1408" t="s">
        <v>161</v>
      </c>
      <c r="N1408" t="s">
        <v>214</v>
      </c>
      <c r="O1408" t="s">
        <v>334</v>
      </c>
      <c r="P1408">
        <v>2.2604659890279561E-4</v>
      </c>
      <c r="Q1408" t="s">
        <v>161</v>
      </c>
    </row>
    <row r="1409" spans="9:17" x14ac:dyDescent="0.45">
      <c r="I1409" t="s">
        <v>191</v>
      </c>
      <c r="J1409" t="s">
        <v>164</v>
      </c>
      <c r="K1409">
        <v>1.0294626805536252E-2</v>
      </c>
      <c r="L1409" t="s">
        <v>161</v>
      </c>
      <c r="N1409" t="s">
        <v>214</v>
      </c>
      <c r="O1409" t="s">
        <v>164</v>
      </c>
      <c r="P1409">
        <v>4.3071299964610614E-2</v>
      </c>
      <c r="Q1409" t="s">
        <v>161</v>
      </c>
    </row>
    <row r="1410" spans="9:17" x14ac:dyDescent="0.45">
      <c r="I1410" t="s">
        <v>191</v>
      </c>
      <c r="J1410" t="s">
        <v>165</v>
      </c>
      <c r="K1410">
        <v>9.908183247640992E-3</v>
      </c>
      <c r="L1410" t="s">
        <v>161</v>
      </c>
      <c r="N1410" t="s">
        <v>214</v>
      </c>
      <c r="O1410" t="s">
        <v>165</v>
      </c>
      <c r="P1410">
        <v>4.0645879697023294E-3</v>
      </c>
      <c r="Q1410" t="s">
        <v>161</v>
      </c>
    </row>
    <row r="1411" spans="9:17" x14ac:dyDescent="0.45">
      <c r="I1411" t="s">
        <v>191</v>
      </c>
      <c r="J1411" t="s">
        <v>166</v>
      </c>
      <c r="K1411">
        <v>9.2676155186937489E-2</v>
      </c>
      <c r="L1411" t="s">
        <v>161</v>
      </c>
      <c r="N1411" t="s">
        <v>214</v>
      </c>
      <c r="O1411" t="s">
        <v>166</v>
      </c>
      <c r="P1411">
        <v>2.7906849122714024E-2</v>
      </c>
      <c r="Q1411" t="s">
        <v>161</v>
      </c>
    </row>
    <row r="1412" spans="9:17" x14ac:dyDescent="0.45">
      <c r="I1412" t="s">
        <v>191</v>
      </c>
      <c r="J1412" t="s">
        <v>244</v>
      </c>
      <c r="K1412">
        <v>8.2899376605943941E-3</v>
      </c>
      <c r="L1412" t="s">
        <v>161</v>
      </c>
      <c r="N1412" t="s">
        <v>214</v>
      </c>
      <c r="O1412" t="s">
        <v>244</v>
      </c>
      <c r="P1412">
        <v>4.7930940829681917E-3</v>
      </c>
      <c r="Q1412" t="s">
        <v>161</v>
      </c>
    </row>
    <row r="1413" spans="9:17" x14ac:dyDescent="0.45">
      <c r="I1413" t="s">
        <v>191</v>
      </c>
      <c r="J1413" t="s">
        <v>245</v>
      </c>
      <c r="K1413">
        <v>5.5165702311935679E-3</v>
      </c>
      <c r="L1413" t="s">
        <v>161</v>
      </c>
      <c r="N1413" t="s">
        <v>214</v>
      </c>
      <c r="O1413" t="s">
        <v>245</v>
      </c>
      <c r="P1413">
        <v>5.1485586789700843E-3</v>
      </c>
      <c r="Q1413" t="s">
        <v>161</v>
      </c>
    </row>
    <row r="1414" spans="9:17" x14ac:dyDescent="0.45">
      <c r="I1414" t="s">
        <v>191</v>
      </c>
      <c r="J1414" t="s">
        <v>267</v>
      </c>
      <c r="K1414">
        <v>2.3585566583304834E-3</v>
      </c>
      <c r="L1414" t="s">
        <v>161</v>
      </c>
      <c r="N1414" t="s">
        <v>214</v>
      </c>
      <c r="O1414" t="s">
        <v>267</v>
      </c>
      <c r="P1414">
        <v>3.5067707308272592E-2</v>
      </c>
      <c r="Q1414" t="s">
        <v>161</v>
      </c>
    </row>
    <row r="1415" spans="9:17" x14ac:dyDescent="0.45">
      <c r="I1415" t="s">
        <v>191</v>
      </c>
      <c r="J1415" t="s">
        <v>167</v>
      </c>
      <c r="K1415">
        <v>6.2256422552615008E-2</v>
      </c>
      <c r="L1415" t="s">
        <v>161</v>
      </c>
      <c r="N1415" t="s">
        <v>214</v>
      </c>
      <c r="O1415" t="s">
        <v>167</v>
      </c>
      <c r="P1415">
        <v>5.6364490111553721E-2</v>
      </c>
      <c r="Q1415" t="s">
        <v>161</v>
      </c>
    </row>
    <row r="1416" spans="9:17" x14ac:dyDescent="0.45">
      <c r="I1416" t="s">
        <v>191</v>
      </c>
      <c r="J1416" t="s">
        <v>168</v>
      </c>
      <c r="K1416">
        <v>3.4007586758655423E-2</v>
      </c>
      <c r="L1416" t="s">
        <v>161</v>
      </c>
      <c r="N1416" t="s">
        <v>214</v>
      </c>
      <c r="O1416" t="s">
        <v>168</v>
      </c>
      <c r="P1416">
        <v>7.5160529455845348E-3</v>
      </c>
      <c r="Q1416" t="s">
        <v>161</v>
      </c>
    </row>
    <row r="1417" spans="9:17" x14ac:dyDescent="0.45">
      <c r="I1417" t="s">
        <v>191</v>
      </c>
      <c r="J1417" t="s">
        <v>169</v>
      </c>
      <c r="K1417">
        <v>0.26668932815191349</v>
      </c>
      <c r="L1417" t="s">
        <v>161</v>
      </c>
      <c r="N1417" t="s">
        <v>214</v>
      </c>
      <c r="O1417" t="s">
        <v>169</v>
      </c>
      <c r="P1417">
        <v>7.3295426103387434E-2</v>
      </c>
      <c r="Q1417" t="s">
        <v>161</v>
      </c>
    </row>
    <row r="1418" spans="9:17" x14ac:dyDescent="0.45">
      <c r="I1418" t="s">
        <v>191</v>
      </c>
      <c r="J1418" t="s">
        <v>246</v>
      </c>
      <c r="K1418">
        <v>2.7587058731544815E-2</v>
      </c>
      <c r="L1418" t="s">
        <v>161</v>
      </c>
      <c r="N1418" t="s">
        <v>214</v>
      </c>
      <c r="O1418" t="s">
        <v>246</v>
      </c>
      <c r="P1418">
        <v>1.1421991555685386E-2</v>
      </c>
      <c r="Q1418" t="s">
        <v>161</v>
      </c>
    </row>
    <row r="1419" spans="9:17" x14ac:dyDescent="0.45">
      <c r="I1419" t="s">
        <v>191</v>
      </c>
      <c r="J1419" t="s">
        <v>247</v>
      </c>
      <c r="K1419">
        <v>2.1536345023465152E-2</v>
      </c>
      <c r="L1419" t="s">
        <v>161</v>
      </c>
      <c r="N1419" t="s">
        <v>214</v>
      </c>
      <c r="O1419" t="s">
        <v>247</v>
      </c>
      <c r="P1419">
        <v>9.787561172243834E-3</v>
      </c>
      <c r="Q1419" t="s">
        <v>161</v>
      </c>
    </row>
    <row r="1420" spans="9:17" x14ac:dyDescent="0.45">
      <c r="I1420" t="s">
        <v>191</v>
      </c>
      <c r="J1420" t="s">
        <v>268</v>
      </c>
      <c r="K1420">
        <v>2.2917977321152673E-2</v>
      </c>
      <c r="L1420" t="s">
        <v>161</v>
      </c>
      <c r="N1420" t="s">
        <v>214</v>
      </c>
      <c r="O1420" t="s">
        <v>268</v>
      </c>
      <c r="P1420">
        <v>5.8043171401042405E-2</v>
      </c>
      <c r="Q1420" t="s">
        <v>161</v>
      </c>
    </row>
    <row r="1421" spans="9:17" x14ac:dyDescent="0.45">
      <c r="I1421" t="s">
        <v>191</v>
      </c>
      <c r="J1421" t="s">
        <v>170</v>
      </c>
      <c r="K1421">
        <v>2.2667605548070773E-2</v>
      </c>
      <c r="L1421" t="s">
        <v>161</v>
      </c>
      <c r="N1421" t="s">
        <v>214</v>
      </c>
      <c r="O1421" t="s">
        <v>170</v>
      </c>
      <c r="P1421">
        <v>2.7195891855480318E-2</v>
      </c>
      <c r="Q1421" t="s">
        <v>161</v>
      </c>
    </row>
    <row r="1422" spans="9:17" x14ac:dyDescent="0.45">
      <c r="I1422" t="s">
        <v>191</v>
      </c>
      <c r="J1422" t="s">
        <v>171</v>
      </c>
      <c r="K1422">
        <v>1.5240953282897034E-2</v>
      </c>
      <c r="L1422" t="s">
        <v>161</v>
      </c>
      <c r="N1422" t="s">
        <v>214</v>
      </c>
      <c r="O1422" t="s">
        <v>171</v>
      </c>
      <c r="P1422">
        <v>2.698389621201721E-3</v>
      </c>
      <c r="Q1422" t="s">
        <v>161</v>
      </c>
    </row>
    <row r="1423" spans="9:17" x14ac:dyDescent="0.45">
      <c r="I1423" t="s">
        <v>191</v>
      </c>
      <c r="J1423" t="s">
        <v>172</v>
      </c>
      <c r="K1423">
        <v>0.12349069351235192</v>
      </c>
      <c r="L1423" t="s">
        <v>161</v>
      </c>
      <c r="N1423" t="s">
        <v>214</v>
      </c>
      <c r="O1423" t="s">
        <v>172</v>
      </c>
      <c r="P1423">
        <v>2.0198906784072854E-2</v>
      </c>
      <c r="Q1423" t="s">
        <v>161</v>
      </c>
    </row>
    <row r="1424" spans="9:17" x14ac:dyDescent="0.45">
      <c r="I1424" t="s">
        <v>191</v>
      </c>
      <c r="J1424" t="s">
        <v>248</v>
      </c>
      <c r="K1424">
        <v>1.2418901489560673E-2</v>
      </c>
      <c r="L1424" t="s">
        <v>161</v>
      </c>
      <c r="N1424" t="s">
        <v>214</v>
      </c>
      <c r="O1424" t="s">
        <v>248</v>
      </c>
      <c r="P1424">
        <v>3.762300274561761E-3</v>
      </c>
      <c r="Q1424" t="s">
        <v>161</v>
      </c>
    </row>
    <row r="1425" spans="9:17" x14ac:dyDescent="0.45">
      <c r="I1425" t="s">
        <v>191</v>
      </c>
      <c r="J1425" t="s">
        <v>249</v>
      </c>
      <c r="K1425">
        <v>8.9747123182477816E-3</v>
      </c>
      <c r="L1425" t="s">
        <v>161</v>
      </c>
      <c r="N1425" t="s">
        <v>214</v>
      </c>
      <c r="O1425" t="s">
        <v>249</v>
      </c>
      <c r="P1425">
        <v>3.3682419615738146E-3</v>
      </c>
      <c r="Q1425" t="s">
        <v>161</v>
      </c>
    </row>
    <row r="1426" spans="9:17" x14ac:dyDescent="0.45">
      <c r="I1426" t="s">
        <v>191</v>
      </c>
      <c r="J1426" t="s">
        <v>269</v>
      </c>
      <c r="K1426">
        <v>6.5410485653806779E-3</v>
      </c>
      <c r="L1426" t="s">
        <v>161</v>
      </c>
      <c r="N1426" t="s">
        <v>214</v>
      </c>
      <c r="O1426" t="s">
        <v>269</v>
      </c>
      <c r="P1426">
        <v>2.2270697296434779E-2</v>
      </c>
      <c r="Q1426" t="s">
        <v>161</v>
      </c>
    </row>
    <row r="1427" spans="9:17" x14ac:dyDescent="0.45">
      <c r="I1427" t="s">
        <v>191</v>
      </c>
      <c r="J1427" t="s">
        <v>250</v>
      </c>
      <c r="K1427">
        <v>5.2857927775597302E-3</v>
      </c>
      <c r="L1427" t="s">
        <v>161</v>
      </c>
      <c r="N1427" t="s">
        <v>214</v>
      </c>
      <c r="O1427" t="s">
        <v>250</v>
      </c>
      <c r="P1427">
        <v>3.5444395308806179E-2</v>
      </c>
      <c r="Q1427" t="s">
        <v>161</v>
      </c>
    </row>
    <row r="1428" spans="9:17" x14ac:dyDescent="0.45">
      <c r="I1428" t="s">
        <v>191</v>
      </c>
      <c r="J1428" t="s">
        <v>251</v>
      </c>
      <c r="K1428">
        <v>7.4474263351533366E-3</v>
      </c>
      <c r="L1428" t="s">
        <v>161</v>
      </c>
      <c r="N1428" t="s">
        <v>214</v>
      </c>
      <c r="O1428" t="s">
        <v>251</v>
      </c>
      <c r="P1428">
        <v>4.1953330147347714E-3</v>
      </c>
      <c r="Q1428" t="s">
        <v>161</v>
      </c>
    </row>
    <row r="1429" spans="9:17" x14ac:dyDescent="0.45">
      <c r="I1429" t="s">
        <v>191</v>
      </c>
      <c r="J1429" t="s">
        <v>252</v>
      </c>
      <c r="K1429">
        <v>7.4512085293211017E-2</v>
      </c>
      <c r="L1429" t="s">
        <v>161</v>
      </c>
      <c r="N1429" t="s">
        <v>214</v>
      </c>
      <c r="O1429" t="s">
        <v>252</v>
      </c>
      <c r="P1429">
        <v>3.2934737155401676E-2</v>
      </c>
      <c r="Q1429" t="s">
        <v>161</v>
      </c>
    </row>
    <row r="1430" spans="9:17" x14ac:dyDescent="0.45">
      <c r="I1430" t="s">
        <v>191</v>
      </c>
      <c r="J1430" t="s">
        <v>253</v>
      </c>
      <c r="K1430">
        <v>5.7641998555014676E-3</v>
      </c>
      <c r="L1430" t="s">
        <v>161</v>
      </c>
      <c r="N1430" t="s">
        <v>214</v>
      </c>
      <c r="O1430" t="s">
        <v>253</v>
      </c>
      <c r="P1430">
        <v>5.8784315700170075E-3</v>
      </c>
      <c r="Q1430" t="s">
        <v>161</v>
      </c>
    </row>
    <row r="1431" spans="9:17" x14ac:dyDescent="0.45">
      <c r="I1431" t="s">
        <v>191</v>
      </c>
      <c r="J1431" t="s">
        <v>254</v>
      </c>
      <c r="K1431">
        <v>2.0147691559137342E-3</v>
      </c>
      <c r="L1431" t="s">
        <v>161</v>
      </c>
      <c r="N1431" t="s">
        <v>214</v>
      </c>
      <c r="O1431" t="s">
        <v>254</v>
      </c>
      <c r="P1431">
        <v>5.8540171096460739E-3</v>
      </c>
      <c r="Q1431" t="s">
        <v>161</v>
      </c>
    </row>
    <row r="1432" spans="9:17" x14ac:dyDescent="0.45">
      <c r="I1432" t="s">
        <v>191</v>
      </c>
      <c r="J1432" t="s">
        <v>270</v>
      </c>
      <c r="K1432">
        <v>0</v>
      </c>
      <c r="L1432" t="s">
        <v>161</v>
      </c>
      <c r="N1432" t="s">
        <v>214</v>
      </c>
      <c r="O1432" t="s">
        <v>270</v>
      </c>
      <c r="P1432">
        <v>2.7835946898674531E-2</v>
      </c>
      <c r="Q1432" t="s">
        <v>161</v>
      </c>
    </row>
    <row r="1433" spans="9:17" x14ac:dyDescent="0.45">
      <c r="I1433" t="s">
        <v>191</v>
      </c>
      <c r="J1433" t="s">
        <v>255</v>
      </c>
      <c r="K1433">
        <v>1.5822344212179259E-5</v>
      </c>
      <c r="L1433" t="s">
        <v>161</v>
      </c>
      <c r="N1433" t="s">
        <v>214</v>
      </c>
      <c r="O1433" t="s">
        <v>255</v>
      </c>
      <c r="P1433">
        <v>6.4157546959932824E-2</v>
      </c>
      <c r="Q1433" t="s">
        <v>161</v>
      </c>
    </row>
    <row r="1434" spans="9:17" x14ac:dyDescent="0.45">
      <c r="I1434" t="s">
        <v>191</v>
      </c>
      <c r="J1434" t="s">
        <v>256</v>
      </c>
      <c r="K1434">
        <v>1.8692604642135643E-3</v>
      </c>
      <c r="L1434" t="s">
        <v>161</v>
      </c>
      <c r="N1434" t="s">
        <v>214</v>
      </c>
      <c r="O1434" t="s">
        <v>256</v>
      </c>
      <c r="P1434">
        <v>7.4385446641945544E-3</v>
      </c>
      <c r="Q1434" t="s">
        <v>161</v>
      </c>
    </row>
    <row r="1435" spans="9:17" x14ac:dyDescent="0.45">
      <c r="I1435" t="s">
        <v>191</v>
      </c>
      <c r="J1435" t="s">
        <v>257</v>
      </c>
      <c r="K1435">
        <v>3.3998910877783214E-2</v>
      </c>
      <c r="L1435" t="s">
        <v>161</v>
      </c>
      <c r="N1435" t="s">
        <v>214</v>
      </c>
      <c r="O1435" t="s">
        <v>257</v>
      </c>
      <c r="P1435">
        <v>5.7026042176977203E-2</v>
      </c>
      <c r="Q1435" t="s">
        <v>161</v>
      </c>
    </row>
    <row r="1436" spans="9:17" x14ac:dyDescent="0.45">
      <c r="I1436" t="s">
        <v>191</v>
      </c>
      <c r="J1436" t="s">
        <v>258</v>
      </c>
      <c r="K1436">
        <v>2.4023010820179618E-4</v>
      </c>
      <c r="L1436" t="s">
        <v>161</v>
      </c>
      <c r="N1436" t="s">
        <v>214</v>
      </c>
      <c r="O1436" t="s">
        <v>258</v>
      </c>
      <c r="P1436">
        <v>8.1059982536302658E-3</v>
      </c>
      <c r="Q1436" t="s">
        <v>161</v>
      </c>
    </row>
    <row r="1437" spans="9:17" x14ac:dyDescent="0.45">
      <c r="I1437" t="s">
        <v>191</v>
      </c>
      <c r="J1437" t="s">
        <v>259</v>
      </c>
      <c r="K1437">
        <v>0</v>
      </c>
      <c r="L1437" t="s">
        <v>161</v>
      </c>
      <c r="N1437" t="s">
        <v>214</v>
      </c>
      <c r="O1437" t="s">
        <v>259</v>
      </c>
      <c r="P1437">
        <v>8.5326837621574232E-3</v>
      </c>
      <c r="Q1437" t="s">
        <v>161</v>
      </c>
    </row>
    <row r="1438" spans="9:17" x14ac:dyDescent="0.45">
      <c r="I1438" t="s">
        <v>191</v>
      </c>
      <c r="J1438" t="s">
        <v>271</v>
      </c>
      <c r="K1438">
        <v>0</v>
      </c>
      <c r="L1438" t="s">
        <v>161</v>
      </c>
      <c r="N1438" t="s">
        <v>214</v>
      </c>
      <c r="O1438" t="s">
        <v>271</v>
      </c>
      <c r="P1438">
        <v>5.0052606734689753E-2</v>
      </c>
      <c r="Q1438" t="s">
        <v>161</v>
      </c>
    </row>
    <row r="1439" spans="9:17" x14ac:dyDescent="0.45">
      <c r="I1439" t="s">
        <v>191</v>
      </c>
      <c r="J1439" t="s">
        <v>272</v>
      </c>
      <c r="K1439">
        <v>0</v>
      </c>
      <c r="L1439" t="s">
        <v>161</v>
      </c>
      <c r="N1439" t="s">
        <v>214</v>
      </c>
      <c r="O1439" t="s">
        <v>272</v>
      </c>
      <c r="P1439">
        <v>6.2673847607385242E-3</v>
      </c>
      <c r="Q1439" t="s">
        <v>161</v>
      </c>
    </row>
    <row r="1440" spans="9:17" x14ac:dyDescent="0.45">
      <c r="I1440" t="s">
        <v>191</v>
      </c>
      <c r="J1440" t="s">
        <v>273</v>
      </c>
      <c r="K1440">
        <v>2.2289347944954332E-5</v>
      </c>
      <c r="L1440" t="s">
        <v>161</v>
      </c>
      <c r="N1440" t="s">
        <v>214</v>
      </c>
      <c r="O1440" t="s">
        <v>273</v>
      </c>
      <c r="P1440">
        <v>7.1421526651316671E-4</v>
      </c>
      <c r="Q1440" t="s">
        <v>161</v>
      </c>
    </row>
    <row r="1441" spans="9:17" x14ac:dyDescent="0.45">
      <c r="I1441" t="s">
        <v>191</v>
      </c>
      <c r="J1441" t="s">
        <v>274</v>
      </c>
      <c r="K1441">
        <v>5.4939316939167588E-3</v>
      </c>
      <c r="L1441" t="s">
        <v>161</v>
      </c>
      <c r="N1441" t="s">
        <v>214</v>
      </c>
      <c r="O1441" t="s">
        <v>274</v>
      </c>
      <c r="P1441">
        <v>6.0560323415822671E-3</v>
      </c>
      <c r="Q1441" t="s">
        <v>161</v>
      </c>
    </row>
    <row r="1442" spans="9:17" x14ac:dyDescent="0.45">
      <c r="I1442" t="s">
        <v>191</v>
      </c>
      <c r="J1442" t="s">
        <v>275</v>
      </c>
      <c r="K1442">
        <v>0</v>
      </c>
      <c r="L1442" t="s">
        <v>161</v>
      </c>
      <c r="N1442" t="s">
        <v>214</v>
      </c>
      <c r="O1442" t="s">
        <v>275</v>
      </c>
      <c r="P1442">
        <v>1.0237144911535735E-3</v>
      </c>
      <c r="Q1442" t="s">
        <v>161</v>
      </c>
    </row>
    <row r="1443" spans="9:17" x14ac:dyDescent="0.45">
      <c r="I1443" t="s">
        <v>191</v>
      </c>
      <c r="J1443" t="s">
        <v>276</v>
      </c>
      <c r="K1443">
        <v>0</v>
      </c>
      <c r="L1443" t="s">
        <v>161</v>
      </c>
      <c r="N1443" t="s">
        <v>214</v>
      </c>
      <c r="O1443" t="s">
        <v>276</v>
      </c>
      <c r="P1443">
        <v>9.8123887630113403E-4</v>
      </c>
      <c r="Q1443" t="s">
        <v>161</v>
      </c>
    </row>
    <row r="1444" spans="9:17" x14ac:dyDescent="0.45">
      <c r="I1444" t="s">
        <v>191</v>
      </c>
      <c r="J1444" t="s">
        <v>277</v>
      </c>
      <c r="K1444">
        <v>0</v>
      </c>
      <c r="L1444" t="s">
        <v>161</v>
      </c>
      <c r="N1444" t="s">
        <v>214</v>
      </c>
      <c r="O1444" t="s">
        <v>277</v>
      </c>
      <c r="P1444">
        <v>6.4867817474029933E-3</v>
      </c>
      <c r="Q1444" t="s">
        <v>161</v>
      </c>
    </row>
    <row r="1445" spans="9:17" x14ac:dyDescent="0.45">
      <c r="I1445" t="s">
        <v>191</v>
      </c>
      <c r="J1445" t="s">
        <v>278</v>
      </c>
      <c r="K1445">
        <v>0</v>
      </c>
      <c r="L1445" t="s">
        <v>161</v>
      </c>
      <c r="N1445" t="s">
        <v>214</v>
      </c>
      <c r="O1445" t="s">
        <v>278</v>
      </c>
      <c r="P1445">
        <v>3.1368127767810732E-3</v>
      </c>
      <c r="Q1445" t="s">
        <v>161</v>
      </c>
    </row>
    <row r="1446" spans="9:17" x14ac:dyDescent="0.45">
      <c r="I1446" t="s">
        <v>191</v>
      </c>
      <c r="J1446" t="s">
        <v>279</v>
      </c>
      <c r="K1446">
        <v>3.3920347480313798E-6</v>
      </c>
      <c r="L1446" t="s">
        <v>161</v>
      </c>
      <c r="N1446" t="s">
        <v>214</v>
      </c>
      <c r="O1446" t="s">
        <v>279</v>
      </c>
      <c r="P1446">
        <v>2.3720010001595262E-4</v>
      </c>
      <c r="Q1446" t="s">
        <v>161</v>
      </c>
    </row>
    <row r="1447" spans="9:17" x14ac:dyDescent="0.45">
      <c r="I1447" t="s">
        <v>191</v>
      </c>
      <c r="J1447" t="s">
        <v>280</v>
      </c>
      <c r="K1447">
        <v>4.9667960182807258E-3</v>
      </c>
      <c r="L1447" t="s">
        <v>161</v>
      </c>
      <c r="N1447" t="s">
        <v>214</v>
      </c>
      <c r="O1447" t="s">
        <v>280</v>
      </c>
      <c r="P1447">
        <v>1.1088775251647542E-3</v>
      </c>
      <c r="Q1447" t="s">
        <v>161</v>
      </c>
    </row>
    <row r="1448" spans="9:17" x14ac:dyDescent="0.45">
      <c r="I1448" t="s">
        <v>191</v>
      </c>
      <c r="J1448" t="s">
        <v>281</v>
      </c>
      <c r="K1448">
        <v>0</v>
      </c>
      <c r="L1448" t="s">
        <v>161</v>
      </c>
      <c r="N1448" t="s">
        <v>214</v>
      </c>
      <c r="O1448" t="s">
        <v>281</v>
      </c>
      <c r="P1448">
        <v>2.8806249541621614E-4</v>
      </c>
      <c r="Q1448" t="s">
        <v>161</v>
      </c>
    </row>
    <row r="1449" spans="9:17" x14ac:dyDescent="0.45">
      <c r="I1449" t="s">
        <v>191</v>
      </c>
      <c r="J1449" t="s">
        <v>282</v>
      </c>
      <c r="K1449">
        <v>0</v>
      </c>
      <c r="L1449" t="s">
        <v>161</v>
      </c>
      <c r="N1449" t="s">
        <v>214</v>
      </c>
      <c r="O1449" t="s">
        <v>282</v>
      </c>
      <c r="P1449">
        <v>4.3769744990877074E-4</v>
      </c>
      <c r="Q1449" t="s">
        <v>161</v>
      </c>
    </row>
    <row r="1450" spans="9:17" x14ac:dyDescent="0.45">
      <c r="I1450" t="s">
        <v>191</v>
      </c>
      <c r="J1450" t="s">
        <v>283</v>
      </c>
      <c r="K1450">
        <v>0</v>
      </c>
      <c r="L1450" t="s">
        <v>161</v>
      </c>
      <c r="N1450" t="s">
        <v>214</v>
      </c>
      <c r="O1450" t="s">
        <v>283</v>
      </c>
      <c r="P1450">
        <v>4.6580018136561738E-3</v>
      </c>
      <c r="Q1450" t="s">
        <v>161</v>
      </c>
    </row>
    <row r="1451" spans="9:17" x14ac:dyDescent="0.45">
      <c r="I1451" t="s">
        <v>192</v>
      </c>
      <c r="J1451" t="s">
        <v>160</v>
      </c>
      <c r="K1451">
        <v>1.8779718669404682E-3</v>
      </c>
      <c r="L1451" t="s">
        <v>161</v>
      </c>
      <c r="N1451" t="s">
        <v>215</v>
      </c>
      <c r="O1451" t="s">
        <v>160</v>
      </c>
      <c r="P1451">
        <v>7.5881362746750294E-2</v>
      </c>
      <c r="Q1451" t="s">
        <v>161</v>
      </c>
    </row>
    <row r="1452" spans="9:17" x14ac:dyDescent="0.45">
      <c r="I1452" t="s">
        <v>192</v>
      </c>
      <c r="J1452" t="s">
        <v>162</v>
      </c>
      <c r="K1452">
        <v>5.7021345233769002E-3</v>
      </c>
      <c r="L1452" t="s">
        <v>161</v>
      </c>
      <c r="N1452" t="s">
        <v>215</v>
      </c>
      <c r="O1452" t="s">
        <v>162</v>
      </c>
      <c r="P1452">
        <v>8.4478469601212674E-3</v>
      </c>
      <c r="Q1452" t="s">
        <v>161</v>
      </c>
    </row>
    <row r="1453" spans="9:17" x14ac:dyDescent="0.45">
      <c r="I1453" t="s">
        <v>192</v>
      </c>
      <c r="J1453" t="s">
        <v>163</v>
      </c>
      <c r="K1453">
        <v>8.5717454397767304E-2</v>
      </c>
      <c r="L1453" t="s">
        <v>161</v>
      </c>
      <c r="N1453" t="s">
        <v>215</v>
      </c>
      <c r="O1453" t="s">
        <v>163</v>
      </c>
      <c r="P1453">
        <v>5.253145564120687E-2</v>
      </c>
      <c r="Q1453" t="s">
        <v>161</v>
      </c>
    </row>
    <row r="1454" spans="9:17" x14ac:dyDescent="0.45">
      <c r="I1454" t="s">
        <v>192</v>
      </c>
      <c r="J1454" t="s">
        <v>242</v>
      </c>
      <c r="K1454">
        <v>6.7705913659770129E-3</v>
      </c>
      <c r="L1454" t="s">
        <v>161</v>
      </c>
      <c r="N1454" t="s">
        <v>215</v>
      </c>
      <c r="O1454" t="s">
        <v>242</v>
      </c>
      <c r="P1454">
        <v>8.5701234224519231E-3</v>
      </c>
      <c r="Q1454" t="s">
        <v>161</v>
      </c>
    </row>
    <row r="1455" spans="9:17" x14ac:dyDescent="0.45">
      <c r="I1455" t="s">
        <v>192</v>
      </c>
      <c r="J1455" t="s">
        <v>243</v>
      </c>
      <c r="K1455">
        <v>2.6159947350288884E-3</v>
      </c>
      <c r="L1455" t="s">
        <v>161</v>
      </c>
      <c r="N1455" t="s">
        <v>215</v>
      </c>
      <c r="O1455" t="s">
        <v>243</v>
      </c>
      <c r="P1455">
        <v>9.4956616622464685E-3</v>
      </c>
      <c r="Q1455" t="s">
        <v>161</v>
      </c>
    </row>
    <row r="1456" spans="9:17" x14ac:dyDescent="0.45">
      <c r="I1456" t="s">
        <v>192</v>
      </c>
      <c r="J1456" t="s">
        <v>266</v>
      </c>
      <c r="K1456">
        <v>0</v>
      </c>
      <c r="L1456" t="s">
        <v>161</v>
      </c>
      <c r="N1456" t="s">
        <v>215</v>
      </c>
      <c r="O1456" t="s">
        <v>266</v>
      </c>
      <c r="P1456">
        <v>6.3131998537907102E-2</v>
      </c>
      <c r="Q1456" t="s">
        <v>161</v>
      </c>
    </row>
    <row r="1457" spans="9:17" x14ac:dyDescent="0.45">
      <c r="I1457" t="s">
        <v>192</v>
      </c>
      <c r="J1457" t="s">
        <v>311</v>
      </c>
      <c r="K1457">
        <v>0</v>
      </c>
      <c r="L1457" t="s">
        <v>161</v>
      </c>
      <c r="N1457" t="s">
        <v>215</v>
      </c>
      <c r="O1457" t="s">
        <v>311</v>
      </c>
      <c r="P1457">
        <v>9.5600675152267135E-5</v>
      </c>
      <c r="Q1457" t="s">
        <v>161</v>
      </c>
    </row>
    <row r="1458" spans="9:17" x14ac:dyDescent="0.45">
      <c r="I1458" t="s">
        <v>192</v>
      </c>
      <c r="J1458" t="s">
        <v>312</v>
      </c>
      <c r="K1458">
        <v>0</v>
      </c>
      <c r="L1458" t="s">
        <v>161</v>
      </c>
      <c r="N1458" t="s">
        <v>215</v>
      </c>
      <c r="O1458" t="s">
        <v>312</v>
      </c>
      <c r="P1458">
        <v>7.777445544611808E-5</v>
      </c>
      <c r="Q1458" t="s">
        <v>161</v>
      </c>
    </row>
    <row r="1459" spans="9:17" x14ac:dyDescent="0.45">
      <c r="I1459" t="s">
        <v>192</v>
      </c>
      <c r="J1459" t="s">
        <v>313</v>
      </c>
      <c r="K1459">
        <v>0</v>
      </c>
      <c r="L1459" t="s">
        <v>161</v>
      </c>
      <c r="N1459" t="s">
        <v>215</v>
      </c>
      <c r="O1459" t="s">
        <v>313</v>
      </c>
      <c r="P1459">
        <v>5.63445829928227E-5</v>
      </c>
      <c r="Q1459" t="s">
        <v>161</v>
      </c>
    </row>
    <row r="1460" spans="9:17" x14ac:dyDescent="0.45">
      <c r="I1460" t="s">
        <v>192</v>
      </c>
      <c r="J1460" t="s">
        <v>314</v>
      </c>
      <c r="K1460">
        <v>0</v>
      </c>
      <c r="L1460" t="s">
        <v>161</v>
      </c>
      <c r="N1460" t="s">
        <v>215</v>
      </c>
      <c r="O1460" t="s">
        <v>314</v>
      </c>
      <c r="P1460">
        <v>4.4226488435661755E-5</v>
      </c>
      <c r="Q1460" t="s">
        <v>161</v>
      </c>
    </row>
    <row r="1461" spans="9:17" x14ac:dyDescent="0.45">
      <c r="I1461" t="s">
        <v>192</v>
      </c>
      <c r="J1461" t="s">
        <v>315</v>
      </c>
      <c r="K1461">
        <v>0</v>
      </c>
      <c r="L1461" t="s">
        <v>161</v>
      </c>
      <c r="N1461" t="s">
        <v>215</v>
      </c>
      <c r="O1461" t="s">
        <v>315</v>
      </c>
      <c r="P1461">
        <v>4.2390654929394055E-5</v>
      </c>
      <c r="Q1461" t="s">
        <v>161</v>
      </c>
    </row>
    <row r="1462" spans="9:17" x14ac:dyDescent="0.45">
      <c r="I1462" t="s">
        <v>192</v>
      </c>
      <c r="J1462" t="s">
        <v>316</v>
      </c>
      <c r="K1462">
        <v>0</v>
      </c>
      <c r="L1462" t="s">
        <v>161</v>
      </c>
      <c r="N1462" t="s">
        <v>215</v>
      </c>
      <c r="O1462" t="s">
        <v>316</v>
      </c>
      <c r="P1462">
        <v>4.2655424007553214E-5</v>
      </c>
      <c r="Q1462" t="s">
        <v>161</v>
      </c>
    </row>
    <row r="1463" spans="9:17" x14ac:dyDescent="0.45">
      <c r="I1463" t="s">
        <v>192</v>
      </c>
      <c r="J1463" t="s">
        <v>317</v>
      </c>
      <c r="K1463">
        <v>0</v>
      </c>
      <c r="L1463" t="s">
        <v>161</v>
      </c>
      <c r="N1463" t="s">
        <v>215</v>
      </c>
      <c r="O1463" t="s">
        <v>317</v>
      </c>
      <c r="P1463">
        <v>4.6067710183666877E-5</v>
      </c>
      <c r="Q1463" t="s">
        <v>161</v>
      </c>
    </row>
    <row r="1464" spans="9:17" x14ac:dyDescent="0.45">
      <c r="I1464" t="s">
        <v>192</v>
      </c>
      <c r="J1464" t="s">
        <v>318</v>
      </c>
      <c r="K1464">
        <v>0</v>
      </c>
      <c r="L1464" t="s">
        <v>161</v>
      </c>
      <c r="N1464" t="s">
        <v>215</v>
      </c>
      <c r="O1464" t="s">
        <v>318</v>
      </c>
      <c r="P1464">
        <v>3.7706246326645362E-5</v>
      </c>
      <c r="Q1464" t="s">
        <v>161</v>
      </c>
    </row>
    <row r="1465" spans="9:17" x14ac:dyDescent="0.45">
      <c r="I1465" t="s">
        <v>192</v>
      </c>
      <c r="J1465" t="s">
        <v>319</v>
      </c>
      <c r="K1465">
        <v>1.3113405746144414E-5</v>
      </c>
      <c r="L1465" t="s">
        <v>161</v>
      </c>
      <c r="N1465" t="s">
        <v>215</v>
      </c>
      <c r="O1465" t="s">
        <v>319</v>
      </c>
      <c r="P1465">
        <v>1.6356207423974485E-5</v>
      </c>
      <c r="Q1465" t="s">
        <v>161</v>
      </c>
    </row>
    <row r="1466" spans="9:17" x14ac:dyDescent="0.45">
      <c r="I1466" t="s">
        <v>192</v>
      </c>
      <c r="J1466" t="s">
        <v>320</v>
      </c>
      <c r="K1466">
        <v>3.5405262536800111E-5</v>
      </c>
      <c r="L1466" t="s">
        <v>161</v>
      </c>
      <c r="N1466" t="s">
        <v>215</v>
      </c>
      <c r="O1466" t="s">
        <v>320</v>
      </c>
      <c r="P1466">
        <v>3.1007154701096195E-5</v>
      </c>
      <c r="Q1466" t="s">
        <v>161</v>
      </c>
    </row>
    <row r="1467" spans="9:17" x14ac:dyDescent="0.45">
      <c r="I1467" t="s">
        <v>192</v>
      </c>
      <c r="J1467" t="s">
        <v>321</v>
      </c>
      <c r="K1467">
        <v>8.3711902461137204E-5</v>
      </c>
      <c r="L1467" t="s">
        <v>161</v>
      </c>
      <c r="N1467" t="s">
        <v>215</v>
      </c>
      <c r="O1467" t="s">
        <v>321</v>
      </c>
      <c r="P1467">
        <v>6.1047376548237388E-5</v>
      </c>
      <c r="Q1467" t="s">
        <v>161</v>
      </c>
    </row>
    <row r="1468" spans="9:17" x14ac:dyDescent="0.45">
      <c r="I1468" t="s">
        <v>192</v>
      </c>
      <c r="J1468" t="s">
        <v>322</v>
      </c>
      <c r="K1468">
        <v>1.431631185247179E-4</v>
      </c>
      <c r="L1468" t="s">
        <v>161</v>
      </c>
      <c r="N1468" t="s">
        <v>215</v>
      </c>
      <c r="O1468" t="s">
        <v>322</v>
      </c>
      <c r="P1468">
        <v>5.3383458763288046E-5</v>
      </c>
      <c r="Q1468" t="s">
        <v>161</v>
      </c>
    </row>
    <row r="1469" spans="9:17" x14ac:dyDescent="0.45">
      <c r="I1469" t="s">
        <v>192</v>
      </c>
      <c r="J1469" t="s">
        <v>323</v>
      </c>
      <c r="K1469">
        <v>1.3141137416235844E-4</v>
      </c>
      <c r="L1469" t="s">
        <v>161</v>
      </c>
      <c r="N1469" t="s">
        <v>215</v>
      </c>
      <c r="O1469" t="s">
        <v>323</v>
      </c>
      <c r="P1469">
        <v>5.9099439266239015E-5</v>
      </c>
      <c r="Q1469" t="s">
        <v>161</v>
      </c>
    </row>
    <row r="1470" spans="9:17" x14ac:dyDescent="0.45">
      <c r="I1470" t="s">
        <v>192</v>
      </c>
      <c r="J1470" t="s">
        <v>324</v>
      </c>
      <c r="K1470">
        <v>9.2821406393661518E-5</v>
      </c>
      <c r="L1470" t="s">
        <v>161</v>
      </c>
      <c r="N1470" t="s">
        <v>215</v>
      </c>
      <c r="O1470" t="s">
        <v>324</v>
      </c>
      <c r="P1470">
        <v>7.4415768038754094E-5</v>
      </c>
      <c r="Q1470" t="s">
        <v>161</v>
      </c>
    </row>
    <row r="1471" spans="9:17" x14ac:dyDescent="0.45">
      <c r="I1471" t="s">
        <v>192</v>
      </c>
      <c r="J1471" t="s">
        <v>325</v>
      </c>
      <c r="K1471">
        <v>8.7817123836398983E-5</v>
      </c>
      <c r="L1471" t="s">
        <v>161</v>
      </c>
      <c r="N1471" t="s">
        <v>215</v>
      </c>
      <c r="O1471" t="s">
        <v>325</v>
      </c>
      <c r="P1471">
        <v>1.0128477728253948E-4</v>
      </c>
      <c r="Q1471" t="s">
        <v>161</v>
      </c>
    </row>
    <row r="1472" spans="9:17" x14ac:dyDescent="0.45">
      <c r="I1472" t="s">
        <v>192</v>
      </c>
      <c r="J1472" t="s">
        <v>326</v>
      </c>
      <c r="K1472">
        <v>8.423055743183875E-5</v>
      </c>
      <c r="L1472" t="s">
        <v>161</v>
      </c>
      <c r="N1472" t="s">
        <v>215</v>
      </c>
      <c r="O1472" t="s">
        <v>326</v>
      </c>
      <c r="P1472">
        <v>9.8725187361456185E-5</v>
      </c>
      <c r="Q1472" t="s">
        <v>161</v>
      </c>
    </row>
    <row r="1473" spans="9:17" x14ac:dyDescent="0.45">
      <c r="I1473" t="s">
        <v>192</v>
      </c>
      <c r="J1473" t="s">
        <v>327</v>
      </c>
      <c r="K1473">
        <v>6.0470233713855366E-5</v>
      </c>
      <c r="L1473" t="s">
        <v>161</v>
      </c>
      <c r="N1473" t="s">
        <v>215</v>
      </c>
      <c r="O1473" t="s">
        <v>327</v>
      </c>
      <c r="P1473">
        <v>1.1179212853009929E-4</v>
      </c>
      <c r="Q1473" t="s">
        <v>161</v>
      </c>
    </row>
    <row r="1474" spans="9:17" x14ac:dyDescent="0.45">
      <c r="I1474" t="s">
        <v>192</v>
      </c>
      <c r="J1474" t="s">
        <v>328</v>
      </c>
      <c r="K1474">
        <v>1.1952376542324801E-5</v>
      </c>
      <c r="L1474" t="s">
        <v>161</v>
      </c>
      <c r="N1474" t="s">
        <v>215</v>
      </c>
      <c r="O1474" t="s">
        <v>328</v>
      </c>
      <c r="P1474">
        <v>1.6281212053477254E-4</v>
      </c>
      <c r="Q1474" t="s">
        <v>161</v>
      </c>
    </row>
    <row r="1475" spans="9:17" x14ac:dyDescent="0.45">
      <c r="I1475" t="s">
        <v>192</v>
      </c>
      <c r="J1475" t="s">
        <v>329</v>
      </c>
      <c r="K1475">
        <v>0</v>
      </c>
      <c r="L1475" t="s">
        <v>161</v>
      </c>
      <c r="N1475" t="s">
        <v>215</v>
      </c>
      <c r="O1475" t="s">
        <v>329</v>
      </c>
      <c r="P1475">
        <v>2.2742107386423694E-4</v>
      </c>
      <c r="Q1475" t="s">
        <v>161</v>
      </c>
    </row>
    <row r="1476" spans="9:17" x14ac:dyDescent="0.45">
      <c r="I1476" t="s">
        <v>192</v>
      </c>
      <c r="J1476" t="s">
        <v>330</v>
      </c>
      <c r="K1476">
        <v>0</v>
      </c>
      <c r="L1476" t="s">
        <v>161</v>
      </c>
      <c r="N1476" t="s">
        <v>215</v>
      </c>
      <c r="O1476" t="s">
        <v>330</v>
      </c>
      <c r="P1476">
        <v>2.4479517739278678E-4</v>
      </c>
      <c r="Q1476" t="s">
        <v>161</v>
      </c>
    </row>
    <row r="1477" spans="9:17" x14ac:dyDescent="0.45">
      <c r="I1477" t="s">
        <v>192</v>
      </c>
      <c r="J1477" t="s">
        <v>331</v>
      </c>
      <c r="K1477">
        <v>0</v>
      </c>
      <c r="L1477" t="s">
        <v>161</v>
      </c>
      <c r="N1477" t="s">
        <v>215</v>
      </c>
      <c r="O1477" t="s">
        <v>331</v>
      </c>
      <c r="P1477">
        <v>2.5287051971655916E-4</v>
      </c>
      <c r="Q1477" t="s">
        <v>161</v>
      </c>
    </row>
    <row r="1478" spans="9:17" x14ac:dyDescent="0.45">
      <c r="I1478" t="s">
        <v>192</v>
      </c>
      <c r="J1478" t="s">
        <v>332</v>
      </c>
      <c r="K1478">
        <v>0</v>
      </c>
      <c r="L1478" t="s">
        <v>161</v>
      </c>
      <c r="N1478" t="s">
        <v>215</v>
      </c>
      <c r="O1478" t="s">
        <v>332</v>
      </c>
      <c r="P1478">
        <v>2.5332474673799975E-4</v>
      </c>
      <c r="Q1478" t="s">
        <v>161</v>
      </c>
    </row>
    <row r="1479" spans="9:17" x14ac:dyDescent="0.45">
      <c r="I1479" t="s">
        <v>192</v>
      </c>
      <c r="J1479" t="s">
        <v>333</v>
      </c>
      <c r="K1479">
        <v>0</v>
      </c>
      <c r="L1479" t="s">
        <v>161</v>
      </c>
      <c r="N1479" t="s">
        <v>215</v>
      </c>
      <c r="O1479" t="s">
        <v>333</v>
      </c>
      <c r="P1479">
        <v>2.3691954561427101E-4</v>
      </c>
      <c r="Q1479" t="s">
        <v>161</v>
      </c>
    </row>
    <row r="1480" spans="9:17" x14ac:dyDescent="0.45">
      <c r="I1480" t="s">
        <v>192</v>
      </c>
      <c r="J1480" t="s">
        <v>334</v>
      </c>
      <c r="K1480">
        <v>0</v>
      </c>
      <c r="L1480" t="s">
        <v>161</v>
      </c>
      <c r="N1480" t="s">
        <v>215</v>
      </c>
      <c r="O1480" t="s">
        <v>334</v>
      </c>
      <c r="P1480">
        <v>2.3291490381156151E-4</v>
      </c>
      <c r="Q1480" t="s">
        <v>161</v>
      </c>
    </row>
    <row r="1481" spans="9:17" x14ac:dyDescent="0.45">
      <c r="I1481" t="s">
        <v>192</v>
      </c>
      <c r="J1481" t="s">
        <v>164</v>
      </c>
      <c r="K1481">
        <v>1.1944220438229895E-2</v>
      </c>
      <c r="L1481" t="s">
        <v>161</v>
      </c>
      <c r="N1481" t="s">
        <v>215</v>
      </c>
      <c r="O1481" t="s">
        <v>164</v>
      </c>
      <c r="P1481">
        <v>5.1740134052412796E-2</v>
      </c>
      <c r="Q1481" t="s">
        <v>161</v>
      </c>
    </row>
    <row r="1482" spans="9:17" x14ac:dyDescent="0.45">
      <c r="I1482" t="s">
        <v>192</v>
      </c>
      <c r="J1482" t="s">
        <v>165</v>
      </c>
      <c r="K1482">
        <v>1.0634846348840401E-2</v>
      </c>
      <c r="L1482" t="s">
        <v>161</v>
      </c>
      <c r="N1482" t="s">
        <v>215</v>
      </c>
      <c r="O1482" t="s">
        <v>165</v>
      </c>
      <c r="P1482">
        <v>5.0351886986604788E-3</v>
      </c>
      <c r="Q1482" t="s">
        <v>161</v>
      </c>
    </row>
    <row r="1483" spans="9:17" x14ac:dyDescent="0.45">
      <c r="I1483" t="s">
        <v>192</v>
      </c>
      <c r="J1483" t="s">
        <v>166</v>
      </c>
      <c r="K1483">
        <v>9.7427407493258317E-2</v>
      </c>
      <c r="L1483" t="s">
        <v>161</v>
      </c>
      <c r="N1483" t="s">
        <v>215</v>
      </c>
      <c r="O1483" t="s">
        <v>166</v>
      </c>
      <c r="P1483">
        <v>3.0593184834292651E-2</v>
      </c>
      <c r="Q1483" t="s">
        <v>161</v>
      </c>
    </row>
    <row r="1484" spans="9:17" x14ac:dyDescent="0.45">
      <c r="I1484" t="s">
        <v>192</v>
      </c>
      <c r="J1484" t="s">
        <v>244</v>
      </c>
      <c r="K1484">
        <v>9.1567903745131754E-3</v>
      </c>
      <c r="L1484" t="s">
        <v>161</v>
      </c>
      <c r="N1484" t="s">
        <v>215</v>
      </c>
      <c r="O1484" t="s">
        <v>244</v>
      </c>
      <c r="P1484">
        <v>4.8566584568733662E-3</v>
      </c>
      <c r="Q1484" t="s">
        <v>161</v>
      </c>
    </row>
    <row r="1485" spans="9:17" x14ac:dyDescent="0.45">
      <c r="I1485" t="s">
        <v>192</v>
      </c>
      <c r="J1485" t="s">
        <v>245</v>
      </c>
      <c r="K1485">
        <v>6.2863616078722481E-3</v>
      </c>
      <c r="L1485" t="s">
        <v>161</v>
      </c>
      <c r="N1485" t="s">
        <v>215</v>
      </c>
      <c r="O1485" t="s">
        <v>245</v>
      </c>
      <c r="P1485">
        <v>5.0728655524761284E-3</v>
      </c>
      <c r="Q1485" t="s">
        <v>161</v>
      </c>
    </row>
    <row r="1486" spans="9:17" x14ac:dyDescent="0.45">
      <c r="I1486" t="s">
        <v>192</v>
      </c>
      <c r="J1486" t="s">
        <v>267</v>
      </c>
      <c r="K1486">
        <v>3.1621521916951668E-3</v>
      </c>
      <c r="L1486" t="s">
        <v>161</v>
      </c>
      <c r="N1486" t="s">
        <v>215</v>
      </c>
      <c r="O1486" t="s">
        <v>267</v>
      </c>
      <c r="P1486">
        <v>3.9779409171725975E-2</v>
      </c>
      <c r="Q1486" t="s">
        <v>161</v>
      </c>
    </row>
    <row r="1487" spans="9:17" x14ac:dyDescent="0.45">
      <c r="I1487" t="s">
        <v>192</v>
      </c>
      <c r="J1487" t="s">
        <v>167</v>
      </c>
      <c r="K1487">
        <v>5.9218770561737466E-2</v>
      </c>
      <c r="L1487" t="s">
        <v>161</v>
      </c>
      <c r="N1487" t="s">
        <v>215</v>
      </c>
      <c r="O1487" t="s">
        <v>167</v>
      </c>
      <c r="P1487">
        <v>7.032292122505035E-2</v>
      </c>
      <c r="Q1487" t="s">
        <v>161</v>
      </c>
    </row>
    <row r="1488" spans="9:17" x14ac:dyDescent="0.45">
      <c r="I1488" t="s">
        <v>192</v>
      </c>
      <c r="J1488" t="s">
        <v>168</v>
      </c>
      <c r="K1488">
        <v>3.2328229909841431E-2</v>
      </c>
      <c r="L1488" t="s">
        <v>161</v>
      </c>
      <c r="N1488" t="s">
        <v>215</v>
      </c>
      <c r="O1488" t="s">
        <v>168</v>
      </c>
      <c r="P1488">
        <v>7.7205149551658582E-3</v>
      </c>
      <c r="Q1488" t="s">
        <v>161</v>
      </c>
    </row>
    <row r="1489" spans="9:17" x14ac:dyDescent="0.45">
      <c r="I1489" t="s">
        <v>192</v>
      </c>
      <c r="J1489" t="s">
        <v>169</v>
      </c>
      <c r="K1489">
        <v>0.26314439442047466</v>
      </c>
      <c r="L1489" t="s">
        <v>161</v>
      </c>
      <c r="N1489" t="s">
        <v>215</v>
      </c>
      <c r="O1489" t="s">
        <v>169</v>
      </c>
      <c r="P1489">
        <v>5.8923265126363915E-2</v>
      </c>
      <c r="Q1489" t="s">
        <v>161</v>
      </c>
    </row>
    <row r="1490" spans="9:17" x14ac:dyDescent="0.45">
      <c r="I1490" t="s">
        <v>192</v>
      </c>
      <c r="J1490" t="s">
        <v>246</v>
      </c>
      <c r="K1490">
        <v>2.8335164772061633E-2</v>
      </c>
      <c r="L1490" t="s">
        <v>161</v>
      </c>
      <c r="N1490" t="s">
        <v>215</v>
      </c>
      <c r="O1490" t="s">
        <v>246</v>
      </c>
      <c r="P1490">
        <v>8.7496894381862041E-3</v>
      </c>
      <c r="Q1490" t="s">
        <v>161</v>
      </c>
    </row>
    <row r="1491" spans="9:17" x14ac:dyDescent="0.45">
      <c r="I1491" t="s">
        <v>192</v>
      </c>
      <c r="J1491" t="s">
        <v>247</v>
      </c>
      <c r="K1491">
        <v>2.262340956130296E-2</v>
      </c>
      <c r="L1491" t="s">
        <v>161</v>
      </c>
      <c r="N1491" t="s">
        <v>215</v>
      </c>
      <c r="O1491" t="s">
        <v>247</v>
      </c>
      <c r="P1491">
        <v>8.4789151861679526E-3</v>
      </c>
      <c r="Q1491" t="s">
        <v>161</v>
      </c>
    </row>
    <row r="1492" spans="9:17" x14ac:dyDescent="0.45">
      <c r="I1492" t="s">
        <v>192</v>
      </c>
      <c r="J1492" t="s">
        <v>268</v>
      </c>
      <c r="K1492">
        <v>2.5935595525098405E-2</v>
      </c>
      <c r="L1492" t="s">
        <v>161</v>
      </c>
      <c r="N1492" t="s">
        <v>215</v>
      </c>
      <c r="O1492" t="s">
        <v>268</v>
      </c>
      <c r="P1492">
        <v>6.1638889880009692E-2</v>
      </c>
      <c r="Q1492" t="s">
        <v>161</v>
      </c>
    </row>
    <row r="1493" spans="9:17" x14ac:dyDescent="0.45">
      <c r="I1493" t="s">
        <v>192</v>
      </c>
      <c r="J1493" t="s">
        <v>170</v>
      </c>
      <c r="K1493">
        <v>2.0545655956939534E-2</v>
      </c>
      <c r="L1493" t="s">
        <v>161</v>
      </c>
      <c r="N1493" t="s">
        <v>215</v>
      </c>
      <c r="O1493" t="s">
        <v>170</v>
      </c>
      <c r="P1493">
        <v>3.1796487458336319E-2</v>
      </c>
      <c r="Q1493" t="s">
        <v>161</v>
      </c>
    </row>
    <row r="1494" spans="9:17" x14ac:dyDescent="0.45">
      <c r="I1494" t="s">
        <v>192</v>
      </c>
      <c r="J1494" t="s">
        <v>171</v>
      </c>
      <c r="K1494">
        <v>1.4689199302848621E-2</v>
      </c>
      <c r="L1494" t="s">
        <v>161</v>
      </c>
      <c r="N1494" t="s">
        <v>215</v>
      </c>
      <c r="O1494" t="s">
        <v>171</v>
      </c>
      <c r="P1494">
        <v>3.3369321849523593E-3</v>
      </c>
      <c r="Q1494" t="s">
        <v>161</v>
      </c>
    </row>
    <row r="1495" spans="9:17" x14ac:dyDescent="0.45">
      <c r="I1495" t="s">
        <v>192</v>
      </c>
      <c r="J1495" t="s">
        <v>172</v>
      </c>
      <c r="K1495">
        <v>0.11823450720913151</v>
      </c>
      <c r="L1495" t="s">
        <v>161</v>
      </c>
      <c r="N1495" t="s">
        <v>215</v>
      </c>
      <c r="O1495" t="s">
        <v>172</v>
      </c>
      <c r="P1495">
        <v>2.0449611402465238E-2</v>
      </c>
      <c r="Q1495" t="s">
        <v>161</v>
      </c>
    </row>
    <row r="1496" spans="9:17" x14ac:dyDescent="0.45">
      <c r="I1496" t="s">
        <v>192</v>
      </c>
      <c r="J1496" t="s">
        <v>248</v>
      </c>
      <c r="K1496">
        <v>1.2681915530780385E-2</v>
      </c>
      <c r="L1496" t="s">
        <v>161</v>
      </c>
      <c r="N1496" t="s">
        <v>215</v>
      </c>
      <c r="O1496" t="s">
        <v>248</v>
      </c>
      <c r="P1496">
        <v>3.3538628575575996E-3</v>
      </c>
      <c r="Q1496" t="s">
        <v>161</v>
      </c>
    </row>
    <row r="1497" spans="9:17" x14ac:dyDescent="0.45">
      <c r="I1497" t="s">
        <v>192</v>
      </c>
      <c r="J1497" t="s">
        <v>249</v>
      </c>
      <c r="K1497">
        <v>9.1925755677505459E-3</v>
      </c>
      <c r="L1497" t="s">
        <v>161</v>
      </c>
      <c r="N1497" t="s">
        <v>215</v>
      </c>
      <c r="O1497" t="s">
        <v>249</v>
      </c>
      <c r="P1497">
        <v>3.3118602056451726E-3</v>
      </c>
      <c r="Q1497" t="s">
        <v>161</v>
      </c>
    </row>
    <row r="1498" spans="9:17" x14ac:dyDescent="0.45">
      <c r="I1498" t="s">
        <v>192</v>
      </c>
      <c r="J1498" t="s">
        <v>269</v>
      </c>
      <c r="K1498">
        <v>7.7230687087365994E-3</v>
      </c>
      <c r="L1498" t="s">
        <v>161</v>
      </c>
      <c r="N1498" t="s">
        <v>215</v>
      </c>
      <c r="O1498" t="s">
        <v>269</v>
      </c>
      <c r="P1498">
        <v>2.4426119447997927E-2</v>
      </c>
      <c r="Q1498" t="s">
        <v>161</v>
      </c>
    </row>
    <row r="1499" spans="9:17" x14ac:dyDescent="0.45">
      <c r="I1499" t="s">
        <v>192</v>
      </c>
      <c r="J1499" t="s">
        <v>250</v>
      </c>
      <c r="K1499">
        <v>4.9442995021952837E-3</v>
      </c>
      <c r="L1499" t="s">
        <v>161</v>
      </c>
      <c r="N1499" t="s">
        <v>215</v>
      </c>
      <c r="O1499" t="s">
        <v>250</v>
      </c>
      <c r="P1499">
        <v>4.109504587232414E-2</v>
      </c>
      <c r="Q1499" t="s">
        <v>161</v>
      </c>
    </row>
    <row r="1500" spans="9:17" x14ac:dyDescent="0.45">
      <c r="I1500" t="s">
        <v>192</v>
      </c>
      <c r="J1500" t="s">
        <v>251</v>
      </c>
      <c r="K1500">
        <v>8.3054346877787823E-3</v>
      </c>
      <c r="L1500" t="s">
        <v>161</v>
      </c>
      <c r="N1500" t="s">
        <v>215</v>
      </c>
      <c r="O1500" t="s">
        <v>251</v>
      </c>
      <c r="P1500">
        <v>4.435806452662297E-3</v>
      </c>
      <c r="Q1500" t="s">
        <v>161</v>
      </c>
    </row>
    <row r="1501" spans="9:17" x14ac:dyDescent="0.45">
      <c r="I1501" t="s">
        <v>192</v>
      </c>
      <c r="J1501" t="s">
        <v>252</v>
      </c>
      <c r="K1501">
        <v>7.7298323812923161E-2</v>
      </c>
      <c r="L1501" t="s">
        <v>161</v>
      </c>
      <c r="N1501" t="s">
        <v>215</v>
      </c>
      <c r="O1501" t="s">
        <v>252</v>
      </c>
      <c r="P1501">
        <v>2.8213825885510049E-2</v>
      </c>
      <c r="Q1501" t="s">
        <v>161</v>
      </c>
    </row>
    <row r="1502" spans="9:17" x14ac:dyDescent="0.45">
      <c r="I1502" t="s">
        <v>192</v>
      </c>
      <c r="J1502" t="s">
        <v>253</v>
      </c>
      <c r="K1502">
        <v>6.1873517160254366E-3</v>
      </c>
      <c r="L1502" t="s">
        <v>161</v>
      </c>
      <c r="N1502" t="s">
        <v>215</v>
      </c>
      <c r="O1502" t="s">
        <v>253</v>
      </c>
      <c r="P1502">
        <v>5.1467584193998286E-3</v>
      </c>
      <c r="Q1502" t="s">
        <v>161</v>
      </c>
    </row>
    <row r="1503" spans="9:17" x14ac:dyDescent="0.45">
      <c r="I1503" t="s">
        <v>192</v>
      </c>
      <c r="J1503" t="s">
        <v>254</v>
      </c>
      <c r="K1503">
        <v>2.1331455829744074E-3</v>
      </c>
      <c r="L1503" t="s">
        <v>161</v>
      </c>
      <c r="N1503" t="s">
        <v>215</v>
      </c>
      <c r="O1503" t="s">
        <v>254</v>
      </c>
      <c r="P1503">
        <v>5.492881316363751E-3</v>
      </c>
      <c r="Q1503" t="s">
        <v>161</v>
      </c>
    </row>
    <row r="1504" spans="9:17" x14ac:dyDescent="0.45">
      <c r="I1504" t="s">
        <v>192</v>
      </c>
      <c r="J1504" t="s">
        <v>270</v>
      </c>
      <c r="K1504">
        <v>0</v>
      </c>
      <c r="L1504" t="s">
        <v>161</v>
      </c>
      <c r="N1504" t="s">
        <v>215</v>
      </c>
      <c r="O1504" t="s">
        <v>270</v>
      </c>
      <c r="P1504">
        <v>3.3112788270988291E-2</v>
      </c>
      <c r="Q1504" t="s">
        <v>161</v>
      </c>
    </row>
    <row r="1505" spans="9:17" x14ac:dyDescent="0.45">
      <c r="I1505" t="s">
        <v>192</v>
      </c>
      <c r="J1505" t="s">
        <v>255</v>
      </c>
      <c r="K1505">
        <v>0</v>
      </c>
      <c r="L1505" t="s">
        <v>161</v>
      </c>
      <c r="N1505" t="s">
        <v>215</v>
      </c>
      <c r="O1505" t="s">
        <v>255</v>
      </c>
      <c r="P1505">
        <v>6.07879732271372E-2</v>
      </c>
      <c r="Q1505" t="s">
        <v>161</v>
      </c>
    </row>
    <row r="1506" spans="9:17" x14ac:dyDescent="0.45">
      <c r="I1506" t="s">
        <v>192</v>
      </c>
      <c r="J1506" t="s">
        <v>256</v>
      </c>
      <c r="K1506">
        <v>1.7958985181040282E-3</v>
      </c>
      <c r="L1506" t="s">
        <v>161</v>
      </c>
      <c r="N1506" t="s">
        <v>215</v>
      </c>
      <c r="O1506" t="s">
        <v>256</v>
      </c>
      <c r="P1506">
        <v>6.9822114309083527E-3</v>
      </c>
      <c r="Q1506" t="s">
        <v>161</v>
      </c>
    </row>
    <row r="1507" spans="9:17" x14ac:dyDescent="0.45">
      <c r="I1507" t="s">
        <v>192</v>
      </c>
      <c r="J1507" t="s">
        <v>257</v>
      </c>
      <c r="K1507">
        <v>3.4843133612874923E-2</v>
      </c>
      <c r="L1507" t="s">
        <v>161</v>
      </c>
      <c r="N1507" t="s">
        <v>215</v>
      </c>
      <c r="O1507" t="s">
        <v>257</v>
      </c>
      <c r="P1507">
        <v>4.5240923700561646E-2</v>
      </c>
      <c r="Q1507" t="s">
        <v>161</v>
      </c>
    </row>
    <row r="1508" spans="9:17" x14ac:dyDescent="0.45">
      <c r="I1508" t="s">
        <v>192</v>
      </c>
      <c r="J1508" t="s">
        <v>258</v>
      </c>
      <c r="K1508">
        <v>1.8668962015216565E-4</v>
      </c>
      <c r="L1508" t="s">
        <v>161</v>
      </c>
      <c r="N1508" t="s">
        <v>215</v>
      </c>
      <c r="O1508" t="s">
        <v>258</v>
      </c>
      <c r="P1508">
        <v>7.9630930793321373E-3</v>
      </c>
      <c r="Q1508" t="s">
        <v>161</v>
      </c>
    </row>
    <row r="1509" spans="9:17" x14ac:dyDescent="0.45">
      <c r="I1509" t="s">
        <v>192</v>
      </c>
      <c r="J1509" t="s">
        <v>259</v>
      </c>
      <c r="K1509">
        <v>0</v>
      </c>
      <c r="L1509" t="s">
        <v>161</v>
      </c>
      <c r="N1509" t="s">
        <v>215</v>
      </c>
      <c r="O1509" t="s">
        <v>259</v>
      </c>
      <c r="P1509">
        <v>8.0859858160952508E-3</v>
      </c>
      <c r="Q1509" t="s">
        <v>161</v>
      </c>
    </row>
    <row r="1510" spans="9:17" x14ac:dyDescent="0.45">
      <c r="I1510" t="s">
        <v>192</v>
      </c>
      <c r="J1510" t="s">
        <v>271</v>
      </c>
      <c r="K1510">
        <v>0</v>
      </c>
      <c r="L1510" t="s">
        <v>161</v>
      </c>
      <c r="N1510" t="s">
        <v>215</v>
      </c>
      <c r="O1510" t="s">
        <v>271</v>
      </c>
      <c r="P1510">
        <v>4.8525906092541163E-2</v>
      </c>
      <c r="Q1510" t="s">
        <v>161</v>
      </c>
    </row>
    <row r="1511" spans="9:17" x14ac:dyDescent="0.45">
      <c r="I1511" t="s">
        <v>192</v>
      </c>
      <c r="J1511" t="s">
        <v>272</v>
      </c>
      <c r="K1511">
        <v>0</v>
      </c>
      <c r="L1511" t="s">
        <v>161</v>
      </c>
      <c r="N1511" t="s">
        <v>215</v>
      </c>
      <c r="O1511" t="s">
        <v>272</v>
      </c>
      <c r="P1511">
        <v>1.2381259355243538E-2</v>
      </c>
      <c r="Q1511" t="s">
        <v>161</v>
      </c>
    </row>
    <row r="1512" spans="9:17" x14ac:dyDescent="0.45">
      <c r="I1512" t="s">
        <v>192</v>
      </c>
      <c r="J1512" t="s">
        <v>273</v>
      </c>
      <c r="K1512">
        <v>0</v>
      </c>
      <c r="L1512" t="s">
        <v>161</v>
      </c>
      <c r="N1512" t="s">
        <v>215</v>
      </c>
      <c r="O1512" t="s">
        <v>273</v>
      </c>
      <c r="P1512">
        <v>1.0709909552267226E-3</v>
      </c>
      <c r="Q1512" t="s">
        <v>161</v>
      </c>
    </row>
    <row r="1513" spans="9:17" x14ac:dyDescent="0.45">
      <c r="I1513" t="s">
        <v>192</v>
      </c>
      <c r="J1513" t="s">
        <v>274</v>
      </c>
      <c r="K1513">
        <v>4.0687992407646058E-3</v>
      </c>
      <c r="L1513" t="s">
        <v>161</v>
      </c>
      <c r="N1513" t="s">
        <v>215</v>
      </c>
      <c r="O1513" t="s">
        <v>274</v>
      </c>
      <c r="P1513">
        <v>8.3290730923504131E-3</v>
      </c>
      <c r="Q1513" t="s">
        <v>161</v>
      </c>
    </row>
    <row r="1514" spans="9:17" x14ac:dyDescent="0.45">
      <c r="I1514" t="s">
        <v>192</v>
      </c>
      <c r="J1514" t="s">
        <v>275</v>
      </c>
      <c r="K1514">
        <v>0</v>
      </c>
      <c r="L1514" t="s">
        <v>161</v>
      </c>
      <c r="N1514" t="s">
        <v>215</v>
      </c>
      <c r="O1514" t="s">
        <v>275</v>
      </c>
      <c r="P1514">
        <v>1.3951349229283927E-3</v>
      </c>
      <c r="Q1514" t="s">
        <v>161</v>
      </c>
    </row>
    <row r="1515" spans="9:17" x14ac:dyDescent="0.45">
      <c r="I1515" t="s">
        <v>192</v>
      </c>
      <c r="J1515" t="s">
        <v>276</v>
      </c>
      <c r="K1515">
        <v>0</v>
      </c>
      <c r="L1515" t="s">
        <v>161</v>
      </c>
      <c r="N1515" t="s">
        <v>215</v>
      </c>
      <c r="O1515" t="s">
        <v>276</v>
      </c>
      <c r="P1515">
        <v>1.4067064501648693E-3</v>
      </c>
      <c r="Q1515" t="s">
        <v>161</v>
      </c>
    </row>
    <row r="1516" spans="9:17" x14ac:dyDescent="0.45">
      <c r="I1516" t="s">
        <v>192</v>
      </c>
      <c r="J1516" t="s">
        <v>277</v>
      </c>
      <c r="K1516">
        <v>0</v>
      </c>
      <c r="L1516" t="s">
        <v>161</v>
      </c>
      <c r="N1516" t="s">
        <v>215</v>
      </c>
      <c r="O1516" t="s">
        <v>277</v>
      </c>
      <c r="P1516">
        <v>9.0248934110137274E-3</v>
      </c>
      <c r="Q1516" t="s">
        <v>161</v>
      </c>
    </row>
    <row r="1517" spans="9:17" x14ac:dyDescent="0.45">
      <c r="I1517" t="s">
        <v>192</v>
      </c>
      <c r="J1517" t="s">
        <v>278</v>
      </c>
      <c r="K1517">
        <v>0</v>
      </c>
      <c r="L1517" t="s">
        <v>161</v>
      </c>
      <c r="N1517" t="s">
        <v>215</v>
      </c>
      <c r="O1517" t="s">
        <v>278</v>
      </c>
      <c r="P1517">
        <v>4.0515347187067997E-3</v>
      </c>
      <c r="Q1517" t="s">
        <v>161</v>
      </c>
    </row>
    <row r="1518" spans="9:17" x14ac:dyDescent="0.45">
      <c r="I1518" t="s">
        <v>192</v>
      </c>
      <c r="J1518" t="s">
        <v>279</v>
      </c>
      <c r="K1518">
        <v>0</v>
      </c>
      <c r="L1518" t="s">
        <v>161</v>
      </c>
      <c r="N1518" t="s">
        <v>215</v>
      </c>
      <c r="O1518" t="s">
        <v>279</v>
      </c>
      <c r="P1518">
        <v>4.2827228405981066E-4</v>
      </c>
      <c r="Q1518" t="s">
        <v>161</v>
      </c>
    </row>
    <row r="1519" spans="9:17" x14ac:dyDescent="0.45">
      <c r="I1519" t="s">
        <v>192</v>
      </c>
      <c r="J1519" t="s">
        <v>280</v>
      </c>
      <c r="K1519">
        <v>3.5444145746558004E-3</v>
      </c>
      <c r="L1519" t="s">
        <v>161</v>
      </c>
      <c r="N1519" t="s">
        <v>215</v>
      </c>
      <c r="O1519" t="s">
        <v>280</v>
      </c>
      <c r="P1519">
        <v>1.5670548987052515E-3</v>
      </c>
      <c r="Q1519" t="s">
        <v>161</v>
      </c>
    </row>
    <row r="1520" spans="9:17" x14ac:dyDescent="0.45">
      <c r="I1520" t="s">
        <v>192</v>
      </c>
      <c r="J1520" t="s">
        <v>281</v>
      </c>
      <c r="K1520">
        <v>0</v>
      </c>
      <c r="L1520" t="s">
        <v>161</v>
      </c>
      <c r="N1520" t="s">
        <v>215</v>
      </c>
      <c r="O1520" t="s">
        <v>281</v>
      </c>
      <c r="P1520">
        <v>3.0126523527416771E-4</v>
      </c>
      <c r="Q1520" t="s">
        <v>161</v>
      </c>
    </row>
    <row r="1521" spans="9:17" x14ac:dyDescent="0.45">
      <c r="I1521" t="s">
        <v>192</v>
      </c>
      <c r="J1521" t="s">
        <v>282</v>
      </c>
      <c r="K1521">
        <v>0</v>
      </c>
      <c r="L1521" t="s">
        <v>161</v>
      </c>
      <c r="N1521" t="s">
        <v>215</v>
      </c>
      <c r="O1521" t="s">
        <v>282</v>
      </c>
      <c r="P1521">
        <v>3.436877731025695E-4</v>
      </c>
      <c r="Q1521" t="s">
        <v>161</v>
      </c>
    </row>
    <row r="1522" spans="9:17" x14ac:dyDescent="0.45">
      <c r="I1522" t="s">
        <v>192</v>
      </c>
      <c r="J1522" t="s">
        <v>283</v>
      </c>
      <c r="K1522">
        <v>0</v>
      </c>
      <c r="L1522" t="s">
        <v>161</v>
      </c>
      <c r="N1522" t="s">
        <v>215</v>
      </c>
      <c r="O1522" t="s">
        <v>283</v>
      </c>
      <c r="P1522">
        <v>4.3110324113147481E-3</v>
      </c>
      <c r="Q1522" t="s">
        <v>161</v>
      </c>
    </row>
    <row r="1523" spans="9:17" x14ac:dyDescent="0.45">
      <c r="I1523" t="s">
        <v>193</v>
      </c>
      <c r="J1523" t="s">
        <v>160</v>
      </c>
      <c r="K1523">
        <v>1.6174779525053905E-3</v>
      </c>
      <c r="L1523" t="s">
        <v>161</v>
      </c>
      <c r="N1523" t="s">
        <v>216</v>
      </c>
      <c r="O1523" t="s">
        <v>160</v>
      </c>
      <c r="P1523">
        <v>7.0655877885457324E-2</v>
      </c>
      <c r="Q1523" t="s">
        <v>161</v>
      </c>
    </row>
    <row r="1524" spans="9:17" x14ac:dyDescent="0.45">
      <c r="I1524" t="s">
        <v>193</v>
      </c>
      <c r="J1524" t="s">
        <v>162</v>
      </c>
      <c r="K1524">
        <v>5.4386420786256074E-3</v>
      </c>
      <c r="L1524" t="s">
        <v>161</v>
      </c>
      <c r="N1524" t="s">
        <v>216</v>
      </c>
      <c r="O1524" t="s">
        <v>162</v>
      </c>
      <c r="P1524">
        <v>8.8402570153723759E-3</v>
      </c>
      <c r="Q1524" t="s">
        <v>161</v>
      </c>
    </row>
    <row r="1525" spans="9:17" x14ac:dyDescent="0.45">
      <c r="I1525" t="s">
        <v>193</v>
      </c>
      <c r="J1525" t="s">
        <v>163</v>
      </c>
      <c r="K1525">
        <v>9.0203372341938426E-2</v>
      </c>
      <c r="L1525" t="s">
        <v>161</v>
      </c>
      <c r="N1525" t="s">
        <v>216</v>
      </c>
      <c r="O1525" t="s">
        <v>163</v>
      </c>
      <c r="P1525">
        <v>5.5524498174523367E-2</v>
      </c>
      <c r="Q1525" t="s">
        <v>161</v>
      </c>
    </row>
    <row r="1526" spans="9:17" x14ac:dyDescent="0.45">
      <c r="I1526" t="s">
        <v>193</v>
      </c>
      <c r="J1526" t="s">
        <v>242</v>
      </c>
      <c r="K1526">
        <v>6.9690414193154327E-3</v>
      </c>
      <c r="L1526" t="s">
        <v>161</v>
      </c>
      <c r="N1526" t="s">
        <v>216</v>
      </c>
      <c r="O1526" t="s">
        <v>242</v>
      </c>
      <c r="P1526">
        <v>8.5855032409323517E-3</v>
      </c>
      <c r="Q1526" t="s">
        <v>161</v>
      </c>
    </row>
    <row r="1527" spans="9:17" x14ac:dyDescent="0.45">
      <c r="I1527" t="s">
        <v>193</v>
      </c>
      <c r="J1527" t="s">
        <v>243</v>
      </c>
      <c r="K1527">
        <v>2.3182026231537132E-3</v>
      </c>
      <c r="L1527" t="s">
        <v>161</v>
      </c>
      <c r="N1527" t="s">
        <v>216</v>
      </c>
      <c r="O1527" t="s">
        <v>243</v>
      </c>
      <c r="P1527">
        <v>8.9396279492166067E-3</v>
      </c>
      <c r="Q1527" t="s">
        <v>161</v>
      </c>
    </row>
    <row r="1528" spans="9:17" x14ac:dyDescent="0.45">
      <c r="I1528" t="s">
        <v>193</v>
      </c>
      <c r="J1528" t="s">
        <v>266</v>
      </c>
      <c r="K1528">
        <v>0</v>
      </c>
      <c r="L1528" t="s">
        <v>161</v>
      </c>
      <c r="N1528" t="s">
        <v>216</v>
      </c>
      <c r="O1528" t="s">
        <v>266</v>
      </c>
      <c r="P1528">
        <v>5.5703359216478725E-2</v>
      </c>
      <c r="Q1528" t="s">
        <v>161</v>
      </c>
    </row>
    <row r="1529" spans="9:17" x14ac:dyDescent="0.45">
      <c r="I1529" t="s">
        <v>193</v>
      </c>
      <c r="J1529" t="s">
        <v>311</v>
      </c>
      <c r="K1529">
        <v>0</v>
      </c>
      <c r="L1529" t="s">
        <v>161</v>
      </c>
      <c r="N1529" t="s">
        <v>216</v>
      </c>
      <c r="O1529" t="s">
        <v>311</v>
      </c>
      <c r="P1529">
        <v>2.5294172839330629E-5</v>
      </c>
      <c r="Q1529" t="s">
        <v>161</v>
      </c>
    </row>
    <row r="1530" spans="9:17" x14ac:dyDescent="0.45">
      <c r="I1530" t="s">
        <v>193</v>
      </c>
      <c r="J1530" t="s">
        <v>312</v>
      </c>
      <c r="K1530">
        <v>0</v>
      </c>
      <c r="L1530" t="s">
        <v>161</v>
      </c>
      <c r="N1530" t="s">
        <v>216</v>
      </c>
      <c r="O1530" t="s">
        <v>312</v>
      </c>
      <c r="P1530">
        <v>2.181556024407053E-5</v>
      </c>
      <c r="Q1530" t="s">
        <v>161</v>
      </c>
    </row>
    <row r="1531" spans="9:17" x14ac:dyDescent="0.45">
      <c r="I1531" t="s">
        <v>193</v>
      </c>
      <c r="J1531" t="s">
        <v>313</v>
      </c>
      <c r="K1531">
        <v>0</v>
      </c>
      <c r="L1531" t="s">
        <v>161</v>
      </c>
      <c r="N1531" t="s">
        <v>216</v>
      </c>
      <c r="O1531" t="s">
        <v>313</v>
      </c>
      <c r="P1531">
        <v>1.8073407294605792E-5</v>
      </c>
      <c r="Q1531" t="s">
        <v>161</v>
      </c>
    </row>
    <row r="1532" spans="9:17" x14ac:dyDescent="0.45">
      <c r="I1532" t="s">
        <v>193</v>
      </c>
      <c r="J1532" t="s">
        <v>314</v>
      </c>
      <c r="K1532">
        <v>0</v>
      </c>
      <c r="L1532" t="s">
        <v>161</v>
      </c>
      <c r="N1532" t="s">
        <v>216</v>
      </c>
      <c r="O1532" t="s">
        <v>314</v>
      </c>
      <c r="P1532">
        <v>1.43726160930512E-5</v>
      </c>
      <c r="Q1532" t="s">
        <v>161</v>
      </c>
    </row>
    <row r="1533" spans="9:17" x14ac:dyDescent="0.45">
      <c r="I1533" t="s">
        <v>193</v>
      </c>
      <c r="J1533" t="s">
        <v>315</v>
      </c>
      <c r="K1533">
        <v>0</v>
      </c>
      <c r="L1533" t="s">
        <v>161</v>
      </c>
      <c r="N1533" t="s">
        <v>216</v>
      </c>
      <c r="O1533" t="s">
        <v>315</v>
      </c>
      <c r="P1533">
        <v>1.3816323081351683E-5</v>
      </c>
      <c r="Q1533" t="s">
        <v>161</v>
      </c>
    </row>
    <row r="1534" spans="9:17" x14ac:dyDescent="0.45">
      <c r="I1534" t="s">
        <v>193</v>
      </c>
      <c r="J1534" t="s">
        <v>316</v>
      </c>
      <c r="K1534">
        <v>0</v>
      </c>
      <c r="L1534" t="s">
        <v>161</v>
      </c>
      <c r="N1534" t="s">
        <v>216</v>
      </c>
      <c r="O1534" t="s">
        <v>316</v>
      </c>
      <c r="P1534">
        <v>1.477257786003843E-5</v>
      </c>
      <c r="Q1534" t="s">
        <v>161</v>
      </c>
    </row>
    <row r="1535" spans="9:17" x14ac:dyDescent="0.45">
      <c r="I1535" t="s">
        <v>193</v>
      </c>
      <c r="J1535" t="s">
        <v>317</v>
      </c>
      <c r="K1535">
        <v>0</v>
      </c>
      <c r="L1535" t="s">
        <v>161</v>
      </c>
      <c r="N1535" t="s">
        <v>216</v>
      </c>
      <c r="O1535" t="s">
        <v>317</v>
      </c>
      <c r="P1535">
        <v>1.3539181758423605E-5</v>
      </c>
      <c r="Q1535" t="s">
        <v>161</v>
      </c>
    </row>
    <row r="1536" spans="9:17" x14ac:dyDescent="0.45">
      <c r="I1536" t="s">
        <v>193</v>
      </c>
      <c r="J1536" t="s">
        <v>318</v>
      </c>
      <c r="K1536">
        <v>0</v>
      </c>
      <c r="L1536" t="s">
        <v>161</v>
      </c>
      <c r="N1536" t="s">
        <v>216</v>
      </c>
      <c r="O1536" t="s">
        <v>318</v>
      </c>
      <c r="P1536">
        <v>1.3724182665933086E-5</v>
      </c>
      <c r="Q1536" t="s">
        <v>161</v>
      </c>
    </row>
    <row r="1537" spans="9:17" x14ac:dyDescent="0.45">
      <c r="I1537" t="s">
        <v>193</v>
      </c>
      <c r="J1537" t="s">
        <v>319</v>
      </c>
      <c r="K1537">
        <v>1.0418596193098722E-4</v>
      </c>
      <c r="L1537" t="s">
        <v>161</v>
      </c>
      <c r="N1537" t="s">
        <v>216</v>
      </c>
      <c r="O1537" t="s">
        <v>319</v>
      </c>
      <c r="P1537">
        <v>1.1636221496872245E-5</v>
      </c>
      <c r="Q1537" t="s">
        <v>161</v>
      </c>
    </row>
    <row r="1538" spans="9:17" x14ac:dyDescent="0.45">
      <c r="I1538" t="s">
        <v>193</v>
      </c>
      <c r="J1538" t="s">
        <v>320</v>
      </c>
      <c r="K1538">
        <v>1.7281530791489041E-4</v>
      </c>
      <c r="L1538" t="s">
        <v>161</v>
      </c>
      <c r="N1538" t="s">
        <v>216</v>
      </c>
      <c r="O1538" t="s">
        <v>320</v>
      </c>
      <c r="P1538">
        <v>1.1829771825835711E-5</v>
      </c>
      <c r="Q1538" t="s">
        <v>161</v>
      </c>
    </row>
    <row r="1539" spans="9:17" x14ac:dyDescent="0.45">
      <c r="I1539" t="s">
        <v>193</v>
      </c>
      <c r="J1539" t="s">
        <v>321</v>
      </c>
      <c r="K1539">
        <v>2.525392863419646E-4</v>
      </c>
      <c r="L1539" t="s">
        <v>161</v>
      </c>
      <c r="N1539" t="s">
        <v>216</v>
      </c>
      <c r="O1539" t="s">
        <v>321</v>
      </c>
      <c r="P1539">
        <v>1.5784841340437938E-5</v>
      </c>
      <c r="Q1539" t="s">
        <v>161</v>
      </c>
    </row>
    <row r="1540" spans="9:17" x14ac:dyDescent="0.45">
      <c r="I1540" t="s">
        <v>193</v>
      </c>
      <c r="J1540" t="s">
        <v>322</v>
      </c>
      <c r="K1540">
        <v>2.5845659152268192E-4</v>
      </c>
      <c r="L1540" t="s">
        <v>161</v>
      </c>
      <c r="N1540" t="s">
        <v>216</v>
      </c>
      <c r="O1540" t="s">
        <v>322</v>
      </c>
      <c r="P1540">
        <v>3.1039083023313314E-5</v>
      </c>
      <c r="Q1540" t="s">
        <v>161</v>
      </c>
    </row>
    <row r="1541" spans="9:17" x14ac:dyDescent="0.45">
      <c r="I1541" t="s">
        <v>193</v>
      </c>
      <c r="J1541" t="s">
        <v>323</v>
      </c>
      <c r="K1541">
        <v>1.463252285808344E-4</v>
      </c>
      <c r="L1541" t="s">
        <v>161</v>
      </c>
      <c r="N1541" t="s">
        <v>216</v>
      </c>
      <c r="O1541" t="s">
        <v>323</v>
      </c>
      <c r="P1541">
        <v>5.5970659358847267E-5</v>
      </c>
      <c r="Q1541" t="s">
        <v>161</v>
      </c>
    </row>
    <row r="1542" spans="9:17" x14ac:dyDescent="0.45">
      <c r="I1542" t="s">
        <v>193</v>
      </c>
      <c r="J1542" t="s">
        <v>324</v>
      </c>
      <c r="K1542">
        <v>1.212648984901879E-4</v>
      </c>
      <c r="L1542" t="s">
        <v>161</v>
      </c>
      <c r="N1542" t="s">
        <v>216</v>
      </c>
      <c r="O1542" t="s">
        <v>324</v>
      </c>
      <c r="P1542">
        <v>6.0037724614412047E-5</v>
      </c>
      <c r="Q1542" t="s">
        <v>161</v>
      </c>
    </row>
    <row r="1543" spans="9:17" x14ac:dyDescent="0.45">
      <c r="I1543" t="s">
        <v>193</v>
      </c>
      <c r="J1543" t="s">
        <v>325</v>
      </c>
      <c r="K1543">
        <v>7.3503275634470507E-5</v>
      </c>
      <c r="L1543" t="s">
        <v>161</v>
      </c>
      <c r="N1543" t="s">
        <v>216</v>
      </c>
      <c r="O1543" t="s">
        <v>325</v>
      </c>
      <c r="P1543">
        <v>7.311031983028393E-5</v>
      </c>
      <c r="Q1543" t="s">
        <v>161</v>
      </c>
    </row>
    <row r="1544" spans="9:17" x14ac:dyDescent="0.45">
      <c r="I1544" t="s">
        <v>193</v>
      </c>
      <c r="J1544" t="s">
        <v>326</v>
      </c>
      <c r="K1544">
        <v>5.0703146385762391E-5</v>
      </c>
      <c r="L1544" t="s">
        <v>161</v>
      </c>
      <c r="N1544" t="s">
        <v>216</v>
      </c>
      <c r="O1544" t="s">
        <v>326</v>
      </c>
      <c r="P1544">
        <v>5.8403776336859195E-5</v>
      </c>
      <c r="Q1544" t="s">
        <v>161</v>
      </c>
    </row>
    <row r="1545" spans="9:17" x14ac:dyDescent="0.45">
      <c r="I1545" t="s">
        <v>193</v>
      </c>
      <c r="J1545" t="s">
        <v>327</v>
      </c>
      <c r="K1545">
        <v>2.5275165656864028E-5</v>
      </c>
      <c r="L1545" t="s">
        <v>161</v>
      </c>
      <c r="N1545" t="s">
        <v>216</v>
      </c>
      <c r="O1545" t="s">
        <v>327</v>
      </c>
      <c r="P1545">
        <v>6.4791135414058896E-5</v>
      </c>
      <c r="Q1545" t="s">
        <v>161</v>
      </c>
    </row>
    <row r="1546" spans="9:17" x14ac:dyDescent="0.45">
      <c r="I1546" t="s">
        <v>193</v>
      </c>
      <c r="J1546" t="s">
        <v>328</v>
      </c>
      <c r="K1546">
        <v>7.415327757172498E-6</v>
      </c>
      <c r="L1546" t="s">
        <v>161</v>
      </c>
      <c r="N1546" t="s">
        <v>216</v>
      </c>
      <c r="O1546" t="s">
        <v>328</v>
      </c>
      <c r="P1546">
        <v>9.4715902711584157E-5</v>
      </c>
      <c r="Q1546" t="s">
        <v>161</v>
      </c>
    </row>
    <row r="1547" spans="9:17" x14ac:dyDescent="0.45">
      <c r="I1547" t="s">
        <v>193</v>
      </c>
      <c r="J1547" t="s">
        <v>329</v>
      </c>
      <c r="K1547">
        <v>0</v>
      </c>
      <c r="L1547" t="s">
        <v>161</v>
      </c>
      <c r="N1547" t="s">
        <v>216</v>
      </c>
      <c r="O1547" t="s">
        <v>329</v>
      </c>
      <c r="P1547">
        <v>1.2777167787847204E-4</v>
      </c>
      <c r="Q1547" t="s">
        <v>161</v>
      </c>
    </row>
    <row r="1548" spans="9:17" x14ac:dyDescent="0.45">
      <c r="I1548" t="s">
        <v>193</v>
      </c>
      <c r="J1548" t="s">
        <v>330</v>
      </c>
      <c r="K1548">
        <v>0</v>
      </c>
      <c r="L1548" t="s">
        <v>161</v>
      </c>
      <c r="N1548" t="s">
        <v>216</v>
      </c>
      <c r="O1548" t="s">
        <v>330</v>
      </c>
      <c r="P1548">
        <v>1.4277164943013069E-4</v>
      </c>
      <c r="Q1548" t="s">
        <v>161</v>
      </c>
    </row>
    <row r="1549" spans="9:17" x14ac:dyDescent="0.45">
      <c r="I1549" t="s">
        <v>193</v>
      </c>
      <c r="J1549" t="s">
        <v>331</v>
      </c>
      <c r="K1549">
        <v>0</v>
      </c>
      <c r="L1549" t="s">
        <v>161</v>
      </c>
      <c r="N1549" t="s">
        <v>216</v>
      </c>
      <c r="O1549" t="s">
        <v>331</v>
      </c>
      <c r="P1549">
        <v>1.4612995184786046E-4</v>
      </c>
      <c r="Q1549" t="s">
        <v>161</v>
      </c>
    </row>
    <row r="1550" spans="9:17" x14ac:dyDescent="0.45">
      <c r="I1550" t="s">
        <v>193</v>
      </c>
      <c r="J1550" t="s">
        <v>332</v>
      </c>
      <c r="K1550">
        <v>0</v>
      </c>
      <c r="L1550" t="s">
        <v>161</v>
      </c>
      <c r="N1550" t="s">
        <v>216</v>
      </c>
      <c r="O1550" t="s">
        <v>332</v>
      </c>
      <c r="P1550">
        <v>1.2972889178698263E-4</v>
      </c>
      <c r="Q1550" t="s">
        <v>161</v>
      </c>
    </row>
    <row r="1551" spans="9:17" x14ac:dyDescent="0.45">
      <c r="I1551" t="s">
        <v>193</v>
      </c>
      <c r="J1551" t="s">
        <v>333</v>
      </c>
      <c r="K1551">
        <v>0</v>
      </c>
      <c r="L1551" t="s">
        <v>161</v>
      </c>
      <c r="N1551" t="s">
        <v>216</v>
      </c>
      <c r="O1551" t="s">
        <v>333</v>
      </c>
      <c r="P1551">
        <v>9.1826904680806463E-5</v>
      </c>
      <c r="Q1551" t="s">
        <v>161</v>
      </c>
    </row>
    <row r="1552" spans="9:17" x14ac:dyDescent="0.45">
      <c r="I1552" t="s">
        <v>193</v>
      </c>
      <c r="J1552" t="s">
        <v>334</v>
      </c>
      <c r="K1552">
        <v>0</v>
      </c>
      <c r="L1552" t="s">
        <v>161</v>
      </c>
      <c r="N1552" t="s">
        <v>216</v>
      </c>
      <c r="O1552" t="s">
        <v>334</v>
      </c>
      <c r="P1552">
        <v>1.0498044634279252E-4</v>
      </c>
      <c r="Q1552" t="s">
        <v>161</v>
      </c>
    </row>
    <row r="1553" spans="9:17" x14ac:dyDescent="0.45">
      <c r="I1553" t="s">
        <v>193</v>
      </c>
      <c r="J1553" t="s">
        <v>164</v>
      </c>
      <c r="K1553">
        <v>1.1538656255640357E-2</v>
      </c>
      <c r="L1553" t="s">
        <v>161</v>
      </c>
      <c r="N1553" t="s">
        <v>216</v>
      </c>
      <c r="O1553" t="s">
        <v>164</v>
      </c>
      <c r="P1553">
        <v>4.6321599433520641E-2</v>
      </c>
      <c r="Q1553" t="s">
        <v>161</v>
      </c>
    </row>
    <row r="1554" spans="9:17" x14ac:dyDescent="0.45">
      <c r="I1554" t="s">
        <v>193</v>
      </c>
      <c r="J1554" t="s">
        <v>165</v>
      </c>
      <c r="K1554">
        <v>1.1944832317216162E-2</v>
      </c>
      <c r="L1554" t="s">
        <v>161</v>
      </c>
      <c r="N1554" t="s">
        <v>216</v>
      </c>
      <c r="O1554" t="s">
        <v>165</v>
      </c>
      <c r="P1554">
        <v>5.3591794534537827E-3</v>
      </c>
      <c r="Q1554" t="s">
        <v>161</v>
      </c>
    </row>
    <row r="1555" spans="9:17" x14ac:dyDescent="0.45">
      <c r="I1555" t="s">
        <v>193</v>
      </c>
      <c r="J1555" t="s">
        <v>166</v>
      </c>
      <c r="K1555">
        <v>9.6690744120903893E-2</v>
      </c>
      <c r="L1555" t="s">
        <v>161</v>
      </c>
      <c r="N1555" t="s">
        <v>216</v>
      </c>
      <c r="O1555" t="s">
        <v>166</v>
      </c>
      <c r="P1555">
        <v>3.1454510183535303E-2</v>
      </c>
      <c r="Q1555" t="s">
        <v>161</v>
      </c>
    </row>
    <row r="1556" spans="9:17" x14ac:dyDescent="0.45">
      <c r="I1556" t="s">
        <v>193</v>
      </c>
      <c r="J1556" t="s">
        <v>244</v>
      </c>
      <c r="K1556">
        <v>9.1488277296477207E-3</v>
      </c>
      <c r="L1556" t="s">
        <v>161</v>
      </c>
      <c r="N1556" t="s">
        <v>216</v>
      </c>
      <c r="O1556" t="s">
        <v>244</v>
      </c>
      <c r="P1556">
        <v>5.0424838649366531E-3</v>
      </c>
      <c r="Q1556" t="s">
        <v>161</v>
      </c>
    </row>
    <row r="1557" spans="9:17" x14ac:dyDescent="0.45">
      <c r="I1557" t="s">
        <v>193</v>
      </c>
      <c r="J1557" t="s">
        <v>245</v>
      </c>
      <c r="K1557">
        <v>6.5244824740323826E-3</v>
      </c>
      <c r="L1557" t="s">
        <v>161</v>
      </c>
      <c r="N1557" t="s">
        <v>216</v>
      </c>
      <c r="O1557" t="s">
        <v>245</v>
      </c>
      <c r="P1557">
        <v>4.9949372262591959E-3</v>
      </c>
      <c r="Q1557" t="s">
        <v>161</v>
      </c>
    </row>
    <row r="1558" spans="9:17" x14ac:dyDescent="0.45">
      <c r="I1558" t="s">
        <v>193</v>
      </c>
      <c r="J1558" t="s">
        <v>267</v>
      </c>
      <c r="K1558">
        <v>3.7725649111585084E-3</v>
      </c>
      <c r="L1558" t="s">
        <v>161</v>
      </c>
      <c r="N1558" t="s">
        <v>216</v>
      </c>
      <c r="O1558" t="s">
        <v>267</v>
      </c>
      <c r="P1558">
        <v>3.489597690987533E-2</v>
      </c>
      <c r="Q1558" t="s">
        <v>161</v>
      </c>
    </row>
    <row r="1559" spans="9:17" x14ac:dyDescent="0.45">
      <c r="I1559" t="s">
        <v>193</v>
      </c>
      <c r="J1559" t="s">
        <v>167</v>
      </c>
      <c r="K1559">
        <v>5.1735609083762513E-2</v>
      </c>
      <c r="L1559" t="s">
        <v>161</v>
      </c>
      <c r="N1559" t="s">
        <v>216</v>
      </c>
      <c r="O1559" t="s">
        <v>167</v>
      </c>
      <c r="P1559">
        <v>5.6590685610410113E-2</v>
      </c>
      <c r="Q1559" t="s">
        <v>161</v>
      </c>
    </row>
    <row r="1560" spans="9:17" x14ac:dyDescent="0.45">
      <c r="I1560" t="s">
        <v>193</v>
      </c>
      <c r="J1560" t="s">
        <v>168</v>
      </c>
      <c r="K1560">
        <v>3.0093776493677789E-2</v>
      </c>
      <c r="L1560" t="s">
        <v>161</v>
      </c>
      <c r="N1560" t="s">
        <v>216</v>
      </c>
      <c r="O1560" t="s">
        <v>168</v>
      </c>
      <c r="P1560">
        <v>7.3245007524018633E-3</v>
      </c>
      <c r="Q1560" t="s">
        <v>161</v>
      </c>
    </row>
    <row r="1561" spans="9:17" x14ac:dyDescent="0.45">
      <c r="I1561" t="s">
        <v>193</v>
      </c>
      <c r="J1561" t="s">
        <v>169</v>
      </c>
      <c r="K1561">
        <v>0.25757478600523043</v>
      </c>
      <c r="L1561" t="s">
        <v>161</v>
      </c>
      <c r="N1561" t="s">
        <v>216</v>
      </c>
      <c r="O1561" t="s">
        <v>169</v>
      </c>
      <c r="P1561">
        <v>5.0051045046757343E-2</v>
      </c>
      <c r="Q1561" t="s">
        <v>161</v>
      </c>
    </row>
    <row r="1562" spans="9:17" x14ac:dyDescent="0.45">
      <c r="I1562" t="s">
        <v>193</v>
      </c>
      <c r="J1562" t="s">
        <v>246</v>
      </c>
      <c r="K1562">
        <v>3.0123665603965139E-2</v>
      </c>
      <c r="L1562" t="s">
        <v>161</v>
      </c>
      <c r="N1562" t="s">
        <v>216</v>
      </c>
      <c r="O1562" t="s">
        <v>246</v>
      </c>
      <c r="P1562">
        <v>8.5591305763017683E-3</v>
      </c>
      <c r="Q1562" t="s">
        <v>161</v>
      </c>
    </row>
    <row r="1563" spans="9:17" x14ac:dyDescent="0.45">
      <c r="I1563" t="s">
        <v>193</v>
      </c>
      <c r="J1563" t="s">
        <v>247</v>
      </c>
      <c r="K1563">
        <v>2.4153502175946282E-2</v>
      </c>
      <c r="L1563" t="s">
        <v>161</v>
      </c>
      <c r="N1563" t="s">
        <v>216</v>
      </c>
      <c r="O1563" t="s">
        <v>247</v>
      </c>
      <c r="P1563">
        <v>8.0681970856880478E-3</v>
      </c>
      <c r="Q1563" t="s">
        <v>161</v>
      </c>
    </row>
    <row r="1564" spans="9:17" x14ac:dyDescent="0.45">
      <c r="I1564" t="s">
        <v>193</v>
      </c>
      <c r="J1564" t="s">
        <v>268</v>
      </c>
      <c r="K1564">
        <v>3.013792094318192E-2</v>
      </c>
      <c r="L1564" t="s">
        <v>161</v>
      </c>
      <c r="N1564" t="s">
        <v>216</v>
      </c>
      <c r="O1564" t="s">
        <v>268</v>
      </c>
      <c r="P1564">
        <v>5.3204564034639766E-2</v>
      </c>
      <c r="Q1564" t="s">
        <v>161</v>
      </c>
    </row>
    <row r="1565" spans="9:17" x14ac:dyDescent="0.45">
      <c r="I1565" t="s">
        <v>193</v>
      </c>
      <c r="J1565" t="s">
        <v>170</v>
      </c>
      <c r="K1565">
        <v>1.9207028742246772E-2</v>
      </c>
      <c r="L1565" t="s">
        <v>161</v>
      </c>
      <c r="N1565" t="s">
        <v>216</v>
      </c>
      <c r="O1565" t="s">
        <v>170</v>
      </c>
      <c r="P1565">
        <v>2.7343743025971919E-2</v>
      </c>
      <c r="Q1565" t="s">
        <v>161</v>
      </c>
    </row>
    <row r="1566" spans="9:17" x14ac:dyDescent="0.45">
      <c r="I1566" t="s">
        <v>193</v>
      </c>
      <c r="J1566" t="s">
        <v>171</v>
      </c>
      <c r="K1566">
        <v>1.438059888811704E-2</v>
      </c>
      <c r="L1566" t="s">
        <v>161</v>
      </c>
      <c r="N1566" t="s">
        <v>216</v>
      </c>
      <c r="O1566" t="s">
        <v>171</v>
      </c>
      <c r="P1566">
        <v>3.2626725128799892E-3</v>
      </c>
      <c r="Q1566" t="s">
        <v>161</v>
      </c>
    </row>
    <row r="1567" spans="9:17" x14ac:dyDescent="0.45">
      <c r="I1567" t="s">
        <v>193</v>
      </c>
      <c r="J1567" t="s">
        <v>172</v>
      </c>
      <c r="K1567">
        <v>0.11826543488720766</v>
      </c>
      <c r="L1567" t="s">
        <v>161</v>
      </c>
      <c r="N1567" t="s">
        <v>216</v>
      </c>
      <c r="O1567" t="s">
        <v>172</v>
      </c>
      <c r="P1567">
        <v>2.0315234483948223E-2</v>
      </c>
      <c r="Q1567" t="s">
        <v>161</v>
      </c>
    </row>
    <row r="1568" spans="9:17" x14ac:dyDescent="0.45">
      <c r="I1568" t="s">
        <v>193</v>
      </c>
      <c r="J1568" t="s">
        <v>248</v>
      </c>
      <c r="K1568">
        <v>1.3065358070020364E-2</v>
      </c>
      <c r="L1568" t="s">
        <v>161</v>
      </c>
      <c r="N1568" t="s">
        <v>216</v>
      </c>
      <c r="O1568" t="s">
        <v>248</v>
      </c>
      <c r="P1568">
        <v>3.3819472331326947E-3</v>
      </c>
      <c r="Q1568" t="s">
        <v>161</v>
      </c>
    </row>
    <row r="1569" spans="9:17" x14ac:dyDescent="0.45">
      <c r="I1569" t="s">
        <v>193</v>
      </c>
      <c r="J1569" t="s">
        <v>249</v>
      </c>
      <c r="K1569">
        <v>9.9650861729912148E-3</v>
      </c>
      <c r="L1569" t="s">
        <v>161</v>
      </c>
      <c r="N1569" t="s">
        <v>216</v>
      </c>
      <c r="O1569" t="s">
        <v>249</v>
      </c>
      <c r="P1569">
        <v>3.1572765124757815E-3</v>
      </c>
      <c r="Q1569" t="s">
        <v>161</v>
      </c>
    </row>
    <row r="1570" spans="9:17" x14ac:dyDescent="0.45">
      <c r="I1570" t="s">
        <v>193</v>
      </c>
      <c r="J1570" t="s">
        <v>269</v>
      </c>
      <c r="K1570">
        <v>8.7783173897901731E-3</v>
      </c>
      <c r="L1570" t="s">
        <v>161</v>
      </c>
      <c r="N1570" t="s">
        <v>216</v>
      </c>
      <c r="O1570" t="s">
        <v>269</v>
      </c>
      <c r="P1570">
        <v>2.0048371235403924E-2</v>
      </c>
      <c r="Q1570" t="s">
        <v>161</v>
      </c>
    </row>
    <row r="1571" spans="9:17" x14ac:dyDescent="0.45">
      <c r="I1571" t="s">
        <v>193</v>
      </c>
      <c r="J1571" t="s">
        <v>250</v>
      </c>
      <c r="K1571">
        <v>4.7460863928769324E-3</v>
      </c>
      <c r="L1571" t="s">
        <v>161</v>
      </c>
      <c r="N1571" t="s">
        <v>216</v>
      </c>
      <c r="O1571" t="s">
        <v>250</v>
      </c>
      <c r="P1571">
        <v>5.3861078588372767E-2</v>
      </c>
      <c r="Q1571" t="s">
        <v>161</v>
      </c>
    </row>
    <row r="1572" spans="9:17" x14ac:dyDescent="0.45">
      <c r="I1572" t="s">
        <v>193</v>
      </c>
      <c r="J1572" t="s">
        <v>251</v>
      </c>
      <c r="K1572">
        <v>8.5301542732464739E-3</v>
      </c>
      <c r="L1572" t="s">
        <v>161</v>
      </c>
      <c r="N1572" t="s">
        <v>216</v>
      </c>
      <c r="O1572" t="s">
        <v>251</v>
      </c>
      <c r="P1572">
        <v>6.0362090284002655E-3</v>
      </c>
      <c r="Q1572" t="s">
        <v>161</v>
      </c>
    </row>
    <row r="1573" spans="9:17" x14ac:dyDescent="0.45">
      <c r="I1573" t="s">
        <v>193</v>
      </c>
      <c r="J1573" t="s">
        <v>252</v>
      </c>
      <c r="K1573">
        <v>7.8057497753301577E-2</v>
      </c>
      <c r="L1573" t="s">
        <v>161</v>
      </c>
      <c r="N1573" t="s">
        <v>216</v>
      </c>
      <c r="O1573" t="s">
        <v>252</v>
      </c>
      <c r="P1573">
        <v>3.7509152514041161E-2</v>
      </c>
      <c r="Q1573" t="s">
        <v>161</v>
      </c>
    </row>
    <row r="1574" spans="9:17" x14ac:dyDescent="0.45">
      <c r="I1574" t="s">
        <v>193</v>
      </c>
      <c r="J1574" t="s">
        <v>253</v>
      </c>
      <c r="K1574">
        <v>6.4236242302497127E-3</v>
      </c>
      <c r="L1574" t="s">
        <v>161</v>
      </c>
      <c r="N1574" t="s">
        <v>216</v>
      </c>
      <c r="O1574" t="s">
        <v>253</v>
      </c>
      <c r="P1574">
        <v>5.9292841996500352E-3</v>
      </c>
      <c r="Q1574" t="s">
        <v>161</v>
      </c>
    </row>
    <row r="1575" spans="9:17" x14ac:dyDescent="0.45">
      <c r="I1575" t="s">
        <v>193</v>
      </c>
      <c r="J1575" t="s">
        <v>254</v>
      </c>
      <c r="K1575">
        <v>2.3831841841873281E-3</v>
      </c>
      <c r="L1575" t="s">
        <v>161</v>
      </c>
      <c r="N1575" t="s">
        <v>216</v>
      </c>
      <c r="O1575" t="s">
        <v>254</v>
      </c>
      <c r="P1575">
        <v>6.1584178245772756E-3</v>
      </c>
      <c r="Q1575" t="s">
        <v>161</v>
      </c>
    </row>
    <row r="1576" spans="9:17" x14ac:dyDescent="0.45">
      <c r="I1576" t="s">
        <v>193</v>
      </c>
      <c r="J1576" t="s">
        <v>270</v>
      </c>
      <c r="K1576">
        <v>5.1308867683572037E-6</v>
      </c>
      <c r="L1576" t="s">
        <v>161</v>
      </c>
      <c r="N1576" t="s">
        <v>216</v>
      </c>
      <c r="O1576" t="s">
        <v>270</v>
      </c>
      <c r="P1576">
        <v>3.6238983900675349E-2</v>
      </c>
      <c r="Q1576" t="s">
        <v>161</v>
      </c>
    </row>
    <row r="1577" spans="9:17" x14ac:dyDescent="0.45">
      <c r="I1577" t="s">
        <v>193</v>
      </c>
      <c r="J1577" t="s">
        <v>255</v>
      </c>
      <c r="K1577">
        <v>0</v>
      </c>
      <c r="L1577" t="s">
        <v>161</v>
      </c>
      <c r="N1577" t="s">
        <v>216</v>
      </c>
      <c r="O1577" t="s">
        <v>255</v>
      </c>
      <c r="P1577">
        <v>6.0083504008620295E-2</v>
      </c>
      <c r="Q1577" t="s">
        <v>161</v>
      </c>
    </row>
    <row r="1578" spans="9:17" x14ac:dyDescent="0.45">
      <c r="I1578" t="s">
        <v>193</v>
      </c>
      <c r="J1578" t="s">
        <v>256</v>
      </c>
      <c r="K1578">
        <v>1.6737719084035513E-3</v>
      </c>
      <c r="L1578" t="s">
        <v>161</v>
      </c>
      <c r="N1578" t="s">
        <v>216</v>
      </c>
      <c r="O1578" t="s">
        <v>256</v>
      </c>
      <c r="P1578">
        <v>6.504318157080774E-3</v>
      </c>
      <c r="Q1578" t="s">
        <v>161</v>
      </c>
    </row>
    <row r="1579" spans="9:17" x14ac:dyDescent="0.45">
      <c r="I1579" t="s">
        <v>193</v>
      </c>
      <c r="J1579" t="s">
        <v>257</v>
      </c>
      <c r="K1579">
        <v>3.5472197930478643E-2</v>
      </c>
      <c r="L1579" t="s">
        <v>161</v>
      </c>
      <c r="N1579" t="s">
        <v>216</v>
      </c>
      <c r="O1579" t="s">
        <v>257</v>
      </c>
      <c r="P1579">
        <v>4.5126834799425128E-2</v>
      </c>
      <c r="Q1579" t="s">
        <v>161</v>
      </c>
    </row>
    <row r="1580" spans="9:17" x14ac:dyDescent="0.45">
      <c r="I1580" t="s">
        <v>193</v>
      </c>
      <c r="J1580" t="s">
        <v>258</v>
      </c>
      <c r="K1580">
        <v>3.7524215029345495E-4</v>
      </c>
      <c r="L1580" t="s">
        <v>161</v>
      </c>
      <c r="N1580" t="s">
        <v>216</v>
      </c>
      <c r="O1580" t="s">
        <v>258</v>
      </c>
      <c r="P1580">
        <v>7.5213430945361009E-3</v>
      </c>
      <c r="Q1580" t="s">
        <v>161</v>
      </c>
    </row>
    <row r="1581" spans="9:17" x14ac:dyDescent="0.45">
      <c r="I1581" t="s">
        <v>193</v>
      </c>
      <c r="J1581" t="s">
        <v>259</v>
      </c>
      <c r="K1581">
        <v>0</v>
      </c>
      <c r="L1581" t="s">
        <v>161</v>
      </c>
      <c r="N1581" t="s">
        <v>216</v>
      </c>
      <c r="O1581" t="s">
        <v>259</v>
      </c>
      <c r="P1581">
        <v>7.8873168481209694E-3</v>
      </c>
      <c r="Q1581" t="s">
        <v>161</v>
      </c>
    </row>
    <row r="1582" spans="9:17" x14ac:dyDescent="0.45">
      <c r="I1582" t="s">
        <v>193</v>
      </c>
      <c r="J1582" t="s">
        <v>271</v>
      </c>
      <c r="K1582">
        <v>0</v>
      </c>
      <c r="L1582" t="s">
        <v>161</v>
      </c>
      <c r="N1582" t="s">
        <v>216</v>
      </c>
      <c r="O1582" t="s">
        <v>271</v>
      </c>
      <c r="P1582">
        <v>4.7339466408280517E-2</v>
      </c>
      <c r="Q1582" t="s">
        <v>161</v>
      </c>
    </row>
    <row r="1583" spans="9:17" x14ac:dyDescent="0.45">
      <c r="I1583" t="s">
        <v>193</v>
      </c>
      <c r="J1583" t="s">
        <v>272</v>
      </c>
      <c r="K1583">
        <v>0</v>
      </c>
      <c r="L1583" t="s">
        <v>161</v>
      </c>
      <c r="N1583" t="s">
        <v>216</v>
      </c>
      <c r="O1583" t="s">
        <v>272</v>
      </c>
      <c r="P1583">
        <v>1.9264677030714189E-2</v>
      </c>
      <c r="Q1583" t="s">
        <v>161</v>
      </c>
    </row>
    <row r="1584" spans="9:17" x14ac:dyDescent="0.45">
      <c r="I1584" t="s">
        <v>193</v>
      </c>
      <c r="J1584" t="s">
        <v>273</v>
      </c>
      <c r="K1584">
        <v>0</v>
      </c>
      <c r="L1584" t="s">
        <v>161</v>
      </c>
      <c r="N1584" t="s">
        <v>216</v>
      </c>
      <c r="O1584" t="s">
        <v>273</v>
      </c>
      <c r="P1584">
        <v>2.4429957902487778E-3</v>
      </c>
      <c r="Q1584" t="s">
        <v>161</v>
      </c>
    </row>
    <row r="1585" spans="9:17" x14ac:dyDescent="0.45">
      <c r="I1585" t="s">
        <v>193</v>
      </c>
      <c r="J1585" t="s">
        <v>274</v>
      </c>
      <c r="K1585">
        <v>4.482335171834567E-3</v>
      </c>
      <c r="L1585" t="s">
        <v>161</v>
      </c>
      <c r="N1585" t="s">
        <v>216</v>
      </c>
      <c r="O1585" t="s">
        <v>274</v>
      </c>
      <c r="P1585">
        <v>1.5582603638832746E-2</v>
      </c>
      <c r="Q1585" t="s">
        <v>161</v>
      </c>
    </row>
    <row r="1586" spans="9:17" x14ac:dyDescent="0.45">
      <c r="I1586" t="s">
        <v>193</v>
      </c>
      <c r="J1586" t="s">
        <v>275</v>
      </c>
      <c r="K1586">
        <v>0</v>
      </c>
      <c r="L1586" t="s">
        <v>161</v>
      </c>
      <c r="N1586" t="s">
        <v>216</v>
      </c>
      <c r="O1586" t="s">
        <v>275</v>
      </c>
      <c r="P1586">
        <v>2.5239267843485988E-3</v>
      </c>
      <c r="Q1586" t="s">
        <v>161</v>
      </c>
    </row>
    <row r="1587" spans="9:17" x14ac:dyDescent="0.45">
      <c r="I1587" t="s">
        <v>193</v>
      </c>
      <c r="J1587" t="s">
        <v>276</v>
      </c>
      <c r="K1587">
        <v>0</v>
      </c>
      <c r="L1587" t="s">
        <v>161</v>
      </c>
      <c r="N1587" t="s">
        <v>216</v>
      </c>
      <c r="O1587" t="s">
        <v>276</v>
      </c>
      <c r="P1587">
        <v>2.532939329422188E-3</v>
      </c>
      <c r="Q1587" t="s">
        <v>161</v>
      </c>
    </row>
    <row r="1588" spans="9:17" x14ac:dyDescent="0.45">
      <c r="I1588" t="s">
        <v>193</v>
      </c>
      <c r="J1588" t="s">
        <v>277</v>
      </c>
      <c r="K1588">
        <v>0</v>
      </c>
      <c r="L1588" t="s">
        <v>161</v>
      </c>
      <c r="N1588" t="s">
        <v>216</v>
      </c>
      <c r="O1588" t="s">
        <v>277</v>
      </c>
      <c r="P1588">
        <v>1.5053446970042707E-2</v>
      </c>
      <c r="Q1588" t="s">
        <v>161</v>
      </c>
    </row>
    <row r="1589" spans="9:17" x14ac:dyDescent="0.45">
      <c r="I1589" t="s">
        <v>193</v>
      </c>
      <c r="J1589" t="s">
        <v>278</v>
      </c>
      <c r="K1589">
        <v>0</v>
      </c>
      <c r="L1589" t="s">
        <v>161</v>
      </c>
      <c r="N1589" t="s">
        <v>216</v>
      </c>
      <c r="O1589" t="s">
        <v>278</v>
      </c>
      <c r="P1589">
        <v>7.8892746966681155E-3</v>
      </c>
      <c r="Q1589" t="s">
        <v>161</v>
      </c>
    </row>
    <row r="1590" spans="9:17" x14ac:dyDescent="0.45">
      <c r="I1590" t="s">
        <v>193</v>
      </c>
      <c r="J1590" t="s">
        <v>279</v>
      </c>
      <c r="K1590">
        <v>0</v>
      </c>
      <c r="L1590" t="s">
        <v>161</v>
      </c>
      <c r="N1590" t="s">
        <v>216</v>
      </c>
      <c r="O1590" t="s">
        <v>279</v>
      </c>
      <c r="P1590">
        <v>9.6915222995748224E-4</v>
      </c>
      <c r="Q1590" t="s">
        <v>161</v>
      </c>
    </row>
    <row r="1591" spans="9:17" x14ac:dyDescent="0.45">
      <c r="I1591" t="s">
        <v>193</v>
      </c>
      <c r="J1591" t="s">
        <v>280</v>
      </c>
      <c r="K1591">
        <v>2.9903622478700165E-3</v>
      </c>
      <c r="L1591" t="s">
        <v>161</v>
      </c>
      <c r="N1591" t="s">
        <v>216</v>
      </c>
      <c r="O1591" t="s">
        <v>280</v>
      </c>
      <c r="P1591">
        <v>4.4535709947066439E-3</v>
      </c>
      <c r="Q1591" t="s">
        <v>161</v>
      </c>
    </row>
    <row r="1592" spans="9:17" x14ac:dyDescent="0.45">
      <c r="I1592" t="s">
        <v>193</v>
      </c>
      <c r="J1592" t="s">
        <v>281</v>
      </c>
      <c r="K1592">
        <v>0</v>
      </c>
      <c r="L1592" t="s">
        <v>161</v>
      </c>
      <c r="N1592" t="s">
        <v>216</v>
      </c>
      <c r="O1592" t="s">
        <v>281</v>
      </c>
      <c r="P1592">
        <v>9.078372343746243E-4</v>
      </c>
      <c r="Q1592" t="s">
        <v>161</v>
      </c>
    </row>
    <row r="1593" spans="9:17" x14ac:dyDescent="0.45">
      <c r="I1593" t="s">
        <v>193</v>
      </c>
      <c r="J1593" t="s">
        <v>282</v>
      </c>
      <c r="K1593">
        <v>0</v>
      </c>
      <c r="L1593" t="s">
        <v>161</v>
      </c>
      <c r="N1593" t="s">
        <v>216</v>
      </c>
      <c r="O1593" t="s">
        <v>282</v>
      </c>
      <c r="P1593">
        <v>9.992781543651367E-4</v>
      </c>
      <c r="Q1593" t="s">
        <v>161</v>
      </c>
    </row>
    <row r="1594" spans="9:17" x14ac:dyDescent="0.45">
      <c r="I1594" t="s">
        <v>193</v>
      </c>
      <c r="J1594" t="s">
        <v>283</v>
      </c>
      <c r="K1594">
        <v>0</v>
      </c>
      <c r="L1594" t="s">
        <v>161</v>
      </c>
      <c r="N1594" t="s">
        <v>216</v>
      </c>
      <c r="O1594" t="s">
        <v>283</v>
      </c>
      <c r="P1594">
        <v>8.2032721312094714E-3</v>
      </c>
      <c r="Q1594" t="s">
        <v>161</v>
      </c>
    </row>
    <row r="1595" spans="9:17" x14ac:dyDescent="0.45">
      <c r="I1595" t="s">
        <v>194</v>
      </c>
      <c r="J1595" t="s">
        <v>160</v>
      </c>
      <c r="K1595">
        <v>1.650048059998655E-3</v>
      </c>
      <c r="L1595" t="s">
        <v>161</v>
      </c>
    </row>
    <row r="1596" spans="9:17" x14ac:dyDescent="0.45">
      <c r="I1596" t="s">
        <v>194</v>
      </c>
      <c r="J1596" t="s">
        <v>162</v>
      </c>
      <c r="K1596">
        <v>5.3453170379738311E-3</v>
      </c>
      <c r="L1596" t="s">
        <v>161</v>
      </c>
    </row>
    <row r="1597" spans="9:17" x14ac:dyDescent="0.45">
      <c r="I1597" t="s">
        <v>194</v>
      </c>
      <c r="J1597" t="s">
        <v>163</v>
      </c>
      <c r="K1597">
        <v>8.9998827699892023E-2</v>
      </c>
      <c r="L1597" t="s">
        <v>161</v>
      </c>
    </row>
    <row r="1598" spans="9:17" x14ac:dyDescent="0.45">
      <c r="I1598" t="s">
        <v>194</v>
      </c>
      <c r="J1598" t="s">
        <v>242</v>
      </c>
      <c r="K1598">
        <v>7.0713029930751931E-3</v>
      </c>
      <c r="L1598" t="s">
        <v>161</v>
      </c>
    </row>
    <row r="1599" spans="9:17" x14ac:dyDescent="0.45">
      <c r="I1599" t="s">
        <v>194</v>
      </c>
      <c r="J1599" t="s">
        <v>243</v>
      </c>
      <c r="K1599">
        <v>2.3586911913616383E-3</v>
      </c>
      <c r="L1599" t="s">
        <v>161</v>
      </c>
    </row>
    <row r="1600" spans="9:17" x14ac:dyDescent="0.45">
      <c r="I1600" t="s">
        <v>194</v>
      </c>
      <c r="J1600" t="s">
        <v>266</v>
      </c>
      <c r="K1600">
        <v>0</v>
      </c>
      <c r="L1600" t="s">
        <v>161</v>
      </c>
    </row>
    <row r="1601" spans="9:12" x14ac:dyDescent="0.45">
      <c r="I1601" t="s">
        <v>194</v>
      </c>
      <c r="J1601" t="s">
        <v>311</v>
      </c>
      <c r="K1601">
        <v>0</v>
      </c>
      <c r="L1601" t="s">
        <v>161</v>
      </c>
    </row>
    <row r="1602" spans="9:12" x14ac:dyDescent="0.45">
      <c r="I1602" t="s">
        <v>194</v>
      </c>
      <c r="J1602" t="s">
        <v>312</v>
      </c>
      <c r="K1602">
        <v>0</v>
      </c>
      <c r="L1602" t="s">
        <v>161</v>
      </c>
    </row>
    <row r="1603" spans="9:12" x14ac:dyDescent="0.45">
      <c r="I1603" t="s">
        <v>194</v>
      </c>
      <c r="J1603" t="s">
        <v>313</v>
      </c>
      <c r="K1603">
        <v>0</v>
      </c>
      <c r="L1603" t="s">
        <v>161</v>
      </c>
    </row>
    <row r="1604" spans="9:12" x14ac:dyDescent="0.45">
      <c r="I1604" t="s">
        <v>194</v>
      </c>
      <c r="J1604" t="s">
        <v>314</v>
      </c>
      <c r="K1604">
        <v>0</v>
      </c>
      <c r="L1604" t="s">
        <v>161</v>
      </c>
    </row>
    <row r="1605" spans="9:12" x14ac:dyDescent="0.45">
      <c r="I1605" t="s">
        <v>194</v>
      </c>
      <c r="J1605" t="s">
        <v>315</v>
      </c>
      <c r="K1605">
        <v>0</v>
      </c>
      <c r="L1605" t="s">
        <v>161</v>
      </c>
    </row>
    <row r="1606" spans="9:12" x14ac:dyDescent="0.45">
      <c r="I1606" t="s">
        <v>194</v>
      </c>
      <c r="J1606" t="s">
        <v>316</v>
      </c>
      <c r="K1606">
        <v>0</v>
      </c>
      <c r="L1606" t="s">
        <v>161</v>
      </c>
    </row>
    <row r="1607" spans="9:12" x14ac:dyDescent="0.45">
      <c r="I1607" t="s">
        <v>194</v>
      </c>
      <c r="J1607" t="s">
        <v>317</v>
      </c>
      <c r="K1607">
        <v>0</v>
      </c>
      <c r="L1607" t="s">
        <v>161</v>
      </c>
    </row>
    <row r="1608" spans="9:12" x14ac:dyDescent="0.45">
      <c r="I1608" t="s">
        <v>194</v>
      </c>
      <c r="J1608" t="s">
        <v>318</v>
      </c>
      <c r="K1608">
        <v>0</v>
      </c>
      <c r="L1608" t="s">
        <v>161</v>
      </c>
    </row>
    <row r="1609" spans="9:12" x14ac:dyDescent="0.45">
      <c r="I1609" t="s">
        <v>194</v>
      </c>
      <c r="J1609" t="s">
        <v>319</v>
      </c>
      <c r="K1609">
        <v>2.0041965150330594E-5</v>
      </c>
      <c r="L1609" t="s">
        <v>161</v>
      </c>
    </row>
    <row r="1610" spans="9:12" x14ac:dyDescent="0.45">
      <c r="I1610" t="s">
        <v>194</v>
      </c>
      <c r="J1610" t="s">
        <v>320</v>
      </c>
      <c r="K1610">
        <v>4.5709840001827677E-5</v>
      </c>
      <c r="L1610" t="s">
        <v>161</v>
      </c>
    </row>
    <row r="1611" spans="9:12" x14ac:dyDescent="0.45">
      <c r="I1611" t="s">
        <v>194</v>
      </c>
      <c r="J1611" t="s">
        <v>321</v>
      </c>
      <c r="K1611">
        <v>1.0056332324184959E-4</v>
      </c>
      <c r="L1611" t="s">
        <v>161</v>
      </c>
    </row>
    <row r="1612" spans="9:12" x14ac:dyDescent="0.45">
      <c r="I1612" t="s">
        <v>194</v>
      </c>
      <c r="J1612" t="s">
        <v>322</v>
      </c>
      <c r="K1612">
        <v>1.6714273326608225E-4</v>
      </c>
      <c r="L1612" t="s">
        <v>161</v>
      </c>
    </row>
    <row r="1613" spans="9:12" x14ac:dyDescent="0.45">
      <c r="I1613" t="s">
        <v>194</v>
      </c>
      <c r="J1613" t="s">
        <v>323</v>
      </c>
      <c r="K1613">
        <v>1.8050192728015447E-4</v>
      </c>
      <c r="L1613" t="s">
        <v>161</v>
      </c>
    </row>
    <row r="1614" spans="9:12" x14ac:dyDescent="0.45">
      <c r="I1614" t="s">
        <v>194</v>
      </c>
      <c r="J1614" t="s">
        <v>324</v>
      </c>
      <c r="K1614">
        <v>1.8071499166052467E-4</v>
      </c>
      <c r="L1614" t="s">
        <v>161</v>
      </c>
    </row>
    <row r="1615" spans="9:12" x14ac:dyDescent="0.45">
      <c r="I1615" t="s">
        <v>194</v>
      </c>
      <c r="J1615" t="s">
        <v>325</v>
      </c>
      <c r="K1615">
        <v>1.3280423538066151E-4</v>
      </c>
      <c r="L1615" t="s">
        <v>161</v>
      </c>
    </row>
    <row r="1616" spans="9:12" x14ac:dyDescent="0.45">
      <c r="I1616" t="s">
        <v>194</v>
      </c>
      <c r="J1616" t="s">
        <v>326</v>
      </c>
      <c r="K1616">
        <v>7.0326620089283148E-5</v>
      </c>
      <c r="L1616" t="s">
        <v>161</v>
      </c>
    </row>
    <row r="1617" spans="9:12" x14ac:dyDescent="0.45">
      <c r="I1617" t="s">
        <v>194</v>
      </c>
      <c r="J1617" t="s">
        <v>327</v>
      </c>
      <c r="K1617">
        <v>1.0382097802266658E-4</v>
      </c>
      <c r="L1617" t="s">
        <v>161</v>
      </c>
    </row>
    <row r="1618" spans="9:12" x14ac:dyDescent="0.45">
      <c r="I1618" t="s">
        <v>194</v>
      </c>
      <c r="J1618" t="s">
        <v>328</v>
      </c>
      <c r="K1618">
        <v>4.6112562568806049E-5</v>
      </c>
      <c r="L1618" t="s">
        <v>161</v>
      </c>
    </row>
    <row r="1619" spans="9:12" x14ac:dyDescent="0.45">
      <c r="I1619" t="s">
        <v>194</v>
      </c>
      <c r="J1619" t="s">
        <v>329</v>
      </c>
      <c r="K1619">
        <v>0</v>
      </c>
      <c r="L1619" t="s">
        <v>161</v>
      </c>
    </row>
    <row r="1620" spans="9:12" x14ac:dyDescent="0.45">
      <c r="I1620" t="s">
        <v>194</v>
      </c>
      <c r="J1620" t="s">
        <v>330</v>
      </c>
      <c r="K1620">
        <v>0</v>
      </c>
      <c r="L1620" t="s">
        <v>161</v>
      </c>
    </row>
    <row r="1621" spans="9:12" x14ac:dyDescent="0.45">
      <c r="I1621" t="s">
        <v>194</v>
      </c>
      <c r="J1621" t="s">
        <v>331</v>
      </c>
      <c r="K1621">
        <v>0</v>
      </c>
      <c r="L1621" t="s">
        <v>161</v>
      </c>
    </row>
    <row r="1622" spans="9:12" x14ac:dyDescent="0.45">
      <c r="I1622" t="s">
        <v>194</v>
      </c>
      <c r="J1622" t="s">
        <v>332</v>
      </c>
      <c r="K1622">
        <v>0</v>
      </c>
      <c r="L1622" t="s">
        <v>161</v>
      </c>
    </row>
    <row r="1623" spans="9:12" x14ac:dyDescent="0.45">
      <c r="I1623" t="s">
        <v>194</v>
      </c>
      <c r="J1623" t="s">
        <v>333</v>
      </c>
      <c r="K1623">
        <v>0</v>
      </c>
      <c r="L1623" t="s">
        <v>161</v>
      </c>
    </row>
    <row r="1624" spans="9:12" x14ac:dyDescent="0.45">
      <c r="I1624" t="s">
        <v>194</v>
      </c>
      <c r="J1624" t="s">
        <v>334</v>
      </c>
      <c r="K1624">
        <v>0</v>
      </c>
      <c r="L1624" t="s">
        <v>161</v>
      </c>
    </row>
    <row r="1625" spans="9:12" x14ac:dyDescent="0.45">
      <c r="I1625" t="s">
        <v>194</v>
      </c>
      <c r="J1625" t="s">
        <v>164</v>
      </c>
      <c r="K1625">
        <v>1.1363860847464291E-2</v>
      </c>
      <c r="L1625" t="s">
        <v>161</v>
      </c>
    </row>
    <row r="1626" spans="9:12" x14ac:dyDescent="0.45">
      <c r="I1626" t="s">
        <v>194</v>
      </c>
      <c r="J1626" t="s">
        <v>165</v>
      </c>
      <c r="K1626">
        <v>1.1635920668994292E-2</v>
      </c>
      <c r="L1626" t="s">
        <v>161</v>
      </c>
    </row>
    <row r="1627" spans="9:12" x14ac:dyDescent="0.45">
      <c r="I1627" t="s">
        <v>194</v>
      </c>
      <c r="J1627" t="s">
        <v>166</v>
      </c>
      <c r="K1627">
        <v>9.9403946543732746E-2</v>
      </c>
      <c r="L1627" t="s">
        <v>161</v>
      </c>
    </row>
    <row r="1628" spans="9:12" x14ac:dyDescent="0.45">
      <c r="I1628" t="s">
        <v>194</v>
      </c>
      <c r="J1628" t="s">
        <v>244</v>
      </c>
      <c r="K1628">
        <v>9.2446259146857449E-3</v>
      </c>
      <c r="L1628" t="s">
        <v>161</v>
      </c>
    </row>
    <row r="1629" spans="9:12" x14ac:dyDescent="0.45">
      <c r="I1629" t="s">
        <v>194</v>
      </c>
      <c r="J1629" t="s">
        <v>245</v>
      </c>
      <c r="K1629">
        <v>6.2235182501500664E-3</v>
      </c>
      <c r="L1629" t="s">
        <v>161</v>
      </c>
    </row>
    <row r="1630" spans="9:12" x14ac:dyDescent="0.45">
      <c r="I1630" t="s">
        <v>194</v>
      </c>
      <c r="J1630" t="s">
        <v>267</v>
      </c>
      <c r="K1630">
        <v>3.524014182636231E-3</v>
      </c>
      <c r="L1630" t="s">
        <v>161</v>
      </c>
    </row>
    <row r="1631" spans="9:12" x14ac:dyDescent="0.45">
      <c r="I1631" t="s">
        <v>194</v>
      </c>
      <c r="J1631" t="s">
        <v>167</v>
      </c>
      <c r="K1631">
        <v>5.2476301422582729E-2</v>
      </c>
      <c r="L1631" t="s">
        <v>161</v>
      </c>
    </row>
    <row r="1632" spans="9:12" x14ac:dyDescent="0.45">
      <c r="I1632" t="s">
        <v>194</v>
      </c>
      <c r="J1632" t="s">
        <v>168</v>
      </c>
      <c r="K1632">
        <v>3.1604919626916007E-2</v>
      </c>
      <c r="L1632" t="s">
        <v>161</v>
      </c>
    </row>
    <row r="1633" spans="9:12" x14ac:dyDescent="0.45">
      <c r="I1633" t="s">
        <v>194</v>
      </c>
      <c r="J1633" t="s">
        <v>169</v>
      </c>
      <c r="K1633">
        <v>0.25709454805301707</v>
      </c>
      <c r="L1633" t="s">
        <v>161</v>
      </c>
    </row>
    <row r="1634" spans="9:12" x14ac:dyDescent="0.45">
      <c r="I1634" t="s">
        <v>194</v>
      </c>
      <c r="J1634" t="s">
        <v>246</v>
      </c>
      <c r="K1634">
        <v>2.8932383869390371E-2</v>
      </c>
      <c r="L1634" t="s">
        <v>161</v>
      </c>
    </row>
    <row r="1635" spans="9:12" x14ac:dyDescent="0.45">
      <c r="I1635" t="s">
        <v>194</v>
      </c>
      <c r="J1635" t="s">
        <v>247</v>
      </c>
      <c r="K1635">
        <v>2.3269010220481747E-2</v>
      </c>
      <c r="L1635" t="s">
        <v>161</v>
      </c>
    </row>
    <row r="1636" spans="9:12" x14ac:dyDescent="0.45">
      <c r="I1636" t="s">
        <v>194</v>
      </c>
      <c r="J1636" t="s">
        <v>268</v>
      </c>
      <c r="K1636">
        <v>2.748076776195893E-2</v>
      </c>
      <c r="L1636" t="s">
        <v>161</v>
      </c>
    </row>
    <row r="1637" spans="9:12" x14ac:dyDescent="0.45">
      <c r="I1637" t="s">
        <v>194</v>
      </c>
      <c r="J1637" t="s">
        <v>170</v>
      </c>
      <c r="K1637">
        <v>1.9661842723263507E-2</v>
      </c>
      <c r="L1637" t="s">
        <v>161</v>
      </c>
    </row>
    <row r="1638" spans="9:12" x14ac:dyDescent="0.45">
      <c r="I1638" t="s">
        <v>194</v>
      </c>
      <c r="J1638" t="s">
        <v>171</v>
      </c>
      <c r="K1638">
        <v>1.4593150511668724E-2</v>
      </c>
      <c r="L1638" t="s">
        <v>161</v>
      </c>
    </row>
    <row r="1639" spans="9:12" x14ac:dyDescent="0.45">
      <c r="I1639" t="s">
        <v>194</v>
      </c>
      <c r="J1639" t="s">
        <v>172</v>
      </c>
      <c r="K1639">
        <v>0.12069860857587571</v>
      </c>
      <c r="L1639" t="s">
        <v>161</v>
      </c>
    </row>
    <row r="1640" spans="9:12" x14ac:dyDescent="0.45">
      <c r="I1640" t="s">
        <v>194</v>
      </c>
      <c r="J1640" t="s">
        <v>248</v>
      </c>
      <c r="K1640">
        <v>1.2167432265130998E-2</v>
      </c>
      <c r="L1640" t="s">
        <v>161</v>
      </c>
    </row>
    <row r="1641" spans="9:12" x14ac:dyDescent="0.45">
      <c r="I1641" t="s">
        <v>194</v>
      </c>
      <c r="J1641" t="s">
        <v>249</v>
      </c>
      <c r="K1641">
        <v>9.3247391720495485E-3</v>
      </c>
      <c r="L1641" t="s">
        <v>161</v>
      </c>
    </row>
    <row r="1642" spans="9:12" x14ac:dyDescent="0.45">
      <c r="I1642" t="s">
        <v>194</v>
      </c>
      <c r="J1642" t="s">
        <v>269</v>
      </c>
      <c r="K1642">
        <v>8.4497887789253354E-3</v>
      </c>
      <c r="L1642" t="s">
        <v>161</v>
      </c>
    </row>
    <row r="1643" spans="9:12" x14ac:dyDescent="0.45">
      <c r="I1643" t="s">
        <v>194</v>
      </c>
      <c r="J1643" t="s">
        <v>250</v>
      </c>
      <c r="K1643">
        <v>4.3827188164030336E-3</v>
      </c>
      <c r="L1643" t="s">
        <v>161</v>
      </c>
    </row>
    <row r="1644" spans="9:12" x14ac:dyDescent="0.45">
      <c r="I1644" t="s">
        <v>194</v>
      </c>
      <c r="J1644" t="s">
        <v>251</v>
      </c>
      <c r="K1644">
        <v>8.0027425084771512E-3</v>
      </c>
      <c r="L1644" t="s">
        <v>161</v>
      </c>
    </row>
    <row r="1645" spans="9:12" x14ac:dyDescent="0.45">
      <c r="I1645" t="s">
        <v>194</v>
      </c>
      <c r="J1645" t="s">
        <v>252</v>
      </c>
      <c r="K1645">
        <v>7.7793568035924826E-2</v>
      </c>
      <c r="L1645" t="s">
        <v>161</v>
      </c>
    </row>
    <row r="1646" spans="9:12" x14ac:dyDescent="0.45">
      <c r="I1646" t="s">
        <v>194</v>
      </c>
      <c r="J1646" t="s">
        <v>253</v>
      </c>
      <c r="K1646">
        <v>6.02613668670303E-3</v>
      </c>
      <c r="L1646" t="s">
        <v>161</v>
      </c>
    </row>
    <row r="1647" spans="9:12" x14ac:dyDescent="0.45">
      <c r="I1647" t="s">
        <v>194</v>
      </c>
      <c r="J1647" t="s">
        <v>254</v>
      </c>
      <c r="K1647">
        <v>2.028196647472608E-3</v>
      </c>
      <c r="L1647" t="s">
        <v>161</v>
      </c>
    </row>
    <row r="1648" spans="9:12" x14ac:dyDescent="0.45">
      <c r="I1648" t="s">
        <v>194</v>
      </c>
      <c r="J1648" t="s">
        <v>270</v>
      </c>
      <c r="K1648">
        <v>1.0810703614124469E-6</v>
      </c>
      <c r="L1648" t="s">
        <v>161</v>
      </c>
    </row>
    <row r="1649" spans="9:12" x14ac:dyDescent="0.45">
      <c r="I1649" t="s">
        <v>194</v>
      </c>
      <c r="J1649" t="s">
        <v>255</v>
      </c>
      <c r="K1649">
        <v>0</v>
      </c>
      <c r="L1649" t="s">
        <v>161</v>
      </c>
    </row>
    <row r="1650" spans="9:12" x14ac:dyDescent="0.45">
      <c r="I1650" t="s">
        <v>194</v>
      </c>
      <c r="J1650" t="s">
        <v>256</v>
      </c>
      <c r="K1650">
        <v>1.7000009299708509E-3</v>
      </c>
      <c r="L1650" t="s">
        <v>161</v>
      </c>
    </row>
    <row r="1651" spans="9:12" x14ac:dyDescent="0.45">
      <c r="I1651" t="s">
        <v>194</v>
      </c>
      <c r="J1651" t="s">
        <v>257</v>
      </c>
      <c r="K1651">
        <v>3.6011703708679087E-2</v>
      </c>
      <c r="L1651" t="s">
        <v>161</v>
      </c>
    </row>
    <row r="1652" spans="9:12" x14ac:dyDescent="0.45">
      <c r="I1652" t="s">
        <v>194</v>
      </c>
      <c r="J1652" t="s">
        <v>258</v>
      </c>
      <c r="K1652">
        <v>4.1960103551149877E-4</v>
      </c>
      <c r="L1652" t="s">
        <v>161</v>
      </c>
    </row>
    <row r="1653" spans="9:12" x14ac:dyDescent="0.45">
      <c r="I1653" t="s">
        <v>194</v>
      </c>
      <c r="J1653" t="s">
        <v>259</v>
      </c>
      <c r="K1653">
        <v>0</v>
      </c>
      <c r="L1653" t="s">
        <v>161</v>
      </c>
    </row>
    <row r="1654" spans="9:12" x14ac:dyDescent="0.45">
      <c r="I1654" t="s">
        <v>194</v>
      </c>
      <c r="J1654" t="s">
        <v>271</v>
      </c>
      <c r="K1654">
        <v>0</v>
      </c>
      <c r="L1654" t="s">
        <v>161</v>
      </c>
    </row>
    <row r="1655" spans="9:12" x14ac:dyDescent="0.45">
      <c r="I1655" t="s">
        <v>194</v>
      </c>
      <c r="J1655" t="s">
        <v>272</v>
      </c>
      <c r="K1655">
        <v>0</v>
      </c>
      <c r="L1655" t="s">
        <v>161</v>
      </c>
    </row>
    <row r="1656" spans="9:12" x14ac:dyDescent="0.45">
      <c r="I1656" t="s">
        <v>194</v>
      </c>
      <c r="J1656" t="s">
        <v>273</v>
      </c>
      <c r="K1656">
        <v>0</v>
      </c>
      <c r="L1656" t="s">
        <v>161</v>
      </c>
    </row>
    <row r="1657" spans="9:12" x14ac:dyDescent="0.45">
      <c r="I1657" t="s">
        <v>194</v>
      </c>
      <c r="J1657" t="s">
        <v>274</v>
      </c>
      <c r="K1657">
        <v>5.5781874929892138E-3</v>
      </c>
      <c r="L1657" t="s">
        <v>161</v>
      </c>
    </row>
    <row r="1658" spans="9:12" x14ac:dyDescent="0.45">
      <c r="I1658" t="s">
        <v>194</v>
      </c>
      <c r="J1658" t="s">
        <v>275</v>
      </c>
      <c r="K1658">
        <v>0</v>
      </c>
      <c r="L1658" t="s">
        <v>161</v>
      </c>
    </row>
    <row r="1659" spans="9:12" x14ac:dyDescent="0.45">
      <c r="I1659" t="s">
        <v>194</v>
      </c>
      <c r="J1659" t="s">
        <v>276</v>
      </c>
      <c r="K1659">
        <v>0</v>
      </c>
      <c r="L1659" t="s">
        <v>161</v>
      </c>
    </row>
    <row r="1660" spans="9:12" x14ac:dyDescent="0.45">
      <c r="I1660" t="s">
        <v>194</v>
      </c>
      <c r="J1660" t="s">
        <v>277</v>
      </c>
      <c r="K1660">
        <v>0</v>
      </c>
      <c r="L1660" t="s">
        <v>161</v>
      </c>
    </row>
    <row r="1661" spans="9:12" x14ac:dyDescent="0.45">
      <c r="I1661" t="s">
        <v>194</v>
      </c>
      <c r="J1661" t="s">
        <v>278</v>
      </c>
      <c r="K1661">
        <v>0</v>
      </c>
      <c r="L1661" t="s">
        <v>161</v>
      </c>
    </row>
    <row r="1662" spans="9:12" x14ac:dyDescent="0.45">
      <c r="I1662" t="s">
        <v>194</v>
      </c>
      <c r="J1662" t="s">
        <v>279</v>
      </c>
      <c r="K1662">
        <v>0</v>
      </c>
      <c r="L1662" t="s">
        <v>161</v>
      </c>
    </row>
    <row r="1663" spans="9:12" x14ac:dyDescent="0.45">
      <c r="I1663" t="s">
        <v>194</v>
      </c>
      <c r="J1663" t="s">
        <v>280</v>
      </c>
      <c r="K1663">
        <v>3.434757519620918E-3</v>
      </c>
      <c r="L1663" t="s">
        <v>161</v>
      </c>
    </row>
    <row r="1664" spans="9:12" x14ac:dyDescent="0.45">
      <c r="I1664" t="s">
        <v>194</v>
      </c>
      <c r="J1664" t="s">
        <v>281</v>
      </c>
      <c r="K1664">
        <v>0</v>
      </c>
      <c r="L1664" t="s">
        <v>161</v>
      </c>
    </row>
    <row r="1665" spans="9:12" x14ac:dyDescent="0.45">
      <c r="I1665" t="s">
        <v>194</v>
      </c>
      <c r="J1665" t="s">
        <v>282</v>
      </c>
      <c r="K1665">
        <v>0</v>
      </c>
      <c r="L1665" t="s">
        <v>161</v>
      </c>
    </row>
    <row r="1666" spans="9:12" x14ac:dyDescent="0.45">
      <c r="I1666" t="s">
        <v>194</v>
      </c>
      <c r="J1666" t="s">
        <v>283</v>
      </c>
      <c r="K1666">
        <v>0</v>
      </c>
      <c r="L1666" t="s">
        <v>161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6F9EB-E254-4419-8483-07C6D049BBE2}">
  <dimension ref="A9:AN22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144</v>
      </c>
      <c r="D10" t="s">
        <v>145</v>
      </c>
      <c r="E10" t="s">
        <v>146</v>
      </c>
      <c r="F10" t="s">
        <v>147</v>
      </c>
      <c r="G10" t="s">
        <v>148</v>
      </c>
      <c r="I10" t="s">
        <v>13</v>
      </c>
      <c r="J10" t="s">
        <v>120</v>
      </c>
      <c r="K10" t="s">
        <v>158</v>
      </c>
      <c r="L10" t="s">
        <v>30</v>
      </c>
      <c r="N10" t="s">
        <v>13</v>
      </c>
      <c r="O10" t="s">
        <v>120</v>
      </c>
      <c r="P10" t="s">
        <v>158</v>
      </c>
      <c r="Q10" t="s">
        <v>30</v>
      </c>
      <c r="S10" t="s">
        <v>13</v>
      </c>
      <c r="T10" t="s">
        <v>120</v>
      </c>
      <c r="U10" t="s">
        <v>158</v>
      </c>
      <c r="V10" t="s">
        <v>30</v>
      </c>
      <c r="X10" t="s">
        <v>227</v>
      </c>
      <c r="Y10" t="s">
        <v>158</v>
      </c>
      <c r="Z10" t="s">
        <v>120</v>
      </c>
      <c r="AA10" t="s">
        <v>13</v>
      </c>
      <c r="AC10" t="s">
        <v>13</v>
      </c>
      <c r="AD10" t="s">
        <v>120</v>
      </c>
      <c r="AE10" t="s">
        <v>158</v>
      </c>
      <c r="AG10" t="s">
        <v>13</v>
      </c>
      <c r="AH10" t="s">
        <v>120</v>
      </c>
      <c r="AI10" t="s">
        <v>233</v>
      </c>
      <c r="AK10" t="s">
        <v>47</v>
      </c>
      <c r="AL10" t="s">
        <v>120</v>
      </c>
      <c r="AM10" t="s">
        <v>234</v>
      </c>
      <c r="AN10" t="s">
        <v>235</v>
      </c>
    </row>
    <row r="11" spans="1:40" x14ac:dyDescent="0.45">
      <c r="A11" t="str">
        <f>IFERROR(IF(Veda!D5=A10,"ok","x"),"")</f>
        <v>x</v>
      </c>
      <c r="C11" t="s">
        <v>149</v>
      </c>
      <c r="D11" t="s">
        <v>150</v>
      </c>
      <c r="E11" t="s">
        <v>286</v>
      </c>
      <c r="F11" t="s">
        <v>262</v>
      </c>
      <c r="G11" t="s">
        <v>287</v>
      </c>
      <c r="I11" t="s">
        <v>159</v>
      </c>
      <c r="J11" t="s">
        <v>160</v>
      </c>
      <c r="K11">
        <v>7.7486934622781249E-8</v>
      </c>
      <c r="L11" t="s">
        <v>161</v>
      </c>
      <c r="N11" t="s">
        <v>195</v>
      </c>
      <c r="O11" t="s">
        <v>160</v>
      </c>
      <c r="P11">
        <v>7.2895412500356693E-2</v>
      </c>
      <c r="Q11" t="s">
        <v>161</v>
      </c>
      <c r="S11" t="s">
        <v>217</v>
      </c>
      <c r="T11" t="s">
        <v>160</v>
      </c>
      <c r="U11">
        <v>6.690635828476002E-2</v>
      </c>
      <c r="V11" t="s">
        <v>161</v>
      </c>
      <c r="X11">
        <v>6.6666666666666666E-2</v>
      </c>
      <c r="Y11">
        <v>3.6950998185117968E-2</v>
      </c>
      <c r="Z11" t="s">
        <v>160</v>
      </c>
      <c r="AA11" t="s">
        <v>25</v>
      </c>
      <c r="AC11" t="s">
        <v>22</v>
      </c>
      <c r="AD11" t="s">
        <v>160</v>
      </c>
      <c r="AE11">
        <v>6.7237448199268135E-2</v>
      </c>
      <c r="AG11" t="s">
        <v>100</v>
      </c>
      <c r="AH11" t="s">
        <v>160</v>
      </c>
      <c r="AI11">
        <v>0.3072204267583647</v>
      </c>
      <c r="AK11">
        <v>2020</v>
      </c>
      <c r="AL11" t="s">
        <v>149</v>
      </c>
      <c r="AM11">
        <v>0.42036173390073239</v>
      </c>
      <c r="AN11" t="s">
        <v>236</v>
      </c>
    </row>
    <row r="12" spans="1:40" x14ac:dyDescent="0.45">
      <c r="C12" t="s">
        <v>153</v>
      </c>
      <c r="D12" t="s">
        <v>287</v>
      </c>
      <c r="E12" t="s">
        <v>288</v>
      </c>
      <c r="F12" t="s">
        <v>149</v>
      </c>
      <c r="G12" t="s">
        <v>287</v>
      </c>
      <c r="I12" t="s">
        <v>159</v>
      </c>
      <c r="J12" t="s">
        <v>162</v>
      </c>
      <c r="K12">
        <v>2.9307736855569647E-3</v>
      </c>
      <c r="L12" t="s">
        <v>161</v>
      </c>
      <c r="N12" t="s">
        <v>195</v>
      </c>
      <c r="O12" t="s">
        <v>162</v>
      </c>
      <c r="P12">
        <v>9.207247211642228E-3</v>
      </c>
      <c r="Q12" t="s">
        <v>161</v>
      </c>
      <c r="S12" t="s">
        <v>217</v>
      </c>
      <c r="T12" t="s">
        <v>162</v>
      </c>
      <c r="U12">
        <v>8.5228686755348688E-3</v>
      </c>
      <c r="V12" t="s">
        <v>161</v>
      </c>
      <c r="X12">
        <v>8.3333333333333332E-3</v>
      </c>
      <c r="Y12">
        <v>1.064730792498488E-2</v>
      </c>
      <c r="Z12" t="s">
        <v>162</v>
      </c>
      <c r="AA12" t="s">
        <v>25</v>
      </c>
      <c r="AC12" t="s">
        <v>22</v>
      </c>
      <c r="AD12" t="s">
        <v>162</v>
      </c>
      <c r="AE12">
        <v>1.1686373718191782E-2</v>
      </c>
      <c r="AG12" t="s">
        <v>100</v>
      </c>
      <c r="AH12" t="s">
        <v>162</v>
      </c>
      <c r="AI12">
        <v>8.9637842118051259E-2</v>
      </c>
      <c r="AK12">
        <v>2020</v>
      </c>
      <c r="AL12" t="s">
        <v>153</v>
      </c>
      <c r="AM12">
        <v>0.39878662326131986</v>
      </c>
      <c r="AN12" t="s">
        <v>236</v>
      </c>
    </row>
    <row r="13" spans="1:40" x14ac:dyDescent="0.45">
      <c r="C13" t="s">
        <v>155</v>
      </c>
      <c r="D13" t="s">
        <v>337</v>
      </c>
      <c r="E13" t="s">
        <v>289</v>
      </c>
      <c r="F13" t="s">
        <v>157</v>
      </c>
      <c r="G13" t="s">
        <v>287</v>
      </c>
      <c r="I13" t="s">
        <v>159</v>
      </c>
      <c r="J13" t="s">
        <v>163</v>
      </c>
      <c r="K13">
        <v>9.9141314919159701E-2</v>
      </c>
      <c r="L13" t="s">
        <v>161</v>
      </c>
      <c r="N13" t="s">
        <v>195</v>
      </c>
      <c r="O13" t="s">
        <v>163</v>
      </c>
      <c r="P13">
        <v>5.9753631321761563E-2</v>
      </c>
      <c r="Q13" t="s">
        <v>161</v>
      </c>
      <c r="S13" t="s">
        <v>217</v>
      </c>
      <c r="T13" t="s">
        <v>163</v>
      </c>
      <c r="U13">
        <v>6.0078125009208824E-2</v>
      </c>
      <c r="V13" t="s">
        <v>161</v>
      </c>
      <c r="X13">
        <v>5.8333333333333334E-2</v>
      </c>
      <c r="Y13">
        <v>7.5934664246823963E-2</v>
      </c>
      <c r="Z13" t="s">
        <v>163</v>
      </c>
      <c r="AA13" t="s">
        <v>25</v>
      </c>
      <c r="AC13" t="s">
        <v>22</v>
      </c>
      <c r="AD13" t="s">
        <v>163</v>
      </c>
      <c r="AE13">
        <v>8.1872718577141318E-2</v>
      </c>
      <c r="AG13" t="s">
        <v>100</v>
      </c>
      <c r="AH13" t="s">
        <v>163</v>
      </c>
      <c r="AI13">
        <v>8.5720181962887887E-2</v>
      </c>
      <c r="AK13">
        <v>2020</v>
      </c>
      <c r="AL13" t="s">
        <v>155</v>
      </c>
      <c r="AM13">
        <v>0.39905379632369864</v>
      </c>
      <c r="AN13" t="s">
        <v>236</v>
      </c>
    </row>
    <row r="14" spans="1:40" x14ac:dyDescent="0.45">
      <c r="C14" t="s">
        <v>157</v>
      </c>
      <c r="E14" t="s">
        <v>290</v>
      </c>
      <c r="G14" t="s">
        <v>287</v>
      </c>
      <c r="I14" t="s">
        <v>159</v>
      </c>
      <c r="J14" t="s">
        <v>242</v>
      </c>
      <c r="K14">
        <v>1.1533900146472575E-2</v>
      </c>
      <c r="L14" t="s">
        <v>161</v>
      </c>
      <c r="N14" t="s">
        <v>195</v>
      </c>
      <c r="O14" t="s">
        <v>242</v>
      </c>
      <c r="P14">
        <v>8.5166904687550438E-3</v>
      </c>
      <c r="Q14" t="s">
        <v>161</v>
      </c>
      <c r="S14" t="s">
        <v>217</v>
      </c>
      <c r="T14" t="s">
        <v>242</v>
      </c>
      <c r="U14">
        <v>8.6250981008891767E-3</v>
      </c>
      <c r="V14" t="s">
        <v>161</v>
      </c>
      <c r="X14">
        <v>8.3333333333333332E-3</v>
      </c>
      <c r="Y14">
        <v>1.6212946158499698E-2</v>
      </c>
      <c r="Z14" t="s">
        <v>242</v>
      </c>
      <c r="AA14" t="s">
        <v>25</v>
      </c>
      <c r="AC14" t="s">
        <v>22</v>
      </c>
      <c r="AD14" t="s">
        <v>242</v>
      </c>
      <c r="AE14">
        <v>1.1937693910593438E-2</v>
      </c>
      <c r="AG14" t="s">
        <v>100</v>
      </c>
      <c r="AH14" t="s">
        <v>242</v>
      </c>
      <c r="AI14">
        <v>8.1365297571871942E-2</v>
      </c>
      <c r="AK14">
        <v>2020</v>
      </c>
      <c r="AL14" t="s">
        <v>157</v>
      </c>
      <c r="AM14">
        <v>0.38461960036390336</v>
      </c>
      <c r="AN14" t="s">
        <v>236</v>
      </c>
    </row>
    <row r="15" spans="1:40" x14ac:dyDescent="0.45">
      <c r="C15" t="s">
        <v>239</v>
      </c>
      <c r="E15" t="s">
        <v>291</v>
      </c>
      <c r="G15" t="s">
        <v>287</v>
      </c>
      <c r="I15" t="s">
        <v>159</v>
      </c>
      <c r="J15" t="s">
        <v>243</v>
      </c>
      <c r="K15">
        <v>7.4881631845524514E-3</v>
      </c>
      <c r="L15" t="s">
        <v>161</v>
      </c>
      <c r="N15" t="s">
        <v>195</v>
      </c>
      <c r="O15" t="s">
        <v>243</v>
      </c>
      <c r="P15">
        <v>8.681118349554106E-3</v>
      </c>
      <c r="Q15" t="s">
        <v>161</v>
      </c>
      <c r="S15" t="s">
        <v>217</v>
      </c>
      <c r="T15" t="s">
        <v>243</v>
      </c>
      <c r="U15">
        <v>8.7370816287132055E-3</v>
      </c>
      <c r="V15" t="s">
        <v>161</v>
      </c>
      <c r="X15">
        <v>8.3333333333333332E-3</v>
      </c>
      <c r="Y15">
        <v>1.6212946158499698E-2</v>
      </c>
      <c r="Z15" t="s">
        <v>243</v>
      </c>
      <c r="AA15" t="s">
        <v>25</v>
      </c>
      <c r="AC15" t="s">
        <v>22</v>
      </c>
      <c r="AD15" t="s">
        <v>243</v>
      </c>
      <c r="AE15">
        <v>1.2017533831664446E-2</v>
      </c>
      <c r="AG15" t="s">
        <v>100</v>
      </c>
      <c r="AH15" t="s">
        <v>243</v>
      </c>
      <c r="AI15">
        <v>7.8944296148270476E-2</v>
      </c>
      <c r="AK15">
        <v>2020</v>
      </c>
      <c r="AL15" t="s">
        <v>239</v>
      </c>
      <c r="AM15">
        <v>0.37689213332894894</v>
      </c>
      <c r="AN15" t="s">
        <v>236</v>
      </c>
    </row>
    <row r="16" spans="1:40" x14ac:dyDescent="0.45">
      <c r="C16" t="s">
        <v>241</v>
      </c>
      <c r="E16" t="s">
        <v>292</v>
      </c>
      <c r="G16" t="s">
        <v>287</v>
      </c>
      <c r="I16" t="s">
        <v>159</v>
      </c>
      <c r="J16" t="s">
        <v>266</v>
      </c>
      <c r="K16">
        <v>2.5672884626531424E-3</v>
      </c>
      <c r="L16" t="s">
        <v>161</v>
      </c>
      <c r="N16" t="s">
        <v>195</v>
      </c>
      <c r="O16" t="s">
        <v>266</v>
      </c>
      <c r="P16">
        <v>5.5373384317712132E-2</v>
      </c>
      <c r="Q16" t="s">
        <v>161</v>
      </c>
      <c r="S16" t="s">
        <v>217</v>
      </c>
      <c r="T16" t="s">
        <v>266</v>
      </c>
      <c r="U16">
        <v>5.2573336267404576E-2</v>
      </c>
      <c r="V16" t="s">
        <v>161</v>
      </c>
      <c r="X16">
        <v>0.05</v>
      </c>
      <c r="Y16">
        <v>4.4041137326073808E-2</v>
      </c>
      <c r="Z16" t="s">
        <v>266</v>
      </c>
      <c r="AA16" t="s">
        <v>25</v>
      </c>
      <c r="AC16" t="s">
        <v>22</v>
      </c>
      <c r="AD16" t="s">
        <v>266</v>
      </c>
      <c r="AE16">
        <v>6.2530030348570298E-2</v>
      </c>
      <c r="AG16" t="s">
        <v>100</v>
      </c>
      <c r="AH16" t="s">
        <v>266</v>
      </c>
      <c r="AI16">
        <v>0.18166266389979357</v>
      </c>
      <c r="AK16">
        <v>2020</v>
      </c>
      <c r="AL16" t="s">
        <v>241</v>
      </c>
      <c r="AM16">
        <v>0.3336786031370228</v>
      </c>
      <c r="AN16" t="s">
        <v>236</v>
      </c>
    </row>
    <row r="17" spans="3:40" x14ac:dyDescent="0.45">
      <c r="C17" t="s">
        <v>264</v>
      </c>
      <c r="E17" t="s">
        <v>293</v>
      </c>
      <c r="G17" t="s">
        <v>287</v>
      </c>
      <c r="I17" t="s">
        <v>159</v>
      </c>
      <c r="J17" t="s">
        <v>311</v>
      </c>
      <c r="K17">
        <v>0</v>
      </c>
      <c r="L17" t="s">
        <v>161</v>
      </c>
      <c r="N17" t="s">
        <v>195</v>
      </c>
      <c r="O17" t="s">
        <v>311</v>
      </c>
      <c r="P17">
        <v>1.8081954817190708E-5</v>
      </c>
      <c r="Q17" t="s">
        <v>161</v>
      </c>
      <c r="S17" t="s">
        <v>217</v>
      </c>
      <c r="T17" t="s">
        <v>311</v>
      </c>
      <c r="U17">
        <v>4.4454941474416964E-6</v>
      </c>
      <c r="V17" t="s">
        <v>161</v>
      </c>
      <c r="X17">
        <v>1.1415525114155251E-4</v>
      </c>
      <c r="Y17">
        <v>2.1546544680075254E-5</v>
      </c>
      <c r="Z17" t="s">
        <v>311</v>
      </c>
      <c r="AA17" t="s">
        <v>25</v>
      </c>
      <c r="AC17" t="s">
        <v>22</v>
      </c>
      <c r="AD17" t="s">
        <v>311</v>
      </c>
      <c r="AE17">
        <v>8.9748064984442979E-5</v>
      </c>
      <c r="AG17" t="s">
        <v>100</v>
      </c>
      <c r="AH17" t="s">
        <v>311</v>
      </c>
      <c r="AI17">
        <v>0</v>
      </c>
      <c r="AK17">
        <v>2020</v>
      </c>
      <c r="AL17" t="s">
        <v>264</v>
      </c>
      <c r="AM17">
        <v>0.31567524908750122</v>
      </c>
      <c r="AN17" t="s">
        <v>236</v>
      </c>
    </row>
    <row r="18" spans="3:40" x14ac:dyDescent="0.45">
      <c r="C18" t="s">
        <v>265</v>
      </c>
      <c r="E18" t="s">
        <v>294</v>
      </c>
      <c r="G18" t="s">
        <v>287</v>
      </c>
      <c r="I18" t="s">
        <v>159</v>
      </c>
      <c r="J18" t="s">
        <v>312</v>
      </c>
      <c r="K18">
        <v>0</v>
      </c>
      <c r="L18" t="s">
        <v>161</v>
      </c>
      <c r="N18" t="s">
        <v>195</v>
      </c>
      <c r="O18" t="s">
        <v>312</v>
      </c>
      <c r="P18">
        <v>2.0975670533751335E-5</v>
      </c>
      <c r="Q18" t="s">
        <v>161</v>
      </c>
      <c r="S18" t="s">
        <v>217</v>
      </c>
      <c r="T18" t="s">
        <v>312</v>
      </c>
      <c r="U18">
        <v>5.9061150353425271E-6</v>
      </c>
      <c r="V18" t="s">
        <v>161</v>
      </c>
      <c r="X18">
        <v>1.1415525114155251E-4</v>
      </c>
      <c r="Y18">
        <v>1.4916838624667481E-5</v>
      </c>
      <c r="Z18" t="s">
        <v>312</v>
      </c>
      <c r="AA18" t="s">
        <v>25</v>
      </c>
      <c r="AC18" t="s">
        <v>22</v>
      </c>
      <c r="AD18" t="s">
        <v>312</v>
      </c>
      <c r="AE18">
        <v>8.7446451032907545E-5</v>
      </c>
      <c r="AG18" t="s">
        <v>100</v>
      </c>
      <c r="AH18" t="s">
        <v>312</v>
      </c>
      <c r="AI18">
        <v>0</v>
      </c>
      <c r="AK18">
        <v>2020</v>
      </c>
      <c r="AL18" t="s">
        <v>265</v>
      </c>
      <c r="AM18">
        <v>0.31567524908750122</v>
      </c>
      <c r="AN18" t="s">
        <v>236</v>
      </c>
    </row>
    <row r="19" spans="3:40" x14ac:dyDescent="0.45">
      <c r="E19" t="s">
        <v>295</v>
      </c>
      <c r="G19" t="s">
        <v>287</v>
      </c>
      <c r="I19" t="s">
        <v>159</v>
      </c>
      <c r="J19" t="s">
        <v>313</v>
      </c>
      <c r="K19">
        <v>0</v>
      </c>
      <c r="L19" t="s">
        <v>161</v>
      </c>
      <c r="N19" t="s">
        <v>195</v>
      </c>
      <c r="O19" t="s">
        <v>313</v>
      </c>
      <c r="P19">
        <v>1.9892564448102535E-5</v>
      </c>
      <c r="Q19" t="s">
        <v>161</v>
      </c>
      <c r="S19" t="s">
        <v>217</v>
      </c>
      <c r="T19" t="s">
        <v>313</v>
      </c>
      <c r="U19">
        <v>6.0606302069549209E-6</v>
      </c>
      <c r="V19" t="s">
        <v>161</v>
      </c>
      <c r="X19">
        <v>1.1415525114155251E-4</v>
      </c>
      <c r="Y19">
        <v>1.6574265138519424E-5</v>
      </c>
      <c r="Z19" t="s">
        <v>313</v>
      </c>
      <c r="AA19" t="s">
        <v>25</v>
      </c>
      <c r="AC19" t="s">
        <v>22</v>
      </c>
      <c r="AD19" t="s">
        <v>313</v>
      </c>
      <c r="AE19">
        <v>8.649771601677027E-5</v>
      </c>
      <c r="AG19" t="s">
        <v>100</v>
      </c>
      <c r="AH19" t="s">
        <v>313</v>
      </c>
      <c r="AI19">
        <v>0</v>
      </c>
      <c r="AK19">
        <v>2021</v>
      </c>
      <c r="AL19" t="s">
        <v>149</v>
      </c>
      <c r="AM19">
        <v>0.38411201486294028</v>
      </c>
      <c r="AN19" t="s">
        <v>236</v>
      </c>
    </row>
    <row r="20" spans="3:40" x14ac:dyDescent="0.45">
      <c r="E20" t="s">
        <v>296</v>
      </c>
      <c r="G20" t="s">
        <v>287</v>
      </c>
      <c r="I20" t="s">
        <v>159</v>
      </c>
      <c r="J20" t="s">
        <v>314</v>
      </c>
      <c r="K20">
        <v>0</v>
      </c>
      <c r="L20" t="s">
        <v>161</v>
      </c>
      <c r="N20" t="s">
        <v>195</v>
      </c>
      <c r="O20" t="s">
        <v>314</v>
      </c>
      <c r="P20">
        <v>1.8069107690656264E-5</v>
      </c>
      <c r="Q20" t="s">
        <v>161</v>
      </c>
      <c r="S20" t="s">
        <v>217</v>
      </c>
      <c r="T20" t="s">
        <v>314</v>
      </c>
      <c r="U20">
        <v>5.6992450595232144E-6</v>
      </c>
      <c r="V20" t="s">
        <v>161</v>
      </c>
      <c r="X20">
        <v>1.1415525114155251E-4</v>
      </c>
      <c r="Y20">
        <v>1.4585353321897093E-5</v>
      </c>
      <c r="Z20" t="s">
        <v>314</v>
      </c>
      <c r="AA20" t="s">
        <v>25</v>
      </c>
      <c r="AC20" t="s">
        <v>22</v>
      </c>
      <c r="AD20" t="s">
        <v>314</v>
      </c>
      <c r="AE20">
        <v>8.649771601677027E-5</v>
      </c>
      <c r="AG20" t="s">
        <v>100</v>
      </c>
      <c r="AH20" t="s">
        <v>314</v>
      </c>
      <c r="AI20">
        <v>0</v>
      </c>
      <c r="AK20">
        <v>2021</v>
      </c>
      <c r="AL20" t="s">
        <v>153</v>
      </c>
      <c r="AM20">
        <v>0.35801489838154743</v>
      </c>
      <c r="AN20" t="s">
        <v>236</v>
      </c>
    </row>
    <row r="21" spans="3:40" x14ac:dyDescent="0.45">
      <c r="E21" t="s">
        <v>297</v>
      </c>
      <c r="G21" t="s">
        <v>287</v>
      </c>
      <c r="I21" t="s">
        <v>159</v>
      </c>
      <c r="J21" t="s">
        <v>315</v>
      </c>
      <c r="K21">
        <v>0</v>
      </c>
      <c r="L21" t="s">
        <v>161</v>
      </c>
      <c r="N21" t="s">
        <v>195</v>
      </c>
      <c r="O21" t="s">
        <v>315</v>
      </c>
      <c r="P21">
        <v>1.1066040424355837E-5</v>
      </c>
      <c r="Q21" t="s">
        <v>161</v>
      </c>
      <c r="S21" t="s">
        <v>217</v>
      </c>
      <c r="T21" t="s">
        <v>315</v>
      </c>
      <c r="U21">
        <v>6.1130730020349783E-6</v>
      </c>
      <c r="V21" t="s">
        <v>161</v>
      </c>
      <c r="X21">
        <v>1.1415525114155251E-4</v>
      </c>
      <c r="Y21">
        <v>2.1215059377304864E-5</v>
      </c>
      <c r="Z21" t="s">
        <v>315</v>
      </c>
      <c r="AA21" t="s">
        <v>25</v>
      </c>
      <c r="AC21" t="s">
        <v>22</v>
      </c>
      <c r="AD21" t="s">
        <v>315</v>
      </c>
      <c r="AE21">
        <v>8.8366523359735541E-5</v>
      </c>
      <c r="AG21" t="s">
        <v>100</v>
      </c>
      <c r="AH21" t="s">
        <v>315</v>
      </c>
      <c r="AI21">
        <v>0</v>
      </c>
      <c r="AK21">
        <v>2021</v>
      </c>
      <c r="AL21" t="s">
        <v>155</v>
      </c>
      <c r="AM21">
        <v>0.46341180771817125</v>
      </c>
      <c r="AN21" t="s">
        <v>236</v>
      </c>
    </row>
    <row r="22" spans="3:40" x14ac:dyDescent="0.45">
      <c r="E22" t="s">
        <v>298</v>
      </c>
      <c r="G22" t="s">
        <v>287</v>
      </c>
      <c r="I22" t="s">
        <v>159</v>
      </c>
      <c r="J22" t="s">
        <v>316</v>
      </c>
      <c r="K22">
        <v>0</v>
      </c>
      <c r="L22" t="s">
        <v>161</v>
      </c>
      <c r="N22" t="s">
        <v>195</v>
      </c>
      <c r="O22" t="s">
        <v>316</v>
      </c>
      <c r="P22">
        <v>6.4675952264174762E-6</v>
      </c>
      <c r="Q22" t="s">
        <v>161</v>
      </c>
      <c r="S22" t="s">
        <v>217</v>
      </c>
      <c r="T22" t="s">
        <v>316</v>
      </c>
      <c r="U22">
        <v>6.6976697646463076E-6</v>
      </c>
      <c r="V22" t="s">
        <v>161</v>
      </c>
      <c r="X22">
        <v>1.1415525114155251E-4</v>
      </c>
      <c r="Y22">
        <v>5.7678442682047593E-5</v>
      </c>
      <c r="Z22" t="s">
        <v>316</v>
      </c>
      <c r="AA22" t="s">
        <v>25</v>
      </c>
      <c r="AC22" t="s">
        <v>22</v>
      </c>
      <c r="AD22" t="s">
        <v>316</v>
      </c>
      <c r="AE22">
        <v>9.4164985407003515E-5</v>
      </c>
      <c r="AG22" t="s">
        <v>100</v>
      </c>
      <c r="AH22" t="s">
        <v>316</v>
      </c>
      <c r="AI22">
        <v>0</v>
      </c>
      <c r="AK22">
        <v>2021</v>
      </c>
      <c r="AL22" t="s">
        <v>157</v>
      </c>
      <c r="AM22">
        <v>0.47928459042508048</v>
      </c>
      <c r="AN22" t="s">
        <v>236</v>
      </c>
    </row>
    <row r="23" spans="3:40" x14ac:dyDescent="0.45">
      <c r="E23" t="s">
        <v>299</v>
      </c>
      <c r="G23" t="s">
        <v>287</v>
      </c>
      <c r="I23" t="s">
        <v>159</v>
      </c>
      <c r="J23" t="s">
        <v>317</v>
      </c>
      <c r="K23">
        <v>0</v>
      </c>
      <c r="L23" t="s">
        <v>161</v>
      </c>
      <c r="N23" t="s">
        <v>195</v>
      </c>
      <c r="O23" t="s">
        <v>317</v>
      </c>
      <c r="P23">
        <v>4.8033376189343867E-6</v>
      </c>
      <c r="Q23" t="s">
        <v>161</v>
      </c>
      <c r="S23" t="s">
        <v>217</v>
      </c>
      <c r="T23" t="s">
        <v>317</v>
      </c>
      <c r="U23">
        <v>6.8526227730394317E-6</v>
      </c>
      <c r="V23" t="s">
        <v>161</v>
      </c>
      <c r="X23">
        <v>1.1415525114155251E-4</v>
      </c>
      <c r="Y23">
        <v>1.6905750441289813E-4</v>
      </c>
      <c r="Z23" t="s">
        <v>317</v>
      </c>
      <c r="AA23" t="s">
        <v>25</v>
      </c>
      <c r="AC23" t="s">
        <v>22</v>
      </c>
      <c r="AD23" t="s">
        <v>317</v>
      </c>
      <c r="AE23">
        <v>1.0808072106666052E-4</v>
      </c>
      <c r="AG23" t="s">
        <v>100</v>
      </c>
      <c r="AH23" t="s">
        <v>317</v>
      </c>
      <c r="AI23">
        <v>0</v>
      </c>
      <c r="AK23">
        <v>2021</v>
      </c>
      <c r="AL23" t="s">
        <v>239</v>
      </c>
      <c r="AM23">
        <v>0.32311381832505282</v>
      </c>
      <c r="AN23" t="s">
        <v>236</v>
      </c>
    </row>
    <row r="24" spans="3:40" x14ac:dyDescent="0.45">
      <c r="E24" t="s">
        <v>300</v>
      </c>
      <c r="G24" t="s">
        <v>287</v>
      </c>
      <c r="I24" t="s">
        <v>159</v>
      </c>
      <c r="J24" t="s">
        <v>318</v>
      </c>
      <c r="K24">
        <v>0</v>
      </c>
      <c r="L24" t="s">
        <v>161</v>
      </c>
      <c r="N24" t="s">
        <v>195</v>
      </c>
      <c r="O24" t="s">
        <v>318</v>
      </c>
      <c r="P24">
        <v>3.9328382212709137E-6</v>
      </c>
      <c r="Q24" t="s">
        <v>161</v>
      </c>
      <c r="S24" t="s">
        <v>217</v>
      </c>
      <c r="T24" t="s">
        <v>318</v>
      </c>
      <c r="U24">
        <v>7.5103271925628926E-6</v>
      </c>
      <c r="V24" t="s">
        <v>161</v>
      </c>
      <c r="X24">
        <v>1.1415525114155251E-4</v>
      </c>
      <c r="Y24">
        <v>1.9060404909297337E-4</v>
      </c>
      <c r="Z24" t="s">
        <v>318</v>
      </c>
      <c r="AA24" t="s">
        <v>25</v>
      </c>
      <c r="AC24" t="s">
        <v>22</v>
      </c>
      <c r="AD24" t="s">
        <v>318</v>
      </c>
      <c r="AE24">
        <v>1.230770401132775E-4</v>
      </c>
      <c r="AG24" t="s">
        <v>100</v>
      </c>
      <c r="AH24" t="s">
        <v>318</v>
      </c>
      <c r="AI24">
        <v>0</v>
      </c>
      <c r="AK24">
        <v>2021</v>
      </c>
      <c r="AL24" t="s">
        <v>241</v>
      </c>
      <c r="AM24">
        <v>0.32027113487540071</v>
      </c>
      <c r="AN24" t="s">
        <v>236</v>
      </c>
    </row>
    <row r="25" spans="3:40" x14ac:dyDescent="0.45">
      <c r="E25" t="s">
        <v>301</v>
      </c>
      <c r="G25" t="s">
        <v>287</v>
      </c>
      <c r="I25" t="s">
        <v>159</v>
      </c>
      <c r="J25" t="s">
        <v>319</v>
      </c>
      <c r="K25">
        <v>4.2288126976064726E-5</v>
      </c>
      <c r="L25" t="s">
        <v>161</v>
      </c>
      <c r="N25" t="s">
        <v>195</v>
      </c>
      <c r="O25" t="s">
        <v>319</v>
      </c>
      <c r="P25">
        <v>2.5524408542220947E-6</v>
      </c>
      <c r="Q25" t="s">
        <v>161</v>
      </c>
      <c r="S25" t="s">
        <v>217</v>
      </c>
      <c r="T25" t="s">
        <v>319</v>
      </c>
      <c r="U25">
        <v>7.5689787926529633E-6</v>
      </c>
      <c r="V25" t="s">
        <v>161</v>
      </c>
      <c r="X25">
        <v>1.1415525114155251E-4</v>
      </c>
      <c r="Y25">
        <v>1.4585353321897094E-4</v>
      </c>
      <c r="Z25" t="s">
        <v>319</v>
      </c>
      <c r="AA25" t="s">
        <v>25</v>
      </c>
      <c r="AC25" t="s">
        <v>22</v>
      </c>
      <c r="AD25" t="s">
        <v>319</v>
      </c>
      <c r="AE25">
        <v>1.324210768281038E-4</v>
      </c>
      <c r="AG25" t="s">
        <v>100</v>
      </c>
      <c r="AH25" t="s">
        <v>319</v>
      </c>
      <c r="AI25">
        <v>0</v>
      </c>
      <c r="AK25">
        <v>2021</v>
      </c>
      <c r="AL25" t="s">
        <v>264</v>
      </c>
      <c r="AM25">
        <v>0.36478837377832618</v>
      </c>
      <c r="AN25" t="s">
        <v>236</v>
      </c>
    </row>
    <row r="26" spans="3:40" x14ac:dyDescent="0.45">
      <c r="E26" t="s">
        <v>302</v>
      </c>
      <c r="G26" t="s">
        <v>287</v>
      </c>
      <c r="I26" t="s">
        <v>159</v>
      </c>
      <c r="J26" t="s">
        <v>320</v>
      </c>
      <c r="K26">
        <v>9.4177423000530859E-5</v>
      </c>
      <c r="L26" t="s">
        <v>161</v>
      </c>
      <c r="N26" t="s">
        <v>195</v>
      </c>
      <c r="O26" t="s">
        <v>320</v>
      </c>
      <c r="P26">
        <v>1.9223564063876363E-7</v>
      </c>
      <c r="Q26" t="s">
        <v>161</v>
      </c>
      <c r="S26" t="s">
        <v>217</v>
      </c>
      <c r="T26" t="s">
        <v>320</v>
      </c>
      <c r="U26">
        <v>7.0096222126792614E-6</v>
      </c>
      <c r="V26" t="s">
        <v>161</v>
      </c>
      <c r="X26">
        <v>1.1415525114155251E-4</v>
      </c>
      <c r="Y26">
        <v>1.4452759200788939E-4</v>
      </c>
      <c r="Z26" t="s">
        <v>320</v>
      </c>
      <c r="AA26" t="s">
        <v>25</v>
      </c>
      <c r="AC26" t="s">
        <v>22</v>
      </c>
      <c r="AD26" t="s">
        <v>320</v>
      </c>
      <c r="AE26">
        <v>1.3801890005020681E-4</v>
      </c>
      <c r="AG26" t="s">
        <v>100</v>
      </c>
      <c r="AH26" t="s">
        <v>320</v>
      </c>
      <c r="AI26">
        <v>0</v>
      </c>
      <c r="AK26">
        <v>2021</v>
      </c>
      <c r="AL26" t="s">
        <v>265</v>
      </c>
      <c r="AM26">
        <v>0.36478837377832618</v>
      </c>
      <c r="AN26" t="s">
        <v>236</v>
      </c>
    </row>
    <row r="27" spans="3:40" x14ac:dyDescent="0.45">
      <c r="E27" t="s">
        <v>303</v>
      </c>
      <c r="G27" t="s">
        <v>287</v>
      </c>
      <c r="I27" t="s">
        <v>159</v>
      </c>
      <c r="J27" t="s">
        <v>321</v>
      </c>
      <c r="K27">
        <v>2.3782598900570784E-4</v>
      </c>
      <c r="L27" t="s">
        <v>161</v>
      </c>
      <c r="N27" t="s">
        <v>195</v>
      </c>
      <c r="O27" t="s">
        <v>321</v>
      </c>
      <c r="P27">
        <v>1.6458261260853697E-8</v>
      </c>
      <c r="Q27" t="s">
        <v>161</v>
      </c>
      <c r="S27" t="s">
        <v>217</v>
      </c>
      <c r="T27" t="s">
        <v>321</v>
      </c>
      <c r="U27">
        <v>4.847656801168461E-6</v>
      </c>
      <c r="V27" t="s">
        <v>161</v>
      </c>
      <c r="X27">
        <v>1.1415525114155251E-4</v>
      </c>
      <c r="Y27">
        <v>1.408812536774151E-4</v>
      </c>
      <c r="Z27" t="s">
        <v>321</v>
      </c>
      <c r="AA27" t="s">
        <v>25</v>
      </c>
      <c r="AC27" t="s">
        <v>22</v>
      </c>
      <c r="AD27" t="s">
        <v>321</v>
      </c>
      <c r="AE27">
        <v>1.3772654061925213E-4</v>
      </c>
      <c r="AG27" t="s">
        <v>100</v>
      </c>
      <c r="AH27" t="s">
        <v>321</v>
      </c>
      <c r="AI27">
        <v>0</v>
      </c>
      <c r="AK27">
        <v>2022</v>
      </c>
      <c r="AL27" t="s">
        <v>149</v>
      </c>
      <c r="AM27">
        <v>0.3679950819343541</v>
      </c>
      <c r="AN27" t="s">
        <v>236</v>
      </c>
    </row>
    <row r="28" spans="3:40" x14ac:dyDescent="0.45">
      <c r="E28" t="s">
        <v>304</v>
      </c>
      <c r="G28" t="s">
        <v>287</v>
      </c>
      <c r="I28" t="s">
        <v>159</v>
      </c>
      <c r="J28" t="s">
        <v>322</v>
      </c>
      <c r="K28">
        <v>2.9960033273041886E-4</v>
      </c>
      <c r="L28" t="s">
        <v>161</v>
      </c>
      <c r="N28" t="s">
        <v>195</v>
      </c>
      <c r="O28" t="s">
        <v>322</v>
      </c>
      <c r="P28">
        <v>5.8610888304611356E-7</v>
      </c>
      <c r="Q28" t="s">
        <v>161</v>
      </c>
      <c r="S28" t="s">
        <v>217</v>
      </c>
      <c r="T28" t="s">
        <v>322</v>
      </c>
      <c r="U28">
        <v>4.1706536111548708E-6</v>
      </c>
      <c r="V28" t="s">
        <v>161</v>
      </c>
      <c r="X28">
        <v>1.1415525114155251E-4</v>
      </c>
      <c r="Y28">
        <v>1.4054976837464471E-4</v>
      </c>
      <c r="Z28" t="s">
        <v>322</v>
      </c>
      <c r="AA28" t="s">
        <v>25</v>
      </c>
      <c r="AC28" t="s">
        <v>22</v>
      </c>
      <c r="AD28" t="s">
        <v>322</v>
      </c>
      <c r="AE28">
        <v>1.3756602955912014E-4</v>
      </c>
      <c r="AG28" t="s">
        <v>100</v>
      </c>
      <c r="AH28" t="s">
        <v>322</v>
      </c>
      <c r="AI28">
        <v>0</v>
      </c>
      <c r="AK28">
        <v>2022</v>
      </c>
      <c r="AL28" t="s">
        <v>153</v>
      </c>
      <c r="AM28">
        <v>0.35300195155550451</v>
      </c>
      <c r="AN28" t="s">
        <v>236</v>
      </c>
    </row>
    <row r="29" spans="3:40" x14ac:dyDescent="0.45">
      <c r="E29" t="s">
        <v>305</v>
      </c>
      <c r="G29" t="s">
        <v>287</v>
      </c>
      <c r="I29" t="s">
        <v>159</v>
      </c>
      <c r="J29" t="s">
        <v>323</v>
      </c>
      <c r="K29">
        <v>2.4663550022889394E-4</v>
      </c>
      <c r="L29" t="s">
        <v>161</v>
      </c>
      <c r="N29" t="s">
        <v>195</v>
      </c>
      <c r="O29" t="s">
        <v>323</v>
      </c>
      <c r="P29">
        <v>3.7505431395658955E-7</v>
      </c>
      <c r="Q29" t="s">
        <v>161</v>
      </c>
      <c r="S29" t="s">
        <v>217</v>
      </c>
      <c r="T29" t="s">
        <v>323</v>
      </c>
      <c r="U29">
        <v>3.9659863507748535E-6</v>
      </c>
      <c r="V29" t="s">
        <v>161</v>
      </c>
      <c r="X29">
        <v>1.1415525114155251E-4</v>
      </c>
      <c r="Y29">
        <v>1.4253868019126702E-4</v>
      </c>
      <c r="Z29" t="s">
        <v>323</v>
      </c>
      <c r="AA29" t="s">
        <v>25</v>
      </c>
      <c r="AC29" t="s">
        <v>22</v>
      </c>
      <c r="AD29" t="s">
        <v>323</v>
      </c>
      <c r="AE29">
        <v>1.35852000738425E-4</v>
      </c>
      <c r="AG29" t="s">
        <v>100</v>
      </c>
      <c r="AH29" t="s">
        <v>323</v>
      </c>
      <c r="AI29">
        <v>0</v>
      </c>
      <c r="AK29">
        <v>2022</v>
      </c>
      <c r="AL29" t="s">
        <v>155</v>
      </c>
      <c r="AM29">
        <v>0.37891108304952864</v>
      </c>
      <c r="AN29" t="s">
        <v>236</v>
      </c>
    </row>
    <row r="30" spans="3:40" x14ac:dyDescent="0.45">
      <c r="E30" t="s">
        <v>306</v>
      </c>
      <c r="G30" t="s">
        <v>287</v>
      </c>
      <c r="I30" t="s">
        <v>159</v>
      </c>
      <c r="J30" t="s">
        <v>324</v>
      </c>
      <c r="K30">
        <v>1.9935519993387907E-4</v>
      </c>
      <c r="L30" t="s">
        <v>161</v>
      </c>
      <c r="N30" t="s">
        <v>195</v>
      </c>
      <c r="O30" t="s">
        <v>324</v>
      </c>
      <c r="P30">
        <v>2.3381597329186917E-7</v>
      </c>
      <c r="Q30" t="s">
        <v>161</v>
      </c>
      <c r="S30" t="s">
        <v>217</v>
      </c>
      <c r="T30" t="s">
        <v>324</v>
      </c>
      <c r="U30">
        <v>4.6713690062925951E-6</v>
      </c>
      <c r="V30" t="s">
        <v>161</v>
      </c>
      <c r="X30">
        <v>1.1415525114155251E-4</v>
      </c>
      <c r="Y30">
        <v>1.4883690094390442E-4</v>
      </c>
      <c r="Z30" t="s">
        <v>324</v>
      </c>
      <c r="AA30" t="s">
        <v>25</v>
      </c>
      <c r="AC30" t="s">
        <v>22</v>
      </c>
      <c r="AD30" t="s">
        <v>324</v>
      </c>
      <c r="AE30">
        <v>1.3538193263375276E-4</v>
      </c>
      <c r="AG30" t="s">
        <v>100</v>
      </c>
      <c r="AH30" t="s">
        <v>324</v>
      </c>
      <c r="AI30">
        <v>0</v>
      </c>
      <c r="AK30">
        <v>2022</v>
      </c>
      <c r="AL30" t="s">
        <v>157</v>
      </c>
      <c r="AM30">
        <v>0.30405362313294809</v>
      </c>
      <c r="AN30" t="s">
        <v>236</v>
      </c>
    </row>
    <row r="31" spans="3:40" x14ac:dyDescent="0.45">
      <c r="E31" t="s">
        <v>307</v>
      </c>
      <c r="G31" t="s">
        <v>287</v>
      </c>
      <c r="I31" t="s">
        <v>159</v>
      </c>
      <c r="J31" t="s">
        <v>325</v>
      </c>
      <c r="K31">
        <v>1.811656215435889E-4</v>
      </c>
      <c r="L31" t="s">
        <v>161</v>
      </c>
      <c r="N31" t="s">
        <v>195</v>
      </c>
      <c r="O31" t="s">
        <v>325</v>
      </c>
      <c r="P31">
        <v>1.1793692921901371E-7</v>
      </c>
      <c r="Q31" t="s">
        <v>161</v>
      </c>
      <c r="S31" t="s">
        <v>217</v>
      </c>
      <c r="T31" t="s">
        <v>325</v>
      </c>
      <c r="U31">
        <v>4.0896088816474348E-6</v>
      </c>
      <c r="V31" t="s">
        <v>161</v>
      </c>
      <c r="X31">
        <v>1.1415525114155251E-4</v>
      </c>
      <c r="Y31">
        <v>1.5049432745775637E-4</v>
      </c>
      <c r="Z31" t="s">
        <v>325</v>
      </c>
      <c r="AA31" t="s">
        <v>25</v>
      </c>
      <c r="AC31" t="s">
        <v>22</v>
      </c>
      <c r="AD31" t="s">
        <v>325</v>
      </c>
      <c r="AE31">
        <v>1.346281039049186E-4</v>
      </c>
      <c r="AG31" t="s">
        <v>100</v>
      </c>
      <c r="AH31" t="s">
        <v>325</v>
      </c>
      <c r="AI31">
        <v>0</v>
      </c>
      <c r="AK31">
        <v>2022</v>
      </c>
      <c r="AL31" t="s">
        <v>239</v>
      </c>
      <c r="AM31">
        <v>0.34502991109580478</v>
      </c>
      <c r="AN31" t="s">
        <v>236</v>
      </c>
    </row>
    <row r="32" spans="3:40" x14ac:dyDescent="0.45">
      <c r="E32" t="s">
        <v>308</v>
      </c>
      <c r="G32" t="s">
        <v>287</v>
      </c>
      <c r="I32" t="s">
        <v>159</v>
      </c>
      <c r="J32" t="s">
        <v>326</v>
      </c>
      <c r="K32">
        <v>1.7556719719230373E-4</v>
      </c>
      <c r="L32" t="s">
        <v>161</v>
      </c>
      <c r="N32" t="s">
        <v>195</v>
      </c>
      <c r="O32" t="s">
        <v>326</v>
      </c>
      <c r="P32">
        <v>5.8990830304397582E-8</v>
      </c>
      <c r="Q32" t="s">
        <v>161</v>
      </c>
      <c r="S32" t="s">
        <v>217</v>
      </c>
      <c r="T32" t="s">
        <v>326</v>
      </c>
      <c r="U32">
        <v>1.6743658745456824E-6</v>
      </c>
      <c r="V32" t="s">
        <v>161</v>
      </c>
      <c r="X32">
        <v>1.1415525114155251E-4</v>
      </c>
      <c r="Y32">
        <v>1.7237235744060203E-4</v>
      </c>
      <c r="Z32" t="s">
        <v>326</v>
      </c>
      <c r="AA32" t="s">
        <v>25</v>
      </c>
      <c r="AC32" t="s">
        <v>22</v>
      </c>
      <c r="AD32" t="s">
        <v>326</v>
      </c>
      <c r="AE32">
        <v>1.3807335915989446E-4</v>
      </c>
      <c r="AG32" t="s">
        <v>100</v>
      </c>
      <c r="AH32" t="s">
        <v>326</v>
      </c>
      <c r="AI32">
        <v>0</v>
      </c>
      <c r="AK32">
        <v>2022</v>
      </c>
      <c r="AL32" t="s">
        <v>241</v>
      </c>
      <c r="AM32">
        <v>0.33171660352810617</v>
      </c>
      <c r="AN32" t="s">
        <v>236</v>
      </c>
    </row>
    <row r="33" spans="5:40" x14ac:dyDescent="0.45">
      <c r="E33" t="s">
        <v>309</v>
      </c>
      <c r="G33" t="s">
        <v>287</v>
      </c>
      <c r="I33" t="s">
        <v>159</v>
      </c>
      <c r="J33" t="s">
        <v>327</v>
      </c>
      <c r="K33">
        <v>2.7752390468413002E-4</v>
      </c>
      <c r="L33" t="s">
        <v>161</v>
      </c>
      <c r="N33" t="s">
        <v>195</v>
      </c>
      <c r="O33" t="s">
        <v>327</v>
      </c>
      <c r="P33">
        <v>3.8425926248202397E-8</v>
      </c>
      <c r="Q33" t="s">
        <v>161</v>
      </c>
      <c r="S33" t="s">
        <v>217</v>
      </c>
      <c r="T33" t="s">
        <v>327</v>
      </c>
      <c r="U33">
        <v>2.3597328536647147E-7</v>
      </c>
      <c r="V33" t="s">
        <v>161</v>
      </c>
      <c r="X33">
        <v>1.1415525114155251E-4</v>
      </c>
      <c r="Y33">
        <v>2.2209515285616027E-4</v>
      </c>
      <c r="Z33" t="s">
        <v>327</v>
      </c>
      <c r="AA33" t="s">
        <v>25</v>
      </c>
      <c r="AC33" t="s">
        <v>22</v>
      </c>
      <c r="AD33" t="s">
        <v>327</v>
      </c>
      <c r="AE33">
        <v>1.4489507921550387E-4</v>
      </c>
      <c r="AG33" t="s">
        <v>100</v>
      </c>
      <c r="AH33" t="s">
        <v>327</v>
      </c>
      <c r="AI33">
        <v>0</v>
      </c>
      <c r="AK33">
        <v>2022</v>
      </c>
      <c r="AL33" t="s">
        <v>264</v>
      </c>
      <c r="AM33">
        <v>0.33721731144529898</v>
      </c>
      <c r="AN33" t="s">
        <v>236</v>
      </c>
    </row>
    <row r="34" spans="5:40" x14ac:dyDescent="0.45">
      <c r="E34" t="s">
        <v>310</v>
      </c>
      <c r="G34" t="s">
        <v>287</v>
      </c>
      <c r="I34" t="s">
        <v>159</v>
      </c>
      <c r="J34" t="s">
        <v>328</v>
      </c>
      <c r="K34">
        <v>1.9346318086111127E-4</v>
      </c>
      <c r="L34" t="s">
        <v>161</v>
      </c>
      <c r="N34" t="s">
        <v>195</v>
      </c>
      <c r="O34" t="s">
        <v>328</v>
      </c>
      <c r="P34">
        <v>1.1397978867734225E-7</v>
      </c>
      <c r="Q34" t="s">
        <v>161</v>
      </c>
      <c r="S34" t="s">
        <v>217</v>
      </c>
      <c r="T34" t="s">
        <v>328</v>
      </c>
      <c r="U34">
        <v>2.9935773956553463E-7</v>
      </c>
      <c r="V34" t="s">
        <v>161</v>
      </c>
      <c r="X34">
        <v>1.1415525114155251E-4</v>
      </c>
      <c r="Y34">
        <v>2.2209515285616027E-4</v>
      </c>
      <c r="Z34" t="s">
        <v>328</v>
      </c>
      <c r="AA34" t="s">
        <v>25</v>
      </c>
      <c r="AC34" t="s">
        <v>22</v>
      </c>
      <c r="AD34" t="s">
        <v>328</v>
      </c>
      <c r="AE34">
        <v>1.4688713612249902E-4</v>
      </c>
      <c r="AG34" t="s">
        <v>100</v>
      </c>
      <c r="AH34" t="s">
        <v>328</v>
      </c>
      <c r="AI34">
        <v>0</v>
      </c>
      <c r="AK34">
        <v>2022</v>
      </c>
      <c r="AL34" t="s">
        <v>265</v>
      </c>
      <c r="AM34">
        <v>0.33721731144529898</v>
      </c>
      <c r="AN34" t="s">
        <v>236</v>
      </c>
    </row>
    <row r="35" spans="5:40" x14ac:dyDescent="0.45">
      <c r="E35" t="s">
        <v>338</v>
      </c>
      <c r="G35" t="s">
        <v>337</v>
      </c>
      <c r="I35" t="s">
        <v>159</v>
      </c>
      <c r="J35" t="s">
        <v>329</v>
      </c>
      <c r="K35">
        <v>0</v>
      </c>
      <c r="L35" t="s">
        <v>161</v>
      </c>
      <c r="N35" t="s">
        <v>195</v>
      </c>
      <c r="O35" t="s">
        <v>329</v>
      </c>
      <c r="P35">
        <v>1.0709141862527953E-6</v>
      </c>
      <c r="Q35" t="s">
        <v>161</v>
      </c>
      <c r="S35" t="s">
        <v>217</v>
      </c>
      <c r="T35" t="s">
        <v>329</v>
      </c>
      <c r="U35">
        <v>1.0360688123291473E-6</v>
      </c>
      <c r="V35" t="s">
        <v>161</v>
      </c>
      <c r="X35">
        <v>1.1415525114155251E-4</v>
      </c>
      <c r="Y35">
        <v>1.7237235744060203E-4</v>
      </c>
      <c r="Z35" t="s">
        <v>329</v>
      </c>
      <c r="AA35" t="s">
        <v>25</v>
      </c>
      <c r="AC35" t="s">
        <v>22</v>
      </c>
      <c r="AD35" t="s">
        <v>329</v>
      </c>
      <c r="AE35">
        <v>1.4668363102840311E-4</v>
      </c>
      <c r="AG35" t="s">
        <v>100</v>
      </c>
      <c r="AH35" t="s">
        <v>329</v>
      </c>
      <c r="AI35">
        <v>0</v>
      </c>
      <c r="AK35">
        <v>2025</v>
      </c>
      <c r="AL35" t="s">
        <v>149</v>
      </c>
      <c r="AM35">
        <v>0.36756666666666665</v>
      </c>
      <c r="AN35" t="s">
        <v>236</v>
      </c>
    </row>
    <row r="36" spans="5:40" x14ac:dyDescent="0.45">
      <c r="E36" t="s">
        <v>339</v>
      </c>
      <c r="G36" t="s">
        <v>337</v>
      </c>
      <c r="I36" t="s">
        <v>159</v>
      </c>
      <c r="J36" t="s">
        <v>330</v>
      </c>
      <c r="K36">
        <v>0</v>
      </c>
      <c r="L36" t="s">
        <v>161</v>
      </c>
      <c r="N36" t="s">
        <v>195</v>
      </c>
      <c r="O36" t="s">
        <v>330</v>
      </c>
      <c r="P36">
        <v>1.0887995105001238E-6</v>
      </c>
      <c r="Q36" t="s">
        <v>161</v>
      </c>
      <c r="S36" t="s">
        <v>217</v>
      </c>
      <c r="T36" t="s">
        <v>330</v>
      </c>
      <c r="U36">
        <v>1.3328309619928005E-6</v>
      </c>
      <c r="V36" t="s">
        <v>161</v>
      </c>
      <c r="X36">
        <v>1.1415525114155251E-4</v>
      </c>
      <c r="Y36">
        <v>1.5579809230208258E-4</v>
      </c>
      <c r="Z36" t="s">
        <v>330</v>
      </c>
      <c r="AA36" t="s">
        <v>25</v>
      </c>
      <c r="AC36" t="s">
        <v>22</v>
      </c>
      <c r="AD36" t="s">
        <v>330</v>
      </c>
      <c r="AE36">
        <v>1.4334729399280256E-4</v>
      </c>
      <c r="AG36" t="s">
        <v>100</v>
      </c>
      <c r="AH36" t="s">
        <v>330</v>
      </c>
      <c r="AI36">
        <v>0</v>
      </c>
      <c r="AK36">
        <v>2025</v>
      </c>
      <c r="AL36" t="s">
        <v>153</v>
      </c>
      <c r="AM36">
        <v>0.41699999999999998</v>
      </c>
      <c r="AN36" t="s">
        <v>236</v>
      </c>
    </row>
    <row r="37" spans="5:40" x14ac:dyDescent="0.45">
      <c r="E37" t="s">
        <v>340</v>
      </c>
      <c r="G37" t="s">
        <v>337</v>
      </c>
      <c r="I37" t="s">
        <v>159</v>
      </c>
      <c r="J37" t="s">
        <v>331</v>
      </c>
      <c r="K37">
        <v>0</v>
      </c>
      <c r="L37" t="s">
        <v>161</v>
      </c>
      <c r="N37" t="s">
        <v>195</v>
      </c>
      <c r="O37" t="s">
        <v>331</v>
      </c>
      <c r="P37">
        <v>9.5104765334612873E-7</v>
      </c>
      <c r="Q37" t="s">
        <v>161</v>
      </c>
      <c r="S37" t="s">
        <v>217</v>
      </c>
      <c r="T37" t="s">
        <v>331</v>
      </c>
      <c r="U37">
        <v>1.4008735561738243E-6</v>
      </c>
      <c r="V37" t="s">
        <v>161</v>
      </c>
      <c r="X37">
        <v>1.1415525114155251E-4</v>
      </c>
      <c r="Y37">
        <v>1.093901499142282E-4</v>
      </c>
      <c r="Z37" t="s">
        <v>331</v>
      </c>
      <c r="AA37" t="s">
        <v>25</v>
      </c>
      <c r="AC37" t="s">
        <v>22</v>
      </c>
      <c r="AD37" t="s">
        <v>331</v>
      </c>
      <c r="AE37">
        <v>1.4099122093157949E-4</v>
      </c>
      <c r="AG37" t="s">
        <v>100</v>
      </c>
      <c r="AH37" t="s">
        <v>331</v>
      </c>
      <c r="AI37">
        <v>0</v>
      </c>
      <c r="AK37">
        <v>2025</v>
      </c>
      <c r="AL37" t="s">
        <v>155</v>
      </c>
      <c r="AM37">
        <v>0.46252499999999996</v>
      </c>
      <c r="AN37" t="s">
        <v>236</v>
      </c>
    </row>
    <row r="38" spans="5:40" x14ac:dyDescent="0.45">
      <c r="E38" t="s">
        <v>341</v>
      </c>
      <c r="G38" t="s">
        <v>337</v>
      </c>
      <c r="I38" t="s">
        <v>159</v>
      </c>
      <c r="J38" t="s">
        <v>332</v>
      </c>
      <c r="K38">
        <v>0</v>
      </c>
      <c r="L38" t="s">
        <v>161</v>
      </c>
      <c r="N38" t="s">
        <v>195</v>
      </c>
      <c r="O38" t="s">
        <v>332</v>
      </c>
      <c r="P38">
        <v>4.2642359127539301E-6</v>
      </c>
      <c r="Q38" t="s">
        <v>161</v>
      </c>
      <c r="S38" t="s">
        <v>217</v>
      </c>
      <c r="T38" t="s">
        <v>332</v>
      </c>
      <c r="U38">
        <v>1.4013606577640707E-6</v>
      </c>
      <c r="V38" t="s">
        <v>161</v>
      </c>
      <c r="X38">
        <v>1.1415525114155251E-4</v>
      </c>
      <c r="Y38">
        <v>7.9556472664893237E-5</v>
      </c>
      <c r="Z38" t="s">
        <v>332</v>
      </c>
      <c r="AA38" t="s">
        <v>25</v>
      </c>
      <c r="AC38" t="s">
        <v>22</v>
      </c>
      <c r="AD38" t="s">
        <v>332</v>
      </c>
      <c r="AE38">
        <v>1.3463097017384955E-4</v>
      </c>
      <c r="AG38" t="s">
        <v>100</v>
      </c>
      <c r="AH38" t="s">
        <v>332</v>
      </c>
      <c r="AI38">
        <v>0</v>
      </c>
      <c r="AK38">
        <v>2025</v>
      </c>
      <c r="AL38" t="s">
        <v>157</v>
      </c>
      <c r="AM38">
        <v>0.42266666666666669</v>
      </c>
      <c r="AN38" t="s">
        <v>236</v>
      </c>
    </row>
    <row r="39" spans="5:40" x14ac:dyDescent="0.45">
      <c r="E39" t="s">
        <v>342</v>
      </c>
      <c r="G39" t="s">
        <v>337</v>
      </c>
      <c r="I39" t="s">
        <v>159</v>
      </c>
      <c r="J39" t="s">
        <v>333</v>
      </c>
      <c r="K39">
        <v>0</v>
      </c>
      <c r="L39" t="s">
        <v>161</v>
      </c>
      <c r="N39" t="s">
        <v>195</v>
      </c>
      <c r="O39" t="s">
        <v>333</v>
      </c>
      <c r="P39">
        <v>6.7674305288728289E-6</v>
      </c>
      <c r="Q39" t="s">
        <v>161</v>
      </c>
      <c r="S39" t="s">
        <v>217</v>
      </c>
      <c r="T39" t="s">
        <v>333</v>
      </c>
      <c r="U39">
        <v>2.4179396220810866E-6</v>
      </c>
      <c r="V39" t="s">
        <v>161</v>
      </c>
      <c r="X39">
        <v>1.1415525114155251E-4</v>
      </c>
      <c r="Y39">
        <v>5.6352501470966035E-5</v>
      </c>
      <c r="Z39" t="s">
        <v>333</v>
      </c>
      <c r="AA39" t="s">
        <v>25</v>
      </c>
      <c r="AC39" t="s">
        <v>22</v>
      </c>
      <c r="AD39" t="s">
        <v>333</v>
      </c>
      <c r="AE39">
        <v>1.3009080018725909E-4</v>
      </c>
      <c r="AG39" t="s">
        <v>100</v>
      </c>
      <c r="AH39" t="s">
        <v>333</v>
      </c>
      <c r="AI39">
        <v>0</v>
      </c>
      <c r="AK39">
        <v>2025</v>
      </c>
      <c r="AL39" t="s">
        <v>239</v>
      </c>
      <c r="AM39">
        <v>0.35933333333333334</v>
      </c>
      <c r="AN39" t="s">
        <v>236</v>
      </c>
    </row>
    <row r="40" spans="5:40" x14ac:dyDescent="0.45">
      <c r="E40" t="s">
        <v>343</v>
      </c>
      <c r="G40" t="s">
        <v>337</v>
      </c>
      <c r="I40" t="s">
        <v>159</v>
      </c>
      <c r="J40" t="s">
        <v>334</v>
      </c>
      <c r="K40">
        <v>0</v>
      </c>
      <c r="L40" t="s">
        <v>161</v>
      </c>
      <c r="N40" t="s">
        <v>195</v>
      </c>
      <c r="O40" t="s">
        <v>334</v>
      </c>
      <c r="P40">
        <v>4.6008792745643478E-6</v>
      </c>
      <c r="Q40" t="s">
        <v>161</v>
      </c>
      <c r="S40" t="s">
        <v>217</v>
      </c>
      <c r="T40" t="s">
        <v>334</v>
      </c>
      <c r="U40">
        <v>1.3241005685842584E-6</v>
      </c>
      <c r="V40" t="s">
        <v>161</v>
      </c>
      <c r="X40">
        <v>1.1415525114155251E-4</v>
      </c>
      <c r="Y40">
        <v>2.9833677249334962E-5</v>
      </c>
      <c r="Z40" t="s">
        <v>334</v>
      </c>
      <c r="AA40" t="s">
        <v>25</v>
      </c>
      <c r="AC40" t="s">
        <v>22</v>
      </c>
      <c r="AD40" t="s">
        <v>334</v>
      </c>
      <c r="AE40">
        <v>9.733794511354116E-5</v>
      </c>
      <c r="AG40" t="s">
        <v>100</v>
      </c>
      <c r="AH40" t="s">
        <v>334</v>
      </c>
      <c r="AI40">
        <v>0</v>
      </c>
      <c r="AK40">
        <v>2025</v>
      </c>
      <c r="AL40" t="s">
        <v>241</v>
      </c>
      <c r="AM40">
        <v>0.35270000000000001</v>
      </c>
      <c r="AN40" t="s">
        <v>236</v>
      </c>
    </row>
    <row r="41" spans="5:40" x14ac:dyDescent="0.45">
      <c r="E41" t="s">
        <v>344</v>
      </c>
      <c r="G41" t="s">
        <v>337</v>
      </c>
      <c r="I41" t="s">
        <v>159</v>
      </c>
      <c r="J41" t="s">
        <v>164</v>
      </c>
      <c r="K41">
        <v>4.3617000409275821E-3</v>
      </c>
      <c r="L41" t="s">
        <v>161</v>
      </c>
      <c r="N41" t="s">
        <v>195</v>
      </c>
      <c r="O41" t="s">
        <v>164</v>
      </c>
      <c r="P41">
        <v>3.7095395792151528E-2</v>
      </c>
      <c r="Q41" t="s">
        <v>161</v>
      </c>
      <c r="S41" t="s">
        <v>217</v>
      </c>
      <c r="T41" t="s">
        <v>164</v>
      </c>
      <c r="U41">
        <v>3.6171560141925366E-2</v>
      </c>
      <c r="V41" t="s">
        <v>161</v>
      </c>
      <c r="X41">
        <v>3.4703196347031964E-2</v>
      </c>
      <c r="Y41">
        <v>1.923476617855456E-2</v>
      </c>
      <c r="Z41" t="s">
        <v>164</v>
      </c>
      <c r="AA41" t="s">
        <v>25</v>
      </c>
      <c r="AC41" t="s">
        <v>22</v>
      </c>
      <c r="AD41" t="s">
        <v>164</v>
      </c>
      <c r="AE41">
        <v>3.2021468186342744E-2</v>
      </c>
      <c r="AG41" t="s">
        <v>100</v>
      </c>
      <c r="AH41" t="s">
        <v>164</v>
      </c>
      <c r="AI41">
        <v>0.3637764965843775</v>
      </c>
      <c r="AK41">
        <v>2025</v>
      </c>
      <c r="AL41" t="s">
        <v>264</v>
      </c>
      <c r="AM41">
        <v>0.37540000000000001</v>
      </c>
      <c r="AN41" t="s">
        <v>236</v>
      </c>
    </row>
    <row r="42" spans="5:40" x14ac:dyDescent="0.45">
      <c r="E42" t="s">
        <v>345</v>
      </c>
      <c r="G42" t="s">
        <v>337</v>
      </c>
      <c r="I42" t="s">
        <v>159</v>
      </c>
      <c r="J42" t="s">
        <v>165</v>
      </c>
      <c r="K42">
        <v>7.1571070894123371E-3</v>
      </c>
      <c r="L42" t="s">
        <v>161</v>
      </c>
      <c r="N42" t="s">
        <v>195</v>
      </c>
      <c r="O42" t="s">
        <v>165</v>
      </c>
      <c r="P42">
        <v>3.8585268584841763E-3</v>
      </c>
      <c r="Q42" t="s">
        <v>161</v>
      </c>
      <c r="S42" t="s">
        <v>217</v>
      </c>
      <c r="T42" t="s">
        <v>165</v>
      </c>
      <c r="U42">
        <v>4.5067883370576217E-3</v>
      </c>
      <c r="V42" t="s">
        <v>161</v>
      </c>
      <c r="X42">
        <v>4.3378995433789955E-3</v>
      </c>
      <c r="Y42">
        <v>5.5424342623208965E-3</v>
      </c>
      <c r="Z42" t="s">
        <v>165</v>
      </c>
      <c r="AA42" t="s">
        <v>25</v>
      </c>
      <c r="AC42" t="s">
        <v>22</v>
      </c>
      <c r="AD42" t="s">
        <v>165</v>
      </c>
      <c r="AE42">
        <v>5.5159008261199075E-3</v>
      </c>
      <c r="AG42" t="s">
        <v>100</v>
      </c>
      <c r="AH42" t="s">
        <v>165</v>
      </c>
      <c r="AI42">
        <v>0.14950163116292714</v>
      </c>
      <c r="AK42">
        <v>2025</v>
      </c>
      <c r="AL42" t="s">
        <v>265</v>
      </c>
      <c r="AM42">
        <v>0.37540000000000001</v>
      </c>
      <c r="AN42" t="s">
        <v>236</v>
      </c>
    </row>
    <row r="43" spans="5:40" x14ac:dyDescent="0.45">
      <c r="E43" t="s">
        <v>346</v>
      </c>
      <c r="G43" t="s">
        <v>337</v>
      </c>
      <c r="I43" t="s">
        <v>159</v>
      </c>
      <c r="J43" t="s">
        <v>166</v>
      </c>
      <c r="K43">
        <v>8.6328965014418474E-2</v>
      </c>
      <c r="L43" t="s">
        <v>161</v>
      </c>
      <c r="N43" t="s">
        <v>195</v>
      </c>
      <c r="O43" t="s">
        <v>166</v>
      </c>
      <c r="P43">
        <v>2.8397667979102266E-2</v>
      </c>
      <c r="Q43" t="s">
        <v>161</v>
      </c>
      <c r="S43" t="s">
        <v>217</v>
      </c>
      <c r="T43" t="s">
        <v>166</v>
      </c>
      <c r="U43">
        <v>3.1506118167826301E-2</v>
      </c>
      <c r="V43" t="s">
        <v>161</v>
      </c>
      <c r="X43">
        <v>3.0365296803652967E-2</v>
      </c>
      <c r="Y43">
        <v>3.9527633443552208E-2</v>
      </c>
      <c r="Z43" t="s">
        <v>166</v>
      </c>
      <c r="AA43" t="s">
        <v>25</v>
      </c>
      <c r="AC43" t="s">
        <v>22</v>
      </c>
      <c r="AD43" t="s">
        <v>166</v>
      </c>
      <c r="AE43">
        <v>3.7771947589106306E-2</v>
      </c>
      <c r="AG43" t="s">
        <v>100</v>
      </c>
      <c r="AH43" t="s">
        <v>166</v>
      </c>
      <c r="AI43">
        <v>0.15732511492297641</v>
      </c>
      <c r="AK43">
        <v>2026</v>
      </c>
      <c r="AL43" t="s">
        <v>149</v>
      </c>
      <c r="AM43">
        <v>0.29299999999999998</v>
      </c>
      <c r="AN43" t="s">
        <v>236</v>
      </c>
    </row>
    <row r="44" spans="5:40" x14ac:dyDescent="0.45">
      <c r="E44" t="s">
        <v>347</v>
      </c>
      <c r="G44" t="s">
        <v>337</v>
      </c>
      <c r="I44" t="s">
        <v>159</v>
      </c>
      <c r="J44" t="s">
        <v>244</v>
      </c>
      <c r="K44">
        <v>1.051753284237108E-2</v>
      </c>
      <c r="L44" t="s">
        <v>161</v>
      </c>
      <c r="N44" t="s">
        <v>195</v>
      </c>
      <c r="O44" t="s">
        <v>244</v>
      </c>
      <c r="P44">
        <v>4.3135281749784229E-3</v>
      </c>
      <c r="Q44" t="s">
        <v>161</v>
      </c>
      <c r="S44" t="s">
        <v>217</v>
      </c>
      <c r="T44" t="s">
        <v>244</v>
      </c>
      <c r="U44">
        <v>4.559287775223058E-3</v>
      </c>
      <c r="V44" t="s">
        <v>161</v>
      </c>
      <c r="X44">
        <v>4.3378995433789955E-3</v>
      </c>
      <c r="Y44">
        <v>8.4396158085340914E-3</v>
      </c>
      <c r="Z44" t="s">
        <v>244</v>
      </c>
      <c r="AA44" t="s">
        <v>25</v>
      </c>
      <c r="AC44" t="s">
        <v>22</v>
      </c>
      <c r="AD44" t="s">
        <v>244</v>
      </c>
      <c r="AE44">
        <v>5.4116804215224223E-3</v>
      </c>
      <c r="AG44" t="s">
        <v>100</v>
      </c>
      <c r="AH44" t="s">
        <v>244</v>
      </c>
      <c r="AI44">
        <v>0.15151965568248427</v>
      </c>
      <c r="AK44">
        <v>2026</v>
      </c>
      <c r="AL44" t="s">
        <v>153</v>
      </c>
      <c r="AM44">
        <v>0.33479999999999999</v>
      </c>
      <c r="AN44" t="s">
        <v>236</v>
      </c>
    </row>
    <row r="45" spans="5:40" x14ac:dyDescent="0.45">
      <c r="E45" t="s">
        <v>348</v>
      </c>
      <c r="G45" t="s">
        <v>337</v>
      </c>
      <c r="I45" t="s">
        <v>159</v>
      </c>
      <c r="J45" t="s">
        <v>245</v>
      </c>
      <c r="K45">
        <v>8.4227970913997256E-3</v>
      </c>
      <c r="L45" t="s">
        <v>161</v>
      </c>
      <c r="N45" t="s">
        <v>195</v>
      </c>
      <c r="O45" t="s">
        <v>245</v>
      </c>
      <c r="P45">
        <v>3.9637479126210995E-3</v>
      </c>
      <c r="Q45" t="s">
        <v>161</v>
      </c>
      <c r="S45" t="s">
        <v>217</v>
      </c>
      <c r="T45" t="s">
        <v>245</v>
      </c>
      <c r="U45">
        <v>4.5819580828605003E-3</v>
      </c>
      <c r="V45" t="s">
        <v>161</v>
      </c>
      <c r="X45">
        <v>4.3378995433789955E-3</v>
      </c>
      <c r="Y45">
        <v>8.4396158085340914E-3</v>
      </c>
      <c r="Z45" t="s">
        <v>245</v>
      </c>
      <c r="AA45" t="s">
        <v>25</v>
      </c>
      <c r="AC45" t="s">
        <v>22</v>
      </c>
      <c r="AD45" t="s">
        <v>245</v>
      </c>
      <c r="AE45">
        <v>5.4523298475008478E-3</v>
      </c>
      <c r="AG45" t="s">
        <v>100</v>
      </c>
      <c r="AH45" t="s">
        <v>245</v>
      </c>
      <c r="AI45">
        <v>0.15539407562763441</v>
      </c>
      <c r="AK45">
        <v>2026</v>
      </c>
      <c r="AL45" t="s">
        <v>155</v>
      </c>
      <c r="AM45">
        <v>0.38075000000000003</v>
      </c>
      <c r="AN45" t="s">
        <v>236</v>
      </c>
    </row>
    <row r="46" spans="5:40" x14ac:dyDescent="0.45">
      <c r="E46" t="s">
        <v>349</v>
      </c>
      <c r="G46" t="s">
        <v>337</v>
      </c>
      <c r="I46" t="s">
        <v>159</v>
      </c>
      <c r="J46" t="s">
        <v>267</v>
      </c>
      <c r="K46">
        <v>7.6199498155536923E-3</v>
      </c>
      <c r="L46" t="s">
        <v>161</v>
      </c>
      <c r="N46" t="s">
        <v>195</v>
      </c>
      <c r="O46" t="s">
        <v>267</v>
      </c>
      <c r="P46">
        <v>2.8812966299076651E-2</v>
      </c>
      <c r="Q46" t="s">
        <v>161</v>
      </c>
      <c r="S46" t="s">
        <v>217</v>
      </c>
      <c r="T46" t="s">
        <v>267</v>
      </c>
      <c r="U46">
        <v>2.8707907781325342E-2</v>
      </c>
      <c r="V46" t="s">
        <v>161</v>
      </c>
      <c r="X46">
        <v>2.6027397260273973E-2</v>
      </c>
      <c r="Y46">
        <v>2.2925523539600066E-2</v>
      </c>
      <c r="Z46" t="s">
        <v>267</v>
      </c>
      <c r="AA46" t="s">
        <v>25</v>
      </c>
      <c r="AC46" t="s">
        <v>22</v>
      </c>
      <c r="AD46" t="s">
        <v>267</v>
      </c>
      <c r="AE46">
        <v>2.8201918597820244E-2</v>
      </c>
      <c r="AG46" t="s">
        <v>100</v>
      </c>
      <c r="AH46" t="s">
        <v>267</v>
      </c>
      <c r="AI46">
        <v>0.2661624136760079</v>
      </c>
      <c r="AK46">
        <v>2026</v>
      </c>
      <c r="AL46" t="s">
        <v>157</v>
      </c>
      <c r="AM46">
        <v>0.31149999999999994</v>
      </c>
      <c r="AN46" t="s">
        <v>236</v>
      </c>
    </row>
    <row r="47" spans="5:40" x14ac:dyDescent="0.45">
      <c r="E47" t="s">
        <v>350</v>
      </c>
      <c r="G47" t="s">
        <v>337</v>
      </c>
      <c r="I47" t="s">
        <v>159</v>
      </c>
      <c r="J47" t="s">
        <v>167</v>
      </c>
      <c r="K47">
        <v>3.0740220777479489E-2</v>
      </c>
      <c r="L47" t="s">
        <v>161</v>
      </c>
      <c r="N47" t="s">
        <v>195</v>
      </c>
      <c r="O47" t="s">
        <v>167</v>
      </c>
      <c r="P47">
        <v>6.374495678744517E-2</v>
      </c>
      <c r="Q47" t="s">
        <v>161</v>
      </c>
      <c r="S47" t="s">
        <v>217</v>
      </c>
      <c r="T47" t="s">
        <v>167</v>
      </c>
      <c r="U47">
        <v>7.007934921952795E-2</v>
      </c>
      <c r="V47" t="s">
        <v>161</v>
      </c>
      <c r="X47">
        <v>8.9497716894977167E-2</v>
      </c>
      <c r="Y47">
        <v>4.960544961837754E-2</v>
      </c>
      <c r="Z47" t="s">
        <v>167</v>
      </c>
      <c r="AA47" t="s">
        <v>25</v>
      </c>
      <c r="AC47" t="s">
        <v>22</v>
      </c>
      <c r="AD47" t="s">
        <v>167</v>
      </c>
      <c r="AE47">
        <v>6.134381720157786E-2</v>
      </c>
      <c r="AG47" t="s">
        <v>100</v>
      </c>
      <c r="AH47" t="s">
        <v>167</v>
      </c>
      <c r="AI47">
        <v>0.30621757897479296</v>
      </c>
      <c r="AK47">
        <v>2026</v>
      </c>
      <c r="AL47" t="s">
        <v>239</v>
      </c>
      <c r="AM47">
        <v>0.28349999999999997</v>
      </c>
      <c r="AN47" t="s">
        <v>236</v>
      </c>
    </row>
    <row r="48" spans="5:40" x14ac:dyDescent="0.45">
      <c r="E48" t="s">
        <v>351</v>
      </c>
      <c r="G48" t="s">
        <v>337</v>
      </c>
      <c r="I48" t="s">
        <v>159</v>
      </c>
      <c r="J48" t="s">
        <v>168</v>
      </c>
      <c r="K48">
        <v>2.673182192358425E-2</v>
      </c>
      <c r="L48" t="s">
        <v>161</v>
      </c>
      <c r="N48" t="s">
        <v>195</v>
      </c>
      <c r="O48" t="s">
        <v>168</v>
      </c>
      <c r="P48">
        <v>6.5982677521499609E-3</v>
      </c>
      <c r="Q48" t="s">
        <v>161</v>
      </c>
      <c r="S48" t="s">
        <v>217</v>
      </c>
      <c r="T48" t="s">
        <v>168</v>
      </c>
      <c r="U48">
        <v>8.6202255454239807E-3</v>
      </c>
      <c r="V48" t="s">
        <v>161</v>
      </c>
      <c r="X48">
        <v>1.1187214611872146E-2</v>
      </c>
      <c r="Y48">
        <v>1.4293646255459154E-2</v>
      </c>
      <c r="Z48" t="s">
        <v>168</v>
      </c>
      <c r="AA48" t="s">
        <v>25</v>
      </c>
      <c r="AC48" t="s">
        <v>22</v>
      </c>
      <c r="AD48" t="s">
        <v>168</v>
      </c>
      <c r="AE48">
        <v>1.1318828084170479E-2</v>
      </c>
      <c r="AG48" t="s">
        <v>100</v>
      </c>
      <c r="AH48" t="s">
        <v>168</v>
      </c>
      <c r="AI48">
        <v>8.6113612277584295E-2</v>
      </c>
      <c r="AK48">
        <v>2026</v>
      </c>
      <c r="AL48" t="s">
        <v>241</v>
      </c>
      <c r="AM48">
        <v>0.31040000000000001</v>
      </c>
      <c r="AN48" t="s">
        <v>236</v>
      </c>
    </row>
    <row r="49" spans="5:40" x14ac:dyDescent="0.45">
      <c r="E49" t="s">
        <v>352</v>
      </c>
      <c r="G49" t="s">
        <v>337</v>
      </c>
      <c r="I49" t="s">
        <v>159</v>
      </c>
      <c r="J49" t="s">
        <v>169</v>
      </c>
      <c r="K49">
        <v>0.25114599807941002</v>
      </c>
      <c r="L49" t="s">
        <v>161</v>
      </c>
      <c r="N49" t="s">
        <v>195</v>
      </c>
      <c r="O49" t="s">
        <v>169</v>
      </c>
      <c r="P49">
        <v>5.2879976705383233E-2</v>
      </c>
      <c r="Q49" t="s">
        <v>161</v>
      </c>
      <c r="S49" t="s">
        <v>217</v>
      </c>
      <c r="T49" t="s">
        <v>169</v>
      </c>
      <c r="U49">
        <v>6.0346040442204589E-2</v>
      </c>
      <c r="V49" t="s">
        <v>161</v>
      </c>
      <c r="X49">
        <v>7.831050228310503E-2</v>
      </c>
      <c r="Y49">
        <v>0.10193968624916096</v>
      </c>
      <c r="Z49" t="s">
        <v>169</v>
      </c>
      <c r="AA49" t="s">
        <v>25</v>
      </c>
      <c r="AC49" t="s">
        <v>22</v>
      </c>
      <c r="AD49" t="s">
        <v>169</v>
      </c>
      <c r="AE49">
        <v>7.9595678028781494E-2</v>
      </c>
      <c r="AG49" t="s">
        <v>100</v>
      </c>
      <c r="AH49" t="s">
        <v>169</v>
      </c>
      <c r="AI49">
        <v>9.1079017692326847E-2</v>
      </c>
      <c r="AK49">
        <v>2026</v>
      </c>
      <c r="AL49" t="s">
        <v>264</v>
      </c>
      <c r="AM49">
        <v>0.32519999999999999</v>
      </c>
      <c r="AN49" t="s">
        <v>236</v>
      </c>
    </row>
    <row r="50" spans="5:40" x14ac:dyDescent="0.45">
      <c r="E50" t="s">
        <v>353</v>
      </c>
      <c r="G50" t="s">
        <v>337</v>
      </c>
      <c r="I50" t="s">
        <v>159</v>
      </c>
      <c r="J50" t="s">
        <v>246</v>
      </c>
      <c r="K50">
        <v>2.9986373109986381E-2</v>
      </c>
      <c r="L50" t="s">
        <v>161</v>
      </c>
      <c r="N50" t="s">
        <v>195</v>
      </c>
      <c r="O50" t="s">
        <v>246</v>
      </c>
      <c r="P50">
        <v>8.7169627254551144E-3</v>
      </c>
      <c r="Q50" t="s">
        <v>161</v>
      </c>
      <c r="S50" t="s">
        <v>217</v>
      </c>
      <c r="T50" t="s">
        <v>246</v>
      </c>
      <c r="U50">
        <v>9.4638698526827991E-3</v>
      </c>
      <c r="V50" t="s">
        <v>161</v>
      </c>
      <c r="X50">
        <v>1.1187214611872146E-2</v>
      </c>
      <c r="Y50">
        <v>2.1765324979903709E-2</v>
      </c>
      <c r="Z50" t="s">
        <v>246</v>
      </c>
      <c r="AA50" t="s">
        <v>25</v>
      </c>
      <c r="AC50" t="s">
        <v>22</v>
      </c>
      <c r="AD50" t="s">
        <v>246</v>
      </c>
      <c r="AE50">
        <v>1.1256171445340385E-2</v>
      </c>
      <c r="AG50" t="s">
        <v>100</v>
      </c>
      <c r="AH50" t="s">
        <v>246</v>
      </c>
      <c r="AI50">
        <v>7.1611762079551555E-2</v>
      </c>
      <c r="AK50">
        <v>2026</v>
      </c>
      <c r="AL50" t="s">
        <v>265</v>
      </c>
      <c r="AM50">
        <v>0.32519999999999999</v>
      </c>
      <c r="AN50" t="s">
        <v>236</v>
      </c>
    </row>
    <row r="51" spans="5:40" x14ac:dyDescent="0.45">
      <c r="E51" t="s">
        <v>354</v>
      </c>
      <c r="G51" t="s">
        <v>337</v>
      </c>
      <c r="I51" t="s">
        <v>159</v>
      </c>
      <c r="J51" t="s">
        <v>247</v>
      </c>
      <c r="K51">
        <v>2.4058146736238396E-2</v>
      </c>
      <c r="L51" t="s">
        <v>161</v>
      </c>
      <c r="N51" t="s">
        <v>195</v>
      </c>
      <c r="O51" t="s">
        <v>247</v>
      </c>
      <c r="P51">
        <v>8.1534606004956701E-3</v>
      </c>
      <c r="Q51" t="s">
        <v>161</v>
      </c>
      <c r="S51" t="s">
        <v>217</v>
      </c>
      <c r="T51" t="s">
        <v>247</v>
      </c>
      <c r="U51">
        <v>9.4803105206921322E-3</v>
      </c>
      <c r="V51" t="s">
        <v>161</v>
      </c>
      <c r="X51">
        <v>1.1187214611872146E-2</v>
      </c>
      <c r="Y51">
        <v>2.1765324979903709E-2</v>
      </c>
      <c r="Z51" t="s">
        <v>247</v>
      </c>
      <c r="AA51" t="s">
        <v>25</v>
      </c>
      <c r="AC51" t="s">
        <v>22</v>
      </c>
      <c r="AD51" t="s">
        <v>247</v>
      </c>
      <c r="AE51">
        <v>1.1243046799905666E-2</v>
      </c>
      <c r="AG51" t="s">
        <v>100</v>
      </c>
      <c r="AH51" t="s">
        <v>247</v>
      </c>
      <c r="AI51">
        <v>7.2312609790651683E-2</v>
      </c>
      <c r="AK51">
        <v>2027</v>
      </c>
      <c r="AL51" t="s">
        <v>149</v>
      </c>
      <c r="AM51">
        <v>0.29746666666666671</v>
      </c>
      <c r="AN51" t="s">
        <v>236</v>
      </c>
    </row>
    <row r="52" spans="5:40" x14ac:dyDescent="0.45">
      <c r="E52" t="s">
        <v>355</v>
      </c>
      <c r="G52" t="s">
        <v>337</v>
      </c>
      <c r="I52" t="s">
        <v>159</v>
      </c>
      <c r="J52" t="s">
        <v>268</v>
      </c>
      <c r="K52">
        <v>3.3114468659472568E-2</v>
      </c>
      <c r="L52" t="s">
        <v>161</v>
      </c>
      <c r="N52" t="s">
        <v>195</v>
      </c>
      <c r="O52" t="s">
        <v>268</v>
      </c>
      <c r="P52">
        <v>5.2066465532299343E-2</v>
      </c>
      <c r="Q52" t="s">
        <v>161</v>
      </c>
      <c r="S52" t="s">
        <v>217</v>
      </c>
      <c r="T52" t="s">
        <v>268</v>
      </c>
      <c r="U52">
        <v>5.4516579879425126E-2</v>
      </c>
      <c r="V52" t="s">
        <v>161</v>
      </c>
      <c r="X52">
        <v>6.7123287671232879E-2</v>
      </c>
      <c r="Y52">
        <v>5.9123718602126486E-2</v>
      </c>
      <c r="Z52" t="s">
        <v>268</v>
      </c>
      <c r="AA52" t="s">
        <v>25</v>
      </c>
      <c r="AC52" t="s">
        <v>22</v>
      </c>
      <c r="AD52" t="s">
        <v>268</v>
      </c>
      <c r="AE52">
        <v>5.7973667924890289E-2</v>
      </c>
      <c r="AG52" t="s">
        <v>100</v>
      </c>
      <c r="AH52" t="s">
        <v>268</v>
      </c>
      <c r="AI52">
        <v>0.15784877111384366</v>
      </c>
      <c r="AK52">
        <v>2027</v>
      </c>
      <c r="AL52" t="s">
        <v>153</v>
      </c>
      <c r="AM52">
        <v>0.31414999999999998</v>
      </c>
      <c r="AN52" t="s">
        <v>236</v>
      </c>
    </row>
    <row r="53" spans="5:40" x14ac:dyDescent="0.45">
      <c r="E53" t="s">
        <v>356</v>
      </c>
      <c r="G53" t="s">
        <v>337</v>
      </c>
      <c r="I53" t="s">
        <v>159</v>
      </c>
      <c r="J53" t="s">
        <v>170</v>
      </c>
      <c r="K53">
        <v>9.6893299102489977E-3</v>
      </c>
      <c r="L53" t="s">
        <v>161</v>
      </c>
      <c r="N53" t="s">
        <v>195</v>
      </c>
      <c r="O53" t="s">
        <v>170</v>
      </c>
      <c r="P53">
        <v>3.7905961867042044E-2</v>
      </c>
      <c r="Q53" t="s">
        <v>161</v>
      </c>
      <c r="S53" t="s">
        <v>217</v>
      </c>
      <c r="T53" t="s">
        <v>170</v>
      </c>
      <c r="U53">
        <v>3.6030455406925378E-2</v>
      </c>
      <c r="V53" t="s">
        <v>161</v>
      </c>
      <c r="X53">
        <v>4.4748858447488583E-2</v>
      </c>
      <c r="Y53">
        <v>2.480272480918877E-2</v>
      </c>
      <c r="Z53" t="s">
        <v>170</v>
      </c>
      <c r="AA53" t="s">
        <v>25</v>
      </c>
      <c r="AC53" t="s">
        <v>22</v>
      </c>
      <c r="AD53" t="s">
        <v>170</v>
      </c>
      <c r="AE53">
        <v>3.0144612678899538E-2</v>
      </c>
      <c r="AG53" t="s">
        <v>100</v>
      </c>
      <c r="AH53" t="s">
        <v>170</v>
      </c>
      <c r="AI53">
        <v>0.29179391365945206</v>
      </c>
      <c r="AK53">
        <v>2027</v>
      </c>
      <c r="AL53" t="s">
        <v>155</v>
      </c>
      <c r="AM53">
        <v>0.36385000000000001</v>
      </c>
      <c r="AN53" t="s">
        <v>236</v>
      </c>
    </row>
    <row r="54" spans="5:40" x14ac:dyDescent="0.45">
      <c r="E54" t="s">
        <v>357</v>
      </c>
      <c r="G54" t="s">
        <v>337</v>
      </c>
      <c r="I54" t="s">
        <v>159</v>
      </c>
      <c r="J54" t="s">
        <v>171</v>
      </c>
      <c r="K54">
        <v>1.0807941560538265E-2</v>
      </c>
      <c r="L54" t="s">
        <v>161</v>
      </c>
      <c r="N54" t="s">
        <v>195</v>
      </c>
      <c r="O54" t="s">
        <v>171</v>
      </c>
      <c r="P54">
        <v>3.9355135747166448E-3</v>
      </c>
      <c r="Q54" t="s">
        <v>161</v>
      </c>
      <c r="S54" t="s">
        <v>217</v>
      </c>
      <c r="T54" t="s">
        <v>171</v>
      </c>
      <c r="U54">
        <v>4.9392432168050178E-3</v>
      </c>
      <c r="V54" t="s">
        <v>161</v>
      </c>
      <c r="X54">
        <v>5.5936073059360729E-3</v>
      </c>
      <c r="Y54">
        <v>7.146823127729577E-3</v>
      </c>
      <c r="Z54" t="s">
        <v>171</v>
      </c>
      <c r="AA54" t="s">
        <v>25</v>
      </c>
      <c r="AC54" t="s">
        <v>22</v>
      </c>
      <c r="AD54" t="s">
        <v>171</v>
      </c>
      <c r="AE54">
        <v>5.61557071034094E-3</v>
      </c>
      <c r="AG54" t="s">
        <v>100</v>
      </c>
      <c r="AH54" t="s">
        <v>171</v>
      </c>
      <c r="AI54">
        <v>8.5564224961316215E-2</v>
      </c>
      <c r="AK54">
        <v>2027</v>
      </c>
      <c r="AL54" t="s">
        <v>157</v>
      </c>
      <c r="AM54">
        <v>0.35366666666666663</v>
      </c>
      <c r="AN54" t="s">
        <v>236</v>
      </c>
    </row>
    <row r="55" spans="5:40" x14ac:dyDescent="0.45">
      <c r="E55" t="s">
        <v>358</v>
      </c>
      <c r="G55" t="s">
        <v>337</v>
      </c>
      <c r="I55" t="s">
        <v>159</v>
      </c>
      <c r="J55" t="s">
        <v>172</v>
      </c>
      <c r="K55">
        <v>0.11510197282558228</v>
      </c>
      <c r="L55" t="s">
        <v>161</v>
      </c>
      <c r="N55" t="s">
        <v>195</v>
      </c>
      <c r="O55" t="s">
        <v>172</v>
      </c>
      <c r="P55">
        <v>2.7337308868168438E-2</v>
      </c>
      <c r="Q55" t="s">
        <v>161</v>
      </c>
      <c r="S55" t="s">
        <v>217</v>
      </c>
      <c r="T55" t="s">
        <v>172</v>
      </c>
      <c r="U55">
        <v>3.5718926526292355E-2</v>
      </c>
      <c r="V55" t="s">
        <v>161</v>
      </c>
      <c r="X55">
        <v>3.9155251141552515E-2</v>
      </c>
      <c r="Y55">
        <v>5.0969843124580479E-2</v>
      </c>
      <c r="Z55" t="s">
        <v>172</v>
      </c>
      <c r="AA55" t="s">
        <v>25</v>
      </c>
      <c r="AC55" t="s">
        <v>22</v>
      </c>
      <c r="AD55" t="s">
        <v>172</v>
      </c>
      <c r="AE55">
        <v>3.9633000878607647E-2</v>
      </c>
      <c r="AG55" t="s">
        <v>100</v>
      </c>
      <c r="AH55" t="s">
        <v>172</v>
      </c>
      <c r="AI55">
        <v>9.9588675821886463E-2</v>
      </c>
      <c r="AK55">
        <v>2027</v>
      </c>
      <c r="AL55" t="s">
        <v>239</v>
      </c>
      <c r="AM55">
        <v>0.2959</v>
      </c>
      <c r="AN55" t="s">
        <v>236</v>
      </c>
    </row>
    <row r="56" spans="5:40" x14ac:dyDescent="0.45">
      <c r="E56" t="s">
        <v>359</v>
      </c>
      <c r="G56" t="s">
        <v>337</v>
      </c>
      <c r="I56" t="s">
        <v>159</v>
      </c>
      <c r="J56" t="s">
        <v>248</v>
      </c>
      <c r="K56">
        <v>1.3554094999091279E-2</v>
      </c>
      <c r="L56" t="s">
        <v>161</v>
      </c>
      <c r="N56" t="s">
        <v>195</v>
      </c>
      <c r="O56" t="s">
        <v>248</v>
      </c>
      <c r="P56">
        <v>3.9651043271315299E-3</v>
      </c>
      <c r="Q56" t="s">
        <v>161</v>
      </c>
      <c r="S56" t="s">
        <v>217</v>
      </c>
      <c r="T56" t="s">
        <v>248</v>
      </c>
      <c r="U56">
        <v>5.0108271901130813E-3</v>
      </c>
      <c r="V56" t="s">
        <v>161</v>
      </c>
      <c r="X56">
        <v>5.5936073059360729E-3</v>
      </c>
      <c r="Y56">
        <v>1.0882662489951853E-2</v>
      </c>
      <c r="Z56" t="s">
        <v>248</v>
      </c>
      <c r="AA56" t="s">
        <v>25</v>
      </c>
      <c r="AC56" t="s">
        <v>22</v>
      </c>
      <c r="AD56" t="s">
        <v>248</v>
      </c>
      <c r="AE56">
        <v>5.59892628665904E-3</v>
      </c>
      <c r="AG56" t="s">
        <v>100</v>
      </c>
      <c r="AH56" t="s">
        <v>248</v>
      </c>
      <c r="AI56">
        <v>7.7088141950375055E-2</v>
      </c>
      <c r="AK56">
        <v>2027</v>
      </c>
      <c r="AL56" t="s">
        <v>241</v>
      </c>
      <c r="AM56">
        <v>0.29035</v>
      </c>
      <c r="AN56" t="s">
        <v>236</v>
      </c>
    </row>
    <row r="57" spans="5:40" x14ac:dyDescent="0.45">
      <c r="E57" t="s">
        <v>360</v>
      </c>
      <c r="G57" t="s">
        <v>337</v>
      </c>
      <c r="I57" t="s">
        <v>159</v>
      </c>
      <c r="J57" t="s">
        <v>249</v>
      </c>
      <c r="K57">
        <v>1.1579356680728587E-2</v>
      </c>
      <c r="L57" t="s">
        <v>161</v>
      </c>
      <c r="N57" t="s">
        <v>195</v>
      </c>
      <c r="O57" t="s">
        <v>249</v>
      </c>
      <c r="P57">
        <v>3.6617869060513735E-3</v>
      </c>
      <c r="Q57" t="s">
        <v>161</v>
      </c>
      <c r="S57" t="s">
        <v>217</v>
      </c>
      <c r="T57" t="s">
        <v>249</v>
      </c>
      <c r="U57">
        <v>4.8462876836061599E-3</v>
      </c>
      <c r="V57" t="s">
        <v>161</v>
      </c>
      <c r="X57">
        <v>5.5936073059360729E-3</v>
      </c>
      <c r="Y57">
        <v>1.0882662489951853E-2</v>
      </c>
      <c r="Z57" t="s">
        <v>249</v>
      </c>
      <c r="AA57" t="s">
        <v>25</v>
      </c>
      <c r="AC57" t="s">
        <v>22</v>
      </c>
      <c r="AD57" t="s">
        <v>249</v>
      </c>
      <c r="AE57">
        <v>5.5882093071262986E-3</v>
      </c>
      <c r="AG57" t="s">
        <v>100</v>
      </c>
      <c r="AH57" t="s">
        <v>249</v>
      </c>
      <c r="AI57">
        <v>7.8242080419164584E-2</v>
      </c>
      <c r="AK57">
        <v>2027</v>
      </c>
      <c r="AL57" t="s">
        <v>264</v>
      </c>
      <c r="AM57">
        <v>0.30130000000000001</v>
      </c>
      <c r="AN57" t="s">
        <v>236</v>
      </c>
    </row>
    <row r="58" spans="5:40" x14ac:dyDescent="0.45">
      <c r="E58" t="s">
        <v>361</v>
      </c>
      <c r="G58" t="s">
        <v>337</v>
      </c>
      <c r="I58" t="s">
        <v>159</v>
      </c>
      <c r="J58" t="s">
        <v>269</v>
      </c>
      <c r="K58">
        <v>1.2904206321180559E-2</v>
      </c>
      <c r="L58" t="s">
        <v>161</v>
      </c>
      <c r="N58" t="s">
        <v>195</v>
      </c>
      <c r="O58" t="s">
        <v>269</v>
      </c>
      <c r="P58">
        <v>2.6896500363949045E-2</v>
      </c>
      <c r="Q58" t="s">
        <v>161</v>
      </c>
      <c r="S58" t="s">
        <v>217</v>
      </c>
      <c r="T58" t="s">
        <v>269</v>
      </c>
      <c r="U58">
        <v>2.7194335082471717E-2</v>
      </c>
      <c r="V58" t="s">
        <v>161</v>
      </c>
      <c r="X58">
        <v>3.3561643835616439E-2</v>
      </c>
      <c r="Y58">
        <v>2.9561859301063243E-2</v>
      </c>
      <c r="Z58" t="s">
        <v>269</v>
      </c>
      <c r="AA58" t="s">
        <v>25</v>
      </c>
      <c r="AC58" t="s">
        <v>22</v>
      </c>
      <c r="AD58" t="s">
        <v>269</v>
      </c>
      <c r="AE58">
        <v>2.8773212811634464E-2</v>
      </c>
      <c r="AG58" t="s">
        <v>100</v>
      </c>
      <c r="AH58" t="s">
        <v>269</v>
      </c>
      <c r="AI58">
        <v>0.16362623004997934</v>
      </c>
      <c r="AK58">
        <v>2027</v>
      </c>
      <c r="AL58" t="s">
        <v>265</v>
      </c>
      <c r="AM58">
        <v>0.30130000000000001</v>
      </c>
      <c r="AN58" t="s">
        <v>236</v>
      </c>
    </row>
    <row r="59" spans="5:40" x14ac:dyDescent="0.45">
      <c r="E59" t="s">
        <v>151</v>
      </c>
      <c r="G59" t="s">
        <v>150</v>
      </c>
      <c r="I59" t="s">
        <v>159</v>
      </c>
      <c r="J59" t="s">
        <v>362</v>
      </c>
      <c r="K59">
        <v>0</v>
      </c>
      <c r="L59" t="s">
        <v>161</v>
      </c>
      <c r="N59" t="s">
        <v>195</v>
      </c>
      <c r="O59" t="s">
        <v>362</v>
      </c>
      <c r="P59">
        <v>2.808493329401365E-5</v>
      </c>
      <c r="Q59" t="s">
        <v>161</v>
      </c>
      <c r="S59" t="s">
        <v>217</v>
      </c>
      <c r="T59" t="s">
        <v>362</v>
      </c>
      <c r="U59">
        <v>5.3854145870949065E-5</v>
      </c>
      <c r="V59" t="s">
        <v>161</v>
      </c>
      <c r="X59">
        <v>1.1415525114155251E-4</v>
      </c>
      <c r="Y59">
        <v>2.1546544680075254E-5</v>
      </c>
      <c r="Z59" t="s">
        <v>362</v>
      </c>
      <c r="AA59" t="s">
        <v>25</v>
      </c>
      <c r="AC59" t="s">
        <v>22</v>
      </c>
      <c r="AD59" t="s">
        <v>362</v>
      </c>
      <c r="AE59">
        <v>6.5468026026850004E-5</v>
      </c>
      <c r="AG59" t="s">
        <v>100</v>
      </c>
      <c r="AH59" t="s">
        <v>362</v>
      </c>
      <c r="AI59">
        <v>0</v>
      </c>
      <c r="AK59">
        <v>2028</v>
      </c>
      <c r="AL59" t="s">
        <v>149</v>
      </c>
      <c r="AM59">
        <v>0.29943333333333327</v>
      </c>
      <c r="AN59" t="s">
        <v>236</v>
      </c>
    </row>
    <row r="60" spans="5:40" x14ac:dyDescent="0.45">
      <c r="E60" t="s">
        <v>154</v>
      </c>
      <c r="G60" t="s">
        <v>150</v>
      </c>
      <c r="I60" t="s">
        <v>159</v>
      </c>
      <c r="J60" t="s">
        <v>363</v>
      </c>
      <c r="K60">
        <v>0</v>
      </c>
      <c r="L60" t="s">
        <v>161</v>
      </c>
      <c r="N60" t="s">
        <v>195</v>
      </c>
      <c r="O60" t="s">
        <v>363</v>
      </c>
      <c r="P60">
        <v>2.433188903808581E-5</v>
      </c>
      <c r="Q60" t="s">
        <v>161</v>
      </c>
      <c r="S60" t="s">
        <v>217</v>
      </c>
      <c r="T60" t="s">
        <v>363</v>
      </c>
      <c r="U60">
        <v>5.1307295695950976E-5</v>
      </c>
      <c r="V60" t="s">
        <v>161</v>
      </c>
      <c r="X60">
        <v>1.1415525114155251E-4</v>
      </c>
      <c r="Y60">
        <v>1.4916838624667481E-5</v>
      </c>
      <c r="Z60" t="s">
        <v>363</v>
      </c>
      <c r="AA60" t="s">
        <v>25</v>
      </c>
      <c r="AC60" t="s">
        <v>22</v>
      </c>
      <c r="AD60" t="s">
        <v>363</v>
      </c>
      <c r="AE60">
        <v>6.4195402621517822E-5</v>
      </c>
      <c r="AG60" t="s">
        <v>100</v>
      </c>
      <c r="AH60" t="s">
        <v>363</v>
      </c>
      <c r="AI60">
        <v>0</v>
      </c>
      <c r="AK60">
        <v>2028</v>
      </c>
      <c r="AL60" t="s">
        <v>153</v>
      </c>
      <c r="AM60">
        <v>0.32604999999999995</v>
      </c>
      <c r="AN60" t="s">
        <v>236</v>
      </c>
    </row>
    <row r="61" spans="5:40" x14ac:dyDescent="0.45">
      <c r="E61" t="s">
        <v>156</v>
      </c>
      <c r="G61" t="s">
        <v>150</v>
      </c>
      <c r="I61" t="s">
        <v>159</v>
      </c>
      <c r="J61" t="s">
        <v>364</v>
      </c>
      <c r="K61">
        <v>0</v>
      </c>
      <c r="L61" t="s">
        <v>161</v>
      </c>
      <c r="N61" t="s">
        <v>195</v>
      </c>
      <c r="O61" t="s">
        <v>364</v>
      </c>
      <c r="P61">
        <v>2.2533121237233393E-5</v>
      </c>
      <c r="Q61" t="s">
        <v>161</v>
      </c>
      <c r="S61" t="s">
        <v>217</v>
      </c>
      <c r="T61" t="s">
        <v>364</v>
      </c>
      <c r="U61">
        <v>4.4048784435433685E-5</v>
      </c>
      <c r="V61" t="s">
        <v>161</v>
      </c>
      <c r="X61">
        <v>1.1415525114155251E-4</v>
      </c>
      <c r="Y61">
        <v>1.6574265138519424E-5</v>
      </c>
      <c r="Z61" t="s">
        <v>364</v>
      </c>
      <c r="AA61" t="s">
        <v>25</v>
      </c>
      <c r="AC61" t="s">
        <v>22</v>
      </c>
      <c r="AD61" t="s">
        <v>364</v>
      </c>
      <c r="AE61">
        <v>6.4195402621517822E-5</v>
      </c>
      <c r="AG61" t="s">
        <v>100</v>
      </c>
      <c r="AH61" t="s">
        <v>364</v>
      </c>
      <c r="AI61">
        <v>0</v>
      </c>
      <c r="AK61">
        <v>2028</v>
      </c>
      <c r="AL61" t="s">
        <v>155</v>
      </c>
      <c r="AM61">
        <v>0.37559999999999999</v>
      </c>
      <c r="AN61" t="s">
        <v>236</v>
      </c>
    </row>
    <row r="62" spans="5:40" x14ac:dyDescent="0.45">
      <c r="E62" t="s">
        <v>238</v>
      </c>
      <c r="G62" t="s">
        <v>150</v>
      </c>
      <c r="I62" t="s">
        <v>159</v>
      </c>
      <c r="J62" t="s">
        <v>365</v>
      </c>
      <c r="K62">
        <v>0</v>
      </c>
      <c r="L62" t="s">
        <v>161</v>
      </c>
      <c r="N62" t="s">
        <v>195</v>
      </c>
      <c r="O62" t="s">
        <v>365</v>
      </c>
      <c r="P62">
        <v>2.3325070964118311E-5</v>
      </c>
      <c r="Q62" t="s">
        <v>161</v>
      </c>
      <c r="S62" t="s">
        <v>217</v>
      </c>
      <c r="T62" t="s">
        <v>365</v>
      </c>
      <c r="U62">
        <v>4.201030944998287E-5</v>
      </c>
      <c r="V62" t="s">
        <v>161</v>
      </c>
      <c r="X62">
        <v>1.1415525114155251E-4</v>
      </c>
      <c r="Y62">
        <v>1.4585353321897093E-5</v>
      </c>
      <c r="Z62" t="s">
        <v>365</v>
      </c>
      <c r="AA62" t="s">
        <v>25</v>
      </c>
      <c r="AC62" t="s">
        <v>22</v>
      </c>
      <c r="AD62" t="s">
        <v>365</v>
      </c>
      <c r="AE62">
        <v>6.5204329285204594E-5</v>
      </c>
      <c r="AG62" t="s">
        <v>100</v>
      </c>
      <c r="AH62" t="s">
        <v>365</v>
      </c>
      <c r="AI62">
        <v>0</v>
      </c>
      <c r="AK62">
        <v>2028</v>
      </c>
      <c r="AL62" t="s">
        <v>157</v>
      </c>
      <c r="AM62">
        <v>0.34876666666666667</v>
      </c>
      <c r="AN62" t="s">
        <v>236</v>
      </c>
    </row>
    <row r="63" spans="5:40" x14ac:dyDescent="0.45">
      <c r="E63" t="s">
        <v>240</v>
      </c>
      <c r="G63" t="s">
        <v>150</v>
      </c>
      <c r="I63" t="s">
        <v>159</v>
      </c>
      <c r="J63" t="s">
        <v>366</v>
      </c>
      <c r="K63">
        <v>0</v>
      </c>
      <c r="L63" t="s">
        <v>161</v>
      </c>
      <c r="N63" t="s">
        <v>195</v>
      </c>
      <c r="O63" t="s">
        <v>366</v>
      </c>
      <c r="P63">
        <v>2.0746817659326705E-5</v>
      </c>
      <c r="Q63" t="s">
        <v>161</v>
      </c>
      <c r="S63" t="s">
        <v>217</v>
      </c>
      <c r="T63" t="s">
        <v>366</v>
      </c>
      <c r="U63">
        <v>4.4966777809230607E-5</v>
      </c>
      <c r="V63" t="s">
        <v>161</v>
      </c>
      <c r="X63">
        <v>1.1415525114155251E-4</v>
      </c>
      <c r="Y63">
        <v>2.1215059377304864E-5</v>
      </c>
      <c r="Z63" t="s">
        <v>366</v>
      </c>
      <c r="AA63" t="s">
        <v>25</v>
      </c>
      <c r="AC63" t="s">
        <v>22</v>
      </c>
      <c r="AD63" t="s">
        <v>366</v>
      </c>
      <c r="AE63">
        <v>7.2120636215534635E-5</v>
      </c>
      <c r="AG63" t="s">
        <v>100</v>
      </c>
      <c r="AH63" t="s">
        <v>366</v>
      </c>
      <c r="AI63">
        <v>0</v>
      </c>
      <c r="AK63">
        <v>2028</v>
      </c>
      <c r="AL63" t="s">
        <v>239</v>
      </c>
      <c r="AM63">
        <v>0.29223333333333334</v>
      </c>
      <c r="AN63" t="s">
        <v>236</v>
      </c>
    </row>
    <row r="64" spans="5:40" x14ac:dyDescent="0.45">
      <c r="E64" t="s">
        <v>263</v>
      </c>
      <c r="G64" t="s">
        <v>150</v>
      </c>
      <c r="I64" t="s">
        <v>159</v>
      </c>
      <c r="J64" t="s">
        <v>367</v>
      </c>
      <c r="K64">
        <v>0</v>
      </c>
      <c r="L64" t="s">
        <v>161</v>
      </c>
      <c r="N64" t="s">
        <v>195</v>
      </c>
      <c r="O64" t="s">
        <v>367</v>
      </c>
      <c r="P64">
        <v>1.8924769482394246E-5</v>
      </c>
      <c r="Q64" t="s">
        <v>161</v>
      </c>
      <c r="S64" t="s">
        <v>217</v>
      </c>
      <c r="T64" t="s">
        <v>367</v>
      </c>
      <c r="U64">
        <v>4.6186954715412014E-5</v>
      </c>
      <c r="V64" t="s">
        <v>161</v>
      </c>
      <c r="X64">
        <v>1.1415525114155251E-4</v>
      </c>
      <c r="Y64">
        <v>5.7678442682047593E-5</v>
      </c>
      <c r="Z64" t="s">
        <v>367</v>
      </c>
      <c r="AA64" t="s">
        <v>25</v>
      </c>
      <c r="AC64" t="s">
        <v>22</v>
      </c>
      <c r="AD64" t="s">
        <v>367</v>
      </c>
      <c r="AE64">
        <v>9.1201388488724476E-5</v>
      </c>
      <c r="AG64" t="s">
        <v>100</v>
      </c>
      <c r="AH64" t="s">
        <v>367</v>
      </c>
      <c r="AI64">
        <v>0</v>
      </c>
      <c r="AK64">
        <v>2028</v>
      </c>
      <c r="AL64" t="s">
        <v>241</v>
      </c>
      <c r="AM64">
        <v>0.2757</v>
      </c>
      <c r="AN64" t="s">
        <v>236</v>
      </c>
    </row>
    <row r="65" spans="9:40" x14ac:dyDescent="0.45">
      <c r="I65" t="s">
        <v>159</v>
      </c>
      <c r="J65" t="s">
        <v>368</v>
      </c>
      <c r="K65">
        <v>1.2967476863550453E-4</v>
      </c>
      <c r="L65" t="s">
        <v>161</v>
      </c>
      <c r="N65" t="s">
        <v>195</v>
      </c>
      <c r="O65" t="s">
        <v>368</v>
      </c>
      <c r="P65">
        <v>1.4321885928626242E-5</v>
      </c>
      <c r="Q65" t="s">
        <v>161</v>
      </c>
      <c r="S65" t="s">
        <v>217</v>
      </c>
      <c r="T65" t="s">
        <v>368</v>
      </c>
      <c r="U65">
        <v>4.8655595501477381E-5</v>
      </c>
      <c r="V65" t="s">
        <v>161</v>
      </c>
      <c r="X65">
        <v>1.1415525114155251E-4</v>
      </c>
      <c r="Y65">
        <v>1.6905750441289813E-4</v>
      </c>
      <c r="Z65" t="s">
        <v>368</v>
      </c>
      <c r="AA65" t="s">
        <v>25</v>
      </c>
      <c r="AC65" t="s">
        <v>22</v>
      </c>
      <c r="AD65" t="s">
        <v>368</v>
      </c>
      <c r="AE65">
        <v>1.0690567596128073E-4</v>
      </c>
      <c r="AG65" t="s">
        <v>100</v>
      </c>
      <c r="AH65" t="s">
        <v>368</v>
      </c>
      <c r="AI65">
        <v>0</v>
      </c>
      <c r="AK65">
        <v>2028</v>
      </c>
      <c r="AL65" t="s">
        <v>264</v>
      </c>
      <c r="AM65">
        <v>0.27650000000000002</v>
      </c>
      <c r="AN65" t="s">
        <v>236</v>
      </c>
    </row>
    <row r="66" spans="9:40" x14ac:dyDescent="0.45">
      <c r="I66" t="s">
        <v>159</v>
      </c>
      <c r="J66" t="s">
        <v>369</v>
      </c>
      <c r="K66">
        <v>2.4583449178861125E-4</v>
      </c>
      <c r="L66" t="s">
        <v>161</v>
      </c>
      <c r="N66" t="s">
        <v>195</v>
      </c>
      <c r="O66" t="s">
        <v>369</v>
      </c>
      <c r="P66">
        <v>7.4945668692693135E-6</v>
      </c>
      <c r="Q66" t="s">
        <v>161</v>
      </c>
      <c r="S66" t="s">
        <v>217</v>
      </c>
      <c r="T66" t="s">
        <v>369</v>
      </c>
      <c r="U66">
        <v>5.3807160483677754E-5</v>
      </c>
      <c r="V66" t="s">
        <v>161</v>
      </c>
      <c r="X66">
        <v>1.1415525114155251E-4</v>
      </c>
      <c r="Y66">
        <v>1.9060404909297337E-4</v>
      </c>
      <c r="Z66" t="s">
        <v>369</v>
      </c>
      <c r="AA66" t="s">
        <v>25</v>
      </c>
      <c r="AC66" t="s">
        <v>22</v>
      </c>
      <c r="AD66" t="s">
        <v>369</v>
      </c>
      <c r="AE66">
        <v>1.1709526201073093E-4</v>
      </c>
      <c r="AG66" t="s">
        <v>100</v>
      </c>
      <c r="AH66" t="s">
        <v>369</v>
      </c>
      <c r="AI66">
        <v>0</v>
      </c>
      <c r="AK66">
        <v>2028</v>
      </c>
      <c r="AL66" t="s">
        <v>265</v>
      </c>
      <c r="AM66">
        <v>0.27650000000000002</v>
      </c>
      <c r="AN66" t="s">
        <v>236</v>
      </c>
    </row>
    <row r="67" spans="9:40" x14ac:dyDescent="0.45">
      <c r="I67" t="s">
        <v>159</v>
      </c>
      <c r="J67" t="s">
        <v>370</v>
      </c>
      <c r="K67">
        <v>3.2926821265441775E-4</v>
      </c>
      <c r="L67" t="s">
        <v>161</v>
      </c>
      <c r="N67" t="s">
        <v>195</v>
      </c>
      <c r="O67" t="s">
        <v>370</v>
      </c>
      <c r="P67">
        <v>3.2676521293278754E-6</v>
      </c>
      <c r="Q67" t="s">
        <v>161</v>
      </c>
      <c r="S67" t="s">
        <v>217</v>
      </c>
      <c r="T67" t="s">
        <v>370</v>
      </c>
      <c r="U67">
        <v>6.1946647114759137E-5</v>
      </c>
      <c r="V67" t="s">
        <v>161</v>
      </c>
      <c r="X67">
        <v>1.1415525114155251E-4</v>
      </c>
      <c r="Y67">
        <v>1.4585353321897094E-4</v>
      </c>
      <c r="Z67" t="s">
        <v>370</v>
      </c>
      <c r="AA67" t="s">
        <v>25</v>
      </c>
      <c r="AC67" t="s">
        <v>22</v>
      </c>
      <c r="AD67" t="s">
        <v>370</v>
      </c>
      <c r="AE67">
        <v>1.2433545733025583E-4</v>
      </c>
      <c r="AG67" t="s">
        <v>100</v>
      </c>
      <c r="AH67" t="s">
        <v>370</v>
      </c>
      <c r="AI67">
        <v>0</v>
      </c>
      <c r="AK67">
        <v>2029</v>
      </c>
      <c r="AL67" t="s">
        <v>149</v>
      </c>
      <c r="AM67">
        <v>0.32450000000000001</v>
      </c>
      <c r="AN67" t="s">
        <v>236</v>
      </c>
    </row>
    <row r="68" spans="9:40" x14ac:dyDescent="0.45">
      <c r="I68" t="s">
        <v>159</v>
      </c>
      <c r="J68" t="s">
        <v>371</v>
      </c>
      <c r="K68">
        <v>4.1062826689240701E-4</v>
      </c>
      <c r="L68" t="s">
        <v>161</v>
      </c>
      <c r="N68" t="s">
        <v>195</v>
      </c>
      <c r="O68" t="s">
        <v>371</v>
      </c>
      <c r="P68">
        <v>4.207792481219694E-6</v>
      </c>
      <c r="Q68" t="s">
        <v>161</v>
      </c>
      <c r="S68" t="s">
        <v>217</v>
      </c>
      <c r="T68" t="s">
        <v>371</v>
      </c>
      <c r="U68">
        <v>7.1329168914707018E-5</v>
      </c>
      <c r="V68" t="s">
        <v>161</v>
      </c>
      <c r="X68">
        <v>1.1415525114155251E-4</v>
      </c>
      <c r="Y68">
        <v>1.4452759200788939E-4</v>
      </c>
      <c r="Z68" t="s">
        <v>371</v>
      </c>
      <c r="AA68" t="s">
        <v>25</v>
      </c>
      <c r="AC68" t="s">
        <v>22</v>
      </c>
      <c r="AD68" t="s">
        <v>371</v>
      </c>
      <c r="AE68">
        <v>1.246249504922796E-4</v>
      </c>
      <c r="AG68" t="s">
        <v>100</v>
      </c>
      <c r="AH68" t="s">
        <v>371</v>
      </c>
      <c r="AI68">
        <v>0</v>
      </c>
      <c r="AK68">
        <v>2029</v>
      </c>
      <c r="AL68" t="s">
        <v>153</v>
      </c>
      <c r="AM68">
        <v>0.33300000000000002</v>
      </c>
      <c r="AN68" t="s">
        <v>236</v>
      </c>
    </row>
    <row r="69" spans="9:40" x14ac:dyDescent="0.45">
      <c r="I69" t="s">
        <v>159</v>
      </c>
      <c r="J69" t="s">
        <v>372</v>
      </c>
      <c r="K69">
        <v>4.0786625867382802E-4</v>
      </c>
      <c r="L69" t="s">
        <v>161</v>
      </c>
      <c r="N69" t="s">
        <v>195</v>
      </c>
      <c r="O69" t="s">
        <v>372</v>
      </c>
      <c r="P69">
        <v>5.4297720624814617E-6</v>
      </c>
      <c r="Q69" t="s">
        <v>161</v>
      </c>
      <c r="S69" t="s">
        <v>217</v>
      </c>
      <c r="T69" t="s">
        <v>372</v>
      </c>
      <c r="U69">
        <v>8.0855079980724501E-5</v>
      </c>
      <c r="V69" t="s">
        <v>161</v>
      </c>
      <c r="X69">
        <v>1.1415525114155251E-4</v>
      </c>
      <c r="Y69">
        <v>1.408812536774151E-4</v>
      </c>
      <c r="Z69" t="s">
        <v>372</v>
      </c>
      <c r="AA69" t="s">
        <v>25</v>
      </c>
      <c r="AC69" t="s">
        <v>22</v>
      </c>
      <c r="AD69" t="s">
        <v>372</v>
      </c>
      <c r="AE69">
        <v>1.2505775710084979E-4</v>
      </c>
      <c r="AG69" t="s">
        <v>100</v>
      </c>
      <c r="AH69" t="s">
        <v>372</v>
      </c>
      <c r="AI69">
        <v>0</v>
      </c>
      <c r="AK69">
        <v>2029</v>
      </c>
      <c r="AL69" t="s">
        <v>155</v>
      </c>
      <c r="AM69">
        <v>0.37572499999999998</v>
      </c>
      <c r="AN69" t="s">
        <v>236</v>
      </c>
    </row>
    <row r="70" spans="9:40" x14ac:dyDescent="0.45">
      <c r="I70" t="s">
        <v>159</v>
      </c>
      <c r="J70" t="s">
        <v>373</v>
      </c>
      <c r="K70">
        <v>4.0321004963276126E-4</v>
      </c>
      <c r="L70" t="s">
        <v>161</v>
      </c>
      <c r="N70" t="s">
        <v>195</v>
      </c>
      <c r="O70" t="s">
        <v>373</v>
      </c>
      <c r="P70">
        <v>5.6773414188372835E-6</v>
      </c>
      <c r="Q70" t="s">
        <v>161</v>
      </c>
      <c r="S70" t="s">
        <v>217</v>
      </c>
      <c r="T70" t="s">
        <v>373</v>
      </c>
      <c r="U70">
        <v>8.3234070468824199E-5</v>
      </c>
      <c r="V70" t="s">
        <v>161</v>
      </c>
      <c r="X70">
        <v>1.1415525114155251E-4</v>
      </c>
      <c r="Y70">
        <v>1.4054976837464471E-4</v>
      </c>
      <c r="Z70" t="s">
        <v>373</v>
      </c>
      <c r="AA70" t="s">
        <v>25</v>
      </c>
      <c r="AC70" t="s">
        <v>22</v>
      </c>
      <c r="AD70" t="s">
        <v>373</v>
      </c>
      <c r="AE70">
        <v>1.2559948192879524E-4</v>
      </c>
      <c r="AG70" t="s">
        <v>100</v>
      </c>
      <c r="AH70" t="s">
        <v>373</v>
      </c>
      <c r="AI70">
        <v>0</v>
      </c>
      <c r="AK70">
        <v>2029</v>
      </c>
      <c r="AL70" t="s">
        <v>157</v>
      </c>
      <c r="AM70">
        <v>0.33100000000000002</v>
      </c>
      <c r="AN70" t="s">
        <v>236</v>
      </c>
    </row>
    <row r="71" spans="9:40" x14ac:dyDescent="0.45">
      <c r="I71" t="s">
        <v>159</v>
      </c>
      <c r="J71" t="s">
        <v>374</v>
      </c>
      <c r="K71">
        <v>3.0466817328784861E-4</v>
      </c>
      <c r="L71" t="s">
        <v>161</v>
      </c>
      <c r="N71" t="s">
        <v>195</v>
      </c>
      <c r="O71" t="s">
        <v>374</v>
      </c>
      <c r="P71">
        <v>7.3222828469284243E-6</v>
      </c>
      <c r="Q71" t="s">
        <v>161</v>
      </c>
      <c r="S71" t="s">
        <v>217</v>
      </c>
      <c r="T71" t="s">
        <v>374</v>
      </c>
      <c r="U71">
        <v>8.2762160636651487E-5</v>
      </c>
      <c r="V71" t="s">
        <v>161</v>
      </c>
      <c r="X71">
        <v>1.1415525114155251E-4</v>
      </c>
      <c r="Y71">
        <v>1.4253868019126702E-4</v>
      </c>
      <c r="Z71" t="s">
        <v>374</v>
      </c>
      <c r="AA71" t="s">
        <v>25</v>
      </c>
      <c r="AC71" t="s">
        <v>22</v>
      </c>
      <c r="AD71" t="s">
        <v>374</v>
      </c>
      <c r="AE71">
        <v>1.2581731836754578E-4</v>
      </c>
      <c r="AG71" t="s">
        <v>100</v>
      </c>
      <c r="AH71" t="s">
        <v>374</v>
      </c>
      <c r="AI71">
        <v>0</v>
      </c>
      <c r="AK71">
        <v>2029</v>
      </c>
      <c r="AL71" t="s">
        <v>239</v>
      </c>
      <c r="AM71">
        <v>0.28889999999999999</v>
      </c>
      <c r="AN71" t="s">
        <v>236</v>
      </c>
    </row>
    <row r="72" spans="9:40" x14ac:dyDescent="0.45">
      <c r="I72" t="s">
        <v>159</v>
      </c>
      <c r="J72" t="s">
        <v>375</v>
      </c>
      <c r="K72">
        <v>3.112230271972004E-4</v>
      </c>
      <c r="L72" t="s">
        <v>161</v>
      </c>
      <c r="N72" t="s">
        <v>195</v>
      </c>
      <c r="O72" t="s">
        <v>375</v>
      </c>
      <c r="P72">
        <v>7.3651953150631E-6</v>
      </c>
      <c r="Q72" t="s">
        <v>161</v>
      </c>
      <c r="S72" t="s">
        <v>217</v>
      </c>
      <c r="T72" t="s">
        <v>375</v>
      </c>
      <c r="U72">
        <v>8.1771090377326825E-5</v>
      </c>
      <c r="V72" t="s">
        <v>161</v>
      </c>
      <c r="X72">
        <v>1.1415525114155251E-4</v>
      </c>
      <c r="Y72">
        <v>1.4883690094390442E-4</v>
      </c>
      <c r="Z72" t="s">
        <v>375</v>
      </c>
      <c r="AA72" t="s">
        <v>25</v>
      </c>
      <c r="AC72" t="s">
        <v>22</v>
      </c>
      <c r="AD72" t="s">
        <v>375</v>
      </c>
      <c r="AE72">
        <v>1.2463354929907243E-4</v>
      </c>
      <c r="AG72" t="s">
        <v>100</v>
      </c>
      <c r="AH72" t="s">
        <v>375</v>
      </c>
      <c r="AI72">
        <v>0</v>
      </c>
      <c r="AK72">
        <v>2029</v>
      </c>
      <c r="AL72" t="s">
        <v>241</v>
      </c>
      <c r="AM72">
        <v>0.29915000000000003</v>
      </c>
      <c r="AN72" t="s">
        <v>236</v>
      </c>
    </row>
    <row r="73" spans="9:40" x14ac:dyDescent="0.45">
      <c r="I73" t="s">
        <v>159</v>
      </c>
      <c r="J73" t="s">
        <v>376</v>
      </c>
      <c r="K73">
        <v>3.0664710575675633E-4</v>
      </c>
      <c r="L73" t="s">
        <v>161</v>
      </c>
      <c r="N73" t="s">
        <v>195</v>
      </c>
      <c r="O73" t="s">
        <v>376</v>
      </c>
      <c r="P73">
        <v>4.673985193233757E-6</v>
      </c>
      <c r="Q73" t="s">
        <v>161</v>
      </c>
      <c r="S73" t="s">
        <v>217</v>
      </c>
      <c r="T73" t="s">
        <v>376</v>
      </c>
      <c r="U73">
        <v>7.751830249533603E-5</v>
      </c>
      <c r="V73" t="s">
        <v>161</v>
      </c>
      <c r="X73">
        <v>1.1415525114155251E-4</v>
      </c>
      <c r="Y73">
        <v>1.5049432745775637E-4</v>
      </c>
      <c r="Z73" t="s">
        <v>376</v>
      </c>
      <c r="AA73" t="s">
        <v>25</v>
      </c>
      <c r="AC73" t="s">
        <v>22</v>
      </c>
      <c r="AD73" t="s">
        <v>376</v>
      </c>
      <c r="AE73">
        <v>1.2330933305298349E-4</v>
      </c>
      <c r="AG73" t="s">
        <v>100</v>
      </c>
      <c r="AH73" t="s">
        <v>376</v>
      </c>
      <c r="AI73">
        <v>0</v>
      </c>
      <c r="AK73">
        <v>2029</v>
      </c>
      <c r="AL73" t="s">
        <v>264</v>
      </c>
      <c r="AM73">
        <v>0.3135</v>
      </c>
      <c r="AN73" t="s">
        <v>236</v>
      </c>
    </row>
    <row r="74" spans="9:40" x14ac:dyDescent="0.45">
      <c r="I74" t="s">
        <v>159</v>
      </c>
      <c r="J74" t="s">
        <v>377</v>
      </c>
      <c r="K74">
        <v>2.9997752881456635E-4</v>
      </c>
      <c r="L74" t="s">
        <v>161</v>
      </c>
      <c r="N74" t="s">
        <v>195</v>
      </c>
      <c r="O74" t="s">
        <v>377</v>
      </c>
      <c r="P74">
        <v>1.4985700278188237E-6</v>
      </c>
      <c r="Q74" t="s">
        <v>161</v>
      </c>
      <c r="S74" t="s">
        <v>217</v>
      </c>
      <c r="T74" t="s">
        <v>377</v>
      </c>
      <c r="U74">
        <v>7.2999984835864386E-5</v>
      </c>
      <c r="V74" t="s">
        <v>161</v>
      </c>
      <c r="X74">
        <v>1.1415525114155251E-4</v>
      </c>
      <c r="Y74">
        <v>1.7237235744060203E-4</v>
      </c>
      <c r="Z74" t="s">
        <v>377</v>
      </c>
      <c r="AA74" t="s">
        <v>25</v>
      </c>
      <c r="AC74" t="s">
        <v>22</v>
      </c>
      <c r="AD74" t="s">
        <v>377</v>
      </c>
      <c r="AE74">
        <v>1.2298544466378861E-4</v>
      </c>
      <c r="AG74" t="s">
        <v>100</v>
      </c>
      <c r="AH74" t="s">
        <v>377</v>
      </c>
      <c r="AI74">
        <v>0</v>
      </c>
      <c r="AK74">
        <v>2029</v>
      </c>
      <c r="AL74" t="s">
        <v>265</v>
      </c>
      <c r="AM74">
        <v>0.3135</v>
      </c>
      <c r="AN74" t="s">
        <v>236</v>
      </c>
    </row>
    <row r="75" spans="9:40" x14ac:dyDescent="0.45">
      <c r="I75" t="s">
        <v>159</v>
      </c>
      <c r="J75" t="s">
        <v>378</v>
      </c>
      <c r="K75">
        <v>3.5279575318081967E-4</v>
      </c>
      <c r="L75" t="s">
        <v>161</v>
      </c>
      <c r="N75" t="s">
        <v>195</v>
      </c>
      <c r="O75" t="s">
        <v>378</v>
      </c>
      <c r="P75">
        <v>1.3073783488060418E-6</v>
      </c>
      <c r="Q75" t="s">
        <v>161</v>
      </c>
      <c r="S75" t="s">
        <v>217</v>
      </c>
      <c r="T75" t="s">
        <v>378</v>
      </c>
      <c r="U75">
        <v>5.8231863697145716E-5</v>
      </c>
      <c r="V75" t="s">
        <v>161</v>
      </c>
      <c r="X75">
        <v>1.1415525114155251E-4</v>
      </c>
      <c r="Y75">
        <v>2.2209515285616027E-4</v>
      </c>
      <c r="Z75" t="s">
        <v>378</v>
      </c>
      <c r="AA75" t="s">
        <v>25</v>
      </c>
      <c r="AC75" t="s">
        <v>22</v>
      </c>
      <c r="AD75" t="s">
        <v>378</v>
      </c>
      <c r="AE75">
        <v>1.2251824282804728E-4</v>
      </c>
      <c r="AG75" t="s">
        <v>100</v>
      </c>
      <c r="AH75" t="s">
        <v>378</v>
      </c>
      <c r="AI75">
        <v>0</v>
      </c>
      <c r="AK75">
        <v>2030</v>
      </c>
      <c r="AL75" t="s">
        <v>149</v>
      </c>
      <c r="AM75">
        <v>0.30453333333333338</v>
      </c>
      <c r="AN75" t="s">
        <v>236</v>
      </c>
    </row>
    <row r="76" spans="9:40" x14ac:dyDescent="0.45">
      <c r="I76" t="s">
        <v>159</v>
      </c>
      <c r="J76" t="s">
        <v>379</v>
      </c>
      <c r="K76">
        <v>3.253821222159839E-4</v>
      </c>
      <c r="L76" t="s">
        <v>161</v>
      </c>
      <c r="N76" t="s">
        <v>195</v>
      </c>
      <c r="O76" t="s">
        <v>379</v>
      </c>
      <c r="P76">
        <v>5.169535574715845E-7</v>
      </c>
      <c r="Q76" t="s">
        <v>161</v>
      </c>
      <c r="S76" t="s">
        <v>217</v>
      </c>
      <c r="T76" t="s">
        <v>379</v>
      </c>
      <c r="U76">
        <v>4.4512140538887436E-5</v>
      </c>
      <c r="V76" t="s">
        <v>161</v>
      </c>
      <c r="X76">
        <v>1.1415525114155251E-4</v>
      </c>
      <c r="Y76">
        <v>2.2209515285616027E-4</v>
      </c>
      <c r="Z76" t="s">
        <v>379</v>
      </c>
      <c r="AA76" t="s">
        <v>25</v>
      </c>
      <c r="AC76" t="s">
        <v>22</v>
      </c>
      <c r="AD76" t="s">
        <v>379</v>
      </c>
      <c r="AE76">
        <v>1.2251824282804731E-4</v>
      </c>
      <c r="AG76" t="s">
        <v>100</v>
      </c>
      <c r="AH76" t="s">
        <v>379</v>
      </c>
      <c r="AI76">
        <v>0</v>
      </c>
      <c r="AK76">
        <v>2030</v>
      </c>
      <c r="AL76" t="s">
        <v>153</v>
      </c>
      <c r="AM76">
        <v>0.33479999999999999</v>
      </c>
      <c r="AN76" t="s">
        <v>236</v>
      </c>
    </row>
    <row r="77" spans="9:40" x14ac:dyDescent="0.45">
      <c r="I77" t="s">
        <v>159</v>
      </c>
      <c r="J77" t="s">
        <v>380</v>
      </c>
      <c r="K77">
        <v>2.5152202586851144E-4</v>
      </c>
      <c r="L77" t="s">
        <v>161</v>
      </c>
      <c r="N77" t="s">
        <v>195</v>
      </c>
      <c r="O77" t="s">
        <v>380</v>
      </c>
      <c r="P77">
        <v>2.4203260202503842E-7</v>
      </c>
      <c r="Q77" t="s">
        <v>161</v>
      </c>
      <c r="S77" t="s">
        <v>217</v>
      </c>
      <c r="T77" t="s">
        <v>380</v>
      </c>
      <c r="U77">
        <v>3.3265535068934249E-5</v>
      </c>
      <c r="V77" t="s">
        <v>161</v>
      </c>
      <c r="X77">
        <v>1.1415525114155251E-4</v>
      </c>
      <c r="Y77">
        <v>1.7237235744060203E-4</v>
      </c>
      <c r="Z77" t="s">
        <v>380</v>
      </c>
      <c r="AA77" t="s">
        <v>25</v>
      </c>
      <c r="AC77" t="s">
        <v>22</v>
      </c>
      <c r="AD77" t="s">
        <v>380</v>
      </c>
      <c r="AE77">
        <v>1.212628170363007E-4</v>
      </c>
      <c r="AG77" t="s">
        <v>100</v>
      </c>
      <c r="AH77" t="s">
        <v>380</v>
      </c>
      <c r="AI77">
        <v>0</v>
      </c>
      <c r="AK77">
        <v>2030</v>
      </c>
      <c r="AL77" t="s">
        <v>155</v>
      </c>
      <c r="AM77">
        <v>0.38885000000000003</v>
      </c>
      <c r="AN77" t="s">
        <v>236</v>
      </c>
    </row>
    <row r="78" spans="9:40" x14ac:dyDescent="0.45">
      <c r="I78" t="s">
        <v>159</v>
      </c>
      <c r="J78" t="s">
        <v>381</v>
      </c>
      <c r="K78">
        <v>1.7337289908851228E-4</v>
      </c>
      <c r="L78" t="s">
        <v>161</v>
      </c>
      <c r="N78" t="s">
        <v>195</v>
      </c>
      <c r="O78" t="s">
        <v>381</v>
      </c>
      <c r="P78">
        <v>4.5860093424297478E-7</v>
      </c>
      <c r="Q78" t="s">
        <v>161</v>
      </c>
      <c r="S78" t="s">
        <v>217</v>
      </c>
      <c r="T78" t="s">
        <v>381</v>
      </c>
      <c r="U78">
        <v>2.6770613568389326E-5</v>
      </c>
      <c r="V78" t="s">
        <v>161</v>
      </c>
      <c r="X78">
        <v>1.1415525114155251E-4</v>
      </c>
      <c r="Y78">
        <v>1.5579809230208258E-4</v>
      </c>
      <c r="Z78" t="s">
        <v>381</v>
      </c>
      <c r="AA78" t="s">
        <v>25</v>
      </c>
      <c r="AC78" t="s">
        <v>22</v>
      </c>
      <c r="AD78" t="s">
        <v>381</v>
      </c>
      <c r="AE78">
        <v>1.18370751684994E-4</v>
      </c>
      <c r="AG78" t="s">
        <v>100</v>
      </c>
      <c r="AH78" t="s">
        <v>381</v>
      </c>
      <c r="AI78">
        <v>0</v>
      </c>
      <c r="AK78">
        <v>2030</v>
      </c>
      <c r="AL78" t="s">
        <v>157</v>
      </c>
      <c r="AM78">
        <v>0.35053333333333336</v>
      </c>
      <c r="AN78" t="s">
        <v>236</v>
      </c>
    </row>
    <row r="79" spans="9:40" x14ac:dyDescent="0.45">
      <c r="I79" t="s">
        <v>159</v>
      </c>
      <c r="J79" t="s">
        <v>382</v>
      </c>
      <c r="K79">
        <v>0</v>
      </c>
      <c r="L79" t="s">
        <v>161</v>
      </c>
      <c r="N79" t="s">
        <v>195</v>
      </c>
      <c r="O79" t="s">
        <v>382</v>
      </c>
      <c r="P79">
        <v>1.4947823522307398E-6</v>
      </c>
      <c r="Q79" t="s">
        <v>161</v>
      </c>
      <c r="S79" t="s">
        <v>217</v>
      </c>
      <c r="T79" t="s">
        <v>382</v>
      </c>
      <c r="U79">
        <v>1.9463223230953352E-5</v>
      </c>
      <c r="V79" t="s">
        <v>161</v>
      </c>
      <c r="X79">
        <v>1.1415525114155251E-4</v>
      </c>
      <c r="Y79">
        <v>1.093901499142282E-4</v>
      </c>
      <c r="Z79" t="s">
        <v>382</v>
      </c>
      <c r="AA79" t="s">
        <v>25</v>
      </c>
      <c r="AC79" t="s">
        <v>22</v>
      </c>
      <c r="AD79" t="s">
        <v>382</v>
      </c>
      <c r="AE79">
        <v>1.1000124640668331E-4</v>
      </c>
      <c r="AG79" t="s">
        <v>100</v>
      </c>
      <c r="AH79" t="s">
        <v>382</v>
      </c>
      <c r="AI79">
        <v>0</v>
      </c>
      <c r="AK79">
        <v>2030</v>
      </c>
      <c r="AL79" t="s">
        <v>239</v>
      </c>
      <c r="AM79">
        <v>0.29209999999999997</v>
      </c>
      <c r="AN79" t="s">
        <v>236</v>
      </c>
    </row>
    <row r="80" spans="9:40" x14ac:dyDescent="0.45">
      <c r="I80" t="s">
        <v>159</v>
      </c>
      <c r="J80" t="s">
        <v>383</v>
      </c>
      <c r="K80">
        <v>0</v>
      </c>
      <c r="L80" t="s">
        <v>161</v>
      </c>
      <c r="N80" t="s">
        <v>195</v>
      </c>
      <c r="O80" t="s">
        <v>383</v>
      </c>
      <c r="P80">
        <v>2.9969884069170503E-6</v>
      </c>
      <c r="Q80" t="s">
        <v>161</v>
      </c>
      <c r="S80" t="s">
        <v>217</v>
      </c>
      <c r="T80" t="s">
        <v>383</v>
      </c>
      <c r="U80">
        <v>1.1407001751889742E-5</v>
      </c>
      <c r="V80" t="s">
        <v>161</v>
      </c>
      <c r="X80">
        <v>1.1415525114155251E-4</v>
      </c>
      <c r="Y80">
        <v>7.9556472664893237E-5</v>
      </c>
      <c r="Z80" t="s">
        <v>383</v>
      </c>
      <c r="AA80" t="s">
        <v>25</v>
      </c>
      <c r="AC80" t="s">
        <v>22</v>
      </c>
      <c r="AD80" t="s">
        <v>383</v>
      </c>
      <c r="AE80">
        <v>1.0112154525866737E-4</v>
      </c>
      <c r="AG80" t="s">
        <v>100</v>
      </c>
      <c r="AH80" t="s">
        <v>383</v>
      </c>
      <c r="AI80">
        <v>0</v>
      </c>
      <c r="AK80">
        <v>2030</v>
      </c>
      <c r="AL80" t="s">
        <v>241</v>
      </c>
      <c r="AM80">
        <v>0.26619999999999999</v>
      </c>
      <c r="AN80" t="s">
        <v>236</v>
      </c>
    </row>
    <row r="81" spans="9:40" x14ac:dyDescent="0.45">
      <c r="I81" t="s">
        <v>159</v>
      </c>
      <c r="J81" t="s">
        <v>384</v>
      </c>
      <c r="K81">
        <v>0</v>
      </c>
      <c r="L81" t="s">
        <v>161</v>
      </c>
      <c r="N81" t="s">
        <v>195</v>
      </c>
      <c r="O81" t="s">
        <v>384</v>
      </c>
      <c r="P81">
        <v>3.8175433525773699E-6</v>
      </c>
      <c r="Q81" t="s">
        <v>161</v>
      </c>
      <c r="S81" t="s">
        <v>217</v>
      </c>
      <c r="T81" t="s">
        <v>384</v>
      </c>
      <c r="U81">
        <v>5.2917093768244695E-6</v>
      </c>
      <c r="V81" t="s">
        <v>161</v>
      </c>
      <c r="X81">
        <v>1.1415525114155251E-4</v>
      </c>
      <c r="Y81">
        <v>5.6352501470966035E-5</v>
      </c>
      <c r="Z81" t="s">
        <v>384</v>
      </c>
      <c r="AA81" t="s">
        <v>25</v>
      </c>
      <c r="AC81" t="s">
        <v>22</v>
      </c>
      <c r="AD81" t="s">
        <v>384</v>
      </c>
      <c r="AE81">
        <v>8.5047509094021362E-5</v>
      </c>
      <c r="AG81" t="s">
        <v>100</v>
      </c>
      <c r="AH81" t="s">
        <v>384</v>
      </c>
      <c r="AI81">
        <v>0</v>
      </c>
      <c r="AK81">
        <v>2030</v>
      </c>
      <c r="AL81" t="s">
        <v>264</v>
      </c>
      <c r="AM81">
        <v>0.27739999999999998</v>
      </c>
      <c r="AN81" t="s">
        <v>236</v>
      </c>
    </row>
    <row r="82" spans="9:40" x14ac:dyDescent="0.45">
      <c r="I82" t="s">
        <v>159</v>
      </c>
      <c r="J82" t="s">
        <v>385</v>
      </c>
      <c r="K82">
        <v>0</v>
      </c>
      <c r="L82" t="s">
        <v>161</v>
      </c>
      <c r="N82" t="s">
        <v>195</v>
      </c>
      <c r="O82" t="s">
        <v>385</v>
      </c>
      <c r="P82">
        <v>4.2584402619389242E-6</v>
      </c>
      <c r="Q82" t="s">
        <v>161</v>
      </c>
      <c r="S82" t="s">
        <v>217</v>
      </c>
      <c r="T82" t="s">
        <v>385</v>
      </c>
      <c r="U82">
        <v>3.9855667532013131E-6</v>
      </c>
      <c r="V82" t="s">
        <v>161</v>
      </c>
      <c r="X82">
        <v>1.1415525114155251E-4</v>
      </c>
      <c r="Y82">
        <v>2.9833677249334962E-5</v>
      </c>
      <c r="Z82" t="s">
        <v>385</v>
      </c>
      <c r="AA82" t="s">
        <v>25</v>
      </c>
      <c r="AC82" t="s">
        <v>22</v>
      </c>
      <c r="AD82" t="s">
        <v>385</v>
      </c>
      <c r="AE82">
        <v>7.2911726440470854E-5</v>
      </c>
      <c r="AG82" t="s">
        <v>100</v>
      </c>
      <c r="AH82" t="s">
        <v>385</v>
      </c>
      <c r="AI82">
        <v>0</v>
      </c>
      <c r="AK82">
        <v>2030</v>
      </c>
      <c r="AL82" t="s">
        <v>265</v>
      </c>
      <c r="AM82">
        <v>0.27739999999999998</v>
      </c>
      <c r="AN82" t="s">
        <v>236</v>
      </c>
    </row>
    <row r="83" spans="9:40" x14ac:dyDescent="0.45">
      <c r="I83" t="s">
        <v>159</v>
      </c>
      <c r="J83" t="s">
        <v>250</v>
      </c>
      <c r="K83">
        <v>1.4607966896262423E-3</v>
      </c>
      <c r="L83" t="s">
        <v>161</v>
      </c>
      <c r="N83" t="s">
        <v>195</v>
      </c>
      <c r="O83" t="s">
        <v>250</v>
      </c>
      <c r="P83">
        <v>4.9531388278345898E-2</v>
      </c>
      <c r="Q83" t="s">
        <v>161</v>
      </c>
      <c r="S83" t="s">
        <v>217</v>
      </c>
      <c r="T83" t="s">
        <v>250</v>
      </c>
      <c r="U83">
        <v>5.0216796309900655E-2</v>
      </c>
      <c r="V83" t="s">
        <v>161</v>
      </c>
      <c r="X83">
        <v>4.2009132420091327E-2</v>
      </c>
      <c r="Y83">
        <v>2.3284190637197624E-2</v>
      </c>
      <c r="Z83" t="s">
        <v>250</v>
      </c>
      <c r="AA83" t="s">
        <v>25</v>
      </c>
      <c r="AC83" t="s">
        <v>22</v>
      </c>
      <c r="AD83" t="s">
        <v>250</v>
      </c>
      <c r="AE83">
        <v>3.0131403433004106E-2</v>
      </c>
      <c r="AG83" t="s">
        <v>100</v>
      </c>
      <c r="AH83" t="s">
        <v>250</v>
      </c>
      <c r="AI83">
        <v>0.31569448129128497</v>
      </c>
      <c r="AK83">
        <v>2031</v>
      </c>
      <c r="AL83" t="s">
        <v>149</v>
      </c>
      <c r="AM83">
        <v>0.29723333333333329</v>
      </c>
      <c r="AN83" t="s">
        <v>236</v>
      </c>
    </row>
    <row r="84" spans="9:40" x14ac:dyDescent="0.45">
      <c r="I84" t="s">
        <v>159</v>
      </c>
      <c r="J84" t="s">
        <v>251</v>
      </c>
      <c r="K84">
        <v>4.6239794188877867E-3</v>
      </c>
      <c r="L84" t="s">
        <v>161</v>
      </c>
      <c r="N84" t="s">
        <v>195</v>
      </c>
      <c r="O84" t="s">
        <v>251</v>
      </c>
      <c r="P84">
        <v>6.231064858780183E-3</v>
      </c>
      <c r="Q84" t="s">
        <v>161</v>
      </c>
      <c r="S84" t="s">
        <v>217</v>
      </c>
      <c r="T84" t="s">
        <v>251</v>
      </c>
      <c r="U84">
        <v>5.9915510155900669E-3</v>
      </c>
      <c r="V84" t="s">
        <v>161</v>
      </c>
      <c r="X84">
        <v>5.2511415525114159E-3</v>
      </c>
      <c r="Y84">
        <v>6.7092625280726625E-3</v>
      </c>
      <c r="Z84" t="s">
        <v>251</v>
      </c>
      <c r="AA84" t="s">
        <v>25</v>
      </c>
      <c r="AC84" t="s">
        <v>22</v>
      </c>
      <c r="AD84" t="s">
        <v>251</v>
      </c>
      <c r="AE84">
        <v>5.4895790169622594E-3</v>
      </c>
      <c r="AG84" t="s">
        <v>100</v>
      </c>
      <c r="AH84" t="s">
        <v>251</v>
      </c>
      <c r="AI84">
        <v>8.812232243987439E-2</v>
      </c>
      <c r="AK84">
        <v>2031</v>
      </c>
      <c r="AL84" t="s">
        <v>153</v>
      </c>
      <c r="AM84">
        <v>0.33565</v>
      </c>
      <c r="AN84" t="s">
        <v>236</v>
      </c>
    </row>
    <row r="85" spans="9:40" x14ac:dyDescent="0.45">
      <c r="I85" t="s">
        <v>159</v>
      </c>
      <c r="J85" t="s">
        <v>252</v>
      </c>
      <c r="K85">
        <v>7.5188542945499676E-2</v>
      </c>
      <c r="L85" t="s">
        <v>161</v>
      </c>
      <c r="N85" t="s">
        <v>195</v>
      </c>
      <c r="O85" t="s">
        <v>252</v>
      </c>
      <c r="P85">
        <v>3.9980700663777395E-2</v>
      </c>
      <c r="Q85" t="s">
        <v>161</v>
      </c>
      <c r="S85" t="s">
        <v>217</v>
      </c>
      <c r="T85" t="s">
        <v>252</v>
      </c>
      <c r="U85">
        <v>4.1644796294791238E-2</v>
      </c>
      <c r="V85" t="s">
        <v>161</v>
      </c>
      <c r="X85">
        <v>3.6757990867579908E-2</v>
      </c>
      <c r="Y85">
        <v>4.7849240484300039E-2</v>
      </c>
      <c r="Z85" t="s">
        <v>252</v>
      </c>
      <c r="AA85" t="s">
        <v>25</v>
      </c>
      <c r="AC85" t="s">
        <v>22</v>
      </c>
      <c r="AD85" t="s">
        <v>252</v>
      </c>
      <c r="AE85">
        <v>3.7873011933194159E-2</v>
      </c>
      <c r="AG85" t="s">
        <v>100</v>
      </c>
      <c r="AH85" t="s">
        <v>252</v>
      </c>
      <c r="AI85">
        <v>0.10178345931774935</v>
      </c>
      <c r="AK85">
        <v>2031</v>
      </c>
      <c r="AL85" t="s">
        <v>155</v>
      </c>
      <c r="AM85">
        <v>0.38905000000000001</v>
      </c>
      <c r="AN85" t="s">
        <v>236</v>
      </c>
    </row>
    <row r="86" spans="9:40" x14ac:dyDescent="0.45">
      <c r="I86" t="s">
        <v>159</v>
      </c>
      <c r="J86" t="s">
        <v>253</v>
      </c>
      <c r="K86">
        <v>9.1094721375783051E-3</v>
      </c>
      <c r="L86" t="s">
        <v>161</v>
      </c>
      <c r="N86" t="s">
        <v>195</v>
      </c>
      <c r="O86" t="s">
        <v>253</v>
      </c>
      <c r="P86">
        <v>6.1082689173602225E-3</v>
      </c>
      <c r="Q86" t="s">
        <v>161</v>
      </c>
      <c r="S86" t="s">
        <v>217</v>
      </c>
      <c r="T86" t="s">
        <v>253</v>
      </c>
      <c r="U86">
        <v>6.0307367329274029E-3</v>
      </c>
      <c r="V86" t="s">
        <v>161</v>
      </c>
      <c r="X86">
        <v>5.2511415525114159E-3</v>
      </c>
      <c r="Y86">
        <v>1.0216377031383372E-2</v>
      </c>
      <c r="Z86" t="s">
        <v>253</v>
      </c>
      <c r="AA86" t="s">
        <v>25</v>
      </c>
      <c r="AC86" t="s">
        <v>22</v>
      </c>
      <c r="AD86" t="s">
        <v>253</v>
      </c>
      <c r="AE86">
        <v>5.3824149541727116E-3</v>
      </c>
      <c r="AG86" t="s">
        <v>100</v>
      </c>
      <c r="AH86" t="s">
        <v>253</v>
      </c>
      <c r="AI86">
        <v>9.1036650728076429E-2</v>
      </c>
      <c r="AK86">
        <v>2031</v>
      </c>
      <c r="AL86" t="s">
        <v>157</v>
      </c>
      <c r="AM86">
        <v>0.35093333333333332</v>
      </c>
      <c r="AN86" t="s">
        <v>236</v>
      </c>
    </row>
    <row r="87" spans="9:40" x14ac:dyDescent="0.45">
      <c r="I87" t="s">
        <v>159</v>
      </c>
      <c r="J87" t="s">
        <v>254</v>
      </c>
      <c r="K87">
        <v>6.2557242647700538E-3</v>
      </c>
      <c r="L87" t="s">
        <v>161</v>
      </c>
      <c r="N87" t="s">
        <v>195</v>
      </c>
      <c r="O87" t="s">
        <v>254</v>
      </c>
      <c r="P87">
        <v>6.304444108953697E-3</v>
      </c>
      <c r="Q87" t="s">
        <v>161</v>
      </c>
      <c r="S87" t="s">
        <v>217</v>
      </c>
      <c r="T87" t="s">
        <v>254</v>
      </c>
      <c r="U87">
        <v>6.0634061589771807E-3</v>
      </c>
      <c r="V87" t="s">
        <v>161</v>
      </c>
      <c r="X87">
        <v>5.2511415525114159E-3</v>
      </c>
      <c r="Y87">
        <v>1.0216377031383372E-2</v>
      </c>
      <c r="Z87" t="s">
        <v>254</v>
      </c>
      <c r="AA87" t="s">
        <v>25</v>
      </c>
      <c r="AC87" t="s">
        <v>22</v>
      </c>
      <c r="AD87" t="s">
        <v>254</v>
      </c>
      <c r="AE87">
        <v>5.4380148388948587E-3</v>
      </c>
      <c r="AG87" t="s">
        <v>100</v>
      </c>
      <c r="AH87" t="s">
        <v>254</v>
      </c>
      <c r="AI87">
        <v>8.6449903277315387E-2</v>
      </c>
      <c r="AK87">
        <v>2031</v>
      </c>
      <c r="AL87" t="s">
        <v>239</v>
      </c>
      <c r="AM87">
        <v>0.28260000000000002</v>
      </c>
      <c r="AN87" t="s">
        <v>236</v>
      </c>
    </row>
    <row r="88" spans="9:40" x14ac:dyDescent="0.45">
      <c r="I88" t="s">
        <v>159</v>
      </c>
      <c r="J88" t="s">
        <v>270</v>
      </c>
      <c r="K88">
        <v>1.7113279557538507E-3</v>
      </c>
      <c r="L88" t="s">
        <v>161</v>
      </c>
      <c r="N88" t="s">
        <v>195</v>
      </c>
      <c r="O88" t="s">
        <v>270</v>
      </c>
      <c r="P88">
        <v>4.1090300371669268E-2</v>
      </c>
      <c r="Q88" t="s">
        <v>161</v>
      </c>
      <c r="S88" t="s">
        <v>217</v>
      </c>
      <c r="T88" t="s">
        <v>270</v>
      </c>
      <c r="U88">
        <v>3.8203659281526088E-2</v>
      </c>
      <c r="V88" t="s">
        <v>161</v>
      </c>
      <c r="X88">
        <v>3.1506849315068496E-2</v>
      </c>
      <c r="Y88">
        <v>2.775194954793692E-2</v>
      </c>
      <c r="Z88" t="s">
        <v>270</v>
      </c>
      <c r="AA88" t="s">
        <v>25</v>
      </c>
      <c r="AC88" t="s">
        <v>22</v>
      </c>
      <c r="AD88" t="s">
        <v>270</v>
      </c>
      <c r="AE88">
        <v>2.8017884631720395E-2</v>
      </c>
      <c r="AG88" t="s">
        <v>100</v>
      </c>
      <c r="AH88" t="s">
        <v>270</v>
      </c>
      <c r="AI88">
        <v>0.18295120967641321</v>
      </c>
      <c r="AK88">
        <v>2031</v>
      </c>
      <c r="AL88" t="s">
        <v>241</v>
      </c>
      <c r="AM88">
        <v>0.29385</v>
      </c>
      <c r="AN88" t="s">
        <v>236</v>
      </c>
    </row>
    <row r="89" spans="9:40" x14ac:dyDescent="0.45">
      <c r="I89" t="s">
        <v>159</v>
      </c>
      <c r="J89" t="s">
        <v>255</v>
      </c>
      <c r="K89">
        <v>0</v>
      </c>
      <c r="L89" t="s">
        <v>161</v>
      </c>
      <c r="N89" t="s">
        <v>195</v>
      </c>
      <c r="O89" t="s">
        <v>255</v>
      </c>
      <c r="P89">
        <v>5.0916040249627426E-2</v>
      </c>
      <c r="Q89" t="s">
        <v>161</v>
      </c>
      <c r="S89" t="s">
        <v>217</v>
      </c>
      <c r="T89" t="s">
        <v>255</v>
      </c>
      <c r="U89">
        <v>4.9686155898159889E-2</v>
      </c>
      <c r="V89" t="s">
        <v>161</v>
      </c>
      <c r="X89">
        <v>4.0182648401826483E-2</v>
      </c>
      <c r="Y89">
        <v>2.2271834522536858E-2</v>
      </c>
      <c r="Z89" t="s">
        <v>255</v>
      </c>
      <c r="AA89" t="s">
        <v>25</v>
      </c>
      <c r="AC89" t="s">
        <v>22</v>
      </c>
      <c r="AD89" t="s">
        <v>255</v>
      </c>
      <c r="AE89">
        <v>3.4471970053721268E-2</v>
      </c>
      <c r="AG89" t="s">
        <v>100</v>
      </c>
      <c r="AH89" t="s">
        <v>255</v>
      </c>
      <c r="AI89">
        <v>0.28143698552966234</v>
      </c>
      <c r="AK89">
        <v>2031</v>
      </c>
      <c r="AL89" t="s">
        <v>264</v>
      </c>
      <c r="AM89">
        <v>0.3281</v>
      </c>
      <c r="AN89" t="s">
        <v>236</v>
      </c>
    </row>
    <row r="90" spans="9:40" x14ac:dyDescent="0.45">
      <c r="I90" t="s">
        <v>159</v>
      </c>
      <c r="J90" t="s">
        <v>256</v>
      </c>
      <c r="K90">
        <v>7.1330286919232279E-4</v>
      </c>
      <c r="L90" t="s">
        <v>161</v>
      </c>
      <c r="N90" t="s">
        <v>195</v>
      </c>
      <c r="O90" t="s">
        <v>256</v>
      </c>
      <c r="P90">
        <v>6.9550969055640873E-3</v>
      </c>
      <c r="Q90" t="s">
        <v>161</v>
      </c>
      <c r="S90" t="s">
        <v>217</v>
      </c>
      <c r="T90" t="s">
        <v>256</v>
      </c>
      <c r="U90">
        <v>6.1219675907464898E-3</v>
      </c>
      <c r="V90" t="s">
        <v>161</v>
      </c>
      <c r="X90">
        <v>5.0228310502283104E-3</v>
      </c>
      <c r="Y90">
        <v>6.417555461634721E-3</v>
      </c>
      <c r="Z90" t="s">
        <v>256</v>
      </c>
      <c r="AA90" t="s">
        <v>25</v>
      </c>
      <c r="AC90" t="s">
        <v>22</v>
      </c>
      <c r="AD90" t="s">
        <v>256</v>
      </c>
      <c r="AE90">
        <v>6.1136138652558994E-3</v>
      </c>
      <c r="AG90" t="s">
        <v>100</v>
      </c>
      <c r="AH90" t="s">
        <v>256</v>
      </c>
      <c r="AI90">
        <v>8.1947025080065572E-2</v>
      </c>
      <c r="AK90">
        <v>2031</v>
      </c>
      <c r="AL90" t="s">
        <v>265</v>
      </c>
      <c r="AM90">
        <v>0.3281</v>
      </c>
      <c r="AN90" t="s">
        <v>236</v>
      </c>
    </row>
    <row r="91" spans="9:40" x14ac:dyDescent="0.45">
      <c r="I91" t="s">
        <v>159</v>
      </c>
      <c r="J91" t="s">
        <v>257</v>
      </c>
      <c r="K91">
        <v>5.119935911268747E-2</v>
      </c>
      <c r="L91" t="s">
        <v>161</v>
      </c>
      <c r="N91" t="s">
        <v>195</v>
      </c>
      <c r="O91" t="s">
        <v>257</v>
      </c>
      <c r="P91">
        <v>4.7467838150138227E-2</v>
      </c>
      <c r="Q91" t="s">
        <v>161</v>
      </c>
      <c r="S91" t="s">
        <v>217</v>
      </c>
      <c r="T91" t="s">
        <v>257</v>
      </c>
      <c r="U91">
        <v>4.1499301835840184E-2</v>
      </c>
      <c r="V91" t="s">
        <v>161</v>
      </c>
      <c r="X91">
        <v>3.515981735159817E-2</v>
      </c>
      <c r="Y91">
        <v>4.5768838724113074E-2</v>
      </c>
      <c r="Z91" t="s">
        <v>257</v>
      </c>
      <c r="AA91" t="s">
        <v>25</v>
      </c>
      <c r="AC91" t="s">
        <v>22</v>
      </c>
      <c r="AD91" t="s">
        <v>257</v>
      </c>
      <c r="AE91">
        <v>4.2852350139861425E-2</v>
      </c>
      <c r="AG91" t="s">
        <v>100</v>
      </c>
      <c r="AH91" t="s">
        <v>257</v>
      </c>
      <c r="AI91">
        <v>9.5571067253686692E-2</v>
      </c>
      <c r="AK91">
        <v>2032</v>
      </c>
      <c r="AL91" t="s">
        <v>149</v>
      </c>
      <c r="AM91">
        <v>0.37376666666666664</v>
      </c>
      <c r="AN91" t="s">
        <v>236</v>
      </c>
    </row>
    <row r="92" spans="9:40" x14ac:dyDescent="0.45">
      <c r="I92" t="s">
        <v>159</v>
      </c>
      <c r="J92" t="s">
        <v>258</v>
      </c>
      <c r="K92">
        <v>4.6887120121143792E-3</v>
      </c>
      <c r="L92" t="s">
        <v>161</v>
      </c>
      <c r="N92" t="s">
        <v>195</v>
      </c>
      <c r="O92" t="s">
        <v>258</v>
      </c>
      <c r="P92">
        <v>6.8210016466676753E-3</v>
      </c>
      <c r="Q92" t="s">
        <v>161</v>
      </c>
      <c r="S92" t="s">
        <v>217</v>
      </c>
      <c r="T92" t="s">
        <v>258</v>
      </c>
      <c r="U92">
        <v>6.1055938270248586E-3</v>
      </c>
      <c r="V92" t="s">
        <v>161</v>
      </c>
      <c r="X92">
        <v>5.0228310502283104E-3</v>
      </c>
      <c r="Y92">
        <v>9.7721867256710514E-3</v>
      </c>
      <c r="Z92" t="s">
        <v>258</v>
      </c>
      <c r="AA92" t="s">
        <v>25</v>
      </c>
      <c r="AC92" t="s">
        <v>22</v>
      </c>
      <c r="AD92" t="s">
        <v>258</v>
      </c>
      <c r="AE92">
        <v>6.2491539904616384E-3</v>
      </c>
      <c r="AG92" t="s">
        <v>100</v>
      </c>
      <c r="AH92" t="s">
        <v>258</v>
      </c>
      <c r="AI92">
        <v>8.2408277290820564E-2</v>
      </c>
      <c r="AK92">
        <v>2032</v>
      </c>
      <c r="AL92" t="s">
        <v>153</v>
      </c>
      <c r="AM92">
        <v>0.36985000000000001</v>
      </c>
      <c r="AN92" t="s">
        <v>236</v>
      </c>
    </row>
    <row r="93" spans="9:40" x14ac:dyDescent="0.45">
      <c r="I93" t="s">
        <v>159</v>
      </c>
      <c r="J93" t="s">
        <v>259</v>
      </c>
      <c r="K93">
        <v>2.8740934118050076E-4</v>
      </c>
      <c r="L93" t="s">
        <v>161</v>
      </c>
      <c r="N93" t="s">
        <v>195</v>
      </c>
      <c r="O93" t="s">
        <v>259</v>
      </c>
      <c r="P93">
        <v>6.8617509860346496E-3</v>
      </c>
      <c r="Q93" t="s">
        <v>161</v>
      </c>
      <c r="S93" t="s">
        <v>217</v>
      </c>
      <c r="T93" t="s">
        <v>259</v>
      </c>
      <c r="U93">
        <v>6.0895106777991712E-3</v>
      </c>
      <c r="V93" t="s">
        <v>161</v>
      </c>
      <c r="X93">
        <v>5.0228310502283104E-3</v>
      </c>
      <c r="Y93">
        <v>9.7721867256710514E-3</v>
      </c>
      <c r="Z93" t="s">
        <v>259</v>
      </c>
      <c r="AA93" t="s">
        <v>25</v>
      </c>
      <c r="AC93" t="s">
        <v>22</v>
      </c>
      <c r="AD93" t="s">
        <v>259</v>
      </c>
      <c r="AE93">
        <v>6.2847473180459058E-3</v>
      </c>
      <c r="AG93" t="s">
        <v>100</v>
      </c>
      <c r="AH93" t="s">
        <v>259</v>
      </c>
      <c r="AI93">
        <v>8.0252453378231836E-2</v>
      </c>
      <c r="AK93">
        <v>2032</v>
      </c>
      <c r="AL93" t="s">
        <v>155</v>
      </c>
      <c r="AM93">
        <v>0.41910000000000003</v>
      </c>
      <c r="AN93" t="s">
        <v>236</v>
      </c>
    </row>
    <row r="94" spans="9:40" x14ac:dyDescent="0.45">
      <c r="I94" t="s">
        <v>159</v>
      </c>
      <c r="J94" t="s">
        <v>271</v>
      </c>
      <c r="K94">
        <v>0</v>
      </c>
      <c r="L94" t="s">
        <v>161</v>
      </c>
      <c r="N94" t="s">
        <v>195</v>
      </c>
      <c r="O94" t="s">
        <v>271</v>
      </c>
      <c r="P94">
        <v>3.9021038416796057E-2</v>
      </c>
      <c r="Q94" t="s">
        <v>161</v>
      </c>
      <c r="S94" t="s">
        <v>217</v>
      </c>
      <c r="T94" t="s">
        <v>271</v>
      </c>
      <c r="U94">
        <v>3.7118540964213027E-2</v>
      </c>
      <c r="V94" t="s">
        <v>161</v>
      </c>
      <c r="X94">
        <v>3.0136986301369864E-2</v>
      </c>
      <c r="Y94">
        <v>2.654534304585271E-2</v>
      </c>
      <c r="Z94" t="s">
        <v>271</v>
      </c>
      <c r="AA94" t="s">
        <v>25</v>
      </c>
      <c r="AC94" t="s">
        <v>22</v>
      </c>
      <c r="AD94" t="s">
        <v>271</v>
      </c>
      <c r="AE94">
        <v>3.2454813596708994E-2</v>
      </c>
      <c r="AG94" t="s">
        <v>100</v>
      </c>
      <c r="AH94" t="s">
        <v>271</v>
      </c>
      <c r="AI94">
        <v>0.18066776961312536</v>
      </c>
      <c r="AK94">
        <v>2032</v>
      </c>
      <c r="AL94" t="s">
        <v>157</v>
      </c>
      <c r="AM94">
        <v>0.40939999999999999</v>
      </c>
      <c r="AN94" t="s">
        <v>236</v>
      </c>
    </row>
    <row r="95" spans="9:40" x14ac:dyDescent="0.45">
      <c r="I95" t="s">
        <v>159</v>
      </c>
      <c r="J95" t="s">
        <v>272</v>
      </c>
      <c r="K95">
        <v>0</v>
      </c>
      <c r="L95" t="s">
        <v>161</v>
      </c>
      <c r="N95" t="s">
        <v>195</v>
      </c>
      <c r="O95" t="s">
        <v>272</v>
      </c>
      <c r="P95">
        <v>1.8557454269428484E-2</v>
      </c>
      <c r="Q95" t="s">
        <v>161</v>
      </c>
      <c r="S95" t="s">
        <v>217</v>
      </c>
      <c r="T95" t="s">
        <v>272</v>
      </c>
      <c r="U95">
        <v>1.2633058091016912E-2</v>
      </c>
      <c r="V95" t="s">
        <v>161</v>
      </c>
      <c r="X95">
        <v>9.1324200913242004E-3</v>
      </c>
      <c r="Y95">
        <v>5.0617805733038316E-3</v>
      </c>
      <c r="Z95" t="s">
        <v>272</v>
      </c>
      <c r="AA95" t="s">
        <v>25</v>
      </c>
      <c r="AC95" t="s">
        <v>22</v>
      </c>
      <c r="AD95" t="s">
        <v>272</v>
      </c>
      <c r="AE95">
        <v>8.0754146367034343E-3</v>
      </c>
      <c r="AG95" t="s">
        <v>100</v>
      </c>
      <c r="AH95" t="s">
        <v>272</v>
      </c>
      <c r="AI95">
        <v>0.25517095434886383</v>
      </c>
      <c r="AK95">
        <v>2032</v>
      </c>
      <c r="AL95" t="s">
        <v>239</v>
      </c>
      <c r="AM95">
        <v>0.36769999999999997</v>
      </c>
      <c r="AN95" t="s">
        <v>236</v>
      </c>
    </row>
    <row r="96" spans="9:40" x14ac:dyDescent="0.45">
      <c r="I96" t="s">
        <v>159</v>
      </c>
      <c r="J96" t="s">
        <v>273</v>
      </c>
      <c r="K96">
        <v>0</v>
      </c>
      <c r="L96" t="s">
        <v>161</v>
      </c>
      <c r="N96" t="s">
        <v>195</v>
      </c>
      <c r="O96" t="s">
        <v>273</v>
      </c>
      <c r="P96">
        <v>2.5014097383538186E-3</v>
      </c>
      <c r="Q96" t="s">
        <v>161</v>
      </c>
      <c r="S96" t="s">
        <v>217</v>
      </c>
      <c r="T96" t="s">
        <v>273</v>
      </c>
      <c r="U96">
        <v>1.5214926573147115E-3</v>
      </c>
      <c r="V96" t="s">
        <v>161</v>
      </c>
      <c r="X96">
        <v>1.1415525114155251E-3</v>
      </c>
      <c r="Y96">
        <v>1.4585353321897095E-3</v>
      </c>
      <c r="Z96" t="s">
        <v>273</v>
      </c>
      <c r="AA96" t="s">
        <v>25</v>
      </c>
      <c r="AC96" t="s">
        <v>22</v>
      </c>
      <c r="AD96" t="s">
        <v>273</v>
      </c>
      <c r="AE96">
        <v>1.4130480130525442E-3</v>
      </c>
      <c r="AG96" t="s">
        <v>100</v>
      </c>
      <c r="AH96" t="s">
        <v>273</v>
      </c>
      <c r="AI96">
        <v>4.7794575167628306E-2</v>
      </c>
      <c r="AK96">
        <v>2032</v>
      </c>
      <c r="AL96" t="s">
        <v>241</v>
      </c>
      <c r="AM96">
        <v>0.33655000000000002</v>
      </c>
      <c r="AN96" t="s">
        <v>236</v>
      </c>
    </row>
    <row r="97" spans="9:40" x14ac:dyDescent="0.45">
      <c r="I97" t="s">
        <v>159</v>
      </c>
      <c r="J97" t="s">
        <v>274</v>
      </c>
      <c r="K97">
        <v>1.2038186070179705E-2</v>
      </c>
      <c r="L97" t="s">
        <v>161</v>
      </c>
      <c r="N97" t="s">
        <v>195</v>
      </c>
      <c r="O97" t="s">
        <v>274</v>
      </c>
      <c r="P97">
        <v>1.4498744065979891E-2</v>
      </c>
      <c r="Q97" t="s">
        <v>161</v>
      </c>
      <c r="S97" t="s">
        <v>217</v>
      </c>
      <c r="T97" t="s">
        <v>274</v>
      </c>
      <c r="U97">
        <v>1.1613837390288968E-2</v>
      </c>
      <c r="V97" t="s">
        <v>161</v>
      </c>
      <c r="X97">
        <v>7.9908675799086754E-3</v>
      </c>
      <c r="Y97">
        <v>1.040200880093479E-2</v>
      </c>
      <c r="Z97" t="s">
        <v>274</v>
      </c>
      <c r="AA97" t="s">
        <v>25</v>
      </c>
      <c r="AC97" t="s">
        <v>22</v>
      </c>
      <c r="AD97" t="s">
        <v>274</v>
      </c>
      <c r="AE97">
        <v>9.79861802399014E-3</v>
      </c>
      <c r="AG97" t="s">
        <v>100</v>
      </c>
      <c r="AH97" t="s">
        <v>274</v>
      </c>
      <c r="AI97">
        <v>5.4305689661338308E-2</v>
      </c>
      <c r="AK97">
        <v>2032</v>
      </c>
      <c r="AL97" t="s">
        <v>264</v>
      </c>
      <c r="AM97">
        <v>0.33439999999999998</v>
      </c>
      <c r="AN97" t="s">
        <v>236</v>
      </c>
    </row>
    <row r="98" spans="9:40" x14ac:dyDescent="0.45">
      <c r="I98" t="s">
        <v>159</v>
      </c>
      <c r="J98" t="s">
        <v>275</v>
      </c>
      <c r="K98">
        <v>9.6487988478714554E-4</v>
      </c>
      <c r="L98" t="s">
        <v>161</v>
      </c>
      <c r="N98" t="s">
        <v>195</v>
      </c>
      <c r="O98" t="s">
        <v>275</v>
      </c>
      <c r="P98">
        <v>1.9456236922917734E-3</v>
      </c>
      <c r="Q98" t="s">
        <v>161</v>
      </c>
      <c r="S98" t="s">
        <v>217</v>
      </c>
      <c r="T98" t="s">
        <v>275</v>
      </c>
      <c r="U98">
        <v>1.6560918772853944E-3</v>
      </c>
      <c r="V98" t="s">
        <v>161</v>
      </c>
      <c r="X98">
        <v>1.1415525114155251E-3</v>
      </c>
      <c r="Y98">
        <v>2.220951528561603E-3</v>
      </c>
      <c r="Z98" t="s">
        <v>275</v>
      </c>
      <c r="AA98" t="s">
        <v>25</v>
      </c>
      <c r="AC98" t="s">
        <v>22</v>
      </c>
      <c r="AD98" t="s">
        <v>275</v>
      </c>
      <c r="AE98">
        <v>1.4197178208548143E-3</v>
      </c>
      <c r="AG98" t="s">
        <v>100</v>
      </c>
      <c r="AH98" t="s">
        <v>275</v>
      </c>
      <c r="AI98">
        <v>3.4581599744878622E-2</v>
      </c>
      <c r="AK98">
        <v>2032</v>
      </c>
      <c r="AL98" t="s">
        <v>265</v>
      </c>
      <c r="AM98">
        <v>0.33439999999999998</v>
      </c>
      <c r="AN98" t="s">
        <v>236</v>
      </c>
    </row>
    <row r="99" spans="9:40" x14ac:dyDescent="0.45">
      <c r="I99" t="s">
        <v>159</v>
      </c>
      <c r="J99" t="s">
        <v>276</v>
      </c>
      <c r="K99">
        <v>0</v>
      </c>
      <c r="L99" t="s">
        <v>161</v>
      </c>
      <c r="N99" t="s">
        <v>195</v>
      </c>
      <c r="O99" t="s">
        <v>276</v>
      </c>
      <c r="P99">
        <v>2.0641480703669406E-3</v>
      </c>
      <c r="Q99" t="s">
        <v>161</v>
      </c>
      <c r="S99" t="s">
        <v>217</v>
      </c>
      <c r="T99" t="s">
        <v>276</v>
      </c>
      <c r="U99">
        <v>1.6629964726023036E-3</v>
      </c>
      <c r="V99" t="s">
        <v>161</v>
      </c>
      <c r="X99">
        <v>1.1415525114155251E-3</v>
      </c>
      <c r="Y99">
        <v>2.220951528561603E-3</v>
      </c>
      <c r="Z99" t="s">
        <v>276</v>
      </c>
      <c r="AA99" t="s">
        <v>25</v>
      </c>
      <c r="AC99" t="s">
        <v>22</v>
      </c>
      <c r="AD99" t="s">
        <v>276</v>
      </c>
      <c r="AE99">
        <v>1.4276975135585188E-3</v>
      </c>
      <c r="AG99" t="s">
        <v>100</v>
      </c>
      <c r="AH99" t="s">
        <v>276</v>
      </c>
      <c r="AI99">
        <v>3.2380127987139407E-2</v>
      </c>
      <c r="AK99">
        <v>2033</v>
      </c>
      <c r="AL99" t="s">
        <v>149</v>
      </c>
      <c r="AM99">
        <v>0.36050000000000004</v>
      </c>
      <c r="AN99" t="s">
        <v>236</v>
      </c>
    </row>
    <row r="100" spans="9:40" x14ac:dyDescent="0.45">
      <c r="I100" t="s">
        <v>159</v>
      </c>
      <c r="J100" t="s">
        <v>277</v>
      </c>
      <c r="K100">
        <v>0</v>
      </c>
      <c r="L100" t="s">
        <v>161</v>
      </c>
      <c r="N100" t="s">
        <v>195</v>
      </c>
      <c r="O100" t="s">
        <v>277</v>
      </c>
      <c r="P100">
        <v>1.2265383388051687E-2</v>
      </c>
      <c r="Q100" t="s">
        <v>161</v>
      </c>
      <c r="S100" t="s">
        <v>217</v>
      </c>
      <c r="T100" t="s">
        <v>277</v>
      </c>
      <c r="U100">
        <v>9.7239604009745247E-3</v>
      </c>
      <c r="V100" t="s">
        <v>161</v>
      </c>
      <c r="X100">
        <v>6.8493150684931503E-3</v>
      </c>
      <c r="Y100">
        <v>6.0330325104210707E-3</v>
      </c>
      <c r="Z100" t="s">
        <v>277</v>
      </c>
      <c r="AA100" t="s">
        <v>25</v>
      </c>
      <c r="AC100" t="s">
        <v>22</v>
      </c>
      <c r="AD100" t="s">
        <v>277</v>
      </c>
      <c r="AE100">
        <v>7.363859787818886E-3</v>
      </c>
      <c r="AG100" t="s">
        <v>100</v>
      </c>
      <c r="AH100" t="s">
        <v>277</v>
      </c>
      <c r="AI100">
        <v>0.13131055169725236</v>
      </c>
      <c r="AK100">
        <v>2033</v>
      </c>
      <c r="AL100" t="s">
        <v>153</v>
      </c>
      <c r="AM100">
        <v>0.38885000000000003</v>
      </c>
      <c r="AN100" t="s">
        <v>236</v>
      </c>
    </row>
    <row r="101" spans="9:40" x14ac:dyDescent="0.45">
      <c r="I101" t="s">
        <v>159</v>
      </c>
      <c r="J101" t="s">
        <v>278</v>
      </c>
      <c r="K101">
        <v>0</v>
      </c>
      <c r="L101" t="s">
        <v>161</v>
      </c>
      <c r="N101" t="s">
        <v>195</v>
      </c>
      <c r="O101" t="s">
        <v>278</v>
      </c>
      <c r="P101">
        <v>7.5413151440181757E-3</v>
      </c>
      <c r="Q101" t="s">
        <v>161</v>
      </c>
      <c r="S101" t="s">
        <v>217</v>
      </c>
      <c r="T101" t="s">
        <v>278</v>
      </c>
      <c r="U101">
        <v>7.9416014917219301E-3</v>
      </c>
      <c r="V101" t="s">
        <v>161</v>
      </c>
      <c r="X101">
        <v>4.5662100456621002E-3</v>
      </c>
      <c r="Y101">
        <v>2.5308902866519158E-3</v>
      </c>
      <c r="Z101" t="s">
        <v>278</v>
      </c>
      <c r="AA101" t="s">
        <v>25</v>
      </c>
      <c r="AC101" t="s">
        <v>22</v>
      </c>
      <c r="AD101" t="s">
        <v>278</v>
      </c>
      <c r="AE101">
        <v>3.9149493194434526E-3</v>
      </c>
      <c r="AG101" t="s">
        <v>100</v>
      </c>
      <c r="AH101" t="s">
        <v>278</v>
      </c>
      <c r="AI101">
        <v>0.27578209440612667</v>
      </c>
      <c r="AK101">
        <v>2033</v>
      </c>
      <c r="AL101" t="s">
        <v>155</v>
      </c>
      <c r="AM101">
        <v>0.44764999999999999</v>
      </c>
      <c r="AN101" t="s">
        <v>236</v>
      </c>
    </row>
    <row r="102" spans="9:40" x14ac:dyDescent="0.45">
      <c r="I102" t="s">
        <v>159</v>
      </c>
      <c r="J102" t="s">
        <v>279</v>
      </c>
      <c r="K102">
        <v>0</v>
      </c>
      <c r="L102" t="s">
        <v>161</v>
      </c>
      <c r="N102" t="s">
        <v>195</v>
      </c>
      <c r="O102" t="s">
        <v>279</v>
      </c>
      <c r="P102">
        <v>9.0851275134984258E-4</v>
      </c>
      <c r="Q102" t="s">
        <v>161</v>
      </c>
      <c r="S102" t="s">
        <v>217</v>
      </c>
      <c r="T102" t="s">
        <v>279</v>
      </c>
      <c r="U102">
        <v>9.178860953391627E-4</v>
      </c>
      <c r="V102" t="s">
        <v>161</v>
      </c>
      <c r="X102">
        <v>5.7077625570776253E-4</v>
      </c>
      <c r="Y102">
        <v>7.2926766609485475E-4</v>
      </c>
      <c r="Z102" t="s">
        <v>279</v>
      </c>
      <c r="AA102" t="s">
        <v>25</v>
      </c>
      <c r="AC102" t="s">
        <v>22</v>
      </c>
      <c r="AD102" t="s">
        <v>279</v>
      </c>
      <c r="AE102">
        <v>6.9150189105927678E-4</v>
      </c>
      <c r="AG102" t="s">
        <v>100</v>
      </c>
      <c r="AH102" t="s">
        <v>279</v>
      </c>
      <c r="AI102">
        <v>6.9939804459059784E-2</v>
      </c>
      <c r="AK102">
        <v>2033</v>
      </c>
      <c r="AL102" t="s">
        <v>157</v>
      </c>
      <c r="AM102">
        <v>0.41236666666666671</v>
      </c>
      <c r="AN102" t="s">
        <v>236</v>
      </c>
    </row>
    <row r="103" spans="9:40" x14ac:dyDescent="0.45">
      <c r="I103" t="s">
        <v>159</v>
      </c>
      <c r="J103" t="s">
        <v>280</v>
      </c>
      <c r="K103">
        <v>7.1920110801175444E-3</v>
      </c>
      <c r="L103" t="s">
        <v>161</v>
      </c>
      <c r="N103" t="s">
        <v>195</v>
      </c>
      <c r="O103" t="s">
        <v>280</v>
      </c>
      <c r="P103">
        <v>6.7589391816084412E-3</v>
      </c>
      <c r="Q103" t="s">
        <v>161</v>
      </c>
      <c r="S103" t="s">
        <v>217</v>
      </c>
      <c r="T103" t="s">
        <v>280</v>
      </c>
      <c r="U103">
        <v>6.7760702324795767E-3</v>
      </c>
      <c r="V103" t="s">
        <v>161</v>
      </c>
      <c r="X103">
        <v>3.9954337899543377E-3</v>
      </c>
      <c r="Y103">
        <v>5.2010044004673949E-3</v>
      </c>
      <c r="Z103" t="s">
        <v>280</v>
      </c>
      <c r="AA103" t="s">
        <v>25</v>
      </c>
      <c r="AC103" t="s">
        <v>22</v>
      </c>
      <c r="AD103" t="s">
        <v>280</v>
      </c>
      <c r="AE103">
        <v>4.8282685365420115E-3</v>
      </c>
      <c r="AG103" t="s">
        <v>100</v>
      </c>
      <c r="AH103" t="s">
        <v>280</v>
      </c>
      <c r="AI103">
        <v>8.1792810069582833E-2</v>
      </c>
      <c r="AK103">
        <v>2033</v>
      </c>
      <c r="AL103" t="s">
        <v>239</v>
      </c>
      <c r="AM103">
        <v>0.35426666666666667</v>
      </c>
      <c r="AN103" t="s">
        <v>236</v>
      </c>
    </row>
    <row r="104" spans="9:40" x14ac:dyDescent="0.45">
      <c r="I104" t="s">
        <v>159</v>
      </c>
      <c r="J104" t="s">
        <v>281</v>
      </c>
      <c r="K104">
        <v>8.8312169482660798E-4</v>
      </c>
      <c r="L104" t="s">
        <v>161</v>
      </c>
      <c r="N104" t="s">
        <v>195</v>
      </c>
      <c r="O104" t="s">
        <v>281</v>
      </c>
      <c r="P104">
        <v>9.8583920677667572E-4</v>
      </c>
      <c r="Q104" t="s">
        <v>161</v>
      </c>
      <c r="S104" t="s">
        <v>217</v>
      </c>
      <c r="T104" t="s">
        <v>281</v>
      </c>
      <c r="U104">
        <v>9.6259312662638275E-4</v>
      </c>
      <c r="V104" t="s">
        <v>161</v>
      </c>
      <c r="X104">
        <v>5.7077625570776253E-4</v>
      </c>
      <c r="Y104">
        <v>1.1104757642808013E-3</v>
      </c>
      <c r="Z104" t="s">
        <v>281</v>
      </c>
      <c r="AA104" t="s">
        <v>25</v>
      </c>
      <c r="AC104" t="s">
        <v>22</v>
      </c>
      <c r="AD104" t="s">
        <v>281</v>
      </c>
      <c r="AE104">
        <v>7.1186673181352245E-4</v>
      </c>
      <c r="AG104" t="s">
        <v>100</v>
      </c>
      <c r="AH104" t="s">
        <v>281</v>
      </c>
      <c r="AI104">
        <v>4.7588728737557151E-2</v>
      </c>
      <c r="AK104">
        <v>2033</v>
      </c>
      <c r="AL104" t="s">
        <v>241</v>
      </c>
      <c r="AM104">
        <v>0.34389999999999998</v>
      </c>
      <c r="AN104" t="s">
        <v>236</v>
      </c>
    </row>
    <row r="105" spans="9:40" x14ac:dyDescent="0.45">
      <c r="I105" t="s">
        <v>159</v>
      </c>
      <c r="J105" t="s">
        <v>282</v>
      </c>
      <c r="K105">
        <v>0</v>
      </c>
      <c r="L105" t="s">
        <v>161</v>
      </c>
      <c r="N105" t="s">
        <v>195</v>
      </c>
      <c r="O105" t="s">
        <v>282</v>
      </c>
      <c r="P105">
        <v>1.010683798705703E-3</v>
      </c>
      <c r="Q105" t="s">
        <v>161</v>
      </c>
      <c r="S105" t="s">
        <v>217</v>
      </c>
      <c r="T105" t="s">
        <v>282</v>
      </c>
      <c r="U105">
        <v>9.4144258005468572E-4</v>
      </c>
      <c r="V105" t="s">
        <v>161</v>
      </c>
      <c r="X105">
        <v>5.7077625570776253E-4</v>
      </c>
      <c r="Y105">
        <v>1.1104757642808013E-3</v>
      </c>
      <c r="Z105" t="s">
        <v>282</v>
      </c>
      <c r="AA105" t="s">
        <v>25</v>
      </c>
      <c r="AC105" t="s">
        <v>22</v>
      </c>
      <c r="AD105" t="s">
        <v>282</v>
      </c>
      <c r="AE105">
        <v>7.1534924856460043E-4</v>
      </c>
      <c r="AG105" t="s">
        <v>100</v>
      </c>
      <c r="AH105" t="s">
        <v>282</v>
      </c>
      <c r="AI105">
        <v>4.6309721114160096E-2</v>
      </c>
      <c r="AK105">
        <v>2033</v>
      </c>
      <c r="AL105" t="s">
        <v>264</v>
      </c>
      <c r="AM105">
        <v>0.33360000000000001</v>
      </c>
      <c r="AN105" t="s">
        <v>236</v>
      </c>
    </row>
    <row r="106" spans="9:40" x14ac:dyDescent="0.45">
      <c r="I106" t="s">
        <v>159</v>
      </c>
      <c r="J106" t="s">
        <v>283</v>
      </c>
      <c r="K106">
        <v>0</v>
      </c>
      <c r="L106" t="s">
        <v>161</v>
      </c>
      <c r="N106" t="s">
        <v>195</v>
      </c>
      <c r="O106" t="s">
        <v>283</v>
      </c>
      <c r="P106">
        <v>6.6008137136589762E-3</v>
      </c>
      <c r="Q106" t="s">
        <v>161</v>
      </c>
      <c r="S106" t="s">
        <v>217</v>
      </c>
      <c r="T106" t="s">
        <v>283</v>
      </c>
      <c r="U106">
        <v>5.857101071211129E-3</v>
      </c>
      <c r="V106" t="s">
        <v>161</v>
      </c>
      <c r="X106">
        <v>3.4246575342465752E-3</v>
      </c>
      <c r="Y106">
        <v>3.0165162552105349E-3</v>
      </c>
      <c r="Z106" t="s">
        <v>283</v>
      </c>
      <c r="AA106" t="s">
        <v>25</v>
      </c>
      <c r="AC106" t="s">
        <v>22</v>
      </c>
      <c r="AD106" t="s">
        <v>283</v>
      </c>
      <c r="AE106">
        <v>3.7040517575183478E-3</v>
      </c>
      <c r="AG106" t="s">
        <v>100</v>
      </c>
      <c r="AH106" t="s">
        <v>283</v>
      </c>
      <c r="AI106">
        <v>0.14579726853254882</v>
      </c>
      <c r="AK106">
        <v>2033</v>
      </c>
      <c r="AL106" t="s">
        <v>265</v>
      </c>
      <c r="AM106">
        <v>0.33360000000000001</v>
      </c>
      <c r="AN106" t="s">
        <v>236</v>
      </c>
    </row>
    <row r="107" spans="9:40" x14ac:dyDescent="0.45">
      <c r="I107" t="s">
        <v>173</v>
      </c>
      <c r="J107" t="s">
        <v>160</v>
      </c>
      <c r="K107">
        <v>0</v>
      </c>
      <c r="L107" t="s">
        <v>161</v>
      </c>
      <c r="N107" t="s">
        <v>196</v>
      </c>
      <c r="O107" t="s">
        <v>160</v>
      </c>
      <c r="P107">
        <v>6.9492301151520691E-2</v>
      </c>
      <c r="Q107" t="s">
        <v>161</v>
      </c>
      <c r="S107" t="s">
        <v>218</v>
      </c>
      <c r="T107" t="s">
        <v>160</v>
      </c>
      <c r="U107">
        <v>7.0031453304399582E-2</v>
      </c>
      <c r="V107" t="s">
        <v>161</v>
      </c>
      <c r="AC107" t="s">
        <v>19</v>
      </c>
      <c r="AD107" t="s">
        <v>160</v>
      </c>
      <c r="AE107">
        <v>6.5899147347704523E-2</v>
      </c>
      <c r="AK107">
        <v>2034</v>
      </c>
      <c r="AL107" t="s">
        <v>149</v>
      </c>
      <c r="AM107">
        <v>0.33800000000000002</v>
      </c>
      <c r="AN107" t="s">
        <v>236</v>
      </c>
    </row>
    <row r="108" spans="9:40" x14ac:dyDescent="0.45">
      <c r="I108" t="s">
        <v>173</v>
      </c>
      <c r="J108" t="s">
        <v>162</v>
      </c>
      <c r="K108">
        <v>2.1976158083596349E-3</v>
      </c>
      <c r="L108" t="s">
        <v>161</v>
      </c>
      <c r="N108" t="s">
        <v>196</v>
      </c>
      <c r="O108" t="s">
        <v>162</v>
      </c>
      <c r="P108">
        <v>8.6751366215441269E-3</v>
      </c>
      <c r="Q108" t="s">
        <v>161</v>
      </c>
      <c r="S108" t="s">
        <v>218</v>
      </c>
      <c r="T108" t="s">
        <v>162</v>
      </c>
      <c r="U108">
        <v>8.7366473773475024E-3</v>
      </c>
      <c r="V108" t="s">
        <v>161</v>
      </c>
      <c r="AC108" t="s">
        <v>19</v>
      </c>
      <c r="AD108" t="s">
        <v>162</v>
      </c>
      <c r="AE108">
        <v>8.4214115114295794E-3</v>
      </c>
      <c r="AK108">
        <v>2034</v>
      </c>
      <c r="AL108" t="s">
        <v>153</v>
      </c>
      <c r="AM108">
        <v>0.35309999999999997</v>
      </c>
      <c r="AN108" t="s">
        <v>236</v>
      </c>
    </row>
    <row r="109" spans="9:40" x14ac:dyDescent="0.45">
      <c r="I109" t="s">
        <v>173</v>
      </c>
      <c r="J109" t="s">
        <v>163</v>
      </c>
      <c r="K109">
        <v>9.0277509793292576E-2</v>
      </c>
      <c r="L109" t="s">
        <v>161</v>
      </c>
      <c r="N109" t="s">
        <v>196</v>
      </c>
      <c r="O109" t="s">
        <v>163</v>
      </c>
      <c r="P109">
        <v>5.804492709359297E-2</v>
      </c>
      <c r="Q109" t="s">
        <v>161</v>
      </c>
      <c r="S109" t="s">
        <v>218</v>
      </c>
      <c r="T109" t="s">
        <v>163</v>
      </c>
      <c r="U109">
        <v>6.1495466741859656E-2</v>
      </c>
      <c r="V109" t="s">
        <v>161</v>
      </c>
      <c r="AC109" t="s">
        <v>19</v>
      </c>
      <c r="AD109" t="s">
        <v>163</v>
      </c>
      <c r="AE109">
        <v>5.8953699371865842E-2</v>
      </c>
      <c r="AK109">
        <v>2034</v>
      </c>
      <c r="AL109" t="s">
        <v>155</v>
      </c>
      <c r="AM109">
        <v>0.45305000000000001</v>
      </c>
      <c r="AN109" t="s">
        <v>236</v>
      </c>
    </row>
    <row r="110" spans="9:40" x14ac:dyDescent="0.45">
      <c r="I110" t="s">
        <v>173</v>
      </c>
      <c r="J110" t="s">
        <v>242</v>
      </c>
      <c r="K110">
        <v>1.0202656801866231E-2</v>
      </c>
      <c r="L110" t="s">
        <v>161</v>
      </c>
      <c r="N110" t="s">
        <v>196</v>
      </c>
      <c r="O110" t="s">
        <v>242</v>
      </c>
      <c r="P110">
        <v>8.3279328613036305E-3</v>
      </c>
      <c r="Q110" t="s">
        <v>161</v>
      </c>
      <c r="S110" t="s">
        <v>218</v>
      </c>
      <c r="T110" t="s">
        <v>242</v>
      </c>
      <c r="U110">
        <v>8.9669128154702144E-3</v>
      </c>
      <c r="V110" t="s">
        <v>161</v>
      </c>
      <c r="AC110" t="s">
        <v>19</v>
      </c>
      <c r="AD110" t="s">
        <v>242</v>
      </c>
      <c r="AE110">
        <v>8.4355040748875735E-3</v>
      </c>
      <c r="AK110">
        <v>2034</v>
      </c>
      <c r="AL110" t="s">
        <v>157</v>
      </c>
      <c r="AM110">
        <v>0.41433333333333328</v>
      </c>
      <c r="AN110" t="s">
        <v>236</v>
      </c>
    </row>
    <row r="111" spans="9:40" x14ac:dyDescent="0.45">
      <c r="I111" t="s">
        <v>173</v>
      </c>
      <c r="J111" t="s">
        <v>243</v>
      </c>
      <c r="K111">
        <v>6.0697360546577593E-3</v>
      </c>
      <c r="L111" t="s">
        <v>161</v>
      </c>
      <c r="N111" t="s">
        <v>196</v>
      </c>
      <c r="O111" t="s">
        <v>243</v>
      </c>
      <c r="P111">
        <v>8.5058842523620982E-3</v>
      </c>
      <c r="Q111" t="s">
        <v>161</v>
      </c>
      <c r="S111" t="s">
        <v>218</v>
      </c>
      <c r="T111" t="s">
        <v>243</v>
      </c>
      <c r="U111">
        <v>9.1163503116045291E-3</v>
      </c>
      <c r="V111" t="s">
        <v>161</v>
      </c>
      <c r="AC111" t="s">
        <v>19</v>
      </c>
      <c r="AD111" t="s">
        <v>243</v>
      </c>
      <c r="AE111">
        <v>8.439981029737172E-3</v>
      </c>
      <c r="AK111">
        <v>2034</v>
      </c>
      <c r="AL111" t="s">
        <v>239</v>
      </c>
      <c r="AM111">
        <v>0.36840000000000001</v>
      </c>
      <c r="AN111" t="s">
        <v>236</v>
      </c>
    </row>
    <row r="112" spans="9:40" x14ac:dyDescent="0.45">
      <c r="I112" t="s">
        <v>173</v>
      </c>
      <c r="J112" t="s">
        <v>266</v>
      </c>
      <c r="K112">
        <v>2.0691065523652788E-3</v>
      </c>
      <c r="L112" t="s">
        <v>161</v>
      </c>
      <c r="N112" t="s">
        <v>196</v>
      </c>
      <c r="O112" t="s">
        <v>266</v>
      </c>
      <c r="P112">
        <v>5.2934075958482069E-2</v>
      </c>
      <c r="Q112" t="s">
        <v>161</v>
      </c>
      <c r="S112" t="s">
        <v>218</v>
      </c>
      <c r="T112" t="s">
        <v>266</v>
      </c>
      <c r="U112">
        <v>5.45631996757985E-2</v>
      </c>
      <c r="V112" t="s">
        <v>161</v>
      </c>
      <c r="AC112" t="s">
        <v>19</v>
      </c>
      <c r="AD112" t="s">
        <v>266</v>
      </c>
      <c r="AE112">
        <v>5.0102966614654937E-2</v>
      </c>
      <c r="AK112">
        <v>2034</v>
      </c>
      <c r="AL112" t="s">
        <v>241</v>
      </c>
      <c r="AM112">
        <v>0.34555000000000002</v>
      </c>
      <c r="AN112" t="s">
        <v>236</v>
      </c>
    </row>
    <row r="113" spans="9:40" x14ac:dyDescent="0.45">
      <c r="I113" t="s">
        <v>173</v>
      </c>
      <c r="J113" t="s">
        <v>311</v>
      </c>
      <c r="K113">
        <v>0</v>
      </c>
      <c r="L113" t="s">
        <v>161</v>
      </c>
      <c r="N113" t="s">
        <v>196</v>
      </c>
      <c r="O113" t="s">
        <v>311</v>
      </c>
      <c r="P113">
        <v>1.7641430939855886E-6</v>
      </c>
      <c r="Q113" t="s">
        <v>161</v>
      </c>
      <c r="S113" t="s">
        <v>218</v>
      </c>
      <c r="T113" t="s">
        <v>311</v>
      </c>
      <c r="U113">
        <v>5.7307543010221833E-6</v>
      </c>
      <c r="V113" t="s">
        <v>161</v>
      </c>
      <c r="AC113" t="s">
        <v>19</v>
      </c>
      <c r="AD113" t="s">
        <v>311</v>
      </c>
      <c r="AE113">
        <v>1.1164855049842243E-4</v>
      </c>
      <c r="AK113">
        <v>2034</v>
      </c>
      <c r="AL113" t="s">
        <v>264</v>
      </c>
      <c r="AM113">
        <v>0.34560000000000002</v>
      </c>
      <c r="AN113" t="s">
        <v>236</v>
      </c>
    </row>
    <row r="114" spans="9:40" x14ac:dyDescent="0.45">
      <c r="I114" t="s">
        <v>173</v>
      </c>
      <c r="J114" t="s">
        <v>312</v>
      </c>
      <c r="K114">
        <v>0</v>
      </c>
      <c r="L114" t="s">
        <v>161</v>
      </c>
      <c r="N114" t="s">
        <v>196</v>
      </c>
      <c r="O114" t="s">
        <v>312</v>
      </c>
      <c r="P114">
        <v>2.6048124205467955E-6</v>
      </c>
      <c r="Q114" t="s">
        <v>161</v>
      </c>
      <c r="S114" t="s">
        <v>218</v>
      </c>
      <c r="T114" t="s">
        <v>312</v>
      </c>
      <c r="U114">
        <v>4.4314346534897306E-6</v>
      </c>
      <c r="V114" t="s">
        <v>161</v>
      </c>
      <c r="AC114" t="s">
        <v>19</v>
      </c>
      <c r="AD114" t="s">
        <v>312</v>
      </c>
      <c r="AE114">
        <v>1.1151948947726906E-4</v>
      </c>
      <c r="AK114">
        <v>2034</v>
      </c>
      <c r="AL114" t="s">
        <v>265</v>
      </c>
      <c r="AM114">
        <v>0.34560000000000002</v>
      </c>
      <c r="AN114" t="s">
        <v>236</v>
      </c>
    </row>
    <row r="115" spans="9:40" x14ac:dyDescent="0.45">
      <c r="I115" t="s">
        <v>173</v>
      </c>
      <c r="J115" t="s">
        <v>313</v>
      </c>
      <c r="K115">
        <v>0</v>
      </c>
      <c r="L115" t="s">
        <v>161</v>
      </c>
      <c r="N115" t="s">
        <v>196</v>
      </c>
      <c r="O115" t="s">
        <v>313</v>
      </c>
      <c r="P115">
        <v>2.7370990918032221E-6</v>
      </c>
      <c r="Q115" t="s">
        <v>161</v>
      </c>
      <c r="S115" t="s">
        <v>218</v>
      </c>
      <c r="T115" t="s">
        <v>313</v>
      </c>
      <c r="U115">
        <v>4.6719514592074686E-6</v>
      </c>
      <c r="V115" t="s">
        <v>161</v>
      </c>
      <c r="AC115" t="s">
        <v>19</v>
      </c>
      <c r="AD115" t="s">
        <v>313</v>
      </c>
      <c r="AE115">
        <v>1.1146628997788954E-4</v>
      </c>
      <c r="AK115">
        <v>2035</v>
      </c>
      <c r="AL115" t="s">
        <v>149</v>
      </c>
      <c r="AM115">
        <v>0.34759999999999996</v>
      </c>
      <c r="AN115" t="s">
        <v>236</v>
      </c>
    </row>
    <row r="116" spans="9:40" x14ac:dyDescent="0.45">
      <c r="I116" t="s">
        <v>173</v>
      </c>
      <c r="J116" t="s">
        <v>314</v>
      </c>
      <c r="K116">
        <v>0</v>
      </c>
      <c r="L116" t="s">
        <v>161</v>
      </c>
      <c r="N116" t="s">
        <v>196</v>
      </c>
      <c r="O116" t="s">
        <v>314</v>
      </c>
      <c r="P116">
        <v>4.8393375335838387E-6</v>
      </c>
      <c r="Q116" t="s">
        <v>161</v>
      </c>
      <c r="S116" t="s">
        <v>218</v>
      </c>
      <c r="T116" t="s">
        <v>314</v>
      </c>
      <c r="U116">
        <v>3.8099043991883502E-6</v>
      </c>
      <c r="V116" t="s">
        <v>161</v>
      </c>
      <c r="AC116" t="s">
        <v>19</v>
      </c>
      <c r="AD116" t="s">
        <v>314</v>
      </c>
      <c r="AE116">
        <v>1.1146628997788954E-4</v>
      </c>
      <c r="AK116">
        <v>2035</v>
      </c>
      <c r="AL116" t="s">
        <v>153</v>
      </c>
      <c r="AM116">
        <v>0.37040000000000001</v>
      </c>
      <c r="AN116" t="s">
        <v>236</v>
      </c>
    </row>
    <row r="117" spans="9:40" x14ac:dyDescent="0.45">
      <c r="I117" t="s">
        <v>173</v>
      </c>
      <c r="J117" t="s">
        <v>315</v>
      </c>
      <c r="K117">
        <v>0</v>
      </c>
      <c r="L117" t="s">
        <v>161</v>
      </c>
      <c r="N117" t="s">
        <v>196</v>
      </c>
      <c r="O117" t="s">
        <v>315</v>
      </c>
      <c r="P117">
        <v>6.0398954346510419E-6</v>
      </c>
      <c r="Q117" t="s">
        <v>161</v>
      </c>
      <c r="S117" t="s">
        <v>218</v>
      </c>
      <c r="T117" t="s">
        <v>315</v>
      </c>
      <c r="U117">
        <v>1.603442864305614E-6</v>
      </c>
      <c r="V117" t="s">
        <v>161</v>
      </c>
      <c r="AC117" t="s">
        <v>19</v>
      </c>
      <c r="AD117" t="s">
        <v>315</v>
      </c>
      <c r="AE117">
        <v>1.115710817410178E-4</v>
      </c>
      <c r="AK117">
        <v>2035</v>
      </c>
      <c r="AL117" t="s">
        <v>155</v>
      </c>
      <c r="AM117">
        <v>0.44017499999999998</v>
      </c>
      <c r="AN117" t="s">
        <v>236</v>
      </c>
    </row>
    <row r="118" spans="9:40" x14ac:dyDescent="0.45">
      <c r="I118" t="s">
        <v>173</v>
      </c>
      <c r="J118" t="s">
        <v>316</v>
      </c>
      <c r="K118">
        <v>0</v>
      </c>
      <c r="L118" t="s">
        <v>161</v>
      </c>
      <c r="N118" t="s">
        <v>196</v>
      </c>
      <c r="O118" t="s">
        <v>316</v>
      </c>
      <c r="P118">
        <v>8.6961226406389733E-6</v>
      </c>
      <c r="Q118" t="s">
        <v>161</v>
      </c>
      <c r="S118" t="s">
        <v>218</v>
      </c>
      <c r="T118" t="s">
        <v>316</v>
      </c>
      <c r="U118">
        <v>8.654083632385121E-8</v>
      </c>
      <c r="V118" t="s">
        <v>161</v>
      </c>
      <c r="AC118" t="s">
        <v>19</v>
      </c>
      <c r="AD118" t="s">
        <v>316</v>
      </c>
      <c r="AE118">
        <v>1.1189622550912895E-4</v>
      </c>
      <c r="AK118">
        <v>2035</v>
      </c>
      <c r="AL118" t="s">
        <v>157</v>
      </c>
      <c r="AM118">
        <v>0.40053333333333335</v>
      </c>
      <c r="AN118" t="s">
        <v>236</v>
      </c>
    </row>
    <row r="119" spans="9:40" x14ac:dyDescent="0.45">
      <c r="I119" t="s">
        <v>173</v>
      </c>
      <c r="J119" t="s">
        <v>317</v>
      </c>
      <c r="K119">
        <v>0</v>
      </c>
      <c r="L119" t="s">
        <v>161</v>
      </c>
      <c r="N119" t="s">
        <v>196</v>
      </c>
      <c r="O119" t="s">
        <v>317</v>
      </c>
      <c r="P119">
        <v>8.4439972996271402E-6</v>
      </c>
      <c r="Q119" t="s">
        <v>161</v>
      </c>
      <c r="S119" t="s">
        <v>218</v>
      </c>
      <c r="T119" t="s">
        <v>317</v>
      </c>
      <c r="U119">
        <v>4.3898027136827543E-7</v>
      </c>
      <c r="V119" t="s">
        <v>161</v>
      </c>
      <c r="AC119" t="s">
        <v>19</v>
      </c>
      <c r="AD119" t="s">
        <v>317</v>
      </c>
      <c r="AE119">
        <v>1.1267653840788311E-4</v>
      </c>
      <c r="AK119">
        <v>2035</v>
      </c>
      <c r="AL119" t="s">
        <v>239</v>
      </c>
      <c r="AM119">
        <v>0.33176666666666665</v>
      </c>
      <c r="AN119" t="s">
        <v>236</v>
      </c>
    </row>
    <row r="120" spans="9:40" x14ac:dyDescent="0.45">
      <c r="I120" t="s">
        <v>173</v>
      </c>
      <c r="J120" t="s">
        <v>318</v>
      </c>
      <c r="K120">
        <v>0</v>
      </c>
      <c r="L120" t="s">
        <v>161</v>
      </c>
      <c r="N120" t="s">
        <v>196</v>
      </c>
      <c r="O120" t="s">
        <v>318</v>
      </c>
      <c r="P120">
        <v>1.2820324019838729E-5</v>
      </c>
      <c r="Q120" t="s">
        <v>161</v>
      </c>
      <c r="S120" t="s">
        <v>218</v>
      </c>
      <c r="T120" t="s">
        <v>318</v>
      </c>
      <c r="U120">
        <v>6.4498837469776683E-7</v>
      </c>
      <c r="V120" t="s">
        <v>161</v>
      </c>
      <c r="AC120" t="s">
        <v>19</v>
      </c>
      <c r="AD120" t="s">
        <v>318</v>
      </c>
      <c r="AE120">
        <v>1.1351744408991848E-4</v>
      </c>
      <c r="AK120">
        <v>2035</v>
      </c>
      <c r="AL120" t="s">
        <v>241</v>
      </c>
      <c r="AM120">
        <v>0.3614</v>
      </c>
      <c r="AN120" t="s">
        <v>236</v>
      </c>
    </row>
    <row r="121" spans="9:40" x14ac:dyDescent="0.45">
      <c r="I121" t="s">
        <v>173</v>
      </c>
      <c r="J121" t="s">
        <v>319</v>
      </c>
      <c r="K121">
        <v>4.9877265813872619E-5</v>
      </c>
      <c r="L121" t="s">
        <v>161</v>
      </c>
      <c r="N121" t="s">
        <v>196</v>
      </c>
      <c r="O121" t="s">
        <v>319</v>
      </c>
      <c r="P121">
        <v>1.2269406141843203E-5</v>
      </c>
      <c r="Q121" t="s">
        <v>161</v>
      </c>
      <c r="S121" t="s">
        <v>218</v>
      </c>
      <c r="T121" t="s">
        <v>319</v>
      </c>
      <c r="U121">
        <v>6.5013994503523846E-7</v>
      </c>
      <c r="V121" t="s">
        <v>161</v>
      </c>
      <c r="AC121" t="s">
        <v>19</v>
      </c>
      <c r="AD121" t="s">
        <v>319</v>
      </c>
      <c r="AE121">
        <v>1.1404140290555979E-4</v>
      </c>
      <c r="AK121">
        <v>2035</v>
      </c>
      <c r="AL121" t="s">
        <v>264</v>
      </c>
      <c r="AM121">
        <v>0.37880000000000003</v>
      </c>
      <c r="AN121" t="s">
        <v>236</v>
      </c>
    </row>
    <row r="122" spans="9:40" x14ac:dyDescent="0.45">
      <c r="I122" t="s">
        <v>173</v>
      </c>
      <c r="J122" t="s">
        <v>320</v>
      </c>
      <c r="K122">
        <v>9.9087012846486348E-5</v>
      </c>
      <c r="L122" t="s">
        <v>161</v>
      </c>
      <c r="N122" t="s">
        <v>196</v>
      </c>
      <c r="O122" t="s">
        <v>320</v>
      </c>
      <c r="P122">
        <v>1.0309561975488796E-5</v>
      </c>
      <c r="Q122" t="s">
        <v>161</v>
      </c>
      <c r="S122" t="s">
        <v>218</v>
      </c>
      <c r="T122" t="s">
        <v>320</v>
      </c>
      <c r="U122">
        <v>6.6761528496992095E-7</v>
      </c>
      <c r="V122" t="s">
        <v>161</v>
      </c>
      <c r="AC122" t="s">
        <v>19</v>
      </c>
      <c r="AD122" t="s">
        <v>320</v>
      </c>
      <c r="AE122">
        <v>1.1435529602425532E-4</v>
      </c>
      <c r="AK122">
        <v>2035</v>
      </c>
      <c r="AL122" t="s">
        <v>265</v>
      </c>
      <c r="AM122">
        <v>0.37880000000000003</v>
      </c>
      <c r="AN122" t="s">
        <v>236</v>
      </c>
    </row>
    <row r="123" spans="9:40" x14ac:dyDescent="0.45">
      <c r="I123" t="s">
        <v>173</v>
      </c>
      <c r="J123" t="s">
        <v>321</v>
      </c>
      <c r="K123">
        <v>8.810114523231954E-5</v>
      </c>
      <c r="L123" t="s">
        <v>161</v>
      </c>
      <c r="N123" t="s">
        <v>196</v>
      </c>
      <c r="O123" t="s">
        <v>321</v>
      </c>
      <c r="P123">
        <v>8.671370758756301E-6</v>
      </c>
      <c r="Q123" t="s">
        <v>161</v>
      </c>
      <c r="S123" t="s">
        <v>218</v>
      </c>
      <c r="T123" t="s">
        <v>321</v>
      </c>
      <c r="U123">
        <v>4.4216379533515721E-7</v>
      </c>
      <c r="V123" t="s">
        <v>161</v>
      </c>
      <c r="AC123" t="s">
        <v>19</v>
      </c>
      <c r="AD123" t="s">
        <v>321</v>
      </c>
      <c r="AE123">
        <v>1.1433890222082114E-4</v>
      </c>
      <c r="AK123">
        <v>2036</v>
      </c>
      <c r="AL123" t="s">
        <v>149</v>
      </c>
      <c r="AM123">
        <v>0.37133333333333335</v>
      </c>
      <c r="AN123" t="s">
        <v>236</v>
      </c>
    </row>
    <row r="124" spans="9:40" x14ac:dyDescent="0.45">
      <c r="I124" t="s">
        <v>173</v>
      </c>
      <c r="J124" t="s">
        <v>322</v>
      </c>
      <c r="K124">
        <v>1.464162912390328E-4</v>
      </c>
      <c r="L124" t="s">
        <v>161</v>
      </c>
      <c r="N124" t="s">
        <v>196</v>
      </c>
      <c r="O124" t="s">
        <v>322</v>
      </c>
      <c r="P124">
        <v>2.5431289750688958E-5</v>
      </c>
      <c r="Q124" t="s">
        <v>161</v>
      </c>
      <c r="S124" t="s">
        <v>218</v>
      </c>
      <c r="T124" t="s">
        <v>322</v>
      </c>
      <c r="U124">
        <v>0</v>
      </c>
      <c r="V124" t="s">
        <v>161</v>
      </c>
      <c r="AC124" t="s">
        <v>19</v>
      </c>
      <c r="AD124" t="s">
        <v>322</v>
      </c>
      <c r="AE124">
        <v>1.1432990170128866E-4</v>
      </c>
      <c r="AK124">
        <v>2036</v>
      </c>
      <c r="AL124" t="s">
        <v>153</v>
      </c>
      <c r="AM124">
        <v>0.38034999999999997</v>
      </c>
      <c r="AN124" t="s">
        <v>236</v>
      </c>
    </row>
    <row r="125" spans="9:40" x14ac:dyDescent="0.45">
      <c r="I125" t="s">
        <v>173</v>
      </c>
      <c r="J125" t="s">
        <v>323</v>
      </c>
      <c r="K125">
        <v>1.7161993551674924E-4</v>
      </c>
      <c r="L125" t="s">
        <v>161</v>
      </c>
      <c r="N125" t="s">
        <v>196</v>
      </c>
      <c r="O125" t="s">
        <v>323</v>
      </c>
      <c r="P125">
        <v>2.0309581832023765E-5</v>
      </c>
      <c r="Q125" t="s">
        <v>161</v>
      </c>
      <c r="S125" t="s">
        <v>218</v>
      </c>
      <c r="T125" t="s">
        <v>323</v>
      </c>
      <c r="U125">
        <v>0</v>
      </c>
      <c r="V125" t="s">
        <v>161</v>
      </c>
      <c r="AC125" t="s">
        <v>19</v>
      </c>
      <c r="AD125" t="s">
        <v>323</v>
      </c>
      <c r="AE125">
        <v>1.1423378901056674E-4</v>
      </c>
      <c r="AK125">
        <v>2036</v>
      </c>
      <c r="AL125" t="s">
        <v>155</v>
      </c>
      <c r="AM125">
        <v>0.42109999999999992</v>
      </c>
      <c r="AN125" t="s">
        <v>236</v>
      </c>
    </row>
    <row r="126" spans="9:40" x14ac:dyDescent="0.45">
      <c r="I126" t="s">
        <v>173</v>
      </c>
      <c r="J126" t="s">
        <v>324</v>
      </c>
      <c r="K126">
        <v>1.9373961335688501E-4</v>
      </c>
      <c r="L126" t="s">
        <v>161</v>
      </c>
      <c r="N126" t="s">
        <v>196</v>
      </c>
      <c r="O126" t="s">
        <v>324</v>
      </c>
      <c r="P126">
        <v>1.0839835832568953E-5</v>
      </c>
      <c r="Q126" t="s">
        <v>161</v>
      </c>
      <c r="S126" t="s">
        <v>218</v>
      </c>
      <c r="T126" t="s">
        <v>324</v>
      </c>
      <c r="U126">
        <v>0</v>
      </c>
      <c r="V126" t="s">
        <v>161</v>
      </c>
      <c r="AC126" t="s">
        <v>19</v>
      </c>
      <c r="AD126" t="s">
        <v>324</v>
      </c>
      <c r="AE126">
        <v>1.1420743034622159E-4</v>
      </c>
      <c r="AK126">
        <v>2036</v>
      </c>
      <c r="AL126" t="s">
        <v>157</v>
      </c>
      <c r="AM126">
        <v>0.40543333333333331</v>
      </c>
      <c r="AN126" t="s">
        <v>236</v>
      </c>
    </row>
    <row r="127" spans="9:40" x14ac:dyDescent="0.45">
      <c r="I127" t="s">
        <v>173</v>
      </c>
      <c r="J127" t="s">
        <v>325</v>
      </c>
      <c r="K127">
        <v>2.284216218042636E-4</v>
      </c>
      <c r="L127" t="s">
        <v>161</v>
      </c>
      <c r="N127" t="s">
        <v>196</v>
      </c>
      <c r="O127" t="s">
        <v>325</v>
      </c>
      <c r="P127">
        <v>6.8095956898472074E-6</v>
      </c>
      <c r="Q127" t="s">
        <v>161</v>
      </c>
      <c r="S127" t="s">
        <v>218</v>
      </c>
      <c r="T127" t="s">
        <v>325</v>
      </c>
      <c r="U127">
        <v>0</v>
      </c>
      <c r="V127" t="s">
        <v>161</v>
      </c>
      <c r="AC127" t="s">
        <v>19</v>
      </c>
      <c r="AD127" t="s">
        <v>325</v>
      </c>
      <c r="AE127">
        <v>1.141651600491315E-4</v>
      </c>
      <c r="AK127">
        <v>2036</v>
      </c>
      <c r="AL127" t="s">
        <v>239</v>
      </c>
      <c r="AM127">
        <v>0.36313333333333331</v>
      </c>
      <c r="AN127" t="s">
        <v>236</v>
      </c>
    </row>
    <row r="128" spans="9:40" x14ac:dyDescent="0.45">
      <c r="I128" t="s">
        <v>173</v>
      </c>
      <c r="J128" t="s">
        <v>326</v>
      </c>
      <c r="K128">
        <v>1.521046939719981E-4</v>
      </c>
      <c r="L128" t="s">
        <v>161</v>
      </c>
      <c r="N128" t="s">
        <v>196</v>
      </c>
      <c r="O128" t="s">
        <v>326</v>
      </c>
      <c r="P128">
        <v>6.3781677430980946E-6</v>
      </c>
      <c r="Q128" t="s">
        <v>161</v>
      </c>
      <c r="S128" t="s">
        <v>218</v>
      </c>
      <c r="T128" t="s">
        <v>326</v>
      </c>
      <c r="U128">
        <v>0</v>
      </c>
      <c r="V128" t="s">
        <v>161</v>
      </c>
      <c r="AC128" t="s">
        <v>19</v>
      </c>
      <c r="AD128" t="s">
        <v>326</v>
      </c>
      <c r="AE128">
        <v>1.1435834977195385E-4</v>
      </c>
      <c r="AK128">
        <v>2036</v>
      </c>
      <c r="AL128" t="s">
        <v>241</v>
      </c>
      <c r="AM128">
        <v>0.35709999999999997</v>
      </c>
      <c r="AN128" t="s">
        <v>236</v>
      </c>
    </row>
    <row r="129" spans="9:40" x14ac:dyDescent="0.45">
      <c r="I129" t="s">
        <v>173</v>
      </c>
      <c r="J129" t="s">
        <v>327</v>
      </c>
      <c r="K129">
        <v>1.4920746784193392E-4</v>
      </c>
      <c r="L129" t="s">
        <v>161</v>
      </c>
      <c r="N129" t="s">
        <v>196</v>
      </c>
      <c r="O129" t="s">
        <v>327</v>
      </c>
      <c r="P129">
        <v>8.1966622410335522E-6</v>
      </c>
      <c r="Q129" t="s">
        <v>161</v>
      </c>
      <c r="S129" t="s">
        <v>218</v>
      </c>
      <c r="T129" t="s">
        <v>327</v>
      </c>
      <c r="U129">
        <v>0</v>
      </c>
      <c r="V129" t="s">
        <v>161</v>
      </c>
      <c r="AC129" t="s">
        <v>19</v>
      </c>
      <c r="AD129" t="s">
        <v>327</v>
      </c>
      <c r="AE129">
        <v>1.1474087185208462E-4</v>
      </c>
      <c r="AK129">
        <v>2036</v>
      </c>
      <c r="AL129" t="s">
        <v>264</v>
      </c>
      <c r="AM129">
        <v>0.36759999999999998</v>
      </c>
      <c r="AN129" t="s">
        <v>236</v>
      </c>
    </row>
    <row r="130" spans="9:40" x14ac:dyDescent="0.45">
      <c r="I130" t="s">
        <v>173</v>
      </c>
      <c r="J130" t="s">
        <v>328</v>
      </c>
      <c r="K130">
        <v>1.0117536181550199E-4</v>
      </c>
      <c r="L130" t="s">
        <v>161</v>
      </c>
      <c r="N130" t="s">
        <v>196</v>
      </c>
      <c r="O130" t="s">
        <v>328</v>
      </c>
      <c r="P130">
        <v>1.6964253440910411E-5</v>
      </c>
      <c r="Q130" t="s">
        <v>161</v>
      </c>
      <c r="S130" t="s">
        <v>218</v>
      </c>
      <c r="T130" t="s">
        <v>328</v>
      </c>
      <c r="U130">
        <v>0</v>
      </c>
      <c r="V130" t="s">
        <v>161</v>
      </c>
      <c r="AC130" t="s">
        <v>19</v>
      </c>
      <c r="AD130" t="s">
        <v>328</v>
      </c>
      <c r="AE130">
        <v>1.1485257472842532E-4</v>
      </c>
      <c r="AK130">
        <v>2036</v>
      </c>
      <c r="AL130" t="s">
        <v>265</v>
      </c>
      <c r="AM130">
        <v>0.36759999999999998</v>
      </c>
      <c r="AN130" t="s">
        <v>236</v>
      </c>
    </row>
    <row r="131" spans="9:40" x14ac:dyDescent="0.45">
      <c r="I131" t="s">
        <v>173</v>
      </c>
      <c r="J131" t="s">
        <v>329</v>
      </c>
      <c r="K131">
        <v>0</v>
      </c>
      <c r="L131" t="s">
        <v>161</v>
      </c>
      <c r="N131" t="s">
        <v>196</v>
      </c>
      <c r="O131" t="s">
        <v>329</v>
      </c>
      <c r="P131">
        <v>2.6753926052768471E-5</v>
      </c>
      <c r="Q131" t="s">
        <v>161</v>
      </c>
      <c r="S131" t="s">
        <v>218</v>
      </c>
      <c r="T131" t="s">
        <v>329</v>
      </c>
      <c r="U131">
        <v>0</v>
      </c>
      <c r="V131" t="s">
        <v>161</v>
      </c>
      <c r="AC131" t="s">
        <v>19</v>
      </c>
      <c r="AD131" t="s">
        <v>329</v>
      </c>
      <c r="AE131">
        <v>1.1484116335544662E-4</v>
      </c>
      <c r="AK131">
        <v>2037</v>
      </c>
      <c r="AL131" t="s">
        <v>149</v>
      </c>
      <c r="AM131">
        <v>0.35639999999999999</v>
      </c>
      <c r="AN131" t="s">
        <v>236</v>
      </c>
    </row>
    <row r="132" spans="9:40" x14ac:dyDescent="0.45">
      <c r="I132" t="s">
        <v>173</v>
      </c>
      <c r="J132" t="s">
        <v>330</v>
      </c>
      <c r="K132">
        <v>0</v>
      </c>
      <c r="L132" t="s">
        <v>161</v>
      </c>
      <c r="N132" t="s">
        <v>196</v>
      </c>
      <c r="O132" t="s">
        <v>330</v>
      </c>
      <c r="P132">
        <v>3.1210185418337037E-5</v>
      </c>
      <c r="Q132" t="s">
        <v>161</v>
      </c>
      <c r="S132" t="s">
        <v>218</v>
      </c>
      <c r="T132" t="s">
        <v>330</v>
      </c>
      <c r="U132">
        <v>0</v>
      </c>
      <c r="V132" t="s">
        <v>161</v>
      </c>
      <c r="AC132" t="s">
        <v>19</v>
      </c>
      <c r="AD132" t="s">
        <v>330</v>
      </c>
      <c r="AE132">
        <v>1.1465408112802132E-4</v>
      </c>
      <c r="AK132">
        <v>2037</v>
      </c>
      <c r="AL132" t="s">
        <v>153</v>
      </c>
      <c r="AM132">
        <v>0.38919999999999999</v>
      </c>
      <c r="AN132" t="s">
        <v>236</v>
      </c>
    </row>
    <row r="133" spans="9:40" x14ac:dyDescent="0.45">
      <c r="I133" t="s">
        <v>173</v>
      </c>
      <c r="J133" t="s">
        <v>331</v>
      </c>
      <c r="K133">
        <v>0</v>
      </c>
      <c r="L133" t="s">
        <v>161</v>
      </c>
      <c r="N133" t="s">
        <v>196</v>
      </c>
      <c r="O133" t="s">
        <v>331</v>
      </c>
      <c r="P133">
        <v>3.0294450425738589E-5</v>
      </c>
      <c r="Q133" t="s">
        <v>161</v>
      </c>
      <c r="S133" t="s">
        <v>218</v>
      </c>
      <c r="T133" t="s">
        <v>331</v>
      </c>
      <c r="U133">
        <v>0</v>
      </c>
      <c r="V133" t="s">
        <v>161</v>
      </c>
      <c r="AC133" t="s">
        <v>19</v>
      </c>
      <c r="AD133" t="s">
        <v>331</v>
      </c>
      <c r="AE133">
        <v>1.1452196635916944E-4</v>
      </c>
      <c r="AK133">
        <v>2037</v>
      </c>
      <c r="AL133" t="s">
        <v>155</v>
      </c>
      <c r="AM133">
        <v>0.42907499999999998</v>
      </c>
      <c r="AN133" t="s">
        <v>236</v>
      </c>
    </row>
    <row r="134" spans="9:40" x14ac:dyDescent="0.45">
      <c r="I134" t="s">
        <v>173</v>
      </c>
      <c r="J134" t="s">
        <v>332</v>
      </c>
      <c r="K134">
        <v>0</v>
      </c>
      <c r="L134" t="s">
        <v>161</v>
      </c>
      <c r="N134" t="s">
        <v>196</v>
      </c>
      <c r="O134" t="s">
        <v>332</v>
      </c>
      <c r="P134">
        <v>2.9765160583963272E-5</v>
      </c>
      <c r="Q134" t="s">
        <v>161</v>
      </c>
      <c r="S134" t="s">
        <v>218</v>
      </c>
      <c r="T134" t="s">
        <v>332</v>
      </c>
      <c r="U134">
        <v>0</v>
      </c>
      <c r="V134" t="s">
        <v>161</v>
      </c>
      <c r="AC134" t="s">
        <v>19</v>
      </c>
      <c r="AD134" t="s">
        <v>332</v>
      </c>
      <c r="AE134">
        <v>1.1416532077269458E-4</v>
      </c>
      <c r="AK134">
        <v>2037</v>
      </c>
      <c r="AL134" t="s">
        <v>157</v>
      </c>
      <c r="AM134">
        <v>0.38369999999999999</v>
      </c>
      <c r="AN134" t="s">
        <v>236</v>
      </c>
    </row>
    <row r="135" spans="9:40" x14ac:dyDescent="0.45">
      <c r="I135" t="s">
        <v>173</v>
      </c>
      <c r="J135" t="s">
        <v>333</v>
      </c>
      <c r="K135">
        <v>0</v>
      </c>
      <c r="L135" t="s">
        <v>161</v>
      </c>
      <c r="N135" t="s">
        <v>196</v>
      </c>
      <c r="O135" t="s">
        <v>333</v>
      </c>
      <c r="P135">
        <v>2.9307480653759804E-5</v>
      </c>
      <c r="Q135" t="s">
        <v>161</v>
      </c>
      <c r="S135" t="s">
        <v>218</v>
      </c>
      <c r="T135" t="s">
        <v>333</v>
      </c>
      <c r="U135">
        <v>0</v>
      </c>
      <c r="V135" t="s">
        <v>161</v>
      </c>
      <c r="AC135" t="s">
        <v>19</v>
      </c>
      <c r="AD135" t="s">
        <v>333</v>
      </c>
      <c r="AE135">
        <v>1.1391073464877562E-4</v>
      </c>
      <c r="AK135">
        <v>2037</v>
      </c>
      <c r="AL135" t="s">
        <v>239</v>
      </c>
      <c r="AM135">
        <v>0.33513333333333334</v>
      </c>
      <c r="AN135" t="s">
        <v>236</v>
      </c>
    </row>
    <row r="136" spans="9:40" x14ac:dyDescent="0.45">
      <c r="I136" t="s">
        <v>173</v>
      </c>
      <c r="J136" t="s">
        <v>334</v>
      </c>
      <c r="K136">
        <v>0</v>
      </c>
      <c r="L136" t="s">
        <v>161</v>
      </c>
      <c r="N136" t="s">
        <v>196</v>
      </c>
      <c r="O136" t="s">
        <v>334</v>
      </c>
      <c r="P136">
        <v>1.3738012743669602E-5</v>
      </c>
      <c r="Q136" t="s">
        <v>161</v>
      </c>
      <c r="S136" t="s">
        <v>218</v>
      </c>
      <c r="T136" t="s">
        <v>334</v>
      </c>
      <c r="U136">
        <v>0</v>
      </c>
      <c r="V136" t="s">
        <v>161</v>
      </c>
      <c r="AC136" t="s">
        <v>19</v>
      </c>
      <c r="AD136" t="s">
        <v>334</v>
      </c>
      <c r="AE136">
        <v>1.1207414649345868E-4</v>
      </c>
      <c r="AK136">
        <v>2037</v>
      </c>
      <c r="AL136" t="s">
        <v>241</v>
      </c>
      <c r="AM136">
        <v>0.34394999999999998</v>
      </c>
      <c r="AN136" t="s">
        <v>236</v>
      </c>
    </row>
    <row r="137" spans="9:40" x14ac:dyDescent="0.45">
      <c r="I137" t="s">
        <v>173</v>
      </c>
      <c r="J137" t="s">
        <v>164</v>
      </c>
      <c r="K137">
        <v>4.206707957634101E-3</v>
      </c>
      <c r="L137" t="s">
        <v>161</v>
      </c>
      <c r="N137" t="s">
        <v>196</v>
      </c>
      <c r="O137" t="s">
        <v>164</v>
      </c>
      <c r="P137">
        <v>3.598740746530496E-2</v>
      </c>
      <c r="Q137" t="s">
        <v>161</v>
      </c>
      <c r="S137" t="s">
        <v>218</v>
      </c>
      <c r="T137" t="s">
        <v>164</v>
      </c>
      <c r="U137">
        <v>3.6311664239221886E-2</v>
      </c>
      <c r="V137" t="s">
        <v>161</v>
      </c>
      <c r="AC137" t="s">
        <v>19</v>
      </c>
      <c r="AD137" t="s">
        <v>164</v>
      </c>
      <c r="AE137">
        <v>3.4394156082735654E-2</v>
      </c>
      <c r="AK137">
        <v>2037</v>
      </c>
      <c r="AL137" t="s">
        <v>264</v>
      </c>
      <c r="AM137">
        <v>0.3654</v>
      </c>
      <c r="AN137" t="s">
        <v>236</v>
      </c>
    </row>
    <row r="138" spans="9:40" x14ac:dyDescent="0.45">
      <c r="I138" t="s">
        <v>173</v>
      </c>
      <c r="J138" t="s">
        <v>165</v>
      </c>
      <c r="K138">
        <v>6.7332572499843113E-3</v>
      </c>
      <c r="L138" t="s">
        <v>161</v>
      </c>
      <c r="N138" t="s">
        <v>196</v>
      </c>
      <c r="O138" t="s">
        <v>165</v>
      </c>
      <c r="P138">
        <v>4.5337565343784633E-3</v>
      </c>
      <c r="Q138" t="s">
        <v>161</v>
      </c>
      <c r="S138" t="s">
        <v>218</v>
      </c>
      <c r="T138" t="s">
        <v>165</v>
      </c>
      <c r="U138">
        <v>4.4471168267119264E-3</v>
      </c>
      <c r="V138" t="s">
        <v>161</v>
      </c>
      <c r="AC138" t="s">
        <v>19</v>
      </c>
      <c r="AD138" t="s">
        <v>165</v>
      </c>
      <c r="AE138">
        <v>4.3841218680536033E-3</v>
      </c>
      <c r="AK138">
        <v>2037</v>
      </c>
      <c r="AL138" t="s">
        <v>265</v>
      </c>
      <c r="AM138">
        <v>0.3654</v>
      </c>
      <c r="AN138" t="s">
        <v>236</v>
      </c>
    </row>
    <row r="139" spans="9:40" x14ac:dyDescent="0.45">
      <c r="I139" t="s">
        <v>173</v>
      </c>
      <c r="J139" t="s">
        <v>166</v>
      </c>
      <c r="K139">
        <v>8.9223702947752892E-2</v>
      </c>
      <c r="L139" t="s">
        <v>161</v>
      </c>
      <c r="N139" t="s">
        <v>196</v>
      </c>
      <c r="O139" t="s">
        <v>166</v>
      </c>
      <c r="P139">
        <v>2.9403180270149262E-2</v>
      </c>
      <c r="Q139" t="s">
        <v>161</v>
      </c>
      <c r="S139" t="s">
        <v>218</v>
      </c>
      <c r="T139" t="s">
        <v>166</v>
      </c>
      <c r="U139">
        <v>3.1113937980181805E-2</v>
      </c>
      <c r="V139" t="s">
        <v>161</v>
      </c>
      <c r="AC139" t="s">
        <v>19</v>
      </c>
      <c r="AD139" t="s">
        <v>166</v>
      </c>
      <c r="AE139">
        <v>3.0641786788162831E-2</v>
      </c>
      <c r="AK139">
        <v>2038</v>
      </c>
      <c r="AL139" t="s">
        <v>149</v>
      </c>
      <c r="AM139">
        <v>0.33946666666666664</v>
      </c>
      <c r="AN139" t="s">
        <v>236</v>
      </c>
    </row>
    <row r="140" spans="9:40" x14ac:dyDescent="0.45">
      <c r="I140" t="s">
        <v>173</v>
      </c>
      <c r="J140" t="s">
        <v>244</v>
      </c>
      <c r="K140">
        <v>9.4849248975457795E-3</v>
      </c>
      <c r="L140" t="s">
        <v>161</v>
      </c>
      <c r="N140" t="s">
        <v>196</v>
      </c>
      <c r="O140" t="s">
        <v>244</v>
      </c>
      <c r="P140">
        <v>4.4460337938925926E-3</v>
      </c>
      <c r="Q140" t="s">
        <v>161</v>
      </c>
      <c r="S140" t="s">
        <v>218</v>
      </c>
      <c r="T140" t="s">
        <v>244</v>
      </c>
      <c r="U140">
        <v>4.8668764765210249E-3</v>
      </c>
      <c r="V140" t="s">
        <v>161</v>
      </c>
      <c r="AC140" t="s">
        <v>19</v>
      </c>
      <c r="AD140" t="s">
        <v>244</v>
      </c>
      <c r="AE140">
        <v>4.3782777985764462E-3</v>
      </c>
      <c r="AK140">
        <v>2038</v>
      </c>
      <c r="AL140" t="s">
        <v>153</v>
      </c>
      <c r="AM140">
        <v>0.35365000000000002</v>
      </c>
      <c r="AN140" t="s">
        <v>236</v>
      </c>
    </row>
    <row r="141" spans="9:40" x14ac:dyDescent="0.45">
      <c r="I141" t="s">
        <v>173</v>
      </c>
      <c r="J141" t="s">
        <v>245</v>
      </c>
      <c r="K141">
        <v>7.2980578317990213E-3</v>
      </c>
      <c r="L141" t="s">
        <v>161</v>
      </c>
      <c r="N141" t="s">
        <v>196</v>
      </c>
      <c r="O141" t="s">
        <v>245</v>
      </c>
      <c r="P141">
        <v>4.1202298183708654E-3</v>
      </c>
      <c r="Q141" t="s">
        <v>161</v>
      </c>
      <c r="S141" t="s">
        <v>218</v>
      </c>
      <c r="T141" t="s">
        <v>245</v>
      </c>
      <c r="U141">
        <v>4.9460407703007013E-3</v>
      </c>
      <c r="V141" t="s">
        <v>161</v>
      </c>
      <c r="AC141" t="s">
        <v>19</v>
      </c>
      <c r="AD141" t="s">
        <v>245</v>
      </c>
      <c r="AE141">
        <v>4.3805571801480495E-3</v>
      </c>
      <c r="AK141">
        <v>2038</v>
      </c>
      <c r="AL141" t="s">
        <v>155</v>
      </c>
      <c r="AM141">
        <v>0.43670000000000003</v>
      </c>
      <c r="AN141" t="s">
        <v>236</v>
      </c>
    </row>
    <row r="142" spans="9:40" x14ac:dyDescent="0.45">
      <c r="I142" t="s">
        <v>173</v>
      </c>
      <c r="J142" t="s">
        <v>267</v>
      </c>
      <c r="K142">
        <v>6.4339124096641316E-3</v>
      </c>
      <c r="L142" t="s">
        <v>161</v>
      </c>
      <c r="N142" t="s">
        <v>196</v>
      </c>
      <c r="O142" t="s">
        <v>267</v>
      </c>
      <c r="P142">
        <v>2.7744278684960495E-2</v>
      </c>
      <c r="Q142" t="s">
        <v>161</v>
      </c>
      <c r="S142" t="s">
        <v>218</v>
      </c>
      <c r="T142" t="s">
        <v>267</v>
      </c>
      <c r="U142">
        <v>2.9309553461958598E-2</v>
      </c>
      <c r="V142" t="s">
        <v>161</v>
      </c>
      <c r="AC142" t="s">
        <v>19</v>
      </c>
      <c r="AD142" t="s">
        <v>267</v>
      </c>
      <c r="AE142">
        <v>2.6030333172952454E-2</v>
      </c>
      <c r="AK142">
        <v>2038</v>
      </c>
      <c r="AL142" t="s">
        <v>157</v>
      </c>
      <c r="AM142">
        <v>0.39743333333333331</v>
      </c>
      <c r="AN142" t="s">
        <v>236</v>
      </c>
    </row>
    <row r="143" spans="9:40" x14ac:dyDescent="0.45">
      <c r="I143" t="s">
        <v>173</v>
      </c>
      <c r="J143" t="s">
        <v>167</v>
      </c>
      <c r="K143">
        <v>3.5245222266626283E-2</v>
      </c>
      <c r="L143" t="s">
        <v>161</v>
      </c>
      <c r="N143" t="s">
        <v>196</v>
      </c>
      <c r="O143" t="s">
        <v>167</v>
      </c>
      <c r="P143">
        <v>6.2652942613380017E-2</v>
      </c>
      <c r="Q143" t="s">
        <v>161</v>
      </c>
      <c r="S143" t="s">
        <v>218</v>
      </c>
      <c r="T143" t="s">
        <v>167</v>
      </c>
      <c r="U143">
        <v>6.9357720599159636E-2</v>
      </c>
      <c r="V143" t="s">
        <v>161</v>
      </c>
      <c r="AC143" t="s">
        <v>19</v>
      </c>
      <c r="AD143" t="s">
        <v>167</v>
      </c>
      <c r="AE143">
        <v>8.8509810425533367E-2</v>
      </c>
      <c r="AK143">
        <v>2038</v>
      </c>
      <c r="AL143" t="s">
        <v>239</v>
      </c>
      <c r="AM143">
        <v>0.3439666666666667</v>
      </c>
      <c r="AN143" t="s">
        <v>236</v>
      </c>
    </row>
    <row r="144" spans="9:40" x14ac:dyDescent="0.45">
      <c r="I144" t="s">
        <v>173</v>
      </c>
      <c r="J144" t="s">
        <v>168</v>
      </c>
      <c r="K144">
        <v>2.9023472459236213E-2</v>
      </c>
      <c r="L144" t="s">
        <v>161</v>
      </c>
      <c r="N144" t="s">
        <v>196</v>
      </c>
      <c r="O144" t="s">
        <v>168</v>
      </c>
      <c r="P144">
        <v>6.5915782600639242E-3</v>
      </c>
      <c r="Q144" t="s">
        <v>161</v>
      </c>
      <c r="S144" t="s">
        <v>218</v>
      </c>
      <c r="T144" t="s">
        <v>168</v>
      </c>
      <c r="U144">
        <v>8.5334625962219211E-3</v>
      </c>
      <c r="V144" t="s">
        <v>161</v>
      </c>
      <c r="AC144" t="s">
        <v>19</v>
      </c>
      <c r="AD144" t="s">
        <v>168</v>
      </c>
      <c r="AE144">
        <v>1.1268444626741531E-2</v>
      </c>
      <c r="AK144">
        <v>2038</v>
      </c>
      <c r="AL144" t="s">
        <v>241</v>
      </c>
      <c r="AM144">
        <v>0.33204999999999996</v>
      </c>
      <c r="AN144" t="s">
        <v>236</v>
      </c>
    </row>
    <row r="145" spans="9:40" x14ac:dyDescent="0.45">
      <c r="I145" t="s">
        <v>173</v>
      </c>
      <c r="J145" t="s">
        <v>169</v>
      </c>
      <c r="K145">
        <v>0.26282558068763734</v>
      </c>
      <c r="L145" t="s">
        <v>161</v>
      </c>
      <c r="N145" t="s">
        <v>196</v>
      </c>
      <c r="O145" t="s">
        <v>169</v>
      </c>
      <c r="P145">
        <v>4.8295518346035474E-2</v>
      </c>
      <c r="Q145" t="s">
        <v>161</v>
      </c>
      <c r="S145" t="s">
        <v>218</v>
      </c>
      <c r="T145" t="s">
        <v>169</v>
      </c>
      <c r="U145">
        <v>5.8947530957070365E-2</v>
      </c>
      <c r="V145" t="s">
        <v>161</v>
      </c>
      <c r="AC145" t="s">
        <v>19</v>
      </c>
      <c r="AD145" t="s">
        <v>169</v>
      </c>
      <c r="AE145">
        <v>7.8899516725694424E-2</v>
      </c>
      <c r="AK145">
        <v>2038</v>
      </c>
      <c r="AL145" t="s">
        <v>264</v>
      </c>
      <c r="AM145">
        <v>0.33939999999999998</v>
      </c>
      <c r="AN145" t="s">
        <v>236</v>
      </c>
    </row>
    <row r="146" spans="9:40" x14ac:dyDescent="0.45">
      <c r="I146" t="s">
        <v>173</v>
      </c>
      <c r="J146" t="s">
        <v>246</v>
      </c>
      <c r="K146">
        <v>3.1115980022854563E-2</v>
      </c>
      <c r="L146" t="s">
        <v>161</v>
      </c>
      <c r="N146" t="s">
        <v>196</v>
      </c>
      <c r="O146" t="s">
        <v>246</v>
      </c>
      <c r="P146">
        <v>7.693442022995425E-3</v>
      </c>
      <c r="Q146" t="s">
        <v>161</v>
      </c>
      <c r="S146" t="s">
        <v>218</v>
      </c>
      <c r="T146" t="s">
        <v>246</v>
      </c>
      <c r="U146">
        <v>8.6286849962190111E-3</v>
      </c>
      <c r="V146" t="s">
        <v>161</v>
      </c>
      <c r="AC146" t="s">
        <v>19</v>
      </c>
      <c r="AD146" t="s">
        <v>246</v>
      </c>
      <c r="AE146">
        <v>1.1264931209652598E-2</v>
      </c>
      <c r="AK146">
        <v>2038</v>
      </c>
      <c r="AL146" t="s">
        <v>265</v>
      </c>
      <c r="AM146">
        <v>0.33939999999999998</v>
      </c>
      <c r="AN146" t="s">
        <v>236</v>
      </c>
    </row>
    <row r="147" spans="9:40" x14ac:dyDescent="0.45">
      <c r="I147" t="s">
        <v>173</v>
      </c>
      <c r="J147" t="s">
        <v>247</v>
      </c>
      <c r="K147">
        <v>2.6074277573578379E-2</v>
      </c>
      <c r="L147" t="s">
        <v>161</v>
      </c>
      <c r="N147" t="s">
        <v>196</v>
      </c>
      <c r="O147" t="s">
        <v>247</v>
      </c>
      <c r="P147">
        <v>7.2503059000351457E-3</v>
      </c>
      <c r="Q147" t="s">
        <v>161</v>
      </c>
      <c r="S147" t="s">
        <v>218</v>
      </c>
      <c r="T147" t="s">
        <v>247</v>
      </c>
      <c r="U147">
        <v>8.6577319992527622E-3</v>
      </c>
      <c r="V147" t="s">
        <v>161</v>
      </c>
      <c r="AC147" t="s">
        <v>19</v>
      </c>
      <c r="AD147" t="s">
        <v>247</v>
      </c>
      <c r="AE147">
        <v>1.1264195256457254E-2</v>
      </c>
      <c r="AK147">
        <v>2039</v>
      </c>
      <c r="AL147" t="s">
        <v>149</v>
      </c>
      <c r="AM147">
        <v>0.36626666666666668</v>
      </c>
      <c r="AN147" t="s">
        <v>236</v>
      </c>
    </row>
    <row r="148" spans="9:40" x14ac:dyDescent="0.45">
      <c r="I148" t="s">
        <v>173</v>
      </c>
      <c r="J148" t="s">
        <v>268</v>
      </c>
      <c r="K148">
        <v>3.9279362975444862E-2</v>
      </c>
      <c r="L148" t="s">
        <v>161</v>
      </c>
      <c r="N148" t="s">
        <v>196</v>
      </c>
      <c r="O148" t="s">
        <v>268</v>
      </c>
      <c r="P148">
        <v>4.6651245753605436E-2</v>
      </c>
      <c r="Q148" t="s">
        <v>161</v>
      </c>
      <c r="S148" t="s">
        <v>218</v>
      </c>
      <c r="T148" t="s">
        <v>268</v>
      </c>
      <c r="U148">
        <v>5.2261562054776681E-2</v>
      </c>
      <c r="V148" t="s">
        <v>161</v>
      </c>
      <c r="AC148" t="s">
        <v>19</v>
      </c>
      <c r="AD148" t="s">
        <v>268</v>
      </c>
      <c r="AE148">
        <v>6.7053330035950945E-2</v>
      </c>
      <c r="AK148">
        <v>2039</v>
      </c>
      <c r="AL148" t="s">
        <v>153</v>
      </c>
      <c r="AM148">
        <v>0.40959999999999996</v>
      </c>
      <c r="AN148" t="s">
        <v>236</v>
      </c>
    </row>
    <row r="149" spans="9:40" x14ac:dyDescent="0.45">
      <c r="I149" t="s">
        <v>173</v>
      </c>
      <c r="J149" t="s">
        <v>170</v>
      </c>
      <c r="K149">
        <v>1.1394326833801477E-2</v>
      </c>
      <c r="L149" t="s">
        <v>161</v>
      </c>
      <c r="N149" t="s">
        <v>196</v>
      </c>
      <c r="O149" t="s">
        <v>170</v>
      </c>
      <c r="P149">
        <v>3.520516901596768E-2</v>
      </c>
      <c r="Q149" t="s">
        <v>161</v>
      </c>
      <c r="S149" t="s">
        <v>218</v>
      </c>
      <c r="T149" t="s">
        <v>170</v>
      </c>
      <c r="U149">
        <v>3.7717958928455766E-2</v>
      </c>
      <c r="V149" t="s">
        <v>161</v>
      </c>
      <c r="AC149" t="s">
        <v>19</v>
      </c>
      <c r="AD149" t="s">
        <v>170</v>
      </c>
      <c r="AE149">
        <v>4.4250627866161317E-2</v>
      </c>
      <c r="AK149">
        <v>2039</v>
      </c>
      <c r="AL149" t="s">
        <v>155</v>
      </c>
      <c r="AM149">
        <v>0.43867499999999998</v>
      </c>
      <c r="AN149" t="s">
        <v>236</v>
      </c>
    </row>
    <row r="150" spans="9:40" x14ac:dyDescent="0.45">
      <c r="I150" t="s">
        <v>173</v>
      </c>
      <c r="J150" t="s">
        <v>171</v>
      </c>
      <c r="K150">
        <v>1.243646242024939E-2</v>
      </c>
      <c r="L150" t="s">
        <v>161</v>
      </c>
      <c r="N150" t="s">
        <v>196</v>
      </c>
      <c r="O150" t="s">
        <v>171</v>
      </c>
      <c r="P150">
        <v>3.7557412762892779E-3</v>
      </c>
      <c r="Q150" t="s">
        <v>161</v>
      </c>
      <c r="S150" t="s">
        <v>218</v>
      </c>
      <c r="T150" t="s">
        <v>171</v>
      </c>
      <c r="U150">
        <v>4.8857311318993698E-3</v>
      </c>
      <c r="V150" t="s">
        <v>161</v>
      </c>
      <c r="AC150" t="s">
        <v>19</v>
      </c>
      <c r="AD150" t="s">
        <v>171</v>
      </c>
      <c r="AE150">
        <v>5.6349251260738075E-3</v>
      </c>
      <c r="AK150">
        <v>2039</v>
      </c>
      <c r="AL150" t="s">
        <v>157</v>
      </c>
      <c r="AM150">
        <v>0.4093</v>
      </c>
      <c r="AN150" t="s">
        <v>236</v>
      </c>
    </row>
    <row r="151" spans="9:40" x14ac:dyDescent="0.45">
      <c r="I151" t="s">
        <v>173</v>
      </c>
      <c r="J151" t="s">
        <v>172</v>
      </c>
      <c r="K151">
        <v>0.12015806357610152</v>
      </c>
      <c r="L151" t="s">
        <v>161</v>
      </c>
      <c r="N151" t="s">
        <v>196</v>
      </c>
      <c r="O151" t="s">
        <v>172</v>
      </c>
      <c r="P151">
        <v>2.3936365626164469E-2</v>
      </c>
      <c r="Q151" t="s">
        <v>161</v>
      </c>
      <c r="S151" t="s">
        <v>218</v>
      </c>
      <c r="T151" t="s">
        <v>172</v>
      </c>
      <c r="U151">
        <v>3.5127804636618194E-2</v>
      </c>
      <c r="V151" t="s">
        <v>161</v>
      </c>
      <c r="AC151" t="s">
        <v>19</v>
      </c>
      <c r="AD151" t="s">
        <v>172</v>
      </c>
      <c r="AE151">
        <v>3.9462644234810801E-2</v>
      </c>
      <c r="AK151">
        <v>2039</v>
      </c>
      <c r="AL151" t="s">
        <v>239</v>
      </c>
      <c r="AM151">
        <v>0.34176666666666672</v>
      </c>
      <c r="AN151" t="s">
        <v>236</v>
      </c>
    </row>
    <row r="152" spans="9:40" x14ac:dyDescent="0.45">
      <c r="I152" t="s">
        <v>173</v>
      </c>
      <c r="J152" t="s">
        <v>248</v>
      </c>
      <c r="K152">
        <v>1.4585195288342812E-2</v>
      </c>
      <c r="L152" t="s">
        <v>161</v>
      </c>
      <c r="N152" t="s">
        <v>196</v>
      </c>
      <c r="O152" t="s">
        <v>248</v>
      </c>
      <c r="P152">
        <v>3.3059034205307975E-3</v>
      </c>
      <c r="Q152" t="s">
        <v>161</v>
      </c>
      <c r="S152" t="s">
        <v>218</v>
      </c>
      <c r="T152" t="s">
        <v>248</v>
      </c>
      <c r="U152">
        <v>5.0221915724053814E-3</v>
      </c>
      <c r="V152" t="s">
        <v>161</v>
      </c>
      <c r="AC152" t="s">
        <v>19</v>
      </c>
      <c r="AD152" t="s">
        <v>248</v>
      </c>
      <c r="AE152">
        <v>5.6339918043430016E-3</v>
      </c>
      <c r="AK152">
        <v>2039</v>
      </c>
      <c r="AL152" t="s">
        <v>241</v>
      </c>
      <c r="AM152">
        <v>0.35004999999999997</v>
      </c>
      <c r="AN152" t="s">
        <v>236</v>
      </c>
    </row>
    <row r="153" spans="9:40" x14ac:dyDescent="0.45">
      <c r="I153" t="s">
        <v>173</v>
      </c>
      <c r="J153" t="s">
        <v>249</v>
      </c>
      <c r="K153">
        <v>1.208523065592897E-2</v>
      </c>
      <c r="L153" t="s">
        <v>161</v>
      </c>
      <c r="N153" t="s">
        <v>196</v>
      </c>
      <c r="O153" t="s">
        <v>249</v>
      </c>
      <c r="P153">
        <v>3.0598446804711178E-3</v>
      </c>
      <c r="Q153" t="s">
        <v>161</v>
      </c>
      <c r="S153" t="s">
        <v>218</v>
      </c>
      <c r="T153" t="s">
        <v>249</v>
      </c>
      <c r="U153">
        <v>4.9330350165741176E-3</v>
      </c>
      <c r="V153" t="s">
        <v>161</v>
      </c>
      <c r="AC153" t="s">
        <v>19</v>
      </c>
      <c r="AD153" t="s">
        <v>249</v>
      </c>
      <c r="AE153">
        <v>5.6333908589406446E-3</v>
      </c>
      <c r="AK153">
        <v>2039</v>
      </c>
      <c r="AL153" t="s">
        <v>264</v>
      </c>
      <c r="AM153">
        <v>0.36969999999999997</v>
      </c>
      <c r="AN153" t="s">
        <v>236</v>
      </c>
    </row>
    <row r="154" spans="9:40" x14ac:dyDescent="0.45">
      <c r="I154" t="s">
        <v>173</v>
      </c>
      <c r="J154" t="s">
        <v>269</v>
      </c>
      <c r="K154">
        <v>1.3745469370590057E-2</v>
      </c>
      <c r="L154" t="s">
        <v>161</v>
      </c>
      <c r="N154" t="s">
        <v>196</v>
      </c>
      <c r="O154" t="s">
        <v>269</v>
      </c>
      <c r="P154">
        <v>2.2294942981976727E-2</v>
      </c>
      <c r="Q154" t="s">
        <v>161</v>
      </c>
      <c r="S154" t="s">
        <v>218</v>
      </c>
      <c r="T154" t="s">
        <v>269</v>
      </c>
      <c r="U154">
        <v>2.9116945585927614E-2</v>
      </c>
      <c r="V154" t="s">
        <v>161</v>
      </c>
      <c r="AC154" t="s">
        <v>19</v>
      </c>
      <c r="AD154" t="s">
        <v>269</v>
      </c>
      <c r="AE154">
        <v>3.3533654134571524E-2</v>
      </c>
      <c r="AK154">
        <v>2039</v>
      </c>
      <c r="AL154" t="s">
        <v>265</v>
      </c>
      <c r="AM154">
        <v>0.36969999999999997</v>
      </c>
      <c r="AN154" t="s">
        <v>236</v>
      </c>
    </row>
    <row r="155" spans="9:40" x14ac:dyDescent="0.45">
      <c r="I155" t="s">
        <v>173</v>
      </c>
      <c r="J155" t="s">
        <v>362</v>
      </c>
      <c r="K155">
        <v>0</v>
      </c>
      <c r="L155" t="s">
        <v>161</v>
      </c>
      <c r="N155" t="s">
        <v>196</v>
      </c>
      <c r="O155" t="s">
        <v>362</v>
      </c>
      <c r="P155">
        <v>5.3012319448610496E-6</v>
      </c>
      <c r="Q155" t="s">
        <v>161</v>
      </c>
      <c r="S155" t="s">
        <v>218</v>
      </c>
      <c r="T155" t="s">
        <v>362</v>
      </c>
      <c r="U155">
        <v>2.8735689269292258E-5</v>
      </c>
      <c r="V155" t="s">
        <v>161</v>
      </c>
      <c r="AC155" t="s">
        <v>19</v>
      </c>
      <c r="AD155" t="s">
        <v>362</v>
      </c>
      <c r="AE155">
        <v>1.1225212946884818E-4</v>
      </c>
      <c r="AK155">
        <v>2040</v>
      </c>
      <c r="AL155" t="s">
        <v>149</v>
      </c>
      <c r="AM155">
        <v>0.36956666666666665</v>
      </c>
      <c r="AN155" t="s">
        <v>236</v>
      </c>
    </row>
    <row r="156" spans="9:40" x14ac:dyDescent="0.45">
      <c r="I156" t="s">
        <v>173</v>
      </c>
      <c r="J156" t="s">
        <v>363</v>
      </c>
      <c r="K156">
        <v>0</v>
      </c>
      <c r="L156" t="s">
        <v>161</v>
      </c>
      <c r="N156" t="s">
        <v>196</v>
      </c>
      <c r="O156" t="s">
        <v>363</v>
      </c>
      <c r="P156">
        <v>4.3508292110805673E-6</v>
      </c>
      <c r="Q156" t="s">
        <v>161</v>
      </c>
      <c r="S156" t="s">
        <v>218</v>
      </c>
      <c r="T156" t="s">
        <v>363</v>
      </c>
      <c r="U156">
        <v>3.8228471675163195E-5</v>
      </c>
      <c r="V156" t="s">
        <v>161</v>
      </c>
      <c r="AC156" t="s">
        <v>19</v>
      </c>
      <c r="AD156" t="s">
        <v>363</v>
      </c>
      <c r="AE156">
        <v>1.1218076820684059E-4</v>
      </c>
      <c r="AK156">
        <v>2040</v>
      </c>
      <c r="AL156" t="s">
        <v>153</v>
      </c>
      <c r="AM156">
        <v>0.40720000000000001</v>
      </c>
      <c r="AN156" t="s">
        <v>236</v>
      </c>
    </row>
    <row r="157" spans="9:40" x14ac:dyDescent="0.45">
      <c r="I157" t="s">
        <v>173</v>
      </c>
      <c r="J157" t="s">
        <v>364</v>
      </c>
      <c r="K157">
        <v>0</v>
      </c>
      <c r="L157" t="s">
        <v>161</v>
      </c>
      <c r="N157" t="s">
        <v>196</v>
      </c>
      <c r="O157" t="s">
        <v>364</v>
      </c>
      <c r="P157">
        <v>3.0219943891161756E-6</v>
      </c>
      <c r="Q157" t="s">
        <v>161</v>
      </c>
      <c r="S157" t="s">
        <v>218</v>
      </c>
      <c r="T157" t="s">
        <v>364</v>
      </c>
      <c r="U157">
        <v>4.6701229549170456E-5</v>
      </c>
      <c r="V157" t="s">
        <v>161</v>
      </c>
      <c r="AC157" t="s">
        <v>19</v>
      </c>
      <c r="AD157" t="s">
        <v>364</v>
      </c>
      <c r="AE157">
        <v>1.1218076820684059E-4</v>
      </c>
      <c r="AK157">
        <v>2040</v>
      </c>
      <c r="AL157" t="s">
        <v>155</v>
      </c>
      <c r="AM157">
        <v>0.43035000000000001</v>
      </c>
      <c r="AN157" t="s">
        <v>236</v>
      </c>
    </row>
    <row r="158" spans="9:40" x14ac:dyDescent="0.45">
      <c r="I158" t="s">
        <v>173</v>
      </c>
      <c r="J158" t="s">
        <v>365</v>
      </c>
      <c r="K158">
        <v>0</v>
      </c>
      <c r="L158" t="s">
        <v>161</v>
      </c>
      <c r="N158" t="s">
        <v>196</v>
      </c>
      <c r="O158" t="s">
        <v>365</v>
      </c>
      <c r="P158">
        <v>2.0028980376244368E-6</v>
      </c>
      <c r="Q158" t="s">
        <v>161</v>
      </c>
      <c r="S158" t="s">
        <v>218</v>
      </c>
      <c r="T158" t="s">
        <v>365</v>
      </c>
      <c r="U158">
        <v>4.5685214766242354E-5</v>
      </c>
      <c r="V158" t="s">
        <v>161</v>
      </c>
      <c r="AC158" t="s">
        <v>19</v>
      </c>
      <c r="AD158" t="s">
        <v>365</v>
      </c>
      <c r="AE158">
        <v>1.122373429010448E-4</v>
      </c>
      <c r="AK158">
        <v>2040</v>
      </c>
      <c r="AL158" t="s">
        <v>157</v>
      </c>
      <c r="AM158">
        <v>0.38369999999999999</v>
      </c>
      <c r="AN158" t="s">
        <v>236</v>
      </c>
    </row>
    <row r="159" spans="9:40" x14ac:dyDescent="0.45">
      <c r="I159" t="s">
        <v>173</v>
      </c>
      <c r="J159" t="s">
        <v>366</v>
      </c>
      <c r="K159">
        <v>0</v>
      </c>
      <c r="L159" t="s">
        <v>161</v>
      </c>
      <c r="N159" t="s">
        <v>196</v>
      </c>
      <c r="O159" t="s">
        <v>366</v>
      </c>
      <c r="P159">
        <v>8.9178596062150775E-7</v>
      </c>
      <c r="Q159" t="s">
        <v>161</v>
      </c>
      <c r="S159" t="s">
        <v>218</v>
      </c>
      <c r="T159" t="s">
        <v>366</v>
      </c>
      <c r="U159">
        <v>4.5308145292554179E-5</v>
      </c>
      <c r="V159" t="s">
        <v>161</v>
      </c>
      <c r="AC159" t="s">
        <v>19</v>
      </c>
      <c r="AD159" t="s">
        <v>366</v>
      </c>
      <c r="AE159">
        <v>1.1262516885875722E-4</v>
      </c>
      <c r="AK159">
        <v>2040</v>
      </c>
      <c r="AL159" t="s">
        <v>239</v>
      </c>
      <c r="AM159">
        <v>0.33960000000000007</v>
      </c>
      <c r="AN159" t="s">
        <v>236</v>
      </c>
    </row>
    <row r="160" spans="9:40" x14ac:dyDescent="0.45">
      <c r="I160" t="s">
        <v>173</v>
      </c>
      <c r="J160" t="s">
        <v>367</v>
      </c>
      <c r="K160">
        <v>0</v>
      </c>
      <c r="L160" t="s">
        <v>161</v>
      </c>
      <c r="N160" t="s">
        <v>196</v>
      </c>
      <c r="O160" t="s">
        <v>367</v>
      </c>
      <c r="P160">
        <v>2.2106414022402241E-7</v>
      </c>
      <c r="Q160" t="s">
        <v>161</v>
      </c>
      <c r="S160" t="s">
        <v>218</v>
      </c>
      <c r="T160" t="s">
        <v>367</v>
      </c>
      <c r="U160">
        <v>4.4114946965610248E-5</v>
      </c>
      <c r="V160" t="s">
        <v>161</v>
      </c>
      <c r="AC160" t="s">
        <v>19</v>
      </c>
      <c r="AD160" t="s">
        <v>367</v>
      </c>
      <c r="AE160">
        <v>1.1369510561818182E-4</v>
      </c>
      <c r="AK160">
        <v>2040</v>
      </c>
      <c r="AL160" t="s">
        <v>241</v>
      </c>
      <c r="AM160">
        <v>0.36019999999999996</v>
      </c>
      <c r="AN160" t="s">
        <v>236</v>
      </c>
    </row>
    <row r="161" spans="9:40" x14ac:dyDescent="0.45">
      <c r="I161" t="s">
        <v>173</v>
      </c>
      <c r="J161" t="s">
        <v>368</v>
      </c>
      <c r="K161">
        <v>1.5315609102431563E-4</v>
      </c>
      <c r="L161" t="s">
        <v>161</v>
      </c>
      <c r="N161" t="s">
        <v>196</v>
      </c>
      <c r="O161" t="s">
        <v>368</v>
      </c>
      <c r="P161">
        <v>4.9709130613077065E-7</v>
      </c>
      <c r="Q161" t="s">
        <v>161</v>
      </c>
      <c r="S161" t="s">
        <v>218</v>
      </c>
      <c r="T161" t="s">
        <v>368</v>
      </c>
      <c r="U161">
        <v>3.9696003481427963E-5</v>
      </c>
      <c r="V161" t="s">
        <v>161</v>
      </c>
      <c r="AC161" t="s">
        <v>19</v>
      </c>
      <c r="AD161" t="s">
        <v>368</v>
      </c>
      <c r="AE161">
        <v>1.1457571002029797E-4</v>
      </c>
      <c r="AK161">
        <v>2040</v>
      </c>
      <c r="AL161" t="s">
        <v>264</v>
      </c>
      <c r="AM161">
        <v>0.3745</v>
      </c>
      <c r="AN161" t="s">
        <v>236</v>
      </c>
    </row>
    <row r="162" spans="9:40" x14ac:dyDescent="0.45">
      <c r="I162" t="s">
        <v>173</v>
      </c>
      <c r="J162" t="s">
        <v>369</v>
      </c>
      <c r="K162">
        <v>3.0632025451569743E-4</v>
      </c>
      <c r="L162" t="s">
        <v>161</v>
      </c>
      <c r="N162" t="s">
        <v>196</v>
      </c>
      <c r="O162" t="s">
        <v>369</v>
      </c>
      <c r="P162">
        <v>2.5333402823972584E-7</v>
      </c>
      <c r="Q162" t="s">
        <v>161</v>
      </c>
      <c r="S162" t="s">
        <v>218</v>
      </c>
      <c r="T162" t="s">
        <v>369</v>
      </c>
      <c r="U162">
        <v>3.3836581528200817E-5</v>
      </c>
      <c r="V162" t="s">
        <v>161</v>
      </c>
      <c r="AC162" t="s">
        <v>19</v>
      </c>
      <c r="AD162" t="s">
        <v>369</v>
      </c>
      <c r="AE162">
        <v>1.1514708228704793E-4</v>
      </c>
      <c r="AK162">
        <v>2040</v>
      </c>
      <c r="AL162" t="s">
        <v>265</v>
      </c>
      <c r="AM162">
        <v>0.3745</v>
      </c>
      <c r="AN162" t="s">
        <v>236</v>
      </c>
    </row>
    <row r="163" spans="9:40" x14ac:dyDescent="0.45">
      <c r="I163" t="s">
        <v>173</v>
      </c>
      <c r="J163" t="s">
        <v>370</v>
      </c>
      <c r="K163">
        <v>4.2334338472920917E-4</v>
      </c>
      <c r="L163" t="s">
        <v>161</v>
      </c>
      <c r="N163" t="s">
        <v>196</v>
      </c>
      <c r="O163" t="s">
        <v>370</v>
      </c>
      <c r="P163">
        <v>5.254534411102066E-9</v>
      </c>
      <c r="Q163" t="s">
        <v>161</v>
      </c>
      <c r="S163" t="s">
        <v>218</v>
      </c>
      <c r="T163" t="s">
        <v>370</v>
      </c>
      <c r="U163">
        <v>3.2032438203909703E-5</v>
      </c>
      <c r="V163" t="s">
        <v>161</v>
      </c>
      <c r="AC163" t="s">
        <v>19</v>
      </c>
      <c r="AD163" t="s">
        <v>370</v>
      </c>
      <c r="AE163">
        <v>1.1555307000738841E-4</v>
      </c>
      <c r="AK163">
        <v>2041</v>
      </c>
      <c r="AL163" t="s">
        <v>149</v>
      </c>
      <c r="AM163">
        <v>0.36230000000000001</v>
      </c>
      <c r="AN163" t="s">
        <v>236</v>
      </c>
    </row>
    <row r="164" spans="9:40" x14ac:dyDescent="0.45">
      <c r="I164" t="s">
        <v>173</v>
      </c>
      <c r="J164" t="s">
        <v>371</v>
      </c>
      <c r="K164">
        <v>5.0998424769517243E-4</v>
      </c>
      <c r="L164" t="s">
        <v>161</v>
      </c>
      <c r="N164" t="s">
        <v>196</v>
      </c>
      <c r="O164" t="s">
        <v>371</v>
      </c>
      <c r="P164">
        <v>3.4196372220945483E-9</v>
      </c>
      <c r="Q164" t="s">
        <v>161</v>
      </c>
      <c r="S164" t="s">
        <v>218</v>
      </c>
      <c r="T164" t="s">
        <v>371</v>
      </c>
      <c r="U164">
        <v>3.0265574916765412E-5</v>
      </c>
      <c r="V164" t="s">
        <v>161</v>
      </c>
      <c r="AC164" t="s">
        <v>19</v>
      </c>
      <c r="AD164" t="s">
        <v>371</v>
      </c>
      <c r="AE164">
        <v>1.155693030872595E-4</v>
      </c>
      <c r="AK164">
        <v>2041</v>
      </c>
      <c r="AL164" t="s">
        <v>153</v>
      </c>
      <c r="AM164">
        <v>0.40010000000000001</v>
      </c>
      <c r="AN164" t="s">
        <v>236</v>
      </c>
    </row>
    <row r="165" spans="9:40" x14ac:dyDescent="0.45">
      <c r="I165" t="s">
        <v>173</v>
      </c>
      <c r="J165" t="s">
        <v>372</v>
      </c>
      <c r="K165">
        <v>4.9460428325814323E-4</v>
      </c>
      <c r="L165" t="s">
        <v>161</v>
      </c>
      <c r="N165" t="s">
        <v>196</v>
      </c>
      <c r="O165" t="s">
        <v>372</v>
      </c>
      <c r="P165">
        <v>1.4888176229791149E-8</v>
      </c>
      <c r="Q165" t="s">
        <v>161</v>
      </c>
      <c r="S165" t="s">
        <v>218</v>
      </c>
      <c r="T165" t="s">
        <v>372</v>
      </c>
      <c r="U165">
        <v>3.0701915028634436E-5</v>
      </c>
      <c r="V165" t="s">
        <v>161</v>
      </c>
      <c r="AC165" t="s">
        <v>19</v>
      </c>
      <c r="AD165" t="s">
        <v>372</v>
      </c>
      <c r="AE165">
        <v>1.1559357234528461E-4</v>
      </c>
      <c r="AK165">
        <v>2041</v>
      </c>
      <c r="AL165" t="s">
        <v>155</v>
      </c>
      <c r="AM165">
        <v>0.43435000000000001</v>
      </c>
      <c r="AN165" t="s">
        <v>236</v>
      </c>
    </row>
    <row r="166" spans="9:40" x14ac:dyDescent="0.45">
      <c r="I166" t="s">
        <v>173</v>
      </c>
      <c r="J166" t="s">
        <v>373</v>
      </c>
      <c r="K166">
        <v>4.4878127384572603E-4</v>
      </c>
      <c r="L166" t="s">
        <v>161</v>
      </c>
      <c r="N166" t="s">
        <v>196</v>
      </c>
      <c r="O166" t="s">
        <v>373</v>
      </c>
      <c r="P166">
        <v>1.8378037937000803E-8</v>
      </c>
      <c r="Q166" t="s">
        <v>161</v>
      </c>
      <c r="S166" t="s">
        <v>218</v>
      </c>
      <c r="T166" t="s">
        <v>373</v>
      </c>
      <c r="U166">
        <v>3.2216022197297634E-5</v>
      </c>
      <c r="V166" t="s">
        <v>161</v>
      </c>
      <c r="AC166" t="s">
        <v>19</v>
      </c>
      <c r="AD166" t="s">
        <v>373</v>
      </c>
      <c r="AE166">
        <v>1.1562394909870676E-4</v>
      </c>
      <c r="AK166">
        <v>2041</v>
      </c>
      <c r="AL166" t="s">
        <v>157</v>
      </c>
      <c r="AM166">
        <v>0.37729999999999997</v>
      </c>
      <c r="AN166" t="s">
        <v>236</v>
      </c>
    </row>
    <row r="167" spans="9:40" x14ac:dyDescent="0.45">
      <c r="I167" t="s">
        <v>173</v>
      </c>
      <c r="J167" t="s">
        <v>374</v>
      </c>
      <c r="K167">
        <v>4.0024936626944314E-4</v>
      </c>
      <c r="L167" t="s">
        <v>161</v>
      </c>
      <c r="N167" t="s">
        <v>196</v>
      </c>
      <c r="O167" t="s">
        <v>374</v>
      </c>
      <c r="P167">
        <v>5.3472684801794317E-9</v>
      </c>
      <c r="Q167" t="s">
        <v>161</v>
      </c>
      <c r="S167" t="s">
        <v>218</v>
      </c>
      <c r="T167" t="s">
        <v>374</v>
      </c>
      <c r="U167">
        <v>3.2063918626805044E-5</v>
      </c>
      <c r="V167" t="s">
        <v>161</v>
      </c>
      <c r="AC167" t="s">
        <v>19</v>
      </c>
      <c r="AD167" t="s">
        <v>374</v>
      </c>
      <c r="AE167">
        <v>1.1563616408950085E-4</v>
      </c>
      <c r="AK167">
        <v>2041</v>
      </c>
      <c r="AL167" t="s">
        <v>239</v>
      </c>
      <c r="AM167">
        <v>0.33723333333333333</v>
      </c>
      <c r="AN167" t="s">
        <v>236</v>
      </c>
    </row>
    <row r="168" spans="9:40" x14ac:dyDescent="0.45">
      <c r="I168" t="s">
        <v>173</v>
      </c>
      <c r="J168" t="s">
        <v>375</v>
      </c>
      <c r="K168">
        <v>3.6736973168775117E-4</v>
      </c>
      <c r="L168" t="s">
        <v>161</v>
      </c>
      <c r="N168" t="s">
        <v>196</v>
      </c>
      <c r="O168" t="s">
        <v>375</v>
      </c>
      <c r="P168">
        <v>0</v>
      </c>
      <c r="Q168" t="s">
        <v>161</v>
      </c>
      <c r="S168" t="s">
        <v>218</v>
      </c>
      <c r="T168" t="s">
        <v>375</v>
      </c>
      <c r="U168">
        <v>3.0853825081237833E-5</v>
      </c>
      <c r="V168" t="s">
        <v>161</v>
      </c>
      <c r="AC168" t="s">
        <v>19</v>
      </c>
      <c r="AD168" t="s">
        <v>375</v>
      </c>
      <c r="AE168">
        <v>1.1556978525794874E-4</v>
      </c>
      <c r="AK168">
        <v>2041</v>
      </c>
      <c r="AL168" t="s">
        <v>241</v>
      </c>
      <c r="AM168">
        <v>0.35309999999999997</v>
      </c>
      <c r="AN168" t="s">
        <v>236</v>
      </c>
    </row>
    <row r="169" spans="9:40" x14ac:dyDescent="0.45">
      <c r="I169" t="s">
        <v>173</v>
      </c>
      <c r="J169" t="s">
        <v>376</v>
      </c>
      <c r="K169">
        <v>2.8682571094875071E-4</v>
      </c>
      <c r="L169" t="s">
        <v>161</v>
      </c>
      <c r="N169" t="s">
        <v>196</v>
      </c>
      <c r="O169" t="s">
        <v>376</v>
      </c>
      <c r="P169">
        <v>2.5393324361845797E-9</v>
      </c>
      <c r="Q169" t="s">
        <v>161</v>
      </c>
      <c r="S169" t="s">
        <v>218</v>
      </c>
      <c r="T169" t="s">
        <v>376</v>
      </c>
      <c r="U169">
        <v>2.6530663436123704E-5</v>
      </c>
      <c r="V169" t="s">
        <v>161</v>
      </c>
      <c r="AC169" t="s">
        <v>19</v>
      </c>
      <c r="AD169" t="s">
        <v>376</v>
      </c>
      <c r="AE169">
        <v>1.1549553097180573E-4</v>
      </c>
      <c r="AK169">
        <v>2041</v>
      </c>
      <c r="AL169" t="s">
        <v>264</v>
      </c>
      <c r="AM169">
        <v>0.35730000000000001</v>
      </c>
      <c r="AN169" t="s">
        <v>236</v>
      </c>
    </row>
    <row r="170" spans="9:40" x14ac:dyDescent="0.45">
      <c r="I170" t="s">
        <v>173</v>
      </c>
      <c r="J170" t="s">
        <v>377</v>
      </c>
      <c r="K170">
        <v>2.57649162860687E-4</v>
      </c>
      <c r="L170" t="s">
        <v>161</v>
      </c>
      <c r="N170" t="s">
        <v>196</v>
      </c>
      <c r="O170" t="s">
        <v>377</v>
      </c>
      <c r="P170">
        <v>2.7506460292470629E-8</v>
      </c>
      <c r="Q170" t="s">
        <v>161</v>
      </c>
      <c r="S170" t="s">
        <v>218</v>
      </c>
      <c r="T170" t="s">
        <v>377</v>
      </c>
      <c r="U170">
        <v>2.1954762935710173E-5</v>
      </c>
      <c r="V170" t="s">
        <v>161</v>
      </c>
      <c r="AC170" t="s">
        <v>19</v>
      </c>
      <c r="AD170" t="s">
        <v>377</v>
      </c>
      <c r="AE170">
        <v>1.1547736920917767E-4</v>
      </c>
      <c r="AK170">
        <v>2041</v>
      </c>
      <c r="AL170" t="s">
        <v>265</v>
      </c>
      <c r="AM170">
        <v>0.35730000000000001</v>
      </c>
      <c r="AN170" t="s">
        <v>236</v>
      </c>
    </row>
    <row r="171" spans="9:40" x14ac:dyDescent="0.45">
      <c r="I171" t="s">
        <v>173</v>
      </c>
      <c r="J171" t="s">
        <v>378</v>
      </c>
      <c r="K171">
        <v>1.5098444902039652E-4</v>
      </c>
      <c r="L171" t="s">
        <v>161</v>
      </c>
      <c r="N171" t="s">
        <v>196</v>
      </c>
      <c r="O171" t="s">
        <v>378</v>
      </c>
      <c r="P171">
        <v>2.0431407197355463E-7</v>
      </c>
      <c r="Q171" t="s">
        <v>161</v>
      </c>
      <c r="S171" t="s">
        <v>218</v>
      </c>
      <c r="T171" t="s">
        <v>378</v>
      </c>
      <c r="U171">
        <v>1.5447654765795642E-5</v>
      </c>
      <c r="V171" t="s">
        <v>161</v>
      </c>
      <c r="AC171" t="s">
        <v>19</v>
      </c>
      <c r="AD171" t="s">
        <v>378</v>
      </c>
      <c r="AE171">
        <v>1.1545117126839559E-4</v>
      </c>
      <c r="AK171">
        <v>2042</v>
      </c>
      <c r="AL171" t="s">
        <v>149</v>
      </c>
      <c r="AM171">
        <v>0.35810000000000003</v>
      </c>
      <c r="AN171" t="s">
        <v>236</v>
      </c>
    </row>
    <row r="172" spans="9:40" x14ac:dyDescent="0.45">
      <c r="I172" t="s">
        <v>173</v>
      </c>
      <c r="J172" t="s">
        <v>379</v>
      </c>
      <c r="K172">
        <v>1.5745294917200188E-4</v>
      </c>
      <c r="L172" t="s">
        <v>161</v>
      </c>
      <c r="N172" t="s">
        <v>196</v>
      </c>
      <c r="O172" t="s">
        <v>379</v>
      </c>
      <c r="P172">
        <v>6.5568689667435375E-6</v>
      </c>
      <c r="Q172" t="s">
        <v>161</v>
      </c>
      <c r="S172" t="s">
        <v>218</v>
      </c>
      <c r="T172" t="s">
        <v>379</v>
      </c>
      <c r="U172">
        <v>1.2297578982943352E-5</v>
      </c>
      <c r="V172" t="s">
        <v>161</v>
      </c>
      <c r="AC172" t="s">
        <v>19</v>
      </c>
      <c r="AD172" t="s">
        <v>379</v>
      </c>
      <c r="AE172">
        <v>1.1545117126839559E-4</v>
      </c>
      <c r="AK172">
        <v>2042</v>
      </c>
      <c r="AL172" t="s">
        <v>153</v>
      </c>
      <c r="AM172">
        <v>0.38</v>
      </c>
      <c r="AN172" t="s">
        <v>236</v>
      </c>
    </row>
    <row r="173" spans="9:40" x14ac:dyDescent="0.45">
      <c r="I173" t="s">
        <v>173</v>
      </c>
      <c r="J173" t="s">
        <v>380</v>
      </c>
      <c r="K173">
        <v>1.0489251185545227E-4</v>
      </c>
      <c r="L173" t="s">
        <v>161</v>
      </c>
      <c r="N173" t="s">
        <v>196</v>
      </c>
      <c r="O173" t="s">
        <v>380</v>
      </c>
      <c r="P173">
        <v>1.6179068299715285E-5</v>
      </c>
      <c r="Q173" t="s">
        <v>161</v>
      </c>
      <c r="S173" t="s">
        <v>218</v>
      </c>
      <c r="T173" t="s">
        <v>380</v>
      </c>
      <c r="U173">
        <v>1.2100151463178501E-5</v>
      </c>
      <c r="V173" t="s">
        <v>161</v>
      </c>
      <c r="AC173" t="s">
        <v>19</v>
      </c>
      <c r="AD173" t="s">
        <v>380</v>
      </c>
      <c r="AE173">
        <v>1.1538077434776647E-4</v>
      </c>
      <c r="AK173">
        <v>2042</v>
      </c>
      <c r="AL173" t="s">
        <v>155</v>
      </c>
      <c r="AM173">
        <v>0.44089999999999996</v>
      </c>
      <c r="AN173" t="s">
        <v>236</v>
      </c>
    </row>
    <row r="174" spans="9:40" x14ac:dyDescent="0.45">
      <c r="I174" t="s">
        <v>173</v>
      </c>
      <c r="J174" t="s">
        <v>381</v>
      </c>
      <c r="K174">
        <v>6.2846314757741411E-5</v>
      </c>
      <c r="L174" t="s">
        <v>161</v>
      </c>
      <c r="N174" t="s">
        <v>196</v>
      </c>
      <c r="O174" t="s">
        <v>381</v>
      </c>
      <c r="P174">
        <v>3.0144882389382334E-5</v>
      </c>
      <c r="Q174" t="s">
        <v>161</v>
      </c>
      <c r="S174" t="s">
        <v>218</v>
      </c>
      <c r="T174" t="s">
        <v>381</v>
      </c>
      <c r="U174">
        <v>1.5017040188693145E-5</v>
      </c>
      <c r="V174" t="s">
        <v>161</v>
      </c>
      <c r="AC174" t="s">
        <v>19</v>
      </c>
      <c r="AD174" t="s">
        <v>381</v>
      </c>
      <c r="AE174">
        <v>1.1521860427261862E-4</v>
      </c>
      <c r="AK174">
        <v>2042</v>
      </c>
      <c r="AL174" t="s">
        <v>157</v>
      </c>
      <c r="AM174">
        <v>0.38493333333333335</v>
      </c>
      <c r="AN174" t="s">
        <v>236</v>
      </c>
    </row>
    <row r="175" spans="9:40" x14ac:dyDescent="0.45">
      <c r="I175" t="s">
        <v>173</v>
      </c>
      <c r="J175" t="s">
        <v>382</v>
      </c>
      <c r="K175">
        <v>0</v>
      </c>
      <c r="L175" t="s">
        <v>161</v>
      </c>
      <c r="N175" t="s">
        <v>196</v>
      </c>
      <c r="O175" t="s">
        <v>382</v>
      </c>
      <c r="P175">
        <v>4.0716574536556257E-5</v>
      </c>
      <c r="Q175" t="s">
        <v>161</v>
      </c>
      <c r="S175" t="s">
        <v>218</v>
      </c>
      <c r="T175" t="s">
        <v>382</v>
      </c>
      <c r="U175">
        <v>1.6750261943547548E-5</v>
      </c>
      <c r="V175" t="s">
        <v>161</v>
      </c>
      <c r="AC175" t="s">
        <v>19</v>
      </c>
      <c r="AD175" t="s">
        <v>382</v>
      </c>
      <c r="AE175">
        <v>1.1474929146842456E-4</v>
      </c>
      <c r="AK175">
        <v>2042</v>
      </c>
      <c r="AL175" t="s">
        <v>239</v>
      </c>
      <c r="AM175">
        <v>0.33936666666666665</v>
      </c>
      <c r="AN175" t="s">
        <v>236</v>
      </c>
    </row>
    <row r="176" spans="9:40" x14ac:dyDescent="0.45">
      <c r="I176" t="s">
        <v>173</v>
      </c>
      <c r="J176" t="s">
        <v>383</v>
      </c>
      <c r="K176">
        <v>0</v>
      </c>
      <c r="L176" t="s">
        <v>161</v>
      </c>
      <c r="N176" t="s">
        <v>196</v>
      </c>
      <c r="O176" t="s">
        <v>383</v>
      </c>
      <c r="P176">
        <v>4.0954716293159478E-5</v>
      </c>
      <c r="Q176" t="s">
        <v>161</v>
      </c>
      <c r="S176" t="s">
        <v>218</v>
      </c>
      <c r="T176" t="s">
        <v>383</v>
      </c>
      <c r="U176">
        <v>1.6728206430972718E-5</v>
      </c>
      <c r="V176" t="s">
        <v>161</v>
      </c>
      <c r="AC176" t="s">
        <v>19</v>
      </c>
      <c r="AD176" t="s">
        <v>383</v>
      </c>
      <c r="AE176">
        <v>1.1425136987000223E-4</v>
      </c>
      <c r="AK176">
        <v>2042</v>
      </c>
      <c r="AL176" t="s">
        <v>241</v>
      </c>
      <c r="AM176">
        <v>0.36675000000000002</v>
      </c>
      <c r="AN176" t="s">
        <v>236</v>
      </c>
    </row>
    <row r="177" spans="9:40" x14ac:dyDescent="0.45">
      <c r="I177" t="s">
        <v>173</v>
      </c>
      <c r="J177" t="s">
        <v>384</v>
      </c>
      <c r="K177">
        <v>0</v>
      </c>
      <c r="L177" t="s">
        <v>161</v>
      </c>
      <c r="N177" t="s">
        <v>196</v>
      </c>
      <c r="O177" t="s">
        <v>384</v>
      </c>
      <c r="P177">
        <v>4.3304540116595022E-5</v>
      </c>
      <c r="Q177" t="s">
        <v>161</v>
      </c>
      <c r="S177" t="s">
        <v>218</v>
      </c>
      <c r="T177" t="s">
        <v>384</v>
      </c>
      <c r="U177">
        <v>1.5767607779190098E-5</v>
      </c>
      <c r="V177" t="s">
        <v>161</v>
      </c>
      <c r="AC177" t="s">
        <v>19</v>
      </c>
      <c r="AD177" t="s">
        <v>384</v>
      </c>
      <c r="AE177">
        <v>1.1335003212824871E-4</v>
      </c>
      <c r="AK177">
        <v>2042</v>
      </c>
      <c r="AL177" t="s">
        <v>264</v>
      </c>
      <c r="AM177">
        <v>0.37919999999999998</v>
      </c>
      <c r="AN177" t="s">
        <v>236</v>
      </c>
    </row>
    <row r="178" spans="9:40" x14ac:dyDescent="0.45">
      <c r="I178" t="s">
        <v>173</v>
      </c>
      <c r="J178" t="s">
        <v>385</v>
      </c>
      <c r="K178">
        <v>0</v>
      </c>
      <c r="L178" t="s">
        <v>161</v>
      </c>
      <c r="N178" t="s">
        <v>196</v>
      </c>
      <c r="O178" t="s">
        <v>385</v>
      </c>
      <c r="P178">
        <v>3.0652865496659066E-5</v>
      </c>
      <c r="Q178" t="s">
        <v>161</v>
      </c>
      <c r="S178" t="s">
        <v>218</v>
      </c>
      <c r="T178" t="s">
        <v>385</v>
      </c>
      <c r="U178">
        <v>1.4528601838346205E-5</v>
      </c>
      <c r="V178" t="s">
        <v>161</v>
      </c>
      <c r="AC178" t="s">
        <v>19</v>
      </c>
      <c r="AD178" t="s">
        <v>385</v>
      </c>
      <c r="AE178">
        <v>1.1266952856216733E-4</v>
      </c>
      <c r="AK178">
        <v>2042</v>
      </c>
      <c r="AL178" t="s">
        <v>265</v>
      </c>
      <c r="AM178">
        <v>0.37919999999999998</v>
      </c>
      <c r="AN178" t="s">
        <v>236</v>
      </c>
    </row>
    <row r="179" spans="9:40" x14ac:dyDescent="0.45">
      <c r="I179" t="s">
        <v>173</v>
      </c>
      <c r="J179" t="s">
        <v>250</v>
      </c>
      <c r="K179">
        <v>1.6062217229606914E-3</v>
      </c>
      <c r="L179" t="s">
        <v>161</v>
      </c>
      <c r="N179" t="s">
        <v>196</v>
      </c>
      <c r="O179" t="s">
        <v>250</v>
      </c>
      <c r="P179">
        <v>5.581793519674183E-2</v>
      </c>
      <c r="Q179" t="s">
        <v>161</v>
      </c>
      <c r="S179" t="s">
        <v>218</v>
      </c>
      <c r="T179" t="s">
        <v>250</v>
      </c>
      <c r="U179">
        <v>5.1021974803208095E-2</v>
      </c>
      <c r="V179" t="s">
        <v>161</v>
      </c>
      <c r="AC179" t="s">
        <v>19</v>
      </c>
      <c r="AD179" t="s">
        <v>250</v>
      </c>
      <c r="AE179">
        <v>4.1566690628086961E-2</v>
      </c>
      <c r="AK179">
        <v>2043</v>
      </c>
      <c r="AL179" t="s">
        <v>149</v>
      </c>
      <c r="AM179">
        <v>0.37056666666666666</v>
      </c>
      <c r="AN179" t="s">
        <v>236</v>
      </c>
    </row>
    <row r="180" spans="9:40" x14ac:dyDescent="0.45">
      <c r="I180" t="s">
        <v>173</v>
      </c>
      <c r="J180" t="s">
        <v>251</v>
      </c>
      <c r="K180">
        <v>4.6635691609217319E-3</v>
      </c>
      <c r="L180" t="s">
        <v>161</v>
      </c>
      <c r="N180" t="s">
        <v>196</v>
      </c>
      <c r="O180" t="s">
        <v>251</v>
      </c>
      <c r="P180">
        <v>7.2294116723709556E-3</v>
      </c>
      <c r="Q180" t="s">
        <v>161</v>
      </c>
      <c r="S180" t="s">
        <v>218</v>
      </c>
      <c r="T180" t="s">
        <v>251</v>
      </c>
      <c r="U180">
        <v>6.1623614588879588E-3</v>
      </c>
      <c r="V180" t="s">
        <v>161</v>
      </c>
      <c r="AC180" t="s">
        <v>19</v>
      </c>
      <c r="AD180" t="s">
        <v>251</v>
      </c>
      <c r="AE180">
        <v>5.2924606826958692E-3</v>
      </c>
      <c r="AK180">
        <v>2043</v>
      </c>
      <c r="AL180" t="s">
        <v>153</v>
      </c>
      <c r="AM180">
        <v>0.39690000000000003</v>
      </c>
      <c r="AN180" t="s">
        <v>236</v>
      </c>
    </row>
    <row r="181" spans="9:40" x14ac:dyDescent="0.45">
      <c r="I181" t="s">
        <v>173</v>
      </c>
      <c r="J181" t="s">
        <v>252</v>
      </c>
      <c r="K181">
        <v>7.817249303632752E-2</v>
      </c>
      <c r="L181" t="s">
        <v>161</v>
      </c>
      <c r="N181" t="s">
        <v>196</v>
      </c>
      <c r="O181" t="s">
        <v>252</v>
      </c>
      <c r="P181">
        <v>4.2517900625041113E-2</v>
      </c>
      <c r="Q181" t="s">
        <v>161</v>
      </c>
      <c r="S181" t="s">
        <v>218</v>
      </c>
      <c r="T181" t="s">
        <v>252</v>
      </c>
      <c r="U181">
        <v>4.054625000557429E-2</v>
      </c>
      <c r="V181" t="s">
        <v>161</v>
      </c>
      <c r="AC181" t="s">
        <v>19</v>
      </c>
      <c r="AD181" t="s">
        <v>252</v>
      </c>
      <c r="AE181">
        <v>3.7016157396298377E-2</v>
      </c>
      <c r="AK181">
        <v>2043</v>
      </c>
      <c r="AL181" t="s">
        <v>155</v>
      </c>
      <c r="AM181">
        <v>0.43385000000000001</v>
      </c>
      <c r="AN181" t="s">
        <v>236</v>
      </c>
    </row>
    <row r="182" spans="9:40" x14ac:dyDescent="0.45">
      <c r="I182" t="s">
        <v>173</v>
      </c>
      <c r="J182" t="s">
        <v>253</v>
      </c>
      <c r="K182">
        <v>9.3652230189498788E-3</v>
      </c>
      <c r="L182" t="s">
        <v>161</v>
      </c>
      <c r="N182" t="s">
        <v>196</v>
      </c>
      <c r="O182" t="s">
        <v>253</v>
      </c>
      <c r="P182">
        <v>5.8913257192575227E-3</v>
      </c>
      <c r="Q182" t="s">
        <v>161</v>
      </c>
      <c r="S182" t="s">
        <v>218</v>
      </c>
      <c r="T182" t="s">
        <v>253</v>
      </c>
      <c r="U182">
        <v>6.0178710081997466E-3</v>
      </c>
      <c r="V182" t="s">
        <v>161</v>
      </c>
      <c r="AC182" t="s">
        <v>19</v>
      </c>
      <c r="AD182" t="s">
        <v>253</v>
      </c>
      <c r="AE182">
        <v>5.2864515501194276E-3</v>
      </c>
      <c r="AK182">
        <v>2043</v>
      </c>
      <c r="AL182" t="s">
        <v>157</v>
      </c>
      <c r="AM182">
        <v>0.40876666666666667</v>
      </c>
      <c r="AN182" t="s">
        <v>236</v>
      </c>
    </row>
    <row r="183" spans="9:40" x14ac:dyDescent="0.45">
      <c r="I183" t="s">
        <v>173</v>
      </c>
      <c r="J183" t="s">
        <v>254</v>
      </c>
      <c r="K183">
        <v>6.1382268311380144E-3</v>
      </c>
      <c r="L183" t="s">
        <v>161</v>
      </c>
      <c r="N183" t="s">
        <v>196</v>
      </c>
      <c r="O183" t="s">
        <v>254</v>
      </c>
      <c r="P183">
        <v>6.0254337664278875E-3</v>
      </c>
      <c r="Q183" t="s">
        <v>161</v>
      </c>
      <c r="S183" t="s">
        <v>218</v>
      </c>
      <c r="T183" t="s">
        <v>254</v>
      </c>
      <c r="U183">
        <v>6.0561976804828976E-3</v>
      </c>
      <c r="V183" t="s">
        <v>161</v>
      </c>
      <c r="AC183" t="s">
        <v>19</v>
      </c>
      <c r="AD183" t="s">
        <v>254</v>
      </c>
      <c r="AE183">
        <v>5.2895692657960562E-3</v>
      </c>
      <c r="AK183">
        <v>2043</v>
      </c>
      <c r="AL183" t="s">
        <v>239</v>
      </c>
      <c r="AM183">
        <v>0.33693333333333336</v>
      </c>
      <c r="AN183" t="s">
        <v>236</v>
      </c>
    </row>
    <row r="184" spans="9:40" x14ac:dyDescent="0.45">
      <c r="I184" t="s">
        <v>173</v>
      </c>
      <c r="J184" t="s">
        <v>270</v>
      </c>
      <c r="K184">
        <v>2.0033750186718544E-3</v>
      </c>
      <c r="L184" t="s">
        <v>161</v>
      </c>
      <c r="N184" t="s">
        <v>196</v>
      </c>
      <c r="O184" t="s">
        <v>270</v>
      </c>
      <c r="P184">
        <v>4.2191320512733443E-2</v>
      </c>
      <c r="Q184" t="s">
        <v>161</v>
      </c>
      <c r="S184" t="s">
        <v>218</v>
      </c>
      <c r="T184" t="s">
        <v>270</v>
      </c>
      <c r="U184">
        <v>3.7988204070520643E-2</v>
      </c>
      <c r="V184" t="s">
        <v>161</v>
      </c>
      <c r="AC184" t="s">
        <v>19</v>
      </c>
      <c r="AD184" t="s">
        <v>270</v>
      </c>
      <c r="AE184">
        <v>3.1478902351317069E-2</v>
      </c>
      <c r="AK184">
        <v>2043</v>
      </c>
      <c r="AL184" t="s">
        <v>241</v>
      </c>
      <c r="AM184">
        <v>0.32569999999999999</v>
      </c>
      <c r="AN184" t="s">
        <v>236</v>
      </c>
    </row>
    <row r="185" spans="9:40" x14ac:dyDescent="0.45">
      <c r="I185" t="s">
        <v>173</v>
      </c>
      <c r="J185" t="s">
        <v>255</v>
      </c>
      <c r="K185">
        <v>0</v>
      </c>
      <c r="L185" t="s">
        <v>161</v>
      </c>
      <c r="N185" t="s">
        <v>196</v>
      </c>
      <c r="O185" t="s">
        <v>255</v>
      </c>
      <c r="P185">
        <v>5.8718923386516193E-2</v>
      </c>
      <c r="Q185" t="s">
        <v>161</v>
      </c>
      <c r="S185" t="s">
        <v>218</v>
      </c>
      <c r="T185" t="s">
        <v>255</v>
      </c>
      <c r="U185">
        <v>4.7073654164308143E-2</v>
      </c>
      <c r="V185" t="s">
        <v>161</v>
      </c>
      <c r="AC185" t="s">
        <v>19</v>
      </c>
      <c r="AD185" t="s">
        <v>255</v>
      </c>
      <c r="AE185">
        <v>3.9746679684429465E-2</v>
      </c>
      <c r="AK185">
        <v>2043</v>
      </c>
      <c r="AL185" t="s">
        <v>264</v>
      </c>
      <c r="AM185">
        <v>0.34720000000000001</v>
      </c>
      <c r="AN185" t="s">
        <v>236</v>
      </c>
    </row>
    <row r="186" spans="9:40" x14ac:dyDescent="0.45">
      <c r="I186" t="s">
        <v>173</v>
      </c>
      <c r="J186" t="s">
        <v>256</v>
      </c>
      <c r="K186">
        <v>1.775158985982657E-4</v>
      </c>
      <c r="L186" t="s">
        <v>161</v>
      </c>
      <c r="N186" t="s">
        <v>196</v>
      </c>
      <c r="O186" t="s">
        <v>256</v>
      </c>
      <c r="P186">
        <v>7.4301505463244049E-3</v>
      </c>
      <c r="Q186" t="s">
        <v>161</v>
      </c>
      <c r="S186" t="s">
        <v>218</v>
      </c>
      <c r="T186" t="s">
        <v>256</v>
      </c>
      <c r="U186">
        <v>5.9611752741962473E-3</v>
      </c>
      <c r="V186" t="s">
        <v>161</v>
      </c>
      <c r="AC186" t="s">
        <v>19</v>
      </c>
      <c r="AD186" t="s">
        <v>256</v>
      </c>
      <c r="AE186">
        <v>5.06952733957721E-3</v>
      </c>
      <c r="AK186">
        <v>2043</v>
      </c>
      <c r="AL186" t="s">
        <v>265</v>
      </c>
      <c r="AM186">
        <v>0.34720000000000001</v>
      </c>
      <c r="AN186" t="s">
        <v>236</v>
      </c>
    </row>
    <row r="187" spans="9:40" x14ac:dyDescent="0.45">
      <c r="I187" t="s">
        <v>173</v>
      </c>
      <c r="J187" t="s">
        <v>257</v>
      </c>
      <c r="K187">
        <v>3.4447581428883704E-2</v>
      </c>
      <c r="L187" t="s">
        <v>161</v>
      </c>
      <c r="N187" t="s">
        <v>196</v>
      </c>
      <c r="O187" t="s">
        <v>257</v>
      </c>
      <c r="P187">
        <v>4.7268742139457795E-2</v>
      </c>
      <c r="Q187" t="s">
        <v>161</v>
      </c>
      <c r="S187" t="s">
        <v>218</v>
      </c>
      <c r="T187" t="s">
        <v>257</v>
      </c>
      <c r="U187">
        <v>3.9801898314754426E-2</v>
      </c>
      <c r="V187" t="s">
        <v>161</v>
      </c>
      <c r="AC187" t="s">
        <v>19</v>
      </c>
      <c r="AD187" t="s">
        <v>257</v>
      </c>
      <c r="AE187">
        <v>3.5489890579563574E-2</v>
      </c>
      <c r="AK187">
        <v>2044</v>
      </c>
      <c r="AL187" t="s">
        <v>149</v>
      </c>
      <c r="AM187">
        <v>0.37013333333333337</v>
      </c>
      <c r="AN187" t="s">
        <v>236</v>
      </c>
    </row>
    <row r="188" spans="9:40" x14ac:dyDescent="0.45">
      <c r="I188" t="s">
        <v>173</v>
      </c>
      <c r="J188" t="s">
        <v>258</v>
      </c>
      <c r="K188">
        <v>2.9461772610174905E-3</v>
      </c>
      <c r="L188" t="s">
        <v>161</v>
      </c>
      <c r="N188" t="s">
        <v>196</v>
      </c>
      <c r="O188" t="s">
        <v>258</v>
      </c>
      <c r="P188">
        <v>6.8143001268939178E-3</v>
      </c>
      <c r="Q188" t="s">
        <v>161</v>
      </c>
      <c r="S188" t="s">
        <v>218</v>
      </c>
      <c r="T188" t="s">
        <v>258</v>
      </c>
      <c r="U188">
        <v>5.7024697584287746E-3</v>
      </c>
      <c r="V188" t="s">
        <v>161</v>
      </c>
      <c r="AC188" t="s">
        <v>19</v>
      </c>
      <c r="AD188" t="s">
        <v>258</v>
      </c>
      <c r="AE188">
        <v>5.077127635428144E-3</v>
      </c>
      <c r="AK188">
        <v>2044</v>
      </c>
      <c r="AL188" t="s">
        <v>153</v>
      </c>
      <c r="AM188">
        <v>0.39485000000000003</v>
      </c>
      <c r="AN188" t="s">
        <v>236</v>
      </c>
    </row>
    <row r="189" spans="9:40" x14ac:dyDescent="0.45">
      <c r="I189" t="s">
        <v>173</v>
      </c>
      <c r="J189" t="s">
        <v>259</v>
      </c>
      <c r="K189">
        <v>2.0112526572433441E-4</v>
      </c>
      <c r="L189" t="s">
        <v>161</v>
      </c>
      <c r="N189" t="s">
        <v>196</v>
      </c>
      <c r="O189" t="s">
        <v>259</v>
      </c>
      <c r="P189">
        <v>7.0291652943967331E-3</v>
      </c>
      <c r="Q189" t="s">
        <v>161</v>
      </c>
      <c r="S189" t="s">
        <v>218</v>
      </c>
      <c r="T189" t="s">
        <v>259</v>
      </c>
      <c r="U189">
        <v>5.6927928560571378E-3</v>
      </c>
      <c r="V189" t="s">
        <v>161</v>
      </c>
      <c r="AC189" t="s">
        <v>19</v>
      </c>
      <c r="AD189" t="s">
        <v>259</v>
      </c>
      <c r="AE189">
        <v>5.0791235006344736E-3</v>
      </c>
      <c r="AK189">
        <v>2044</v>
      </c>
      <c r="AL189" t="s">
        <v>155</v>
      </c>
      <c r="AM189">
        <v>0.43532500000000002</v>
      </c>
      <c r="AN189" t="s">
        <v>236</v>
      </c>
    </row>
    <row r="190" spans="9:40" x14ac:dyDescent="0.45">
      <c r="I190" t="s">
        <v>173</v>
      </c>
      <c r="J190" t="s">
        <v>271</v>
      </c>
      <c r="K190">
        <v>0</v>
      </c>
      <c r="L190" t="s">
        <v>161</v>
      </c>
      <c r="N190" t="s">
        <v>196</v>
      </c>
      <c r="O190" t="s">
        <v>271</v>
      </c>
      <c r="P190">
        <v>4.2856911353545496E-2</v>
      </c>
      <c r="Q190" t="s">
        <v>161</v>
      </c>
      <c r="S190" t="s">
        <v>218</v>
      </c>
      <c r="T190" t="s">
        <v>271</v>
      </c>
      <c r="U190">
        <v>3.5151962210245316E-2</v>
      </c>
      <c r="V190" t="s">
        <v>161</v>
      </c>
      <c r="AC190" t="s">
        <v>19</v>
      </c>
      <c r="AD190" t="s">
        <v>271</v>
      </c>
      <c r="AE190">
        <v>3.0180145963330331E-2</v>
      </c>
      <c r="AK190">
        <v>2044</v>
      </c>
      <c r="AL190" t="s">
        <v>157</v>
      </c>
      <c r="AM190">
        <v>0.39856666666666668</v>
      </c>
      <c r="AN190" t="s">
        <v>236</v>
      </c>
    </row>
    <row r="191" spans="9:40" x14ac:dyDescent="0.45">
      <c r="I191" t="s">
        <v>173</v>
      </c>
      <c r="J191" t="s">
        <v>272</v>
      </c>
      <c r="K191">
        <v>0</v>
      </c>
      <c r="L191" t="s">
        <v>161</v>
      </c>
      <c r="N191" t="s">
        <v>196</v>
      </c>
      <c r="O191" t="s">
        <v>272</v>
      </c>
      <c r="P191">
        <v>2.2500657937683643E-2</v>
      </c>
      <c r="Q191" t="s">
        <v>161</v>
      </c>
      <c r="S191" t="s">
        <v>218</v>
      </c>
      <c r="T191" t="s">
        <v>272</v>
      </c>
      <c r="U191">
        <v>1.3375034993849202E-2</v>
      </c>
      <c r="V191" t="s">
        <v>161</v>
      </c>
      <c r="AC191" t="s">
        <v>19</v>
      </c>
      <c r="AD191" t="s">
        <v>272</v>
      </c>
      <c r="AE191">
        <v>9.0340464564262722E-3</v>
      </c>
      <c r="AK191">
        <v>2044</v>
      </c>
      <c r="AL191" t="s">
        <v>239</v>
      </c>
      <c r="AM191">
        <v>0.35416666666666669</v>
      </c>
      <c r="AN191" t="s">
        <v>236</v>
      </c>
    </row>
    <row r="192" spans="9:40" x14ac:dyDescent="0.45">
      <c r="I192" t="s">
        <v>173</v>
      </c>
      <c r="J192" t="s">
        <v>273</v>
      </c>
      <c r="K192">
        <v>0</v>
      </c>
      <c r="L192" t="s">
        <v>161</v>
      </c>
      <c r="N192" t="s">
        <v>196</v>
      </c>
      <c r="O192" t="s">
        <v>273</v>
      </c>
      <c r="P192">
        <v>2.8560320037011098E-3</v>
      </c>
      <c r="Q192" t="s">
        <v>161</v>
      </c>
      <c r="S192" t="s">
        <v>218</v>
      </c>
      <c r="T192" t="s">
        <v>273</v>
      </c>
      <c r="U192">
        <v>1.6217412250303471E-3</v>
      </c>
      <c r="V192" t="s">
        <v>161</v>
      </c>
      <c r="AC192" t="s">
        <v>19</v>
      </c>
      <c r="AD192" t="s">
        <v>273</v>
      </c>
      <c r="AE192">
        <v>1.1518885174877692E-3</v>
      </c>
      <c r="AK192">
        <v>2044</v>
      </c>
      <c r="AL192" t="s">
        <v>241</v>
      </c>
      <c r="AM192">
        <v>0.35575000000000001</v>
      </c>
      <c r="AN192" t="s">
        <v>236</v>
      </c>
    </row>
    <row r="193" spans="9:40" x14ac:dyDescent="0.45">
      <c r="I193" t="s">
        <v>173</v>
      </c>
      <c r="J193" t="s">
        <v>274</v>
      </c>
      <c r="K193">
        <v>7.3208393816695146E-3</v>
      </c>
      <c r="L193" t="s">
        <v>161</v>
      </c>
      <c r="N193" t="s">
        <v>196</v>
      </c>
      <c r="O193" t="s">
        <v>274</v>
      </c>
      <c r="P193">
        <v>1.6797569232642955E-2</v>
      </c>
      <c r="Q193" t="s">
        <v>161</v>
      </c>
      <c r="S193" t="s">
        <v>218</v>
      </c>
      <c r="T193" t="s">
        <v>274</v>
      </c>
      <c r="U193">
        <v>1.2002386019286371E-2</v>
      </c>
      <c r="V193" t="s">
        <v>161</v>
      </c>
      <c r="AC193" t="s">
        <v>19</v>
      </c>
      <c r="AD193" t="s">
        <v>274</v>
      </c>
      <c r="AE193">
        <v>8.0580205365958692E-3</v>
      </c>
      <c r="AK193">
        <v>2044</v>
      </c>
      <c r="AL193" t="s">
        <v>264</v>
      </c>
      <c r="AM193">
        <v>0.37430000000000002</v>
      </c>
      <c r="AN193" t="s">
        <v>236</v>
      </c>
    </row>
    <row r="194" spans="9:40" x14ac:dyDescent="0.45">
      <c r="I194" t="s">
        <v>173</v>
      </c>
      <c r="J194" t="s">
        <v>275</v>
      </c>
      <c r="K194">
        <v>6.3097734235854441E-4</v>
      </c>
      <c r="L194" t="s">
        <v>161</v>
      </c>
      <c r="N194" t="s">
        <v>196</v>
      </c>
      <c r="O194" t="s">
        <v>275</v>
      </c>
      <c r="P194">
        <v>2.2708342813327811E-3</v>
      </c>
      <c r="Q194" t="s">
        <v>161</v>
      </c>
      <c r="S194" t="s">
        <v>218</v>
      </c>
      <c r="T194" t="s">
        <v>275</v>
      </c>
      <c r="U194">
        <v>1.6850605606279451E-3</v>
      </c>
      <c r="V194" t="s">
        <v>161</v>
      </c>
      <c r="AC194" t="s">
        <v>19</v>
      </c>
      <c r="AD194" t="s">
        <v>275</v>
      </c>
      <c r="AE194">
        <v>1.1522625212190569E-3</v>
      </c>
      <c r="AK194">
        <v>2044</v>
      </c>
      <c r="AL194" t="s">
        <v>265</v>
      </c>
      <c r="AM194">
        <v>0.37430000000000002</v>
      </c>
      <c r="AN194" t="s">
        <v>236</v>
      </c>
    </row>
    <row r="195" spans="9:40" x14ac:dyDescent="0.45">
      <c r="I195" t="s">
        <v>173</v>
      </c>
      <c r="J195" t="s">
        <v>276</v>
      </c>
      <c r="K195">
        <v>0</v>
      </c>
      <c r="L195" t="s">
        <v>161</v>
      </c>
      <c r="N195" t="s">
        <v>196</v>
      </c>
      <c r="O195" t="s">
        <v>276</v>
      </c>
      <c r="P195">
        <v>2.3186100612448287E-3</v>
      </c>
      <c r="Q195" t="s">
        <v>161</v>
      </c>
      <c r="S195" t="s">
        <v>218</v>
      </c>
      <c r="T195" t="s">
        <v>276</v>
      </c>
      <c r="U195">
        <v>1.681066102334964E-3</v>
      </c>
      <c r="V195" t="s">
        <v>161</v>
      </c>
      <c r="AC195" t="s">
        <v>19</v>
      </c>
      <c r="AD195" t="s">
        <v>276</v>
      </c>
      <c r="AE195">
        <v>1.152709975618672E-3</v>
      </c>
      <c r="AK195">
        <v>2045</v>
      </c>
      <c r="AL195" t="s">
        <v>149</v>
      </c>
      <c r="AM195">
        <v>0.3666666666666667</v>
      </c>
      <c r="AN195" t="s">
        <v>236</v>
      </c>
    </row>
    <row r="196" spans="9:40" x14ac:dyDescent="0.45">
      <c r="I196" t="s">
        <v>173</v>
      </c>
      <c r="J196" t="s">
        <v>277</v>
      </c>
      <c r="K196">
        <v>0</v>
      </c>
      <c r="L196" t="s">
        <v>161</v>
      </c>
      <c r="N196" t="s">
        <v>196</v>
      </c>
      <c r="O196" t="s">
        <v>277</v>
      </c>
      <c r="P196">
        <v>1.4785725053399167E-2</v>
      </c>
      <c r="Q196" t="s">
        <v>161</v>
      </c>
      <c r="S196" t="s">
        <v>218</v>
      </c>
      <c r="T196" t="s">
        <v>277</v>
      </c>
      <c r="U196">
        <v>1.0033979021618872E-2</v>
      </c>
      <c r="V196" t="s">
        <v>161</v>
      </c>
      <c r="AC196" t="s">
        <v>19</v>
      </c>
      <c r="AD196" t="s">
        <v>277</v>
      </c>
      <c r="AE196">
        <v>6.8488404978125474E-3</v>
      </c>
      <c r="AK196">
        <v>2045</v>
      </c>
      <c r="AL196" t="s">
        <v>153</v>
      </c>
      <c r="AM196">
        <v>0.36560000000000004</v>
      </c>
      <c r="AN196" t="s">
        <v>236</v>
      </c>
    </row>
    <row r="197" spans="9:40" x14ac:dyDescent="0.45">
      <c r="I197" t="s">
        <v>173</v>
      </c>
      <c r="J197" t="s">
        <v>278</v>
      </c>
      <c r="K197">
        <v>0</v>
      </c>
      <c r="L197" t="s">
        <v>161</v>
      </c>
      <c r="N197" t="s">
        <v>196</v>
      </c>
      <c r="O197" t="s">
        <v>278</v>
      </c>
      <c r="P197">
        <v>8.5488432374982454E-3</v>
      </c>
      <c r="Q197" t="s">
        <v>161</v>
      </c>
      <c r="S197" t="s">
        <v>218</v>
      </c>
      <c r="T197" t="s">
        <v>278</v>
      </c>
      <c r="U197">
        <v>8.163583208492432E-3</v>
      </c>
      <c r="V197" t="s">
        <v>161</v>
      </c>
      <c r="AC197" t="s">
        <v>19</v>
      </c>
      <c r="AD197" t="s">
        <v>278</v>
      </c>
      <c r="AE197">
        <v>4.5101396790917583E-3</v>
      </c>
      <c r="AK197">
        <v>2045</v>
      </c>
      <c r="AL197" t="s">
        <v>155</v>
      </c>
      <c r="AM197">
        <v>0.43390000000000001</v>
      </c>
      <c r="AN197" t="s">
        <v>236</v>
      </c>
    </row>
    <row r="198" spans="9:40" x14ac:dyDescent="0.45">
      <c r="I198" t="s">
        <v>173</v>
      </c>
      <c r="J198" t="s">
        <v>279</v>
      </c>
      <c r="K198">
        <v>0</v>
      </c>
      <c r="L198" t="s">
        <v>161</v>
      </c>
      <c r="N198" t="s">
        <v>196</v>
      </c>
      <c r="O198" t="s">
        <v>279</v>
      </c>
      <c r="P198">
        <v>1.0859718630282515E-3</v>
      </c>
      <c r="Q198" t="s">
        <v>161</v>
      </c>
      <c r="S198" t="s">
        <v>218</v>
      </c>
      <c r="T198" t="s">
        <v>279</v>
      </c>
      <c r="U198">
        <v>1.040849650247906E-3</v>
      </c>
      <c r="V198" t="s">
        <v>161</v>
      </c>
      <c r="AC198" t="s">
        <v>19</v>
      </c>
      <c r="AD198" t="s">
        <v>279</v>
      </c>
      <c r="AE198">
        <v>5.7510190654978159E-4</v>
      </c>
      <c r="AK198">
        <v>2045</v>
      </c>
      <c r="AL198" t="s">
        <v>157</v>
      </c>
      <c r="AM198">
        <v>0.3995333333333333</v>
      </c>
      <c r="AN198" t="s">
        <v>236</v>
      </c>
    </row>
    <row r="199" spans="9:40" x14ac:dyDescent="0.45">
      <c r="I199" t="s">
        <v>173</v>
      </c>
      <c r="J199" t="s">
        <v>280</v>
      </c>
      <c r="K199">
        <v>4.1160020598594504E-3</v>
      </c>
      <c r="L199" t="s">
        <v>161</v>
      </c>
      <c r="N199" t="s">
        <v>196</v>
      </c>
      <c r="O199" t="s">
        <v>280</v>
      </c>
      <c r="P199">
        <v>7.1162787223998771E-3</v>
      </c>
      <c r="Q199" t="s">
        <v>161</v>
      </c>
      <c r="S199" t="s">
        <v>218</v>
      </c>
      <c r="T199" t="s">
        <v>280</v>
      </c>
      <c r="U199">
        <v>7.2838765000247272E-3</v>
      </c>
      <c r="V199" t="s">
        <v>161</v>
      </c>
      <c r="AC199" t="s">
        <v>19</v>
      </c>
      <c r="AD199" t="s">
        <v>280</v>
      </c>
      <c r="AE199">
        <v>4.0250267347869935E-3</v>
      </c>
      <c r="AK199">
        <v>2045</v>
      </c>
      <c r="AL199" t="s">
        <v>239</v>
      </c>
      <c r="AM199">
        <v>0.33240000000000003</v>
      </c>
      <c r="AN199" t="s">
        <v>236</v>
      </c>
    </row>
    <row r="200" spans="9:40" x14ac:dyDescent="0.45">
      <c r="I200" t="s">
        <v>173</v>
      </c>
      <c r="J200" t="s">
        <v>281</v>
      </c>
      <c r="K200">
        <v>5.4062999652819573E-4</v>
      </c>
      <c r="L200" t="s">
        <v>161</v>
      </c>
      <c r="N200" t="s">
        <v>196</v>
      </c>
      <c r="O200" t="s">
        <v>281</v>
      </c>
      <c r="P200">
        <v>9.3573142513331286E-4</v>
      </c>
      <c r="Q200" t="s">
        <v>161</v>
      </c>
      <c r="S200" t="s">
        <v>218</v>
      </c>
      <c r="T200" t="s">
        <v>281</v>
      </c>
      <c r="U200">
        <v>1.0195210431846223E-3</v>
      </c>
      <c r="V200" t="s">
        <v>161</v>
      </c>
      <c r="AC200" t="s">
        <v>19</v>
      </c>
      <c r="AD200" t="s">
        <v>281</v>
      </c>
      <c r="AE200">
        <v>5.7624384746546612E-4</v>
      </c>
      <c r="AK200">
        <v>2045</v>
      </c>
      <c r="AL200" t="s">
        <v>241</v>
      </c>
      <c r="AM200">
        <v>0.33829999999999999</v>
      </c>
      <c r="AN200" t="s">
        <v>236</v>
      </c>
    </row>
    <row r="201" spans="9:40" x14ac:dyDescent="0.45">
      <c r="I201" t="s">
        <v>173</v>
      </c>
      <c r="J201" t="s">
        <v>282</v>
      </c>
      <c r="K201">
        <v>0</v>
      </c>
      <c r="L201" t="s">
        <v>161</v>
      </c>
      <c r="N201" t="s">
        <v>196</v>
      </c>
      <c r="O201" t="s">
        <v>282</v>
      </c>
      <c r="P201">
        <v>1.0110740731564521E-3</v>
      </c>
      <c r="Q201" t="s">
        <v>161</v>
      </c>
      <c r="S201" t="s">
        <v>218</v>
      </c>
      <c r="T201" t="s">
        <v>282</v>
      </c>
      <c r="U201">
        <v>1.0247742190221693E-3</v>
      </c>
      <c r="V201" t="s">
        <v>161</v>
      </c>
      <c r="AC201" t="s">
        <v>19</v>
      </c>
      <c r="AD201" t="s">
        <v>282</v>
      </c>
      <c r="AE201">
        <v>5.7643912659460848E-4</v>
      </c>
      <c r="AK201">
        <v>2045</v>
      </c>
      <c r="AL201" t="s">
        <v>264</v>
      </c>
      <c r="AM201">
        <v>0.3584</v>
      </c>
      <c r="AN201" t="s">
        <v>236</v>
      </c>
    </row>
    <row r="202" spans="9:40" x14ac:dyDescent="0.45">
      <c r="I202" t="s">
        <v>173</v>
      </c>
      <c r="J202" t="s">
        <v>283</v>
      </c>
      <c r="K202">
        <v>0</v>
      </c>
      <c r="L202" t="s">
        <v>161</v>
      </c>
      <c r="N202" t="s">
        <v>196</v>
      </c>
      <c r="O202" t="s">
        <v>283</v>
      </c>
      <c r="P202">
        <v>6.5124813002402056E-3</v>
      </c>
      <c r="Q202" t="s">
        <v>161</v>
      </c>
      <c r="S202" t="s">
        <v>218</v>
      </c>
      <c r="T202" t="s">
        <v>283</v>
      </c>
      <c r="U202">
        <v>6.0949953729322257E-3</v>
      </c>
      <c r="V202" t="s">
        <v>161</v>
      </c>
      <c r="AC202" t="s">
        <v>19</v>
      </c>
      <c r="AD202" t="s">
        <v>283</v>
      </c>
      <c r="AE202">
        <v>3.4256607133661267E-3</v>
      </c>
      <c r="AK202">
        <v>2045</v>
      </c>
      <c r="AL202" t="s">
        <v>265</v>
      </c>
      <c r="AM202">
        <v>0.3584</v>
      </c>
      <c r="AN202" t="s">
        <v>236</v>
      </c>
    </row>
    <row r="203" spans="9:40" x14ac:dyDescent="0.45">
      <c r="I203" t="s">
        <v>174</v>
      </c>
      <c r="J203" t="s">
        <v>160</v>
      </c>
      <c r="K203">
        <v>3.5303715671331845E-6</v>
      </c>
      <c r="L203" t="s">
        <v>161</v>
      </c>
      <c r="N203" t="s">
        <v>197</v>
      </c>
      <c r="O203" t="s">
        <v>160</v>
      </c>
      <c r="P203">
        <v>7.1416395390788076E-2</v>
      </c>
      <c r="Q203" t="s">
        <v>161</v>
      </c>
      <c r="S203" t="s">
        <v>219</v>
      </c>
      <c r="T203" t="s">
        <v>160</v>
      </c>
      <c r="U203">
        <v>7.0701353611065582E-2</v>
      </c>
      <c r="V203" t="s">
        <v>161</v>
      </c>
      <c r="AK203">
        <v>2046</v>
      </c>
      <c r="AL203" t="s">
        <v>149</v>
      </c>
      <c r="AM203">
        <v>0.37096666666666667</v>
      </c>
      <c r="AN203" t="s">
        <v>236</v>
      </c>
    </row>
    <row r="204" spans="9:40" x14ac:dyDescent="0.45">
      <c r="I204" t="s">
        <v>174</v>
      </c>
      <c r="J204" t="s">
        <v>162</v>
      </c>
      <c r="K204">
        <v>2.7355981701234844E-3</v>
      </c>
      <c r="L204" t="s">
        <v>161</v>
      </c>
      <c r="N204" t="s">
        <v>197</v>
      </c>
      <c r="O204" t="s">
        <v>162</v>
      </c>
      <c r="P204">
        <v>9.0424913128578869E-3</v>
      </c>
      <c r="Q204" t="s">
        <v>161</v>
      </c>
      <c r="S204" t="s">
        <v>219</v>
      </c>
      <c r="T204" t="s">
        <v>162</v>
      </c>
      <c r="U204">
        <v>8.7419670845380743E-3</v>
      </c>
      <c r="V204" t="s">
        <v>161</v>
      </c>
      <c r="AK204">
        <v>2046</v>
      </c>
      <c r="AL204" t="s">
        <v>153</v>
      </c>
      <c r="AM204">
        <v>0.38300000000000001</v>
      </c>
      <c r="AN204" t="s">
        <v>236</v>
      </c>
    </row>
    <row r="205" spans="9:40" x14ac:dyDescent="0.45">
      <c r="I205" t="s">
        <v>174</v>
      </c>
      <c r="J205" t="s">
        <v>163</v>
      </c>
      <c r="K205">
        <v>9.0649374828105603E-2</v>
      </c>
      <c r="L205" t="s">
        <v>161</v>
      </c>
      <c r="N205" t="s">
        <v>197</v>
      </c>
      <c r="O205" t="s">
        <v>163</v>
      </c>
      <c r="P205">
        <v>6.0314738756293562E-2</v>
      </c>
      <c r="Q205" t="s">
        <v>161</v>
      </c>
      <c r="S205" t="s">
        <v>219</v>
      </c>
      <c r="T205" t="s">
        <v>163</v>
      </c>
      <c r="U205">
        <v>6.0663796758914409E-2</v>
      </c>
      <c r="V205" t="s">
        <v>161</v>
      </c>
      <c r="AK205">
        <v>2046</v>
      </c>
      <c r="AL205" t="s">
        <v>155</v>
      </c>
      <c r="AM205">
        <v>0.43332499999999996</v>
      </c>
      <c r="AN205" t="s">
        <v>236</v>
      </c>
    </row>
    <row r="206" spans="9:40" x14ac:dyDescent="0.45">
      <c r="I206" t="s">
        <v>174</v>
      </c>
      <c r="J206" t="s">
        <v>242</v>
      </c>
      <c r="K206">
        <v>1.0395680744605677E-2</v>
      </c>
      <c r="L206" t="s">
        <v>161</v>
      </c>
      <c r="N206" t="s">
        <v>197</v>
      </c>
      <c r="O206" t="s">
        <v>242</v>
      </c>
      <c r="P206">
        <v>8.5716700851035769E-3</v>
      </c>
      <c r="Q206" t="s">
        <v>161</v>
      </c>
      <c r="S206" t="s">
        <v>219</v>
      </c>
      <c r="T206" t="s">
        <v>242</v>
      </c>
      <c r="U206">
        <v>8.7902758999753132E-3</v>
      </c>
      <c r="V206" t="s">
        <v>161</v>
      </c>
      <c r="AK206">
        <v>2046</v>
      </c>
      <c r="AL206" t="s">
        <v>157</v>
      </c>
      <c r="AM206">
        <v>0.39599999999999996</v>
      </c>
      <c r="AN206" t="s">
        <v>236</v>
      </c>
    </row>
    <row r="207" spans="9:40" x14ac:dyDescent="0.45">
      <c r="I207" t="s">
        <v>174</v>
      </c>
      <c r="J207" t="s">
        <v>243</v>
      </c>
      <c r="K207">
        <v>6.2536482341609446E-3</v>
      </c>
      <c r="L207" t="s">
        <v>161</v>
      </c>
      <c r="N207" t="s">
        <v>197</v>
      </c>
      <c r="O207" t="s">
        <v>243</v>
      </c>
      <c r="P207">
        <v>8.7936745950141226E-3</v>
      </c>
      <c r="Q207" t="s">
        <v>161</v>
      </c>
      <c r="S207" t="s">
        <v>219</v>
      </c>
      <c r="T207" t="s">
        <v>243</v>
      </c>
      <c r="U207">
        <v>8.9098048364731151E-3</v>
      </c>
      <c r="V207" t="s">
        <v>161</v>
      </c>
      <c r="AK207">
        <v>2046</v>
      </c>
      <c r="AL207" t="s">
        <v>239</v>
      </c>
      <c r="AM207">
        <v>0.35180000000000006</v>
      </c>
      <c r="AN207" t="s">
        <v>236</v>
      </c>
    </row>
    <row r="208" spans="9:40" x14ac:dyDescent="0.45">
      <c r="I208" t="s">
        <v>174</v>
      </c>
      <c r="J208" t="s">
        <v>266</v>
      </c>
      <c r="K208">
        <v>2.1442457859561716E-3</v>
      </c>
      <c r="L208" t="s">
        <v>161</v>
      </c>
      <c r="N208" t="s">
        <v>197</v>
      </c>
      <c r="O208" t="s">
        <v>266</v>
      </c>
      <c r="P208">
        <v>5.4979176344161038E-2</v>
      </c>
      <c r="Q208" t="s">
        <v>161</v>
      </c>
      <c r="S208" t="s">
        <v>219</v>
      </c>
      <c r="T208" t="s">
        <v>266</v>
      </c>
      <c r="U208">
        <v>5.4016371034144008E-2</v>
      </c>
      <c r="V208" t="s">
        <v>161</v>
      </c>
      <c r="AK208">
        <v>2046</v>
      </c>
      <c r="AL208" t="s">
        <v>241</v>
      </c>
      <c r="AM208">
        <v>0.32989999999999997</v>
      </c>
      <c r="AN208" t="s">
        <v>236</v>
      </c>
    </row>
    <row r="209" spans="9:40" x14ac:dyDescent="0.45">
      <c r="I209" t="s">
        <v>174</v>
      </c>
      <c r="J209" t="s">
        <v>311</v>
      </c>
      <c r="K209">
        <v>0</v>
      </c>
      <c r="L209" t="s">
        <v>161</v>
      </c>
      <c r="N209" t="s">
        <v>197</v>
      </c>
      <c r="O209" t="s">
        <v>311</v>
      </c>
      <c r="P209">
        <v>4.337105456925889E-6</v>
      </c>
      <c r="Q209" t="s">
        <v>161</v>
      </c>
      <c r="S209" t="s">
        <v>219</v>
      </c>
      <c r="T209" t="s">
        <v>311</v>
      </c>
      <c r="U209">
        <v>6.4722534782759287E-8</v>
      </c>
      <c r="V209" t="s">
        <v>161</v>
      </c>
      <c r="AK209">
        <v>2046</v>
      </c>
      <c r="AL209" t="s">
        <v>264</v>
      </c>
      <c r="AM209">
        <v>0.33829999999999999</v>
      </c>
      <c r="AN209" t="s">
        <v>236</v>
      </c>
    </row>
    <row r="210" spans="9:40" x14ac:dyDescent="0.45">
      <c r="I210" t="s">
        <v>174</v>
      </c>
      <c r="J210" t="s">
        <v>312</v>
      </c>
      <c r="K210">
        <v>0</v>
      </c>
      <c r="L210" t="s">
        <v>161</v>
      </c>
      <c r="N210" t="s">
        <v>197</v>
      </c>
      <c r="O210" t="s">
        <v>312</v>
      </c>
      <c r="P210">
        <v>7.1997568966975541E-6</v>
      </c>
      <c r="Q210" t="s">
        <v>161</v>
      </c>
      <c r="S210" t="s">
        <v>219</v>
      </c>
      <c r="T210" t="s">
        <v>312</v>
      </c>
      <c r="U210">
        <v>5.269764283911463E-8</v>
      </c>
      <c r="V210" t="s">
        <v>161</v>
      </c>
      <c r="AK210">
        <v>2046</v>
      </c>
      <c r="AL210" t="s">
        <v>265</v>
      </c>
      <c r="AM210">
        <v>0.33829999999999999</v>
      </c>
      <c r="AN210" t="s">
        <v>236</v>
      </c>
    </row>
    <row r="211" spans="9:40" x14ac:dyDescent="0.45">
      <c r="I211" t="s">
        <v>174</v>
      </c>
      <c r="J211" t="s">
        <v>313</v>
      </c>
      <c r="K211">
        <v>0</v>
      </c>
      <c r="L211" t="s">
        <v>161</v>
      </c>
      <c r="N211" t="s">
        <v>197</v>
      </c>
      <c r="O211" t="s">
        <v>313</v>
      </c>
      <c r="P211">
        <v>7.7910171290114021E-6</v>
      </c>
      <c r="Q211" t="s">
        <v>161</v>
      </c>
      <c r="S211" t="s">
        <v>219</v>
      </c>
      <c r="T211" t="s">
        <v>313</v>
      </c>
      <c r="U211">
        <v>5.5559368514737117E-8</v>
      </c>
      <c r="V211" t="s">
        <v>161</v>
      </c>
      <c r="AK211">
        <v>2047</v>
      </c>
      <c r="AL211" t="s">
        <v>149</v>
      </c>
      <c r="AM211">
        <v>0.33453333333333335</v>
      </c>
      <c r="AN211" t="s">
        <v>236</v>
      </c>
    </row>
    <row r="212" spans="9:40" x14ac:dyDescent="0.45">
      <c r="I212" t="s">
        <v>174</v>
      </c>
      <c r="J212" t="s">
        <v>314</v>
      </c>
      <c r="K212">
        <v>0</v>
      </c>
      <c r="L212" t="s">
        <v>161</v>
      </c>
      <c r="N212" t="s">
        <v>197</v>
      </c>
      <c r="O212" t="s">
        <v>314</v>
      </c>
      <c r="P212">
        <v>9.6981768025453766E-6</v>
      </c>
      <c r="Q212" t="s">
        <v>161</v>
      </c>
      <c r="S212" t="s">
        <v>219</v>
      </c>
      <c r="T212" t="s">
        <v>314</v>
      </c>
      <c r="U212">
        <v>8.8597501643509313E-8</v>
      </c>
      <c r="V212" t="s">
        <v>161</v>
      </c>
      <c r="AK212">
        <v>2047</v>
      </c>
      <c r="AL212" t="s">
        <v>153</v>
      </c>
      <c r="AM212">
        <v>0.35034999999999999</v>
      </c>
      <c r="AN212" t="s">
        <v>236</v>
      </c>
    </row>
    <row r="213" spans="9:40" x14ac:dyDescent="0.45">
      <c r="I213" t="s">
        <v>174</v>
      </c>
      <c r="J213" t="s">
        <v>315</v>
      </c>
      <c r="K213">
        <v>0</v>
      </c>
      <c r="L213" t="s">
        <v>161</v>
      </c>
      <c r="N213" t="s">
        <v>197</v>
      </c>
      <c r="O213" t="s">
        <v>315</v>
      </c>
      <c r="P213">
        <v>8.9292905603810927E-6</v>
      </c>
      <c r="Q213" t="s">
        <v>161</v>
      </c>
      <c r="S213" t="s">
        <v>219</v>
      </c>
      <c r="T213" t="s">
        <v>315</v>
      </c>
      <c r="U213">
        <v>0</v>
      </c>
      <c r="V213" t="s">
        <v>161</v>
      </c>
      <c r="AK213">
        <v>2047</v>
      </c>
      <c r="AL213" t="s">
        <v>155</v>
      </c>
      <c r="AM213">
        <v>0.45174999999999998</v>
      </c>
      <c r="AN213" t="s">
        <v>236</v>
      </c>
    </row>
    <row r="214" spans="9:40" x14ac:dyDescent="0.45">
      <c r="I214" t="s">
        <v>174</v>
      </c>
      <c r="J214" t="s">
        <v>316</v>
      </c>
      <c r="K214">
        <v>0</v>
      </c>
      <c r="L214" t="s">
        <v>161</v>
      </c>
      <c r="N214" t="s">
        <v>197</v>
      </c>
      <c r="O214" t="s">
        <v>316</v>
      </c>
      <c r="P214">
        <v>6.9823663312697065E-6</v>
      </c>
      <c r="Q214" t="s">
        <v>161</v>
      </c>
      <c r="S214" t="s">
        <v>219</v>
      </c>
      <c r="T214" t="s">
        <v>316</v>
      </c>
      <c r="U214">
        <v>0</v>
      </c>
      <c r="V214" t="s">
        <v>161</v>
      </c>
      <c r="AK214">
        <v>2047</v>
      </c>
      <c r="AL214" t="s">
        <v>157</v>
      </c>
      <c r="AM214">
        <v>0.42236666666666672</v>
      </c>
      <c r="AN214" t="s">
        <v>236</v>
      </c>
    </row>
    <row r="215" spans="9:40" x14ac:dyDescent="0.45">
      <c r="I215" t="s">
        <v>174</v>
      </c>
      <c r="J215" t="s">
        <v>317</v>
      </c>
      <c r="K215">
        <v>0</v>
      </c>
      <c r="L215" t="s">
        <v>161</v>
      </c>
      <c r="N215" t="s">
        <v>197</v>
      </c>
      <c r="O215" t="s">
        <v>317</v>
      </c>
      <c r="P215">
        <v>5.004264381313442E-6</v>
      </c>
      <c r="Q215" t="s">
        <v>161</v>
      </c>
      <c r="S215" t="s">
        <v>219</v>
      </c>
      <c r="T215" t="s">
        <v>317</v>
      </c>
      <c r="U215">
        <v>0</v>
      </c>
      <c r="V215" t="s">
        <v>161</v>
      </c>
      <c r="AK215">
        <v>2047</v>
      </c>
      <c r="AL215" t="s">
        <v>239</v>
      </c>
      <c r="AM215">
        <v>0.33673333333333333</v>
      </c>
      <c r="AN215" t="s">
        <v>236</v>
      </c>
    </row>
    <row r="216" spans="9:40" x14ac:dyDescent="0.45">
      <c r="I216" t="s">
        <v>174</v>
      </c>
      <c r="J216" t="s">
        <v>318</v>
      </c>
      <c r="K216">
        <v>0</v>
      </c>
      <c r="L216" t="s">
        <v>161</v>
      </c>
      <c r="N216" t="s">
        <v>197</v>
      </c>
      <c r="O216" t="s">
        <v>318</v>
      </c>
      <c r="P216">
        <v>7.8993415606891595E-6</v>
      </c>
      <c r="Q216" t="s">
        <v>161</v>
      </c>
      <c r="S216" t="s">
        <v>219</v>
      </c>
      <c r="T216" t="s">
        <v>318</v>
      </c>
      <c r="U216">
        <v>0</v>
      </c>
      <c r="V216" t="s">
        <v>161</v>
      </c>
      <c r="AK216">
        <v>2047</v>
      </c>
      <c r="AL216" t="s">
        <v>241</v>
      </c>
      <c r="AM216">
        <v>0.3367</v>
      </c>
      <c r="AN216" t="s">
        <v>236</v>
      </c>
    </row>
    <row r="217" spans="9:40" x14ac:dyDescent="0.45">
      <c r="I217" t="s">
        <v>174</v>
      </c>
      <c r="J217" t="s">
        <v>319</v>
      </c>
      <c r="K217">
        <v>6.1691080631754409E-5</v>
      </c>
      <c r="L217" t="s">
        <v>161</v>
      </c>
      <c r="N217" t="s">
        <v>197</v>
      </c>
      <c r="O217" t="s">
        <v>319</v>
      </c>
      <c r="P217">
        <v>7.9394262474053643E-6</v>
      </c>
      <c r="Q217" t="s">
        <v>161</v>
      </c>
      <c r="S217" t="s">
        <v>219</v>
      </c>
      <c r="T217" t="s">
        <v>319</v>
      </c>
      <c r="U217">
        <v>0</v>
      </c>
      <c r="V217" t="s">
        <v>161</v>
      </c>
      <c r="AK217">
        <v>2047</v>
      </c>
      <c r="AL217" t="s">
        <v>264</v>
      </c>
      <c r="AM217">
        <v>0.33610000000000001</v>
      </c>
      <c r="AN217" t="s">
        <v>236</v>
      </c>
    </row>
    <row r="218" spans="9:40" x14ac:dyDescent="0.45">
      <c r="I218" t="s">
        <v>174</v>
      </c>
      <c r="J218" t="s">
        <v>320</v>
      </c>
      <c r="K218">
        <v>6.8997528336968336E-5</v>
      </c>
      <c r="L218" t="s">
        <v>161</v>
      </c>
      <c r="N218" t="s">
        <v>197</v>
      </c>
      <c r="O218" t="s">
        <v>320</v>
      </c>
      <c r="P218">
        <v>1.7384778157085092E-6</v>
      </c>
      <c r="Q218" t="s">
        <v>161</v>
      </c>
      <c r="S218" t="s">
        <v>219</v>
      </c>
      <c r="T218" t="s">
        <v>320</v>
      </c>
      <c r="U218">
        <v>0</v>
      </c>
      <c r="V218" t="s">
        <v>161</v>
      </c>
      <c r="AK218">
        <v>2047</v>
      </c>
      <c r="AL218" t="s">
        <v>265</v>
      </c>
      <c r="AM218">
        <v>0.33610000000000001</v>
      </c>
      <c r="AN218" t="s">
        <v>236</v>
      </c>
    </row>
    <row r="219" spans="9:40" x14ac:dyDescent="0.45">
      <c r="I219" t="s">
        <v>174</v>
      </c>
      <c r="J219" t="s">
        <v>321</v>
      </c>
      <c r="K219">
        <v>1.1747761421667316E-4</v>
      </c>
      <c r="L219" t="s">
        <v>161</v>
      </c>
      <c r="N219" t="s">
        <v>197</v>
      </c>
      <c r="O219" t="s">
        <v>321</v>
      </c>
      <c r="P219">
        <v>8.529213062555902E-7</v>
      </c>
      <c r="Q219" t="s">
        <v>161</v>
      </c>
      <c r="S219" t="s">
        <v>219</v>
      </c>
      <c r="T219" t="s">
        <v>321</v>
      </c>
      <c r="U219">
        <v>0</v>
      </c>
      <c r="V219" t="s">
        <v>161</v>
      </c>
      <c r="AK219">
        <v>2048</v>
      </c>
      <c r="AL219" t="s">
        <v>149</v>
      </c>
      <c r="AM219">
        <v>0.35470000000000002</v>
      </c>
      <c r="AN219" t="s">
        <v>236</v>
      </c>
    </row>
    <row r="220" spans="9:40" x14ac:dyDescent="0.45">
      <c r="I220" t="s">
        <v>174</v>
      </c>
      <c r="J220" t="s">
        <v>322</v>
      </c>
      <c r="K220">
        <v>1.3250904754729163E-4</v>
      </c>
      <c r="L220" t="s">
        <v>161</v>
      </c>
      <c r="N220" t="s">
        <v>197</v>
      </c>
      <c r="O220" t="s">
        <v>322</v>
      </c>
      <c r="P220">
        <v>1.6706987114392361E-5</v>
      </c>
      <c r="Q220" t="s">
        <v>161</v>
      </c>
      <c r="S220" t="s">
        <v>219</v>
      </c>
      <c r="T220" t="s">
        <v>322</v>
      </c>
      <c r="U220">
        <v>0</v>
      </c>
      <c r="V220" t="s">
        <v>161</v>
      </c>
      <c r="AK220">
        <v>2048</v>
      </c>
      <c r="AL220" t="s">
        <v>153</v>
      </c>
      <c r="AM220">
        <v>0.38565000000000005</v>
      </c>
      <c r="AN220" t="s">
        <v>236</v>
      </c>
    </row>
    <row r="221" spans="9:40" x14ac:dyDescent="0.45">
      <c r="I221" t="s">
        <v>174</v>
      </c>
      <c r="J221" t="s">
        <v>323</v>
      </c>
      <c r="K221">
        <v>1.3855351140431465E-4</v>
      </c>
      <c r="L221" t="s">
        <v>161</v>
      </c>
      <c r="N221" t="s">
        <v>197</v>
      </c>
      <c r="O221" t="s">
        <v>323</v>
      </c>
      <c r="P221">
        <v>1.2095956237604387E-5</v>
      </c>
      <c r="Q221" t="s">
        <v>161</v>
      </c>
      <c r="S221" t="s">
        <v>219</v>
      </c>
      <c r="T221" t="s">
        <v>323</v>
      </c>
      <c r="U221">
        <v>0</v>
      </c>
      <c r="V221" t="s">
        <v>161</v>
      </c>
      <c r="AK221">
        <v>2048</v>
      </c>
      <c r="AL221" t="s">
        <v>155</v>
      </c>
      <c r="AM221">
        <v>0.44475000000000003</v>
      </c>
      <c r="AN221" t="s">
        <v>236</v>
      </c>
    </row>
    <row r="222" spans="9:40" x14ac:dyDescent="0.45">
      <c r="I222" t="s">
        <v>174</v>
      </c>
      <c r="J222" t="s">
        <v>324</v>
      </c>
      <c r="K222">
        <v>1.5044293305479701E-4</v>
      </c>
      <c r="L222" t="s">
        <v>161</v>
      </c>
      <c r="N222" t="s">
        <v>197</v>
      </c>
      <c r="O222" t="s">
        <v>324</v>
      </c>
      <c r="P222">
        <v>5.0737882604991394E-6</v>
      </c>
      <c r="Q222" t="s">
        <v>161</v>
      </c>
      <c r="S222" t="s">
        <v>219</v>
      </c>
      <c r="T222" t="s">
        <v>324</v>
      </c>
      <c r="U222">
        <v>3.5464823924428561E-7</v>
      </c>
      <c r="V222" t="s">
        <v>161</v>
      </c>
      <c r="AK222">
        <v>2048</v>
      </c>
      <c r="AL222" t="s">
        <v>157</v>
      </c>
      <c r="AM222">
        <v>0.41416666666666663</v>
      </c>
      <c r="AN222" t="s">
        <v>236</v>
      </c>
    </row>
    <row r="223" spans="9:40" x14ac:dyDescent="0.45">
      <c r="I223" t="s">
        <v>174</v>
      </c>
      <c r="J223" t="s">
        <v>325</v>
      </c>
      <c r="K223">
        <v>2.2228714735363892E-4</v>
      </c>
      <c r="L223" t="s">
        <v>161</v>
      </c>
      <c r="N223" t="s">
        <v>197</v>
      </c>
      <c r="O223" t="s">
        <v>325</v>
      </c>
      <c r="P223">
        <v>2.039006590677295E-6</v>
      </c>
      <c r="Q223" t="s">
        <v>161</v>
      </c>
      <c r="S223" t="s">
        <v>219</v>
      </c>
      <c r="T223" t="s">
        <v>325</v>
      </c>
      <c r="U223">
        <v>3.7790587341126497E-7</v>
      </c>
      <c r="V223" t="s">
        <v>161</v>
      </c>
      <c r="AK223">
        <v>2048</v>
      </c>
      <c r="AL223" t="s">
        <v>239</v>
      </c>
      <c r="AM223">
        <v>0.34603333333333336</v>
      </c>
      <c r="AN223" t="s">
        <v>236</v>
      </c>
    </row>
    <row r="224" spans="9:40" x14ac:dyDescent="0.45">
      <c r="I224" t="s">
        <v>174</v>
      </c>
      <c r="J224" t="s">
        <v>326</v>
      </c>
      <c r="K224">
        <v>2.7619547144457773E-4</v>
      </c>
      <c r="L224" t="s">
        <v>161</v>
      </c>
      <c r="N224" t="s">
        <v>197</v>
      </c>
      <c r="O224" t="s">
        <v>326</v>
      </c>
      <c r="P224">
        <v>2.0544846708048686E-6</v>
      </c>
      <c r="Q224" t="s">
        <v>161</v>
      </c>
      <c r="S224" t="s">
        <v>219</v>
      </c>
      <c r="T224" t="s">
        <v>326</v>
      </c>
      <c r="U224">
        <v>0</v>
      </c>
      <c r="V224" t="s">
        <v>161</v>
      </c>
      <c r="AK224">
        <v>2048</v>
      </c>
      <c r="AL224" t="s">
        <v>241</v>
      </c>
      <c r="AM224">
        <v>0.34609999999999996</v>
      </c>
      <c r="AN224" t="s">
        <v>236</v>
      </c>
    </row>
    <row r="225" spans="9:40" x14ac:dyDescent="0.45">
      <c r="I225" t="s">
        <v>174</v>
      </c>
      <c r="J225" t="s">
        <v>327</v>
      </c>
      <c r="K225">
        <v>3.155018585562635E-4</v>
      </c>
      <c r="L225" t="s">
        <v>161</v>
      </c>
      <c r="N225" t="s">
        <v>197</v>
      </c>
      <c r="O225" t="s">
        <v>327</v>
      </c>
      <c r="P225">
        <v>4.504766272300419E-6</v>
      </c>
      <c r="Q225" t="s">
        <v>161</v>
      </c>
      <c r="S225" t="s">
        <v>219</v>
      </c>
      <c r="T225" t="s">
        <v>327</v>
      </c>
      <c r="U225">
        <v>0</v>
      </c>
      <c r="V225" t="s">
        <v>161</v>
      </c>
      <c r="AK225">
        <v>2048</v>
      </c>
      <c r="AL225" t="s">
        <v>264</v>
      </c>
      <c r="AM225">
        <v>0.36759999999999998</v>
      </c>
      <c r="AN225" t="s">
        <v>236</v>
      </c>
    </row>
    <row r="226" spans="9:40" x14ac:dyDescent="0.45">
      <c r="I226" t="s">
        <v>174</v>
      </c>
      <c r="J226" t="s">
        <v>328</v>
      </c>
      <c r="K226">
        <v>2.254316298920113E-4</v>
      </c>
      <c r="L226" t="s">
        <v>161</v>
      </c>
      <c r="N226" t="s">
        <v>197</v>
      </c>
      <c r="O226" t="s">
        <v>328</v>
      </c>
      <c r="P226">
        <v>1.1882360303205885E-5</v>
      </c>
      <c r="Q226" t="s">
        <v>161</v>
      </c>
      <c r="S226" t="s">
        <v>219</v>
      </c>
      <c r="T226" t="s">
        <v>328</v>
      </c>
      <c r="U226">
        <v>0</v>
      </c>
      <c r="V226" t="s">
        <v>161</v>
      </c>
      <c r="AK226">
        <v>2048</v>
      </c>
      <c r="AL226" t="s">
        <v>265</v>
      </c>
      <c r="AM226">
        <v>0.36759999999999998</v>
      </c>
      <c r="AN226" t="s">
        <v>236</v>
      </c>
    </row>
    <row r="227" spans="9:40" x14ac:dyDescent="0.45">
      <c r="I227" t="s">
        <v>174</v>
      </c>
      <c r="J227" t="s">
        <v>329</v>
      </c>
      <c r="K227">
        <v>0</v>
      </c>
      <c r="L227" t="s">
        <v>161</v>
      </c>
      <c r="N227" t="s">
        <v>197</v>
      </c>
      <c r="O227" t="s">
        <v>329</v>
      </c>
      <c r="P227">
        <v>1.735555269737433E-5</v>
      </c>
      <c r="Q227" t="s">
        <v>161</v>
      </c>
      <c r="S227" t="s">
        <v>219</v>
      </c>
      <c r="T227" t="s">
        <v>329</v>
      </c>
      <c r="U227">
        <v>7.6916134452139962E-8</v>
      </c>
      <c r="V227" t="s">
        <v>161</v>
      </c>
      <c r="AK227">
        <v>2049</v>
      </c>
      <c r="AL227" t="s">
        <v>149</v>
      </c>
      <c r="AM227">
        <v>0.37246666666666667</v>
      </c>
      <c r="AN227" t="s">
        <v>236</v>
      </c>
    </row>
    <row r="228" spans="9:40" x14ac:dyDescent="0.45">
      <c r="I228" t="s">
        <v>174</v>
      </c>
      <c r="J228" t="s">
        <v>330</v>
      </c>
      <c r="K228">
        <v>0</v>
      </c>
      <c r="L228" t="s">
        <v>161</v>
      </c>
      <c r="N228" t="s">
        <v>197</v>
      </c>
      <c r="O228" t="s">
        <v>330</v>
      </c>
      <c r="P228">
        <v>2.0157121881659655E-5</v>
      </c>
      <c r="Q228" t="s">
        <v>161</v>
      </c>
      <c r="S228" t="s">
        <v>219</v>
      </c>
      <c r="T228" t="s">
        <v>330</v>
      </c>
      <c r="U228">
        <v>6.0707106383054983E-7</v>
      </c>
      <c r="V228" t="s">
        <v>161</v>
      </c>
      <c r="AK228">
        <v>2049</v>
      </c>
      <c r="AL228" t="s">
        <v>153</v>
      </c>
      <c r="AM228">
        <v>0.39959999999999996</v>
      </c>
      <c r="AN228" t="s">
        <v>236</v>
      </c>
    </row>
    <row r="229" spans="9:40" x14ac:dyDescent="0.45">
      <c r="I229" t="s">
        <v>174</v>
      </c>
      <c r="J229" t="s">
        <v>331</v>
      </c>
      <c r="K229">
        <v>0</v>
      </c>
      <c r="L229" t="s">
        <v>161</v>
      </c>
      <c r="N229" t="s">
        <v>197</v>
      </c>
      <c r="O229" t="s">
        <v>331</v>
      </c>
      <c r="P229">
        <v>1.6894740115283822E-5</v>
      </c>
      <c r="Q229" t="s">
        <v>161</v>
      </c>
      <c r="S229" t="s">
        <v>219</v>
      </c>
      <c r="T229" t="s">
        <v>331</v>
      </c>
      <c r="U229">
        <v>1.2523835909307863E-6</v>
      </c>
      <c r="V229" t="s">
        <v>161</v>
      </c>
      <c r="AK229">
        <v>2049</v>
      </c>
      <c r="AL229" t="s">
        <v>155</v>
      </c>
      <c r="AM229">
        <v>0.43245</v>
      </c>
      <c r="AN229" t="s">
        <v>236</v>
      </c>
    </row>
    <row r="230" spans="9:40" x14ac:dyDescent="0.45">
      <c r="I230" t="s">
        <v>174</v>
      </c>
      <c r="J230" t="s">
        <v>332</v>
      </c>
      <c r="K230">
        <v>0</v>
      </c>
      <c r="L230" t="s">
        <v>161</v>
      </c>
      <c r="N230" t="s">
        <v>197</v>
      </c>
      <c r="O230" t="s">
        <v>332</v>
      </c>
      <c r="P230">
        <v>1.449390046321146E-5</v>
      </c>
      <c r="Q230" t="s">
        <v>161</v>
      </c>
      <c r="S230" t="s">
        <v>219</v>
      </c>
      <c r="T230" t="s">
        <v>332</v>
      </c>
      <c r="U230">
        <v>5.8941166398392542E-7</v>
      </c>
      <c r="V230" t="s">
        <v>161</v>
      </c>
      <c r="AK230">
        <v>2049</v>
      </c>
      <c r="AL230" t="s">
        <v>157</v>
      </c>
      <c r="AM230">
        <v>0.39596666666666663</v>
      </c>
      <c r="AN230" t="s">
        <v>236</v>
      </c>
    </row>
    <row r="231" spans="9:40" x14ac:dyDescent="0.45">
      <c r="I231" t="s">
        <v>174</v>
      </c>
      <c r="J231" t="s">
        <v>333</v>
      </c>
      <c r="K231">
        <v>0</v>
      </c>
      <c r="L231" t="s">
        <v>161</v>
      </c>
      <c r="N231" t="s">
        <v>197</v>
      </c>
      <c r="O231" t="s">
        <v>333</v>
      </c>
      <c r="P231">
        <v>1.3628706392039406E-5</v>
      </c>
      <c r="Q231" t="s">
        <v>161</v>
      </c>
      <c r="S231" t="s">
        <v>219</v>
      </c>
      <c r="T231" t="s">
        <v>333</v>
      </c>
      <c r="U231">
        <v>3.2544384508544174E-6</v>
      </c>
      <c r="V231" t="s">
        <v>161</v>
      </c>
      <c r="AK231">
        <v>2049</v>
      </c>
      <c r="AL231" t="s">
        <v>239</v>
      </c>
      <c r="AM231">
        <v>0.35843333333333333</v>
      </c>
      <c r="AN231" t="s">
        <v>236</v>
      </c>
    </row>
    <row r="232" spans="9:40" x14ac:dyDescent="0.45">
      <c r="I232" t="s">
        <v>174</v>
      </c>
      <c r="J232" t="s">
        <v>334</v>
      </c>
      <c r="K232">
        <v>0</v>
      </c>
      <c r="L232" t="s">
        <v>161</v>
      </c>
      <c r="N232" t="s">
        <v>197</v>
      </c>
      <c r="O232" t="s">
        <v>334</v>
      </c>
      <c r="P232">
        <v>8.9272260417636296E-6</v>
      </c>
      <c r="Q232" t="s">
        <v>161</v>
      </c>
      <c r="S232" t="s">
        <v>219</v>
      </c>
      <c r="T232" t="s">
        <v>334</v>
      </c>
      <c r="U232">
        <v>4.1788854953703125E-7</v>
      </c>
      <c r="V232" t="s">
        <v>161</v>
      </c>
      <c r="AK232">
        <v>2049</v>
      </c>
      <c r="AL232" t="s">
        <v>241</v>
      </c>
      <c r="AM232">
        <v>0.34914999999999996</v>
      </c>
      <c r="AN232" t="s">
        <v>236</v>
      </c>
    </row>
    <row r="233" spans="9:40" x14ac:dyDescent="0.45">
      <c r="I233" t="s">
        <v>174</v>
      </c>
      <c r="J233" t="s">
        <v>164</v>
      </c>
      <c r="K233">
        <v>4.7205961610517905E-3</v>
      </c>
      <c r="L233" t="s">
        <v>161</v>
      </c>
      <c r="N233" t="s">
        <v>197</v>
      </c>
      <c r="O233" t="s">
        <v>164</v>
      </c>
      <c r="P233">
        <v>3.5552337392850387E-2</v>
      </c>
      <c r="Q233" t="s">
        <v>161</v>
      </c>
      <c r="S233" t="s">
        <v>219</v>
      </c>
      <c r="T233" t="s">
        <v>164</v>
      </c>
      <c r="U233">
        <v>3.7688927247188662E-2</v>
      </c>
      <c r="V233" t="s">
        <v>161</v>
      </c>
      <c r="AK233">
        <v>2049</v>
      </c>
      <c r="AL233" t="s">
        <v>264</v>
      </c>
      <c r="AM233">
        <v>0.38119999999999998</v>
      </c>
      <c r="AN233" t="s">
        <v>236</v>
      </c>
    </row>
    <row r="234" spans="9:40" x14ac:dyDescent="0.45">
      <c r="I234" t="s">
        <v>174</v>
      </c>
      <c r="J234" t="s">
        <v>165</v>
      </c>
      <c r="K234">
        <v>7.154745910551495E-3</v>
      </c>
      <c r="L234" t="s">
        <v>161</v>
      </c>
      <c r="N234" t="s">
        <v>197</v>
      </c>
      <c r="O234" t="s">
        <v>165</v>
      </c>
      <c r="P234">
        <v>3.8636018022584744E-3</v>
      </c>
      <c r="Q234" t="s">
        <v>161</v>
      </c>
      <c r="S234" t="s">
        <v>219</v>
      </c>
      <c r="T234" t="s">
        <v>165</v>
      </c>
      <c r="U234">
        <v>4.6097058232387553E-3</v>
      </c>
      <c r="V234" t="s">
        <v>161</v>
      </c>
      <c r="AK234">
        <v>2049</v>
      </c>
      <c r="AL234" t="s">
        <v>265</v>
      </c>
      <c r="AM234">
        <v>0.38119999999999998</v>
      </c>
      <c r="AN234" t="s">
        <v>236</v>
      </c>
    </row>
    <row r="235" spans="9:40" x14ac:dyDescent="0.45">
      <c r="I235" t="s">
        <v>174</v>
      </c>
      <c r="J235" t="s">
        <v>166</v>
      </c>
      <c r="K235">
        <v>8.765764423840712E-2</v>
      </c>
      <c r="L235" t="s">
        <v>161</v>
      </c>
      <c r="N235" t="s">
        <v>197</v>
      </c>
      <c r="O235" t="s">
        <v>166</v>
      </c>
      <c r="P235">
        <v>2.8512210021835925E-2</v>
      </c>
      <c r="Q235" t="s">
        <v>161</v>
      </c>
      <c r="S235" t="s">
        <v>219</v>
      </c>
      <c r="T235" t="s">
        <v>166</v>
      </c>
      <c r="U235">
        <v>3.1557348714863202E-2</v>
      </c>
      <c r="V235" t="s">
        <v>161</v>
      </c>
      <c r="AK235">
        <v>2050</v>
      </c>
      <c r="AL235" t="s">
        <v>149</v>
      </c>
      <c r="AM235">
        <v>0.35660000000000003</v>
      </c>
      <c r="AN235" t="s">
        <v>236</v>
      </c>
    </row>
    <row r="236" spans="9:40" x14ac:dyDescent="0.45">
      <c r="I236" t="s">
        <v>174</v>
      </c>
      <c r="J236" t="s">
        <v>244</v>
      </c>
      <c r="K236">
        <v>1.0126132970869013E-2</v>
      </c>
      <c r="L236" t="s">
        <v>161</v>
      </c>
      <c r="N236" t="s">
        <v>197</v>
      </c>
      <c r="O236" t="s">
        <v>244</v>
      </c>
      <c r="P236">
        <v>4.3257981546766695E-3</v>
      </c>
      <c r="Q236" t="s">
        <v>161</v>
      </c>
      <c r="S236" t="s">
        <v>219</v>
      </c>
      <c r="T236" t="s">
        <v>244</v>
      </c>
      <c r="U236">
        <v>4.7389779787998043E-3</v>
      </c>
      <c r="V236" t="s">
        <v>161</v>
      </c>
      <c r="AK236">
        <v>2050</v>
      </c>
      <c r="AL236" t="s">
        <v>153</v>
      </c>
      <c r="AM236">
        <v>0.40479999999999999</v>
      </c>
      <c r="AN236" t="s">
        <v>236</v>
      </c>
    </row>
    <row r="237" spans="9:40" x14ac:dyDescent="0.45">
      <c r="I237" t="s">
        <v>174</v>
      </c>
      <c r="J237" t="s">
        <v>245</v>
      </c>
      <c r="K237">
        <v>7.7981387616125053E-3</v>
      </c>
      <c r="L237" t="s">
        <v>161</v>
      </c>
      <c r="N237" t="s">
        <v>197</v>
      </c>
      <c r="O237" t="s">
        <v>245</v>
      </c>
      <c r="P237">
        <v>3.9642478353729997E-3</v>
      </c>
      <c r="Q237" t="s">
        <v>161</v>
      </c>
      <c r="S237" t="s">
        <v>219</v>
      </c>
      <c r="T237" t="s">
        <v>245</v>
      </c>
      <c r="U237">
        <v>4.8342054770976021E-3</v>
      </c>
      <c r="V237" t="s">
        <v>161</v>
      </c>
      <c r="AK237">
        <v>2050</v>
      </c>
      <c r="AL237" t="s">
        <v>155</v>
      </c>
      <c r="AM237">
        <v>0.41244999999999998</v>
      </c>
      <c r="AN237" t="s">
        <v>236</v>
      </c>
    </row>
    <row r="238" spans="9:40" x14ac:dyDescent="0.45">
      <c r="I238" t="s">
        <v>174</v>
      </c>
      <c r="J238" t="s">
        <v>267</v>
      </c>
      <c r="K238">
        <v>6.8290530242745857E-3</v>
      </c>
      <c r="L238" t="s">
        <v>161</v>
      </c>
      <c r="N238" t="s">
        <v>197</v>
      </c>
      <c r="O238" t="s">
        <v>267</v>
      </c>
      <c r="P238">
        <v>2.9478547217404866E-2</v>
      </c>
      <c r="Q238" t="s">
        <v>161</v>
      </c>
      <c r="S238" t="s">
        <v>219</v>
      </c>
      <c r="T238" t="s">
        <v>267</v>
      </c>
      <c r="U238">
        <v>2.9996677081189482E-2</v>
      </c>
      <c r="V238" t="s">
        <v>161</v>
      </c>
      <c r="AK238">
        <v>2050</v>
      </c>
      <c r="AL238" t="s">
        <v>157</v>
      </c>
      <c r="AM238">
        <v>0.39816666666666661</v>
      </c>
      <c r="AN238" t="s">
        <v>236</v>
      </c>
    </row>
    <row r="239" spans="9:40" x14ac:dyDescent="0.45">
      <c r="I239" t="s">
        <v>174</v>
      </c>
      <c r="J239" t="s">
        <v>167</v>
      </c>
      <c r="K239">
        <v>3.4570730596020921E-2</v>
      </c>
      <c r="L239" t="s">
        <v>161</v>
      </c>
      <c r="N239" t="s">
        <v>197</v>
      </c>
      <c r="O239" t="s">
        <v>167</v>
      </c>
      <c r="P239">
        <v>6.3963292931517451E-2</v>
      </c>
      <c r="Q239" t="s">
        <v>161</v>
      </c>
      <c r="S239" t="s">
        <v>219</v>
      </c>
      <c r="T239" t="s">
        <v>167</v>
      </c>
      <c r="U239">
        <v>6.8595825490868637E-2</v>
      </c>
      <c r="V239" t="s">
        <v>161</v>
      </c>
      <c r="AK239">
        <v>2050</v>
      </c>
      <c r="AL239" t="s">
        <v>239</v>
      </c>
      <c r="AM239">
        <v>0.3344333333333333</v>
      </c>
      <c r="AN239" t="s">
        <v>236</v>
      </c>
    </row>
    <row r="240" spans="9:40" x14ac:dyDescent="0.45">
      <c r="I240" t="s">
        <v>174</v>
      </c>
      <c r="J240" t="s">
        <v>168</v>
      </c>
      <c r="K240">
        <v>2.8305371823816806E-2</v>
      </c>
      <c r="L240" t="s">
        <v>161</v>
      </c>
      <c r="N240" t="s">
        <v>197</v>
      </c>
      <c r="O240" t="s">
        <v>168</v>
      </c>
      <c r="P240">
        <v>6.5100307688920134E-3</v>
      </c>
      <c r="Q240" t="s">
        <v>161</v>
      </c>
      <c r="S240" t="s">
        <v>219</v>
      </c>
      <c r="T240" t="s">
        <v>168</v>
      </c>
      <c r="U240">
        <v>8.3914453006242867E-3</v>
      </c>
      <c r="V240" t="s">
        <v>161</v>
      </c>
      <c r="AK240">
        <v>2050</v>
      </c>
      <c r="AL240" t="s">
        <v>241</v>
      </c>
      <c r="AM240">
        <v>0.32779999999999998</v>
      </c>
      <c r="AN240" t="s">
        <v>236</v>
      </c>
    </row>
    <row r="241" spans="9:40" x14ac:dyDescent="0.45">
      <c r="I241" t="s">
        <v>174</v>
      </c>
      <c r="J241" t="s">
        <v>169</v>
      </c>
      <c r="K241">
        <v>0.25735680416607948</v>
      </c>
      <c r="L241" t="s">
        <v>161</v>
      </c>
      <c r="N241" t="s">
        <v>197</v>
      </c>
      <c r="O241" t="s">
        <v>169</v>
      </c>
      <c r="P241">
        <v>4.9481607746145614E-2</v>
      </c>
      <c r="Q241" t="s">
        <v>161</v>
      </c>
      <c r="S241" t="s">
        <v>219</v>
      </c>
      <c r="T241" t="s">
        <v>169</v>
      </c>
      <c r="U241">
        <v>5.7303840428842158E-2</v>
      </c>
      <c r="V241" t="s">
        <v>161</v>
      </c>
      <c r="AK241">
        <v>2050</v>
      </c>
      <c r="AL241" t="s">
        <v>264</v>
      </c>
      <c r="AM241">
        <v>0.36209999999999998</v>
      </c>
      <c r="AN241" t="s">
        <v>236</v>
      </c>
    </row>
    <row r="242" spans="9:40" x14ac:dyDescent="0.45">
      <c r="I242" t="s">
        <v>174</v>
      </c>
      <c r="J242" t="s">
        <v>246</v>
      </c>
      <c r="K242">
        <v>3.0924894970995872E-2</v>
      </c>
      <c r="L242" t="s">
        <v>161</v>
      </c>
      <c r="N242" t="s">
        <v>197</v>
      </c>
      <c r="O242" t="s">
        <v>246</v>
      </c>
      <c r="P242">
        <v>7.8564808536395053E-3</v>
      </c>
      <c r="Q242" t="s">
        <v>161</v>
      </c>
      <c r="S242" t="s">
        <v>219</v>
      </c>
      <c r="T242" t="s">
        <v>246</v>
      </c>
      <c r="U242">
        <v>8.8386139054889273E-3</v>
      </c>
      <c r="V242" t="s">
        <v>161</v>
      </c>
      <c r="AK242">
        <v>2050</v>
      </c>
      <c r="AL242" t="s">
        <v>265</v>
      </c>
      <c r="AM242">
        <v>0.36209999999999998</v>
      </c>
      <c r="AN242" t="s">
        <v>236</v>
      </c>
    </row>
    <row r="243" spans="9:40" x14ac:dyDescent="0.45">
      <c r="I243" t="s">
        <v>174</v>
      </c>
      <c r="J243" t="s">
        <v>247</v>
      </c>
      <c r="K243">
        <v>2.583335053860809E-2</v>
      </c>
      <c r="L243" t="s">
        <v>161</v>
      </c>
      <c r="N243" t="s">
        <v>197</v>
      </c>
      <c r="O243" t="s">
        <v>247</v>
      </c>
      <c r="P243">
        <v>7.3756674473261126E-3</v>
      </c>
      <c r="Q243" t="s">
        <v>161</v>
      </c>
      <c r="S243" t="s">
        <v>219</v>
      </c>
      <c r="T243" t="s">
        <v>247</v>
      </c>
      <c r="U243">
        <v>9.0220067989506027E-3</v>
      </c>
      <c r="V243" t="s">
        <v>161</v>
      </c>
    </row>
    <row r="244" spans="9:40" x14ac:dyDescent="0.45">
      <c r="I244" t="s">
        <v>174</v>
      </c>
      <c r="J244" t="s">
        <v>268</v>
      </c>
      <c r="K244">
        <v>3.568301831095453E-2</v>
      </c>
      <c r="L244" t="s">
        <v>161</v>
      </c>
      <c r="N244" t="s">
        <v>197</v>
      </c>
      <c r="O244" t="s">
        <v>268</v>
      </c>
      <c r="P244">
        <v>4.9203167099664991E-2</v>
      </c>
      <c r="Q244" t="s">
        <v>161</v>
      </c>
      <c r="S244" t="s">
        <v>219</v>
      </c>
      <c r="T244" t="s">
        <v>268</v>
      </c>
      <c r="U244">
        <v>5.2690337583286624E-2</v>
      </c>
      <c r="V244" t="s">
        <v>161</v>
      </c>
    </row>
    <row r="245" spans="9:40" x14ac:dyDescent="0.45">
      <c r="I245" t="s">
        <v>174</v>
      </c>
      <c r="J245" t="s">
        <v>170</v>
      </c>
      <c r="K245">
        <v>1.102892091275116E-2</v>
      </c>
      <c r="L245" t="s">
        <v>161</v>
      </c>
      <c r="N245" t="s">
        <v>197</v>
      </c>
      <c r="O245" t="s">
        <v>170</v>
      </c>
      <c r="P245">
        <v>3.7913542952023552E-2</v>
      </c>
      <c r="Q245" t="s">
        <v>161</v>
      </c>
      <c r="S245" t="s">
        <v>219</v>
      </c>
      <c r="T245" t="s">
        <v>170</v>
      </c>
      <c r="U245">
        <v>3.6839758531567013E-2</v>
      </c>
      <c r="V245" t="s">
        <v>161</v>
      </c>
    </row>
    <row r="246" spans="9:40" x14ac:dyDescent="0.45">
      <c r="I246" t="s">
        <v>174</v>
      </c>
      <c r="J246" t="s">
        <v>171</v>
      </c>
      <c r="K246">
        <v>1.201171399279133E-2</v>
      </c>
      <c r="L246" t="s">
        <v>161</v>
      </c>
      <c r="N246" t="s">
        <v>197</v>
      </c>
      <c r="O246" t="s">
        <v>171</v>
      </c>
      <c r="P246">
        <v>3.8584755678129708E-3</v>
      </c>
      <c r="Q246" t="s">
        <v>161</v>
      </c>
      <c r="S246" t="s">
        <v>219</v>
      </c>
      <c r="T246" t="s">
        <v>171</v>
      </c>
      <c r="U246">
        <v>4.900040928715035E-3</v>
      </c>
      <c r="V246" t="s">
        <v>161</v>
      </c>
    </row>
    <row r="247" spans="9:40" x14ac:dyDescent="0.45">
      <c r="I247" t="s">
        <v>174</v>
      </c>
      <c r="J247" t="s">
        <v>172</v>
      </c>
      <c r="K247">
        <v>0.12020950681496057</v>
      </c>
      <c r="L247" t="s">
        <v>161</v>
      </c>
      <c r="N247" t="s">
        <v>197</v>
      </c>
      <c r="O247" t="s">
        <v>172</v>
      </c>
      <c r="P247">
        <v>2.4963307153468162E-2</v>
      </c>
      <c r="Q247" t="s">
        <v>161</v>
      </c>
      <c r="S247" t="s">
        <v>219</v>
      </c>
      <c r="T247" t="s">
        <v>172</v>
      </c>
      <c r="U247">
        <v>3.3737379244595217E-2</v>
      </c>
      <c r="V247" t="s">
        <v>161</v>
      </c>
    </row>
    <row r="248" spans="9:40" x14ac:dyDescent="0.45">
      <c r="I248" t="s">
        <v>174</v>
      </c>
      <c r="J248" t="s">
        <v>248</v>
      </c>
      <c r="K248">
        <v>1.42156561746835E-2</v>
      </c>
      <c r="L248" t="s">
        <v>161</v>
      </c>
      <c r="N248" t="s">
        <v>197</v>
      </c>
      <c r="O248" t="s">
        <v>248</v>
      </c>
      <c r="P248">
        <v>3.4270635875270584E-3</v>
      </c>
      <c r="Q248" t="s">
        <v>161</v>
      </c>
      <c r="S248" t="s">
        <v>219</v>
      </c>
      <c r="T248" t="s">
        <v>248</v>
      </c>
      <c r="U248">
        <v>4.7781116718874743E-3</v>
      </c>
      <c r="V248" t="s">
        <v>161</v>
      </c>
    </row>
    <row r="249" spans="9:40" x14ac:dyDescent="0.45">
      <c r="I249" t="s">
        <v>174</v>
      </c>
      <c r="J249" t="s">
        <v>249</v>
      </c>
      <c r="K249">
        <v>1.160522751651911E-2</v>
      </c>
      <c r="L249" t="s">
        <v>161</v>
      </c>
      <c r="N249" t="s">
        <v>197</v>
      </c>
      <c r="O249" t="s">
        <v>249</v>
      </c>
      <c r="P249">
        <v>3.1324525978304978E-3</v>
      </c>
      <c r="Q249" t="s">
        <v>161</v>
      </c>
      <c r="S249" t="s">
        <v>219</v>
      </c>
      <c r="T249" t="s">
        <v>249</v>
      </c>
      <c r="U249">
        <v>4.6048439877303142E-3</v>
      </c>
      <c r="V249" t="s">
        <v>161</v>
      </c>
    </row>
    <row r="250" spans="9:40" x14ac:dyDescent="0.45">
      <c r="I250" t="s">
        <v>174</v>
      </c>
      <c r="J250" t="s">
        <v>269</v>
      </c>
      <c r="K250">
        <v>1.2823148355563436E-2</v>
      </c>
      <c r="L250" t="s">
        <v>161</v>
      </c>
      <c r="N250" t="s">
        <v>197</v>
      </c>
      <c r="O250" t="s">
        <v>269</v>
      </c>
      <c r="P250">
        <v>2.3892904517220225E-2</v>
      </c>
      <c r="Q250" t="s">
        <v>161</v>
      </c>
      <c r="S250" t="s">
        <v>219</v>
      </c>
      <c r="T250" t="s">
        <v>269</v>
      </c>
      <c r="U250">
        <v>2.7568779016659335E-2</v>
      </c>
      <c r="V250" t="s">
        <v>161</v>
      </c>
    </row>
    <row r="251" spans="9:40" x14ac:dyDescent="0.45">
      <c r="I251" t="s">
        <v>174</v>
      </c>
      <c r="J251" t="s">
        <v>362</v>
      </c>
      <c r="K251">
        <v>0</v>
      </c>
      <c r="L251" t="s">
        <v>161</v>
      </c>
      <c r="N251" t="s">
        <v>197</v>
      </c>
      <c r="O251" t="s">
        <v>362</v>
      </c>
      <c r="P251">
        <v>1.2672424035445376E-5</v>
      </c>
      <c r="Q251" t="s">
        <v>161</v>
      </c>
      <c r="S251" t="s">
        <v>219</v>
      </c>
      <c r="T251" t="s">
        <v>362</v>
      </c>
      <c r="U251">
        <v>2.6242184741401241E-5</v>
      </c>
      <c r="V251" t="s">
        <v>161</v>
      </c>
    </row>
    <row r="252" spans="9:40" x14ac:dyDescent="0.45">
      <c r="I252" t="s">
        <v>174</v>
      </c>
      <c r="J252" t="s">
        <v>363</v>
      </c>
      <c r="K252">
        <v>0</v>
      </c>
      <c r="L252" t="s">
        <v>161</v>
      </c>
      <c r="N252" t="s">
        <v>197</v>
      </c>
      <c r="O252" t="s">
        <v>363</v>
      </c>
      <c r="P252">
        <v>1.2869846578303655E-5</v>
      </c>
      <c r="Q252" t="s">
        <v>161</v>
      </c>
      <c r="S252" t="s">
        <v>219</v>
      </c>
      <c r="T252" t="s">
        <v>363</v>
      </c>
      <c r="U252">
        <v>2.5315205839759206E-5</v>
      </c>
      <c r="V252" t="s">
        <v>161</v>
      </c>
    </row>
    <row r="253" spans="9:40" x14ac:dyDescent="0.45">
      <c r="I253" t="s">
        <v>174</v>
      </c>
      <c r="J253" t="s">
        <v>364</v>
      </c>
      <c r="K253">
        <v>0</v>
      </c>
      <c r="L253" t="s">
        <v>161</v>
      </c>
      <c r="N253" t="s">
        <v>197</v>
      </c>
      <c r="O253" t="s">
        <v>364</v>
      </c>
      <c r="P253">
        <v>9.0304704584170421E-6</v>
      </c>
      <c r="Q253" t="s">
        <v>161</v>
      </c>
      <c r="S253" t="s">
        <v>219</v>
      </c>
      <c r="T253" t="s">
        <v>364</v>
      </c>
      <c r="U253">
        <v>2.1790802072642179E-5</v>
      </c>
      <c r="V253" t="s">
        <v>161</v>
      </c>
    </row>
    <row r="254" spans="9:40" x14ac:dyDescent="0.45">
      <c r="I254" t="s">
        <v>174</v>
      </c>
      <c r="J254" t="s">
        <v>365</v>
      </c>
      <c r="K254">
        <v>0</v>
      </c>
      <c r="L254" t="s">
        <v>161</v>
      </c>
      <c r="N254" t="s">
        <v>197</v>
      </c>
      <c r="O254" t="s">
        <v>365</v>
      </c>
      <c r="P254">
        <v>8.234680221513586E-6</v>
      </c>
      <c r="Q254" t="s">
        <v>161</v>
      </c>
      <c r="S254" t="s">
        <v>219</v>
      </c>
      <c r="T254" t="s">
        <v>365</v>
      </c>
      <c r="U254">
        <v>1.739371781289575E-5</v>
      </c>
      <c r="V254" t="s">
        <v>161</v>
      </c>
    </row>
    <row r="255" spans="9:40" x14ac:dyDescent="0.45">
      <c r="I255" t="s">
        <v>174</v>
      </c>
      <c r="J255" t="s">
        <v>366</v>
      </c>
      <c r="K255">
        <v>0</v>
      </c>
      <c r="L255" t="s">
        <v>161</v>
      </c>
      <c r="N255" t="s">
        <v>197</v>
      </c>
      <c r="O255" t="s">
        <v>366</v>
      </c>
      <c r="P255">
        <v>8.5913787423610696E-6</v>
      </c>
      <c r="Q255" t="s">
        <v>161</v>
      </c>
      <c r="S255" t="s">
        <v>219</v>
      </c>
      <c r="T255" t="s">
        <v>366</v>
      </c>
      <c r="U255">
        <v>1.7487548324098214E-5</v>
      </c>
      <c r="V255" t="s">
        <v>161</v>
      </c>
    </row>
    <row r="256" spans="9:40" x14ac:dyDescent="0.45">
      <c r="I256" t="s">
        <v>174</v>
      </c>
      <c r="J256" t="s">
        <v>367</v>
      </c>
      <c r="K256">
        <v>0</v>
      </c>
      <c r="L256" t="s">
        <v>161</v>
      </c>
      <c r="N256" t="s">
        <v>197</v>
      </c>
      <c r="O256" t="s">
        <v>367</v>
      </c>
      <c r="P256">
        <v>2.6300382445363883E-6</v>
      </c>
      <c r="Q256" t="s">
        <v>161</v>
      </c>
      <c r="S256" t="s">
        <v>219</v>
      </c>
      <c r="T256" t="s">
        <v>367</v>
      </c>
      <c r="U256">
        <v>1.934425516706983E-5</v>
      </c>
      <c r="V256" t="s">
        <v>161</v>
      </c>
    </row>
    <row r="257" spans="9:22" x14ac:dyDescent="0.45">
      <c r="I257" t="s">
        <v>174</v>
      </c>
      <c r="J257" t="s">
        <v>368</v>
      </c>
      <c r="K257">
        <v>1.4377290906607938E-4</v>
      </c>
      <c r="L257" t="s">
        <v>161</v>
      </c>
      <c r="N257" t="s">
        <v>197</v>
      </c>
      <c r="O257" t="s">
        <v>368</v>
      </c>
      <c r="P257">
        <v>2.8052639277417612E-7</v>
      </c>
      <c r="Q257" t="s">
        <v>161</v>
      </c>
      <c r="S257" t="s">
        <v>219</v>
      </c>
      <c r="T257" t="s">
        <v>368</v>
      </c>
      <c r="U257">
        <v>2.2452673273887099E-5</v>
      </c>
      <c r="V257" t="s">
        <v>161</v>
      </c>
    </row>
    <row r="258" spans="9:22" x14ac:dyDescent="0.45">
      <c r="I258" t="s">
        <v>174</v>
      </c>
      <c r="J258" t="s">
        <v>369</v>
      </c>
      <c r="K258">
        <v>2.8782521070144605E-4</v>
      </c>
      <c r="L258" t="s">
        <v>161</v>
      </c>
      <c r="N258" t="s">
        <v>197</v>
      </c>
      <c r="O258" t="s">
        <v>369</v>
      </c>
      <c r="P258">
        <v>1.8812586785477061E-7</v>
      </c>
      <c r="Q258" t="s">
        <v>161</v>
      </c>
      <c r="S258" t="s">
        <v>219</v>
      </c>
      <c r="T258" t="s">
        <v>369</v>
      </c>
      <c r="U258">
        <v>2.6471797079797901E-5</v>
      </c>
      <c r="V258" t="s">
        <v>161</v>
      </c>
    </row>
    <row r="259" spans="9:22" x14ac:dyDescent="0.45">
      <c r="I259" t="s">
        <v>174</v>
      </c>
      <c r="J259" t="s">
        <v>370</v>
      </c>
      <c r="K259">
        <v>3.7232198209636056E-4</v>
      </c>
      <c r="L259" t="s">
        <v>161</v>
      </c>
      <c r="N259" t="s">
        <v>197</v>
      </c>
      <c r="O259" t="s">
        <v>370</v>
      </c>
      <c r="P259">
        <v>2.2586855582971117E-8</v>
      </c>
      <c r="Q259" t="s">
        <v>161</v>
      </c>
      <c r="S259" t="s">
        <v>219</v>
      </c>
      <c r="T259" t="s">
        <v>370</v>
      </c>
      <c r="U259">
        <v>2.5894964367522368E-5</v>
      </c>
      <c r="V259" t="s">
        <v>161</v>
      </c>
    </row>
    <row r="260" spans="9:22" x14ac:dyDescent="0.45">
      <c r="I260" t="s">
        <v>174</v>
      </c>
      <c r="J260" t="s">
        <v>371</v>
      </c>
      <c r="K260">
        <v>4.5035459842677437E-4</v>
      </c>
      <c r="L260" t="s">
        <v>161</v>
      </c>
      <c r="N260" t="s">
        <v>197</v>
      </c>
      <c r="O260" t="s">
        <v>371</v>
      </c>
      <c r="P260">
        <v>5.9061305596110603E-8</v>
      </c>
      <c r="Q260" t="s">
        <v>161</v>
      </c>
      <c r="S260" t="s">
        <v>219</v>
      </c>
      <c r="T260" t="s">
        <v>371</v>
      </c>
      <c r="U260">
        <v>2.5938050958671546E-5</v>
      </c>
      <c r="V260" t="s">
        <v>161</v>
      </c>
    </row>
    <row r="261" spans="9:22" x14ac:dyDescent="0.45">
      <c r="I261" t="s">
        <v>174</v>
      </c>
      <c r="J261" t="s">
        <v>372</v>
      </c>
      <c r="K261">
        <v>4.3723919480746797E-4</v>
      </c>
      <c r="L261" t="s">
        <v>161</v>
      </c>
      <c r="N261" t="s">
        <v>197</v>
      </c>
      <c r="O261" t="s">
        <v>372</v>
      </c>
      <c r="P261">
        <v>1.5665765746613573E-7</v>
      </c>
      <c r="Q261" t="s">
        <v>161</v>
      </c>
      <c r="S261" t="s">
        <v>219</v>
      </c>
      <c r="T261" t="s">
        <v>372</v>
      </c>
      <c r="U261">
        <v>2.7697368698385346E-5</v>
      </c>
      <c r="V261" t="s">
        <v>161</v>
      </c>
    </row>
    <row r="262" spans="9:22" x14ac:dyDescent="0.45">
      <c r="I262" t="s">
        <v>174</v>
      </c>
      <c r="J262" t="s">
        <v>373</v>
      </c>
      <c r="K262">
        <v>4.085814836870097E-4</v>
      </c>
      <c r="L262" t="s">
        <v>161</v>
      </c>
      <c r="N262" t="s">
        <v>197</v>
      </c>
      <c r="O262" t="s">
        <v>373</v>
      </c>
      <c r="P262">
        <v>9.5201200586591562E-8</v>
      </c>
      <c r="Q262" t="s">
        <v>161</v>
      </c>
      <c r="S262" t="s">
        <v>219</v>
      </c>
      <c r="T262" t="s">
        <v>373</v>
      </c>
      <c r="U262">
        <v>2.5192873299398127E-5</v>
      </c>
      <c r="V262" t="s">
        <v>161</v>
      </c>
    </row>
    <row r="263" spans="9:22" x14ac:dyDescent="0.45">
      <c r="I263" t="s">
        <v>174</v>
      </c>
      <c r="J263" t="s">
        <v>374</v>
      </c>
      <c r="K263">
        <v>3.590727861363131E-4</v>
      </c>
      <c r="L263" t="s">
        <v>161</v>
      </c>
      <c r="N263" t="s">
        <v>197</v>
      </c>
      <c r="O263" t="s">
        <v>374</v>
      </c>
      <c r="P263">
        <v>1.2987603262245392E-7</v>
      </c>
      <c r="Q263" t="s">
        <v>161</v>
      </c>
      <c r="S263" t="s">
        <v>219</v>
      </c>
      <c r="T263" t="s">
        <v>374</v>
      </c>
      <c r="U263">
        <v>2.1693809288226738E-5</v>
      </c>
      <c r="V263" t="s">
        <v>161</v>
      </c>
    </row>
    <row r="264" spans="9:22" x14ac:dyDescent="0.45">
      <c r="I264" t="s">
        <v>174</v>
      </c>
      <c r="J264" t="s">
        <v>375</v>
      </c>
      <c r="K264">
        <v>3.4485348113901865E-4</v>
      </c>
      <c r="L264" t="s">
        <v>161</v>
      </c>
      <c r="N264" t="s">
        <v>197</v>
      </c>
      <c r="O264" t="s">
        <v>375</v>
      </c>
      <c r="P264">
        <v>7.1049533525638886E-8</v>
      </c>
      <c r="Q264" t="s">
        <v>161</v>
      </c>
      <c r="S264" t="s">
        <v>219</v>
      </c>
      <c r="T264" t="s">
        <v>375</v>
      </c>
      <c r="U264">
        <v>1.7619136529489623E-5</v>
      </c>
      <c r="V264" t="s">
        <v>161</v>
      </c>
    </row>
    <row r="265" spans="9:22" x14ac:dyDescent="0.45">
      <c r="I265" t="s">
        <v>174</v>
      </c>
      <c r="J265" t="s">
        <v>376</v>
      </c>
      <c r="K265">
        <v>3.2916003795874167E-4</v>
      </c>
      <c r="L265" t="s">
        <v>161</v>
      </c>
      <c r="N265" t="s">
        <v>197</v>
      </c>
      <c r="O265" t="s">
        <v>376</v>
      </c>
      <c r="P265">
        <v>5.8982274502555844E-8</v>
      </c>
      <c r="Q265" t="s">
        <v>161</v>
      </c>
      <c r="S265" t="s">
        <v>219</v>
      </c>
      <c r="T265" t="s">
        <v>376</v>
      </c>
      <c r="U265">
        <v>1.2728831169147876E-5</v>
      </c>
      <c r="V265" t="s">
        <v>161</v>
      </c>
    </row>
    <row r="266" spans="9:22" x14ac:dyDescent="0.45">
      <c r="I266" t="s">
        <v>174</v>
      </c>
      <c r="J266" t="s">
        <v>377</v>
      </c>
      <c r="K266">
        <v>3.2815781560325565E-4</v>
      </c>
      <c r="L266" t="s">
        <v>161</v>
      </c>
      <c r="N266" t="s">
        <v>197</v>
      </c>
      <c r="O266" t="s">
        <v>377</v>
      </c>
      <c r="P266">
        <v>2.7504153329122148E-7</v>
      </c>
      <c r="Q266" t="s">
        <v>161</v>
      </c>
      <c r="S266" t="s">
        <v>219</v>
      </c>
      <c r="T266" t="s">
        <v>377</v>
      </c>
      <c r="U266">
        <v>9.3862753146972041E-6</v>
      </c>
      <c r="V266" t="s">
        <v>161</v>
      </c>
    </row>
    <row r="267" spans="9:22" x14ac:dyDescent="0.45">
      <c r="I267" t="s">
        <v>174</v>
      </c>
      <c r="J267" t="s">
        <v>378</v>
      </c>
      <c r="K267">
        <v>2.9686147811823038E-4</v>
      </c>
      <c r="L267" t="s">
        <v>161</v>
      </c>
      <c r="N267" t="s">
        <v>197</v>
      </c>
      <c r="O267" t="s">
        <v>378</v>
      </c>
      <c r="P267">
        <v>1.1235516128001606E-6</v>
      </c>
      <c r="Q267" t="s">
        <v>161</v>
      </c>
      <c r="S267" t="s">
        <v>219</v>
      </c>
      <c r="T267" t="s">
        <v>378</v>
      </c>
      <c r="U267">
        <v>6.2194824966559452E-6</v>
      </c>
      <c r="V267" t="s">
        <v>161</v>
      </c>
    </row>
    <row r="268" spans="9:22" x14ac:dyDescent="0.45">
      <c r="I268" t="s">
        <v>174</v>
      </c>
      <c r="J268" t="s">
        <v>379</v>
      </c>
      <c r="K268">
        <v>3.0253488202776997E-4</v>
      </c>
      <c r="L268" t="s">
        <v>161</v>
      </c>
      <c r="N268" t="s">
        <v>197</v>
      </c>
      <c r="O268" t="s">
        <v>379</v>
      </c>
      <c r="P268">
        <v>3.6634327157578613E-6</v>
      </c>
      <c r="Q268" t="s">
        <v>161</v>
      </c>
      <c r="S268" t="s">
        <v>219</v>
      </c>
      <c r="T268" t="s">
        <v>379</v>
      </c>
      <c r="U268">
        <v>4.8979357136656862E-6</v>
      </c>
      <c r="V268" t="s">
        <v>161</v>
      </c>
    </row>
    <row r="269" spans="9:22" x14ac:dyDescent="0.45">
      <c r="I269" t="s">
        <v>174</v>
      </c>
      <c r="J269" t="s">
        <v>380</v>
      </c>
      <c r="K269">
        <v>2.4673284001279429E-4</v>
      </c>
      <c r="L269" t="s">
        <v>161</v>
      </c>
      <c r="N269" t="s">
        <v>197</v>
      </c>
      <c r="O269" t="s">
        <v>380</v>
      </c>
      <c r="P269">
        <v>6.584804979599981E-6</v>
      </c>
      <c r="Q269" t="s">
        <v>161</v>
      </c>
      <c r="S269" t="s">
        <v>219</v>
      </c>
      <c r="T269" t="s">
        <v>380</v>
      </c>
      <c r="U269">
        <v>4.1312195997392776E-6</v>
      </c>
      <c r="V269" t="s">
        <v>161</v>
      </c>
    </row>
    <row r="270" spans="9:22" x14ac:dyDescent="0.45">
      <c r="I270" t="s">
        <v>174</v>
      </c>
      <c r="J270" t="s">
        <v>381</v>
      </c>
      <c r="K270">
        <v>1.3563033320443364E-4</v>
      </c>
      <c r="L270" t="s">
        <v>161</v>
      </c>
      <c r="N270" t="s">
        <v>197</v>
      </c>
      <c r="O270" t="s">
        <v>381</v>
      </c>
      <c r="P270">
        <v>1.1952730972865421E-5</v>
      </c>
      <c r="Q270" t="s">
        <v>161</v>
      </c>
      <c r="S270" t="s">
        <v>219</v>
      </c>
      <c r="T270" t="s">
        <v>381</v>
      </c>
      <c r="U270">
        <v>3.3812989362880646E-6</v>
      </c>
      <c r="V270" t="s">
        <v>161</v>
      </c>
    </row>
    <row r="271" spans="9:22" x14ac:dyDescent="0.45">
      <c r="I271" t="s">
        <v>174</v>
      </c>
      <c r="J271" t="s">
        <v>382</v>
      </c>
      <c r="K271">
        <v>0</v>
      </c>
      <c r="L271" t="s">
        <v>161</v>
      </c>
      <c r="N271" t="s">
        <v>197</v>
      </c>
      <c r="O271" t="s">
        <v>382</v>
      </c>
      <c r="P271">
        <v>1.8609461604479647E-5</v>
      </c>
      <c r="Q271" t="s">
        <v>161</v>
      </c>
      <c r="S271" t="s">
        <v>219</v>
      </c>
      <c r="T271" t="s">
        <v>382</v>
      </c>
      <c r="U271">
        <v>1.828807719469347E-6</v>
      </c>
      <c r="V271" t="s">
        <v>161</v>
      </c>
    </row>
    <row r="272" spans="9:22" x14ac:dyDescent="0.45">
      <c r="I272" t="s">
        <v>174</v>
      </c>
      <c r="J272" t="s">
        <v>383</v>
      </c>
      <c r="K272">
        <v>0</v>
      </c>
      <c r="L272" t="s">
        <v>161</v>
      </c>
      <c r="N272" t="s">
        <v>197</v>
      </c>
      <c r="O272" t="s">
        <v>383</v>
      </c>
      <c r="P272">
        <v>2.0024639013301271E-5</v>
      </c>
      <c r="Q272" t="s">
        <v>161</v>
      </c>
      <c r="S272" t="s">
        <v>219</v>
      </c>
      <c r="T272" t="s">
        <v>383</v>
      </c>
      <c r="U272">
        <v>4.7343922870033133E-7</v>
      </c>
      <c r="V272" t="s">
        <v>161</v>
      </c>
    </row>
    <row r="273" spans="9:22" x14ac:dyDescent="0.45">
      <c r="I273" t="s">
        <v>174</v>
      </c>
      <c r="J273" t="s">
        <v>384</v>
      </c>
      <c r="K273">
        <v>0</v>
      </c>
      <c r="L273" t="s">
        <v>161</v>
      </c>
      <c r="N273" t="s">
        <v>197</v>
      </c>
      <c r="O273" t="s">
        <v>384</v>
      </c>
      <c r="P273">
        <v>2.0229436618068234E-5</v>
      </c>
      <c r="Q273" t="s">
        <v>161</v>
      </c>
      <c r="S273" t="s">
        <v>219</v>
      </c>
      <c r="T273" t="s">
        <v>384</v>
      </c>
      <c r="U273">
        <v>3.8564381782932872E-7</v>
      </c>
      <c r="V273" t="s">
        <v>161</v>
      </c>
    </row>
    <row r="274" spans="9:22" x14ac:dyDescent="0.45">
      <c r="I274" t="s">
        <v>174</v>
      </c>
      <c r="J274" t="s">
        <v>385</v>
      </c>
      <c r="K274">
        <v>0</v>
      </c>
      <c r="L274" t="s">
        <v>161</v>
      </c>
      <c r="N274" t="s">
        <v>197</v>
      </c>
      <c r="O274" t="s">
        <v>385</v>
      </c>
      <c r="P274">
        <v>1.4162526528185197E-5</v>
      </c>
      <c r="Q274" t="s">
        <v>161</v>
      </c>
      <c r="S274" t="s">
        <v>219</v>
      </c>
      <c r="T274" t="s">
        <v>385</v>
      </c>
      <c r="U274">
        <v>8.6444007468828461E-7</v>
      </c>
      <c r="V274" t="s">
        <v>161</v>
      </c>
    </row>
    <row r="275" spans="9:22" x14ac:dyDescent="0.45">
      <c r="I275" t="s">
        <v>174</v>
      </c>
      <c r="J275" t="s">
        <v>250</v>
      </c>
      <c r="K275">
        <v>1.7415575860765685E-3</v>
      </c>
      <c r="L275" t="s">
        <v>161</v>
      </c>
      <c r="N275" t="s">
        <v>197</v>
      </c>
      <c r="O275" t="s">
        <v>250</v>
      </c>
      <c r="P275">
        <v>5.2287828787736738E-2</v>
      </c>
      <c r="Q275" t="s">
        <v>161</v>
      </c>
      <c r="S275" t="s">
        <v>219</v>
      </c>
      <c r="T275" t="s">
        <v>250</v>
      </c>
      <c r="U275">
        <v>5.1344667677337121E-2</v>
      </c>
      <c r="V275" t="s">
        <v>161</v>
      </c>
    </row>
    <row r="276" spans="9:22" x14ac:dyDescent="0.45">
      <c r="I276" t="s">
        <v>174</v>
      </c>
      <c r="J276" t="s">
        <v>251</v>
      </c>
      <c r="K276">
        <v>4.7179009350531674E-3</v>
      </c>
      <c r="L276" t="s">
        <v>161</v>
      </c>
      <c r="N276" t="s">
        <v>197</v>
      </c>
      <c r="O276" t="s">
        <v>251</v>
      </c>
      <c r="P276">
        <v>6.6202864102646126E-3</v>
      </c>
      <c r="Q276" t="s">
        <v>161</v>
      </c>
      <c r="S276" t="s">
        <v>219</v>
      </c>
      <c r="T276" t="s">
        <v>251</v>
      </c>
      <c r="U276">
        <v>6.1739871082138846E-3</v>
      </c>
      <c r="V276" t="s">
        <v>161</v>
      </c>
    </row>
    <row r="277" spans="9:22" x14ac:dyDescent="0.45">
      <c r="I277" t="s">
        <v>174</v>
      </c>
      <c r="J277" t="s">
        <v>252</v>
      </c>
      <c r="K277">
        <v>7.5748598814143087E-2</v>
      </c>
      <c r="L277" t="s">
        <v>161</v>
      </c>
      <c r="N277" t="s">
        <v>197</v>
      </c>
      <c r="O277" t="s">
        <v>252</v>
      </c>
      <c r="P277">
        <v>4.101224757353835E-2</v>
      </c>
      <c r="Q277" t="s">
        <v>161</v>
      </c>
      <c r="S277" t="s">
        <v>219</v>
      </c>
      <c r="T277" t="s">
        <v>252</v>
      </c>
      <c r="U277">
        <v>4.1338351902938927E-2</v>
      </c>
      <c r="V277" t="s">
        <v>161</v>
      </c>
    </row>
    <row r="278" spans="9:22" x14ac:dyDescent="0.45">
      <c r="I278" t="s">
        <v>174</v>
      </c>
      <c r="J278" t="s">
        <v>253</v>
      </c>
      <c r="K278">
        <v>8.9304855491434774E-3</v>
      </c>
      <c r="L278" t="s">
        <v>161</v>
      </c>
      <c r="N278" t="s">
        <v>197</v>
      </c>
      <c r="O278" t="s">
        <v>253</v>
      </c>
      <c r="P278">
        <v>6.1224870278884522E-3</v>
      </c>
      <c r="Q278" t="s">
        <v>161</v>
      </c>
      <c r="S278" t="s">
        <v>219</v>
      </c>
      <c r="T278" t="s">
        <v>253</v>
      </c>
      <c r="U278">
        <v>6.1205857252900186E-3</v>
      </c>
      <c r="V278" t="s">
        <v>161</v>
      </c>
    </row>
    <row r="279" spans="9:22" x14ac:dyDescent="0.45">
      <c r="I279" t="s">
        <v>174</v>
      </c>
      <c r="J279" t="s">
        <v>254</v>
      </c>
      <c r="K279">
        <v>5.975925205826297E-3</v>
      </c>
      <c r="L279" t="s">
        <v>161</v>
      </c>
      <c r="N279" t="s">
        <v>197</v>
      </c>
      <c r="O279" t="s">
        <v>254</v>
      </c>
      <c r="P279">
        <v>6.3968825633553428E-3</v>
      </c>
      <c r="Q279" t="s">
        <v>161</v>
      </c>
      <c r="S279" t="s">
        <v>219</v>
      </c>
      <c r="T279" t="s">
        <v>254</v>
      </c>
      <c r="U279">
        <v>6.1799953773954515E-3</v>
      </c>
      <c r="V279" t="s">
        <v>161</v>
      </c>
    </row>
    <row r="280" spans="9:22" x14ac:dyDescent="0.45">
      <c r="I280" t="s">
        <v>174</v>
      </c>
      <c r="J280" t="s">
        <v>270</v>
      </c>
      <c r="K280">
        <v>1.5670200489575627E-3</v>
      </c>
      <c r="L280" t="s">
        <v>161</v>
      </c>
      <c r="N280" t="s">
        <v>197</v>
      </c>
      <c r="O280" t="s">
        <v>270</v>
      </c>
      <c r="P280">
        <v>4.2112149429735311E-2</v>
      </c>
      <c r="Q280" t="s">
        <v>161</v>
      </c>
      <c r="S280" t="s">
        <v>219</v>
      </c>
      <c r="T280" t="s">
        <v>270</v>
      </c>
      <c r="U280">
        <v>3.9334227175065045E-2</v>
      </c>
      <c r="V280" t="s">
        <v>161</v>
      </c>
    </row>
    <row r="281" spans="9:22" x14ac:dyDescent="0.45">
      <c r="I281" t="s">
        <v>174</v>
      </c>
      <c r="J281" t="s">
        <v>255</v>
      </c>
      <c r="K281">
        <v>0</v>
      </c>
      <c r="L281" t="s">
        <v>161</v>
      </c>
      <c r="N281" t="s">
        <v>197</v>
      </c>
      <c r="O281" t="s">
        <v>255</v>
      </c>
      <c r="P281">
        <v>5.2961093234321001E-2</v>
      </c>
      <c r="Q281" t="s">
        <v>161</v>
      </c>
      <c r="S281" t="s">
        <v>219</v>
      </c>
      <c r="T281" t="s">
        <v>255</v>
      </c>
      <c r="U281">
        <v>4.7955539501568417E-2</v>
      </c>
      <c r="V281" t="s">
        <v>161</v>
      </c>
    </row>
    <row r="282" spans="9:22" x14ac:dyDescent="0.45">
      <c r="I282" t="s">
        <v>174</v>
      </c>
      <c r="J282" t="s">
        <v>256</v>
      </c>
      <c r="K282">
        <v>5.9558484831579686E-4</v>
      </c>
      <c r="L282" t="s">
        <v>161</v>
      </c>
      <c r="N282" t="s">
        <v>197</v>
      </c>
      <c r="O282" t="s">
        <v>256</v>
      </c>
      <c r="P282">
        <v>7.1064871688631716E-3</v>
      </c>
      <c r="Q282" t="s">
        <v>161</v>
      </c>
      <c r="S282" t="s">
        <v>219</v>
      </c>
      <c r="T282" t="s">
        <v>256</v>
      </c>
      <c r="U282">
        <v>6.0555680812300833E-3</v>
      </c>
      <c r="V282" t="s">
        <v>161</v>
      </c>
    </row>
    <row r="283" spans="9:22" x14ac:dyDescent="0.45">
      <c r="I283" t="s">
        <v>174</v>
      </c>
      <c r="J283" t="s">
        <v>257</v>
      </c>
      <c r="K283">
        <v>4.2203315426686067E-2</v>
      </c>
      <c r="L283" t="s">
        <v>161</v>
      </c>
      <c r="N283" t="s">
        <v>197</v>
      </c>
      <c r="O283" t="s">
        <v>257</v>
      </c>
      <c r="P283">
        <v>4.6883679444586025E-2</v>
      </c>
      <c r="Q283" t="s">
        <v>161</v>
      </c>
      <c r="S283" t="s">
        <v>219</v>
      </c>
      <c r="T283" t="s">
        <v>257</v>
      </c>
      <c r="U283">
        <v>4.1343434885460661E-2</v>
      </c>
      <c r="V283" t="s">
        <v>161</v>
      </c>
    </row>
    <row r="284" spans="9:22" x14ac:dyDescent="0.45">
      <c r="I284" t="s">
        <v>174</v>
      </c>
      <c r="J284" t="s">
        <v>258</v>
      </c>
      <c r="K284">
        <v>3.6488700504588739E-3</v>
      </c>
      <c r="L284" t="s">
        <v>161</v>
      </c>
      <c r="N284" t="s">
        <v>197</v>
      </c>
      <c r="O284" t="s">
        <v>258</v>
      </c>
      <c r="P284">
        <v>6.7801831218623192E-3</v>
      </c>
      <c r="Q284" t="s">
        <v>161</v>
      </c>
      <c r="S284" t="s">
        <v>219</v>
      </c>
      <c r="T284" t="s">
        <v>258</v>
      </c>
      <c r="U284">
        <v>5.8928034372428342E-3</v>
      </c>
      <c r="V284" t="s">
        <v>161</v>
      </c>
    </row>
    <row r="285" spans="9:22" x14ac:dyDescent="0.45">
      <c r="I285" t="s">
        <v>174</v>
      </c>
      <c r="J285" t="s">
        <v>259</v>
      </c>
      <c r="K285">
        <v>2.0872301260597978E-4</v>
      </c>
      <c r="L285" t="s">
        <v>161</v>
      </c>
      <c r="N285" t="s">
        <v>197</v>
      </c>
      <c r="O285" t="s">
        <v>259</v>
      </c>
      <c r="P285">
        <v>6.9863959245764547E-3</v>
      </c>
      <c r="Q285" t="s">
        <v>161</v>
      </c>
      <c r="S285" t="s">
        <v>219</v>
      </c>
      <c r="T285" t="s">
        <v>259</v>
      </c>
      <c r="U285">
        <v>5.7913843713101407E-3</v>
      </c>
      <c r="V285" t="s">
        <v>161</v>
      </c>
    </row>
    <row r="286" spans="9:22" x14ac:dyDescent="0.45">
      <c r="I286" t="s">
        <v>174</v>
      </c>
      <c r="J286" t="s">
        <v>271</v>
      </c>
      <c r="K286">
        <v>0</v>
      </c>
      <c r="L286" t="s">
        <v>161</v>
      </c>
      <c r="N286" t="s">
        <v>197</v>
      </c>
      <c r="O286" t="s">
        <v>271</v>
      </c>
      <c r="P286">
        <v>4.1480980179624705E-2</v>
      </c>
      <c r="Q286" t="s">
        <v>161</v>
      </c>
      <c r="S286" t="s">
        <v>219</v>
      </c>
      <c r="T286" t="s">
        <v>271</v>
      </c>
      <c r="U286">
        <v>3.4807061990241028E-2</v>
      </c>
      <c r="V286" t="s">
        <v>161</v>
      </c>
    </row>
    <row r="287" spans="9:22" x14ac:dyDescent="0.45">
      <c r="I287" t="s">
        <v>174</v>
      </c>
      <c r="J287" t="s">
        <v>272</v>
      </c>
      <c r="K287">
        <v>0</v>
      </c>
      <c r="L287" t="s">
        <v>161</v>
      </c>
      <c r="N287" t="s">
        <v>197</v>
      </c>
      <c r="O287" t="s">
        <v>272</v>
      </c>
      <c r="P287">
        <v>2.0972480880671066E-2</v>
      </c>
      <c r="Q287" t="s">
        <v>161</v>
      </c>
      <c r="S287" t="s">
        <v>219</v>
      </c>
      <c r="T287" t="s">
        <v>272</v>
      </c>
      <c r="U287">
        <v>1.324572675873239E-2</v>
      </c>
      <c r="V287" t="s">
        <v>161</v>
      </c>
    </row>
    <row r="288" spans="9:22" x14ac:dyDescent="0.45">
      <c r="I288" t="s">
        <v>174</v>
      </c>
      <c r="J288" t="s">
        <v>273</v>
      </c>
      <c r="K288">
        <v>0</v>
      </c>
      <c r="L288" t="s">
        <v>161</v>
      </c>
      <c r="N288" t="s">
        <v>197</v>
      </c>
      <c r="O288" t="s">
        <v>273</v>
      </c>
      <c r="P288">
        <v>2.7499805943369993E-3</v>
      </c>
      <c r="Q288" t="s">
        <v>161</v>
      </c>
      <c r="S288" t="s">
        <v>219</v>
      </c>
      <c r="T288" t="s">
        <v>273</v>
      </c>
      <c r="U288">
        <v>1.6247795280142513E-3</v>
      </c>
      <c r="V288" t="s">
        <v>161</v>
      </c>
    </row>
    <row r="289" spans="9:22" x14ac:dyDescent="0.45">
      <c r="I289" t="s">
        <v>174</v>
      </c>
      <c r="J289" t="s">
        <v>274</v>
      </c>
      <c r="K289">
        <v>1.0512176089129953E-2</v>
      </c>
      <c r="L289" t="s">
        <v>161</v>
      </c>
      <c r="N289" t="s">
        <v>197</v>
      </c>
      <c r="O289" t="s">
        <v>274</v>
      </c>
      <c r="P289">
        <v>1.6408132575358822E-2</v>
      </c>
      <c r="Q289" t="s">
        <v>161</v>
      </c>
      <c r="S289" t="s">
        <v>219</v>
      </c>
      <c r="T289" t="s">
        <v>274</v>
      </c>
      <c r="U289">
        <v>1.1863263503457724E-2</v>
      </c>
      <c r="V289" t="s">
        <v>161</v>
      </c>
    </row>
    <row r="290" spans="9:22" x14ac:dyDescent="0.45">
      <c r="I290" t="s">
        <v>174</v>
      </c>
      <c r="J290" t="s">
        <v>275</v>
      </c>
      <c r="K290">
        <v>8.2777697837301326E-4</v>
      </c>
      <c r="L290" t="s">
        <v>161</v>
      </c>
      <c r="N290" t="s">
        <v>197</v>
      </c>
      <c r="O290" t="s">
        <v>275</v>
      </c>
      <c r="P290">
        <v>2.2314073207209528E-3</v>
      </c>
      <c r="Q290" t="s">
        <v>161</v>
      </c>
      <c r="S290" t="s">
        <v>219</v>
      </c>
      <c r="T290" t="s">
        <v>275</v>
      </c>
      <c r="U290">
        <v>1.6731520693047718E-3</v>
      </c>
      <c r="V290" t="s">
        <v>161</v>
      </c>
    </row>
    <row r="291" spans="9:22" x14ac:dyDescent="0.45">
      <c r="I291" t="s">
        <v>174</v>
      </c>
      <c r="J291" t="s">
        <v>276</v>
      </c>
      <c r="K291">
        <v>0</v>
      </c>
      <c r="L291" t="s">
        <v>161</v>
      </c>
      <c r="N291" t="s">
        <v>197</v>
      </c>
      <c r="O291" t="s">
        <v>276</v>
      </c>
      <c r="P291">
        <v>2.3221148469934156E-3</v>
      </c>
      <c r="Q291" t="s">
        <v>161</v>
      </c>
      <c r="S291" t="s">
        <v>219</v>
      </c>
      <c r="T291" t="s">
        <v>276</v>
      </c>
      <c r="U291">
        <v>1.6598604882016805E-3</v>
      </c>
      <c r="V291" t="s">
        <v>161</v>
      </c>
    </row>
    <row r="292" spans="9:22" x14ac:dyDescent="0.45">
      <c r="I292" t="s">
        <v>174</v>
      </c>
      <c r="J292" t="s">
        <v>277</v>
      </c>
      <c r="K292">
        <v>0</v>
      </c>
      <c r="L292" t="s">
        <v>161</v>
      </c>
      <c r="N292" t="s">
        <v>197</v>
      </c>
      <c r="O292" t="s">
        <v>277</v>
      </c>
      <c r="P292">
        <v>1.4237209015088795E-2</v>
      </c>
      <c r="Q292" t="s">
        <v>161</v>
      </c>
      <c r="S292" t="s">
        <v>219</v>
      </c>
      <c r="T292" t="s">
        <v>277</v>
      </c>
      <c r="U292">
        <v>1.0017114864596293E-2</v>
      </c>
      <c r="V292" t="s">
        <v>161</v>
      </c>
    </row>
    <row r="293" spans="9:22" x14ac:dyDescent="0.45">
      <c r="I293" t="s">
        <v>174</v>
      </c>
      <c r="J293" t="s">
        <v>278</v>
      </c>
      <c r="K293">
        <v>0</v>
      </c>
      <c r="L293" t="s">
        <v>161</v>
      </c>
      <c r="N293" t="s">
        <v>197</v>
      </c>
      <c r="O293" t="s">
        <v>278</v>
      </c>
      <c r="P293">
        <v>7.5993905562680127E-3</v>
      </c>
      <c r="Q293" t="s">
        <v>161</v>
      </c>
      <c r="S293" t="s">
        <v>219</v>
      </c>
      <c r="T293" t="s">
        <v>278</v>
      </c>
      <c r="U293">
        <v>8.0976799968540923E-3</v>
      </c>
      <c r="V293" t="s">
        <v>161</v>
      </c>
    </row>
    <row r="294" spans="9:22" x14ac:dyDescent="0.45">
      <c r="I294" t="s">
        <v>174</v>
      </c>
      <c r="J294" t="s">
        <v>279</v>
      </c>
      <c r="K294">
        <v>0</v>
      </c>
      <c r="L294" t="s">
        <v>161</v>
      </c>
      <c r="N294" t="s">
        <v>197</v>
      </c>
      <c r="O294" t="s">
        <v>279</v>
      </c>
      <c r="P294">
        <v>1.0267932203728688E-3</v>
      </c>
      <c r="Q294" t="s">
        <v>161</v>
      </c>
      <c r="S294" t="s">
        <v>219</v>
      </c>
      <c r="T294" t="s">
        <v>279</v>
      </c>
      <c r="U294">
        <v>1.0251833212123061E-3</v>
      </c>
      <c r="V294" t="s">
        <v>161</v>
      </c>
    </row>
    <row r="295" spans="9:22" x14ac:dyDescent="0.45">
      <c r="I295" t="s">
        <v>174</v>
      </c>
      <c r="J295" t="s">
        <v>280</v>
      </c>
      <c r="K295">
        <v>5.4319028524865655E-3</v>
      </c>
      <c r="L295" t="s">
        <v>161</v>
      </c>
      <c r="N295" t="s">
        <v>197</v>
      </c>
      <c r="O295" t="s">
        <v>280</v>
      </c>
      <c r="P295">
        <v>6.2829966382540623E-3</v>
      </c>
      <c r="Q295" t="s">
        <v>161</v>
      </c>
      <c r="S295" t="s">
        <v>219</v>
      </c>
      <c r="T295" t="s">
        <v>280</v>
      </c>
      <c r="U295">
        <v>7.3214604914118298E-3</v>
      </c>
      <c r="V295" t="s">
        <v>161</v>
      </c>
    </row>
    <row r="296" spans="9:22" x14ac:dyDescent="0.45">
      <c r="I296" t="s">
        <v>174</v>
      </c>
      <c r="J296" t="s">
        <v>281</v>
      </c>
      <c r="K296">
        <v>7.0124237228861739E-4</v>
      </c>
      <c r="L296" t="s">
        <v>161</v>
      </c>
      <c r="N296" t="s">
        <v>197</v>
      </c>
      <c r="O296" t="s">
        <v>281</v>
      </c>
      <c r="P296">
        <v>9.4623149592266954E-4</v>
      </c>
      <c r="Q296" t="s">
        <v>161</v>
      </c>
      <c r="S296" t="s">
        <v>219</v>
      </c>
      <c r="T296" t="s">
        <v>281</v>
      </c>
      <c r="U296">
        <v>1.0501421594938977E-3</v>
      </c>
      <c r="V296" t="s">
        <v>161</v>
      </c>
    </row>
    <row r="297" spans="9:22" x14ac:dyDescent="0.45">
      <c r="I297" t="s">
        <v>174</v>
      </c>
      <c r="J297" t="s">
        <v>282</v>
      </c>
      <c r="K297">
        <v>0</v>
      </c>
      <c r="L297" t="s">
        <v>161</v>
      </c>
      <c r="N297" t="s">
        <v>197</v>
      </c>
      <c r="O297" t="s">
        <v>282</v>
      </c>
      <c r="P297">
        <v>1.0496810781007123E-3</v>
      </c>
      <c r="Q297" t="s">
        <v>161</v>
      </c>
      <c r="S297" t="s">
        <v>219</v>
      </c>
      <c r="T297" t="s">
        <v>282</v>
      </c>
      <c r="U297">
        <v>1.0453425505109158E-3</v>
      </c>
      <c r="V297" t="s">
        <v>161</v>
      </c>
    </row>
    <row r="298" spans="9:22" x14ac:dyDescent="0.45">
      <c r="I298" t="s">
        <v>174</v>
      </c>
      <c r="J298" t="s">
        <v>283</v>
      </c>
      <c r="K298">
        <v>0</v>
      </c>
      <c r="L298" t="s">
        <v>161</v>
      </c>
      <c r="N298" t="s">
        <v>197</v>
      </c>
      <c r="O298" t="s">
        <v>283</v>
      </c>
      <c r="P298">
        <v>6.6640955073666982E-3</v>
      </c>
      <c r="Q298" t="s">
        <v>161</v>
      </c>
      <c r="S298" t="s">
        <v>219</v>
      </c>
      <c r="T298" t="s">
        <v>283</v>
      </c>
      <c r="U298">
        <v>6.146268596074915E-3</v>
      </c>
      <c r="V298" t="s">
        <v>161</v>
      </c>
    </row>
    <row r="299" spans="9:22" x14ac:dyDescent="0.45">
      <c r="I299" t="s">
        <v>175</v>
      </c>
      <c r="J299" t="s">
        <v>160</v>
      </c>
      <c r="K299">
        <v>2.1795461192467853E-3</v>
      </c>
      <c r="L299" t="s">
        <v>161</v>
      </c>
      <c r="N299" t="s">
        <v>198</v>
      </c>
      <c r="O299" t="s">
        <v>160</v>
      </c>
      <c r="P299">
        <v>7.3757038545978176E-2</v>
      </c>
      <c r="Q299" t="s">
        <v>161</v>
      </c>
      <c r="S299" t="s">
        <v>220</v>
      </c>
      <c r="T299" t="s">
        <v>160</v>
      </c>
      <c r="U299">
        <v>7.4983181187533318E-2</v>
      </c>
      <c r="V299" t="s">
        <v>161</v>
      </c>
    </row>
    <row r="300" spans="9:22" x14ac:dyDescent="0.45">
      <c r="I300" t="s">
        <v>175</v>
      </c>
      <c r="J300" t="s">
        <v>162</v>
      </c>
      <c r="K300">
        <v>7.2072672532846093E-3</v>
      </c>
      <c r="L300" t="s">
        <v>161</v>
      </c>
      <c r="N300" t="s">
        <v>198</v>
      </c>
      <c r="O300" t="s">
        <v>162</v>
      </c>
      <c r="P300">
        <v>9.2021357779036965E-3</v>
      </c>
      <c r="Q300" t="s">
        <v>161</v>
      </c>
      <c r="S300" t="s">
        <v>220</v>
      </c>
      <c r="T300" t="s">
        <v>162</v>
      </c>
      <c r="U300">
        <v>9.1857842509900835E-3</v>
      </c>
      <c r="V300" t="s">
        <v>161</v>
      </c>
    </row>
    <row r="301" spans="9:22" x14ac:dyDescent="0.45">
      <c r="I301" t="s">
        <v>175</v>
      </c>
      <c r="J301" t="s">
        <v>163</v>
      </c>
      <c r="K301">
        <v>9.6226961507837064E-2</v>
      </c>
      <c r="L301" t="s">
        <v>161</v>
      </c>
      <c r="N301" t="s">
        <v>198</v>
      </c>
      <c r="O301" t="s">
        <v>163</v>
      </c>
      <c r="P301">
        <v>6.2631729714654E-2</v>
      </c>
      <c r="Q301" t="s">
        <v>161</v>
      </c>
      <c r="S301" t="s">
        <v>220</v>
      </c>
      <c r="T301" t="s">
        <v>163</v>
      </c>
      <c r="U301">
        <v>6.3593541912220428E-2</v>
      </c>
      <c r="V301" t="s">
        <v>161</v>
      </c>
    </row>
    <row r="302" spans="9:22" x14ac:dyDescent="0.45">
      <c r="I302" t="s">
        <v>175</v>
      </c>
      <c r="J302" t="s">
        <v>242</v>
      </c>
      <c r="K302">
        <v>6.9351374222118385E-3</v>
      </c>
      <c r="L302" t="s">
        <v>161</v>
      </c>
      <c r="N302" t="s">
        <v>198</v>
      </c>
      <c r="O302" t="s">
        <v>242</v>
      </c>
      <c r="P302">
        <v>8.9935637200641624E-3</v>
      </c>
      <c r="Q302" t="s">
        <v>161</v>
      </c>
      <c r="S302" t="s">
        <v>220</v>
      </c>
      <c r="T302" t="s">
        <v>242</v>
      </c>
      <c r="U302">
        <v>9.2330505035815441E-3</v>
      </c>
      <c r="V302" t="s">
        <v>161</v>
      </c>
    </row>
    <row r="303" spans="9:22" x14ac:dyDescent="0.45">
      <c r="I303" t="s">
        <v>175</v>
      </c>
      <c r="J303" t="s">
        <v>243</v>
      </c>
      <c r="K303">
        <v>2.5972025919742581E-3</v>
      </c>
      <c r="L303" t="s">
        <v>161</v>
      </c>
      <c r="N303" t="s">
        <v>198</v>
      </c>
      <c r="O303" t="s">
        <v>243</v>
      </c>
      <c r="P303">
        <v>9.2288794056841431E-3</v>
      </c>
      <c r="Q303" t="s">
        <v>161</v>
      </c>
      <c r="S303" t="s">
        <v>220</v>
      </c>
      <c r="T303" t="s">
        <v>243</v>
      </c>
      <c r="U303">
        <v>9.4347855433902349E-3</v>
      </c>
      <c r="V303" t="s">
        <v>161</v>
      </c>
    </row>
    <row r="304" spans="9:22" x14ac:dyDescent="0.45">
      <c r="I304" t="s">
        <v>175</v>
      </c>
      <c r="J304" t="s">
        <v>266</v>
      </c>
      <c r="K304">
        <v>0</v>
      </c>
      <c r="L304" t="s">
        <v>161</v>
      </c>
      <c r="N304" t="s">
        <v>198</v>
      </c>
      <c r="O304" t="s">
        <v>266</v>
      </c>
      <c r="P304">
        <v>5.620566485196235E-2</v>
      </c>
      <c r="Q304" t="s">
        <v>161</v>
      </c>
      <c r="S304" t="s">
        <v>220</v>
      </c>
      <c r="T304" t="s">
        <v>266</v>
      </c>
      <c r="U304">
        <v>5.6802491313288274E-2</v>
      </c>
      <c r="V304" t="s">
        <v>161</v>
      </c>
    </row>
    <row r="305" spans="9:22" x14ac:dyDescent="0.45">
      <c r="I305" t="s">
        <v>175</v>
      </c>
      <c r="J305" t="s">
        <v>311</v>
      </c>
      <c r="K305">
        <v>0</v>
      </c>
      <c r="L305" t="s">
        <v>161</v>
      </c>
      <c r="N305" t="s">
        <v>198</v>
      </c>
      <c r="O305" t="s">
        <v>311</v>
      </c>
      <c r="P305">
        <v>1.5270141163748834E-6</v>
      </c>
      <c r="Q305" t="s">
        <v>161</v>
      </c>
      <c r="S305" t="s">
        <v>220</v>
      </c>
      <c r="T305" t="s">
        <v>311</v>
      </c>
      <c r="U305">
        <v>1.2556211012609364E-6</v>
      </c>
      <c r="V305" t="s">
        <v>161</v>
      </c>
    </row>
    <row r="306" spans="9:22" x14ac:dyDescent="0.45">
      <c r="I306" t="s">
        <v>175</v>
      </c>
      <c r="J306" t="s">
        <v>312</v>
      </c>
      <c r="K306">
        <v>0</v>
      </c>
      <c r="L306" t="s">
        <v>161</v>
      </c>
      <c r="N306" t="s">
        <v>198</v>
      </c>
      <c r="O306" t="s">
        <v>312</v>
      </c>
      <c r="P306">
        <v>6.4427226333939995E-7</v>
      </c>
      <c r="Q306" t="s">
        <v>161</v>
      </c>
      <c r="S306" t="s">
        <v>220</v>
      </c>
      <c r="T306" t="s">
        <v>312</v>
      </c>
      <c r="U306">
        <v>0</v>
      </c>
      <c r="V306" t="s">
        <v>161</v>
      </c>
    </row>
    <row r="307" spans="9:22" x14ac:dyDescent="0.45">
      <c r="I307" t="s">
        <v>175</v>
      </c>
      <c r="J307" t="s">
        <v>313</v>
      </c>
      <c r="K307">
        <v>0</v>
      </c>
      <c r="L307" t="s">
        <v>161</v>
      </c>
      <c r="N307" t="s">
        <v>198</v>
      </c>
      <c r="O307" t="s">
        <v>313</v>
      </c>
      <c r="P307">
        <v>1.0588010196860642E-6</v>
      </c>
      <c r="Q307" t="s">
        <v>161</v>
      </c>
      <c r="S307" t="s">
        <v>220</v>
      </c>
      <c r="T307" t="s">
        <v>313</v>
      </c>
      <c r="U307">
        <v>1.0655257712911271E-6</v>
      </c>
      <c r="V307" t="s">
        <v>161</v>
      </c>
    </row>
    <row r="308" spans="9:22" x14ac:dyDescent="0.45">
      <c r="I308" t="s">
        <v>175</v>
      </c>
      <c r="J308" t="s">
        <v>314</v>
      </c>
      <c r="K308">
        <v>0</v>
      </c>
      <c r="L308" t="s">
        <v>161</v>
      </c>
      <c r="N308" t="s">
        <v>198</v>
      </c>
      <c r="O308" t="s">
        <v>314</v>
      </c>
      <c r="P308">
        <v>1.7358616053413786E-6</v>
      </c>
      <c r="Q308" t="s">
        <v>161</v>
      </c>
      <c r="S308" t="s">
        <v>220</v>
      </c>
      <c r="T308" t="s">
        <v>314</v>
      </c>
      <c r="U308">
        <v>2.1841950077697014E-6</v>
      </c>
      <c r="V308" t="s">
        <v>161</v>
      </c>
    </row>
    <row r="309" spans="9:22" x14ac:dyDescent="0.45">
      <c r="I309" t="s">
        <v>175</v>
      </c>
      <c r="J309" t="s">
        <v>315</v>
      </c>
      <c r="K309">
        <v>0</v>
      </c>
      <c r="L309" t="s">
        <v>161</v>
      </c>
      <c r="N309" t="s">
        <v>198</v>
      </c>
      <c r="O309" t="s">
        <v>315</v>
      </c>
      <c r="P309">
        <v>1.6542579426630143E-6</v>
      </c>
      <c r="Q309" t="s">
        <v>161</v>
      </c>
      <c r="S309" t="s">
        <v>220</v>
      </c>
      <c r="T309" t="s">
        <v>315</v>
      </c>
      <c r="U309">
        <v>1.3803743715637663E-6</v>
      </c>
      <c r="V309" t="s">
        <v>161</v>
      </c>
    </row>
    <row r="310" spans="9:22" x14ac:dyDescent="0.45">
      <c r="I310" t="s">
        <v>175</v>
      </c>
      <c r="J310" t="s">
        <v>316</v>
      </c>
      <c r="K310">
        <v>0</v>
      </c>
      <c r="L310" t="s">
        <v>161</v>
      </c>
      <c r="N310" t="s">
        <v>198</v>
      </c>
      <c r="O310" t="s">
        <v>316</v>
      </c>
      <c r="P310">
        <v>7.509699792886119E-7</v>
      </c>
      <c r="Q310" t="s">
        <v>161</v>
      </c>
      <c r="S310" t="s">
        <v>220</v>
      </c>
      <c r="T310" t="s">
        <v>316</v>
      </c>
      <c r="U310">
        <v>4.2168645434769042E-7</v>
      </c>
      <c r="V310" t="s">
        <v>161</v>
      </c>
    </row>
    <row r="311" spans="9:22" x14ac:dyDescent="0.45">
      <c r="I311" t="s">
        <v>175</v>
      </c>
      <c r="J311" t="s">
        <v>317</v>
      </c>
      <c r="K311">
        <v>0</v>
      </c>
      <c r="L311" t="s">
        <v>161</v>
      </c>
      <c r="N311" t="s">
        <v>198</v>
      </c>
      <c r="O311" t="s">
        <v>317</v>
      </c>
      <c r="P311">
        <v>3.1391596244211309E-7</v>
      </c>
      <c r="Q311" t="s">
        <v>161</v>
      </c>
      <c r="S311" t="s">
        <v>220</v>
      </c>
      <c r="T311" t="s">
        <v>317</v>
      </c>
      <c r="U311">
        <v>0</v>
      </c>
      <c r="V311" t="s">
        <v>161</v>
      </c>
    </row>
    <row r="312" spans="9:22" x14ac:dyDescent="0.45">
      <c r="I312" t="s">
        <v>175</v>
      </c>
      <c r="J312" t="s">
        <v>318</v>
      </c>
      <c r="K312">
        <v>3.0880318251262954E-7</v>
      </c>
      <c r="L312" t="s">
        <v>161</v>
      </c>
      <c r="N312" t="s">
        <v>198</v>
      </c>
      <c r="O312" t="s">
        <v>318</v>
      </c>
      <c r="P312">
        <v>2.444220505131506E-7</v>
      </c>
      <c r="Q312" t="s">
        <v>161</v>
      </c>
      <c r="S312" t="s">
        <v>220</v>
      </c>
      <c r="T312" t="s">
        <v>318</v>
      </c>
      <c r="U312">
        <v>0</v>
      </c>
      <c r="V312" t="s">
        <v>161</v>
      </c>
    </row>
    <row r="313" spans="9:22" x14ac:dyDescent="0.45">
      <c r="I313" t="s">
        <v>175</v>
      </c>
      <c r="J313" t="s">
        <v>319</v>
      </c>
      <c r="K313">
        <v>5.4055513087238905E-5</v>
      </c>
      <c r="L313" t="s">
        <v>161</v>
      </c>
      <c r="N313" t="s">
        <v>198</v>
      </c>
      <c r="O313" t="s">
        <v>319</v>
      </c>
      <c r="P313">
        <v>1.9157908290100113E-7</v>
      </c>
      <c r="Q313" t="s">
        <v>161</v>
      </c>
      <c r="S313" t="s">
        <v>220</v>
      </c>
      <c r="T313" t="s">
        <v>319</v>
      </c>
      <c r="U313">
        <v>0</v>
      </c>
      <c r="V313" t="s">
        <v>161</v>
      </c>
    </row>
    <row r="314" spans="9:22" x14ac:dyDescent="0.45">
      <c r="I314" t="s">
        <v>175</v>
      </c>
      <c r="J314" t="s">
        <v>320</v>
      </c>
      <c r="K314">
        <v>9.432130046007504E-5</v>
      </c>
      <c r="L314" t="s">
        <v>161</v>
      </c>
      <c r="N314" t="s">
        <v>198</v>
      </c>
      <c r="O314" t="s">
        <v>320</v>
      </c>
      <c r="P314">
        <v>5.5467974614701305E-9</v>
      </c>
      <c r="Q314" t="s">
        <v>161</v>
      </c>
      <c r="S314" t="s">
        <v>220</v>
      </c>
      <c r="T314" t="s">
        <v>320</v>
      </c>
      <c r="U314">
        <v>0</v>
      </c>
      <c r="V314" t="s">
        <v>161</v>
      </c>
    </row>
    <row r="315" spans="9:22" x14ac:dyDescent="0.45">
      <c r="I315" t="s">
        <v>175</v>
      </c>
      <c r="J315" t="s">
        <v>321</v>
      </c>
      <c r="K315">
        <v>9.9670401184286976E-5</v>
      </c>
      <c r="L315" t="s">
        <v>161</v>
      </c>
      <c r="N315" t="s">
        <v>198</v>
      </c>
      <c r="O315" t="s">
        <v>321</v>
      </c>
      <c r="P315">
        <v>5.6208390662967686E-9</v>
      </c>
      <c r="Q315" t="s">
        <v>161</v>
      </c>
      <c r="S315" t="s">
        <v>220</v>
      </c>
      <c r="T315" t="s">
        <v>321</v>
      </c>
      <c r="U315">
        <v>0</v>
      </c>
      <c r="V315" t="s">
        <v>161</v>
      </c>
    </row>
    <row r="316" spans="9:22" x14ac:dyDescent="0.45">
      <c r="I316" t="s">
        <v>175</v>
      </c>
      <c r="J316" t="s">
        <v>322</v>
      </c>
      <c r="K316">
        <v>1.4092955526158037E-4</v>
      </c>
      <c r="L316" t="s">
        <v>161</v>
      </c>
      <c r="N316" t="s">
        <v>198</v>
      </c>
      <c r="O316" t="s">
        <v>322</v>
      </c>
      <c r="P316">
        <v>5.5918412095421127E-9</v>
      </c>
      <c r="Q316" t="s">
        <v>161</v>
      </c>
      <c r="S316" t="s">
        <v>220</v>
      </c>
      <c r="T316" t="s">
        <v>322</v>
      </c>
      <c r="U316">
        <v>0</v>
      </c>
      <c r="V316" t="s">
        <v>161</v>
      </c>
    </row>
    <row r="317" spans="9:22" x14ac:dyDescent="0.45">
      <c r="I317" t="s">
        <v>175</v>
      </c>
      <c r="J317" t="s">
        <v>323</v>
      </c>
      <c r="K317">
        <v>1.3568429044223578E-4</v>
      </c>
      <c r="L317" t="s">
        <v>161</v>
      </c>
      <c r="N317" t="s">
        <v>198</v>
      </c>
      <c r="O317" t="s">
        <v>323</v>
      </c>
      <c r="P317">
        <v>4.7278211381439593E-9</v>
      </c>
      <c r="Q317" t="s">
        <v>161</v>
      </c>
      <c r="S317" t="s">
        <v>220</v>
      </c>
      <c r="T317" t="s">
        <v>323</v>
      </c>
      <c r="U317">
        <v>0</v>
      </c>
      <c r="V317" t="s">
        <v>161</v>
      </c>
    </row>
    <row r="318" spans="9:22" x14ac:dyDescent="0.45">
      <c r="I318" t="s">
        <v>175</v>
      </c>
      <c r="J318" t="s">
        <v>324</v>
      </c>
      <c r="K318">
        <v>1.7167934081597898E-4</v>
      </c>
      <c r="L318" t="s">
        <v>161</v>
      </c>
      <c r="N318" t="s">
        <v>198</v>
      </c>
      <c r="O318" t="s">
        <v>324</v>
      </c>
      <c r="P318">
        <v>5.0415476476858658E-9</v>
      </c>
      <c r="Q318" t="s">
        <v>161</v>
      </c>
      <c r="S318" t="s">
        <v>220</v>
      </c>
      <c r="T318" t="s">
        <v>324</v>
      </c>
      <c r="U318">
        <v>0</v>
      </c>
      <c r="V318" t="s">
        <v>161</v>
      </c>
    </row>
    <row r="319" spans="9:22" x14ac:dyDescent="0.45">
      <c r="I319" t="s">
        <v>175</v>
      </c>
      <c r="J319" t="s">
        <v>325</v>
      </c>
      <c r="K319">
        <v>1.8517246244899505E-4</v>
      </c>
      <c r="L319" t="s">
        <v>161</v>
      </c>
      <c r="N319" t="s">
        <v>198</v>
      </c>
      <c r="O319" t="s">
        <v>325</v>
      </c>
      <c r="P319">
        <v>1.4035866693975708E-8</v>
      </c>
      <c r="Q319" t="s">
        <v>161</v>
      </c>
      <c r="S319" t="s">
        <v>220</v>
      </c>
      <c r="T319" t="s">
        <v>325</v>
      </c>
      <c r="U319">
        <v>0</v>
      </c>
      <c r="V319" t="s">
        <v>161</v>
      </c>
    </row>
    <row r="320" spans="9:22" x14ac:dyDescent="0.45">
      <c r="I320" t="s">
        <v>175</v>
      </c>
      <c r="J320" t="s">
        <v>326</v>
      </c>
      <c r="K320">
        <v>1.4121509457256124E-4</v>
      </c>
      <c r="L320" t="s">
        <v>161</v>
      </c>
      <c r="N320" t="s">
        <v>198</v>
      </c>
      <c r="O320" t="s">
        <v>326</v>
      </c>
      <c r="P320">
        <v>6.4073451042781942E-8</v>
      </c>
      <c r="Q320" t="s">
        <v>161</v>
      </c>
      <c r="S320" t="s">
        <v>220</v>
      </c>
      <c r="T320" t="s">
        <v>326</v>
      </c>
      <c r="U320">
        <v>0</v>
      </c>
      <c r="V320" t="s">
        <v>161</v>
      </c>
    </row>
    <row r="321" spans="9:22" x14ac:dyDescent="0.45">
      <c r="I321" t="s">
        <v>175</v>
      </c>
      <c r="J321" t="s">
        <v>327</v>
      </c>
      <c r="K321">
        <v>1.4583535616614072E-4</v>
      </c>
      <c r="L321" t="s">
        <v>161</v>
      </c>
      <c r="N321" t="s">
        <v>198</v>
      </c>
      <c r="O321" t="s">
        <v>327</v>
      </c>
      <c r="P321">
        <v>2.1788285343150955E-8</v>
      </c>
      <c r="Q321" t="s">
        <v>161</v>
      </c>
      <c r="S321" t="s">
        <v>220</v>
      </c>
      <c r="T321" t="s">
        <v>327</v>
      </c>
      <c r="U321">
        <v>0</v>
      </c>
      <c r="V321" t="s">
        <v>161</v>
      </c>
    </row>
    <row r="322" spans="9:22" x14ac:dyDescent="0.45">
      <c r="I322" t="s">
        <v>175</v>
      </c>
      <c r="J322" t="s">
        <v>328</v>
      </c>
      <c r="K322">
        <v>4.2814848702784924E-5</v>
      </c>
      <c r="L322" t="s">
        <v>161</v>
      </c>
      <c r="N322" t="s">
        <v>198</v>
      </c>
      <c r="O322" t="s">
        <v>328</v>
      </c>
      <c r="P322">
        <v>2.3313272940068938E-8</v>
      </c>
      <c r="Q322" t="s">
        <v>161</v>
      </c>
      <c r="S322" t="s">
        <v>220</v>
      </c>
      <c r="T322" t="s">
        <v>328</v>
      </c>
      <c r="U322">
        <v>0</v>
      </c>
      <c r="V322" t="s">
        <v>161</v>
      </c>
    </row>
    <row r="323" spans="9:22" x14ac:dyDescent="0.45">
      <c r="I323" t="s">
        <v>175</v>
      </c>
      <c r="J323" t="s">
        <v>329</v>
      </c>
      <c r="K323">
        <v>0</v>
      </c>
      <c r="L323" t="s">
        <v>161</v>
      </c>
      <c r="N323" t="s">
        <v>198</v>
      </c>
      <c r="O323" t="s">
        <v>329</v>
      </c>
      <c r="P323">
        <v>4.9156160103800216E-7</v>
      </c>
      <c r="Q323" t="s">
        <v>161</v>
      </c>
      <c r="S323" t="s">
        <v>220</v>
      </c>
      <c r="T323" t="s">
        <v>329</v>
      </c>
      <c r="U323">
        <v>0</v>
      </c>
      <c r="V323" t="s">
        <v>161</v>
      </c>
    </row>
    <row r="324" spans="9:22" x14ac:dyDescent="0.45">
      <c r="I324" t="s">
        <v>175</v>
      </c>
      <c r="J324" t="s">
        <v>330</v>
      </c>
      <c r="K324">
        <v>0</v>
      </c>
      <c r="L324" t="s">
        <v>161</v>
      </c>
      <c r="N324" t="s">
        <v>198</v>
      </c>
      <c r="O324" t="s">
        <v>330</v>
      </c>
      <c r="P324">
        <v>2.1782875825767558E-6</v>
      </c>
      <c r="Q324" t="s">
        <v>161</v>
      </c>
      <c r="S324" t="s">
        <v>220</v>
      </c>
      <c r="T324" t="s">
        <v>330</v>
      </c>
      <c r="U324">
        <v>4.1463916486922559E-9</v>
      </c>
      <c r="V324" t="s">
        <v>161</v>
      </c>
    </row>
    <row r="325" spans="9:22" x14ac:dyDescent="0.45">
      <c r="I325" t="s">
        <v>175</v>
      </c>
      <c r="J325" t="s">
        <v>331</v>
      </c>
      <c r="K325">
        <v>0</v>
      </c>
      <c r="L325" t="s">
        <v>161</v>
      </c>
      <c r="N325" t="s">
        <v>198</v>
      </c>
      <c r="O325" t="s">
        <v>331</v>
      </c>
      <c r="P325">
        <v>3.1667024974997737E-6</v>
      </c>
      <c r="Q325" t="s">
        <v>161</v>
      </c>
      <c r="S325" t="s">
        <v>220</v>
      </c>
      <c r="T325" t="s">
        <v>331</v>
      </c>
      <c r="U325">
        <v>5.7411686318908772E-9</v>
      </c>
      <c r="V325" t="s">
        <v>161</v>
      </c>
    </row>
    <row r="326" spans="9:22" x14ac:dyDescent="0.45">
      <c r="I326" t="s">
        <v>175</v>
      </c>
      <c r="J326" t="s">
        <v>332</v>
      </c>
      <c r="K326">
        <v>0</v>
      </c>
      <c r="L326" t="s">
        <v>161</v>
      </c>
      <c r="N326" t="s">
        <v>198</v>
      </c>
      <c r="O326" t="s">
        <v>332</v>
      </c>
      <c r="P326">
        <v>4.214204288000048E-6</v>
      </c>
      <c r="Q326" t="s">
        <v>161</v>
      </c>
      <c r="S326" t="s">
        <v>220</v>
      </c>
      <c r="T326" t="s">
        <v>332</v>
      </c>
      <c r="U326">
        <v>0</v>
      </c>
      <c r="V326" t="s">
        <v>161</v>
      </c>
    </row>
    <row r="327" spans="9:22" x14ac:dyDescent="0.45">
      <c r="I327" t="s">
        <v>175</v>
      </c>
      <c r="J327" t="s">
        <v>333</v>
      </c>
      <c r="K327">
        <v>0</v>
      </c>
      <c r="L327" t="s">
        <v>161</v>
      </c>
      <c r="N327" t="s">
        <v>198</v>
      </c>
      <c r="O327" t="s">
        <v>333</v>
      </c>
      <c r="P327">
        <v>5.5392916420214634E-7</v>
      </c>
      <c r="Q327" t="s">
        <v>161</v>
      </c>
      <c r="S327" t="s">
        <v>220</v>
      </c>
      <c r="T327" t="s">
        <v>333</v>
      </c>
      <c r="U327">
        <v>6.3626037125777021E-9</v>
      </c>
      <c r="V327" t="s">
        <v>161</v>
      </c>
    </row>
    <row r="328" spans="9:22" x14ac:dyDescent="0.45">
      <c r="I328" t="s">
        <v>175</v>
      </c>
      <c r="J328" t="s">
        <v>334</v>
      </c>
      <c r="K328">
        <v>0</v>
      </c>
      <c r="L328" t="s">
        <v>161</v>
      </c>
      <c r="N328" t="s">
        <v>198</v>
      </c>
      <c r="O328" t="s">
        <v>334</v>
      </c>
      <c r="P328">
        <v>2.8762238015085226E-7</v>
      </c>
      <c r="Q328" t="s">
        <v>161</v>
      </c>
      <c r="S328" t="s">
        <v>220</v>
      </c>
      <c r="T328" t="s">
        <v>334</v>
      </c>
      <c r="U328">
        <v>0</v>
      </c>
      <c r="V328" t="s">
        <v>161</v>
      </c>
    </row>
    <row r="329" spans="9:22" x14ac:dyDescent="0.45">
      <c r="I329" t="s">
        <v>175</v>
      </c>
      <c r="J329" t="s">
        <v>164</v>
      </c>
      <c r="K329">
        <v>1.0430427955156028E-2</v>
      </c>
      <c r="L329" t="s">
        <v>161</v>
      </c>
      <c r="N329" t="s">
        <v>198</v>
      </c>
      <c r="O329" t="s">
        <v>164</v>
      </c>
      <c r="P329">
        <v>3.8742671980488488E-2</v>
      </c>
      <c r="Q329" t="s">
        <v>161</v>
      </c>
      <c r="S329" t="s">
        <v>220</v>
      </c>
      <c r="T329" t="s">
        <v>164</v>
      </c>
      <c r="U329">
        <v>3.8134114404064508E-2</v>
      </c>
      <c r="V329" t="s">
        <v>161</v>
      </c>
    </row>
    <row r="330" spans="9:22" x14ac:dyDescent="0.45">
      <c r="I330" t="s">
        <v>175</v>
      </c>
      <c r="J330" t="s">
        <v>165</v>
      </c>
      <c r="K330">
        <v>1.0061096663258561E-2</v>
      </c>
      <c r="L330" t="s">
        <v>161</v>
      </c>
      <c r="N330" t="s">
        <v>198</v>
      </c>
      <c r="O330" t="s">
        <v>165</v>
      </c>
      <c r="P330">
        <v>4.4368362982195944E-3</v>
      </c>
      <c r="Q330" t="s">
        <v>161</v>
      </c>
      <c r="S330" t="s">
        <v>220</v>
      </c>
      <c r="T330" t="s">
        <v>165</v>
      </c>
      <c r="U330">
        <v>4.5852698225683237E-3</v>
      </c>
      <c r="V330" t="s">
        <v>161</v>
      </c>
    </row>
    <row r="331" spans="9:22" x14ac:dyDescent="0.45">
      <c r="I331" t="s">
        <v>175</v>
      </c>
      <c r="J331" t="s">
        <v>166</v>
      </c>
      <c r="K331">
        <v>8.8912879221231603E-2</v>
      </c>
      <c r="L331" t="s">
        <v>161</v>
      </c>
      <c r="N331" t="s">
        <v>198</v>
      </c>
      <c r="O331" t="s">
        <v>166</v>
      </c>
      <c r="P331">
        <v>3.097890938144653E-2</v>
      </c>
      <c r="Q331" t="s">
        <v>161</v>
      </c>
      <c r="S331" t="s">
        <v>220</v>
      </c>
      <c r="T331" t="s">
        <v>166</v>
      </c>
      <c r="U331">
        <v>3.0986002833651702E-2</v>
      </c>
      <c r="V331" t="s">
        <v>161</v>
      </c>
    </row>
    <row r="332" spans="9:22" x14ac:dyDescent="0.45">
      <c r="I332" t="s">
        <v>175</v>
      </c>
      <c r="J332" t="s">
        <v>244</v>
      </c>
      <c r="K332">
        <v>7.8167025027003258E-3</v>
      </c>
      <c r="L332" t="s">
        <v>161</v>
      </c>
      <c r="N332" t="s">
        <v>198</v>
      </c>
      <c r="O332" t="s">
        <v>244</v>
      </c>
      <c r="P332">
        <v>4.6809614493578833E-3</v>
      </c>
      <c r="Q332" t="s">
        <v>161</v>
      </c>
      <c r="S332" t="s">
        <v>220</v>
      </c>
      <c r="T332" t="s">
        <v>244</v>
      </c>
      <c r="U332">
        <v>4.7163454097284199E-3</v>
      </c>
      <c r="V332" t="s">
        <v>161</v>
      </c>
    </row>
    <row r="333" spans="9:22" x14ac:dyDescent="0.45">
      <c r="I333" t="s">
        <v>175</v>
      </c>
      <c r="J333" t="s">
        <v>245</v>
      </c>
      <c r="K333">
        <v>5.2720568907383795E-3</v>
      </c>
      <c r="L333" t="s">
        <v>161</v>
      </c>
      <c r="N333" t="s">
        <v>198</v>
      </c>
      <c r="O333" t="s">
        <v>245</v>
      </c>
      <c r="P333">
        <v>4.7544873057999452E-3</v>
      </c>
      <c r="Q333" t="s">
        <v>161</v>
      </c>
      <c r="S333" t="s">
        <v>220</v>
      </c>
      <c r="T333" t="s">
        <v>245</v>
      </c>
      <c r="U333">
        <v>4.8784801670673228E-3</v>
      </c>
      <c r="V333" t="s">
        <v>161</v>
      </c>
    </row>
    <row r="334" spans="9:22" x14ac:dyDescent="0.45">
      <c r="I334" t="s">
        <v>175</v>
      </c>
      <c r="J334" t="s">
        <v>267</v>
      </c>
      <c r="K334">
        <v>2.1568865196358133E-3</v>
      </c>
      <c r="L334" t="s">
        <v>161</v>
      </c>
      <c r="N334" t="s">
        <v>198</v>
      </c>
      <c r="O334" t="s">
        <v>267</v>
      </c>
      <c r="P334">
        <v>3.0808673895389594E-2</v>
      </c>
      <c r="Q334" t="s">
        <v>161</v>
      </c>
      <c r="S334" t="s">
        <v>220</v>
      </c>
      <c r="T334" t="s">
        <v>267</v>
      </c>
      <c r="U334">
        <v>3.0703765324001712E-2</v>
      </c>
      <c r="V334" t="s">
        <v>161</v>
      </c>
    </row>
    <row r="335" spans="9:22" x14ac:dyDescent="0.45">
      <c r="I335" t="s">
        <v>175</v>
      </c>
      <c r="J335" t="s">
        <v>167</v>
      </c>
      <c r="K335">
        <v>6.0294711710018538E-2</v>
      </c>
      <c r="L335" t="s">
        <v>161</v>
      </c>
      <c r="N335" t="s">
        <v>198</v>
      </c>
      <c r="O335" t="s">
        <v>167</v>
      </c>
      <c r="P335">
        <v>6.4672607566759077E-2</v>
      </c>
      <c r="Q335" t="s">
        <v>161</v>
      </c>
      <c r="S335" t="s">
        <v>220</v>
      </c>
      <c r="T335" t="s">
        <v>167</v>
      </c>
      <c r="U335">
        <v>6.5650059790391513E-2</v>
      </c>
      <c r="V335" t="s">
        <v>161</v>
      </c>
    </row>
    <row r="336" spans="9:22" x14ac:dyDescent="0.45">
      <c r="I336" t="s">
        <v>175</v>
      </c>
      <c r="J336" t="s">
        <v>168</v>
      </c>
      <c r="K336">
        <v>3.3449159749663879E-2</v>
      </c>
      <c r="L336" t="s">
        <v>161</v>
      </c>
      <c r="N336" t="s">
        <v>198</v>
      </c>
      <c r="O336" t="s">
        <v>168</v>
      </c>
      <c r="P336">
        <v>7.8408040785736457E-3</v>
      </c>
      <c r="Q336" t="s">
        <v>161</v>
      </c>
      <c r="S336" t="s">
        <v>220</v>
      </c>
      <c r="T336" t="s">
        <v>168</v>
      </c>
      <c r="U336">
        <v>8.2487744827716494E-3</v>
      </c>
      <c r="V336" t="s">
        <v>161</v>
      </c>
    </row>
    <row r="337" spans="9:22" x14ac:dyDescent="0.45">
      <c r="I337" t="s">
        <v>175</v>
      </c>
      <c r="J337" t="s">
        <v>169</v>
      </c>
      <c r="K337">
        <v>0.25791331502999526</v>
      </c>
      <c r="L337" t="s">
        <v>161</v>
      </c>
      <c r="N337" t="s">
        <v>198</v>
      </c>
      <c r="O337" t="s">
        <v>169</v>
      </c>
      <c r="P337">
        <v>5.6362754408244745E-2</v>
      </c>
      <c r="Q337" t="s">
        <v>161</v>
      </c>
      <c r="S337" t="s">
        <v>220</v>
      </c>
      <c r="T337" t="s">
        <v>169</v>
      </c>
      <c r="U337">
        <v>5.515150935292526E-2</v>
      </c>
      <c r="V337" t="s">
        <v>161</v>
      </c>
    </row>
    <row r="338" spans="9:22" x14ac:dyDescent="0.45">
      <c r="I338" t="s">
        <v>175</v>
      </c>
      <c r="J338" t="s">
        <v>246</v>
      </c>
      <c r="K338">
        <v>2.7751574415349683E-2</v>
      </c>
      <c r="L338" t="s">
        <v>161</v>
      </c>
      <c r="N338" t="s">
        <v>198</v>
      </c>
      <c r="O338" t="s">
        <v>246</v>
      </c>
      <c r="P338">
        <v>8.389863026302893E-3</v>
      </c>
      <c r="Q338" t="s">
        <v>161</v>
      </c>
      <c r="S338" t="s">
        <v>220</v>
      </c>
      <c r="T338" t="s">
        <v>246</v>
      </c>
      <c r="U338">
        <v>7.9574593418400598E-3</v>
      </c>
      <c r="V338" t="s">
        <v>161</v>
      </c>
    </row>
    <row r="339" spans="9:22" x14ac:dyDescent="0.45">
      <c r="I339" t="s">
        <v>175</v>
      </c>
      <c r="J339" t="s">
        <v>247</v>
      </c>
      <c r="K339">
        <v>2.1743399416684624E-2</v>
      </c>
      <c r="L339" t="s">
        <v>161</v>
      </c>
      <c r="N339" t="s">
        <v>198</v>
      </c>
      <c r="O339" t="s">
        <v>247</v>
      </c>
      <c r="P339">
        <v>8.143522167962337E-3</v>
      </c>
      <c r="Q339" t="s">
        <v>161</v>
      </c>
      <c r="S339" t="s">
        <v>220</v>
      </c>
      <c r="T339" t="s">
        <v>247</v>
      </c>
      <c r="U339">
        <v>8.037693111745698E-3</v>
      </c>
      <c r="V339" t="s">
        <v>161</v>
      </c>
    </row>
    <row r="340" spans="9:22" x14ac:dyDescent="0.45">
      <c r="I340" t="s">
        <v>175</v>
      </c>
      <c r="J340" t="s">
        <v>268</v>
      </c>
      <c r="K340">
        <v>2.1666983414515804E-2</v>
      </c>
      <c r="L340" t="s">
        <v>161</v>
      </c>
      <c r="N340" t="s">
        <v>198</v>
      </c>
      <c r="O340" t="s">
        <v>268</v>
      </c>
      <c r="P340">
        <v>4.9406619805272327E-2</v>
      </c>
      <c r="Q340" t="s">
        <v>161</v>
      </c>
      <c r="S340" t="s">
        <v>220</v>
      </c>
      <c r="T340" t="s">
        <v>268</v>
      </c>
      <c r="U340">
        <v>4.902096508548516E-2</v>
      </c>
      <c r="V340" t="s">
        <v>161</v>
      </c>
    </row>
    <row r="341" spans="9:22" x14ac:dyDescent="0.45">
      <c r="I341" t="s">
        <v>175</v>
      </c>
      <c r="J341" t="s">
        <v>170</v>
      </c>
      <c r="K341">
        <v>2.1659411070910115E-2</v>
      </c>
      <c r="L341" t="s">
        <v>161</v>
      </c>
      <c r="N341" t="s">
        <v>198</v>
      </c>
      <c r="O341" t="s">
        <v>170</v>
      </c>
      <c r="P341">
        <v>3.5764529426682831E-2</v>
      </c>
      <c r="Q341" t="s">
        <v>161</v>
      </c>
      <c r="S341" t="s">
        <v>220</v>
      </c>
      <c r="T341" t="s">
        <v>170</v>
      </c>
      <c r="U341">
        <v>3.5694148580862659E-2</v>
      </c>
      <c r="V341" t="s">
        <v>161</v>
      </c>
    </row>
    <row r="342" spans="9:22" x14ac:dyDescent="0.45">
      <c r="I342" t="s">
        <v>175</v>
      </c>
      <c r="J342" t="s">
        <v>171</v>
      </c>
      <c r="K342">
        <v>1.4668262387304901E-2</v>
      </c>
      <c r="L342" t="s">
        <v>161</v>
      </c>
      <c r="N342" t="s">
        <v>198</v>
      </c>
      <c r="O342" t="s">
        <v>171</v>
      </c>
      <c r="P342">
        <v>3.8894085066057812E-3</v>
      </c>
      <c r="Q342" t="s">
        <v>161</v>
      </c>
      <c r="S342" t="s">
        <v>220</v>
      </c>
      <c r="T342" t="s">
        <v>171</v>
      </c>
      <c r="U342">
        <v>4.3033613621848944E-3</v>
      </c>
      <c r="V342" t="s">
        <v>161</v>
      </c>
    </row>
    <row r="343" spans="9:22" x14ac:dyDescent="0.45">
      <c r="I343" t="s">
        <v>175</v>
      </c>
      <c r="J343" t="s">
        <v>172</v>
      </c>
      <c r="K343">
        <v>0.12027591887044262</v>
      </c>
      <c r="L343" t="s">
        <v>161</v>
      </c>
      <c r="N343" t="s">
        <v>198</v>
      </c>
      <c r="O343" t="s">
        <v>172</v>
      </c>
      <c r="P343">
        <v>3.130400558250019E-2</v>
      </c>
      <c r="Q343" t="s">
        <v>161</v>
      </c>
      <c r="S343" t="s">
        <v>220</v>
      </c>
      <c r="T343" t="s">
        <v>172</v>
      </c>
      <c r="U343">
        <v>3.1857992782410756E-2</v>
      </c>
      <c r="V343" t="s">
        <v>161</v>
      </c>
    </row>
    <row r="344" spans="9:22" x14ac:dyDescent="0.45">
      <c r="I344" t="s">
        <v>175</v>
      </c>
      <c r="J344" t="s">
        <v>248</v>
      </c>
      <c r="K344">
        <v>1.2453786126293998E-2</v>
      </c>
      <c r="L344" t="s">
        <v>161</v>
      </c>
      <c r="N344" t="s">
        <v>198</v>
      </c>
      <c r="O344" t="s">
        <v>248</v>
      </c>
      <c r="P344">
        <v>4.2413569070907748E-3</v>
      </c>
      <c r="Q344" t="s">
        <v>161</v>
      </c>
      <c r="S344" t="s">
        <v>220</v>
      </c>
      <c r="T344" t="s">
        <v>248</v>
      </c>
      <c r="U344">
        <v>4.3524179900094415E-3</v>
      </c>
      <c r="V344" t="s">
        <v>161</v>
      </c>
    </row>
    <row r="345" spans="9:22" x14ac:dyDescent="0.45">
      <c r="I345" t="s">
        <v>175</v>
      </c>
      <c r="J345" t="s">
        <v>249</v>
      </c>
      <c r="K345">
        <v>9.1210459139077389E-3</v>
      </c>
      <c r="L345" t="s">
        <v>161</v>
      </c>
      <c r="N345" t="s">
        <v>198</v>
      </c>
      <c r="O345" t="s">
        <v>249</v>
      </c>
      <c r="P345">
        <v>4.0232481144632732E-3</v>
      </c>
      <c r="Q345" t="s">
        <v>161</v>
      </c>
      <c r="S345" t="s">
        <v>220</v>
      </c>
      <c r="T345" t="s">
        <v>249</v>
      </c>
      <c r="U345">
        <v>4.2672715740135689E-3</v>
      </c>
      <c r="V345" t="s">
        <v>161</v>
      </c>
    </row>
    <row r="346" spans="9:22" x14ac:dyDescent="0.45">
      <c r="I346" t="s">
        <v>175</v>
      </c>
      <c r="J346" t="s">
        <v>269</v>
      </c>
      <c r="K346">
        <v>6.2734452065376107E-3</v>
      </c>
      <c r="L346" t="s">
        <v>161</v>
      </c>
      <c r="N346" t="s">
        <v>198</v>
      </c>
      <c r="O346" t="s">
        <v>269</v>
      </c>
      <c r="P346">
        <v>2.613370371741798E-2</v>
      </c>
      <c r="Q346" t="s">
        <v>161</v>
      </c>
      <c r="S346" t="s">
        <v>220</v>
      </c>
      <c r="T346" t="s">
        <v>269</v>
      </c>
      <c r="U346">
        <v>2.6802777593724035E-2</v>
      </c>
      <c r="V346" t="s">
        <v>161</v>
      </c>
    </row>
    <row r="347" spans="9:22" x14ac:dyDescent="0.45">
      <c r="I347" t="s">
        <v>175</v>
      </c>
      <c r="J347" t="s">
        <v>362</v>
      </c>
      <c r="K347">
        <v>0</v>
      </c>
      <c r="L347" t="s">
        <v>161</v>
      </c>
      <c r="N347" t="s">
        <v>198</v>
      </c>
      <c r="O347" t="s">
        <v>362</v>
      </c>
      <c r="P347">
        <v>3.8951035916905599E-6</v>
      </c>
      <c r="Q347" t="s">
        <v>161</v>
      </c>
      <c r="S347" t="s">
        <v>220</v>
      </c>
      <c r="T347" t="s">
        <v>362</v>
      </c>
      <c r="U347">
        <v>9.5812199524370692E-6</v>
      </c>
      <c r="V347" t="s">
        <v>161</v>
      </c>
    </row>
    <row r="348" spans="9:22" x14ac:dyDescent="0.45">
      <c r="I348" t="s">
        <v>175</v>
      </c>
      <c r="J348" t="s">
        <v>363</v>
      </c>
      <c r="K348">
        <v>0</v>
      </c>
      <c r="L348" t="s">
        <v>161</v>
      </c>
      <c r="N348" t="s">
        <v>198</v>
      </c>
      <c r="O348" t="s">
        <v>363</v>
      </c>
      <c r="P348">
        <v>5.2905757878991663E-6</v>
      </c>
      <c r="Q348" t="s">
        <v>161</v>
      </c>
      <c r="S348" t="s">
        <v>220</v>
      </c>
      <c r="T348" t="s">
        <v>363</v>
      </c>
      <c r="U348">
        <v>1.22712532292728E-5</v>
      </c>
      <c r="V348" t="s">
        <v>161</v>
      </c>
    </row>
    <row r="349" spans="9:22" x14ac:dyDescent="0.45">
      <c r="I349" t="s">
        <v>175</v>
      </c>
      <c r="J349" t="s">
        <v>364</v>
      </c>
      <c r="K349">
        <v>0</v>
      </c>
      <c r="L349" t="s">
        <v>161</v>
      </c>
      <c r="N349" t="s">
        <v>198</v>
      </c>
      <c r="O349" t="s">
        <v>364</v>
      </c>
      <c r="P349">
        <v>8.4037645348517486E-6</v>
      </c>
      <c r="Q349" t="s">
        <v>161</v>
      </c>
      <c r="S349" t="s">
        <v>220</v>
      </c>
      <c r="T349" t="s">
        <v>364</v>
      </c>
      <c r="U349">
        <v>1.5999054945057859E-5</v>
      </c>
      <c r="V349" t="s">
        <v>161</v>
      </c>
    </row>
    <row r="350" spans="9:22" x14ac:dyDescent="0.45">
      <c r="I350" t="s">
        <v>175</v>
      </c>
      <c r="J350" t="s">
        <v>365</v>
      </c>
      <c r="K350">
        <v>0</v>
      </c>
      <c r="L350" t="s">
        <v>161</v>
      </c>
      <c r="N350" t="s">
        <v>198</v>
      </c>
      <c r="O350" t="s">
        <v>365</v>
      </c>
      <c r="P350">
        <v>1.0091433329204796E-5</v>
      </c>
      <c r="Q350" t="s">
        <v>161</v>
      </c>
      <c r="S350" t="s">
        <v>220</v>
      </c>
      <c r="T350" t="s">
        <v>365</v>
      </c>
      <c r="U350">
        <v>1.5071561473165332E-5</v>
      </c>
      <c r="V350" t="s">
        <v>161</v>
      </c>
    </row>
    <row r="351" spans="9:22" x14ac:dyDescent="0.45">
      <c r="I351" t="s">
        <v>175</v>
      </c>
      <c r="J351" t="s">
        <v>366</v>
      </c>
      <c r="K351">
        <v>0</v>
      </c>
      <c r="L351" t="s">
        <v>161</v>
      </c>
      <c r="N351" t="s">
        <v>198</v>
      </c>
      <c r="O351" t="s">
        <v>366</v>
      </c>
      <c r="P351">
        <v>1.4082202281176726E-5</v>
      </c>
      <c r="Q351" t="s">
        <v>161</v>
      </c>
      <c r="S351" t="s">
        <v>220</v>
      </c>
      <c r="T351" t="s">
        <v>366</v>
      </c>
      <c r="U351">
        <v>1.4042392864376427E-5</v>
      </c>
      <c r="V351" t="s">
        <v>161</v>
      </c>
    </row>
    <row r="352" spans="9:22" x14ac:dyDescent="0.45">
      <c r="I352" t="s">
        <v>175</v>
      </c>
      <c r="J352" t="s">
        <v>367</v>
      </c>
      <c r="K352">
        <v>8.664251062411889E-5</v>
      </c>
      <c r="L352" t="s">
        <v>161</v>
      </c>
      <c r="N352" t="s">
        <v>198</v>
      </c>
      <c r="O352" t="s">
        <v>367</v>
      </c>
      <c r="P352">
        <v>1.8368756860899255E-5</v>
      </c>
      <c r="Q352" t="s">
        <v>161</v>
      </c>
      <c r="S352" t="s">
        <v>220</v>
      </c>
      <c r="T352" t="s">
        <v>367</v>
      </c>
      <c r="U352">
        <v>1.410481339368275E-5</v>
      </c>
      <c r="V352" t="s">
        <v>161</v>
      </c>
    </row>
    <row r="353" spans="9:22" x14ac:dyDescent="0.45">
      <c r="I353" t="s">
        <v>175</v>
      </c>
      <c r="J353" t="s">
        <v>368</v>
      </c>
      <c r="K353">
        <v>2.8913311128044554E-4</v>
      </c>
      <c r="L353" t="s">
        <v>161</v>
      </c>
      <c r="N353" t="s">
        <v>198</v>
      </c>
      <c r="O353" t="s">
        <v>368</v>
      </c>
      <c r="P353">
        <v>2.0175364011780902E-5</v>
      </c>
      <c r="Q353" t="s">
        <v>161</v>
      </c>
      <c r="S353" t="s">
        <v>220</v>
      </c>
      <c r="T353" t="s">
        <v>368</v>
      </c>
      <c r="U353">
        <v>1.5662580409966779E-5</v>
      </c>
      <c r="V353" t="s">
        <v>161</v>
      </c>
    </row>
    <row r="354" spans="9:22" x14ac:dyDescent="0.45">
      <c r="I354" t="s">
        <v>175</v>
      </c>
      <c r="J354" t="s">
        <v>369</v>
      </c>
      <c r="K354">
        <v>4.1849853971779596E-4</v>
      </c>
      <c r="L354" t="s">
        <v>161</v>
      </c>
      <c r="N354" t="s">
        <v>198</v>
      </c>
      <c r="O354" t="s">
        <v>369</v>
      </c>
      <c r="P354">
        <v>1.1006550333873927E-5</v>
      </c>
      <c r="Q354" t="s">
        <v>161</v>
      </c>
      <c r="S354" t="s">
        <v>220</v>
      </c>
      <c r="T354" t="s">
        <v>369</v>
      </c>
      <c r="U354">
        <v>1.3689252960442614E-5</v>
      </c>
      <c r="V354" t="s">
        <v>161</v>
      </c>
    </row>
    <row r="355" spans="9:22" x14ac:dyDescent="0.45">
      <c r="I355" t="s">
        <v>175</v>
      </c>
      <c r="J355" t="s">
        <v>370</v>
      </c>
      <c r="K355">
        <v>4.8991127117095808E-4</v>
      </c>
      <c r="L355" t="s">
        <v>161</v>
      </c>
      <c r="N355" t="s">
        <v>198</v>
      </c>
      <c r="O355" t="s">
        <v>370</v>
      </c>
      <c r="P355">
        <v>7.4308235616711689E-6</v>
      </c>
      <c r="Q355" t="s">
        <v>161</v>
      </c>
      <c r="S355" t="s">
        <v>220</v>
      </c>
      <c r="T355" t="s">
        <v>370</v>
      </c>
      <c r="U355">
        <v>1.0579563516616733E-5</v>
      </c>
      <c r="V355" t="s">
        <v>161</v>
      </c>
    </row>
    <row r="356" spans="9:22" x14ac:dyDescent="0.45">
      <c r="I356" t="s">
        <v>175</v>
      </c>
      <c r="J356" t="s">
        <v>371</v>
      </c>
      <c r="K356">
        <v>5.2965982425920541E-4</v>
      </c>
      <c r="L356" t="s">
        <v>161</v>
      </c>
      <c r="N356" t="s">
        <v>198</v>
      </c>
      <c r="O356" t="s">
        <v>371</v>
      </c>
      <c r="P356">
        <v>1.0258210534507544E-5</v>
      </c>
      <c r="Q356" t="s">
        <v>161</v>
      </c>
      <c r="S356" t="s">
        <v>220</v>
      </c>
      <c r="T356" t="s">
        <v>371</v>
      </c>
      <c r="U356">
        <v>9.544756512170591E-6</v>
      </c>
      <c r="V356" t="s">
        <v>161</v>
      </c>
    </row>
    <row r="357" spans="9:22" x14ac:dyDescent="0.45">
      <c r="I357" t="s">
        <v>175</v>
      </c>
      <c r="J357" t="s">
        <v>372</v>
      </c>
      <c r="K357">
        <v>5.1301468612554679E-4</v>
      </c>
      <c r="L357" t="s">
        <v>161</v>
      </c>
      <c r="N357" t="s">
        <v>198</v>
      </c>
      <c r="O357" t="s">
        <v>372</v>
      </c>
      <c r="P357">
        <v>1.1455949616591905E-5</v>
      </c>
      <c r="Q357" t="s">
        <v>161</v>
      </c>
      <c r="S357" t="s">
        <v>220</v>
      </c>
      <c r="T357" t="s">
        <v>372</v>
      </c>
      <c r="U357">
        <v>1.0923764148686707E-5</v>
      </c>
      <c r="V357" t="s">
        <v>161</v>
      </c>
    </row>
    <row r="358" spans="9:22" x14ac:dyDescent="0.45">
      <c r="I358" t="s">
        <v>175</v>
      </c>
      <c r="J358" t="s">
        <v>373</v>
      </c>
      <c r="K358">
        <v>4.282753462698684E-4</v>
      </c>
      <c r="L358" t="s">
        <v>161</v>
      </c>
      <c r="N358" t="s">
        <v>198</v>
      </c>
      <c r="O358" t="s">
        <v>373</v>
      </c>
      <c r="P358">
        <v>1.3985831493652142E-5</v>
      </c>
      <c r="Q358" t="s">
        <v>161</v>
      </c>
      <c r="S358" t="s">
        <v>220</v>
      </c>
      <c r="T358" t="s">
        <v>373</v>
      </c>
      <c r="U358">
        <v>1.1252146591244221E-5</v>
      </c>
      <c r="V358" t="s">
        <v>161</v>
      </c>
    </row>
    <row r="359" spans="9:22" x14ac:dyDescent="0.45">
      <c r="I359" t="s">
        <v>175</v>
      </c>
      <c r="J359" t="s">
        <v>374</v>
      </c>
      <c r="K359">
        <v>3.6540437133024059E-4</v>
      </c>
      <c r="L359" t="s">
        <v>161</v>
      </c>
      <c r="N359" t="s">
        <v>198</v>
      </c>
      <c r="O359" t="s">
        <v>374</v>
      </c>
      <c r="P359">
        <v>1.5129775588325123E-5</v>
      </c>
      <c r="Q359" t="s">
        <v>161</v>
      </c>
      <c r="S359" t="s">
        <v>220</v>
      </c>
      <c r="T359" t="s">
        <v>374</v>
      </c>
      <c r="U359">
        <v>1.0031657868270513E-5</v>
      </c>
      <c r="V359" t="s">
        <v>161</v>
      </c>
    </row>
    <row r="360" spans="9:22" x14ac:dyDescent="0.45">
      <c r="I360" t="s">
        <v>175</v>
      </c>
      <c r="J360" t="s">
        <v>375</v>
      </c>
      <c r="K360">
        <v>3.3495933649344483E-4</v>
      </c>
      <c r="L360" t="s">
        <v>161</v>
      </c>
      <c r="N360" t="s">
        <v>198</v>
      </c>
      <c r="O360" t="s">
        <v>375</v>
      </c>
      <c r="P360">
        <v>1.4963806931332387E-5</v>
      </c>
      <c r="Q360" t="s">
        <v>161</v>
      </c>
      <c r="S360" t="s">
        <v>220</v>
      </c>
      <c r="T360" t="s">
        <v>375</v>
      </c>
      <c r="U360">
        <v>7.651044593202515E-6</v>
      </c>
      <c r="V360" t="s">
        <v>161</v>
      </c>
    </row>
    <row r="361" spans="9:22" x14ac:dyDescent="0.45">
      <c r="I361" t="s">
        <v>175</v>
      </c>
      <c r="J361" t="s">
        <v>376</v>
      </c>
      <c r="K361">
        <v>2.6612011156920457E-4</v>
      </c>
      <c r="L361" t="s">
        <v>161</v>
      </c>
      <c r="N361" t="s">
        <v>198</v>
      </c>
      <c r="O361" t="s">
        <v>376</v>
      </c>
      <c r="P361">
        <v>1.0789428864595661E-5</v>
      </c>
      <c r="Q361" t="s">
        <v>161</v>
      </c>
      <c r="S361" t="s">
        <v>220</v>
      </c>
      <c r="T361" t="s">
        <v>376</v>
      </c>
      <c r="U361">
        <v>3.6313098776490187E-6</v>
      </c>
      <c r="V361" t="s">
        <v>161</v>
      </c>
    </row>
    <row r="362" spans="9:22" x14ac:dyDescent="0.45">
      <c r="I362" t="s">
        <v>175</v>
      </c>
      <c r="J362" t="s">
        <v>377</v>
      </c>
      <c r="K362">
        <v>2.900612736190019E-4</v>
      </c>
      <c r="L362" t="s">
        <v>161</v>
      </c>
      <c r="N362" t="s">
        <v>198</v>
      </c>
      <c r="O362" t="s">
        <v>377</v>
      </c>
      <c r="P362">
        <v>5.8494379980855616E-6</v>
      </c>
      <c r="Q362" t="s">
        <v>161</v>
      </c>
      <c r="S362" t="s">
        <v>220</v>
      </c>
      <c r="T362" t="s">
        <v>377</v>
      </c>
      <c r="U362">
        <v>2.124844623802837E-6</v>
      </c>
      <c r="V362" t="s">
        <v>161</v>
      </c>
    </row>
    <row r="363" spans="9:22" x14ac:dyDescent="0.45">
      <c r="I363" t="s">
        <v>175</v>
      </c>
      <c r="J363" t="s">
        <v>378</v>
      </c>
      <c r="K363">
        <v>2.3338569937653028E-4</v>
      </c>
      <c r="L363" t="s">
        <v>161</v>
      </c>
      <c r="N363" t="s">
        <v>198</v>
      </c>
      <c r="O363" t="s">
        <v>378</v>
      </c>
      <c r="P363">
        <v>2.5631705944356423E-6</v>
      </c>
      <c r="Q363" t="s">
        <v>161</v>
      </c>
      <c r="S363" t="s">
        <v>220</v>
      </c>
      <c r="T363" t="s">
        <v>378</v>
      </c>
      <c r="U363">
        <v>3.0542098075011953E-6</v>
      </c>
      <c r="V363" t="s">
        <v>161</v>
      </c>
    </row>
    <row r="364" spans="9:22" x14ac:dyDescent="0.45">
      <c r="I364" t="s">
        <v>175</v>
      </c>
      <c r="J364" t="s">
        <v>379</v>
      </c>
      <c r="K364">
        <v>1.8865329927946121E-4</v>
      </c>
      <c r="L364" t="s">
        <v>161</v>
      </c>
      <c r="N364" t="s">
        <v>198</v>
      </c>
      <c r="O364" t="s">
        <v>379</v>
      </c>
      <c r="P364">
        <v>2.7290120294003052E-6</v>
      </c>
      <c r="Q364" t="s">
        <v>161</v>
      </c>
      <c r="S364" t="s">
        <v>220</v>
      </c>
      <c r="T364" t="s">
        <v>379</v>
      </c>
      <c r="U364">
        <v>6.8929354652049946E-6</v>
      </c>
      <c r="V364" t="s">
        <v>161</v>
      </c>
    </row>
    <row r="365" spans="9:22" x14ac:dyDescent="0.45">
      <c r="I365" t="s">
        <v>175</v>
      </c>
      <c r="J365" t="s">
        <v>380</v>
      </c>
      <c r="K365">
        <v>1.5223611404879047E-4</v>
      </c>
      <c r="L365" t="s">
        <v>161</v>
      </c>
      <c r="N365" t="s">
        <v>198</v>
      </c>
      <c r="O365" t="s">
        <v>380</v>
      </c>
      <c r="P365">
        <v>4.2150820924178697E-6</v>
      </c>
      <c r="Q365" t="s">
        <v>161</v>
      </c>
      <c r="S365" t="s">
        <v>220</v>
      </c>
      <c r="T365" t="s">
        <v>380</v>
      </c>
      <c r="U365">
        <v>1.0570882403562893E-5</v>
      </c>
      <c r="V365" t="s">
        <v>161</v>
      </c>
    </row>
    <row r="366" spans="9:22" x14ac:dyDescent="0.45">
      <c r="I366" t="s">
        <v>175</v>
      </c>
      <c r="J366" t="s">
        <v>381</v>
      </c>
      <c r="K366">
        <v>0</v>
      </c>
      <c r="L366" t="s">
        <v>161</v>
      </c>
      <c r="N366" t="s">
        <v>198</v>
      </c>
      <c r="O366" t="s">
        <v>381</v>
      </c>
      <c r="P366">
        <v>7.6739805633018296E-6</v>
      </c>
      <c r="Q366" t="s">
        <v>161</v>
      </c>
      <c r="S366" t="s">
        <v>220</v>
      </c>
      <c r="T366" t="s">
        <v>381</v>
      </c>
      <c r="U366">
        <v>1.5115552800022505E-5</v>
      </c>
      <c r="V366" t="s">
        <v>161</v>
      </c>
    </row>
    <row r="367" spans="9:22" x14ac:dyDescent="0.45">
      <c r="I367" t="s">
        <v>175</v>
      </c>
      <c r="J367" t="s">
        <v>382</v>
      </c>
      <c r="K367">
        <v>0</v>
      </c>
      <c r="L367" t="s">
        <v>161</v>
      </c>
      <c r="N367" t="s">
        <v>198</v>
      </c>
      <c r="O367" t="s">
        <v>382</v>
      </c>
      <c r="P367">
        <v>1.3431722607188723E-5</v>
      </c>
      <c r="Q367" t="s">
        <v>161</v>
      </c>
      <c r="S367" t="s">
        <v>220</v>
      </c>
      <c r="T367" t="s">
        <v>382</v>
      </c>
      <c r="U367">
        <v>1.8998804023246324E-5</v>
      </c>
      <c r="V367" t="s">
        <v>161</v>
      </c>
    </row>
    <row r="368" spans="9:22" x14ac:dyDescent="0.45">
      <c r="I368" t="s">
        <v>175</v>
      </c>
      <c r="J368" t="s">
        <v>383</v>
      </c>
      <c r="K368">
        <v>0</v>
      </c>
      <c r="L368" t="s">
        <v>161</v>
      </c>
      <c r="N368" t="s">
        <v>198</v>
      </c>
      <c r="O368" t="s">
        <v>383</v>
      </c>
      <c r="P368">
        <v>2.1310988138876558E-5</v>
      </c>
      <c r="Q368" t="s">
        <v>161</v>
      </c>
      <c r="S368" t="s">
        <v>220</v>
      </c>
      <c r="T368" t="s">
        <v>383</v>
      </c>
      <c r="U368">
        <v>1.876621204586188E-5</v>
      </c>
      <c r="V368" t="s">
        <v>161</v>
      </c>
    </row>
    <row r="369" spans="9:22" x14ac:dyDescent="0.45">
      <c r="I369" t="s">
        <v>175</v>
      </c>
      <c r="J369" t="s">
        <v>384</v>
      </c>
      <c r="K369">
        <v>0</v>
      </c>
      <c r="L369" t="s">
        <v>161</v>
      </c>
      <c r="N369" t="s">
        <v>198</v>
      </c>
      <c r="O369" t="s">
        <v>384</v>
      </c>
      <c r="P369">
        <v>2.6089824980994238E-5</v>
      </c>
      <c r="Q369" t="s">
        <v>161</v>
      </c>
      <c r="S369" t="s">
        <v>220</v>
      </c>
      <c r="T369" t="s">
        <v>384</v>
      </c>
      <c r="U369">
        <v>1.7083295759949686E-5</v>
      </c>
      <c r="V369" t="s">
        <v>161</v>
      </c>
    </row>
    <row r="370" spans="9:22" x14ac:dyDescent="0.45">
      <c r="I370" t="s">
        <v>175</v>
      </c>
      <c r="J370" t="s">
        <v>385</v>
      </c>
      <c r="K370">
        <v>0</v>
      </c>
      <c r="L370" t="s">
        <v>161</v>
      </c>
      <c r="N370" t="s">
        <v>198</v>
      </c>
      <c r="O370" t="s">
        <v>385</v>
      </c>
      <c r="P370">
        <v>3.9328041766885733E-5</v>
      </c>
      <c r="Q370" t="s">
        <v>161</v>
      </c>
      <c r="S370" t="s">
        <v>220</v>
      </c>
      <c r="T370" t="s">
        <v>385</v>
      </c>
      <c r="U370">
        <v>2.9041632583487164E-5</v>
      </c>
      <c r="V370" t="s">
        <v>161</v>
      </c>
    </row>
    <row r="371" spans="9:22" x14ac:dyDescent="0.45">
      <c r="I371" t="s">
        <v>175</v>
      </c>
      <c r="J371" t="s">
        <v>250</v>
      </c>
      <c r="K371">
        <v>5.2323103611188948E-3</v>
      </c>
      <c r="L371" t="s">
        <v>161</v>
      </c>
      <c r="N371" t="s">
        <v>198</v>
      </c>
      <c r="O371" t="s">
        <v>250</v>
      </c>
      <c r="P371">
        <v>5.3208396768031234E-2</v>
      </c>
      <c r="Q371" t="s">
        <v>161</v>
      </c>
      <c r="S371" t="s">
        <v>220</v>
      </c>
      <c r="T371" t="s">
        <v>250</v>
      </c>
      <c r="U371">
        <v>5.17433043579376E-2</v>
      </c>
      <c r="V371" t="s">
        <v>161</v>
      </c>
    </row>
    <row r="372" spans="9:22" x14ac:dyDescent="0.45">
      <c r="I372" t="s">
        <v>175</v>
      </c>
      <c r="J372" t="s">
        <v>251</v>
      </c>
      <c r="K372">
        <v>6.9016531349920043E-3</v>
      </c>
      <c r="L372" t="s">
        <v>161</v>
      </c>
      <c r="N372" t="s">
        <v>198</v>
      </c>
      <c r="O372" t="s">
        <v>251</v>
      </c>
      <c r="P372">
        <v>6.343618422071034E-3</v>
      </c>
      <c r="Q372" t="s">
        <v>161</v>
      </c>
      <c r="S372" t="s">
        <v>220</v>
      </c>
      <c r="T372" t="s">
        <v>251</v>
      </c>
      <c r="U372">
        <v>6.3844146134827548E-3</v>
      </c>
      <c r="V372" t="s">
        <v>161</v>
      </c>
    </row>
    <row r="373" spans="9:22" x14ac:dyDescent="0.45">
      <c r="I373" t="s">
        <v>175</v>
      </c>
      <c r="J373" t="s">
        <v>252</v>
      </c>
      <c r="K373">
        <v>7.4899548463536525E-2</v>
      </c>
      <c r="L373" t="s">
        <v>161</v>
      </c>
      <c r="N373" t="s">
        <v>198</v>
      </c>
      <c r="O373" t="s">
        <v>252</v>
      </c>
      <c r="P373">
        <v>4.1976430087356617E-2</v>
      </c>
      <c r="Q373" t="s">
        <v>161</v>
      </c>
      <c r="S373" t="s">
        <v>220</v>
      </c>
      <c r="T373" t="s">
        <v>252</v>
      </c>
      <c r="U373">
        <v>4.2205898233657169E-2</v>
      </c>
      <c r="V373" t="s">
        <v>161</v>
      </c>
    </row>
    <row r="374" spans="9:22" x14ac:dyDescent="0.45">
      <c r="I374" t="s">
        <v>175</v>
      </c>
      <c r="J374" t="s">
        <v>253</v>
      </c>
      <c r="K374">
        <v>6.3546143448076457E-3</v>
      </c>
      <c r="L374" t="s">
        <v>161</v>
      </c>
      <c r="N374" t="s">
        <v>198</v>
      </c>
      <c r="O374" t="s">
        <v>253</v>
      </c>
      <c r="P374">
        <v>6.102765999432126E-3</v>
      </c>
      <c r="Q374" t="s">
        <v>161</v>
      </c>
      <c r="S374" t="s">
        <v>220</v>
      </c>
      <c r="T374" t="s">
        <v>253</v>
      </c>
      <c r="U374">
        <v>6.1494790120421123E-3</v>
      </c>
      <c r="V374" t="s">
        <v>161</v>
      </c>
    </row>
    <row r="375" spans="9:22" x14ac:dyDescent="0.45">
      <c r="I375" t="s">
        <v>175</v>
      </c>
      <c r="J375" t="s">
        <v>254</v>
      </c>
      <c r="K375">
        <v>2.239515028257449E-3</v>
      </c>
      <c r="L375" t="s">
        <v>161</v>
      </c>
      <c r="N375" t="s">
        <v>198</v>
      </c>
      <c r="O375" t="s">
        <v>254</v>
      </c>
      <c r="P375">
        <v>6.3178780340948822E-3</v>
      </c>
      <c r="Q375" t="s">
        <v>161</v>
      </c>
      <c r="S375" t="s">
        <v>220</v>
      </c>
      <c r="T375" t="s">
        <v>254</v>
      </c>
      <c r="U375">
        <v>6.2592338585599726E-3</v>
      </c>
      <c r="V375" t="s">
        <v>161</v>
      </c>
    </row>
    <row r="376" spans="9:22" x14ac:dyDescent="0.45">
      <c r="I376" t="s">
        <v>175</v>
      </c>
      <c r="J376" t="s">
        <v>270</v>
      </c>
      <c r="K376">
        <v>0</v>
      </c>
      <c r="L376" t="s">
        <v>161</v>
      </c>
      <c r="N376" t="s">
        <v>198</v>
      </c>
      <c r="O376" t="s">
        <v>270</v>
      </c>
      <c r="P376">
        <v>4.0687731646975409E-2</v>
      </c>
      <c r="Q376" t="s">
        <v>161</v>
      </c>
      <c r="S376" t="s">
        <v>220</v>
      </c>
      <c r="T376" t="s">
        <v>270</v>
      </c>
      <c r="U376">
        <v>3.927018022185999E-2</v>
      </c>
      <c r="V376" t="s">
        <v>161</v>
      </c>
    </row>
    <row r="377" spans="9:22" x14ac:dyDescent="0.45">
      <c r="I377" t="s">
        <v>175</v>
      </c>
      <c r="J377" t="s">
        <v>255</v>
      </c>
      <c r="K377">
        <v>8.3925718058765165E-5</v>
      </c>
      <c r="L377" t="s">
        <v>161</v>
      </c>
      <c r="N377" t="s">
        <v>198</v>
      </c>
      <c r="O377" t="s">
        <v>255</v>
      </c>
      <c r="P377">
        <v>4.8631622545557043E-2</v>
      </c>
      <c r="Q377" t="s">
        <v>161</v>
      </c>
      <c r="S377" t="s">
        <v>220</v>
      </c>
      <c r="T377" t="s">
        <v>255</v>
      </c>
      <c r="U377">
        <v>4.831081593024409E-2</v>
      </c>
      <c r="V377" t="s">
        <v>161</v>
      </c>
    </row>
    <row r="378" spans="9:22" x14ac:dyDescent="0.45">
      <c r="I378" t="s">
        <v>175</v>
      </c>
      <c r="J378" t="s">
        <v>256</v>
      </c>
      <c r="K378">
        <v>2.2323159072752067E-3</v>
      </c>
      <c r="L378" t="s">
        <v>161</v>
      </c>
      <c r="N378" t="s">
        <v>198</v>
      </c>
      <c r="O378" t="s">
        <v>256</v>
      </c>
      <c r="P378">
        <v>5.9814801706063745E-3</v>
      </c>
      <c r="Q378" t="s">
        <v>161</v>
      </c>
      <c r="S378" t="s">
        <v>220</v>
      </c>
      <c r="T378" t="s">
        <v>256</v>
      </c>
      <c r="U378">
        <v>6.1144373921359872E-3</v>
      </c>
      <c r="V378" t="s">
        <v>161</v>
      </c>
    </row>
    <row r="379" spans="9:22" x14ac:dyDescent="0.45">
      <c r="I379" t="s">
        <v>175</v>
      </c>
      <c r="J379" t="s">
        <v>257</v>
      </c>
      <c r="K379">
        <v>3.6216914471218498E-2</v>
      </c>
      <c r="L379" t="s">
        <v>161</v>
      </c>
      <c r="N379" t="s">
        <v>198</v>
      </c>
      <c r="O379" t="s">
        <v>257</v>
      </c>
      <c r="P379">
        <v>3.7936680488866163E-2</v>
      </c>
      <c r="Q379" t="s">
        <v>161</v>
      </c>
      <c r="S379" t="s">
        <v>220</v>
      </c>
      <c r="T379" t="s">
        <v>257</v>
      </c>
      <c r="U379">
        <v>3.9597013162031798E-2</v>
      </c>
      <c r="V379" t="s">
        <v>161</v>
      </c>
    </row>
    <row r="380" spans="9:22" x14ac:dyDescent="0.45">
      <c r="I380" t="s">
        <v>175</v>
      </c>
      <c r="J380" t="s">
        <v>258</v>
      </c>
      <c r="K380">
        <v>3.8681063725175784E-4</v>
      </c>
      <c r="L380" t="s">
        <v>161</v>
      </c>
      <c r="N380" t="s">
        <v>198</v>
      </c>
      <c r="O380" t="s">
        <v>258</v>
      </c>
      <c r="P380">
        <v>5.5574581720378591E-3</v>
      </c>
      <c r="Q380" t="s">
        <v>161</v>
      </c>
      <c r="S380" t="s">
        <v>220</v>
      </c>
      <c r="T380" t="s">
        <v>258</v>
      </c>
      <c r="U380">
        <v>5.7469661888539785E-3</v>
      </c>
      <c r="V380" t="s">
        <v>161</v>
      </c>
    </row>
    <row r="381" spans="9:22" x14ac:dyDescent="0.45">
      <c r="I381" t="s">
        <v>175</v>
      </c>
      <c r="J381" t="s">
        <v>259</v>
      </c>
      <c r="K381">
        <v>0</v>
      </c>
      <c r="L381" t="s">
        <v>161</v>
      </c>
      <c r="N381" t="s">
        <v>198</v>
      </c>
      <c r="O381" t="s">
        <v>259</v>
      </c>
      <c r="P381">
        <v>5.6490075976152517E-3</v>
      </c>
      <c r="Q381" t="s">
        <v>161</v>
      </c>
      <c r="S381" t="s">
        <v>220</v>
      </c>
      <c r="T381" t="s">
        <v>259</v>
      </c>
      <c r="U381">
        <v>5.6976364747678724E-3</v>
      </c>
      <c r="V381" t="s">
        <v>161</v>
      </c>
    </row>
    <row r="382" spans="9:22" x14ac:dyDescent="0.45">
      <c r="I382" t="s">
        <v>175</v>
      </c>
      <c r="J382" t="s">
        <v>271</v>
      </c>
      <c r="K382">
        <v>0</v>
      </c>
      <c r="L382" t="s">
        <v>161</v>
      </c>
      <c r="N382" t="s">
        <v>198</v>
      </c>
      <c r="O382" t="s">
        <v>271</v>
      </c>
      <c r="P382">
        <v>3.3808088471556814E-2</v>
      </c>
      <c r="Q382" t="s">
        <v>161</v>
      </c>
      <c r="S382" t="s">
        <v>220</v>
      </c>
      <c r="T382" t="s">
        <v>271</v>
      </c>
      <c r="U382">
        <v>3.3545128867587731E-2</v>
      </c>
      <c r="V382" t="s">
        <v>161</v>
      </c>
    </row>
    <row r="383" spans="9:22" x14ac:dyDescent="0.45">
      <c r="I383" t="s">
        <v>175</v>
      </c>
      <c r="J383" t="s">
        <v>272</v>
      </c>
      <c r="K383">
        <v>0</v>
      </c>
      <c r="L383" t="s">
        <v>161</v>
      </c>
      <c r="N383" t="s">
        <v>198</v>
      </c>
      <c r="O383" t="s">
        <v>272</v>
      </c>
      <c r="P383">
        <v>1.6142054152338509E-2</v>
      </c>
      <c r="Q383" t="s">
        <v>161</v>
      </c>
      <c r="S383" t="s">
        <v>220</v>
      </c>
      <c r="T383" t="s">
        <v>272</v>
      </c>
      <c r="U383">
        <v>1.474795383679155E-2</v>
      </c>
      <c r="V383" t="s">
        <v>161</v>
      </c>
    </row>
    <row r="384" spans="9:22" x14ac:dyDescent="0.45">
      <c r="I384" t="s">
        <v>175</v>
      </c>
      <c r="J384" t="s">
        <v>273</v>
      </c>
      <c r="K384">
        <v>2.8341344861233916E-4</v>
      </c>
      <c r="L384" t="s">
        <v>161</v>
      </c>
      <c r="N384" t="s">
        <v>198</v>
      </c>
      <c r="O384" t="s">
        <v>273</v>
      </c>
      <c r="P384">
        <v>2.0925260240240804E-3</v>
      </c>
      <c r="Q384" t="s">
        <v>161</v>
      </c>
      <c r="S384" t="s">
        <v>220</v>
      </c>
      <c r="T384" t="s">
        <v>273</v>
      </c>
      <c r="U384">
        <v>1.9715487609056901E-3</v>
      </c>
      <c r="V384" t="s">
        <v>161</v>
      </c>
    </row>
    <row r="385" spans="9:22" x14ac:dyDescent="0.45">
      <c r="I385" t="s">
        <v>175</v>
      </c>
      <c r="J385" t="s">
        <v>274</v>
      </c>
      <c r="K385">
        <v>6.6498103997894176E-3</v>
      </c>
      <c r="L385" t="s">
        <v>161</v>
      </c>
      <c r="N385" t="s">
        <v>198</v>
      </c>
      <c r="O385" t="s">
        <v>274</v>
      </c>
      <c r="P385">
        <v>1.3488932921872414E-2</v>
      </c>
      <c r="Q385" t="s">
        <v>161</v>
      </c>
      <c r="S385" t="s">
        <v>220</v>
      </c>
      <c r="T385" t="s">
        <v>274</v>
      </c>
      <c r="U385">
        <v>1.316712177398309E-2</v>
      </c>
      <c r="V385" t="s">
        <v>161</v>
      </c>
    </row>
    <row r="386" spans="9:22" x14ac:dyDescent="0.45">
      <c r="I386" t="s">
        <v>175</v>
      </c>
      <c r="J386" t="s">
        <v>275</v>
      </c>
      <c r="K386">
        <v>0</v>
      </c>
      <c r="L386" t="s">
        <v>161</v>
      </c>
      <c r="N386" t="s">
        <v>198</v>
      </c>
      <c r="O386" t="s">
        <v>275</v>
      </c>
      <c r="P386">
        <v>1.8485725330715465E-3</v>
      </c>
      <c r="Q386" t="s">
        <v>161</v>
      </c>
      <c r="S386" t="s">
        <v>220</v>
      </c>
      <c r="T386" t="s">
        <v>275</v>
      </c>
      <c r="U386">
        <v>1.8157794181464086E-3</v>
      </c>
      <c r="V386" t="s">
        <v>161</v>
      </c>
    </row>
    <row r="387" spans="9:22" x14ac:dyDescent="0.45">
      <c r="I387" t="s">
        <v>175</v>
      </c>
      <c r="J387" t="s">
        <v>276</v>
      </c>
      <c r="K387">
        <v>0</v>
      </c>
      <c r="L387" t="s">
        <v>161</v>
      </c>
      <c r="N387" t="s">
        <v>198</v>
      </c>
      <c r="O387" t="s">
        <v>276</v>
      </c>
      <c r="P387">
        <v>1.8286351004826152E-3</v>
      </c>
      <c r="Q387" t="s">
        <v>161</v>
      </c>
      <c r="S387" t="s">
        <v>220</v>
      </c>
      <c r="T387" t="s">
        <v>276</v>
      </c>
      <c r="U387">
        <v>1.7851168316978959E-3</v>
      </c>
      <c r="V387" t="s">
        <v>161</v>
      </c>
    </row>
    <row r="388" spans="9:22" x14ac:dyDescent="0.45">
      <c r="I388" t="s">
        <v>175</v>
      </c>
      <c r="J388" t="s">
        <v>277</v>
      </c>
      <c r="K388">
        <v>0</v>
      </c>
      <c r="L388" t="s">
        <v>161</v>
      </c>
      <c r="N388" t="s">
        <v>198</v>
      </c>
      <c r="O388" t="s">
        <v>277</v>
      </c>
      <c r="P388">
        <v>1.1111567789203115E-2</v>
      </c>
      <c r="Q388" t="s">
        <v>161</v>
      </c>
      <c r="S388" t="s">
        <v>220</v>
      </c>
      <c r="T388" t="s">
        <v>277</v>
      </c>
      <c r="U388">
        <v>1.0466275549127577E-2</v>
      </c>
      <c r="V388" t="s">
        <v>161</v>
      </c>
    </row>
    <row r="389" spans="9:22" x14ac:dyDescent="0.45">
      <c r="I389" t="s">
        <v>175</v>
      </c>
      <c r="J389" t="s">
        <v>278</v>
      </c>
      <c r="K389">
        <v>0</v>
      </c>
      <c r="L389" t="s">
        <v>161</v>
      </c>
      <c r="N389" t="s">
        <v>198</v>
      </c>
      <c r="O389" t="s">
        <v>278</v>
      </c>
      <c r="P389">
        <v>7.9328830744361065E-3</v>
      </c>
      <c r="Q389" t="s">
        <v>161</v>
      </c>
      <c r="S389" t="s">
        <v>220</v>
      </c>
      <c r="T389" t="s">
        <v>278</v>
      </c>
      <c r="U389">
        <v>8.0243795827390722E-3</v>
      </c>
      <c r="V389" t="s">
        <v>161</v>
      </c>
    </row>
    <row r="390" spans="9:22" x14ac:dyDescent="0.45">
      <c r="I390" t="s">
        <v>175</v>
      </c>
      <c r="J390" t="s">
        <v>279</v>
      </c>
      <c r="K390">
        <v>1.6108739925264556E-4</v>
      </c>
      <c r="L390" t="s">
        <v>161</v>
      </c>
      <c r="N390" t="s">
        <v>198</v>
      </c>
      <c r="O390" t="s">
        <v>279</v>
      </c>
      <c r="P390">
        <v>1.0721118683597801E-3</v>
      </c>
      <c r="Q390" t="s">
        <v>161</v>
      </c>
      <c r="S390" t="s">
        <v>220</v>
      </c>
      <c r="T390" t="s">
        <v>279</v>
      </c>
      <c r="U390">
        <v>1.0770123951470451E-3</v>
      </c>
      <c r="V390" t="s">
        <v>161</v>
      </c>
    </row>
    <row r="391" spans="9:22" x14ac:dyDescent="0.45">
      <c r="I391" t="s">
        <v>175</v>
      </c>
      <c r="J391" t="s">
        <v>280</v>
      </c>
      <c r="K391">
        <v>5.4932602654435923E-3</v>
      </c>
      <c r="L391" t="s">
        <v>161</v>
      </c>
      <c r="N391" t="s">
        <v>198</v>
      </c>
      <c r="O391" t="s">
        <v>280</v>
      </c>
      <c r="P391">
        <v>8.074437460343805E-3</v>
      </c>
      <c r="Q391" t="s">
        <v>161</v>
      </c>
      <c r="S391" t="s">
        <v>220</v>
      </c>
      <c r="T391" t="s">
        <v>280</v>
      </c>
      <c r="U391">
        <v>7.9363255839487862E-3</v>
      </c>
      <c r="V391" t="s">
        <v>161</v>
      </c>
    </row>
    <row r="392" spans="9:22" x14ac:dyDescent="0.45">
      <c r="I392" t="s">
        <v>175</v>
      </c>
      <c r="J392" t="s">
        <v>281</v>
      </c>
      <c r="K392">
        <v>0</v>
      </c>
      <c r="L392" t="s">
        <v>161</v>
      </c>
      <c r="N392" t="s">
        <v>198</v>
      </c>
      <c r="O392" t="s">
        <v>281</v>
      </c>
      <c r="P392">
        <v>1.1976068118966674E-3</v>
      </c>
      <c r="Q392" t="s">
        <v>161</v>
      </c>
      <c r="S392" t="s">
        <v>220</v>
      </c>
      <c r="T392" t="s">
        <v>281</v>
      </c>
      <c r="U392">
        <v>1.175489931503505E-3</v>
      </c>
      <c r="V392" t="s">
        <v>161</v>
      </c>
    </row>
    <row r="393" spans="9:22" x14ac:dyDescent="0.45">
      <c r="I393" t="s">
        <v>175</v>
      </c>
      <c r="J393" t="s">
        <v>282</v>
      </c>
      <c r="K393">
        <v>0</v>
      </c>
      <c r="L393" t="s">
        <v>161</v>
      </c>
      <c r="N393" t="s">
        <v>198</v>
      </c>
      <c r="O393" t="s">
        <v>282</v>
      </c>
      <c r="P393">
        <v>1.1989069630644086E-3</v>
      </c>
      <c r="Q393" t="s">
        <v>161</v>
      </c>
      <c r="S393" t="s">
        <v>220</v>
      </c>
      <c r="T393" t="s">
        <v>282</v>
      </c>
      <c r="U393">
        <v>1.1847110950982201E-3</v>
      </c>
      <c r="V393" t="s">
        <v>161</v>
      </c>
    </row>
    <row r="394" spans="9:22" x14ac:dyDescent="0.45">
      <c r="I394" t="s">
        <v>175</v>
      </c>
      <c r="J394" t="s">
        <v>283</v>
      </c>
      <c r="K394">
        <v>0</v>
      </c>
      <c r="L394" t="s">
        <v>161</v>
      </c>
      <c r="N394" t="s">
        <v>198</v>
      </c>
      <c r="O394" t="s">
        <v>283</v>
      </c>
      <c r="P394">
        <v>6.8989492825258627E-3</v>
      </c>
      <c r="Q394" t="s">
        <v>161</v>
      </c>
      <c r="S394" t="s">
        <v>220</v>
      </c>
      <c r="T394" t="s">
        <v>283</v>
      </c>
      <c r="U394">
        <v>6.7405248125835945E-3</v>
      </c>
      <c r="V394" t="s">
        <v>161</v>
      </c>
    </row>
    <row r="395" spans="9:22" x14ac:dyDescent="0.45">
      <c r="I395" t="s">
        <v>176</v>
      </c>
      <c r="J395" t="s">
        <v>160</v>
      </c>
      <c r="K395">
        <v>2.7817156006553984E-3</v>
      </c>
      <c r="L395" t="s">
        <v>161</v>
      </c>
      <c r="N395" t="s">
        <v>199</v>
      </c>
      <c r="O395" t="s">
        <v>160</v>
      </c>
      <c r="P395">
        <v>7.0931146502165809E-2</v>
      </c>
      <c r="Q395" t="s">
        <v>161</v>
      </c>
      <c r="S395" t="s">
        <v>221</v>
      </c>
      <c r="T395" t="s">
        <v>160</v>
      </c>
      <c r="U395">
        <v>7.1098416674989937E-2</v>
      </c>
      <c r="V395" t="s">
        <v>161</v>
      </c>
    </row>
    <row r="396" spans="9:22" x14ac:dyDescent="0.45">
      <c r="I396" t="s">
        <v>176</v>
      </c>
      <c r="J396" t="s">
        <v>162</v>
      </c>
      <c r="K396">
        <v>8.0641333395229213E-3</v>
      </c>
      <c r="L396" t="s">
        <v>161</v>
      </c>
      <c r="N396" t="s">
        <v>199</v>
      </c>
      <c r="O396" t="s">
        <v>162</v>
      </c>
      <c r="P396">
        <v>8.99821931197314E-3</v>
      </c>
      <c r="Q396" t="s">
        <v>161</v>
      </c>
      <c r="S396" t="s">
        <v>221</v>
      </c>
      <c r="T396" t="s">
        <v>162</v>
      </c>
      <c r="U396">
        <v>8.9576126151565579E-3</v>
      </c>
      <c r="V396" t="s">
        <v>161</v>
      </c>
    </row>
    <row r="397" spans="9:22" x14ac:dyDescent="0.45">
      <c r="I397" t="s">
        <v>176</v>
      </c>
      <c r="J397" t="s">
        <v>163</v>
      </c>
      <c r="K397">
        <v>0.10775709105889457</v>
      </c>
      <c r="L397" t="s">
        <v>161</v>
      </c>
      <c r="N397" t="s">
        <v>199</v>
      </c>
      <c r="O397" t="s">
        <v>163</v>
      </c>
      <c r="P397">
        <v>6.2563963274951603E-2</v>
      </c>
      <c r="Q397" t="s">
        <v>161</v>
      </c>
      <c r="S397" t="s">
        <v>221</v>
      </c>
      <c r="T397" t="s">
        <v>163</v>
      </c>
      <c r="U397">
        <v>6.4418189241442977E-2</v>
      </c>
      <c r="V397" t="s">
        <v>161</v>
      </c>
    </row>
    <row r="398" spans="9:22" x14ac:dyDescent="0.45">
      <c r="I398" t="s">
        <v>176</v>
      </c>
      <c r="J398" t="s">
        <v>242</v>
      </c>
      <c r="K398">
        <v>8.2622250406798083E-3</v>
      </c>
      <c r="L398" t="s">
        <v>161</v>
      </c>
      <c r="N398" t="s">
        <v>199</v>
      </c>
      <c r="O398" t="s">
        <v>242</v>
      </c>
      <c r="P398">
        <v>9.1207469810036003E-3</v>
      </c>
      <c r="Q398" t="s">
        <v>161</v>
      </c>
      <c r="S398" t="s">
        <v>221</v>
      </c>
      <c r="T398" t="s">
        <v>242</v>
      </c>
      <c r="U398">
        <v>9.3839161061041367E-3</v>
      </c>
      <c r="V398" t="s">
        <v>161</v>
      </c>
    </row>
    <row r="399" spans="9:22" x14ac:dyDescent="0.45">
      <c r="I399" t="s">
        <v>176</v>
      </c>
      <c r="J399" t="s">
        <v>243</v>
      </c>
      <c r="K399">
        <v>2.9049009928967667E-3</v>
      </c>
      <c r="L399" t="s">
        <v>161</v>
      </c>
      <c r="N399" t="s">
        <v>199</v>
      </c>
      <c r="O399" t="s">
        <v>243</v>
      </c>
      <c r="P399">
        <v>9.2901491307338657E-3</v>
      </c>
      <c r="Q399" t="s">
        <v>161</v>
      </c>
      <c r="S399" t="s">
        <v>221</v>
      </c>
      <c r="T399" t="s">
        <v>243</v>
      </c>
      <c r="U399">
        <v>9.5596950580014578E-3</v>
      </c>
      <c r="V399" t="s">
        <v>161</v>
      </c>
    </row>
    <row r="400" spans="9:22" x14ac:dyDescent="0.45">
      <c r="I400" t="s">
        <v>176</v>
      </c>
      <c r="J400" t="s">
        <v>266</v>
      </c>
      <c r="K400">
        <v>0</v>
      </c>
      <c r="L400" t="s">
        <v>161</v>
      </c>
      <c r="N400" t="s">
        <v>199</v>
      </c>
      <c r="O400" t="s">
        <v>266</v>
      </c>
      <c r="P400">
        <v>5.6737391925242506E-2</v>
      </c>
      <c r="Q400" t="s">
        <v>161</v>
      </c>
      <c r="S400" t="s">
        <v>221</v>
      </c>
      <c r="T400" t="s">
        <v>266</v>
      </c>
      <c r="U400">
        <v>5.7719355282130548E-2</v>
      </c>
      <c r="V400" t="s">
        <v>161</v>
      </c>
    </row>
    <row r="401" spans="9:22" x14ac:dyDescent="0.45">
      <c r="I401" t="s">
        <v>176</v>
      </c>
      <c r="J401" t="s">
        <v>311</v>
      </c>
      <c r="K401">
        <v>0</v>
      </c>
      <c r="L401" t="s">
        <v>161</v>
      </c>
      <c r="N401" t="s">
        <v>199</v>
      </c>
      <c r="O401" t="s">
        <v>311</v>
      </c>
      <c r="P401">
        <v>2.0655476293370214E-5</v>
      </c>
      <c r="Q401" t="s">
        <v>161</v>
      </c>
      <c r="S401" t="s">
        <v>221</v>
      </c>
      <c r="T401" t="s">
        <v>311</v>
      </c>
      <c r="U401">
        <v>1.6445419558490895E-5</v>
      </c>
      <c r="V401" t="s">
        <v>161</v>
      </c>
    </row>
    <row r="402" spans="9:22" x14ac:dyDescent="0.45">
      <c r="I402" t="s">
        <v>176</v>
      </c>
      <c r="J402" t="s">
        <v>312</v>
      </c>
      <c r="K402">
        <v>0</v>
      </c>
      <c r="L402" t="s">
        <v>161</v>
      </c>
      <c r="N402" t="s">
        <v>199</v>
      </c>
      <c r="O402" t="s">
        <v>312</v>
      </c>
      <c r="P402">
        <v>2.0341932507080997E-5</v>
      </c>
      <c r="Q402" t="s">
        <v>161</v>
      </c>
      <c r="S402" t="s">
        <v>221</v>
      </c>
      <c r="T402" t="s">
        <v>312</v>
      </c>
      <c r="U402">
        <v>1.4386078697581689E-5</v>
      </c>
      <c r="V402" t="s">
        <v>161</v>
      </c>
    </row>
    <row r="403" spans="9:22" x14ac:dyDescent="0.45">
      <c r="I403" t="s">
        <v>176</v>
      </c>
      <c r="J403" t="s">
        <v>313</v>
      </c>
      <c r="K403">
        <v>0</v>
      </c>
      <c r="L403" t="s">
        <v>161</v>
      </c>
      <c r="N403" t="s">
        <v>199</v>
      </c>
      <c r="O403" t="s">
        <v>313</v>
      </c>
      <c r="P403">
        <v>1.9902605351744887E-5</v>
      </c>
      <c r="Q403" t="s">
        <v>161</v>
      </c>
      <c r="S403" t="s">
        <v>221</v>
      </c>
      <c r="T403" t="s">
        <v>313</v>
      </c>
      <c r="U403">
        <v>1.3758961690664316E-5</v>
      </c>
      <c r="V403" t="s">
        <v>161</v>
      </c>
    </row>
    <row r="404" spans="9:22" x14ac:dyDescent="0.45">
      <c r="I404" t="s">
        <v>176</v>
      </c>
      <c r="J404" t="s">
        <v>314</v>
      </c>
      <c r="K404">
        <v>0</v>
      </c>
      <c r="L404" t="s">
        <v>161</v>
      </c>
      <c r="N404" t="s">
        <v>199</v>
      </c>
      <c r="O404" t="s">
        <v>314</v>
      </c>
      <c r="P404">
        <v>1.887593289489425E-5</v>
      </c>
      <c r="Q404" t="s">
        <v>161</v>
      </c>
      <c r="S404" t="s">
        <v>221</v>
      </c>
      <c r="T404" t="s">
        <v>314</v>
      </c>
      <c r="U404">
        <v>1.3393270670847398E-5</v>
      </c>
      <c r="V404" t="s">
        <v>161</v>
      </c>
    </row>
    <row r="405" spans="9:22" x14ac:dyDescent="0.45">
      <c r="I405" t="s">
        <v>176</v>
      </c>
      <c r="J405" t="s">
        <v>315</v>
      </c>
      <c r="K405">
        <v>0</v>
      </c>
      <c r="L405" t="s">
        <v>161</v>
      </c>
      <c r="N405" t="s">
        <v>199</v>
      </c>
      <c r="O405" t="s">
        <v>315</v>
      </c>
      <c r="P405">
        <v>1.1308907810968836E-5</v>
      </c>
      <c r="Q405" t="s">
        <v>161</v>
      </c>
      <c r="S405" t="s">
        <v>221</v>
      </c>
      <c r="T405" t="s">
        <v>315</v>
      </c>
      <c r="U405">
        <v>9.6456394371001001E-6</v>
      </c>
      <c r="V405" t="s">
        <v>161</v>
      </c>
    </row>
    <row r="406" spans="9:22" x14ac:dyDescent="0.45">
      <c r="I406" t="s">
        <v>176</v>
      </c>
      <c r="J406" t="s">
        <v>316</v>
      </c>
      <c r="K406">
        <v>0</v>
      </c>
      <c r="L406" t="s">
        <v>161</v>
      </c>
      <c r="N406" t="s">
        <v>199</v>
      </c>
      <c r="O406" t="s">
        <v>316</v>
      </c>
      <c r="P406">
        <v>4.5833304502574429E-6</v>
      </c>
      <c r="Q406" t="s">
        <v>161</v>
      </c>
      <c r="S406" t="s">
        <v>221</v>
      </c>
      <c r="T406" t="s">
        <v>316</v>
      </c>
      <c r="U406">
        <v>6.6503436913386098E-6</v>
      </c>
      <c r="V406" t="s">
        <v>161</v>
      </c>
    </row>
    <row r="407" spans="9:22" x14ac:dyDescent="0.45">
      <c r="I407" t="s">
        <v>176</v>
      </c>
      <c r="J407" t="s">
        <v>317</v>
      </c>
      <c r="K407">
        <v>0</v>
      </c>
      <c r="L407" t="s">
        <v>161</v>
      </c>
      <c r="N407" t="s">
        <v>199</v>
      </c>
      <c r="O407" t="s">
        <v>317</v>
      </c>
      <c r="P407">
        <v>2.6728171274625736E-6</v>
      </c>
      <c r="Q407" t="s">
        <v>161</v>
      </c>
      <c r="S407" t="s">
        <v>221</v>
      </c>
      <c r="T407" t="s">
        <v>317</v>
      </c>
      <c r="U407">
        <v>5.2844160359333655E-6</v>
      </c>
      <c r="V407" t="s">
        <v>161</v>
      </c>
    </row>
    <row r="408" spans="9:22" x14ac:dyDescent="0.45">
      <c r="I408" t="s">
        <v>176</v>
      </c>
      <c r="J408" t="s">
        <v>318</v>
      </c>
      <c r="K408">
        <v>7.7611696229385392E-6</v>
      </c>
      <c r="L408" t="s">
        <v>161</v>
      </c>
      <c r="N408" t="s">
        <v>199</v>
      </c>
      <c r="O408" t="s">
        <v>318</v>
      </c>
      <c r="P408">
        <v>1.2954776520676523E-6</v>
      </c>
      <c r="Q408" t="s">
        <v>161</v>
      </c>
      <c r="S408" t="s">
        <v>221</v>
      </c>
      <c r="T408" t="s">
        <v>318</v>
      </c>
      <c r="U408">
        <v>4.2216619707280787E-6</v>
      </c>
      <c r="V408" t="s">
        <v>161</v>
      </c>
    </row>
    <row r="409" spans="9:22" x14ac:dyDescent="0.45">
      <c r="I409" t="s">
        <v>176</v>
      </c>
      <c r="J409" t="s">
        <v>319</v>
      </c>
      <c r="K409">
        <v>3.6272685154817804E-5</v>
      </c>
      <c r="L409" t="s">
        <v>161</v>
      </c>
      <c r="N409" t="s">
        <v>199</v>
      </c>
      <c r="O409" t="s">
        <v>319</v>
      </c>
      <c r="P409">
        <v>8.4453160077325658E-7</v>
      </c>
      <c r="Q409" t="s">
        <v>161</v>
      </c>
      <c r="S409" t="s">
        <v>221</v>
      </c>
      <c r="T409" t="s">
        <v>319</v>
      </c>
      <c r="U409">
        <v>3.2838349763968604E-6</v>
      </c>
      <c r="V409" t="s">
        <v>161</v>
      </c>
    </row>
    <row r="410" spans="9:22" x14ac:dyDescent="0.45">
      <c r="I410" t="s">
        <v>176</v>
      </c>
      <c r="J410" t="s">
        <v>320</v>
      </c>
      <c r="K410">
        <v>1.590542506461292E-4</v>
      </c>
      <c r="L410" t="s">
        <v>161</v>
      </c>
      <c r="N410" t="s">
        <v>199</v>
      </c>
      <c r="O410" t="s">
        <v>320</v>
      </c>
      <c r="P410">
        <v>2.8964187476535087E-7</v>
      </c>
      <c r="Q410" t="s">
        <v>161</v>
      </c>
      <c r="S410" t="s">
        <v>221</v>
      </c>
      <c r="T410" t="s">
        <v>320</v>
      </c>
      <c r="U410">
        <v>1.571088758333559E-6</v>
      </c>
      <c r="V410" t="s">
        <v>161</v>
      </c>
    </row>
    <row r="411" spans="9:22" x14ac:dyDescent="0.45">
      <c r="I411" t="s">
        <v>176</v>
      </c>
      <c r="J411" t="s">
        <v>321</v>
      </c>
      <c r="K411">
        <v>2.9475975239816733E-4</v>
      </c>
      <c r="L411" t="s">
        <v>161</v>
      </c>
      <c r="N411" t="s">
        <v>199</v>
      </c>
      <c r="O411" t="s">
        <v>321</v>
      </c>
      <c r="P411">
        <v>6.6301618186503603E-8</v>
      </c>
      <c r="Q411" t="s">
        <v>161</v>
      </c>
      <c r="S411" t="s">
        <v>221</v>
      </c>
      <c r="T411" t="s">
        <v>321</v>
      </c>
      <c r="U411">
        <v>3.1109972695393511E-7</v>
      </c>
      <c r="V411" t="s">
        <v>161</v>
      </c>
    </row>
    <row r="412" spans="9:22" x14ac:dyDescent="0.45">
      <c r="I412" t="s">
        <v>176</v>
      </c>
      <c r="J412" t="s">
        <v>322</v>
      </c>
      <c r="K412">
        <v>3.055014566144733E-4</v>
      </c>
      <c r="L412" t="s">
        <v>161</v>
      </c>
      <c r="N412" t="s">
        <v>199</v>
      </c>
      <c r="O412" t="s">
        <v>322</v>
      </c>
      <c r="P412">
        <v>0</v>
      </c>
      <c r="Q412" t="s">
        <v>161</v>
      </c>
      <c r="S412" t="s">
        <v>221</v>
      </c>
      <c r="T412" t="s">
        <v>322</v>
      </c>
      <c r="U412">
        <v>0</v>
      </c>
      <c r="V412" t="s">
        <v>161</v>
      </c>
    </row>
    <row r="413" spans="9:22" x14ac:dyDescent="0.45">
      <c r="I413" t="s">
        <v>176</v>
      </c>
      <c r="J413" t="s">
        <v>323</v>
      </c>
      <c r="K413">
        <v>2.4355925008355731E-4</v>
      </c>
      <c r="L413" t="s">
        <v>161</v>
      </c>
      <c r="N413" t="s">
        <v>199</v>
      </c>
      <c r="O413" t="s">
        <v>323</v>
      </c>
      <c r="P413">
        <v>0</v>
      </c>
      <c r="Q413" t="s">
        <v>161</v>
      </c>
      <c r="S413" t="s">
        <v>221</v>
      </c>
      <c r="T413" t="s">
        <v>323</v>
      </c>
      <c r="U413">
        <v>0</v>
      </c>
      <c r="V413" t="s">
        <v>161</v>
      </c>
    </row>
    <row r="414" spans="9:22" x14ac:dyDescent="0.45">
      <c r="I414" t="s">
        <v>176</v>
      </c>
      <c r="J414" t="s">
        <v>324</v>
      </c>
      <c r="K414">
        <v>2.5375441055818952E-4</v>
      </c>
      <c r="L414" t="s">
        <v>161</v>
      </c>
      <c r="N414" t="s">
        <v>199</v>
      </c>
      <c r="O414" t="s">
        <v>324</v>
      </c>
      <c r="P414">
        <v>2.5995629825084156E-10</v>
      </c>
      <c r="Q414" t="s">
        <v>161</v>
      </c>
      <c r="S414" t="s">
        <v>221</v>
      </c>
      <c r="T414" t="s">
        <v>324</v>
      </c>
      <c r="U414">
        <v>0</v>
      </c>
      <c r="V414" t="s">
        <v>161</v>
      </c>
    </row>
    <row r="415" spans="9:22" x14ac:dyDescent="0.45">
      <c r="I415" t="s">
        <v>176</v>
      </c>
      <c r="J415" t="s">
        <v>325</v>
      </c>
      <c r="K415">
        <v>2.3951365584697261E-4</v>
      </c>
      <c r="L415" t="s">
        <v>161</v>
      </c>
      <c r="N415" t="s">
        <v>199</v>
      </c>
      <c r="O415" t="s">
        <v>325</v>
      </c>
      <c r="P415">
        <v>2.044039574754574E-9</v>
      </c>
      <c r="Q415" t="s">
        <v>161</v>
      </c>
      <c r="S415" t="s">
        <v>221</v>
      </c>
      <c r="T415" t="s">
        <v>325</v>
      </c>
      <c r="U415">
        <v>0</v>
      </c>
      <c r="V415" t="s">
        <v>161</v>
      </c>
    </row>
    <row r="416" spans="9:22" x14ac:dyDescent="0.45">
      <c r="I416" t="s">
        <v>176</v>
      </c>
      <c r="J416" t="s">
        <v>326</v>
      </c>
      <c r="K416">
        <v>1.7330694911450622E-4</v>
      </c>
      <c r="L416" t="s">
        <v>161</v>
      </c>
      <c r="N416" t="s">
        <v>199</v>
      </c>
      <c r="O416" t="s">
        <v>326</v>
      </c>
      <c r="P416">
        <v>5.1872937182866585E-9</v>
      </c>
      <c r="Q416" t="s">
        <v>161</v>
      </c>
      <c r="S416" t="s">
        <v>221</v>
      </c>
      <c r="T416" t="s">
        <v>326</v>
      </c>
      <c r="U416">
        <v>0</v>
      </c>
      <c r="V416" t="s">
        <v>161</v>
      </c>
    </row>
    <row r="417" spans="9:22" x14ac:dyDescent="0.45">
      <c r="I417" t="s">
        <v>176</v>
      </c>
      <c r="J417" t="s">
        <v>327</v>
      </c>
      <c r="K417">
        <v>1.5580980627771798E-4</v>
      </c>
      <c r="L417" t="s">
        <v>161</v>
      </c>
      <c r="N417" t="s">
        <v>199</v>
      </c>
      <c r="O417" t="s">
        <v>327</v>
      </c>
      <c r="P417">
        <v>6.9845763331142699E-9</v>
      </c>
      <c r="Q417" t="s">
        <v>161</v>
      </c>
      <c r="S417" t="s">
        <v>221</v>
      </c>
      <c r="T417" t="s">
        <v>327</v>
      </c>
      <c r="U417">
        <v>0</v>
      </c>
      <c r="V417" t="s">
        <v>161</v>
      </c>
    </row>
    <row r="418" spans="9:22" x14ac:dyDescent="0.45">
      <c r="I418" t="s">
        <v>176</v>
      </c>
      <c r="J418" t="s">
        <v>328</v>
      </c>
      <c r="K418">
        <v>1.0962811190854629E-4</v>
      </c>
      <c r="L418" t="s">
        <v>161</v>
      </c>
      <c r="N418" t="s">
        <v>199</v>
      </c>
      <c r="O418" t="s">
        <v>328</v>
      </c>
      <c r="P418">
        <v>5.2566920322264527E-9</v>
      </c>
      <c r="Q418" t="s">
        <v>161</v>
      </c>
      <c r="S418" t="s">
        <v>221</v>
      </c>
      <c r="T418" t="s">
        <v>328</v>
      </c>
      <c r="U418">
        <v>0</v>
      </c>
      <c r="V418" t="s">
        <v>161</v>
      </c>
    </row>
    <row r="419" spans="9:22" x14ac:dyDescent="0.45">
      <c r="I419" t="s">
        <v>176</v>
      </c>
      <c r="J419" t="s">
        <v>329</v>
      </c>
      <c r="K419">
        <v>0</v>
      </c>
      <c r="L419" t="s">
        <v>161</v>
      </c>
      <c r="N419" t="s">
        <v>199</v>
      </c>
      <c r="O419" t="s">
        <v>329</v>
      </c>
      <c r="P419">
        <v>9.269967808066127E-9</v>
      </c>
      <c r="Q419" t="s">
        <v>161</v>
      </c>
      <c r="S419" t="s">
        <v>221</v>
      </c>
      <c r="T419" t="s">
        <v>329</v>
      </c>
      <c r="U419">
        <v>0</v>
      </c>
      <c r="V419" t="s">
        <v>161</v>
      </c>
    </row>
    <row r="420" spans="9:22" x14ac:dyDescent="0.45">
      <c r="I420" t="s">
        <v>176</v>
      </c>
      <c r="J420" t="s">
        <v>330</v>
      </c>
      <c r="K420">
        <v>0</v>
      </c>
      <c r="L420" t="s">
        <v>161</v>
      </c>
      <c r="N420" t="s">
        <v>199</v>
      </c>
      <c r="O420" t="s">
        <v>330</v>
      </c>
      <c r="P420">
        <v>9.0036337936539056E-8</v>
      </c>
      <c r="Q420" t="s">
        <v>161</v>
      </c>
      <c r="S420" t="s">
        <v>221</v>
      </c>
      <c r="T420" t="s">
        <v>330</v>
      </c>
      <c r="U420">
        <v>4.167166534725777E-7</v>
      </c>
      <c r="V420" t="s">
        <v>161</v>
      </c>
    </row>
    <row r="421" spans="9:22" x14ac:dyDescent="0.45">
      <c r="I421" t="s">
        <v>176</v>
      </c>
      <c r="J421" t="s">
        <v>331</v>
      </c>
      <c r="K421">
        <v>0</v>
      </c>
      <c r="L421" t="s">
        <v>161</v>
      </c>
      <c r="N421" t="s">
        <v>199</v>
      </c>
      <c r="O421" t="s">
        <v>331</v>
      </c>
      <c r="P421">
        <v>4.9428376993002859E-7</v>
      </c>
      <c r="Q421" t="s">
        <v>161</v>
      </c>
      <c r="S421" t="s">
        <v>221</v>
      </c>
      <c r="T421" t="s">
        <v>331</v>
      </c>
      <c r="U421">
        <v>1.3450532943876976E-6</v>
      </c>
      <c r="V421" t="s">
        <v>161</v>
      </c>
    </row>
    <row r="422" spans="9:22" x14ac:dyDescent="0.45">
      <c r="I422" t="s">
        <v>176</v>
      </c>
      <c r="J422" t="s">
        <v>332</v>
      </c>
      <c r="K422">
        <v>0</v>
      </c>
      <c r="L422" t="s">
        <v>161</v>
      </c>
      <c r="N422" t="s">
        <v>199</v>
      </c>
      <c r="O422" t="s">
        <v>332</v>
      </c>
      <c r="P422">
        <v>3.0360240787651784E-6</v>
      </c>
      <c r="Q422" t="s">
        <v>161</v>
      </c>
      <c r="S422" t="s">
        <v>221</v>
      </c>
      <c r="T422" t="s">
        <v>332</v>
      </c>
      <c r="U422">
        <v>2.6475647778464475E-6</v>
      </c>
      <c r="V422" t="s">
        <v>161</v>
      </c>
    </row>
    <row r="423" spans="9:22" x14ac:dyDescent="0.45">
      <c r="I423" t="s">
        <v>176</v>
      </c>
      <c r="J423" t="s">
        <v>333</v>
      </c>
      <c r="K423">
        <v>0</v>
      </c>
      <c r="L423" t="s">
        <v>161</v>
      </c>
      <c r="N423" t="s">
        <v>199</v>
      </c>
      <c r="O423" t="s">
        <v>333</v>
      </c>
      <c r="P423">
        <v>2.9301574835199698E-6</v>
      </c>
      <c r="Q423" t="s">
        <v>161</v>
      </c>
      <c r="S423" t="s">
        <v>221</v>
      </c>
      <c r="T423" t="s">
        <v>333</v>
      </c>
      <c r="U423">
        <v>3.9344050737954995E-6</v>
      </c>
      <c r="V423" t="s">
        <v>161</v>
      </c>
    </row>
    <row r="424" spans="9:22" x14ac:dyDescent="0.45">
      <c r="I424" t="s">
        <v>176</v>
      </c>
      <c r="J424" t="s">
        <v>334</v>
      </c>
      <c r="K424">
        <v>0</v>
      </c>
      <c r="L424" t="s">
        <v>161</v>
      </c>
      <c r="N424" t="s">
        <v>199</v>
      </c>
      <c r="O424" t="s">
        <v>334</v>
      </c>
      <c r="P424">
        <v>9.031825480281097E-6</v>
      </c>
      <c r="Q424" t="s">
        <v>161</v>
      </c>
      <c r="S424" t="s">
        <v>221</v>
      </c>
      <c r="T424" t="s">
        <v>334</v>
      </c>
      <c r="U424">
        <v>1.203746347471951E-5</v>
      </c>
      <c r="V424" t="s">
        <v>161</v>
      </c>
    </row>
    <row r="425" spans="9:22" x14ac:dyDescent="0.45">
      <c r="I425" t="s">
        <v>176</v>
      </c>
      <c r="J425" t="s">
        <v>164</v>
      </c>
      <c r="K425">
        <v>1.0188782286049036E-2</v>
      </c>
      <c r="L425" t="s">
        <v>161</v>
      </c>
      <c r="N425" t="s">
        <v>199</v>
      </c>
      <c r="O425" t="s">
        <v>164</v>
      </c>
      <c r="P425">
        <v>3.711085159443113E-2</v>
      </c>
      <c r="Q425" t="s">
        <v>161</v>
      </c>
      <c r="S425" t="s">
        <v>221</v>
      </c>
      <c r="T425" t="s">
        <v>164</v>
      </c>
      <c r="U425">
        <v>3.72427139191326E-2</v>
      </c>
      <c r="V425" t="s">
        <v>161</v>
      </c>
    </row>
    <row r="426" spans="9:22" x14ac:dyDescent="0.45">
      <c r="I426" t="s">
        <v>176</v>
      </c>
      <c r="J426" t="s">
        <v>165</v>
      </c>
      <c r="K426">
        <v>9.5561532449395248E-3</v>
      </c>
      <c r="L426" t="s">
        <v>161</v>
      </c>
      <c r="N426" t="s">
        <v>199</v>
      </c>
      <c r="O426" t="s">
        <v>165</v>
      </c>
      <c r="P426">
        <v>4.544659717426792E-3</v>
      </c>
      <c r="Q426" t="s">
        <v>161</v>
      </c>
      <c r="S426" t="s">
        <v>221</v>
      </c>
      <c r="T426" t="s">
        <v>165</v>
      </c>
      <c r="U426">
        <v>4.7668270560548929E-3</v>
      </c>
      <c r="V426" t="s">
        <v>161</v>
      </c>
    </row>
    <row r="427" spans="9:22" x14ac:dyDescent="0.45">
      <c r="I427" t="s">
        <v>176</v>
      </c>
      <c r="J427" t="s">
        <v>166</v>
      </c>
      <c r="K427">
        <v>8.6593168572871776E-2</v>
      </c>
      <c r="L427" t="s">
        <v>161</v>
      </c>
      <c r="N427" t="s">
        <v>199</v>
      </c>
      <c r="O427" t="s">
        <v>166</v>
      </c>
      <c r="P427">
        <v>3.289280372958997E-2</v>
      </c>
      <c r="Q427" t="s">
        <v>161</v>
      </c>
      <c r="S427" t="s">
        <v>221</v>
      </c>
      <c r="T427" t="s">
        <v>166</v>
      </c>
      <c r="U427">
        <v>3.3287101348488196E-2</v>
      </c>
      <c r="V427" t="s">
        <v>161</v>
      </c>
    </row>
    <row r="428" spans="9:22" x14ac:dyDescent="0.45">
      <c r="I428" t="s">
        <v>176</v>
      </c>
      <c r="J428" t="s">
        <v>244</v>
      </c>
      <c r="K428">
        <v>8.1577949336299332E-3</v>
      </c>
      <c r="L428" t="s">
        <v>161</v>
      </c>
      <c r="N428" t="s">
        <v>199</v>
      </c>
      <c r="O428" t="s">
        <v>244</v>
      </c>
      <c r="P428">
        <v>5.0319397706346091E-3</v>
      </c>
      <c r="Q428" t="s">
        <v>161</v>
      </c>
      <c r="S428" t="s">
        <v>221</v>
      </c>
      <c r="T428" t="s">
        <v>244</v>
      </c>
      <c r="U428">
        <v>5.1911486451775273E-3</v>
      </c>
      <c r="V428" t="s">
        <v>161</v>
      </c>
    </row>
    <row r="429" spans="9:22" x14ac:dyDescent="0.45">
      <c r="I429" t="s">
        <v>176</v>
      </c>
      <c r="J429" t="s">
        <v>245</v>
      </c>
      <c r="K429">
        <v>5.5651904164228626E-3</v>
      </c>
      <c r="L429" t="s">
        <v>161</v>
      </c>
      <c r="N429" t="s">
        <v>199</v>
      </c>
      <c r="O429" t="s">
        <v>245</v>
      </c>
      <c r="P429">
        <v>5.0229495182512098E-3</v>
      </c>
      <c r="Q429" t="s">
        <v>161</v>
      </c>
      <c r="S429" t="s">
        <v>221</v>
      </c>
      <c r="T429" t="s">
        <v>245</v>
      </c>
      <c r="U429">
        <v>5.3580027642888273E-3</v>
      </c>
      <c r="V429" t="s">
        <v>161</v>
      </c>
    </row>
    <row r="430" spans="9:22" x14ac:dyDescent="0.45">
      <c r="I430" t="s">
        <v>176</v>
      </c>
      <c r="J430" t="s">
        <v>267</v>
      </c>
      <c r="K430">
        <v>2.3300300771645025E-3</v>
      </c>
      <c r="L430" t="s">
        <v>161</v>
      </c>
      <c r="N430" t="s">
        <v>199</v>
      </c>
      <c r="O430" t="s">
        <v>267</v>
      </c>
      <c r="P430">
        <v>3.0834410046933734E-2</v>
      </c>
      <c r="Q430" t="s">
        <v>161</v>
      </c>
      <c r="S430" t="s">
        <v>221</v>
      </c>
      <c r="T430" t="s">
        <v>267</v>
      </c>
      <c r="U430">
        <v>3.2933422097255603E-2</v>
      </c>
      <c r="V430" t="s">
        <v>161</v>
      </c>
    </row>
    <row r="431" spans="9:22" x14ac:dyDescent="0.45">
      <c r="I431" t="s">
        <v>176</v>
      </c>
      <c r="J431" t="s">
        <v>167</v>
      </c>
      <c r="K431">
        <v>5.466371358424494E-2</v>
      </c>
      <c r="L431" t="s">
        <v>161</v>
      </c>
      <c r="N431" t="s">
        <v>199</v>
      </c>
      <c r="O431" t="s">
        <v>167</v>
      </c>
      <c r="P431">
        <v>6.9540484430884744E-2</v>
      </c>
      <c r="Q431" t="s">
        <v>161</v>
      </c>
      <c r="S431" t="s">
        <v>221</v>
      </c>
      <c r="T431" t="s">
        <v>167</v>
      </c>
      <c r="U431">
        <v>7.0607057358523906E-2</v>
      </c>
      <c r="V431" t="s">
        <v>161</v>
      </c>
    </row>
    <row r="432" spans="9:22" x14ac:dyDescent="0.45">
      <c r="I432" t="s">
        <v>176</v>
      </c>
      <c r="J432" t="s">
        <v>168</v>
      </c>
      <c r="K432">
        <v>3.1394141747332675E-2</v>
      </c>
      <c r="L432" t="s">
        <v>161</v>
      </c>
      <c r="N432" t="s">
        <v>199</v>
      </c>
      <c r="O432" t="s">
        <v>168</v>
      </c>
      <c r="P432">
        <v>7.8718394085496874E-3</v>
      </c>
      <c r="Q432" t="s">
        <v>161</v>
      </c>
      <c r="S432" t="s">
        <v>221</v>
      </c>
      <c r="T432" t="s">
        <v>168</v>
      </c>
      <c r="U432">
        <v>8.3444365122382937E-3</v>
      </c>
      <c r="V432" t="s">
        <v>161</v>
      </c>
    </row>
    <row r="433" spans="9:22" x14ac:dyDescent="0.45">
      <c r="I433" t="s">
        <v>176</v>
      </c>
      <c r="J433" t="s">
        <v>169</v>
      </c>
      <c r="K433">
        <v>0.24195253802860417</v>
      </c>
      <c r="L433" t="s">
        <v>161</v>
      </c>
      <c r="N433" t="s">
        <v>199</v>
      </c>
      <c r="O433" t="s">
        <v>169</v>
      </c>
      <c r="P433">
        <v>5.5004203520174669E-2</v>
      </c>
      <c r="Q433" t="s">
        <v>161</v>
      </c>
      <c r="S433" t="s">
        <v>221</v>
      </c>
      <c r="T433" t="s">
        <v>169</v>
      </c>
      <c r="U433">
        <v>5.3804137872183765E-2</v>
      </c>
      <c r="V433" t="s">
        <v>161</v>
      </c>
    </row>
    <row r="434" spans="9:22" x14ac:dyDescent="0.45">
      <c r="I434" t="s">
        <v>176</v>
      </c>
      <c r="J434" t="s">
        <v>246</v>
      </c>
      <c r="K434">
        <v>2.4771750095995037E-2</v>
      </c>
      <c r="L434" t="s">
        <v>161</v>
      </c>
      <c r="N434" t="s">
        <v>199</v>
      </c>
      <c r="O434" t="s">
        <v>246</v>
      </c>
      <c r="P434">
        <v>8.660890018307426E-3</v>
      </c>
      <c r="Q434" t="s">
        <v>161</v>
      </c>
      <c r="S434" t="s">
        <v>221</v>
      </c>
      <c r="T434" t="s">
        <v>246</v>
      </c>
      <c r="U434">
        <v>8.5570011010381603E-3</v>
      </c>
      <c r="V434" t="s">
        <v>161</v>
      </c>
    </row>
    <row r="435" spans="9:22" x14ac:dyDescent="0.45">
      <c r="I435" t="s">
        <v>176</v>
      </c>
      <c r="J435" t="s">
        <v>247</v>
      </c>
      <c r="K435">
        <v>1.9305956760177202E-2</v>
      </c>
      <c r="L435" t="s">
        <v>161</v>
      </c>
      <c r="N435" t="s">
        <v>199</v>
      </c>
      <c r="O435" t="s">
        <v>247</v>
      </c>
      <c r="P435">
        <v>8.6123460216491719E-3</v>
      </c>
      <c r="Q435" t="s">
        <v>161</v>
      </c>
      <c r="S435" t="s">
        <v>221</v>
      </c>
      <c r="T435" t="s">
        <v>247</v>
      </c>
      <c r="U435">
        <v>8.7937238949014219E-3</v>
      </c>
      <c r="V435" t="s">
        <v>161</v>
      </c>
    </row>
    <row r="436" spans="9:22" x14ac:dyDescent="0.45">
      <c r="I436" t="s">
        <v>176</v>
      </c>
      <c r="J436" t="s">
        <v>268</v>
      </c>
      <c r="K436">
        <v>1.8425302068789874E-2</v>
      </c>
      <c r="L436" t="s">
        <v>161</v>
      </c>
      <c r="N436" t="s">
        <v>199</v>
      </c>
      <c r="O436" t="s">
        <v>268</v>
      </c>
      <c r="P436">
        <v>5.3367447962602177E-2</v>
      </c>
      <c r="Q436" t="s">
        <v>161</v>
      </c>
      <c r="S436" t="s">
        <v>221</v>
      </c>
      <c r="T436" t="s">
        <v>268</v>
      </c>
      <c r="U436">
        <v>5.571473074979813E-2</v>
      </c>
      <c r="V436" t="s">
        <v>161</v>
      </c>
    </row>
    <row r="437" spans="9:22" x14ac:dyDescent="0.45">
      <c r="I437" t="s">
        <v>176</v>
      </c>
      <c r="J437" t="s">
        <v>170</v>
      </c>
      <c r="K437">
        <v>2.0129909065893327E-2</v>
      </c>
      <c r="L437" t="s">
        <v>161</v>
      </c>
      <c r="N437" t="s">
        <v>199</v>
      </c>
      <c r="O437" t="s">
        <v>170</v>
      </c>
      <c r="P437">
        <v>3.5964636231594627E-2</v>
      </c>
      <c r="Q437" t="s">
        <v>161</v>
      </c>
      <c r="S437" t="s">
        <v>221</v>
      </c>
      <c r="T437" t="s">
        <v>170</v>
      </c>
      <c r="U437">
        <v>3.4734317490380286E-2</v>
      </c>
      <c r="V437" t="s">
        <v>161</v>
      </c>
    </row>
    <row r="438" spans="9:22" x14ac:dyDescent="0.45">
      <c r="I438" t="s">
        <v>176</v>
      </c>
      <c r="J438" t="s">
        <v>171</v>
      </c>
      <c r="K438">
        <v>1.4108621359320778E-2</v>
      </c>
      <c r="L438" t="s">
        <v>161</v>
      </c>
      <c r="N438" t="s">
        <v>199</v>
      </c>
      <c r="O438" t="s">
        <v>171</v>
      </c>
      <c r="P438">
        <v>3.9760043242723243E-3</v>
      </c>
      <c r="Q438" t="s">
        <v>161</v>
      </c>
      <c r="S438" t="s">
        <v>221</v>
      </c>
      <c r="T438" t="s">
        <v>171</v>
      </c>
      <c r="U438">
        <v>4.0965497223009956E-3</v>
      </c>
      <c r="V438" t="s">
        <v>161</v>
      </c>
    </row>
    <row r="439" spans="9:22" x14ac:dyDescent="0.45">
      <c r="I439" t="s">
        <v>176</v>
      </c>
      <c r="J439" t="s">
        <v>172</v>
      </c>
      <c r="K439">
        <v>0.11367364294949404</v>
      </c>
      <c r="L439" t="s">
        <v>161</v>
      </c>
      <c r="N439" t="s">
        <v>199</v>
      </c>
      <c r="O439" t="s">
        <v>172</v>
      </c>
      <c r="P439">
        <v>2.8439962770911837E-2</v>
      </c>
      <c r="Q439" t="s">
        <v>161</v>
      </c>
      <c r="S439" t="s">
        <v>221</v>
      </c>
      <c r="T439" t="s">
        <v>172</v>
      </c>
      <c r="U439">
        <v>2.7911221054730612E-2</v>
      </c>
      <c r="V439" t="s">
        <v>161</v>
      </c>
    </row>
    <row r="440" spans="9:22" x14ac:dyDescent="0.45">
      <c r="I440" t="s">
        <v>176</v>
      </c>
      <c r="J440" t="s">
        <v>248</v>
      </c>
      <c r="K440">
        <v>1.1894561369955323E-2</v>
      </c>
      <c r="L440" t="s">
        <v>161</v>
      </c>
      <c r="N440" t="s">
        <v>199</v>
      </c>
      <c r="O440" t="s">
        <v>248</v>
      </c>
      <c r="P440">
        <v>4.5326042516047995E-3</v>
      </c>
      <c r="Q440" t="s">
        <v>161</v>
      </c>
      <c r="S440" t="s">
        <v>221</v>
      </c>
      <c r="T440" t="s">
        <v>248</v>
      </c>
      <c r="U440">
        <v>4.5334410741274898E-3</v>
      </c>
      <c r="V440" t="s">
        <v>161</v>
      </c>
    </row>
    <row r="441" spans="9:22" x14ac:dyDescent="0.45">
      <c r="I441" t="s">
        <v>176</v>
      </c>
      <c r="J441" t="s">
        <v>249</v>
      </c>
      <c r="K441">
        <v>9.0346502712381448E-3</v>
      </c>
      <c r="L441" t="s">
        <v>161</v>
      </c>
      <c r="N441" t="s">
        <v>199</v>
      </c>
      <c r="O441" t="s">
        <v>249</v>
      </c>
      <c r="P441">
        <v>4.5129494499306488E-3</v>
      </c>
      <c r="Q441" t="s">
        <v>161</v>
      </c>
      <c r="S441" t="s">
        <v>221</v>
      </c>
      <c r="T441" t="s">
        <v>249</v>
      </c>
      <c r="U441">
        <v>4.7322946851671701E-3</v>
      </c>
      <c r="V441" t="s">
        <v>161</v>
      </c>
    </row>
    <row r="442" spans="9:22" x14ac:dyDescent="0.45">
      <c r="I442" t="s">
        <v>176</v>
      </c>
      <c r="J442" t="s">
        <v>269</v>
      </c>
      <c r="K442">
        <v>5.8367429603758438E-3</v>
      </c>
      <c r="L442" t="s">
        <v>161</v>
      </c>
      <c r="N442" t="s">
        <v>199</v>
      </c>
      <c r="O442" t="s">
        <v>269</v>
      </c>
      <c r="P442">
        <v>2.982692675388824E-2</v>
      </c>
      <c r="Q442" t="s">
        <v>161</v>
      </c>
      <c r="S442" t="s">
        <v>221</v>
      </c>
      <c r="T442" t="s">
        <v>269</v>
      </c>
      <c r="U442">
        <v>3.055862655960449E-2</v>
      </c>
      <c r="V442" t="s">
        <v>161</v>
      </c>
    </row>
    <row r="443" spans="9:22" x14ac:dyDescent="0.45">
      <c r="I443" t="s">
        <v>176</v>
      </c>
      <c r="J443" t="s">
        <v>362</v>
      </c>
      <c r="K443">
        <v>0</v>
      </c>
      <c r="L443" t="s">
        <v>161</v>
      </c>
      <c r="N443" t="s">
        <v>199</v>
      </c>
      <c r="O443" t="s">
        <v>362</v>
      </c>
      <c r="P443">
        <v>5.2425288747061208E-5</v>
      </c>
      <c r="Q443" t="s">
        <v>161</v>
      </c>
      <c r="S443" t="s">
        <v>221</v>
      </c>
      <c r="T443" t="s">
        <v>362</v>
      </c>
      <c r="U443">
        <v>4.4541778734154268E-5</v>
      </c>
      <c r="V443" t="s">
        <v>161</v>
      </c>
    </row>
    <row r="444" spans="9:22" x14ac:dyDescent="0.45">
      <c r="I444" t="s">
        <v>176</v>
      </c>
      <c r="J444" t="s">
        <v>363</v>
      </c>
      <c r="K444">
        <v>0</v>
      </c>
      <c r="L444" t="s">
        <v>161</v>
      </c>
      <c r="N444" t="s">
        <v>199</v>
      </c>
      <c r="O444" t="s">
        <v>363</v>
      </c>
      <c r="P444">
        <v>4.7869684631900995E-5</v>
      </c>
      <c r="Q444" t="s">
        <v>161</v>
      </c>
      <c r="S444" t="s">
        <v>221</v>
      </c>
      <c r="T444" t="s">
        <v>363</v>
      </c>
      <c r="U444">
        <v>4.2434767864966199E-5</v>
      </c>
      <c r="V444" t="s">
        <v>161</v>
      </c>
    </row>
    <row r="445" spans="9:22" x14ac:dyDescent="0.45">
      <c r="I445" t="s">
        <v>176</v>
      </c>
      <c r="J445" t="s">
        <v>364</v>
      </c>
      <c r="K445">
        <v>0</v>
      </c>
      <c r="L445" t="s">
        <v>161</v>
      </c>
      <c r="N445" t="s">
        <v>199</v>
      </c>
      <c r="O445" t="s">
        <v>364</v>
      </c>
      <c r="P445">
        <v>5.3208376850903296E-5</v>
      </c>
      <c r="Q445" t="s">
        <v>161</v>
      </c>
      <c r="S445" t="s">
        <v>221</v>
      </c>
      <c r="T445" t="s">
        <v>364</v>
      </c>
      <c r="U445">
        <v>4.4384371166212803E-5</v>
      </c>
      <c r="V445" t="s">
        <v>161</v>
      </c>
    </row>
    <row r="446" spans="9:22" x14ac:dyDescent="0.45">
      <c r="I446" t="s">
        <v>176</v>
      </c>
      <c r="J446" t="s">
        <v>365</v>
      </c>
      <c r="K446">
        <v>0</v>
      </c>
      <c r="L446" t="s">
        <v>161</v>
      </c>
      <c r="N446" t="s">
        <v>199</v>
      </c>
      <c r="O446" t="s">
        <v>365</v>
      </c>
      <c r="P446">
        <v>6.3168169794890566E-5</v>
      </c>
      <c r="Q446" t="s">
        <v>161</v>
      </c>
      <c r="S446" t="s">
        <v>221</v>
      </c>
      <c r="T446" t="s">
        <v>365</v>
      </c>
      <c r="U446">
        <v>5.2379353146957404E-5</v>
      </c>
      <c r="V446" t="s">
        <v>161</v>
      </c>
    </row>
    <row r="447" spans="9:22" x14ac:dyDescent="0.45">
      <c r="I447" t="s">
        <v>176</v>
      </c>
      <c r="J447" t="s">
        <v>366</v>
      </c>
      <c r="K447">
        <v>0</v>
      </c>
      <c r="L447" t="s">
        <v>161</v>
      </c>
      <c r="N447" t="s">
        <v>199</v>
      </c>
      <c r="O447" t="s">
        <v>366</v>
      </c>
      <c r="P447">
        <v>6.1007585861228041E-5</v>
      </c>
      <c r="Q447" t="s">
        <v>161</v>
      </c>
      <c r="S447" t="s">
        <v>221</v>
      </c>
      <c r="T447" t="s">
        <v>366</v>
      </c>
      <c r="U447">
        <v>5.4726522157700423E-5</v>
      </c>
      <c r="V447" t="s">
        <v>161</v>
      </c>
    </row>
    <row r="448" spans="9:22" x14ac:dyDescent="0.45">
      <c r="I448" t="s">
        <v>176</v>
      </c>
      <c r="J448" t="s">
        <v>367</v>
      </c>
      <c r="K448">
        <v>3.2877323254972808E-5</v>
      </c>
      <c r="L448" t="s">
        <v>161</v>
      </c>
      <c r="N448" t="s">
        <v>199</v>
      </c>
      <c r="O448" t="s">
        <v>367</v>
      </c>
      <c r="P448">
        <v>5.6535605227950235E-5</v>
      </c>
      <c r="Q448" t="s">
        <v>161</v>
      </c>
      <c r="S448" t="s">
        <v>221</v>
      </c>
      <c r="T448" t="s">
        <v>367</v>
      </c>
      <c r="U448">
        <v>5.3178149514367261E-5</v>
      </c>
      <c r="V448" t="s">
        <v>161</v>
      </c>
    </row>
    <row r="449" spans="9:22" x14ac:dyDescent="0.45">
      <c r="I449" t="s">
        <v>176</v>
      </c>
      <c r="J449" t="s">
        <v>368</v>
      </c>
      <c r="K449">
        <v>2.7236707520393317E-4</v>
      </c>
      <c r="L449" t="s">
        <v>161</v>
      </c>
      <c r="N449" t="s">
        <v>199</v>
      </c>
      <c r="O449" t="s">
        <v>368</v>
      </c>
      <c r="P449">
        <v>4.8832333814307159E-5</v>
      </c>
      <c r="Q449" t="s">
        <v>161</v>
      </c>
      <c r="S449" t="s">
        <v>221</v>
      </c>
      <c r="T449" t="s">
        <v>368</v>
      </c>
      <c r="U449">
        <v>4.5264817998305876E-5</v>
      </c>
      <c r="V449" t="s">
        <v>161</v>
      </c>
    </row>
    <row r="450" spans="9:22" x14ac:dyDescent="0.45">
      <c r="I450" t="s">
        <v>176</v>
      </c>
      <c r="J450" t="s">
        <v>369</v>
      </c>
      <c r="K450">
        <v>3.416657023094479E-4</v>
      </c>
      <c r="L450" t="s">
        <v>161</v>
      </c>
      <c r="N450" t="s">
        <v>199</v>
      </c>
      <c r="O450" t="s">
        <v>369</v>
      </c>
      <c r="P450">
        <v>3.5068227113390957E-5</v>
      </c>
      <c r="Q450" t="s">
        <v>161</v>
      </c>
      <c r="S450" t="s">
        <v>221</v>
      </c>
      <c r="T450" t="s">
        <v>369</v>
      </c>
      <c r="U450">
        <v>3.5570421843973395E-5</v>
      </c>
      <c r="V450" t="s">
        <v>161</v>
      </c>
    </row>
    <row r="451" spans="9:22" x14ac:dyDescent="0.45">
      <c r="I451" t="s">
        <v>176</v>
      </c>
      <c r="J451" t="s">
        <v>370</v>
      </c>
      <c r="K451">
        <v>4.5740198623036286E-4</v>
      </c>
      <c r="L451" t="s">
        <v>161</v>
      </c>
      <c r="N451" t="s">
        <v>199</v>
      </c>
      <c r="O451" t="s">
        <v>370</v>
      </c>
      <c r="P451">
        <v>2.780528130646222E-5</v>
      </c>
      <c r="Q451" t="s">
        <v>161</v>
      </c>
      <c r="S451" t="s">
        <v>221</v>
      </c>
      <c r="T451" t="s">
        <v>370</v>
      </c>
      <c r="U451">
        <v>2.8644142333219205E-5</v>
      </c>
      <c r="V451" t="s">
        <v>161</v>
      </c>
    </row>
    <row r="452" spans="9:22" x14ac:dyDescent="0.45">
      <c r="I452" t="s">
        <v>176</v>
      </c>
      <c r="J452" t="s">
        <v>371</v>
      </c>
      <c r="K452">
        <v>5.1751317651332733E-4</v>
      </c>
      <c r="L452" t="s">
        <v>161</v>
      </c>
      <c r="N452" t="s">
        <v>199</v>
      </c>
      <c r="O452" t="s">
        <v>371</v>
      </c>
      <c r="P452">
        <v>2.3824262812307792E-5</v>
      </c>
      <c r="Q452" t="s">
        <v>161</v>
      </c>
      <c r="S452" t="s">
        <v>221</v>
      </c>
      <c r="T452" t="s">
        <v>371</v>
      </c>
      <c r="U452">
        <v>2.3290546543066835E-5</v>
      </c>
      <c r="V452" t="s">
        <v>161</v>
      </c>
    </row>
    <row r="453" spans="9:22" x14ac:dyDescent="0.45">
      <c r="I453" t="s">
        <v>176</v>
      </c>
      <c r="J453" t="s">
        <v>372</v>
      </c>
      <c r="K453">
        <v>5.0452042625066405E-4</v>
      </c>
      <c r="L453" t="s">
        <v>161</v>
      </c>
      <c r="N453" t="s">
        <v>199</v>
      </c>
      <c r="O453" t="s">
        <v>372</v>
      </c>
      <c r="P453">
        <v>2.1171895466082799E-5</v>
      </c>
      <c r="Q453" t="s">
        <v>161</v>
      </c>
      <c r="S453" t="s">
        <v>221</v>
      </c>
      <c r="T453" t="s">
        <v>372</v>
      </c>
      <c r="U453">
        <v>2.0860203402482632E-5</v>
      </c>
      <c r="V453" t="s">
        <v>161</v>
      </c>
    </row>
    <row r="454" spans="9:22" x14ac:dyDescent="0.45">
      <c r="I454" t="s">
        <v>176</v>
      </c>
      <c r="J454" t="s">
        <v>373</v>
      </c>
      <c r="K454">
        <v>4.5504265146658398E-4</v>
      </c>
      <c r="L454" t="s">
        <v>161</v>
      </c>
      <c r="N454" t="s">
        <v>199</v>
      </c>
      <c r="O454" t="s">
        <v>373</v>
      </c>
      <c r="P454">
        <v>1.8625570036939572E-5</v>
      </c>
      <c r="Q454" t="s">
        <v>161</v>
      </c>
      <c r="S454" t="s">
        <v>221</v>
      </c>
      <c r="T454" t="s">
        <v>373</v>
      </c>
      <c r="U454">
        <v>1.786144157600215E-5</v>
      </c>
      <c r="V454" t="s">
        <v>161</v>
      </c>
    </row>
    <row r="455" spans="9:22" x14ac:dyDescent="0.45">
      <c r="I455" t="s">
        <v>176</v>
      </c>
      <c r="J455" t="s">
        <v>374</v>
      </c>
      <c r="K455">
        <v>4.2464425920147193E-4</v>
      </c>
      <c r="L455" t="s">
        <v>161</v>
      </c>
      <c r="N455" t="s">
        <v>199</v>
      </c>
      <c r="O455" t="s">
        <v>374</v>
      </c>
      <c r="P455">
        <v>2.1773217209835503E-5</v>
      </c>
      <c r="Q455" t="s">
        <v>161</v>
      </c>
      <c r="S455" t="s">
        <v>221</v>
      </c>
      <c r="T455" t="s">
        <v>374</v>
      </c>
      <c r="U455">
        <v>2.0009765984109526E-5</v>
      </c>
      <c r="V455" t="s">
        <v>161</v>
      </c>
    </row>
    <row r="456" spans="9:22" x14ac:dyDescent="0.45">
      <c r="I456" t="s">
        <v>176</v>
      </c>
      <c r="J456" t="s">
        <v>375</v>
      </c>
      <c r="K456">
        <v>4.4042467717275539E-4</v>
      </c>
      <c r="L456" t="s">
        <v>161</v>
      </c>
      <c r="N456" t="s">
        <v>199</v>
      </c>
      <c r="O456" t="s">
        <v>375</v>
      </c>
      <c r="P456">
        <v>2.3004730410482817E-5</v>
      </c>
      <c r="Q456" t="s">
        <v>161</v>
      </c>
      <c r="S456" t="s">
        <v>221</v>
      </c>
      <c r="T456" t="s">
        <v>375</v>
      </c>
      <c r="U456">
        <v>2.2268419718652795E-5</v>
      </c>
      <c r="V456" t="s">
        <v>161</v>
      </c>
    </row>
    <row r="457" spans="9:22" x14ac:dyDescent="0.45">
      <c r="I457" t="s">
        <v>176</v>
      </c>
      <c r="J457" t="s">
        <v>376</v>
      </c>
      <c r="K457">
        <v>4.1805101897598524E-4</v>
      </c>
      <c r="L457" t="s">
        <v>161</v>
      </c>
      <c r="N457" t="s">
        <v>199</v>
      </c>
      <c r="O457" t="s">
        <v>376</v>
      </c>
      <c r="P457">
        <v>1.9119924145402349E-5</v>
      </c>
      <c r="Q457" t="s">
        <v>161</v>
      </c>
      <c r="S457" t="s">
        <v>221</v>
      </c>
      <c r="T457" t="s">
        <v>376</v>
      </c>
      <c r="U457">
        <v>2.1591200690973897E-5</v>
      </c>
      <c r="V457" t="s">
        <v>161</v>
      </c>
    </row>
    <row r="458" spans="9:22" x14ac:dyDescent="0.45">
      <c r="I458" t="s">
        <v>176</v>
      </c>
      <c r="J458" t="s">
        <v>377</v>
      </c>
      <c r="K458">
        <v>4.3524991146166647E-4</v>
      </c>
      <c r="L458" t="s">
        <v>161</v>
      </c>
      <c r="N458" t="s">
        <v>199</v>
      </c>
      <c r="O458" t="s">
        <v>377</v>
      </c>
      <c r="P458">
        <v>1.3992413356743698E-5</v>
      </c>
      <c r="Q458" t="s">
        <v>161</v>
      </c>
      <c r="S458" t="s">
        <v>221</v>
      </c>
      <c r="T458" t="s">
        <v>377</v>
      </c>
      <c r="U458">
        <v>2.0542250855912798E-5</v>
      </c>
      <c r="V458" t="s">
        <v>161</v>
      </c>
    </row>
    <row r="459" spans="9:22" x14ac:dyDescent="0.45">
      <c r="I459" t="s">
        <v>176</v>
      </c>
      <c r="J459" t="s">
        <v>378</v>
      </c>
      <c r="K459">
        <v>4.0640306927896977E-4</v>
      </c>
      <c r="L459" t="s">
        <v>161</v>
      </c>
      <c r="N459" t="s">
        <v>199</v>
      </c>
      <c r="O459" t="s">
        <v>378</v>
      </c>
      <c r="P459">
        <v>1.3321870349657471E-5</v>
      </c>
      <c r="Q459" t="s">
        <v>161</v>
      </c>
      <c r="S459" t="s">
        <v>221</v>
      </c>
      <c r="T459" t="s">
        <v>378</v>
      </c>
      <c r="U459">
        <v>2.3224712682993034E-5</v>
      </c>
      <c r="V459" t="s">
        <v>161</v>
      </c>
    </row>
    <row r="460" spans="9:22" x14ac:dyDescent="0.45">
      <c r="I460" t="s">
        <v>176</v>
      </c>
      <c r="J460" t="s">
        <v>379</v>
      </c>
      <c r="K460">
        <v>3.3462946704314154E-4</v>
      </c>
      <c r="L460" t="s">
        <v>161</v>
      </c>
      <c r="N460" t="s">
        <v>199</v>
      </c>
      <c r="O460" t="s">
        <v>379</v>
      </c>
      <c r="P460">
        <v>9.7146523929513413E-6</v>
      </c>
      <c r="Q460" t="s">
        <v>161</v>
      </c>
      <c r="S460" t="s">
        <v>221</v>
      </c>
      <c r="T460" t="s">
        <v>379</v>
      </c>
      <c r="U460">
        <v>2.2966337359308329E-5</v>
      </c>
      <c r="V460" t="s">
        <v>161</v>
      </c>
    </row>
    <row r="461" spans="9:22" x14ac:dyDescent="0.45">
      <c r="I461" t="s">
        <v>176</v>
      </c>
      <c r="J461" t="s">
        <v>380</v>
      </c>
      <c r="K461">
        <v>2.1976402944439194E-4</v>
      </c>
      <c r="L461" t="s">
        <v>161</v>
      </c>
      <c r="N461" t="s">
        <v>199</v>
      </c>
      <c r="O461" t="s">
        <v>380</v>
      </c>
      <c r="P461">
        <v>6.9104906680440057E-6</v>
      </c>
      <c r="Q461" t="s">
        <v>161</v>
      </c>
      <c r="S461" t="s">
        <v>221</v>
      </c>
      <c r="T461" t="s">
        <v>380</v>
      </c>
      <c r="U461">
        <v>2.0874133388926722E-5</v>
      </c>
      <c r="V461" t="s">
        <v>161</v>
      </c>
    </row>
    <row r="462" spans="9:22" x14ac:dyDescent="0.45">
      <c r="I462" t="s">
        <v>176</v>
      </c>
      <c r="J462" t="s">
        <v>381</v>
      </c>
      <c r="K462">
        <v>0</v>
      </c>
      <c r="L462" t="s">
        <v>161</v>
      </c>
      <c r="N462" t="s">
        <v>199</v>
      </c>
      <c r="O462" t="s">
        <v>381</v>
      </c>
      <c r="P462">
        <v>5.1599418848150306E-6</v>
      </c>
      <c r="Q462" t="s">
        <v>161</v>
      </c>
      <c r="S462" t="s">
        <v>221</v>
      </c>
      <c r="T462" t="s">
        <v>381</v>
      </c>
      <c r="U462">
        <v>1.85032299614275E-5</v>
      </c>
      <c r="V462" t="s">
        <v>161</v>
      </c>
    </row>
    <row r="463" spans="9:22" x14ac:dyDescent="0.45">
      <c r="I463" t="s">
        <v>176</v>
      </c>
      <c r="J463" t="s">
        <v>382</v>
      </c>
      <c r="K463">
        <v>0</v>
      </c>
      <c r="L463" t="s">
        <v>161</v>
      </c>
      <c r="N463" t="s">
        <v>199</v>
      </c>
      <c r="O463" t="s">
        <v>382</v>
      </c>
      <c r="P463">
        <v>2.9113794806197637E-6</v>
      </c>
      <c r="Q463" t="s">
        <v>161</v>
      </c>
      <c r="S463" t="s">
        <v>221</v>
      </c>
      <c r="T463" t="s">
        <v>382</v>
      </c>
      <c r="U463">
        <v>1.4447061607155118E-5</v>
      </c>
      <c r="V463" t="s">
        <v>161</v>
      </c>
    </row>
    <row r="464" spans="9:22" x14ac:dyDescent="0.45">
      <c r="I464" t="s">
        <v>176</v>
      </c>
      <c r="J464" t="s">
        <v>383</v>
      </c>
      <c r="K464">
        <v>0</v>
      </c>
      <c r="L464" t="s">
        <v>161</v>
      </c>
      <c r="N464" t="s">
        <v>199</v>
      </c>
      <c r="O464" t="s">
        <v>383</v>
      </c>
      <c r="P464">
        <v>1.3463443233188445E-6</v>
      </c>
      <c r="Q464" t="s">
        <v>161</v>
      </c>
      <c r="S464" t="s">
        <v>221</v>
      </c>
      <c r="T464" t="s">
        <v>383</v>
      </c>
      <c r="U464">
        <v>1.1101713058056612E-5</v>
      </c>
      <c r="V464" t="s">
        <v>161</v>
      </c>
    </row>
    <row r="465" spans="9:22" x14ac:dyDescent="0.45">
      <c r="I465" t="s">
        <v>176</v>
      </c>
      <c r="J465" t="s">
        <v>384</v>
      </c>
      <c r="K465">
        <v>0</v>
      </c>
      <c r="L465" t="s">
        <v>161</v>
      </c>
      <c r="N465" t="s">
        <v>199</v>
      </c>
      <c r="O465" t="s">
        <v>384</v>
      </c>
      <c r="P465">
        <v>1.0656626781035942E-6</v>
      </c>
      <c r="Q465" t="s">
        <v>161</v>
      </c>
      <c r="S465" t="s">
        <v>221</v>
      </c>
      <c r="T465" t="s">
        <v>384</v>
      </c>
      <c r="U465">
        <v>8.4414151500662061E-6</v>
      </c>
      <c r="V465" t="s">
        <v>161</v>
      </c>
    </row>
    <row r="466" spans="9:22" x14ac:dyDescent="0.45">
      <c r="I466" t="s">
        <v>176</v>
      </c>
      <c r="J466" t="s">
        <v>385</v>
      </c>
      <c r="K466">
        <v>0</v>
      </c>
      <c r="L466" t="s">
        <v>161</v>
      </c>
      <c r="N466" t="s">
        <v>199</v>
      </c>
      <c r="O466" t="s">
        <v>385</v>
      </c>
      <c r="P466">
        <v>9.4445139037921737E-7</v>
      </c>
      <c r="Q466" t="s">
        <v>161</v>
      </c>
      <c r="S466" t="s">
        <v>221</v>
      </c>
      <c r="T466" t="s">
        <v>385</v>
      </c>
      <c r="U466">
        <v>6.9503179469813773E-6</v>
      </c>
      <c r="V466" t="s">
        <v>161</v>
      </c>
    </row>
    <row r="467" spans="9:22" x14ac:dyDescent="0.45">
      <c r="I467" t="s">
        <v>176</v>
      </c>
      <c r="J467" t="s">
        <v>250</v>
      </c>
      <c r="K467">
        <v>5.3587840803629022E-3</v>
      </c>
      <c r="L467" t="s">
        <v>161</v>
      </c>
      <c r="N467" t="s">
        <v>199</v>
      </c>
      <c r="O467" t="s">
        <v>250</v>
      </c>
      <c r="P467">
        <v>4.4273066279294566E-2</v>
      </c>
      <c r="Q467" t="s">
        <v>161</v>
      </c>
      <c r="S467" t="s">
        <v>221</v>
      </c>
      <c r="T467" t="s">
        <v>250</v>
      </c>
      <c r="U467">
        <v>4.279323441303181E-2</v>
      </c>
      <c r="V467" t="s">
        <v>161</v>
      </c>
    </row>
    <row r="468" spans="9:22" x14ac:dyDescent="0.45">
      <c r="I468" t="s">
        <v>176</v>
      </c>
      <c r="J468" t="s">
        <v>251</v>
      </c>
      <c r="K468">
        <v>6.9344031201463993E-3</v>
      </c>
      <c r="L468" t="s">
        <v>161</v>
      </c>
      <c r="N468" t="s">
        <v>199</v>
      </c>
      <c r="O468" t="s">
        <v>251</v>
      </c>
      <c r="P468">
        <v>5.7027431289978217E-3</v>
      </c>
      <c r="Q468" t="s">
        <v>161</v>
      </c>
      <c r="S468" t="s">
        <v>221</v>
      </c>
      <c r="T468" t="s">
        <v>251</v>
      </c>
      <c r="U468">
        <v>5.4667905041371149E-3</v>
      </c>
      <c r="V468" t="s">
        <v>161</v>
      </c>
    </row>
    <row r="469" spans="9:22" x14ac:dyDescent="0.45">
      <c r="I469" t="s">
        <v>176</v>
      </c>
      <c r="J469" t="s">
        <v>252</v>
      </c>
      <c r="K469">
        <v>7.5173001159349509E-2</v>
      </c>
      <c r="L469" t="s">
        <v>161</v>
      </c>
      <c r="N469" t="s">
        <v>199</v>
      </c>
      <c r="O469" t="s">
        <v>252</v>
      </c>
      <c r="P469">
        <v>3.8280688785084831E-2</v>
      </c>
      <c r="Q469" t="s">
        <v>161</v>
      </c>
      <c r="S469" t="s">
        <v>221</v>
      </c>
      <c r="T469" t="s">
        <v>252</v>
      </c>
      <c r="U469">
        <v>3.7531204265014641E-2</v>
      </c>
      <c r="V469" t="s">
        <v>161</v>
      </c>
    </row>
    <row r="470" spans="9:22" x14ac:dyDescent="0.45">
      <c r="I470" t="s">
        <v>176</v>
      </c>
      <c r="J470" t="s">
        <v>253</v>
      </c>
      <c r="K470">
        <v>6.7200057387374985E-3</v>
      </c>
      <c r="L470" t="s">
        <v>161</v>
      </c>
      <c r="N470" t="s">
        <v>199</v>
      </c>
      <c r="O470" t="s">
        <v>253</v>
      </c>
      <c r="P470">
        <v>5.6659194013705854E-3</v>
      </c>
      <c r="Q470" t="s">
        <v>161</v>
      </c>
      <c r="S470" t="s">
        <v>221</v>
      </c>
      <c r="T470" t="s">
        <v>253</v>
      </c>
      <c r="U470">
        <v>5.4215978649293159E-3</v>
      </c>
      <c r="V470" t="s">
        <v>161</v>
      </c>
    </row>
    <row r="471" spans="9:22" x14ac:dyDescent="0.45">
      <c r="I471" t="s">
        <v>176</v>
      </c>
      <c r="J471" t="s">
        <v>254</v>
      </c>
      <c r="K471">
        <v>2.0404743748881947E-3</v>
      </c>
      <c r="L471" t="s">
        <v>161</v>
      </c>
      <c r="N471" t="s">
        <v>199</v>
      </c>
      <c r="O471" t="s">
        <v>254</v>
      </c>
      <c r="P471">
        <v>5.8152222834924406E-3</v>
      </c>
      <c r="Q471" t="s">
        <v>161</v>
      </c>
      <c r="S471" t="s">
        <v>221</v>
      </c>
      <c r="T471" t="s">
        <v>254</v>
      </c>
      <c r="U471">
        <v>5.6428129610591781E-3</v>
      </c>
      <c r="V471" t="s">
        <v>161</v>
      </c>
    </row>
    <row r="472" spans="9:22" x14ac:dyDescent="0.45">
      <c r="I472" t="s">
        <v>176</v>
      </c>
      <c r="J472" t="s">
        <v>270</v>
      </c>
      <c r="K472">
        <v>0</v>
      </c>
      <c r="L472" t="s">
        <v>161</v>
      </c>
      <c r="N472" t="s">
        <v>199</v>
      </c>
      <c r="O472" t="s">
        <v>270</v>
      </c>
      <c r="P472">
        <v>3.7372414452190555E-2</v>
      </c>
      <c r="Q472" t="s">
        <v>161</v>
      </c>
      <c r="S472" t="s">
        <v>221</v>
      </c>
      <c r="T472" t="s">
        <v>270</v>
      </c>
      <c r="U472">
        <v>3.6028856363661751E-2</v>
      </c>
      <c r="V472" t="s">
        <v>161</v>
      </c>
    </row>
    <row r="473" spans="9:22" x14ac:dyDescent="0.45">
      <c r="I473" t="s">
        <v>176</v>
      </c>
      <c r="J473" t="s">
        <v>255</v>
      </c>
      <c r="K473">
        <v>3.3860597806650237E-4</v>
      </c>
      <c r="L473" t="s">
        <v>161</v>
      </c>
      <c r="N473" t="s">
        <v>199</v>
      </c>
      <c r="O473" t="s">
        <v>255</v>
      </c>
      <c r="P473">
        <v>5.0525658969344182E-2</v>
      </c>
      <c r="Q473" t="s">
        <v>161</v>
      </c>
      <c r="S473" t="s">
        <v>221</v>
      </c>
      <c r="T473" t="s">
        <v>255</v>
      </c>
      <c r="U473">
        <v>4.9137161228140415E-2</v>
      </c>
      <c r="V473" t="s">
        <v>161</v>
      </c>
    </row>
    <row r="474" spans="9:22" x14ac:dyDescent="0.45">
      <c r="I474" t="s">
        <v>176</v>
      </c>
      <c r="J474" t="s">
        <v>256</v>
      </c>
      <c r="K474">
        <v>4.1549978369455664E-3</v>
      </c>
      <c r="L474" t="s">
        <v>161</v>
      </c>
      <c r="N474" t="s">
        <v>199</v>
      </c>
      <c r="O474" t="s">
        <v>256</v>
      </c>
      <c r="P474">
        <v>6.4905966325424988E-3</v>
      </c>
      <c r="Q474" t="s">
        <v>161</v>
      </c>
      <c r="S474" t="s">
        <v>221</v>
      </c>
      <c r="T474" t="s">
        <v>256</v>
      </c>
      <c r="U474">
        <v>6.1632522157291404E-3</v>
      </c>
      <c r="V474" t="s">
        <v>161</v>
      </c>
    </row>
    <row r="475" spans="9:22" x14ac:dyDescent="0.45">
      <c r="I475" t="s">
        <v>176</v>
      </c>
      <c r="J475" t="s">
        <v>257</v>
      </c>
      <c r="K475">
        <v>5.4106607245074996E-2</v>
      </c>
      <c r="L475" t="s">
        <v>161</v>
      </c>
      <c r="N475" t="s">
        <v>199</v>
      </c>
      <c r="O475" t="s">
        <v>257</v>
      </c>
      <c r="P475">
        <v>4.4128657049273205E-2</v>
      </c>
      <c r="Q475" t="s">
        <v>161</v>
      </c>
      <c r="S475" t="s">
        <v>221</v>
      </c>
      <c r="T475" t="s">
        <v>257</v>
      </c>
      <c r="U475">
        <v>4.338250705093738E-2</v>
      </c>
      <c r="V475" t="s">
        <v>161</v>
      </c>
    </row>
    <row r="476" spans="9:22" x14ac:dyDescent="0.45">
      <c r="I476" t="s">
        <v>176</v>
      </c>
      <c r="J476" t="s">
        <v>258</v>
      </c>
      <c r="K476">
        <v>7.838661865173733E-4</v>
      </c>
      <c r="L476" t="s">
        <v>161</v>
      </c>
      <c r="N476" t="s">
        <v>199</v>
      </c>
      <c r="O476" t="s">
        <v>258</v>
      </c>
      <c r="P476">
        <v>6.5144322048248703E-3</v>
      </c>
      <c r="Q476" t="s">
        <v>161</v>
      </c>
      <c r="S476" t="s">
        <v>221</v>
      </c>
      <c r="T476" t="s">
        <v>258</v>
      </c>
      <c r="U476">
        <v>6.4835353784899411E-3</v>
      </c>
      <c r="V476" t="s">
        <v>161</v>
      </c>
    </row>
    <row r="477" spans="9:22" x14ac:dyDescent="0.45">
      <c r="I477" t="s">
        <v>176</v>
      </c>
      <c r="J477" t="s">
        <v>259</v>
      </c>
      <c r="K477">
        <v>0</v>
      </c>
      <c r="L477" t="s">
        <v>161</v>
      </c>
      <c r="N477" t="s">
        <v>199</v>
      </c>
      <c r="O477" t="s">
        <v>259</v>
      </c>
      <c r="P477">
        <v>6.5432124388456036E-3</v>
      </c>
      <c r="Q477" t="s">
        <v>161</v>
      </c>
      <c r="S477" t="s">
        <v>221</v>
      </c>
      <c r="T477" t="s">
        <v>259</v>
      </c>
      <c r="U477">
        <v>6.6150176043870447E-3</v>
      </c>
      <c r="V477" t="s">
        <v>161</v>
      </c>
    </row>
    <row r="478" spans="9:22" x14ac:dyDescent="0.45">
      <c r="I478" t="s">
        <v>176</v>
      </c>
      <c r="J478" t="s">
        <v>271</v>
      </c>
      <c r="K478">
        <v>0</v>
      </c>
      <c r="L478" t="s">
        <v>161</v>
      </c>
      <c r="N478" t="s">
        <v>199</v>
      </c>
      <c r="O478" t="s">
        <v>271</v>
      </c>
      <c r="P478">
        <v>3.9506619875815129E-2</v>
      </c>
      <c r="Q478" t="s">
        <v>161</v>
      </c>
      <c r="S478" t="s">
        <v>221</v>
      </c>
      <c r="T478" t="s">
        <v>271</v>
      </c>
      <c r="U478">
        <v>3.9351567408457626E-2</v>
      </c>
      <c r="V478" t="s">
        <v>161</v>
      </c>
    </row>
    <row r="479" spans="9:22" x14ac:dyDescent="0.45">
      <c r="I479" t="s">
        <v>176</v>
      </c>
      <c r="J479" t="s">
        <v>272</v>
      </c>
      <c r="K479">
        <v>0</v>
      </c>
      <c r="L479" t="s">
        <v>161</v>
      </c>
      <c r="N479" t="s">
        <v>199</v>
      </c>
      <c r="O479" t="s">
        <v>272</v>
      </c>
      <c r="P479">
        <v>1.4520980516602439E-2</v>
      </c>
      <c r="Q479" t="s">
        <v>161</v>
      </c>
      <c r="S479" t="s">
        <v>221</v>
      </c>
      <c r="T479" t="s">
        <v>272</v>
      </c>
      <c r="U479">
        <v>1.3672840710075972E-2</v>
      </c>
      <c r="V479" t="s">
        <v>161</v>
      </c>
    </row>
    <row r="480" spans="9:22" x14ac:dyDescent="0.45">
      <c r="I480" t="s">
        <v>176</v>
      </c>
      <c r="J480" t="s">
        <v>273</v>
      </c>
      <c r="K480">
        <v>5.5128906503737344E-4</v>
      </c>
      <c r="L480" t="s">
        <v>161</v>
      </c>
      <c r="N480" t="s">
        <v>199</v>
      </c>
      <c r="O480" t="s">
        <v>273</v>
      </c>
      <c r="P480">
        <v>1.9546269744749379E-3</v>
      </c>
      <c r="Q480" t="s">
        <v>161</v>
      </c>
      <c r="S480" t="s">
        <v>221</v>
      </c>
      <c r="T480" t="s">
        <v>273</v>
      </c>
      <c r="U480">
        <v>1.8352823920813697E-3</v>
      </c>
      <c r="V480" t="s">
        <v>161</v>
      </c>
    </row>
    <row r="481" spans="9:22" x14ac:dyDescent="0.45">
      <c r="I481" t="s">
        <v>176</v>
      </c>
      <c r="J481" t="s">
        <v>274</v>
      </c>
      <c r="K481">
        <v>1.0150697006545922E-2</v>
      </c>
      <c r="L481" t="s">
        <v>161</v>
      </c>
      <c r="N481" t="s">
        <v>199</v>
      </c>
      <c r="O481" t="s">
        <v>274</v>
      </c>
      <c r="P481">
        <v>1.33206273523709E-2</v>
      </c>
      <c r="Q481" t="s">
        <v>161</v>
      </c>
      <c r="S481" t="s">
        <v>221</v>
      </c>
      <c r="T481" t="s">
        <v>274</v>
      </c>
      <c r="U481">
        <v>1.2928232573753655E-2</v>
      </c>
      <c r="V481" t="s">
        <v>161</v>
      </c>
    </row>
    <row r="482" spans="9:22" x14ac:dyDescent="0.45">
      <c r="I482" t="s">
        <v>176</v>
      </c>
      <c r="J482" t="s">
        <v>275</v>
      </c>
      <c r="K482">
        <v>0</v>
      </c>
      <c r="L482" t="s">
        <v>161</v>
      </c>
      <c r="N482" t="s">
        <v>199</v>
      </c>
      <c r="O482" t="s">
        <v>275</v>
      </c>
      <c r="P482">
        <v>1.7675171542682784E-3</v>
      </c>
      <c r="Q482" t="s">
        <v>161</v>
      </c>
      <c r="S482" t="s">
        <v>221</v>
      </c>
      <c r="T482" t="s">
        <v>275</v>
      </c>
      <c r="U482">
        <v>1.7619467577008891E-3</v>
      </c>
      <c r="V482" t="s">
        <v>161</v>
      </c>
    </row>
    <row r="483" spans="9:22" x14ac:dyDescent="0.45">
      <c r="I483" t="s">
        <v>176</v>
      </c>
      <c r="J483" t="s">
        <v>276</v>
      </c>
      <c r="K483">
        <v>0</v>
      </c>
      <c r="L483" t="s">
        <v>161</v>
      </c>
      <c r="N483" t="s">
        <v>199</v>
      </c>
      <c r="O483" t="s">
        <v>276</v>
      </c>
      <c r="P483">
        <v>1.8083855089541406E-3</v>
      </c>
      <c r="Q483" t="s">
        <v>161</v>
      </c>
      <c r="S483" t="s">
        <v>221</v>
      </c>
      <c r="T483" t="s">
        <v>276</v>
      </c>
      <c r="U483">
        <v>1.8050828143622885E-3</v>
      </c>
      <c r="V483" t="s">
        <v>161</v>
      </c>
    </row>
    <row r="484" spans="9:22" x14ac:dyDescent="0.45">
      <c r="I484" t="s">
        <v>176</v>
      </c>
      <c r="J484" t="s">
        <v>277</v>
      </c>
      <c r="K484">
        <v>0</v>
      </c>
      <c r="L484" t="s">
        <v>161</v>
      </c>
      <c r="N484" t="s">
        <v>199</v>
      </c>
      <c r="O484" t="s">
        <v>277</v>
      </c>
      <c r="P484">
        <v>9.9374429414173307E-3</v>
      </c>
      <c r="Q484" t="s">
        <v>161</v>
      </c>
      <c r="S484" t="s">
        <v>221</v>
      </c>
      <c r="T484" t="s">
        <v>277</v>
      </c>
      <c r="U484">
        <v>9.6820649755128482E-3</v>
      </c>
      <c r="V484" t="s">
        <v>161</v>
      </c>
    </row>
    <row r="485" spans="9:22" x14ac:dyDescent="0.45">
      <c r="I485" t="s">
        <v>176</v>
      </c>
      <c r="J485" t="s">
        <v>278</v>
      </c>
      <c r="K485">
        <v>0</v>
      </c>
      <c r="L485" t="s">
        <v>161</v>
      </c>
      <c r="N485" t="s">
        <v>199</v>
      </c>
      <c r="O485" t="s">
        <v>278</v>
      </c>
      <c r="P485">
        <v>6.6599099139803362E-3</v>
      </c>
      <c r="Q485" t="s">
        <v>161</v>
      </c>
      <c r="S485" t="s">
        <v>221</v>
      </c>
      <c r="T485" t="s">
        <v>278</v>
      </c>
      <c r="U485">
        <v>6.3544538864941233E-3</v>
      </c>
      <c r="V485" t="s">
        <v>161</v>
      </c>
    </row>
    <row r="486" spans="9:22" x14ac:dyDescent="0.45">
      <c r="I486" t="s">
        <v>176</v>
      </c>
      <c r="J486" t="s">
        <v>279</v>
      </c>
      <c r="K486">
        <v>5.1766415533606707E-4</v>
      </c>
      <c r="L486" t="s">
        <v>161</v>
      </c>
      <c r="N486" t="s">
        <v>199</v>
      </c>
      <c r="O486" t="s">
        <v>279</v>
      </c>
      <c r="P486">
        <v>9.0605316136075709E-4</v>
      </c>
      <c r="Q486" t="s">
        <v>161</v>
      </c>
      <c r="S486" t="s">
        <v>221</v>
      </c>
      <c r="T486" t="s">
        <v>279</v>
      </c>
      <c r="U486">
        <v>8.8552306331753387E-4</v>
      </c>
      <c r="V486" t="s">
        <v>161</v>
      </c>
    </row>
    <row r="487" spans="9:22" x14ac:dyDescent="0.45">
      <c r="I487" t="s">
        <v>176</v>
      </c>
      <c r="J487" t="s">
        <v>280</v>
      </c>
      <c r="K487">
        <v>8.5774119558122731E-3</v>
      </c>
      <c r="L487" t="s">
        <v>161</v>
      </c>
      <c r="N487" t="s">
        <v>199</v>
      </c>
      <c r="O487" t="s">
        <v>280</v>
      </c>
      <c r="P487">
        <v>6.5030960419400086E-3</v>
      </c>
      <c r="Q487" t="s">
        <v>161</v>
      </c>
      <c r="S487" t="s">
        <v>221</v>
      </c>
      <c r="T487" t="s">
        <v>280</v>
      </c>
      <c r="U487">
        <v>6.5141645233597169E-3</v>
      </c>
      <c r="V487" t="s">
        <v>161</v>
      </c>
    </row>
    <row r="488" spans="9:22" x14ac:dyDescent="0.45">
      <c r="I488" t="s">
        <v>176</v>
      </c>
      <c r="J488" t="s">
        <v>281</v>
      </c>
      <c r="K488">
        <v>0</v>
      </c>
      <c r="L488" t="s">
        <v>161</v>
      </c>
      <c r="N488" t="s">
        <v>199</v>
      </c>
      <c r="O488" t="s">
        <v>281</v>
      </c>
      <c r="P488">
        <v>9.1606786288408743E-4</v>
      </c>
      <c r="Q488" t="s">
        <v>161</v>
      </c>
      <c r="S488" t="s">
        <v>221</v>
      </c>
      <c r="T488" t="s">
        <v>281</v>
      </c>
      <c r="U488">
        <v>9.0582071181027836E-4</v>
      </c>
      <c r="V488" t="s">
        <v>161</v>
      </c>
    </row>
    <row r="489" spans="9:22" x14ac:dyDescent="0.45">
      <c r="I489" t="s">
        <v>176</v>
      </c>
      <c r="J489" t="s">
        <v>282</v>
      </c>
      <c r="K489">
        <v>0</v>
      </c>
      <c r="L489" t="s">
        <v>161</v>
      </c>
      <c r="N489" t="s">
        <v>199</v>
      </c>
      <c r="O489" t="s">
        <v>282</v>
      </c>
      <c r="P489">
        <v>8.9082556909920963E-4</v>
      </c>
      <c r="Q489" t="s">
        <v>161</v>
      </c>
      <c r="S489" t="s">
        <v>221</v>
      </c>
      <c r="T489" t="s">
        <v>282</v>
      </c>
      <c r="U489">
        <v>8.6800932795406223E-4</v>
      </c>
      <c r="V489" t="s">
        <v>161</v>
      </c>
    </row>
    <row r="490" spans="9:22" x14ac:dyDescent="0.45">
      <c r="I490" t="s">
        <v>176</v>
      </c>
      <c r="J490" t="s">
        <v>283</v>
      </c>
      <c r="K490">
        <v>0</v>
      </c>
      <c r="L490" t="s">
        <v>161</v>
      </c>
      <c r="N490" t="s">
        <v>199</v>
      </c>
      <c r="O490" t="s">
        <v>283</v>
      </c>
      <c r="P490">
        <v>5.8604532090565497E-3</v>
      </c>
      <c r="Q490" t="s">
        <v>161</v>
      </c>
      <c r="S490" t="s">
        <v>221</v>
      </c>
      <c r="T490" t="s">
        <v>283</v>
      </c>
      <c r="U490">
        <v>5.6817120292120436E-3</v>
      </c>
      <c r="V490" t="s">
        <v>161</v>
      </c>
    </row>
    <row r="491" spans="9:22" x14ac:dyDescent="0.45">
      <c r="I491" t="s">
        <v>177</v>
      </c>
      <c r="J491" t="s">
        <v>160</v>
      </c>
      <c r="K491">
        <v>2.3852663010355884E-3</v>
      </c>
      <c r="L491" t="s">
        <v>161</v>
      </c>
      <c r="N491" t="s">
        <v>200</v>
      </c>
      <c r="O491" t="s">
        <v>160</v>
      </c>
      <c r="P491">
        <v>7.5469573383318084E-2</v>
      </c>
      <c r="Q491" t="s">
        <v>161</v>
      </c>
      <c r="S491" t="s">
        <v>222</v>
      </c>
      <c r="T491" t="s">
        <v>160</v>
      </c>
      <c r="U491">
        <v>6.9910423276565256E-2</v>
      </c>
      <c r="V491" t="s">
        <v>161</v>
      </c>
    </row>
    <row r="492" spans="9:22" x14ac:dyDescent="0.45">
      <c r="I492" t="s">
        <v>177</v>
      </c>
      <c r="J492" t="s">
        <v>162</v>
      </c>
      <c r="K492">
        <v>7.5286001959518085E-3</v>
      </c>
      <c r="L492" t="s">
        <v>161</v>
      </c>
      <c r="N492" t="s">
        <v>200</v>
      </c>
      <c r="O492" t="s">
        <v>162</v>
      </c>
      <c r="P492">
        <v>9.2438081988682873E-3</v>
      </c>
      <c r="Q492" t="s">
        <v>161</v>
      </c>
      <c r="S492" t="s">
        <v>222</v>
      </c>
      <c r="T492" t="s">
        <v>162</v>
      </c>
      <c r="U492">
        <v>8.753008641532313E-3</v>
      </c>
      <c r="V492" t="s">
        <v>161</v>
      </c>
    </row>
    <row r="493" spans="9:22" x14ac:dyDescent="0.45">
      <c r="I493" t="s">
        <v>177</v>
      </c>
      <c r="J493" t="s">
        <v>163</v>
      </c>
      <c r="K493">
        <v>0.10116859609472574</v>
      </c>
      <c r="L493" t="s">
        <v>161</v>
      </c>
      <c r="N493" t="s">
        <v>200</v>
      </c>
      <c r="O493" t="s">
        <v>163</v>
      </c>
      <c r="P493">
        <v>6.1944546722767571E-2</v>
      </c>
      <c r="Q493" t="s">
        <v>161</v>
      </c>
      <c r="S493" t="s">
        <v>222</v>
      </c>
      <c r="T493" t="s">
        <v>163</v>
      </c>
      <c r="U493">
        <v>5.9370225236502414E-2</v>
      </c>
      <c r="V493" t="s">
        <v>161</v>
      </c>
    </row>
    <row r="494" spans="9:22" x14ac:dyDescent="0.45">
      <c r="I494" t="s">
        <v>177</v>
      </c>
      <c r="J494" t="s">
        <v>242</v>
      </c>
      <c r="K494">
        <v>7.8118829776119931E-3</v>
      </c>
      <c r="L494" t="s">
        <v>161</v>
      </c>
      <c r="N494" t="s">
        <v>200</v>
      </c>
      <c r="O494" t="s">
        <v>242</v>
      </c>
      <c r="P494">
        <v>8.8406876552619158E-3</v>
      </c>
      <c r="Q494" t="s">
        <v>161</v>
      </c>
      <c r="S494" t="s">
        <v>222</v>
      </c>
      <c r="T494" t="s">
        <v>242</v>
      </c>
      <c r="U494">
        <v>8.7583336162057254E-3</v>
      </c>
      <c r="V494" t="s">
        <v>161</v>
      </c>
    </row>
    <row r="495" spans="9:22" x14ac:dyDescent="0.45">
      <c r="I495" t="s">
        <v>177</v>
      </c>
      <c r="J495" t="s">
        <v>243</v>
      </c>
      <c r="K495">
        <v>3.3412044925680176E-3</v>
      </c>
      <c r="L495" t="s">
        <v>161</v>
      </c>
      <c r="N495" t="s">
        <v>200</v>
      </c>
      <c r="O495" t="s">
        <v>243</v>
      </c>
      <c r="P495">
        <v>9.1136134124403453E-3</v>
      </c>
      <c r="Q495" t="s">
        <v>161</v>
      </c>
      <c r="S495" t="s">
        <v>222</v>
      </c>
      <c r="T495" t="s">
        <v>243</v>
      </c>
      <c r="U495">
        <v>9.0503484412636833E-3</v>
      </c>
      <c r="V495" t="s">
        <v>161</v>
      </c>
    </row>
    <row r="496" spans="9:22" x14ac:dyDescent="0.45">
      <c r="I496" t="s">
        <v>177</v>
      </c>
      <c r="J496" t="s">
        <v>266</v>
      </c>
      <c r="K496">
        <v>0</v>
      </c>
      <c r="L496" t="s">
        <v>161</v>
      </c>
      <c r="N496" t="s">
        <v>200</v>
      </c>
      <c r="O496" t="s">
        <v>266</v>
      </c>
      <c r="P496">
        <v>5.711441788631054E-2</v>
      </c>
      <c r="Q496" t="s">
        <v>161</v>
      </c>
      <c r="S496" t="s">
        <v>222</v>
      </c>
      <c r="T496" t="s">
        <v>266</v>
      </c>
      <c r="U496">
        <v>5.6046313143376783E-2</v>
      </c>
      <c r="V496" t="s">
        <v>161</v>
      </c>
    </row>
    <row r="497" spans="9:22" x14ac:dyDescent="0.45">
      <c r="I497" t="s">
        <v>177</v>
      </c>
      <c r="J497" t="s">
        <v>311</v>
      </c>
      <c r="K497">
        <v>0</v>
      </c>
      <c r="L497" t="s">
        <v>161</v>
      </c>
      <c r="N497" t="s">
        <v>200</v>
      </c>
      <c r="O497" t="s">
        <v>311</v>
      </c>
      <c r="P497">
        <v>1.3185177676426377E-5</v>
      </c>
      <c r="Q497" t="s">
        <v>161</v>
      </c>
      <c r="S497" t="s">
        <v>222</v>
      </c>
      <c r="T497" t="s">
        <v>311</v>
      </c>
      <c r="U497">
        <v>1.7125829719185654E-5</v>
      </c>
      <c r="V497" t="s">
        <v>161</v>
      </c>
    </row>
    <row r="498" spans="9:22" x14ac:dyDescent="0.45">
      <c r="I498" t="s">
        <v>177</v>
      </c>
      <c r="J498" t="s">
        <v>312</v>
      </c>
      <c r="K498">
        <v>0</v>
      </c>
      <c r="L498" t="s">
        <v>161</v>
      </c>
      <c r="N498" t="s">
        <v>200</v>
      </c>
      <c r="O498" t="s">
        <v>312</v>
      </c>
      <c r="P498">
        <v>7.7875054084081044E-6</v>
      </c>
      <c r="Q498" t="s">
        <v>161</v>
      </c>
      <c r="S498" t="s">
        <v>222</v>
      </c>
      <c r="T498" t="s">
        <v>312</v>
      </c>
      <c r="U498">
        <v>2.353217143846759E-5</v>
      </c>
      <c r="V498" t="s">
        <v>161</v>
      </c>
    </row>
    <row r="499" spans="9:22" x14ac:dyDescent="0.45">
      <c r="I499" t="s">
        <v>177</v>
      </c>
      <c r="J499" t="s">
        <v>313</v>
      </c>
      <c r="K499">
        <v>0</v>
      </c>
      <c r="L499" t="s">
        <v>161</v>
      </c>
      <c r="N499" t="s">
        <v>200</v>
      </c>
      <c r="O499" t="s">
        <v>313</v>
      </c>
      <c r="P499">
        <v>5.956059547117023E-6</v>
      </c>
      <c r="Q499" t="s">
        <v>161</v>
      </c>
      <c r="S499" t="s">
        <v>222</v>
      </c>
      <c r="T499" t="s">
        <v>313</v>
      </c>
      <c r="U499">
        <v>2.1222192786439818E-5</v>
      </c>
      <c r="V499" t="s">
        <v>161</v>
      </c>
    </row>
    <row r="500" spans="9:22" x14ac:dyDescent="0.45">
      <c r="I500" t="s">
        <v>177</v>
      </c>
      <c r="J500" t="s">
        <v>314</v>
      </c>
      <c r="K500">
        <v>0</v>
      </c>
      <c r="L500" t="s">
        <v>161</v>
      </c>
      <c r="N500" t="s">
        <v>200</v>
      </c>
      <c r="O500" t="s">
        <v>314</v>
      </c>
      <c r="P500">
        <v>5.917475210674274E-6</v>
      </c>
      <c r="Q500" t="s">
        <v>161</v>
      </c>
      <c r="S500" t="s">
        <v>222</v>
      </c>
      <c r="T500" t="s">
        <v>314</v>
      </c>
      <c r="U500">
        <v>1.7860523987794843E-5</v>
      </c>
      <c r="V500" t="s">
        <v>161</v>
      </c>
    </row>
    <row r="501" spans="9:22" x14ac:dyDescent="0.45">
      <c r="I501" t="s">
        <v>177</v>
      </c>
      <c r="J501" t="s">
        <v>315</v>
      </c>
      <c r="K501">
        <v>0</v>
      </c>
      <c r="L501" t="s">
        <v>161</v>
      </c>
      <c r="N501" t="s">
        <v>200</v>
      </c>
      <c r="O501" t="s">
        <v>315</v>
      </c>
      <c r="P501">
        <v>6.0607739238150194E-6</v>
      </c>
      <c r="Q501" t="s">
        <v>161</v>
      </c>
      <c r="S501" t="s">
        <v>222</v>
      </c>
      <c r="T501" t="s">
        <v>315</v>
      </c>
      <c r="U501">
        <v>9.4830779457537711E-6</v>
      </c>
      <c r="V501" t="s">
        <v>161</v>
      </c>
    </row>
    <row r="502" spans="9:22" x14ac:dyDescent="0.45">
      <c r="I502" t="s">
        <v>177</v>
      </c>
      <c r="J502" t="s">
        <v>316</v>
      </c>
      <c r="K502">
        <v>0</v>
      </c>
      <c r="L502" t="s">
        <v>161</v>
      </c>
      <c r="N502" t="s">
        <v>200</v>
      </c>
      <c r="O502" t="s">
        <v>316</v>
      </c>
      <c r="P502">
        <v>4.7518017693630713E-6</v>
      </c>
      <c r="Q502" t="s">
        <v>161</v>
      </c>
      <c r="S502" t="s">
        <v>222</v>
      </c>
      <c r="T502" t="s">
        <v>316</v>
      </c>
      <c r="U502">
        <v>0</v>
      </c>
      <c r="V502" t="s">
        <v>161</v>
      </c>
    </row>
    <row r="503" spans="9:22" x14ac:dyDescent="0.45">
      <c r="I503" t="s">
        <v>177</v>
      </c>
      <c r="J503" t="s">
        <v>317</v>
      </c>
      <c r="K503">
        <v>0</v>
      </c>
      <c r="L503" t="s">
        <v>161</v>
      </c>
      <c r="N503" t="s">
        <v>200</v>
      </c>
      <c r="O503" t="s">
        <v>317</v>
      </c>
      <c r="P503">
        <v>2.8487419165818176E-6</v>
      </c>
      <c r="Q503" t="s">
        <v>161</v>
      </c>
      <c r="S503" t="s">
        <v>222</v>
      </c>
      <c r="T503" t="s">
        <v>317</v>
      </c>
      <c r="U503">
        <v>0</v>
      </c>
      <c r="V503" t="s">
        <v>161</v>
      </c>
    </row>
    <row r="504" spans="9:22" x14ac:dyDescent="0.45">
      <c r="I504" t="s">
        <v>177</v>
      </c>
      <c r="J504" t="s">
        <v>318</v>
      </c>
      <c r="K504">
        <v>0</v>
      </c>
      <c r="L504" t="s">
        <v>161</v>
      </c>
      <c r="N504" t="s">
        <v>200</v>
      </c>
      <c r="O504" t="s">
        <v>318</v>
      </c>
      <c r="P504">
        <v>2.2048157471085702E-6</v>
      </c>
      <c r="Q504" t="s">
        <v>161</v>
      </c>
      <c r="S504" t="s">
        <v>222</v>
      </c>
      <c r="T504" t="s">
        <v>318</v>
      </c>
      <c r="U504">
        <v>0</v>
      </c>
      <c r="V504" t="s">
        <v>161</v>
      </c>
    </row>
    <row r="505" spans="9:22" x14ac:dyDescent="0.45">
      <c r="I505" t="s">
        <v>177</v>
      </c>
      <c r="J505" t="s">
        <v>319</v>
      </c>
      <c r="K505">
        <v>2.5747334993327077E-5</v>
      </c>
      <c r="L505" t="s">
        <v>161</v>
      </c>
      <c r="N505" t="s">
        <v>200</v>
      </c>
      <c r="O505" t="s">
        <v>319</v>
      </c>
      <c r="P505">
        <v>5.2479578977739298E-7</v>
      </c>
      <c r="Q505" t="s">
        <v>161</v>
      </c>
      <c r="S505" t="s">
        <v>222</v>
      </c>
      <c r="T505" t="s">
        <v>319</v>
      </c>
      <c r="U505">
        <v>0</v>
      </c>
      <c r="V505" t="s">
        <v>161</v>
      </c>
    </row>
    <row r="506" spans="9:22" x14ac:dyDescent="0.45">
      <c r="I506" t="s">
        <v>177</v>
      </c>
      <c r="J506" t="s">
        <v>320</v>
      </c>
      <c r="K506">
        <v>9.4238248680398676E-5</v>
      </c>
      <c r="L506" t="s">
        <v>161</v>
      </c>
      <c r="N506" t="s">
        <v>200</v>
      </c>
      <c r="O506" t="s">
        <v>320</v>
      </c>
      <c r="P506">
        <v>1.4662132136226699E-7</v>
      </c>
      <c r="Q506" t="s">
        <v>161</v>
      </c>
      <c r="S506" t="s">
        <v>222</v>
      </c>
      <c r="T506" t="s">
        <v>320</v>
      </c>
      <c r="U506">
        <v>0</v>
      </c>
      <c r="V506" t="s">
        <v>161</v>
      </c>
    </row>
    <row r="507" spans="9:22" x14ac:dyDescent="0.45">
      <c r="I507" t="s">
        <v>177</v>
      </c>
      <c r="J507" t="s">
        <v>321</v>
      </c>
      <c r="K507">
        <v>1.6465173312494636E-4</v>
      </c>
      <c r="L507" t="s">
        <v>161</v>
      </c>
      <c r="N507" t="s">
        <v>200</v>
      </c>
      <c r="O507" t="s">
        <v>321</v>
      </c>
      <c r="P507">
        <v>2.2838885620344133E-7</v>
      </c>
      <c r="Q507" t="s">
        <v>161</v>
      </c>
      <c r="S507" t="s">
        <v>222</v>
      </c>
      <c r="T507" t="s">
        <v>321</v>
      </c>
      <c r="U507">
        <v>0</v>
      </c>
      <c r="V507" t="s">
        <v>161</v>
      </c>
    </row>
    <row r="508" spans="9:22" x14ac:dyDescent="0.45">
      <c r="I508" t="s">
        <v>177</v>
      </c>
      <c r="J508" t="s">
        <v>322</v>
      </c>
      <c r="K508">
        <v>2.0755782292255297E-4</v>
      </c>
      <c r="L508" t="s">
        <v>161</v>
      </c>
      <c r="N508" t="s">
        <v>200</v>
      </c>
      <c r="O508" t="s">
        <v>322</v>
      </c>
      <c r="P508">
        <v>2.5431922389011437E-7</v>
      </c>
      <c r="Q508" t="s">
        <v>161</v>
      </c>
      <c r="S508" t="s">
        <v>222</v>
      </c>
      <c r="T508" t="s">
        <v>322</v>
      </c>
      <c r="U508">
        <v>0</v>
      </c>
      <c r="V508" t="s">
        <v>161</v>
      </c>
    </row>
    <row r="509" spans="9:22" x14ac:dyDescent="0.45">
      <c r="I509" t="s">
        <v>177</v>
      </c>
      <c r="J509" t="s">
        <v>323</v>
      </c>
      <c r="K509">
        <v>2.0293232019775857E-4</v>
      </c>
      <c r="L509" t="s">
        <v>161</v>
      </c>
      <c r="N509" t="s">
        <v>200</v>
      </c>
      <c r="O509" t="s">
        <v>323</v>
      </c>
      <c r="P509">
        <v>5.5357478974032385E-7</v>
      </c>
      <c r="Q509" t="s">
        <v>161</v>
      </c>
      <c r="S509" t="s">
        <v>222</v>
      </c>
      <c r="T509" t="s">
        <v>323</v>
      </c>
      <c r="U509">
        <v>0</v>
      </c>
      <c r="V509" t="s">
        <v>161</v>
      </c>
    </row>
    <row r="510" spans="9:22" x14ac:dyDescent="0.45">
      <c r="I510" t="s">
        <v>177</v>
      </c>
      <c r="J510" t="s">
        <v>324</v>
      </c>
      <c r="K510">
        <v>2.6363641777284419E-4</v>
      </c>
      <c r="L510" t="s">
        <v>161</v>
      </c>
      <c r="N510" t="s">
        <v>200</v>
      </c>
      <c r="O510" t="s">
        <v>324</v>
      </c>
      <c r="P510">
        <v>1.8411567679080279E-7</v>
      </c>
      <c r="Q510" t="s">
        <v>161</v>
      </c>
      <c r="S510" t="s">
        <v>222</v>
      </c>
      <c r="T510" t="s">
        <v>324</v>
      </c>
      <c r="U510">
        <v>0</v>
      </c>
      <c r="V510" t="s">
        <v>161</v>
      </c>
    </row>
    <row r="511" spans="9:22" x14ac:dyDescent="0.45">
      <c r="I511" t="s">
        <v>177</v>
      </c>
      <c r="J511" t="s">
        <v>325</v>
      </c>
      <c r="K511">
        <v>2.571705657341978E-4</v>
      </c>
      <c r="L511" t="s">
        <v>161</v>
      </c>
      <c r="N511" t="s">
        <v>200</v>
      </c>
      <c r="O511" t="s">
        <v>325</v>
      </c>
      <c r="P511">
        <v>3.848676135122841E-7</v>
      </c>
      <c r="Q511" t="s">
        <v>161</v>
      </c>
      <c r="S511" t="s">
        <v>222</v>
      </c>
      <c r="T511" t="s">
        <v>325</v>
      </c>
      <c r="U511">
        <v>0</v>
      </c>
      <c r="V511" t="s">
        <v>161</v>
      </c>
    </row>
    <row r="512" spans="9:22" x14ac:dyDescent="0.45">
      <c r="I512" t="s">
        <v>177</v>
      </c>
      <c r="J512" t="s">
        <v>326</v>
      </c>
      <c r="K512">
        <v>1.759208928349893E-4</v>
      </c>
      <c r="L512" t="s">
        <v>161</v>
      </c>
      <c r="N512" t="s">
        <v>200</v>
      </c>
      <c r="O512" t="s">
        <v>326</v>
      </c>
      <c r="P512">
        <v>6.9064892810900269E-7</v>
      </c>
      <c r="Q512" t="s">
        <v>161</v>
      </c>
      <c r="S512" t="s">
        <v>222</v>
      </c>
      <c r="T512" t="s">
        <v>326</v>
      </c>
      <c r="U512">
        <v>0</v>
      </c>
      <c r="V512" t="s">
        <v>161</v>
      </c>
    </row>
    <row r="513" spans="9:22" x14ac:dyDescent="0.45">
      <c r="I513" t="s">
        <v>177</v>
      </c>
      <c r="J513" t="s">
        <v>327</v>
      </c>
      <c r="K513">
        <v>1.6811844022120268E-4</v>
      </c>
      <c r="L513" t="s">
        <v>161</v>
      </c>
      <c r="N513" t="s">
        <v>200</v>
      </c>
      <c r="O513" t="s">
        <v>327</v>
      </c>
      <c r="P513">
        <v>5.4818367840978544E-8</v>
      </c>
      <c r="Q513" t="s">
        <v>161</v>
      </c>
      <c r="S513" t="s">
        <v>222</v>
      </c>
      <c r="T513" t="s">
        <v>327</v>
      </c>
      <c r="U513">
        <v>0</v>
      </c>
      <c r="V513" t="s">
        <v>161</v>
      </c>
    </row>
    <row r="514" spans="9:22" x14ac:dyDescent="0.45">
      <c r="I514" t="s">
        <v>177</v>
      </c>
      <c r="J514" t="s">
        <v>328</v>
      </c>
      <c r="K514">
        <v>1.140334514443534E-4</v>
      </c>
      <c r="L514" t="s">
        <v>161</v>
      </c>
      <c r="N514" t="s">
        <v>200</v>
      </c>
      <c r="O514" t="s">
        <v>328</v>
      </c>
      <c r="P514">
        <v>8.5784852714173013E-8</v>
      </c>
      <c r="Q514" t="s">
        <v>161</v>
      </c>
      <c r="S514" t="s">
        <v>222</v>
      </c>
      <c r="T514" t="s">
        <v>328</v>
      </c>
      <c r="U514">
        <v>0</v>
      </c>
      <c r="V514" t="s">
        <v>161</v>
      </c>
    </row>
    <row r="515" spans="9:22" x14ac:dyDescent="0.45">
      <c r="I515" t="s">
        <v>177</v>
      </c>
      <c r="J515" t="s">
        <v>329</v>
      </c>
      <c r="K515">
        <v>0</v>
      </c>
      <c r="L515" t="s">
        <v>161</v>
      </c>
      <c r="N515" t="s">
        <v>200</v>
      </c>
      <c r="O515" t="s">
        <v>329</v>
      </c>
      <c r="P515">
        <v>1.1351943014105744E-6</v>
      </c>
      <c r="Q515" t="s">
        <v>161</v>
      </c>
      <c r="S515" t="s">
        <v>222</v>
      </c>
      <c r="T515" t="s">
        <v>329</v>
      </c>
      <c r="U515">
        <v>0</v>
      </c>
      <c r="V515" t="s">
        <v>161</v>
      </c>
    </row>
    <row r="516" spans="9:22" x14ac:dyDescent="0.45">
      <c r="I516" t="s">
        <v>177</v>
      </c>
      <c r="J516" t="s">
        <v>330</v>
      </c>
      <c r="K516">
        <v>0</v>
      </c>
      <c r="L516" t="s">
        <v>161</v>
      </c>
      <c r="N516" t="s">
        <v>200</v>
      </c>
      <c r="O516" t="s">
        <v>330</v>
      </c>
      <c r="P516">
        <v>2.7598459494174432E-6</v>
      </c>
      <c r="Q516" t="s">
        <v>161</v>
      </c>
      <c r="S516" t="s">
        <v>222</v>
      </c>
      <c r="T516" t="s">
        <v>330</v>
      </c>
      <c r="U516">
        <v>0</v>
      </c>
      <c r="V516" t="s">
        <v>161</v>
      </c>
    </row>
    <row r="517" spans="9:22" x14ac:dyDescent="0.45">
      <c r="I517" t="s">
        <v>177</v>
      </c>
      <c r="J517" t="s">
        <v>331</v>
      </c>
      <c r="K517">
        <v>0</v>
      </c>
      <c r="L517" t="s">
        <v>161</v>
      </c>
      <c r="N517" t="s">
        <v>200</v>
      </c>
      <c r="O517" t="s">
        <v>331</v>
      </c>
      <c r="P517">
        <v>2.7761118188801306E-6</v>
      </c>
      <c r="Q517" t="s">
        <v>161</v>
      </c>
      <c r="S517" t="s">
        <v>222</v>
      </c>
      <c r="T517" t="s">
        <v>331</v>
      </c>
      <c r="U517">
        <v>0</v>
      </c>
      <c r="V517" t="s">
        <v>161</v>
      </c>
    </row>
    <row r="518" spans="9:22" x14ac:dyDescent="0.45">
      <c r="I518" t="s">
        <v>177</v>
      </c>
      <c r="J518" t="s">
        <v>332</v>
      </c>
      <c r="K518">
        <v>0</v>
      </c>
      <c r="L518" t="s">
        <v>161</v>
      </c>
      <c r="N518" t="s">
        <v>200</v>
      </c>
      <c r="O518" t="s">
        <v>332</v>
      </c>
      <c r="P518">
        <v>2.4341999542259299E-6</v>
      </c>
      <c r="Q518" t="s">
        <v>161</v>
      </c>
      <c r="S518" t="s">
        <v>222</v>
      </c>
      <c r="T518" t="s">
        <v>332</v>
      </c>
      <c r="U518">
        <v>0</v>
      </c>
      <c r="V518" t="s">
        <v>161</v>
      </c>
    </row>
    <row r="519" spans="9:22" x14ac:dyDescent="0.45">
      <c r="I519" t="s">
        <v>177</v>
      </c>
      <c r="J519" t="s">
        <v>333</v>
      </c>
      <c r="K519">
        <v>0</v>
      </c>
      <c r="L519" t="s">
        <v>161</v>
      </c>
      <c r="N519" t="s">
        <v>200</v>
      </c>
      <c r="O519" t="s">
        <v>333</v>
      </c>
      <c r="P519">
        <v>2.4945114087130525E-6</v>
      </c>
      <c r="Q519" t="s">
        <v>161</v>
      </c>
      <c r="S519" t="s">
        <v>222</v>
      </c>
      <c r="T519" t="s">
        <v>333</v>
      </c>
      <c r="U519">
        <v>0</v>
      </c>
      <c r="V519" t="s">
        <v>161</v>
      </c>
    </row>
    <row r="520" spans="9:22" x14ac:dyDescent="0.45">
      <c r="I520" t="s">
        <v>177</v>
      </c>
      <c r="J520" t="s">
        <v>334</v>
      </c>
      <c r="K520">
        <v>0</v>
      </c>
      <c r="L520" t="s">
        <v>161</v>
      </c>
      <c r="N520" t="s">
        <v>200</v>
      </c>
      <c r="O520" t="s">
        <v>334</v>
      </c>
      <c r="P520">
        <v>2.3177111355212748E-6</v>
      </c>
      <c r="Q520" t="s">
        <v>161</v>
      </c>
      <c r="S520" t="s">
        <v>222</v>
      </c>
      <c r="T520" t="s">
        <v>334</v>
      </c>
      <c r="U520">
        <v>2.0668100093579782E-6</v>
      </c>
      <c r="V520" t="s">
        <v>161</v>
      </c>
    </row>
    <row r="521" spans="9:22" x14ac:dyDescent="0.45">
      <c r="I521" t="s">
        <v>177</v>
      </c>
      <c r="J521" t="s">
        <v>164</v>
      </c>
      <c r="K521">
        <v>1.0206646364094189E-2</v>
      </c>
      <c r="L521" t="s">
        <v>161</v>
      </c>
      <c r="N521" t="s">
        <v>200</v>
      </c>
      <c r="O521" t="s">
        <v>164</v>
      </c>
      <c r="P521">
        <v>3.7055875972246077E-2</v>
      </c>
      <c r="Q521" t="s">
        <v>161</v>
      </c>
      <c r="S521" t="s">
        <v>222</v>
      </c>
      <c r="T521" t="s">
        <v>164</v>
      </c>
      <c r="U521">
        <v>3.4682664703872865E-2</v>
      </c>
      <c r="V521" t="s">
        <v>161</v>
      </c>
    </row>
    <row r="522" spans="9:22" x14ac:dyDescent="0.45">
      <c r="I522" t="s">
        <v>177</v>
      </c>
      <c r="J522" t="s">
        <v>165</v>
      </c>
      <c r="K522">
        <v>1.0126998451983834E-2</v>
      </c>
      <c r="L522" t="s">
        <v>161</v>
      </c>
      <c r="N522" t="s">
        <v>200</v>
      </c>
      <c r="O522" t="s">
        <v>165</v>
      </c>
      <c r="P522">
        <v>4.4428462893256254E-3</v>
      </c>
      <c r="Q522" t="s">
        <v>161</v>
      </c>
      <c r="S522" t="s">
        <v>222</v>
      </c>
      <c r="T522" t="s">
        <v>165</v>
      </c>
      <c r="U522">
        <v>3.81532696720022E-3</v>
      </c>
      <c r="V522" t="s">
        <v>161</v>
      </c>
    </row>
    <row r="523" spans="9:22" x14ac:dyDescent="0.45">
      <c r="I523" t="s">
        <v>177</v>
      </c>
      <c r="J523" t="s">
        <v>166</v>
      </c>
      <c r="K523">
        <v>8.6265883568093796E-2</v>
      </c>
      <c r="L523" t="s">
        <v>161</v>
      </c>
      <c r="N523" t="s">
        <v>200</v>
      </c>
      <c r="O523" t="s">
        <v>166</v>
      </c>
      <c r="P523">
        <v>3.4880267363987888E-2</v>
      </c>
      <c r="Q523" t="s">
        <v>161</v>
      </c>
      <c r="S523" t="s">
        <v>222</v>
      </c>
      <c r="T523" t="s">
        <v>166</v>
      </c>
      <c r="U523">
        <v>2.5262985559485588E-2</v>
      </c>
      <c r="V523" t="s">
        <v>161</v>
      </c>
    </row>
    <row r="524" spans="9:22" x14ac:dyDescent="0.45">
      <c r="I524" t="s">
        <v>177</v>
      </c>
      <c r="J524" t="s">
        <v>244</v>
      </c>
      <c r="K524">
        <v>7.6386893491593713E-3</v>
      </c>
      <c r="L524" t="s">
        <v>161</v>
      </c>
      <c r="N524" t="s">
        <v>200</v>
      </c>
      <c r="O524" t="s">
        <v>244</v>
      </c>
      <c r="P524">
        <v>5.0860309144939008E-3</v>
      </c>
      <c r="Q524" t="s">
        <v>161</v>
      </c>
      <c r="S524" t="s">
        <v>222</v>
      </c>
      <c r="T524" t="s">
        <v>244</v>
      </c>
      <c r="U524">
        <v>3.717241704793357E-3</v>
      </c>
      <c r="V524" t="s">
        <v>161</v>
      </c>
    </row>
    <row r="525" spans="9:22" x14ac:dyDescent="0.45">
      <c r="I525" t="s">
        <v>177</v>
      </c>
      <c r="J525" t="s">
        <v>245</v>
      </c>
      <c r="K525">
        <v>5.0424296575584705E-3</v>
      </c>
      <c r="L525" t="s">
        <v>161</v>
      </c>
      <c r="N525" t="s">
        <v>200</v>
      </c>
      <c r="O525" t="s">
        <v>245</v>
      </c>
      <c r="P525">
        <v>4.9082004195255512E-3</v>
      </c>
      <c r="Q525" t="s">
        <v>161</v>
      </c>
      <c r="S525" t="s">
        <v>222</v>
      </c>
      <c r="T525" t="s">
        <v>245</v>
      </c>
      <c r="U525">
        <v>3.7572262864672915E-3</v>
      </c>
      <c r="V525" t="s">
        <v>161</v>
      </c>
    </row>
    <row r="526" spans="9:22" x14ac:dyDescent="0.45">
      <c r="I526" t="s">
        <v>177</v>
      </c>
      <c r="J526" t="s">
        <v>267</v>
      </c>
      <c r="K526">
        <v>2.5252215533046302E-3</v>
      </c>
      <c r="L526" t="s">
        <v>161</v>
      </c>
      <c r="N526" t="s">
        <v>200</v>
      </c>
      <c r="O526" t="s">
        <v>267</v>
      </c>
      <c r="P526">
        <v>3.0134880450422678E-2</v>
      </c>
      <c r="Q526" t="s">
        <v>161</v>
      </c>
      <c r="S526" t="s">
        <v>222</v>
      </c>
      <c r="T526" t="s">
        <v>267</v>
      </c>
      <c r="U526">
        <v>2.6630863554836279E-2</v>
      </c>
      <c r="V526" t="s">
        <v>161</v>
      </c>
    </row>
    <row r="527" spans="9:22" x14ac:dyDescent="0.45">
      <c r="I527" t="s">
        <v>177</v>
      </c>
      <c r="J527" t="s">
        <v>167</v>
      </c>
      <c r="K527">
        <v>5.196594285654367E-2</v>
      </c>
      <c r="L527" t="s">
        <v>161</v>
      </c>
      <c r="N527" t="s">
        <v>200</v>
      </c>
      <c r="O527" t="s">
        <v>167</v>
      </c>
      <c r="P527">
        <v>6.436933652740752E-2</v>
      </c>
      <c r="Q527" t="s">
        <v>161</v>
      </c>
      <c r="S527" t="s">
        <v>222</v>
      </c>
      <c r="T527" t="s">
        <v>167</v>
      </c>
      <c r="U527">
        <v>6.4552812151456335E-2</v>
      </c>
      <c r="V527" t="s">
        <v>161</v>
      </c>
    </row>
    <row r="528" spans="9:22" x14ac:dyDescent="0.45">
      <c r="I528" t="s">
        <v>177</v>
      </c>
      <c r="J528" t="s">
        <v>168</v>
      </c>
      <c r="K528">
        <v>3.112812922861638E-2</v>
      </c>
      <c r="L528" t="s">
        <v>161</v>
      </c>
      <c r="N528" t="s">
        <v>200</v>
      </c>
      <c r="O528" t="s">
        <v>168</v>
      </c>
      <c r="P528">
        <v>7.7736634521727715E-3</v>
      </c>
      <c r="Q528" t="s">
        <v>161</v>
      </c>
      <c r="S528" t="s">
        <v>222</v>
      </c>
      <c r="T528" t="s">
        <v>168</v>
      </c>
      <c r="U528">
        <v>6.9769618060453549E-3</v>
      </c>
      <c r="V528" t="s">
        <v>161</v>
      </c>
    </row>
    <row r="529" spans="9:22" x14ac:dyDescent="0.45">
      <c r="I529" t="s">
        <v>177</v>
      </c>
      <c r="J529" t="s">
        <v>169</v>
      </c>
      <c r="K529">
        <v>0.24922561883394059</v>
      </c>
      <c r="L529" t="s">
        <v>161</v>
      </c>
      <c r="N529" t="s">
        <v>200</v>
      </c>
      <c r="O529" t="s">
        <v>169</v>
      </c>
      <c r="P529">
        <v>5.4738975410961309E-2</v>
      </c>
      <c r="Q529" t="s">
        <v>161</v>
      </c>
      <c r="S529" t="s">
        <v>222</v>
      </c>
      <c r="T529" t="s">
        <v>169</v>
      </c>
      <c r="U529">
        <v>5.4237169482294505E-2</v>
      </c>
      <c r="V529" t="s">
        <v>161</v>
      </c>
    </row>
    <row r="530" spans="9:22" x14ac:dyDescent="0.45">
      <c r="I530" t="s">
        <v>177</v>
      </c>
      <c r="J530" t="s">
        <v>246</v>
      </c>
      <c r="K530">
        <v>2.7802997737385031E-2</v>
      </c>
      <c r="L530" t="s">
        <v>161</v>
      </c>
      <c r="N530" t="s">
        <v>200</v>
      </c>
      <c r="O530" t="s">
        <v>246</v>
      </c>
      <c r="P530">
        <v>7.8366188022533471E-3</v>
      </c>
      <c r="Q530" t="s">
        <v>161</v>
      </c>
      <c r="S530" t="s">
        <v>222</v>
      </c>
      <c r="T530" t="s">
        <v>246</v>
      </c>
      <c r="U530">
        <v>8.4237481990298256E-3</v>
      </c>
      <c r="V530" t="s">
        <v>161</v>
      </c>
    </row>
    <row r="531" spans="9:22" x14ac:dyDescent="0.45">
      <c r="I531" t="s">
        <v>177</v>
      </c>
      <c r="J531" t="s">
        <v>247</v>
      </c>
      <c r="K531">
        <v>2.2184088012461686E-2</v>
      </c>
      <c r="L531" t="s">
        <v>161</v>
      </c>
      <c r="N531" t="s">
        <v>200</v>
      </c>
      <c r="O531" t="s">
        <v>247</v>
      </c>
      <c r="P531">
        <v>7.5463396669367046E-3</v>
      </c>
      <c r="Q531" t="s">
        <v>161</v>
      </c>
      <c r="S531" t="s">
        <v>222</v>
      </c>
      <c r="T531" t="s">
        <v>247</v>
      </c>
      <c r="U531">
        <v>8.0986409222245509E-3</v>
      </c>
      <c r="V531" t="s">
        <v>161</v>
      </c>
    </row>
    <row r="532" spans="9:22" x14ac:dyDescent="0.45">
      <c r="I532" t="s">
        <v>177</v>
      </c>
      <c r="J532" t="s">
        <v>268</v>
      </c>
      <c r="K532">
        <v>2.2698903419247782E-2</v>
      </c>
      <c r="L532" t="s">
        <v>161</v>
      </c>
      <c r="N532" t="s">
        <v>200</v>
      </c>
      <c r="O532" t="s">
        <v>268</v>
      </c>
      <c r="P532">
        <v>4.8444542582730836E-2</v>
      </c>
      <c r="Q532" t="s">
        <v>161</v>
      </c>
      <c r="S532" t="s">
        <v>222</v>
      </c>
      <c r="T532" t="s">
        <v>268</v>
      </c>
      <c r="U532">
        <v>5.0206912811005623E-2</v>
      </c>
      <c r="V532" t="s">
        <v>161</v>
      </c>
    </row>
    <row r="533" spans="9:22" x14ac:dyDescent="0.45">
      <c r="I533" t="s">
        <v>177</v>
      </c>
      <c r="J533" t="s">
        <v>170</v>
      </c>
      <c r="K533">
        <v>1.9337870460781968E-2</v>
      </c>
      <c r="L533" t="s">
        <v>161</v>
      </c>
      <c r="N533" t="s">
        <v>200</v>
      </c>
      <c r="O533" t="s">
        <v>170</v>
      </c>
      <c r="P533">
        <v>3.6207265922302792E-2</v>
      </c>
      <c r="Q533" t="s">
        <v>161</v>
      </c>
      <c r="S533" t="s">
        <v>222</v>
      </c>
      <c r="T533" t="s">
        <v>170</v>
      </c>
      <c r="U533">
        <v>3.3363773064902957E-2</v>
      </c>
      <c r="V533" t="s">
        <v>161</v>
      </c>
    </row>
    <row r="534" spans="9:22" x14ac:dyDescent="0.45">
      <c r="I534" t="s">
        <v>177</v>
      </c>
      <c r="J534" t="s">
        <v>171</v>
      </c>
      <c r="K534">
        <v>1.4222612274301898E-2</v>
      </c>
      <c r="L534" t="s">
        <v>161</v>
      </c>
      <c r="N534" t="s">
        <v>200</v>
      </c>
      <c r="O534" t="s">
        <v>171</v>
      </c>
      <c r="P534">
        <v>4.1556089327754783E-3</v>
      </c>
      <c r="Q534" t="s">
        <v>161</v>
      </c>
      <c r="S534" t="s">
        <v>222</v>
      </c>
      <c r="T534" t="s">
        <v>171</v>
      </c>
      <c r="U534">
        <v>3.5304954377775623E-3</v>
      </c>
      <c r="V534" t="s">
        <v>161</v>
      </c>
    </row>
    <row r="535" spans="9:22" x14ac:dyDescent="0.45">
      <c r="I535" t="s">
        <v>177</v>
      </c>
      <c r="J535" t="s">
        <v>172</v>
      </c>
      <c r="K535">
        <v>0.11754450894129992</v>
      </c>
      <c r="L535" t="s">
        <v>161</v>
      </c>
      <c r="N535" t="s">
        <v>200</v>
      </c>
      <c r="O535" t="s">
        <v>172</v>
      </c>
      <c r="P535">
        <v>3.2631076294078375E-2</v>
      </c>
      <c r="Q535" t="s">
        <v>161</v>
      </c>
      <c r="S535" t="s">
        <v>222</v>
      </c>
      <c r="T535" t="s">
        <v>172</v>
      </c>
      <c r="U535">
        <v>2.5541355449065734E-2</v>
      </c>
      <c r="V535" t="s">
        <v>161</v>
      </c>
    </row>
    <row r="536" spans="9:22" x14ac:dyDescent="0.45">
      <c r="I536" t="s">
        <v>177</v>
      </c>
      <c r="J536" t="s">
        <v>248</v>
      </c>
      <c r="K536">
        <v>1.2842136319684916E-2</v>
      </c>
      <c r="L536" t="s">
        <v>161</v>
      </c>
      <c r="N536" t="s">
        <v>200</v>
      </c>
      <c r="O536" t="s">
        <v>248</v>
      </c>
      <c r="P536">
        <v>4.8515526951911107E-3</v>
      </c>
      <c r="Q536" t="s">
        <v>161</v>
      </c>
      <c r="S536" t="s">
        <v>222</v>
      </c>
      <c r="T536" t="s">
        <v>248</v>
      </c>
      <c r="U536">
        <v>3.5381060840956411E-3</v>
      </c>
      <c r="V536" t="s">
        <v>161</v>
      </c>
    </row>
    <row r="537" spans="9:22" x14ac:dyDescent="0.45">
      <c r="I537" t="s">
        <v>177</v>
      </c>
      <c r="J537" t="s">
        <v>249</v>
      </c>
      <c r="K537">
        <v>9.8958057677397751E-3</v>
      </c>
      <c r="L537" t="s">
        <v>161</v>
      </c>
      <c r="N537" t="s">
        <v>200</v>
      </c>
      <c r="O537" t="s">
        <v>249</v>
      </c>
      <c r="P537">
        <v>4.6767894716168322E-3</v>
      </c>
      <c r="Q537" t="s">
        <v>161</v>
      </c>
      <c r="S537" t="s">
        <v>222</v>
      </c>
      <c r="T537" t="s">
        <v>249</v>
      </c>
      <c r="U537">
        <v>3.2333556786951533E-3</v>
      </c>
      <c r="V537" t="s">
        <v>161</v>
      </c>
    </row>
    <row r="538" spans="9:22" x14ac:dyDescent="0.45">
      <c r="I538" t="s">
        <v>177</v>
      </c>
      <c r="J538" t="s">
        <v>269</v>
      </c>
      <c r="K538">
        <v>7.4723768663567938E-3</v>
      </c>
      <c r="L538" t="s">
        <v>161</v>
      </c>
      <c r="N538" t="s">
        <v>200</v>
      </c>
      <c r="O538" t="s">
        <v>269</v>
      </c>
      <c r="P538">
        <v>2.9264373023909697E-2</v>
      </c>
      <c r="Q538" t="s">
        <v>161</v>
      </c>
      <c r="S538" t="s">
        <v>222</v>
      </c>
      <c r="T538" t="s">
        <v>269</v>
      </c>
      <c r="U538">
        <v>2.5016008685599112E-2</v>
      </c>
      <c r="V538" t="s">
        <v>161</v>
      </c>
    </row>
    <row r="539" spans="9:22" x14ac:dyDescent="0.45">
      <c r="I539" t="s">
        <v>177</v>
      </c>
      <c r="J539" t="s">
        <v>362</v>
      </c>
      <c r="K539">
        <v>0</v>
      </c>
      <c r="L539" t="s">
        <v>161</v>
      </c>
      <c r="N539" t="s">
        <v>200</v>
      </c>
      <c r="O539" t="s">
        <v>362</v>
      </c>
      <c r="P539">
        <v>3.2445567910814484E-5</v>
      </c>
      <c r="Q539" t="s">
        <v>161</v>
      </c>
      <c r="S539" t="s">
        <v>222</v>
      </c>
      <c r="T539" t="s">
        <v>362</v>
      </c>
      <c r="U539">
        <v>4.9055481866755682E-5</v>
      </c>
      <c r="V539" t="s">
        <v>161</v>
      </c>
    </row>
    <row r="540" spans="9:22" x14ac:dyDescent="0.45">
      <c r="I540" t="s">
        <v>177</v>
      </c>
      <c r="J540" t="s">
        <v>363</v>
      </c>
      <c r="K540">
        <v>0</v>
      </c>
      <c r="L540" t="s">
        <v>161</v>
      </c>
      <c r="N540" t="s">
        <v>200</v>
      </c>
      <c r="O540" t="s">
        <v>363</v>
      </c>
      <c r="P540">
        <v>3.5476679492494989E-5</v>
      </c>
      <c r="Q540" t="s">
        <v>161</v>
      </c>
      <c r="S540" t="s">
        <v>222</v>
      </c>
      <c r="T540" t="s">
        <v>363</v>
      </c>
      <c r="U540">
        <v>3.4309267367335912E-5</v>
      </c>
      <c r="V540" t="s">
        <v>161</v>
      </c>
    </row>
    <row r="541" spans="9:22" x14ac:dyDescent="0.45">
      <c r="I541" t="s">
        <v>177</v>
      </c>
      <c r="J541" t="s">
        <v>364</v>
      </c>
      <c r="K541">
        <v>0</v>
      </c>
      <c r="L541" t="s">
        <v>161</v>
      </c>
      <c r="N541" t="s">
        <v>200</v>
      </c>
      <c r="O541" t="s">
        <v>364</v>
      </c>
      <c r="P541">
        <v>3.8547136501921198E-5</v>
      </c>
      <c r="Q541" t="s">
        <v>161</v>
      </c>
      <c r="S541" t="s">
        <v>222</v>
      </c>
      <c r="T541" t="s">
        <v>364</v>
      </c>
      <c r="U541">
        <v>3.3161991536145266E-5</v>
      </c>
      <c r="V541" t="s">
        <v>161</v>
      </c>
    </row>
    <row r="542" spans="9:22" x14ac:dyDescent="0.45">
      <c r="I542" t="s">
        <v>177</v>
      </c>
      <c r="J542" t="s">
        <v>365</v>
      </c>
      <c r="K542">
        <v>0</v>
      </c>
      <c r="L542" t="s">
        <v>161</v>
      </c>
      <c r="N542" t="s">
        <v>200</v>
      </c>
      <c r="O542" t="s">
        <v>365</v>
      </c>
      <c r="P542">
        <v>4.2272940610194765E-5</v>
      </c>
      <c r="Q542" t="s">
        <v>161</v>
      </c>
      <c r="S542" t="s">
        <v>222</v>
      </c>
      <c r="T542" t="s">
        <v>365</v>
      </c>
      <c r="U542">
        <v>4.2164742506300528E-5</v>
      </c>
      <c r="V542" t="s">
        <v>161</v>
      </c>
    </row>
    <row r="543" spans="9:22" x14ac:dyDescent="0.45">
      <c r="I543" t="s">
        <v>177</v>
      </c>
      <c r="J543" t="s">
        <v>366</v>
      </c>
      <c r="K543">
        <v>0</v>
      </c>
      <c r="L543" t="s">
        <v>161</v>
      </c>
      <c r="N543" t="s">
        <v>200</v>
      </c>
      <c r="O543" t="s">
        <v>366</v>
      </c>
      <c r="P543">
        <v>4.2335149193104506E-5</v>
      </c>
      <c r="Q543" t="s">
        <v>161</v>
      </c>
      <c r="S543" t="s">
        <v>222</v>
      </c>
      <c r="T543" t="s">
        <v>366</v>
      </c>
      <c r="U543">
        <v>4.0026664457810943E-5</v>
      </c>
      <c r="V543" t="s">
        <v>161</v>
      </c>
    </row>
    <row r="544" spans="9:22" x14ac:dyDescent="0.45">
      <c r="I544" t="s">
        <v>177</v>
      </c>
      <c r="J544" t="s">
        <v>367</v>
      </c>
      <c r="K544">
        <v>0</v>
      </c>
      <c r="L544" t="s">
        <v>161</v>
      </c>
      <c r="N544" t="s">
        <v>200</v>
      </c>
      <c r="O544" t="s">
        <v>367</v>
      </c>
      <c r="P544">
        <v>3.9655871975301154E-5</v>
      </c>
      <c r="Q544" t="s">
        <v>161</v>
      </c>
      <c r="S544" t="s">
        <v>222</v>
      </c>
      <c r="T544" t="s">
        <v>367</v>
      </c>
      <c r="U544">
        <v>3.7662968516046056E-5</v>
      </c>
      <c r="V544" t="s">
        <v>161</v>
      </c>
    </row>
    <row r="545" spans="9:22" x14ac:dyDescent="0.45">
      <c r="I545" t="s">
        <v>177</v>
      </c>
      <c r="J545" t="s">
        <v>368</v>
      </c>
      <c r="K545">
        <v>2.6343303167556764E-4</v>
      </c>
      <c r="L545" t="s">
        <v>161</v>
      </c>
      <c r="N545" t="s">
        <v>200</v>
      </c>
      <c r="O545" t="s">
        <v>368</v>
      </c>
      <c r="P545">
        <v>3.2171340754147976E-5</v>
      </c>
      <c r="Q545" t="s">
        <v>161</v>
      </c>
      <c r="S545" t="s">
        <v>222</v>
      </c>
      <c r="T545" t="s">
        <v>368</v>
      </c>
      <c r="U545">
        <v>2.9112417503855932E-5</v>
      </c>
      <c r="V545" t="s">
        <v>161</v>
      </c>
    </row>
    <row r="546" spans="9:22" x14ac:dyDescent="0.45">
      <c r="I546" t="s">
        <v>177</v>
      </c>
      <c r="J546" t="s">
        <v>369</v>
      </c>
      <c r="K546">
        <v>3.9252509366660422E-4</v>
      </c>
      <c r="L546" t="s">
        <v>161</v>
      </c>
      <c r="N546" t="s">
        <v>200</v>
      </c>
      <c r="O546" t="s">
        <v>369</v>
      </c>
      <c r="P546">
        <v>1.9969724167313695E-5</v>
      </c>
      <c r="Q546" t="s">
        <v>161</v>
      </c>
      <c r="S546" t="s">
        <v>222</v>
      </c>
      <c r="T546" t="s">
        <v>369</v>
      </c>
      <c r="U546">
        <v>1.4562383581780063E-5</v>
      </c>
      <c r="V546" t="s">
        <v>161</v>
      </c>
    </row>
    <row r="547" spans="9:22" x14ac:dyDescent="0.45">
      <c r="I547" t="s">
        <v>177</v>
      </c>
      <c r="J547" t="s">
        <v>370</v>
      </c>
      <c r="K547">
        <v>4.7994191459175569E-4</v>
      </c>
      <c r="L547" t="s">
        <v>161</v>
      </c>
      <c r="N547" t="s">
        <v>200</v>
      </c>
      <c r="O547" t="s">
        <v>370</v>
      </c>
      <c r="P547">
        <v>2.5890906717840459E-5</v>
      </c>
      <c r="Q547" t="s">
        <v>161</v>
      </c>
      <c r="S547" t="s">
        <v>222</v>
      </c>
      <c r="T547" t="s">
        <v>370</v>
      </c>
      <c r="U547">
        <v>5.9882596516989701E-6</v>
      </c>
      <c r="V547" t="s">
        <v>161</v>
      </c>
    </row>
    <row r="548" spans="9:22" x14ac:dyDescent="0.45">
      <c r="I548" t="s">
        <v>177</v>
      </c>
      <c r="J548" t="s">
        <v>371</v>
      </c>
      <c r="K548">
        <v>5.3012155666255312E-4</v>
      </c>
      <c r="L548" t="s">
        <v>161</v>
      </c>
      <c r="N548" t="s">
        <v>200</v>
      </c>
      <c r="O548" t="s">
        <v>371</v>
      </c>
      <c r="P548">
        <v>2.8690735859257505E-5</v>
      </c>
      <c r="Q548" t="s">
        <v>161</v>
      </c>
      <c r="S548" t="s">
        <v>222</v>
      </c>
      <c r="T548" t="s">
        <v>371</v>
      </c>
      <c r="U548">
        <v>8.3890644979526183E-6</v>
      </c>
      <c r="V548" t="s">
        <v>161</v>
      </c>
    </row>
    <row r="549" spans="9:22" x14ac:dyDescent="0.45">
      <c r="I549" t="s">
        <v>177</v>
      </c>
      <c r="J549" t="s">
        <v>372</v>
      </c>
      <c r="K549">
        <v>5.3930953541757515E-4</v>
      </c>
      <c r="L549" t="s">
        <v>161</v>
      </c>
      <c r="N549" t="s">
        <v>200</v>
      </c>
      <c r="O549" t="s">
        <v>372</v>
      </c>
      <c r="P549">
        <v>2.7305887507336533E-5</v>
      </c>
      <c r="Q549" t="s">
        <v>161</v>
      </c>
      <c r="S549" t="s">
        <v>222</v>
      </c>
      <c r="T549" t="s">
        <v>372</v>
      </c>
      <c r="U549">
        <v>1.0054555761128704E-5</v>
      </c>
      <c r="V549" t="s">
        <v>161</v>
      </c>
    </row>
    <row r="550" spans="9:22" x14ac:dyDescent="0.45">
      <c r="I550" t="s">
        <v>177</v>
      </c>
      <c r="J550" t="s">
        <v>373</v>
      </c>
      <c r="K550">
        <v>5.0359089389894753E-4</v>
      </c>
      <c r="L550" t="s">
        <v>161</v>
      </c>
      <c r="N550" t="s">
        <v>200</v>
      </c>
      <c r="O550" t="s">
        <v>373</v>
      </c>
      <c r="P550">
        <v>2.3355485674842302E-5</v>
      </c>
      <c r="Q550" t="s">
        <v>161</v>
      </c>
      <c r="S550" t="s">
        <v>222</v>
      </c>
      <c r="T550" t="s">
        <v>373</v>
      </c>
      <c r="U550">
        <v>2.2282205427571681E-6</v>
      </c>
      <c r="V550" t="s">
        <v>161</v>
      </c>
    </row>
    <row r="551" spans="9:22" x14ac:dyDescent="0.45">
      <c r="I551" t="s">
        <v>177</v>
      </c>
      <c r="J551" t="s">
        <v>374</v>
      </c>
      <c r="K551">
        <v>4.4926183198796919E-4</v>
      </c>
      <c r="L551" t="s">
        <v>161</v>
      </c>
      <c r="N551" t="s">
        <v>200</v>
      </c>
      <c r="O551" t="s">
        <v>374</v>
      </c>
      <c r="P551">
        <v>1.9989815024975119E-5</v>
      </c>
      <c r="Q551" t="s">
        <v>161</v>
      </c>
      <c r="S551" t="s">
        <v>222</v>
      </c>
      <c r="T551" t="s">
        <v>374</v>
      </c>
      <c r="U551">
        <v>5.2186720715703214E-6</v>
      </c>
      <c r="V551" t="s">
        <v>161</v>
      </c>
    </row>
    <row r="552" spans="9:22" x14ac:dyDescent="0.45">
      <c r="I552" t="s">
        <v>177</v>
      </c>
      <c r="J552" t="s">
        <v>375</v>
      </c>
      <c r="K552">
        <v>4.9495009064359199E-4</v>
      </c>
      <c r="L552" t="s">
        <v>161</v>
      </c>
      <c r="N552" t="s">
        <v>200</v>
      </c>
      <c r="O552" t="s">
        <v>375</v>
      </c>
      <c r="P552">
        <v>1.8384631972896217E-5</v>
      </c>
      <c r="Q552" t="s">
        <v>161</v>
      </c>
      <c r="S552" t="s">
        <v>222</v>
      </c>
      <c r="T552" t="s">
        <v>375</v>
      </c>
      <c r="U552">
        <v>9.1678169088861452E-6</v>
      </c>
      <c r="V552" t="s">
        <v>161</v>
      </c>
    </row>
    <row r="553" spans="9:22" x14ac:dyDescent="0.45">
      <c r="I553" t="s">
        <v>177</v>
      </c>
      <c r="J553" t="s">
        <v>376</v>
      </c>
      <c r="K553">
        <v>4.8875637564793108E-4</v>
      </c>
      <c r="L553" t="s">
        <v>161</v>
      </c>
      <c r="N553" t="s">
        <v>200</v>
      </c>
      <c r="O553" t="s">
        <v>376</v>
      </c>
      <c r="P553">
        <v>1.5531052929349703E-5</v>
      </c>
      <c r="Q553" t="s">
        <v>161</v>
      </c>
      <c r="S553" t="s">
        <v>222</v>
      </c>
      <c r="T553" t="s">
        <v>376</v>
      </c>
      <c r="U553">
        <v>5.4623685063352246E-6</v>
      </c>
      <c r="V553" t="s">
        <v>161</v>
      </c>
    </row>
    <row r="554" spans="9:22" x14ac:dyDescent="0.45">
      <c r="I554" t="s">
        <v>177</v>
      </c>
      <c r="J554" t="s">
        <v>377</v>
      </c>
      <c r="K554">
        <v>4.7473017037572078E-4</v>
      </c>
      <c r="L554" t="s">
        <v>161</v>
      </c>
      <c r="N554" t="s">
        <v>200</v>
      </c>
      <c r="O554" t="s">
        <v>377</v>
      </c>
      <c r="P554">
        <v>1.3811184552649117E-5</v>
      </c>
      <c r="Q554" t="s">
        <v>161</v>
      </c>
      <c r="S554" t="s">
        <v>222</v>
      </c>
      <c r="T554" t="s">
        <v>377</v>
      </c>
      <c r="U554">
        <v>0</v>
      </c>
      <c r="V554" t="s">
        <v>161</v>
      </c>
    </row>
    <row r="555" spans="9:22" x14ac:dyDescent="0.45">
      <c r="I555" t="s">
        <v>177</v>
      </c>
      <c r="J555" t="s">
        <v>378</v>
      </c>
      <c r="K555">
        <v>4.3672207401858305E-4</v>
      </c>
      <c r="L555" t="s">
        <v>161</v>
      </c>
      <c r="N555" t="s">
        <v>200</v>
      </c>
      <c r="O555" t="s">
        <v>378</v>
      </c>
      <c r="P555">
        <v>9.6082349900076367E-6</v>
      </c>
      <c r="Q555" t="s">
        <v>161</v>
      </c>
      <c r="S555" t="s">
        <v>222</v>
      </c>
      <c r="T555" t="s">
        <v>378</v>
      </c>
      <c r="U555">
        <v>0</v>
      </c>
      <c r="V555" t="s">
        <v>161</v>
      </c>
    </row>
    <row r="556" spans="9:22" x14ac:dyDescent="0.45">
      <c r="I556" t="s">
        <v>177</v>
      </c>
      <c r="J556" t="s">
        <v>379</v>
      </c>
      <c r="K556">
        <v>3.6948382785491406E-4</v>
      </c>
      <c r="L556" t="s">
        <v>161</v>
      </c>
      <c r="N556" t="s">
        <v>200</v>
      </c>
      <c r="O556" t="s">
        <v>379</v>
      </c>
      <c r="P556">
        <v>6.0235571848115862E-6</v>
      </c>
      <c r="Q556" t="s">
        <v>161</v>
      </c>
      <c r="S556" t="s">
        <v>222</v>
      </c>
      <c r="T556" t="s">
        <v>379</v>
      </c>
      <c r="U556">
        <v>0</v>
      </c>
      <c r="V556" t="s">
        <v>161</v>
      </c>
    </row>
    <row r="557" spans="9:22" x14ac:dyDescent="0.45">
      <c r="I557" t="s">
        <v>177</v>
      </c>
      <c r="J557" t="s">
        <v>380</v>
      </c>
      <c r="K557">
        <v>2.4963655277400113E-4</v>
      </c>
      <c r="L557" t="s">
        <v>161</v>
      </c>
      <c r="N557" t="s">
        <v>200</v>
      </c>
      <c r="O557" t="s">
        <v>380</v>
      </c>
      <c r="P557">
        <v>4.1052759675749017E-6</v>
      </c>
      <c r="Q557" t="s">
        <v>161</v>
      </c>
      <c r="S557" t="s">
        <v>222</v>
      </c>
      <c r="T557" t="s">
        <v>380</v>
      </c>
      <c r="U557">
        <v>0</v>
      </c>
      <c r="V557" t="s">
        <v>161</v>
      </c>
    </row>
    <row r="558" spans="9:22" x14ac:dyDescent="0.45">
      <c r="I558" t="s">
        <v>177</v>
      </c>
      <c r="J558" t="s">
        <v>381</v>
      </c>
      <c r="K558">
        <v>0</v>
      </c>
      <c r="L558" t="s">
        <v>161</v>
      </c>
      <c r="N558" t="s">
        <v>200</v>
      </c>
      <c r="O558" t="s">
        <v>381</v>
      </c>
      <c r="P558">
        <v>2.500746587708655E-6</v>
      </c>
      <c r="Q558" t="s">
        <v>161</v>
      </c>
      <c r="S558" t="s">
        <v>222</v>
      </c>
      <c r="T558" t="s">
        <v>381</v>
      </c>
      <c r="U558">
        <v>0</v>
      </c>
      <c r="V558" t="s">
        <v>161</v>
      </c>
    </row>
    <row r="559" spans="9:22" x14ac:dyDescent="0.45">
      <c r="I559" t="s">
        <v>177</v>
      </c>
      <c r="J559" t="s">
        <v>382</v>
      </c>
      <c r="K559">
        <v>0</v>
      </c>
      <c r="L559" t="s">
        <v>161</v>
      </c>
      <c r="N559" t="s">
        <v>200</v>
      </c>
      <c r="O559" t="s">
        <v>382</v>
      </c>
      <c r="P559">
        <v>2.971293693848872E-6</v>
      </c>
      <c r="Q559" t="s">
        <v>161</v>
      </c>
      <c r="S559" t="s">
        <v>222</v>
      </c>
      <c r="T559" t="s">
        <v>382</v>
      </c>
      <c r="U559">
        <v>0</v>
      </c>
      <c r="V559" t="s">
        <v>161</v>
      </c>
    </row>
    <row r="560" spans="9:22" x14ac:dyDescent="0.45">
      <c r="I560" t="s">
        <v>177</v>
      </c>
      <c r="J560" t="s">
        <v>383</v>
      </c>
      <c r="K560">
        <v>0</v>
      </c>
      <c r="L560" t="s">
        <v>161</v>
      </c>
      <c r="N560" t="s">
        <v>200</v>
      </c>
      <c r="O560" t="s">
        <v>383</v>
      </c>
      <c r="P560">
        <v>5.3944859773090468E-6</v>
      </c>
      <c r="Q560" t="s">
        <v>161</v>
      </c>
      <c r="S560" t="s">
        <v>222</v>
      </c>
      <c r="T560" t="s">
        <v>383</v>
      </c>
      <c r="U560">
        <v>0</v>
      </c>
      <c r="V560" t="s">
        <v>161</v>
      </c>
    </row>
    <row r="561" spans="9:22" x14ac:dyDescent="0.45">
      <c r="I561" t="s">
        <v>177</v>
      </c>
      <c r="J561" t="s">
        <v>384</v>
      </c>
      <c r="K561">
        <v>0</v>
      </c>
      <c r="L561" t="s">
        <v>161</v>
      </c>
      <c r="N561" t="s">
        <v>200</v>
      </c>
      <c r="O561" t="s">
        <v>384</v>
      </c>
      <c r="P561">
        <v>7.4572104217029687E-6</v>
      </c>
      <c r="Q561" t="s">
        <v>161</v>
      </c>
      <c r="S561" t="s">
        <v>222</v>
      </c>
      <c r="T561" t="s">
        <v>384</v>
      </c>
      <c r="U561">
        <v>0</v>
      </c>
      <c r="V561" t="s">
        <v>161</v>
      </c>
    </row>
    <row r="562" spans="9:22" x14ac:dyDescent="0.45">
      <c r="I562" t="s">
        <v>177</v>
      </c>
      <c r="J562" t="s">
        <v>385</v>
      </c>
      <c r="K562">
        <v>0</v>
      </c>
      <c r="L562" t="s">
        <v>161</v>
      </c>
      <c r="N562" t="s">
        <v>200</v>
      </c>
      <c r="O562" t="s">
        <v>385</v>
      </c>
      <c r="P562">
        <v>9.473532273790533E-6</v>
      </c>
      <c r="Q562" t="s">
        <v>161</v>
      </c>
      <c r="S562" t="s">
        <v>222</v>
      </c>
      <c r="T562" t="s">
        <v>385</v>
      </c>
      <c r="U562">
        <v>0</v>
      </c>
      <c r="V562" t="s">
        <v>161</v>
      </c>
    </row>
    <row r="563" spans="9:22" x14ac:dyDescent="0.45">
      <c r="I563" t="s">
        <v>177</v>
      </c>
      <c r="J563" t="s">
        <v>250</v>
      </c>
      <c r="K563">
        <v>4.5774365089134121E-3</v>
      </c>
      <c r="L563" t="s">
        <v>161</v>
      </c>
      <c r="N563" t="s">
        <v>200</v>
      </c>
      <c r="O563" t="s">
        <v>250</v>
      </c>
      <c r="P563">
        <v>4.8826923498094095E-2</v>
      </c>
      <c r="Q563" t="s">
        <v>161</v>
      </c>
      <c r="S563" t="s">
        <v>222</v>
      </c>
      <c r="T563" t="s">
        <v>250</v>
      </c>
      <c r="U563">
        <v>4.9176598295157803E-2</v>
      </c>
      <c r="V563" t="s">
        <v>161</v>
      </c>
    </row>
    <row r="564" spans="9:22" x14ac:dyDescent="0.45">
      <c r="I564" t="s">
        <v>177</v>
      </c>
      <c r="J564" t="s">
        <v>251</v>
      </c>
      <c r="K564">
        <v>6.5959217507313541E-3</v>
      </c>
      <c r="L564" t="s">
        <v>161</v>
      </c>
      <c r="N564" t="s">
        <v>200</v>
      </c>
      <c r="O564" t="s">
        <v>251</v>
      </c>
      <c r="P564">
        <v>6.0710207848598628E-3</v>
      </c>
      <c r="Q564" t="s">
        <v>161</v>
      </c>
      <c r="S564" t="s">
        <v>222</v>
      </c>
      <c r="T564" t="s">
        <v>251</v>
      </c>
      <c r="U564">
        <v>5.8467320999864196E-3</v>
      </c>
      <c r="V564" t="s">
        <v>161</v>
      </c>
    </row>
    <row r="565" spans="9:22" x14ac:dyDescent="0.45">
      <c r="I565" t="s">
        <v>177</v>
      </c>
      <c r="J565" t="s">
        <v>252</v>
      </c>
      <c r="K565">
        <v>7.6398627448897541E-2</v>
      </c>
      <c r="L565" t="s">
        <v>161</v>
      </c>
      <c r="N565" t="s">
        <v>200</v>
      </c>
      <c r="O565" t="s">
        <v>252</v>
      </c>
      <c r="P565">
        <v>4.0754080372075813E-2</v>
      </c>
      <c r="Q565" t="s">
        <v>161</v>
      </c>
      <c r="S565" t="s">
        <v>222</v>
      </c>
      <c r="T565" t="s">
        <v>252</v>
      </c>
      <c r="U565">
        <v>4.0093557050419823E-2</v>
      </c>
      <c r="V565" t="s">
        <v>161</v>
      </c>
    </row>
    <row r="566" spans="9:22" x14ac:dyDescent="0.45">
      <c r="I566" t="s">
        <v>177</v>
      </c>
      <c r="J566" t="s">
        <v>253</v>
      </c>
      <c r="K566">
        <v>6.7474706589847836E-3</v>
      </c>
      <c r="L566" t="s">
        <v>161</v>
      </c>
      <c r="N566" t="s">
        <v>200</v>
      </c>
      <c r="O566" t="s">
        <v>253</v>
      </c>
      <c r="P566">
        <v>5.9929955806388626E-3</v>
      </c>
      <c r="Q566" t="s">
        <v>161</v>
      </c>
      <c r="S566" t="s">
        <v>222</v>
      </c>
      <c r="T566" t="s">
        <v>253</v>
      </c>
      <c r="U566">
        <v>6.194460090019469E-3</v>
      </c>
      <c r="V566" t="s">
        <v>161</v>
      </c>
    </row>
    <row r="567" spans="9:22" x14ac:dyDescent="0.45">
      <c r="I567" t="s">
        <v>177</v>
      </c>
      <c r="J567" t="s">
        <v>254</v>
      </c>
      <c r="K567">
        <v>2.4744780420126082E-3</v>
      </c>
      <c r="L567" t="s">
        <v>161</v>
      </c>
      <c r="N567" t="s">
        <v>200</v>
      </c>
      <c r="O567" t="s">
        <v>254</v>
      </c>
      <c r="P567">
        <v>6.1664826135595791E-3</v>
      </c>
      <c r="Q567" t="s">
        <v>161</v>
      </c>
      <c r="S567" t="s">
        <v>222</v>
      </c>
      <c r="T567" t="s">
        <v>254</v>
      </c>
      <c r="U567">
        <v>6.4219762590895868E-3</v>
      </c>
      <c r="V567" t="s">
        <v>161</v>
      </c>
    </row>
    <row r="568" spans="9:22" x14ac:dyDescent="0.45">
      <c r="I568" t="s">
        <v>177</v>
      </c>
      <c r="J568" t="s">
        <v>270</v>
      </c>
      <c r="K568">
        <v>0</v>
      </c>
      <c r="L568" t="s">
        <v>161</v>
      </c>
      <c r="N568" t="s">
        <v>200</v>
      </c>
      <c r="O568" t="s">
        <v>270</v>
      </c>
      <c r="P568">
        <v>3.7846059299512798E-2</v>
      </c>
      <c r="Q568" t="s">
        <v>161</v>
      </c>
      <c r="S568" t="s">
        <v>222</v>
      </c>
      <c r="T568" t="s">
        <v>270</v>
      </c>
      <c r="U568">
        <v>4.2876838737262196E-2</v>
      </c>
      <c r="V568" t="s">
        <v>161</v>
      </c>
    </row>
    <row r="569" spans="9:22" x14ac:dyDescent="0.45">
      <c r="I569" t="s">
        <v>177</v>
      </c>
      <c r="J569" t="s">
        <v>255</v>
      </c>
      <c r="K569">
        <v>7.241718305982581E-5</v>
      </c>
      <c r="L569" t="s">
        <v>161</v>
      </c>
      <c r="N569" t="s">
        <v>200</v>
      </c>
      <c r="O569" t="s">
        <v>255</v>
      </c>
      <c r="P569">
        <v>4.9236238086328314E-2</v>
      </c>
      <c r="Q569" t="s">
        <v>161</v>
      </c>
      <c r="S569" t="s">
        <v>222</v>
      </c>
      <c r="T569" t="s">
        <v>255</v>
      </c>
      <c r="U569">
        <v>5.3046403865680145E-2</v>
      </c>
      <c r="V569" t="s">
        <v>161</v>
      </c>
    </row>
    <row r="570" spans="9:22" x14ac:dyDescent="0.45">
      <c r="I570" t="s">
        <v>177</v>
      </c>
      <c r="J570" t="s">
        <v>256</v>
      </c>
      <c r="K570">
        <v>3.2098326735980564E-3</v>
      </c>
      <c r="L570" t="s">
        <v>161</v>
      </c>
      <c r="N570" t="s">
        <v>200</v>
      </c>
      <c r="O570" t="s">
        <v>256</v>
      </c>
      <c r="P570">
        <v>6.2812008715974737E-3</v>
      </c>
      <c r="Q570" t="s">
        <v>161</v>
      </c>
      <c r="S570" t="s">
        <v>222</v>
      </c>
      <c r="T570" t="s">
        <v>256</v>
      </c>
      <c r="U570">
        <v>7.3852009923261698E-3</v>
      </c>
      <c r="V570" t="s">
        <v>161</v>
      </c>
    </row>
    <row r="571" spans="9:22" x14ac:dyDescent="0.45">
      <c r="I571" t="s">
        <v>177</v>
      </c>
      <c r="J571" t="s">
        <v>257</v>
      </c>
      <c r="K571">
        <v>4.6804315589745127E-2</v>
      </c>
      <c r="L571" t="s">
        <v>161</v>
      </c>
      <c r="N571" t="s">
        <v>200</v>
      </c>
      <c r="O571" t="s">
        <v>257</v>
      </c>
      <c r="P571">
        <v>4.1233650335857075E-2</v>
      </c>
      <c r="Q571" t="s">
        <v>161</v>
      </c>
      <c r="S571" t="s">
        <v>222</v>
      </c>
      <c r="T571" t="s">
        <v>257</v>
      </c>
      <c r="U571">
        <v>5.1327375482826287E-2</v>
      </c>
      <c r="V571" t="s">
        <v>161</v>
      </c>
    </row>
    <row r="572" spans="9:22" x14ac:dyDescent="0.45">
      <c r="I572" t="s">
        <v>177</v>
      </c>
      <c r="J572" t="s">
        <v>258</v>
      </c>
      <c r="K572">
        <v>8.9581248601094466E-4</v>
      </c>
      <c r="L572" t="s">
        <v>161</v>
      </c>
      <c r="N572" t="s">
        <v>200</v>
      </c>
      <c r="O572" t="s">
        <v>258</v>
      </c>
      <c r="P572">
        <v>5.8260137092587148E-3</v>
      </c>
      <c r="Q572" t="s">
        <v>161</v>
      </c>
      <c r="S572" t="s">
        <v>222</v>
      </c>
      <c r="T572" t="s">
        <v>258</v>
      </c>
      <c r="U572">
        <v>7.7686602113894547E-3</v>
      </c>
      <c r="V572" t="s">
        <v>161</v>
      </c>
    </row>
    <row r="573" spans="9:22" x14ac:dyDescent="0.45">
      <c r="I573" t="s">
        <v>177</v>
      </c>
      <c r="J573" t="s">
        <v>259</v>
      </c>
      <c r="K573">
        <v>0</v>
      </c>
      <c r="L573" t="s">
        <v>161</v>
      </c>
      <c r="N573" t="s">
        <v>200</v>
      </c>
      <c r="O573" t="s">
        <v>259</v>
      </c>
      <c r="P573">
        <v>5.8973391127082973E-3</v>
      </c>
      <c r="Q573" t="s">
        <v>161</v>
      </c>
      <c r="S573" t="s">
        <v>222</v>
      </c>
      <c r="T573" t="s">
        <v>259</v>
      </c>
      <c r="U573">
        <v>7.8106434544431445E-3</v>
      </c>
      <c r="V573" t="s">
        <v>161</v>
      </c>
    </row>
    <row r="574" spans="9:22" x14ac:dyDescent="0.45">
      <c r="I574" t="s">
        <v>177</v>
      </c>
      <c r="J574" t="s">
        <v>271</v>
      </c>
      <c r="K574">
        <v>0</v>
      </c>
      <c r="L574" t="s">
        <v>161</v>
      </c>
      <c r="N574" t="s">
        <v>200</v>
      </c>
      <c r="O574" t="s">
        <v>271</v>
      </c>
      <c r="P574">
        <v>3.6014342846800246E-2</v>
      </c>
      <c r="Q574" t="s">
        <v>161</v>
      </c>
      <c r="S574" t="s">
        <v>222</v>
      </c>
      <c r="T574" t="s">
        <v>271</v>
      </c>
      <c r="U574">
        <v>4.355458707722247E-2</v>
      </c>
      <c r="V574" t="s">
        <v>161</v>
      </c>
    </row>
    <row r="575" spans="9:22" x14ac:dyDescent="0.45">
      <c r="I575" t="s">
        <v>177</v>
      </c>
      <c r="J575" t="s">
        <v>272</v>
      </c>
      <c r="K575">
        <v>0</v>
      </c>
      <c r="L575" t="s">
        <v>161</v>
      </c>
      <c r="N575" t="s">
        <v>200</v>
      </c>
      <c r="O575" t="s">
        <v>272</v>
      </c>
      <c r="P575">
        <v>1.5296612097930103E-2</v>
      </c>
      <c r="Q575" t="s">
        <v>161</v>
      </c>
      <c r="S575" t="s">
        <v>222</v>
      </c>
      <c r="T575" t="s">
        <v>272</v>
      </c>
      <c r="U575">
        <v>2.0383141842961097E-2</v>
      </c>
      <c r="V575" t="s">
        <v>161</v>
      </c>
    </row>
    <row r="576" spans="9:22" x14ac:dyDescent="0.45">
      <c r="I576" t="s">
        <v>177</v>
      </c>
      <c r="J576" t="s">
        <v>273</v>
      </c>
      <c r="K576">
        <v>2.3415898097199668E-4</v>
      </c>
      <c r="L576" t="s">
        <v>161</v>
      </c>
      <c r="N576" t="s">
        <v>200</v>
      </c>
      <c r="O576" t="s">
        <v>273</v>
      </c>
      <c r="P576">
        <v>2.0282017028216514E-3</v>
      </c>
      <c r="Q576" t="s">
        <v>161</v>
      </c>
      <c r="S576" t="s">
        <v>222</v>
      </c>
      <c r="T576" t="s">
        <v>273</v>
      </c>
      <c r="U576">
        <v>2.785944455783518E-3</v>
      </c>
      <c r="V576" t="s">
        <v>161</v>
      </c>
    </row>
    <row r="577" spans="9:22" x14ac:dyDescent="0.45">
      <c r="I577" t="s">
        <v>177</v>
      </c>
      <c r="J577" t="s">
        <v>274</v>
      </c>
      <c r="K577">
        <v>7.1071525097797152E-3</v>
      </c>
      <c r="L577" t="s">
        <v>161</v>
      </c>
      <c r="N577" t="s">
        <v>200</v>
      </c>
      <c r="O577" t="s">
        <v>274</v>
      </c>
      <c r="P577">
        <v>1.3241838440222324E-2</v>
      </c>
      <c r="Q577" t="s">
        <v>161</v>
      </c>
      <c r="S577" t="s">
        <v>222</v>
      </c>
      <c r="T577" t="s">
        <v>274</v>
      </c>
      <c r="U577">
        <v>1.6047603945937482E-2</v>
      </c>
      <c r="V577" t="s">
        <v>161</v>
      </c>
    </row>
    <row r="578" spans="9:22" x14ac:dyDescent="0.45">
      <c r="I578" t="s">
        <v>177</v>
      </c>
      <c r="J578" t="s">
        <v>275</v>
      </c>
      <c r="K578">
        <v>0</v>
      </c>
      <c r="L578" t="s">
        <v>161</v>
      </c>
      <c r="N578" t="s">
        <v>200</v>
      </c>
      <c r="O578" t="s">
        <v>275</v>
      </c>
      <c r="P578">
        <v>1.8272487584527878E-3</v>
      </c>
      <c r="Q578" t="s">
        <v>161</v>
      </c>
      <c r="S578" t="s">
        <v>222</v>
      </c>
      <c r="T578" t="s">
        <v>275</v>
      </c>
      <c r="U578">
        <v>1.9598747742953998E-3</v>
      </c>
      <c r="V578" t="s">
        <v>161</v>
      </c>
    </row>
    <row r="579" spans="9:22" x14ac:dyDescent="0.45">
      <c r="I579" t="s">
        <v>177</v>
      </c>
      <c r="J579" t="s">
        <v>276</v>
      </c>
      <c r="K579">
        <v>0</v>
      </c>
      <c r="L579" t="s">
        <v>161</v>
      </c>
      <c r="N579" t="s">
        <v>200</v>
      </c>
      <c r="O579" t="s">
        <v>276</v>
      </c>
      <c r="P579">
        <v>1.8150441018105056E-3</v>
      </c>
      <c r="Q579" t="s">
        <v>161</v>
      </c>
      <c r="S579" t="s">
        <v>222</v>
      </c>
      <c r="T579" t="s">
        <v>276</v>
      </c>
      <c r="U579">
        <v>2.0816705869689733E-3</v>
      </c>
      <c r="V579" t="s">
        <v>161</v>
      </c>
    </row>
    <row r="580" spans="9:22" x14ac:dyDescent="0.45">
      <c r="I580" t="s">
        <v>177</v>
      </c>
      <c r="J580" t="s">
        <v>277</v>
      </c>
      <c r="K580">
        <v>0</v>
      </c>
      <c r="L580" t="s">
        <v>161</v>
      </c>
      <c r="N580" t="s">
        <v>200</v>
      </c>
      <c r="O580" t="s">
        <v>277</v>
      </c>
      <c r="P580">
        <v>1.0320526813652982E-2</v>
      </c>
      <c r="Q580" t="s">
        <v>161</v>
      </c>
      <c r="S580" t="s">
        <v>222</v>
      </c>
      <c r="T580" t="s">
        <v>277</v>
      </c>
      <c r="U580">
        <v>1.3595909925488141E-2</v>
      </c>
      <c r="V580" t="s">
        <v>161</v>
      </c>
    </row>
    <row r="581" spans="9:22" x14ac:dyDescent="0.45">
      <c r="I581" t="s">
        <v>177</v>
      </c>
      <c r="J581" t="s">
        <v>278</v>
      </c>
      <c r="K581">
        <v>0</v>
      </c>
      <c r="L581" t="s">
        <v>161</v>
      </c>
      <c r="N581" t="s">
        <v>200</v>
      </c>
      <c r="O581" t="s">
        <v>278</v>
      </c>
      <c r="P581">
        <v>7.1227641118151927E-3</v>
      </c>
      <c r="Q581" t="s">
        <v>161</v>
      </c>
      <c r="S581" t="s">
        <v>222</v>
      </c>
      <c r="T581" t="s">
        <v>278</v>
      </c>
      <c r="U581">
        <v>7.9190326310110744E-3</v>
      </c>
      <c r="V581" t="s">
        <v>161</v>
      </c>
    </row>
    <row r="582" spans="9:22" x14ac:dyDescent="0.45">
      <c r="I582" t="s">
        <v>177</v>
      </c>
      <c r="J582" t="s">
        <v>279</v>
      </c>
      <c r="K582">
        <v>2.7765522378301997E-4</v>
      </c>
      <c r="L582" t="s">
        <v>161</v>
      </c>
      <c r="N582" t="s">
        <v>200</v>
      </c>
      <c r="O582" t="s">
        <v>279</v>
      </c>
      <c r="P582">
        <v>9.3382013599339572E-4</v>
      </c>
      <c r="Q582" t="s">
        <v>161</v>
      </c>
      <c r="S582" t="s">
        <v>222</v>
      </c>
      <c r="T582" t="s">
        <v>279</v>
      </c>
      <c r="U582">
        <v>8.9772050861613897E-4</v>
      </c>
      <c r="V582" t="s">
        <v>161</v>
      </c>
    </row>
    <row r="583" spans="9:22" x14ac:dyDescent="0.45">
      <c r="I583" t="s">
        <v>177</v>
      </c>
      <c r="J583" t="s">
        <v>280</v>
      </c>
      <c r="K583">
        <v>6.8281393259865177E-3</v>
      </c>
      <c r="L583" t="s">
        <v>161</v>
      </c>
      <c r="N583" t="s">
        <v>200</v>
      </c>
      <c r="O583" t="s">
        <v>280</v>
      </c>
      <c r="P583">
        <v>6.9955015700305457E-3</v>
      </c>
      <c r="Q583" t="s">
        <v>161</v>
      </c>
      <c r="S583" t="s">
        <v>222</v>
      </c>
      <c r="T583" t="s">
        <v>280</v>
      </c>
      <c r="U583">
        <v>7.0007460548157617E-3</v>
      </c>
      <c r="V583" t="s">
        <v>161</v>
      </c>
    </row>
    <row r="584" spans="9:22" x14ac:dyDescent="0.45">
      <c r="I584" t="s">
        <v>177</v>
      </c>
      <c r="J584" t="s">
        <v>281</v>
      </c>
      <c r="K584">
        <v>6.7701715935522571E-5</v>
      </c>
      <c r="L584" t="s">
        <v>161</v>
      </c>
      <c r="N584" t="s">
        <v>200</v>
      </c>
      <c r="O584" t="s">
        <v>281</v>
      </c>
      <c r="P584">
        <v>1.1160597856494582E-3</v>
      </c>
      <c r="Q584" t="s">
        <v>161</v>
      </c>
      <c r="S584" t="s">
        <v>222</v>
      </c>
      <c r="T584" t="s">
        <v>281</v>
      </c>
      <c r="U584">
        <v>1.1017284251906426E-3</v>
      </c>
      <c r="V584" t="s">
        <v>161</v>
      </c>
    </row>
    <row r="585" spans="9:22" x14ac:dyDescent="0.45">
      <c r="I585" t="s">
        <v>177</v>
      </c>
      <c r="J585" t="s">
        <v>282</v>
      </c>
      <c r="K585">
        <v>0</v>
      </c>
      <c r="L585" t="s">
        <v>161</v>
      </c>
      <c r="N585" t="s">
        <v>200</v>
      </c>
      <c r="O585" t="s">
        <v>282</v>
      </c>
      <c r="P585">
        <v>1.1337748664659044E-3</v>
      </c>
      <c r="Q585" t="s">
        <v>161</v>
      </c>
      <c r="S585" t="s">
        <v>222</v>
      </c>
      <c r="T585" t="s">
        <v>282</v>
      </c>
      <c r="U585">
        <v>1.0723365408464546E-3</v>
      </c>
      <c r="V585" t="s">
        <v>161</v>
      </c>
    </row>
    <row r="586" spans="9:22" x14ac:dyDescent="0.45">
      <c r="I586" t="s">
        <v>177</v>
      </c>
      <c r="J586" t="s">
        <v>283</v>
      </c>
      <c r="K586">
        <v>0</v>
      </c>
      <c r="L586" t="s">
        <v>161</v>
      </c>
      <c r="N586" t="s">
        <v>200</v>
      </c>
      <c r="O586" t="s">
        <v>283</v>
      </c>
      <c r="P586">
        <v>6.7222627434270687E-3</v>
      </c>
      <c r="Q586" t="s">
        <v>161</v>
      </c>
      <c r="S586" t="s">
        <v>222</v>
      </c>
      <c r="T586" t="s">
        <v>283</v>
      </c>
      <c r="U586">
        <v>6.7591003068025899E-3</v>
      </c>
      <c r="V586" t="s">
        <v>161</v>
      </c>
    </row>
    <row r="587" spans="9:22" x14ac:dyDescent="0.45">
      <c r="I587" t="s">
        <v>178</v>
      </c>
      <c r="J587" t="s">
        <v>160</v>
      </c>
      <c r="K587">
        <v>0</v>
      </c>
      <c r="L587" t="s">
        <v>161</v>
      </c>
      <c r="N587" t="s">
        <v>201</v>
      </c>
      <c r="O587" t="s">
        <v>160</v>
      </c>
      <c r="P587">
        <v>7.5726166442732834E-2</v>
      </c>
      <c r="Q587" t="s">
        <v>161</v>
      </c>
      <c r="S587" t="s">
        <v>223</v>
      </c>
      <c r="T587" t="s">
        <v>160</v>
      </c>
      <c r="U587">
        <v>7.8421291533645077E-2</v>
      </c>
      <c r="V587" t="s">
        <v>161</v>
      </c>
    </row>
    <row r="588" spans="9:22" x14ac:dyDescent="0.45">
      <c r="I588" t="s">
        <v>178</v>
      </c>
      <c r="J588" t="s">
        <v>162</v>
      </c>
      <c r="K588">
        <v>2.6718814711037221E-3</v>
      </c>
      <c r="L588" t="s">
        <v>161</v>
      </c>
      <c r="N588" t="s">
        <v>201</v>
      </c>
      <c r="O588" t="s">
        <v>162</v>
      </c>
      <c r="P588">
        <v>9.6677089103590786E-3</v>
      </c>
      <c r="Q588" t="s">
        <v>161</v>
      </c>
      <c r="S588" t="s">
        <v>223</v>
      </c>
      <c r="T588" t="s">
        <v>162</v>
      </c>
      <c r="U588">
        <v>9.065297098559506E-3</v>
      </c>
      <c r="V588" t="s">
        <v>161</v>
      </c>
    </row>
    <row r="589" spans="9:22" x14ac:dyDescent="0.45">
      <c r="I589" t="s">
        <v>178</v>
      </c>
      <c r="J589" t="s">
        <v>163</v>
      </c>
      <c r="K589">
        <v>8.3261771313374935E-2</v>
      </c>
      <c r="L589" t="s">
        <v>161</v>
      </c>
      <c r="N589" t="s">
        <v>201</v>
      </c>
      <c r="O589" t="s">
        <v>163</v>
      </c>
      <c r="P589">
        <v>6.0170924614950182E-2</v>
      </c>
      <c r="Q589" t="s">
        <v>161</v>
      </c>
      <c r="S589" t="s">
        <v>223</v>
      </c>
      <c r="T589" t="s">
        <v>163</v>
      </c>
      <c r="U589">
        <v>6.4351204420844674E-2</v>
      </c>
      <c r="V589" t="s">
        <v>161</v>
      </c>
    </row>
    <row r="590" spans="9:22" x14ac:dyDescent="0.45">
      <c r="I590" t="s">
        <v>178</v>
      </c>
      <c r="J590" t="s">
        <v>242</v>
      </c>
      <c r="K590">
        <v>9.3111691476291825E-3</v>
      </c>
      <c r="L590" t="s">
        <v>161</v>
      </c>
      <c r="N590" t="s">
        <v>201</v>
      </c>
      <c r="O590" t="s">
        <v>242</v>
      </c>
      <c r="P590">
        <v>8.5505324352807485E-3</v>
      </c>
      <c r="Q590" t="s">
        <v>161</v>
      </c>
      <c r="S590" t="s">
        <v>223</v>
      </c>
      <c r="T590" t="s">
        <v>242</v>
      </c>
      <c r="U590">
        <v>9.5178590229397907E-3</v>
      </c>
      <c r="V590" t="s">
        <v>161</v>
      </c>
    </row>
    <row r="591" spans="9:22" x14ac:dyDescent="0.45">
      <c r="I591" t="s">
        <v>178</v>
      </c>
      <c r="J591" t="s">
        <v>243</v>
      </c>
      <c r="K591">
        <v>5.8486346978734441E-3</v>
      </c>
      <c r="L591" t="s">
        <v>161</v>
      </c>
      <c r="N591" t="s">
        <v>201</v>
      </c>
      <c r="O591" t="s">
        <v>243</v>
      </c>
      <c r="P591">
        <v>8.9182220004485144E-3</v>
      </c>
      <c r="Q591" t="s">
        <v>161</v>
      </c>
      <c r="S591" t="s">
        <v>223</v>
      </c>
      <c r="T591" t="s">
        <v>243</v>
      </c>
      <c r="U591">
        <v>9.8157035965948814E-3</v>
      </c>
      <c r="V591" t="s">
        <v>161</v>
      </c>
    </row>
    <row r="592" spans="9:22" x14ac:dyDescent="0.45">
      <c r="I592" t="s">
        <v>178</v>
      </c>
      <c r="J592" t="s">
        <v>266</v>
      </c>
      <c r="K592">
        <v>2.3423157132327977E-3</v>
      </c>
      <c r="L592" t="s">
        <v>161</v>
      </c>
      <c r="N592" t="s">
        <v>201</v>
      </c>
      <c r="O592" t="s">
        <v>266</v>
      </c>
      <c r="P592">
        <v>5.6959307238450767E-2</v>
      </c>
      <c r="Q592" t="s">
        <v>161</v>
      </c>
      <c r="S592" t="s">
        <v>223</v>
      </c>
      <c r="T592" t="s">
        <v>266</v>
      </c>
      <c r="U592">
        <v>5.9708771531298624E-2</v>
      </c>
      <c r="V592" t="s">
        <v>161</v>
      </c>
    </row>
    <row r="593" spans="9:22" x14ac:dyDescent="0.45">
      <c r="I593" t="s">
        <v>178</v>
      </c>
      <c r="J593" t="s">
        <v>311</v>
      </c>
      <c r="K593">
        <v>0</v>
      </c>
      <c r="L593" t="s">
        <v>161</v>
      </c>
      <c r="N593" t="s">
        <v>201</v>
      </c>
      <c r="O593" t="s">
        <v>311</v>
      </c>
      <c r="P593">
        <v>1.0621350810330216E-5</v>
      </c>
      <c r="Q593" t="s">
        <v>161</v>
      </c>
      <c r="S593" t="s">
        <v>223</v>
      </c>
      <c r="T593" t="s">
        <v>311</v>
      </c>
      <c r="U593">
        <v>9.9547015173666882E-6</v>
      </c>
      <c r="V593" t="s">
        <v>161</v>
      </c>
    </row>
    <row r="594" spans="9:22" x14ac:dyDescent="0.45">
      <c r="I594" t="s">
        <v>178</v>
      </c>
      <c r="J594" t="s">
        <v>312</v>
      </c>
      <c r="K594">
        <v>0</v>
      </c>
      <c r="L594" t="s">
        <v>161</v>
      </c>
      <c r="N594" t="s">
        <v>201</v>
      </c>
      <c r="O594" t="s">
        <v>312</v>
      </c>
      <c r="P594">
        <v>8.3591276358382532E-6</v>
      </c>
      <c r="Q594" t="s">
        <v>161</v>
      </c>
      <c r="S594" t="s">
        <v>223</v>
      </c>
      <c r="T594" t="s">
        <v>312</v>
      </c>
      <c r="U594">
        <v>4.3142940725574942E-6</v>
      </c>
      <c r="V594" t="s">
        <v>161</v>
      </c>
    </row>
    <row r="595" spans="9:22" x14ac:dyDescent="0.45">
      <c r="I595" t="s">
        <v>178</v>
      </c>
      <c r="J595" t="s">
        <v>313</v>
      </c>
      <c r="K595">
        <v>0</v>
      </c>
      <c r="L595" t="s">
        <v>161</v>
      </c>
      <c r="N595" t="s">
        <v>201</v>
      </c>
      <c r="O595" t="s">
        <v>313</v>
      </c>
      <c r="P595">
        <v>8.9545917947072626E-6</v>
      </c>
      <c r="Q595" t="s">
        <v>161</v>
      </c>
      <c r="S595" t="s">
        <v>223</v>
      </c>
      <c r="T595" t="s">
        <v>313</v>
      </c>
      <c r="U595">
        <v>4.1018516681183551E-6</v>
      </c>
      <c r="V595" t="s">
        <v>161</v>
      </c>
    </row>
    <row r="596" spans="9:22" x14ac:dyDescent="0.45">
      <c r="I596" t="s">
        <v>178</v>
      </c>
      <c r="J596" t="s">
        <v>314</v>
      </c>
      <c r="K596">
        <v>0</v>
      </c>
      <c r="L596" t="s">
        <v>161</v>
      </c>
      <c r="N596" t="s">
        <v>201</v>
      </c>
      <c r="O596" t="s">
        <v>314</v>
      </c>
      <c r="P596">
        <v>6.041390187774756E-6</v>
      </c>
      <c r="Q596" t="s">
        <v>161</v>
      </c>
      <c r="S596" t="s">
        <v>223</v>
      </c>
      <c r="T596" t="s">
        <v>314</v>
      </c>
      <c r="U596">
        <v>5.7071397167821888E-6</v>
      </c>
      <c r="V596" t="s">
        <v>161</v>
      </c>
    </row>
    <row r="597" spans="9:22" x14ac:dyDescent="0.45">
      <c r="I597" t="s">
        <v>178</v>
      </c>
      <c r="J597" t="s">
        <v>315</v>
      </c>
      <c r="K597">
        <v>0</v>
      </c>
      <c r="L597" t="s">
        <v>161</v>
      </c>
      <c r="N597" t="s">
        <v>201</v>
      </c>
      <c r="O597" t="s">
        <v>315</v>
      </c>
      <c r="P597">
        <v>4.6907663994184756E-6</v>
      </c>
      <c r="Q597" t="s">
        <v>161</v>
      </c>
      <c r="S597" t="s">
        <v>223</v>
      </c>
      <c r="T597" t="s">
        <v>315</v>
      </c>
      <c r="U597">
        <v>7.2854937799417833E-6</v>
      </c>
      <c r="V597" t="s">
        <v>161</v>
      </c>
    </row>
    <row r="598" spans="9:22" x14ac:dyDescent="0.45">
      <c r="I598" t="s">
        <v>178</v>
      </c>
      <c r="J598" t="s">
        <v>316</v>
      </c>
      <c r="K598">
        <v>0</v>
      </c>
      <c r="L598" t="s">
        <v>161</v>
      </c>
      <c r="N598" t="s">
        <v>201</v>
      </c>
      <c r="O598" t="s">
        <v>316</v>
      </c>
      <c r="P598">
        <v>4.6238939649687275E-6</v>
      </c>
      <c r="Q598" t="s">
        <v>161</v>
      </c>
      <c r="S598" t="s">
        <v>223</v>
      </c>
      <c r="T598" t="s">
        <v>316</v>
      </c>
      <c r="U598">
        <v>6.1892898791125813E-6</v>
      </c>
      <c r="V598" t="s">
        <v>161</v>
      </c>
    </row>
    <row r="599" spans="9:22" x14ac:dyDescent="0.45">
      <c r="I599" t="s">
        <v>178</v>
      </c>
      <c r="J599" t="s">
        <v>317</v>
      </c>
      <c r="K599">
        <v>0</v>
      </c>
      <c r="L599" t="s">
        <v>161</v>
      </c>
      <c r="N599" t="s">
        <v>201</v>
      </c>
      <c r="O599" t="s">
        <v>317</v>
      </c>
      <c r="P599">
        <v>5.8950523648517104E-6</v>
      </c>
      <c r="Q599" t="s">
        <v>161</v>
      </c>
      <c r="S599" t="s">
        <v>223</v>
      </c>
      <c r="T599" t="s">
        <v>317</v>
      </c>
      <c r="U599">
        <v>3.17103304850773E-6</v>
      </c>
      <c r="V599" t="s">
        <v>161</v>
      </c>
    </row>
    <row r="600" spans="9:22" x14ac:dyDescent="0.45">
      <c r="I600" t="s">
        <v>178</v>
      </c>
      <c r="J600" t="s">
        <v>318</v>
      </c>
      <c r="K600">
        <v>0</v>
      </c>
      <c r="L600" t="s">
        <v>161</v>
      </c>
      <c r="N600" t="s">
        <v>201</v>
      </c>
      <c r="O600" t="s">
        <v>318</v>
      </c>
      <c r="P600">
        <v>5.1372937052037083E-6</v>
      </c>
      <c r="Q600" t="s">
        <v>161</v>
      </c>
      <c r="S600" t="s">
        <v>223</v>
      </c>
      <c r="T600" t="s">
        <v>318</v>
      </c>
      <c r="U600">
        <v>1.4412430650464345E-6</v>
      </c>
      <c r="V600" t="s">
        <v>161</v>
      </c>
    </row>
    <row r="601" spans="9:22" x14ac:dyDescent="0.45">
      <c r="I601" t="s">
        <v>178</v>
      </c>
      <c r="J601" t="s">
        <v>319</v>
      </c>
      <c r="K601">
        <v>0</v>
      </c>
      <c r="L601" t="s">
        <v>161</v>
      </c>
      <c r="N601" t="s">
        <v>201</v>
      </c>
      <c r="O601" t="s">
        <v>319</v>
      </c>
      <c r="P601">
        <v>4.0534102498431826E-6</v>
      </c>
      <c r="Q601" t="s">
        <v>161</v>
      </c>
      <c r="S601" t="s">
        <v>223</v>
      </c>
      <c r="T601" t="s">
        <v>319</v>
      </c>
      <c r="U601">
        <v>0</v>
      </c>
      <c r="V601" t="s">
        <v>161</v>
      </c>
    </row>
    <row r="602" spans="9:22" x14ac:dyDescent="0.45">
      <c r="I602" t="s">
        <v>178</v>
      </c>
      <c r="J602" t="s">
        <v>320</v>
      </c>
      <c r="K602">
        <v>3.1325617300678506E-5</v>
      </c>
      <c r="L602" t="s">
        <v>161</v>
      </c>
      <c r="N602" t="s">
        <v>201</v>
      </c>
      <c r="O602" t="s">
        <v>320</v>
      </c>
      <c r="P602">
        <v>1.7287063483002692E-7</v>
      </c>
      <c r="Q602" t="s">
        <v>161</v>
      </c>
      <c r="S602" t="s">
        <v>223</v>
      </c>
      <c r="T602" t="s">
        <v>320</v>
      </c>
      <c r="U602">
        <v>0</v>
      </c>
      <c r="V602" t="s">
        <v>161</v>
      </c>
    </row>
    <row r="603" spans="9:22" x14ac:dyDescent="0.45">
      <c r="I603" t="s">
        <v>178</v>
      </c>
      <c r="J603" t="s">
        <v>321</v>
      </c>
      <c r="K603">
        <v>6.5573365771961429E-5</v>
      </c>
      <c r="L603" t="s">
        <v>161</v>
      </c>
      <c r="N603" t="s">
        <v>201</v>
      </c>
      <c r="O603" t="s">
        <v>321</v>
      </c>
      <c r="P603">
        <v>3.2594032320724165E-9</v>
      </c>
      <c r="Q603" t="s">
        <v>161</v>
      </c>
      <c r="S603" t="s">
        <v>223</v>
      </c>
      <c r="T603" t="s">
        <v>321</v>
      </c>
      <c r="U603">
        <v>0</v>
      </c>
      <c r="V603" t="s">
        <v>161</v>
      </c>
    </row>
    <row r="604" spans="9:22" x14ac:dyDescent="0.45">
      <c r="I604" t="s">
        <v>178</v>
      </c>
      <c r="J604" t="s">
        <v>322</v>
      </c>
      <c r="K604">
        <v>1.2367950826729893E-4</v>
      </c>
      <c r="L604" t="s">
        <v>161</v>
      </c>
      <c r="N604" t="s">
        <v>201</v>
      </c>
      <c r="O604" t="s">
        <v>322</v>
      </c>
      <c r="P604">
        <v>3.3816885708173485E-9</v>
      </c>
      <c r="Q604" t="s">
        <v>161</v>
      </c>
      <c r="S604" t="s">
        <v>223</v>
      </c>
      <c r="T604" t="s">
        <v>322</v>
      </c>
      <c r="U604">
        <v>0</v>
      </c>
      <c r="V604" t="s">
        <v>161</v>
      </c>
    </row>
    <row r="605" spans="9:22" x14ac:dyDescent="0.45">
      <c r="I605" t="s">
        <v>178</v>
      </c>
      <c r="J605" t="s">
        <v>323</v>
      </c>
      <c r="K605">
        <v>2.1796096803041587E-4</v>
      </c>
      <c r="L605" t="s">
        <v>161</v>
      </c>
      <c r="N605" t="s">
        <v>201</v>
      </c>
      <c r="O605" t="s">
        <v>323</v>
      </c>
      <c r="P605">
        <v>1.4073862832353594E-9</v>
      </c>
      <c r="Q605" t="s">
        <v>161</v>
      </c>
      <c r="S605" t="s">
        <v>223</v>
      </c>
      <c r="T605" t="s">
        <v>323</v>
      </c>
      <c r="U605">
        <v>0</v>
      </c>
      <c r="V605" t="s">
        <v>161</v>
      </c>
    </row>
    <row r="606" spans="9:22" x14ac:dyDescent="0.45">
      <c r="I606" t="s">
        <v>178</v>
      </c>
      <c r="J606" t="s">
        <v>324</v>
      </c>
      <c r="K606">
        <v>1.6634484887995216E-4</v>
      </c>
      <c r="L606" t="s">
        <v>161</v>
      </c>
      <c r="N606" t="s">
        <v>201</v>
      </c>
      <c r="O606" t="s">
        <v>324</v>
      </c>
      <c r="P606">
        <v>3.2865155401259098E-11</v>
      </c>
      <c r="Q606" t="s">
        <v>161</v>
      </c>
      <c r="S606" t="s">
        <v>223</v>
      </c>
      <c r="T606" t="s">
        <v>324</v>
      </c>
      <c r="U606">
        <v>0</v>
      </c>
      <c r="V606" t="s">
        <v>161</v>
      </c>
    </row>
    <row r="607" spans="9:22" x14ac:dyDescent="0.45">
      <c r="I607" t="s">
        <v>178</v>
      </c>
      <c r="J607" t="s">
        <v>325</v>
      </c>
      <c r="K607">
        <v>1.3470047166165756E-4</v>
      </c>
      <c r="L607" t="s">
        <v>161</v>
      </c>
      <c r="N607" t="s">
        <v>201</v>
      </c>
      <c r="O607" t="s">
        <v>325</v>
      </c>
      <c r="P607">
        <v>6.1011479535294096E-9</v>
      </c>
      <c r="Q607" t="s">
        <v>161</v>
      </c>
      <c r="S607" t="s">
        <v>223</v>
      </c>
      <c r="T607" t="s">
        <v>325</v>
      </c>
      <c r="U607">
        <v>0</v>
      </c>
      <c r="V607" t="s">
        <v>161</v>
      </c>
    </row>
    <row r="608" spans="9:22" x14ac:dyDescent="0.45">
      <c r="I608" t="s">
        <v>178</v>
      </c>
      <c r="J608" t="s">
        <v>326</v>
      </c>
      <c r="K608">
        <v>8.8050794799658202E-5</v>
      </c>
      <c r="L608" t="s">
        <v>161</v>
      </c>
      <c r="N608" t="s">
        <v>201</v>
      </c>
      <c r="O608" t="s">
        <v>326</v>
      </c>
      <c r="P608">
        <v>1.3857127217242124E-7</v>
      </c>
      <c r="Q608" t="s">
        <v>161</v>
      </c>
      <c r="S608" t="s">
        <v>223</v>
      </c>
      <c r="T608" t="s">
        <v>326</v>
      </c>
      <c r="U608">
        <v>0</v>
      </c>
      <c r="V608" t="s">
        <v>161</v>
      </c>
    </row>
    <row r="609" spans="9:22" x14ac:dyDescent="0.45">
      <c r="I609" t="s">
        <v>178</v>
      </c>
      <c r="J609" t="s">
        <v>327</v>
      </c>
      <c r="K609">
        <v>7.6784618647926942E-5</v>
      </c>
      <c r="L609" t="s">
        <v>161</v>
      </c>
      <c r="N609" t="s">
        <v>201</v>
      </c>
      <c r="O609" t="s">
        <v>327</v>
      </c>
      <c r="P609">
        <v>8.8406103696277157E-7</v>
      </c>
      <c r="Q609" t="s">
        <v>161</v>
      </c>
      <c r="S609" t="s">
        <v>223</v>
      </c>
      <c r="T609" t="s">
        <v>327</v>
      </c>
      <c r="U609">
        <v>0</v>
      </c>
      <c r="V609" t="s">
        <v>161</v>
      </c>
    </row>
    <row r="610" spans="9:22" x14ac:dyDescent="0.45">
      <c r="I610" t="s">
        <v>178</v>
      </c>
      <c r="J610" t="s">
        <v>328</v>
      </c>
      <c r="K610">
        <v>5.0569189200399884E-5</v>
      </c>
      <c r="L610" t="s">
        <v>161</v>
      </c>
      <c r="N610" t="s">
        <v>201</v>
      </c>
      <c r="O610" t="s">
        <v>328</v>
      </c>
      <c r="P610">
        <v>6.5169768157522803E-6</v>
      </c>
      <c r="Q610" t="s">
        <v>161</v>
      </c>
      <c r="S610" t="s">
        <v>223</v>
      </c>
      <c r="T610" t="s">
        <v>328</v>
      </c>
      <c r="U610">
        <v>0</v>
      </c>
      <c r="V610" t="s">
        <v>161</v>
      </c>
    </row>
    <row r="611" spans="9:22" x14ac:dyDescent="0.45">
      <c r="I611" t="s">
        <v>178</v>
      </c>
      <c r="J611" t="s">
        <v>329</v>
      </c>
      <c r="K611">
        <v>0</v>
      </c>
      <c r="L611" t="s">
        <v>161</v>
      </c>
      <c r="N611" t="s">
        <v>201</v>
      </c>
      <c r="O611" t="s">
        <v>329</v>
      </c>
      <c r="P611">
        <v>1.9373450603568824E-5</v>
      </c>
      <c r="Q611" t="s">
        <v>161</v>
      </c>
      <c r="S611" t="s">
        <v>223</v>
      </c>
      <c r="T611" t="s">
        <v>329</v>
      </c>
      <c r="U611">
        <v>1.2679198925161265E-6</v>
      </c>
      <c r="V611" t="s">
        <v>161</v>
      </c>
    </row>
    <row r="612" spans="9:22" x14ac:dyDescent="0.45">
      <c r="I612" t="s">
        <v>178</v>
      </c>
      <c r="J612" t="s">
        <v>330</v>
      </c>
      <c r="K612">
        <v>0</v>
      </c>
      <c r="L612" t="s">
        <v>161</v>
      </c>
      <c r="N612" t="s">
        <v>201</v>
      </c>
      <c r="O612" t="s">
        <v>330</v>
      </c>
      <c r="P612">
        <v>2.8651402114087817E-5</v>
      </c>
      <c r="Q612" t="s">
        <v>161</v>
      </c>
      <c r="S612" t="s">
        <v>223</v>
      </c>
      <c r="T612" t="s">
        <v>330</v>
      </c>
      <c r="U612">
        <v>3.5761035823350007E-6</v>
      </c>
      <c r="V612" t="s">
        <v>161</v>
      </c>
    </row>
    <row r="613" spans="9:22" x14ac:dyDescent="0.45">
      <c r="I613" t="s">
        <v>178</v>
      </c>
      <c r="J613" t="s">
        <v>331</v>
      </c>
      <c r="K613">
        <v>0</v>
      </c>
      <c r="L613" t="s">
        <v>161</v>
      </c>
      <c r="N613" t="s">
        <v>201</v>
      </c>
      <c r="O613" t="s">
        <v>331</v>
      </c>
      <c r="P613">
        <v>2.8799294745375005E-5</v>
      </c>
      <c r="Q613" t="s">
        <v>161</v>
      </c>
      <c r="S613" t="s">
        <v>223</v>
      </c>
      <c r="T613" t="s">
        <v>331</v>
      </c>
      <c r="U613">
        <v>3.561905578783388E-6</v>
      </c>
      <c r="V613" t="s">
        <v>161</v>
      </c>
    </row>
    <row r="614" spans="9:22" x14ac:dyDescent="0.45">
      <c r="I614" t="s">
        <v>178</v>
      </c>
      <c r="J614" t="s">
        <v>332</v>
      </c>
      <c r="K614">
        <v>0</v>
      </c>
      <c r="L614" t="s">
        <v>161</v>
      </c>
      <c r="N614" t="s">
        <v>201</v>
      </c>
      <c r="O614" t="s">
        <v>332</v>
      </c>
      <c r="P614">
        <v>2.7466040036426208E-5</v>
      </c>
      <c r="Q614" t="s">
        <v>161</v>
      </c>
      <c r="S614" t="s">
        <v>223</v>
      </c>
      <c r="T614" t="s">
        <v>332</v>
      </c>
      <c r="U614">
        <v>3.6881616085172184E-6</v>
      </c>
      <c r="V614" t="s">
        <v>161</v>
      </c>
    </row>
    <row r="615" spans="9:22" x14ac:dyDescent="0.45">
      <c r="I615" t="s">
        <v>178</v>
      </c>
      <c r="J615" t="s">
        <v>333</v>
      </c>
      <c r="K615">
        <v>0</v>
      </c>
      <c r="L615" t="s">
        <v>161</v>
      </c>
      <c r="N615" t="s">
        <v>201</v>
      </c>
      <c r="O615" t="s">
        <v>333</v>
      </c>
      <c r="P615">
        <v>1.4778489633600208E-5</v>
      </c>
      <c r="Q615" t="s">
        <v>161</v>
      </c>
      <c r="S615" t="s">
        <v>223</v>
      </c>
      <c r="T615" t="s">
        <v>333</v>
      </c>
      <c r="U615">
        <v>1.4217534746789603E-6</v>
      </c>
      <c r="V615" t="s">
        <v>161</v>
      </c>
    </row>
    <row r="616" spans="9:22" x14ac:dyDescent="0.45">
      <c r="I616" t="s">
        <v>178</v>
      </c>
      <c r="J616" t="s">
        <v>334</v>
      </c>
      <c r="K616">
        <v>0</v>
      </c>
      <c r="L616" t="s">
        <v>161</v>
      </c>
      <c r="N616" t="s">
        <v>201</v>
      </c>
      <c r="O616" t="s">
        <v>334</v>
      </c>
      <c r="P616">
        <v>1.4432996456553662E-5</v>
      </c>
      <c r="Q616" t="s">
        <v>161</v>
      </c>
      <c r="S616" t="s">
        <v>223</v>
      </c>
      <c r="T616" t="s">
        <v>334</v>
      </c>
      <c r="U616">
        <v>0</v>
      </c>
      <c r="V616" t="s">
        <v>161</v>
      </c>
    </row>
    <row r="617" spans="9:22" x14ac:dyDescent="0.45">
      <c r="I617" t="s">
        <v>178</v>
      </c>
      <c r="J617" t="s">
        <v>164</v>
      </c>
      <c r="K617">
        <v>6.5893265256804882E-3</v>
      </c>
      <c r="L617" t="s">
        <v>161</v>
      </c>
      <c r="N617" t="s">
        <v>201</v>
      </c>
      <c r="O617" t="s">
        <v>164</v>
      </c>
      <c r="P617">
        <v>4.1109141637361422E-2</v>
      </c>
      <c r="Q617" t="s">
        <v>161</v>
      </c>
      <c r="S617" t="s">
        <v>223</v>
      </c>
      <c r="T617" t="s">
        <v>164</v>
      </c>
      <c r="U617">
        <v>3.6908370764367621E-2</v>
      </c>
      <c r="V617" t="s">
        <v>161</v>
      </c>
    </row>
    <row r="618" spans="9:22" x14ac:dyDescent="0.45">
      <c r="I618" t="s">
        <v>178</v>
      </c>
      <c r="J618" t="s">
        <v>165</v>
      </c>
      <c r="K618">
        <v>9.3096183831950455E-3</v>
      </c>
      <c r="L618" t="s">
        <v>161</v>
      </c>
      <c r="N618" t="s">
        <v>201</v>
      </c>
      <c r="O618" t="s">
        <v>165</v>
      </c>
      <c r="P618">
        <v>4.6050493697398281E-3</v>
      </c>
      <c r="Q618" t="s">
        <v>161</v>
      </c>
      <c r="S618" t="s">
        <v>223</v>
      </c>
      <c r="T618" t="s">
        <v>165</v>
      </c>
      <c r="U618">
        <v>4.4995978859349471E-3</v>
      </c>
      <c r="V618" t="s">
        <v>161</v>
      </c>
    </row>
    <row r="619" spans="9:22" x14ac:dyDescent="0.45">
      <c r="I619" t="s">
        <v>178</v>
      </c>
      <c r="J619" t="s">
        <v>166</v>
      </c>
      <c r="K619">
        <v>9.4180079347143605E-2</v>
      </c>
      <c r="L619" t="s">
        <v>161</v>
      </c>
      <c r="N619" t="s">
        <v>201</v>
      </c>
      <c r="O619" t="s">
        <v>166</v>
      </c>
      <c r="P619">
        <v>3.1994308605656462E-2</v>
      </c>
      <c r="Q619" t="s">
        <v>161</v>
      </c>
      <c r="S619" t="s">
        <v>223</v>
      </c>
      <c r="T619" t="s">
        <v>166</v>
      </c>
      <c r="U619">
        <v>3.3452490882188768E-2</v>
      </c>
      <c r="V619" t="s">
        <v>161</v>
      </c>
    </row>
    <row r="620" spans="9:22" x14ac:dyDescent="0.45">
      <c r="I620" t="s">
        <v>178</v>
      </c>
      <c r="J620" t="s">
        <v>244</v>
      </c>
      <c r="K620">
        <v>9.89982987299751E-3</v>
      </c>
      <c r="L620" t="s">
        <v>161</v>
      </c>
      <c r="N620" t="s">
        <v>201</v>
      </c>
      <c r="O620" t="s">
        <v>244</v>
      </c>
      <c r="P620">
        <v>4.7848579202082213E-3</v>
      </c>
      <c r="Q620" t="s">
        <v>161</v>
      </c>
      <c r="S620" t="s">
        <v>223</v>
      </c>
      <c r="T620" t="s">
        <v>244</v>
      </c>
      <c r="U620">
        <v>4.8560139640310999E-3</v>
      </c>
      <c r="V620" t="s">
        <v>161</v>
      </c>
    </row>
    <row r="621" spans="9:22" x14ac:dyDescent="0.45">
      <c r="I621" t="s">
        <v>178</v>
      </c>
      <c r="J621" t="s">
        <v>245</v>
      </c>
      <c r="K621">
        <v>7.8530953832073608E-3</v>
      </c>
      <c r="L621" t="s">
        <v>161</v>
      </c>
      <c r="N621" t="s">
        <v>201</v>
      </c>
      <c r="O621" t="s">
        <v>245</v>
      </c>
      <c r="P621">
        <v>4.6056602590234903E-3</v>
      </c>
      <c r="Q621" t="s">
        <v>161</v>
      </c>
      <c r="S621" t="s">
        <v>223</v>
      </c>
      <c r="T621" t="s">
        <v>245</v>
      </c>
      <c r="U621">
        <v>4.613348589297398E-3</v>
      </c>
      <c r="V621" t="s">
        <v>161</v>
      </c>
    </row>
    <row r="622" spans="9:22" x14ac:dyDescent="0.45">
      <c r="I622" t="s">
        <v>178</v>
      </c>
      <c r="J622" t="s">
        <v>267</v>
      </c>
      <c r="K622">
        <v>7.6906670277574179E-3</v>
      </c>
      <c r="L622" t="s">
        <v>161</v>
      </c>
      <c r="N622" t="s">
        <v>201</v>
      </c>
      <c r="O622" t="s">
        <v>267</v>
      </c>
      <c r="P622">
        <v>3.2014455073436192E-2</v>
      </c>
      <c r="Q622" t="s">
        <v>161</v>
      </c>
      <c r="S622" t="s">
        <v>223</v>
      </c>
      <c r="T622" t="s">
        <v>267</v>
      </c>
      <c r="U622">
        <v>2.9811246032356509E-2</v>
      </c>
      <c r="V622" t="s">
        <v>161</v>
      </c>
    </row>
    <row r="623" spans="9:22" x14ac:dyDescent="0.45">
      <c r="I623" t="s">
        <v>178</v>
      </c>
      <c r="J623" t="s">
        <v>167</v>
      </c>
      <c r="K623">
        <v>4.2578084817314829E-2</v>
      </c>
      <c r="L623" t="s">
        <v>161</v>
      </c>
      <c r="N623" t="s">
        <v>201</v>
      </c>
      <c r="O623" t="s">
        <v>167</v>
      </c>
      <c r="P623">
        <v>6.0695974863018913E-2</v>
      </c>
      <c r="Q623" t="s">
        <v>161</v>
      </c>
      <c r="S623" t="s">
        <v>223</v>
      </c>
      <c r="T623" t="s">
        <v>167</v>
      </c>
      <c r="U623">
        <v>5.7517299486010094E-2</v>
      </c>
      <c r="V623" t="s">
        <v>161</v>
      </c>
    </row>
    <row r="624" spans="9:22" x14ac:dyDescent="0.45">
      <c r="I624" t="s">
        <v>178</v>
      </c>
      <c r="J624" t="s">
        <v>168</v>
      </c>
      <c r="K624">
        <v>2.9209767508315235E-2</v>
      </c>
      <c r="L624" t="s">
        <v>161</v>
      </c>
      <c r="N624" t="s">
        <v>201</v>
      </c>
      <c r="O624" t="s">
        <v>168</v>
      </c>
      <c r="P624">
        <v>7.0462036786904337E-3</v>
      </c>
      <c r="Q624" t="s">
        <v>161</v>
      </c>
      <c r="S624" t="s">
        <v>223</v>
      </c>
      <c r="T624" t="s">
        <v>168</v>
      </c>
      <c r="U624">
        <v>7.1964242395440511E-3</v>
      </c>
      <c r="V624" t="s">
        <v>161</v>
      </c>
    </row>
    <row r="625" spans="9:22" x14ac:dyDescent="0.45">
      <c r="I625" t="s">
        <v>178</v>
      </c>
      <c r="J625" t="s">
        <v>169</v>
      </c>
      <c r="K625">
        <v>0.2692232072164169</v>
      </c>
      <c r="L625" t="s">
        <v>161</v>
      </c>
      <c r="N625" t="s">
        <v>201</v>
      </c>
      <c r="O625" t="s">
        <v>169</v>
      </c>
      <c r="P625">
        <v>5.154567657453691E-2</v>
      </c>
      <c r="Q625" t="s">
        <v>161</v>
      </c>
      <c r="S625" t="s">
        <v>223</v>
      </c>
      <c r="T625" t="s">
        <v>169</v>
      </c>
      <c r="U625">
        <v>5.2505270091734155E-2</v>
      </c>
      <c r="V625" t="s">
        <v>161</v>
      </c>
    </row>
    <row r="626" spans="9:22" x14ac:dyDescent="0.45">
      <c r="I626" t="s">
        <v>178</v>
      </c>
      <c r="J626" t="s">
        <v>246</v>
      </c>
      <c r="K626">
        <v>3.2591723127796873E-2</v>
      </c>
      <c r="L626" t="s">
        <v>161</v>
      </c>
      <c r="N626" t="s">
        <v>201</v>
      </c>
      <c r="O626" t="s">
        <v>246</v>
      </c>
      <c r="P626">
        <v>7.8719892736922523E-3</v>
      </c>
      <c r="Q626" t="s">
        <v>161</v>
      </c>
      <c r="S626" t="s">
        <v>223</v>
      </c>
      <c r="T626" t="s">
        <v>246</v>
      </c>
      <c r="U626">
        <v>7.3686528341285829E-3</v>
      </c>
      <c r="V626" t="s">
        <v>161</v>
      </c>
    </row>
    <row r="627" spans="9:22" x14ac:dyDescent="0.45">
      <c r="I627" t="s">
        <v>178</v>
      </c>
      <c r="J627" t="s">
        <v>247</v>
      </c>
      <c r="K627">
        <v>2.7997366996342775E-2</v>
      </c>
      <c r="L627" t="s">
        <v>161</v>
      </c>
      <c r="N627" t="s">
        <v>201</v>
      </c>
      <c r="O627" t="s">
        <v>247</v>
      </c>
      <c r="P627">
        <v>7.4622344455429115E-3</v>
      </c>
      <c r="Q627" t="s">
        <v>161</v>
      </c>
      <c r="S627" t="s">
        <v>223</v>
      </c>
      <c r="T627" t="s">
        <v>247</v>
      </c>
      <c r="U627">
        <v>6.8468591421948846E-3</v>
      </c>
      <c r="V627" t="s">
        <v>161</v>
      </c>
    </row>
    <row r="628" spans="9:22" x14ac:dyDescent="0.45">
      <c r="I628" t="s">
        <v>178</v>
      </c>
      <c r="J628" t="s">
        <v>268</v>
      </c>
      <c r="K628">
        <v>4.4603300122678276E-2</v>
      </c>
      <c r="L628" t="s">
        <v>161</v>
      </c>
      <c r="N628" t="s">
        <v>201</v>
      </c>
      <c r="O628" t="s">
        <v>268</v>
      </c>
      <c r="P628">
        <v>4.854953280350658E-2</v>
      </c>
      <c r="Q628" t="s">
        <v>161</v>
      </c>
      <c r="S628" t="s">
        <v>223</v>
      </c>
      <c r="T628" t="s">
        <v>268</v>
      </c>
      <c r="U628">
        <v>4.2235264104993279E-2</v>
      </c>
      <c r="V628" t="s">
        <v>161</v>
      </c>
    </row>
    <row r="629" spans="9:22" x14ac:dyDescent="0.45">
      <c r="I629" t="s">
        <v>178</v>
      </c>
      <c r="J629" t="s">
        <v>170</v>
      </c>
      <c r="K629">
        <v>1.2014828397382186E-2</v>
      </c>
      <c r="L629" t="s">
        <v>161</v>
      </c>
      <c r="N629" t="s">
        <v>201</v>
      </c>
      <c r="O629" t="s">
        <v>170</v>
      </c>
      <c r="P629">
        <v>3.2660435014048812E-2</v>
      </c>
      <c r="Q629" t="s">
        <v>161</v>
      </c>
      <c r="S629" t="s">
        <v>223</v>
      </c>
      <c r="T629" t="s">
        <v>170</v>
      </c>
      <c r="U629">
        <v>3.2059460154736395E-2</v>
      </c>
      <c r="V629" t="s">
        <v>161</v>
      </c>
    </row>
    <row r="630" spans="9:22" x14ac:dyDescent="0.45">
      <c r="I630" t="s">
        <v>178</v>
      </c>
      <c r="J630" t="s">
        <v>171</v>
      </c>
      <c r="K630">
        <v>1.2453711598757029E-2</v>
      </c>
      <c r="L630" t="s">
        <v>161</v>
      </c>
      <c r="N630" t="s">
        <v>201</v>
      </c>
      <c r="O630" t="s">
        <v>171</v>
      </c>
      <c r="P630">
        <v>3.5133870987903121E-3</v>
      </c>
      <c r="Q630" t="s">
        <v>161</v>
      </c>
      <c r="S630" t="s">
        <v>223</v>
      </c>
      <c r="T630" t="s">
        <v>171</v>
      </c>
      <c r="U630">
        <v>3.5728648878024525E-3</v>
      </c>
      <c r="V630" t="s">
        <v>161</v>
      </c>
    </row>
    <row r="631" spans="9:22" x14ac:dyDescent="0.45">
      <c r="I631" t="s">
        <v>178</v>
      </c>
      <c r="J631" t="s">
        <v>172</v>
      </c>
      <c r="K631">
        <v>0.11855753168370936</v>
      </c>
      <c r="L631" t="s">
        <v>161</v>
      </c>
      <c r="N631" t="s">
        <v>201</v>
      </c>
      <c r="O631" t="s">
        <v>172</v>
      </c>
      <c r="P631">
        <v>2.9997743709210902E-2</v>
      </c>
      <c r="Q631" t="s">
        <v>161</v>
      </c>
      <c r="S631" t="s">
        <v>223</v>
      </c>
      <c r="T631" t="s">
        <v>172</v>
      </c>
      <c r="U631">
        <v>2.8724959203807295E-2</v>
      </c>
      <c r="V631" t="s">
        <v>161</v>
      </c>
    </row>
    <row r="632" spans="9:22" x14ac:dyDescent="0.45">
      <c r="I632" t="s">
        <v>178</v>
      </c>
      <c r="J632" t="s">
        <v>248</v>
      </c>
      <c r="K632">
        <v>1.4031270379368375E-2</v>
      </c>
      <c r="L632" t="s">
        <v>161</v>
      </c>
      <c r="N632" t="s">
        <v>201</v>
      </c>
      <c r="O632" t="s">
        <v>248</v>
      </c>
      <c r="P632">
        <v>4.1347328713742656E-3</v>
      </c>
      <c r="Q632" t="s">
        <v>161</v>
      </c>
      <c r="S632" t="s">
        <v>223</v>
      </c>
      <c r="T632" t="s">
        <v>248</v>
      </c>
      <c r="U632">
        <v>3.9736315454310259E-3</v>
      </c>
      <c r="V632" t="s">
        <v>161</v>
      </c>
    </row>
    <row r="633" spans="9:22" x14ac:dyDescent="0.45">
      <c r="I633" t="s">
        <v>178</v>
      </c>
      <c r="J633" t="s">
        <v>249</v>
      </c>
      <c r="K633">
        <v>1.1550147977780263E-2</v>
      </c>
      <c r="L633" t="s">
        <v>161</v>
      </c>
      <c r="N633" t="s">
        <v>201</v>
      </c>
      <c r="O633" t="s">
        <v>249</v>
      </c>
      <c r="P633">
        <v>3.5678118767167319E-3</v>
      </c>
      <c r="Q633" t="s">
        <v>161</v>
      </c>
      <c r="S633" t="s">
        <v>223</v>
      </c>
      <c r="T633" t="s">
        <v>249</v>
      </c>
      <c r="U633">
        <v>3.8455227451868476E-3</v>
      </c>
      <c r="V633" t="s">
        <v>161</v>
      </c>
    </row>
    <row r="634" spans="9:22" x14ac:dyDescent="0.45">
      <c r="I634" t="s">
        <v>178</v>
      </c>
      <c r="J634" t="s">
        <v>269</v>
      </c>
      <c r="K634">
        <v>1.3505604172422615E-2</v>
      </c>
      <c r="L634" t="s">
        <v>161</v>
      </c>
      <c r="N634" t="s">
        <v>201</v>
      </c>
      <c r="O634" t="s">
        <v>269</v>
      </c>
      <c r="P634">
        <v>2.3548076876366474E-2</v>
      </c>
      <c r="Q634" t="s">
        <v>161</v>
      </c>
      <c r="S634" t="s">
        <v>223</v>
      </c>
      <c r="T634" t="s">
        <v>269</v>
      </c>
      <c r="U634">
        <v>2.5284450615596865E-2</v>
      </c>
      <c r="V634" t="s">
        <v>161</v>
      </c>
    </row>
    <row r="635" spans="9:22" x14ac:dyDescent="0.45">
      <c r="I635" t="s">
        <v>178</v>
      </c>
      <c r="J635" t="s">
        <v>362</v>
      </c>
      <c r="K635">
        <v>0</v>
      </c>
      <c r="L635" t="s">
        <v>161</v>
      </c>
      <c r="N635" t="s">
        <v>201</v>
      </c>
      <c r="O635" t="s">
        <v>362</v>
      </c>
      <c r="P635">
        <v>1.7179588196749668E-5</v>
      </c>
      <c r="Q635" t="s">
        <v>161</v>
      </c>
      <c r="S635" t="s">
        <v>223</v>
      </c>
      <c r="T635" t="s">
        <v>362</v>
      </c>
      <c r="U635">
        <v>1.5027039384347417E-5</v>
      </c>
      <c r="V635" t="s">
        <v>161</v>
      </c>
    </row>
    <row r="636" spans="9:22" x14ac:dyDescent="0.45">
      <c r="I636" t="s">
        <v>178</v>
      </c>
      <c r="J636" t="s">
        <v>363</v>
      </c>
      <c r="K636">
        <v>0</v>
      </c>
      <c r="L636" t="s">
        <v>161</v>
      </c>
      <c r="N636" t="s">
        <v>201</v>
      </c>
      <c r="O636" t="s">
        <v>363</v>
      </c>
      <c r="P636">
        <v>1.9855288693146349E-5</v>
      </c>
      <c r="Q636" t="s">
        <v>161</v>
      </c>
      <c r="S636" t="s">
        <v>223</v>
      </c>
      <c r="T636" t="s">
        <v>363</v>
      </c>
      <c r="U636">
        <v>1.806542619077824E-5</v>
      </c>
      <c r="V636" t="s">
        <v>161</v>
      </c>
    </row>
    <row r="637" spans="9:22" x14ac:dyDescent="0.45">
      <c r="I637" t="s">
        <v>178</v>
      </c>
      <c r="J637" t="s">
        <v>364</v>
      </c>
      <c r="K637">
        <v>0</v>
      </c>
      <c r="L637" t="s">
        <v>161</v>
      </c>
      <c r="N637" t="s">
        <v>201</v>
      </c>
      <c r="O637" t="s">
        <v>364</v>
      </c>
      <c r="P637">
        <v>1.858954709624666E-5</v>
      </c>
      <c r="Q637" t="s">
        <v>161</v>
      </c>
      <c r="S637" t="s">
        <v>223</v>
      </c>
      <c r="T637" t="s">
        <v>364</v>
      </c>
      <c r="U637">
        <v>2.0187007888721785E-5</v>
      </c>
      <c r="V637" t="s">
        <v>161</v>
      </c>
    </row>
    <row r="638" spans="9:22" x14ac:dyDescent="0.45">
      <c r="I638" t="s">
        <v>178</v>
      </c>
      <c r="J638" t="s">
        <v>365</v>
      </c>
      <c r="K638">
        <v>0</v>
      </c>
      <c r="L638" t="s">
        <v>161</v>
      </c>
      <c r="N638" t="s">
        <v>201</v>
      </c>
      <c r="O638" t="s">
        <v>365</v>
      </c>
      <c r="P638">
        <v>1.4704349424529616E-5</v>
      </c>
      <c r="Q638" t="s">
        <v>161</v>
      </c>
      <c r="S638" t="s">
        <v>223</v>
      </c>
      <c r="T638" t="s">
        <v>365</v>
      </c>
      <c r="U638">
        <v>2.251189263173776E-5</v>
      </c>
      <c r="V638" t="s">
        <v>161</v>
      </c>
    </row>
    <row r="639" spans="9:22" x14ac:dyDescent="0.45">
      <c r="I639" t="s">
        <v>178</v>
      </c>
      <c r="J639" t="s">
        <v>366</v>
      </c>
      <c r="K639">
        <v>0</v>
      </c>
      <c r="L639" t="s">
        <v>161</v>
      </c>
      <c r="N639" t="s">
        <v>201</v>
      </c>
      <c r="O639" t="s">
        <v>366</v>
      </c>
      <c r="P639">
        <v>1.4463616583548315E-5</v>
      </c>
      <c r="Q639" t="s">
        <v>161</v>
      </c>
      <c r="S639" t="s">
        <v>223</v>
      </c>
      <c r="T639" t="s">
        <v>366</v>
      </c>
      <c r="U639">
        <v>2.2541013224953891E-5</v>
      </c>
      <c r="V639" t="s">
        <v>161</v>
      </c>
    </row>
    <row r="640" spans="9:22" x14ac:dyDescent="0.45">
      <c r="I640" t="s">
        <v>178</v>
      </c>
      <c r="J640" t="s">
        <v>367</v>
      </c>
      <c r="K640">
        <v>0</v>
      </c>
      <c r="L640" t="s">
        <v>161</v>
      </c>
      <c r="N640" t="s">
        <v>201</v>
      </c>
      <c r="O640" t="s">
        <v>367</v>
      </c>
      <c r="P640">
        <v>1.6444000253488589E-5</v>
      </c>
      <c r="Q640" t="s">
        <v>161</v>
      </c>
      <c r="S640" t="s">
        <v>223</v>
      </c>
      <c r="T640" t="s">
        <v>367</v>
      </c>
      <c r="U640">
        <v>1.9734451806822862E-5</v>
      </c>
      <c r="V640" t="s">
        <v>161</v>
      </c>
    </row>
    <row r="641" spans="9:22" x14ac:dyDescent="0.45">
      <c r="I641" t="s">
        <v>178</v>
      </c>
      <c r="J641" t="s">
        <v>368</v>
      </c>
      <c r="K641">
        <v>1.5742307375785062E-4</v>
      </c>
      <c r="L641" t="s">
        <v>161</v>
      </c>
      <c r="N641" t="s">
        <v>201</v>
      </c>
      <c r="O641" t="s">
        <v>368</v>
      </c>
      <c r="P641">
        <v>1.4687732528445073E-5</v>
      </c>
      <c r="Q641" t="s">
        <v>161</v>
      </c>
      <c r="S641" t="s">
        <v>223</v>
      </c>
      <c r="T641" t="s">
        <v>368</v>
      </c>
      <c r="U641">
        <v>1.3440984479799435E-5</v>
      </c>
      <c r="V641" t="s">
        <v>161</v>
      </c>
    </row>
    <row r="642" spans="9:22" x14ac:dyDescent="0.45">
      <c r="I642" t="s">
        <v>178</v>
      </c>
      <c r="J642" t="s">
        <v>369</v>
      </c>
      <c r="K642">
        <v>2.8099129334885299E-4</v>
      </c>
      <c r="L642" t="s">
        <v>161</v>
      </c>
      <c r="N642" t="s">
        <v>201</v>
      </c>
      <c r="O642" t="s">
        <v>369</v>
      </c>
      <c r="P642">
        <v>3.0687382993202747E-6</v>
      </c>
      <c r="Q642" t="s">
        <v>161</v>
      </c>
      <c r="S642" t="s">
        <v>223</v>
      </c>
      <c r="T642" t="s">
        <v>369</v>
      </c>
      <c r="U642">
        <v>3.6347999762489771E-6</v>
      </c>
      <c r="V642" t="s">
        <v>161</v>
      </c>
    </row>
    <row r="643" spans="9:22" x14ac:dyDescent="0.45">
      <c r="I643" t="s">
        <v>178</v>
      </c>
      <c r="J643" t="s">
        <v>370</v>
      </c>
      <c r="K643">
        <v>4.3993390273544796E-4</v>
      </c>
      <c r="L643" t="s">
        <v>161</v>
      </c>
      <c r="N643" t="s">
        <v>201</v>
      </c>
      <c r="O643" t="s">
        <v>370</v>
      </c>
      <c r="P643">
        <v>1.7442370220181051E-6</v>
      </c>
      <c r="Q643" t="s">
        <v>161</v>
      </c>
      <c r="S643" t="s">
        <v>223</v>
      </c>
      <c r="T643" t="s">
        <v>370</v>
      </c>
      <c r="U643">
        <v>4.8077499669914943E-6</v>
      </c>
      <c r="V643" t="s">
        <v>161</v>
      </c>
    </row>
    <row r="644" spans="9:22" x14ac:dyDescent="0.45">
      <c r="I644" t="s">
        <v>178</v>
      </c>
      <c r="J644" t="s">
        <v>371</v>
      </c>
      <c r="K644">
        <v>5.2978969331199052E-4</v>
      </c>
      <c r="L644" t="s">
        <v>161</v>
      </c>
      <c r="N644" t="s">
        <v>201</v>
      </c>
      <c r="O644" t="s">
        <v>371</v>
      </c>
      <c r="P644">
        <v>3.5701576054787477E-6</v>
      </c>
      <c r="Q644" t="s">
        <v>161</v>
      </c>
      <c r="S644" t="s">
        <v>223</v>
      </c>
      <c r="T644" t="s">
        <v>371</v>
      </c>
      <c r="U644">
        <v>7.7206708707659804E-6</v>
      </c>
      <c r="V644" t="s">
        <v>161</v>
      </c>
    </row>
    <row r="645" spans="9:22" x14ac:dyDescent="0.45">
      <c r="I645" t="s">
        <v>178</v>
      </c>
      <c r="J645" t="s">
        <v>372</v>
      </c>
      <c r="K645">
        <v>5.3111200755364633E-4</v>
      </c>
      <c r="L645" t="s">
        <v>161</v>
      </c>
      <c r="N645" t="s">
        <v>201</v>
      </c>
      <c r="O645" t="s">
        <v>372</v>
      </c>
      <c r="P645">
        <v>4.0692457057806917E-6</v>
      </c>
      <c r="Q645" t="s">
        <v>161</v>
      </c>
      <c r="S645" t="s">
        <v>223</v>
      </c>
      <c r="T645" t="s">
        <v>372</v>
      </c>
      <c r="U645">
        <v>5.1095194676204071E-6</v>
      </c>
      <c r="V645" t="s">
        <v>161</v>
      </c>
    </row>
    <row r="646" spans="9:22" x14ac:dyDescent="0.45">
      <c r="I646" t="s">
        <v>178</v>
      </c>
      <c r="J646" t="s">
        <v>373</v>
      </c>
      <c r="K646">
        <v>5.0269476079539785E-4</v>
      </c>
      <c r="L646" t="s">
        <v>161</v>
      </c>
      <c r="N646" t="s">
        <v>201</v>
      </c>
      <c r="O646" t="s">
        <v>373</v>
      </c>
      <c r="P646">
        <v>3.2615511665633797E-6</v>
      </c>
      <c r="Q646" t="s">
        <v>161</v>
      </c>
      <c r="S646" t="s">
        <v>223</v>
      </c>
      <c r="T646" t="s">
        <v>373</v>
      </c>
      <c r="U646">
        <v>4.5980897792367571E-6</v>
      </c>
      <c r="V646" t="s">
        <v>161</v>
      </c>
    </row>
    <row r="647" spans="9:22" x14ac:dyDescent="0.45">
      <c r="I647" t="s">
        <v>178</v>
      </c>
      <c r="J647" t="s">
        <v>374</v>
      </c>
      <c r="K647">
        <v>3.7740535704986226E-4</v>
      </c>
      <c r="L647" t="s">
        <v>161</v>
      </c>
      <c r="N647" t="s">
        <v>201</v>
      </c>
      <c r="O647" t="s">
        <v>374</v>
      </c>
      <c r="P647">
        <v>2.5814224807310515E-6</v>
      </c>
      <c r="Q647" t="s">
        <v>161</v>
      </c>
      <c r="S647" t="s">
        <v>223</v>
      </c>
      <c r="T647" t="s">
        <v>374</v>
      </c>
      <c r="U647">
        <v>4.5843937733867204E-6</v>
      </c>
      <c r="V647" t="s">
        <v>161</v>
      </c>
    </row>
    <row r="648" spans="9:22" x14ac:dyDescent="0.45">
      <c r="I648" t="s">
        <v>178</v>
      </c>
      <c r="J648" t="s">
        <v>375</v>
      </c>
      <c r="K648">
        <v>2.796293021437088E-4</v>
      </c>
      <c r="L648" t="s">
        <v>161</v>
      </c>
      <c r="N648" t="s">
        <v>201</v>
      </c>
      <c r="O648" t="s">
        <v>375</v>
      </c>
      <c r="P648">
        <v>2.1449547028393521E-6</v>
      </c>
      <c r="Q648" t="s">
        <v>161</v>
      </c>
      <c r="S648" t="s">
        <v>223</v>
      </c>
      <c r="T648" t="s">
        <v>375</v>
      </c>
      <c r="U648">
        <v>5.9396891582075077E-6</v>
      </c>
      <c r="V648" t="s">
        <v>161</v>
      </c>
    </row>
    <row r="649" spans="9:22" x14ac:dyDescent="0.45">
      <c r="I649" t="s">
        <v>178</v>
      </c>
      <c r="J649" t="s">
        <v>376</v>
      </c>
      <c r="K649">
        <v>2.847328032389241E-4</v>
      </c>
      <c r="L649" t="s">
        <v>161</v>
      </c>
      <c r="N649" t="s">
        <v>201</v>
      </c>
      <c r="O649" t="s">
        <v>376</v>
      </c>
      <c r="P649">
        <v>1.0850721296333481E-6</v>
      </c>
      <c r="Q649" t="s">
        <v>161</v>
      </c>
      <c r="S649" t="s">
        <v>223</v>
      </c>
      <c r="T649" t="s">
        <v>376</v>
      </c>
      <c r="U649">
        <v>4.3340263949658566E-6</v>
      </c>
      <c r="V649" t="s">
        <v>161</v>
      </c>
    </row>
    <row r="650" spans="9:22" x14ac:dyDescent="0.45">
      <c r="I650" t="s">
        <v>178</v>
      </c>
      <c r="J650" t="s">
        <v>377</v>
      </c>
      <c r="K650">
        <v>3.1127781723303037E-4</v>
      </c>
      <c r="L650" t="s">
        <v>161</v>
      </c>
      <c r="N650" t="s">
        <v>201</v>
      </c>
      <c r="O650" t="s">
        <v>377</v>
      </c>
      <c r="P650">
        <v>2.6196952364386794E-7</v>
      </c>
      <c r="Q650" t="s">
        <v>161</v>
      </c>
      <c r="S650" t="s">
        <v>223</v>
      </c>
      <c r="T650" t="s">
        <v>377</v>
      </c>
      <c r="U650">
        <v>3.0664971150876408E-6</v>
      </c>
      <c r="V650" t="s">
        <v>161</v>
      </c>
    </row>
    <row r="651" spans="9:22" x14ac:dyDescent="0.45">
      <c r="I651" t="s">
        <v>178</v>
      </c>
      <c r="J651" t="s">
        <v>378</v>
      </c>
      <c r="K651">
        <v>1.8905098574015144E-4</v>
      </c>
      <c r="L651" t="s">
        <v>161</v>
      </c>
      <c r="N651" t="s">
        <v>201</v>
      </c>
      <c r="O651" t="s">
        <v>378</v>
      </c>
      <c r="P651">
        <v>5.1342741745548605E-8</v>
      </c>
      <c r="Q651" t="s">
        <v>161</v>
      </c>
      <c r="S651" t="s">
        <v>223</v>
      </c>
      <c r="T651" t="s">
        <v>378</v>
      </c>
      <c r="U651">
        <v>3.1118604994272314E-7</v>
      </c>
      <c r="V651" t="s">
        <v>161</v>
      </c>
    </row>
    <row r="652" spans="9:22" x14ac:dyDescent="0.45">
      <c r="I652" t="s">
        <v>178</v>
      </c>
      <c r="J652" t="s">
        <v>379</v>
      </c>
      <c r="K652">
        <v>1.275078064902648E-4</v>
      </c>
      <c r="L652" t="s">
        <v>161</v>
      </c>
      <c r="N652" t="s">
        <v>201</v>
      </c>
      <c r="O652" t="s">
        <v>379</v>
      </c>
      <c r="P652">
        <v>1.2384066369438618E-8</v>
      </c>
      <c r="Q652" t="s">
        <v>161</v>
      </c>
      <c r="S652" t="s">
        <v>223</v>
      </c>
      <c r="T652" t="s">
        <v>379</v>
      </c>
      <c r="U652">
        <v>5.7529775828480608E-7</v>
      </c>
      <c r="V652" t="s">
        <v>161</v>
      </c>
    </row>
    <row r="653" spans="9:22" x14ac:dyDescent="0.45">
      <c r="I653" t="s">
        <v>178</v>
      </c>
      <c r="J653" t="s">
        <v>380</v>
      </c>
      <c r="K653">
        <v>1.3780216575668945E-4</v>
      </c>
      <c r="L653" t="s">
        <v>161</v>
      </c>
      <c r="N653" t="s">
        <v>201</v>
      </c>
      <c r="O653" t="s">
        <v>380</v>
      </c>
      <c r="P653">
        <v>5.5947852515557937E-8</v>
      </c>
      <c r="Q653" t="s">
        <v>161</v>
      </c>
      <c r="S653" t="s">
        <v>223</v>
      </c>
      <c r="T653" t="s">
        <v>380</v>
      </c>
      <c r="U653">
        <v>1.1591604144621941E-6</v>
      </c>
      <c r="V653" t="s">
        <v>161</v>
      </c>
    </row>
    <row r="654" spans="9:22" x14ac:dyDescent="0.45">
      <c r="I654" t="s">
        <v>178</v>
      </c>
      <c r="J654" t="s">
        <v>381</v>
      </c>
      <c r="K654">
        <v>6.1173366253905004E-5</v>
      </c>
      <c r="L654" t="s">
        <v>161</v>
      </c>
      <c r="N654" t="s">
        <v>201</v>
      </c>
      <c r="O654" t="s">
        <v>381</v>
      </c>
      <c r="P654">
        <v>2.4813350608379803E-6</v>
      </c>
      <c r="Q654" t="s">
        <v>161</v>
      </c>
      <c r="S654" t="s">
        <v>223</v>
      </c>
      <c r="T654" t="s">
        <v>381</v>
      </c>
      <c r="U654">
        <v>4.2902502826418774E-6</v>
      </c>
      <c r="V654" t="s">
        <v>161</v>
      </c>
    </row>
    <row r="655" spans="9:22" x14ac:dyDescent="0.45">
      <c r="I655" t="s">
        <v>178</v>
      </c>
      <c r="J655" t="s">
        <v>382</v>
      </c>
      <c r="K655">
        <v>0</v>
      </c>
      <c r="L655" t="s">
        <v>161</v>
      </c>
      <c r="N655" t="s">
        <v>201</v>
      </c>
      <c r="O655" t="s">
        <v>382</v>
      </c>
      <c r="P655">
        <v>7.7749802713526336E-6</v>
      </c>
      <c r="Q655" t="s">
        <v>161</v>
      </c>
      <c r="S655" t="s">
        <v>223</v>
      </c>
      <c r="T655" t="s">
        <v>382</v>
      </c>
      <c r="U655">
        <v>9.9548083208412711E-6</v>
      </c>
      <c r="V655" t="s">
        <v>161</v>
      </c>
    </row>
    <row r="656" spans="9:22" x14ac:dyDescent="0.45">
      <c r="I656" t="s">
        <v>178</v>
      </c>
      <c r="J656" t="s">
        <v>383</v>
      </c>
      <c r="K656">
        <v>0</v>
      </c>
      <c r="L656" t="s">
        <v>161</v>
      </c>
      <c r="N656" t="s">
        <v>201</v>
      </c>
      <c r="O656" t="s">
        <v>383</v>
      </c>
      <c r="P656">
        <v>1.1843582613538788E-5</v>
      </c>
      <c r="Q656" t="s">
        <v>161</v>
      </c>
      <c r="S656" t="s">
        <v>223</v>
      </c>
      <c r="T656" t="s">
        <v>383</v>
      </c>
      <c r="U656">
        <v>1.6828167810594683E-5</v>
      </c>
      <c r="V656" t="s">
        <v>161</v>
      </c>
    </row>
    <row r="657" spans="9:22" x14ac:dyDescent="0.45">
      <c r="I657" t="s">
        <v>178</v>
      </c>
      <c r="J657" t="s">
        <v>384</v>
      </c>
      <c r="K657">
        <v>0</v>
      </c>
      <c r="L657" t="s">
        <v>161</v>
      </c>
      <c r="N657" t="s">
        <v>201</v>
      </c>
      <c r="O657" t="s">
        <v>384</v>
      </c>
      <c r="P657">
        <v>1.50978988228099E-5</v>
      </c>
      <c r="Q657" t="s">
        <v>161</v>
      </c>
      <c r="S657" t="s">
        <v>223</v>
      </c>
      <c r="T657" t="s">
        <v>384</v>
      </c>
      <c r="U657">
        <v>1.5186827954856105E-5</v>
      </c>
      <c r="V657" t="s">
        <v>161</v>
      </c>
    </row>
    <row r="658" spans="9:22" x14ac:dyDescent="0.45">
      <c r="I658" t="s">
        <v>178</v>
      </c>
      <c r="J658" t="s">
        <v>385</v>
      </c>
      <c r="K658">
        <v>0</v>
      </c>
      <c r="L658" t="s">
        <v>161</v>
      </c>
      <c r="N658" t="s">
        <v>201</v>
      </c>
      <c r="O658" t="s">
        <v>385</v>
      </c>
      <c r="P658">
        <v>1.9215405194700937E-5</v>
      </c>
      <c r="Q658" t="s">
        <v>161</v>
      </c>
      <c r="S658" t="s">
        <v>223</v>
      </c>
      <c r="T658" t="s">
        <v>385</v>
      </c>
      <c r="U658">
        <v>1.5690955351145209E-5</v>
      </c>
      <c r="V658" t="s">
        <v>161</v>
      </c>
    </row>
    <row r="659" spans="9:22" x14ac:dyDescent="0.45">
      <c r="I659" t="s">
        <v>178</v>
      </c>
      <c r="J659" t="s">
        <v>250</v>
      </c>
      <c r="K659">
        <v>1.3573262681335261E-3</v>
      </c>
      <c r="L659" t="s">
        <v>161</v>
      </c>
      <c r="N659" t="s">
        <v>201</v>
      </c>
      <c r="O659" t="s">
        <v>250</v>
      </c>
      <c r="P659">
        <v>5.4149336570076659E-2</v>
      </c>
      <c r="Q659" t="s">
        <v>161</v>
      </c>
      <c r="S659" t="s">
        <v>223</v>
      </c>
      <c r="T659" t="s">
        <v>250</v>
      </c>
      <c r="U659">
        <v>5.0206238614596478E-2</v>
      </c>
      <c r="V659" t="s">
        <v>161</v>
      </c>
    </row>
    <row r="660" spans="9:22" x14ac:dyDescent="0.45">
      <c r="I660" t="s">
        <v>178</v>
      </c>
      <c r="J660" t="s">
        <v>251</v>
      </c>
      <c r="K660">
        <v>4.0148806319738918E-3</v>
      </c>
      <c r="L660" t="s">
        <v>161</v>
      </c>
      <c r="N660" t="s">
        <v>201</v>
      </c>
      <c r="O660" t="s">
        <v>251</v>
      </c>
      <c r="P660">
        <v>6.2118085003727841E-3</v>
      </c>
      <c r="Q660" t="s">
        <v>161</v>
      </c>
      <c r="S660" t="s">
        <v>223</v>
      </c>
      <c r="T660" t="s">
        <v>251</v>
      </c>
      <c r="U660">
        <v>6.5014174327406521E-3</v>
      </c>
      <c r="V660" t="s">
        <v>161</v>
      </c>
    </row>
    <row r="661" spans="9:22" x14ac:dyDescent="0.45">
      <c r="I661" t="s">
        <v>178</v>
      </c>
      <c r="J661" t="s">
        <v>252</v>
      </c>
      <c r="K661">
        <v>6.9083916823982627E-2</v>
      </c>
      <c r="L661" t="s">
        <v>161</v>
      </c>
      <c r="N661" t="s">
        <v>201</v>
      </c>
      <c r="O661" t="s">
        <v>252</v>
      </c>
      <c r="P661">
        <v>4.136963968341166E-2</v>
      </c>
      <c r="Q661" t="s">
        <v>161</v>
      </c>
      <c r="S661" t="s">
        <v>223</v>
      </c>
      <c r="T661" t="s">
        <v>252</v>
      </c>
      <c r="U661">
        <v>4.4235356367090355E-2</v>
      </c>
      <c r="V661" t="s">
        <v>161</v>
      </c>
    </row>
    <row r="662" spans="9:22" x14ac:dyDescent="0.45">
      <c r="I662" t="s">
        <v>178</v>
      </c>
      <c r="J662" t="s">
        <v>253</v>
      </c>
      <c r="K662">
        <v>7.488991000700539E-3</v>
      </c>
      <c r="L662" t="s">
        <v>161</v>
      </c>
      <c r="N662" t="s">
        <v>201</v>
      </c>
      <c r="O662" t="s">
        <v>253</v>
      </c>
      <c r="P662">
        <v>6.066434023641638E-3</v>
      </c>
      <c r="Q662" t="s">
        <v>161</v>
      </c>
      <c r="S662" t="s">
        <v>223</v>
      </c>
      <c r="T662" t="s">
        <v>253</v>
      </c>
      <c r="U662">
        <v>6.5404689087397369E-3</v>
      </c>
      <c r="V662" t="s">
        <v>161</v>
      </c>
    </row>
    <row r="663" spans="9:22" x14ac:dyDescent="0.45">
      <c r="I663" t="s">
        <v>178</v>
      </c>
      <c r="J663" t="s">
        <v>254</v>
      </c>
      <c r="K663">
        <v>4.3145740459792376E-3</v>
      </c>
      <c r="L663" t="s">
        <v>161</v>
      </c>
      <c r="N663" t="s">
        <v>201</v>
      </c>
      <c r="O663" t="s">
        <v>254</v>
      </c>
      <c r="P663">
        <v>6.3511927896701178E-3</v>
      </c>
      <c r="Q663" t="s">
        <v>161</v>
      </c>
      <c r="S663" t="s">
        <v>223</v>
      </c>
      <c r="T663" t="s">
        <v>254</v>
      </c>
      <c r="U663">
        <v>6.6606348425296332E-3</v>
      </c>
      <c r="V663" t="s">
        <v>161</v>
      </c>
    </row>
    <row r="664" spans="9:22" x14ac:dyDescent="0.45">
      <c r="I664" t="s">
        <v>178</v>
      </c>
      <c r="J664" t="s">
        <v>270</v>
      </c>
      <c r="K664">
        <v>1.3699183108772548E-3</v>
      </c>
      <c r="L664" t="s">
        <v>161</v>
      </c>
      <c r="N664" t="s">
        <v>201</v>
      </c>
      <c r="O664" t="s">
        <v>270</v>
      </c>
      <c r="P664">
        <v>4.287013603951912E-2</v>
      </c>
      <c r="Q664" t="s">
        <v>161</v>
      </c>
      <c r="S664" t="s">
        <v>223</v>
      </c>
      <c r="T664" t="s">
        <v>270</v>
      </c>
      <c r="U664">
        <v>4.013666204670769E-2</v>
      </c>
      <c r="V664" t="s">
        <v>161</v>
      </c>
    </row>
    <row r="665" spans="9:22" x14ac:dyDescent="0.45">
      <c r="I665" t="s">
        <v>178</v>
      </c>
      <c r="J665" t="s">
        <v>255</v>
      </c>
      <c r="K665">
        <v>0</v>
      </c>
      <c r="L665" t="s">
        <v>161</v>
      </c>
      <c r="N665" t="s">
        <v>201</v>
      </c>
      <c r="O665" t="s">
        <v>255</v>
      </c>
      <c r="P665">
        <v>4.9201062985027973E-2</v>
      </c>
      <c r="Q665" t="s">
        <v>161</v>
      </c>
      <c r="S665" t="s">
        <v>223</v>
      </c>
      <c r="T665" t="s">
        <v>255</v>
      </c>
      <c r="U665">
        <v>5.1079232966620154E-2</v>
      </c>
      <c r="V665" t="s">
        <v>161</v>
      </c>
    </row>
    <row r="666" spans="9:22" x14ac:dyDescent="0.45">
      <c r="I666" t="s">
        <v>178</v>
      </c>
      <c r="J666" t="s">
        <v>256</v>
      </c>
      <c r="K666">
        <v>3.1680723223876283E-5</v>
      </c>
      <c r="L666" t="s">
        <v>161</v>
      </c>
      <c r="N666" t="s">
        <v>201</v>
      </c>
      <c r="O666" t="s">
        <v>256</v>
      </c>
      <c r="P666">
        <v>5.9809244769357967E-3</v>
      </c>
      <c r="Q666" t="s">
        <v>161</v>
      </c>
      <c r="S666" t="s">
        <v>223</v>
      </c>
      <c r="T666" t="s">
        <v>256</v>
      </c>
      <c r="U666">
        <v>6.7725216908429836E-3</v>
      </c>
      <c r="V666" t="s">
        <v>161</v>
      </c>
    </row>
    <row r="667" spans="9:22" x14ac:dyDescent="0.45">
      <c r="I667" t="s">
        <v>178</v>
      </c>
      <c r="J667" t="s">
        <v>257</v>
      </c>
      <c r="K667">
        <v>2.9244215821895913E-2</v>
      </c>
      <c r="L667" t="s">
        <v>161</v>
      </c>
      <c r="N667" t="s">
        <v>201</v>
      </c>
      <c r="O667" t="s">
        <v>257</v>
      </c>
      <c r="P667">
        <v>3.7940440801232732E-2</v>
      </c>
      <c r="Q667" t="s">
        <v>161</v>
      </c>
      <c r="S667" t="s">
        <v>223</v>
      </c>
      <c r="T667" t="s">
        <v>257</v>
      </c>
      <c r="U667">
        <v>4.2168602226494538E-2</v>
      </c>
      <c r="V667" t="s">
        <v>161</v>
      </c>
    </row>
    <row r="668" spans="9:22" x14ac:dyDescent="0.45">
      <c r="I668" t="s">
        <v>178</v>
      </c>
      <c r="J668" t="s">
        <v>258</v>
      </c>
      <c r="K668">
        <v>2.56061838282593E-3</v>
      </c>
      <c r="L668" t="s">
        <v>161</v>
      </c>
      <c r="N668" t="s">
        <v>201</v>
      </c>
      <c r="O668" t="s">
        <v>258</v>
      </c>
      <c r="P668">
        <v>5.5129306109431382E-3</v>
      </c>
      <c r="Q668" t="s">
        <v>161</v>
      </c>
      <c r="S668" t="s">
        <v>223</v>
      </c>
      <c r="T668" t="s">
        <v>258</v>
      </c>
      <c r="U668">
        <v>6.0070742842348139E-3</v>
      </c>
      <c r="V668" t="s">
        <v>161</v>
      </c>
    </row>
    <row r="669" spans="9:22" x14ac:dyDescent="0.45">
      <c r="I669" t="s">
        <v>178</v>
      </c>
      <c r="J669" t="s">
        <v>259</v>
      </c>
      <c r="K669">
        <v>0</v>
      </c>
      <c r="L669" t="s">
        <v>161</v>
      </c>
      <c r="N669" t="s">
        <v>201</v>
      </c>
      <c r="O669" t="s">
        <v>259</v>
      </c>
      <c r="P669">
        <v>5.7226605458573915E-3</v>
      </c>
      <c r="Q669" t="s">
        <v>161</v>
      </c>
      <c r="S669" t="s">
        <v>223</v>
      </c>
      <c r="T669" t="s">
        <v>259</v>
      </c>
      <c r="U669">
        <v>6.1691288119590029E-3</v>
      </c>
      <c r="V669" t="s">
        <v>161</v>
      </c>
    </row>
    <row r="670" spans="9:22" x14ac:dyDescent="0.45">
      <c r="I670" t="s">
        <v>178</v>
      </c>
      <c r="J670" t="s">
        <v>271</v>
      </c>
      <c r="K670">
        <v>0</v>
      </c>
      <c r="L670" t="s">
        <v>161</v>
      </c>
      <c r="N670" t="s">
        <v>201</v>
      </c>
      <c r="O670" t="s">
        <v>271</v>
      </c>
      <c r="P670">
        <v>3.7189711100086828E-2</v>
      </c>
      <c r="Q670" t="s">
        <v>161</v>
      </c>
      <c r="S670" t="s">
        <v>223</v>
      </c>
      <c r="T670" t="s">
        <v>271</v>
      </c>
      <c r="U670">
        <v>3.5717315464685012E-2</v>
      </c>
      <c r="V670" t="s">
        <v>161</v>
      </c>
    </row>
    <row r="671" spans="9:22" x14ac:dyDescent="0.45">
      <c r="I671" t="s">
        <v>178</v>
      </c>
      <c r="J671" t="s">
        <v>272</v>
      </c>
      <c r="K671">
        <v>0</v>
      </c>
      <c r="L671" t="s">
        <v>161</v>
      </c>
      <c r="N671" t="s">
        <v>201</v>
      </c>
      <c r="O671" t="s">
        <v>272</v>
      </c>
      <c r="P671">
        <v>2.0039112686528433E-2</v>
      </c>
      <c r="Q671" t="s">
        <v>161</v>
      </c>
      <c r="S671" t="s">
        <v>223</v>
      </c>
      <c r="T671" t="s">
        <v>272</v>
      </c>
      <c r="U671">
        <v>1.9620710755967927E-2</v>
      </c>
      <c r="V671" t="s">
        <v>161</v>
      </c>
    </row>
    <row r="672" spans="9:22" x14ac:dyDescent="0.45">
      <c r="I672" t="s">
        <v>178</v>
      </c>
      <c r="J672" t="s">
        <v>273</v>
      </c>
      <c r="K672">
        <v>0</v>
      </c>
      <c r="L672" t="s">
        <v>161</v>
      </c>
      <c r="N672" t="s">
        <v>201</v>
      </c>
      <c r="O672" t="s">
        <v>273</v>
      </c>
      <c r="P672">
        <v>2.5201686662531487E-3</v>
      </c>
      <c r="Q672" t="s">
        <v>161</v>
      </c>
      <c r="S672" t="s">
        <v>223</v>
      </c>
      <c r="T672" t="s">
        <v>273</v>
      </c>
      <c r="U672">
        <v>2.6301526454163286E-3</v>
      </c>
      <c r="V672" t="s">
        <v>161</v>
      </c>
    </row>
    <row r="673" spans="9:22" x14ac:dyDescent="0.45">
      <c r="I673" t="s">
        <v>178</v>
      </c>
      <c r="J673" t="s">
        <v>274</v>
      </c>
      <c r="K673">
        <v>3.4288128620191989E-3</v>
      </c>
      <c r="L673" t="s">
        <v>161</v>
      </c>
      <c r="N673" t="s">
        <v>201</v>
      </c>
      <c r="O673" t="s">
        <v>274</v>
      </c>
      <c r="P673">
        <v>1.4794203067207254E-2</v>
      </c>
      <c r="Q673" t="s">
        <v>161</v>
      </c>
      <c r="S673" t="s">
        <v>223</v>
      </c>
      <c r="T673" t="s">
        <v>274</v>
      </c>
      <c r="U673">
        <v>1.515994439571661E-2</v>
      </c>
      <c r="V673" t="s">
        <v>161</v>
      </c>
    </row>
    <row r="674" spans="9:22" x14ac:dyDescent="0.45">
      <c r="I674" t="s">
        <v>178</v>
      </c>
      <c r="J674" t="s">
        <v>275</v>
      </c>
      <c r="K674">
        <v>1.8299239867547426E-4</v>
      </c>
      <c r="L674" t="s">
        <v>161</v>
      </c>
      <c r="N674" t="s">
        <v>201</v>
      </c>
      <c r="O674" t="s">
        <v>275</v>
      </c>
      <c r="P674">
        <v>2.0125283914927405E-3</v>
      </c>
      <c r="Q674" t="s">
        <v>161</v>
      </c>
      <c r="S674" t="s">
        <v>223</v>
      </c>
      <c r="T674" t="s">
        <v>275</v>
      </c>
      <c r="U674">
        <v>2.2370475896860893E-3</v>
      </c>
      <c r="V674" t="s">
        <v>161</v>
      </c>
    </row>
    <row r="675" spans="9:22" x14ac:dyDescent="0.45">
      <c r="I675" t="s">
        <v>178</v>
      </c>
      <c r="J675" t="s">
        <v>276</v>
      </c>
      <c r="K675">
        <v>0</v>
      </c>
      <c r="L675" t="s">
        <v>161</v>
      </c>
      <c r="N675" t="s">
        <v>201</v>
      </c>
      <c r="O675" t="s">
        <v>276</v>
      </c>
      <c r="P675">
        <v>2.0391660068732713E-3</v>
      </c>
      <c r="Q675" t="s">
        <v>161</v>
      </c>
      <c r="S675" t="s">
        <v>223</v>
      </c>
      <c r="T675" t="s">
        <v>276</v>
      </c>
      <c r="U675">
        <v>2.2647306304694574E-3</v>
      </c>
      <c r="V675" t="s">
        <v>161</v>
      </c>
    </row>
    <row r="676" spans="9:22" x14ac:dyDescent="0.45">
      <c r="I676" t="s">
        <v>178</v>
      </c>
      <c r="J676" t="s">
        <v>277</v>
      </c>
      <c r="K676">
        <v>0</v>
      </c>
      <c r="L676" t="s">
        <v>161</v>
      </c>
      <c r="N676" t="s">
        <v>201</v>
      </c>
      <c r="O676" t="s">
        <v>277</v>
      </c>
      <c r="P676">
        <v>1.2890234441558417E-2</v>
      </c>
      <c r="Q676" t="s">
        <v>161</v>
      </c>
      <c r="S676" t="s">
        <v>223</v>
      </c>
      <c r="T676" t="s">
        <v>277</v>
      </c>
      <c r="U676">
        <v>1.2882535610980612E-2</v>
      </c>
      <c r="V676" t="s">
        <v>161</v>
      </c>
    </row>
    <row r="677" spans="9:22" x14ac:dyDescent="0.45">
      <c r="I677" t="s">
        <v>178</v>
      </c>
      <c r="J677" t="s">
        <v>278</v>
      </c>
      <c r="K677">
        <v>0</v>
      </c>
      <c r="L677" t="s">
        <v>161</v>
      </c>
      <c r="N677" t="s">
        <v>201</v>
      </c>
      <c r="O677" t="s">
        <v>278</v>
      </c>
      <c r="P677">
        <v>8.035160138391834E-3</v>
      </c>
      <c r="Q677" t="s">
        <v>161</v>
      </c>
      <c r="S677" t="s">
        <v>223</v>
      </c>
      <c r="T677" t="s">
        <v>278</v>
      </c>
      <c r="U677">
        <v>6.6500046835802698E-3</v>
      </c>
      <c r="V677" t="s">
        <v>161</v>
      </c>
    </row>
    <row r="678" spans="9:22" x14ac:dyDescent="0.45">
      <c r="I678" t="s">
        <v>178</v>
      </c>
      <c r="J678" t="s">
        <v>279</v>
      </c>
      <c r="K678">
        <v>0</v>
      </c>
      <c r="L678" t="s">
        <v>161</v>
      </c>
      <c r="N678" t="s">
        <v>201</v>
      </c>
      <c r="O678" t="s">
        <v>279</v>
      </c>
      <c r="P678">
        <v>1.0415529957141087E-3</v>
      </c>
      <c r="Q678" t="s">
        <v>161</v>
      </c>
      <c r="S678" t="s">
        <v>223</v>
      </c>
      <c r="T678" t="s">
        <v>279</v>
      </c>
      <c r="U678">
        <v>1.0108052618464499E-3</v>
      </c>
      <c r="V678" t="s">
        <v>161</v>
      </c>
    </row>
    <row r="679" spans="9:22" x14ac:dyDescent="0.45">
      <c r="I679" t="s">
        <v>178</v>
      </c>
      <c r="J679" t="s">
        <v>280</v>
      </c>
      <c r="K679">
        <v>4.1148439064803682E-3</v>
      </c>
      <c r="L679" t="s">
        <v>161</v>
      </c>
      <c r="N679" t="s">
        <v>201</v>
      </c>
      <c r="O679" t="s">
        <v>280</v>
      </c>
      <c r="P679">
        <v>8.0933370906724495E-3</v>
      </c>
      <c r="Q679" t="s">
        <v>161</v>
      </c>
      <c r="S679" t="s">
        <v>223</v>
      </c>
      <c r="T679" t="s">
        <v>280</v>
      </c>
      <c r="U679">
        <v>8.2167333980162557E-3</v>
      </c>
      <c r="V679" t="s">
        <v>161</v>
      </c>
    </row>
    <row r="680" spans="9:22" x14ac:dyDescent="0.45">
      <c r="I680" t="s">
        <v>178</v>
      </c>
      <c r="J680" t="s">
        <v>281</v>
      </c>
      <c r="K680">
        <v>3.6678222378211812E-4</v>
      </c>
      <c r="L680" t="s">
        <v>161</v>
      </c>
      <c r="N680" t="s">
        <v>201</v>
      </c>
      <c r="O680" t="s">
        <v>281</v>
      </c>
      <c r="P680">
        <v>1.2204039217171665E-3</v>
      </c>
      <c r="Q680" t="s">
        <v>161</v>
      </c>
      <c r="S680" t="s">
        <v>223</v>
      </c>
      <c r="T680" t="s">
        <v>281</v>
      </c>
      <c r="U680">
        <v>1.3779820516964458E-3</v>
      </c>
      <c r="V680" t="s">
        <v>161</v>
      </c>
    </row>
    <row r="681" spans="9:22" x14ac:dyDescent="0.45">
      <c r="I681" t="s">
        <v>178</v>
      </c>
      <c r="J681" t="s">
        <v>282</v>
      </c>
      <c r="K681">
        <v>0</v>
      </c>
      <c r="L681" t="s">
        <v>161</v>
      </c>
      <c r="N681" t="s">
        <v>201</v>
      </c>
      <c r="O681" t="s">
        <v>282</v>
      </c>
      <c r="P681">
        <v>1.2478575841006416E-3</v>
      </c>
      <c r="Q681" t="s">
        <v>161</v>
      </c>
      <c r="S681" t="s">
        <v>223</v>
      </c>
      <c r="T681" t="s">
        <v>282</v>
      </c>
      <c r="U681">
        <v>1.3938682371757102E-3</v>
      </c>
      <c r="V681" t="s">
        <v>161</v>
      </c>
    </row>
    <row r="682" spans="9:22" x14ac:dyDescent="0.45">
      <c r="I682" t="s">
        <v>178</v>
      </c>
      <c r="J682" t="s">
        <v>283</v>
      </c>
      <c r="K682">
        <v>0</v>
      </c>
      <c r="L682" t="s">
        <v>161</v>
      </c>
      <c r="N682" t="s">
        <v>201</v>
      </c>
      <c r="O682" t="s">
        <v>283</v>
      </c>
      <c r="P682">
        <v>7.4060137285784913E-3</v>
      </c>
      <c r="Q682" t="s">
        <v>161</v>
      </c>
      <c r="S682" t="s">
        <v>223</v>
      </c>
      <c r="T682" t="s">
        <v>283</v>
      </c>
      <c r="U682">
        <v>7.913995912048612E-3</v>
      </c>
      <c r="V682" t="s">
        <v>161</v>
      </c>
    </row>
    <row r="683" spans="9:22" x14ac:dyDescent="0.45">
      <c r="I683" t="s">
        <v>179</v>
      </c>
      <c r="J683" t="s">
        <v>160</v>
      </c>
      <c r="K683">
        <v>3.1748885325656551E-5</v>
      </c>
      <c r="L683" t="s">
        <v>161</v>
      </c>
      <c r="N683" t="s">
        <v>202</v>
      </c>
      <c r="O683" t="s">
        <v>160</v>
      </c>
      <c r="P683">
        <v>7.4775628022302976E-2</v>
      </c>
      <c r="Q683" t="s">
        <v>161</v>
      </c>
      <c r="S683" t="s">
        <v>224</v>
      </c>
      <c r="T683" t="s">
        <v>160</v>
      </c>
      <c r="U683">
        <v>7.8595100744496355E-2</v>
      </c>
      <c r="V683" t="s">
        <v>161</v>
      </c>
    </row>
    <row r="684" spans="9:22" x14ac:dyDescent="0.45">
      <c r="I684" t="s">
        <v>179</v>
      </c>
      <c r="J684" t="s">
        <v>162</v>
      </c>
      <c r="K684">
        <v>3.1864070038226514E-3</v>
      </c>
      <c r="L684" t="s">
        <v>161</v>
      </c>
      <c r="N684" t="s">
        <v>202</v>
      </c>
      <c r="O684" t="s">
        <v>162</v>
      </c>
      <c r="P684">
        <v>9.2161019355526032E-3</v>
      </c>
      <c r="Q684" t="s">
        <v>161</v>
      </c>
      <c r="S684" t="s">
        <v>224</v>
      </c>
      <c r="T684" t="s">
        <v>162</v>
      </c>
      <c r="U684">
        <v>9.8766852823373788E-3</v>
      </c>
      <c r="V684" t="s">
        <v>161</v>
      </c>
    </row>
    <row r="685" spans="9:22" x14ac:dyDescent="0.45">
      <c r="I685" t="s">
        <v>179</v>
      </c>
      <c r="J685" t="s">
        <v>163</v>
      </c>
      <c r="K685">
        <v>8.2404299291760061E-2</v>
      </c>
      <c r="L685" t="s">
        <v>161</v>
      </c>
      <c r="N685" t="s">
        <v>202</v>
      </c>
      <c r="O685" t="s">
        <v>163</v>
      </c>
      <c r="P685">
        <v>5.6729419627489897E-2</v>
      </c>
      <c r="Q685" t="s">
        <v>161</v>
      </c>
      <c r="S685" t="s">
        <v>224</v>
      </c>
      <c r="T685" t="s">
        <v>163</v>
      </c>
      <c r="U685">
        <v>6.3536340488122706E-2</v>
      </c>
      <c r="V685" t="s">
        <v>161</v>
      </c>
    </row>
    <row r="686" spans="9:22" x14ac:dyDescent="0.45">
      <c r="I686" t="s">
        <v>179</v>
      </c>
      <c r="J686" t="s">
        <v>242</v>
      </c>
      <c r="K686">
        <v>9.3325828494460923E-3</v>
      </c>
      <c r="L686" t="s">
        <v>161</v>
      </c>
      <c r="N686" t="s">
        <v>202</v>
      </c>
      <c r="O686" t="s">
        <v>242</v>
      </c>
      <c r="P686">
        <v>8.565757628879709E-3</v>
      </c>
      <c r="Q686" t="s">
        <v>161</v>
      </c>
      <c r="S686" t="s">
        <v>224</v>
      </c>
      <c r="T686" t="s">
        <v>242</v>
      </c>
      <c r="U686">
        <v>9.1231821240328002E-3</v>
      </c>
      <c r="V686" t="s">
        <v>161</v>
      </c>
    </row>
    <row r="687" spans="9:22" x14ac:dyDescent="0.45">
      <c r="I687" t="s">
        <v>179</v>
      </c>
      <c r="J687" t="s">
        <v>243</v>
      </c>
      <c r="K687">
        <v>5.4692015179816427E-3</v>
      </c>
      <c r="L687" t="s">
        <v>161</v>
      </c>
      <c r="N687" t="s">
        <v>202</v>
      </c>
      <c r="O687" t="s">
        <v>243</v>
      </c>
      <c r="P687">
        <v>8.9463511689969154E-3</v>
      </c>
      <c r="Q687" t="s">
        <v>161</v>
      </c>
      <c r="S687" t="s">
        <v>224</v>
      </c>
      <c r="T687" t="s">
        <v>243</v>
      </c>
      <c r="U687">
        <v>9.41764465616763E-3</v>
      </c>
      <c r="V687" t="s">
        <v>161</v>
      </c>
    </row>
    <row r="688" spans="9:22" x14ac:dyDescent="0.45">
      <c r="I688" t="s">
        <v>179</v>
      </c>
      <c r="J688" t="s">
        <v>266</v>
      </c>
      <c r="K688">
        <v>1.9729307052798995E-3</v>
      </c>
      <c r="L688" t="s">
        <v>161</v>
      </c>
      <c r="N688" t="s">
        <v>202</v>
      </c>
      <c r="O688" t="s">
        <v>266</v>
      </c>
      <c r="P688">
        <v>5.5935620610899246E-2</v>
      </c>
      <c r="Q688" t="s">
        <v>161</v>
      </c>
      <c r="S688" t="s">
        <v>224</v>
      </c>
      <c r="T688" t="s">
        <v>266</v>
      </c>
      <c r="U688">
        <v>5.8267681741209137E-2</v>
      </c>
      <c r="V688" t="s">
        <v>161</v>
      </c>
    </row>
    <row r="689" spans="9:22" x14ac:dyDescent="0.45">
      <c r="I689" t="s">
        <v>179</v>
      </c>
      <c r="J689" t="s">
        <v>311</v>
      </c>
      <c r="K689">
        <v>0</v>
      </c>
      <c r="L689" t="s">
        <v>161</v>
      </c>
      <c r="N689" t="s">
        <v>202</v>
      </c>
      <c r="O689" t="s">
        <v>311</v>
      </c>
      <c r="P689">
        <v>1.2347838474371865E-6</v>
      </c>
      <c r="Q689" t="s">
        <v>161</v>
      </c>
      <c r="S689" t="s">
        <v>224</v>
      </c>
      <c r="T689" t="s">
        <v>311</v>
      </c>
      <c r="U689">
        <v>8.7833681506843039E-6</v>
      </c>
      <c r="V689" t="s">
        <v>161</v>
      </c>
    </row>
    <row r="690" spans="9:22" x14ac:dyDescent="0.45">
      <c r="I690" t="s">
        <v>179</v>
      </c>
      <c r="J690" t="s">
        <v>312</v>
      </c>
      <c r="K690">
        <v>0</v>
      </c>
      <c r="L690" t="s">
        <v>161</v>
      </c>
      <c r="N690" t="s">
        <v>202</v>
      </c>
      <c r="O690" t="s">
        <v>312</v>
      </c>
      <c r="P690">
        <v>9.1106255611161932E-7</v>
      </c>
      <c r="Q690" t="s">
        <v>161</v>
      </c>
      <c r="S690" t="s">
        <v>224</v>
      </c>
      <c r="T690" t="s">
        <v>312</v>
      </c>
      <c r="U690">
        <v>5.7097863991779102E-6</v>
      </c>
      <c r="V690" t="s">
        <v>161</v>
      </c>
    </row>
    <row r="691" spans="9:22" x14ac:dyDescent="0.45">
      <c r="I691" t="s">
        <v>179</v>
      </c>
      <c r="J691" t="s">
        <v>313</v>
      </c>
      <c r="K691">
        <v>0</v>
      </c>
      <c r="L691" t="s">
        <v>161</v>
      </c>
      <c r="N691" t="s">
        <v>202</v>
      </c>
      <c r="O691" t="s">
        <v>313</v>
      </c>
      <c r="P691">
        <v>1.1911139459629526E-6</v>
      </c>
      <c r="Q691" t="s">
        <v>161</v>
      </c>
      <c r="S691" t="s">
        <v>224</v>
      </c>
      <c r="T691" t="s">
        <v>313</v>
      </c>
      <c r="U691">
        <v>7.044049161628887E-7</v>
      </c>
      <c r="V691" t="s">
        <v>161</v>
      </c>
    </row>
    <row r="692" spans="9:22" x14ac:dyDescent="0.45">
      <c r="I692" t="s">
        <v>179</v>
      </c>
      <c r="J692" t="s">
        <v>314</v>
      </c>
      <c r="K692">
        <v>0</v>
      </c>
      <c r="L692" t="s">
        <v>161</v>
      </c>
      <c r="N692" t="s">
        <v>202</v>
      </c>
      <c r="O692" t="s">
        <v>314</v>
      </c>
      <c r="P692">
        <v>1.1351140378355558E-6</v>
      </c>
      <c r="Q692" t="s">
        <v>161</v>
      </c>
      <c r="S692" t="s">
        <v>224</v>
      </c>
      <c r="T692" t="s">
        <v>314</v>
      </c>
      <c r="U692">
        <v>8.9753114851142769E-7</v>
      </c>
      <c r="V692" t="s">
        <v>161</v>
      </c>
    </row>
    <row r="693" spans="9:22" x14ac:dyDescent="0.45">
      <c r="I693" t="s">
        <v>179</v>
      </c>
      <c r="J693" t="s">
        <v>315</v>
      </c>
      <c r="K693">
        <v>0</v>
      </c>
      <c r="L693" t="s">
        <v>161</v>
      </c>
      <c r="N693" t="s">
        <v>202</v>
      </c>
      <c r="O693" t="s">
        <v>315</v>
      </c>
      <c r="P693">
        <v>2.2054145261226974E-6</v>
      </c>
      <c r="Q693" t="s">
        <v>161</v>
      </c>
      <c r="S693" t="s">
        <v>224</v>
      </c>
      <c r="T693" t="s">
        <v>315</v>
      </c>
      <c r="U693">
        <v>1.897640919744104E-6</v>
      </c>
      <c r="V693" t="s">
        <v>161</v>
      </c>
    </row>
    <row r="694" spans="9:22" x14ac:dyDescent="0.45">
      <c r="I694" t="s">
        <v>179</v>
      </c>
      <c r="J694" t="s">
        <v>316</v>
      </c>
      <c r="K694">
        <v>0</v>
      </c>
      <c r="L694" t="s">
        <v>161</v>
      </c>
      <c r="N694" t="s">
        <v>202</v>
      </c>
      <c r="O694" t="s">
        <v>316</v>
      </c>
      <c r="P694">
        <v>4.3638665002942523E-6</v>
      </c>
      <c r="Q694" t="s">
        <v>161</v>
      </c>
      <c r="S694" t="s">
        <v>224</v>
      </c>
      <c r="T694" t="s">
        <v>316</v>
      </c>
      <c r="U694">
        <v>1.2649383651871008E-6</v>
      </c>
      <c r="V694" t="s">
        <v>161</v>
      </c>
    </row>
    <row r="695" spans="9:22" x14ac:dyDescent="0.45">
      <c r="I695" t="s">
        <v>179</v>
      </c>
      <c r="J695" t="s">
        <v>317</v>
      </c>
      <c r="K695">
        <v>0</v>
      </c>
      <c r="L695" t="s">
        <v>161</v>
      </c>
      <c r="N695" t="s">
        <v>202</v>
      </c>
      <c r="O695" t="s">
        <v>317</v>
      </c>
      <c r="P695">
        <v>8.5047751296530448E-6</v>
      </c>
      <c r="Q695" t="s">
        <v>161</v>
      </c>
      <c r="S695" t="s">
        <v>224</v>
      </c>
      <c r="T695" t="s">
        <v>317</v>
      </c>
      <c r="U695">
        <v>1.6827140737542421E-6</v>
      </c>
      <c r="V695" t="s">
        <v>161</v>
      </c>
    </row>
    <row r="696" spans="9:22" x14ac:dyDescent="0.45">
      <c r="I696" t="s">
        <v>179</v>
      </c>
      <c r="J696" t="s">
        <v>318</v>
      </c>
      <c r="K696">
        <v>0</v>
      </c>
      <c r="L696" t="s">
        <v>161</v>
      </c>
      <c r="N696" t="s">
        <v>202</v>
      </c>
      <c r="O696" t="s">
        <v>318</v>
      </c>
      <c r="P696">
        <v>9.5671178289098558E-6</v>
      </c>
      <c r="Q696" t="s">
        <v>161</v>
      </c>
      <c r="S696" t="s">
        <v>224</v>
      </c>
      <c r="T696" t="s">
        <v>318</v>
      </c>
      <c r="U696">
        <v>1.658661831913981E-6</v>
      </c>
      <c r="V696" t="s">
        <v>161</v>
      </c>
    </row>
    <row r="697" spans="9:22" x14ac:dyDescent="0.45">
      <c r="I697" t="s">
        <v>179</v>
      </c>
      <c r="J697" t="s">
        <v>319</v>
      </c>
      <c r="K697">
        <v>2.9155778656965387E-5</v>
      </c>
      <c r="L697" t="s">
        <v>161</v>
      </c>
      <c r="N697" t="s">
        <v>202</v>
      </c>
      <c r="O697" t="s">
        <v>319</v>
      </c>
      <c r="P697">
        <v>7.740247968027324E-6</v>
      </c>
      <c r="Q697" t="s">
        <v>161</v>
      </c>
      <c r="S697" t="s">
        <v>224</v>
      </c>
      <c r="T697" t="s">
        <v>319</v>
      </c>
      <c r="U697">
        <v>3.406310395941779E-7</v>
      </c>
      <c r="V697" t="s">
        <v>161</v>
      </c>
    </row>
    <row r="698" spans="9:22" x14ac:dyDescent="0.45">
      <c r="I698" t="s">
        <v>179</v>
      </c>
      <c r="J698" t="s">
        <v>320</v>
      </c>
      <c r="K698">
        <v>1.2642669595739576E-4</v>
      </c>
      <c r="L698" t="s">
        <v>161</v>
      </c>
      <c r="N698" t="s">
        <v>202</v>
      </c>
      <c r="O698" t="s">
        <v>320</v>
      </c>
      <c r="P698">
        <v>1.8953139819522856E-6</v>
      </c>
      <c r="Q698" t="s">
        <v>161</v>
      </c>
      <c r="S698" t="s">
        <v>224</v>
      </c>
      <c r="T698" t="s">
        <v>320</v>
      </c>
      <c r="U698">
        <v>0</v>
      </c>
      <c r="V698" t="s">
        <v>161</v>
      </c>
    </row>
    <row r="699" spans="9:22" x14ac:dyDescent="0.45">
      <c r="I699" t="s">
        <v>179</v>
      </c>
      <c r="J699" t="s">
        <v>321</v>
      </c>
      <c r="K699">
        <v>1.9594632992441492E-4</v>
      </c>
      <c r="L699" t="s">
        <v>161</v>
      </c>
      <c r="N699" t="s">
        <v>202</v>
      </c>
      <c r="O699" t="s">
        <v>321</v>
      </c>
      <c r="P699">
        <v>1.0167475101400481E-6</v>
      </c>
      <c r="Q699" t="s">
        <v>161</v>
      </c>
      <c r="S699" t="s">
        <v>224</v>
      </c>
      <c r="T699" t="s">
        <v>321</v>
      </c>
      <c r="U699">
        <v>2.8957671105532698E-7</v>
      </c>
      <c r="V699" t="s">
        <v>161</v>
      </c>
    </row>
    <row r="700" spans="9:22" x14ac:dyDescent="0.45">
      <c r="I700" t="s">
        <v>179</v>
      </c>
      <c r="J700" t="s">
        <v>322</v>
      </c>
      <c r="K700">
        <v>2.5458130391559487E-4</v>
      </c>
      <c r="L700" t="s">
        <v>161</v>
      </c>
      <c r="N700" t="s">
        <v>202</v>
      </c>
      <c r="O700" t="s">
        <v>322</v>
      </c>
      <c r="P700">
        <v>3.3782220657759593E-6</v>
      </c>
      <c r="Q700" t="s">
        <v>161</v>
      </c>
      <c r="S700" t="s">
        <v>224</v>
      </c>
      <c r="T700" t="s">
        <v>322</v>
      </c>
      <c r="U700">
        <v>3.1906001380103921E-7</v>
      </c>
      <c r="V700" t="s">
        <v>161</v>
      </c>
    </row>
    <row r="701" spans="9:22" x14ac:dyDescent="0.45">
      <c r="I701" t="s">
        <v>179</v>
      </c>
      <c r="J701" t="s">
        <v>323</v>
      </c>
      <c r="K701">
        <v>2.3989058404537593E-4</v>
      </c>
      <c r="L701" t="s">
        <v>161</v>
      </c>
      <c r="N701" t="s">
        <v>202</v>
      </c>
      <c r="O701" t="s">
        <v>323</v>
      </c>
      <c r="P701">
        <v>4.0888424808809292E-6</v>
      </c>
      <c r="Q701" t="s">
        <v>161</v>
      </c>
      <c r="S701" t="s">
        <v>224</v>
      </c>
      <c r="T701" t="s">
        <v>323</v>
      </c>
      <c r="U701">
        <v>1.3841535139550587E-6</v>
      </c>
      <c r="V701" t="s">
        <v>161</v>
      </c>
    </row>
    <row r="702" spans="9:22" x14ac:dyDescent="0.45">
      <c r="I702" t="s">
        <v>179</v>
      </c>
      <c r="J702" t="s">
        <v>324</v>
      </c>
      <c r="K702">
        <v>2.2056010470324238E-4</v>
      </c>
      <c r="L702" t="s">
        <v>161</v>
      </c>
      <c r="N702" t="s">
        <v>202</v>
      </c>
      <c r="O702" t="s">
        <v>324</v>
      </c>
      <c r="P702">
        <v>2.8538048162322698E-6</v>
      </c>
      <c r="Q702" t="s">
        <v>161</v>
      </c>
      <c r="S702" t="s">
        <v>224</v>
      </c>
      <c r="T702" t="s">
        <v>324</v>
      </c>
      <c r="U702">
        <v>0</v>
      </c>
      <c r="V702" t="s">
        <v>161</v>
      </c>
    </row>
    <row r="703" spans="9:22" x14ac:dyDescent="0.45">
      <c r="I703" t="s">
        <v>179</v>
      </c>
      <c r="J703" t="s">
        <v>325</v>
      </c>
      <c r="K703">
        <v>1.9846079864313556E-4</v>
      </c>
      <c r="L703" t="s">
        <v>161</v>
      </c>
      <c r="N703" t="s">
        <v>202</v>
      </c>
      <c r="O703" t="s">
        <v>325</v>
      </c>
      <c r="P703">
        <v>3.1746356732079006E-6</v>
      </c>
      <c r="Q703" t="s">
        <v>161</v>
      </c>
      <c r="S703" t="s">
        <v>224</v>
      </c>
      <c r="T703" t="s">
        <v>325</v>
      </c>
      <c r="U703">
        <v>1.2018355466138789E-6</v>
      </c>
      <c r="V703" t="s">
        <v>161</v>
      </c>
    </row>
    <row r="704" spans="9:22" x14ac:dyDescent="0.45">
      <c r="I704" t="s">
        <v>179</v>
      </c>
      <c r="J704" t="s">
        <v>326</v>
      </c>
      <c r="K704">
        <v>1.6115716089723145E-4</v>
      </c>
      <c r="L704" t="s">
        <v>161</v>
      </c>
      <c r="N704" t="s">
        <v>202</v>
      </c>
      <c r="O704" t="s">
        <v>326</v>
      </c>
      <c r="P704">
        <v>3.372892976128402E-6</v>
      </c>
      <c r="Q704" t="s">
        <v>161</v>
      </c>
      <c r="S704" t="s">
        <v>224</v>
      </c>
      <c r="T704" t="s">
        <v>326</v>
      </c>
      <c r="U704">
        <v>2.0783025960615846E-6</v>
      </c>
      <c r="V704" t="s">
        <v>161</v>
      </c>
    </row>
    <row r="705" spans="9:22" x14ac:dyDescent="0.45">
      <c r="I705" t="s">
        <v>179</v>
      </c>
      <c r="J705" t="s">
        <v>327</v>
      </c>
      <c r="K705">
        <v>1.0983848385740227E-4</v>
      </c>
      <c r="L705" t="s">
        <v>161</v>
      </c>
      <c r="N705" t="s">
        <v>202</v>
      </c>
      <c r="O705" t="s">
        <v>327</v>
      </c>
      <c r="P705">
        <v>8.0106459544951912E-6</v>
      </c>
      <c r="Q705" t="s">
        <v>161</v>
      </c>
      <c r="S705" t="s">
        <v>224</v>
      </c>
      <c r="T705" t="s">
        <v>327</v>
      </c>
      <c r="U705">
        <v>0</v>
      </c>
      <c r="V705" t="s">
        <v>161</v>
      </c>
    </row>
    <row r="706" spans="9:22" x14ac:dyDescent="0.45">
      <c r="I706" t="s">
        <v>179</v>
      </c>
      <c r="J706" t="s">
        <v>328</v>
      </c>
      <c r="K706">
        <v>3.8981543911067009E-5</v>
      </c>
      <c r="L706" t="s">
        <v>161</v>
      </c>
      <c r="N706" t="s">
        <v>202</v>
      </c>
      <c r="O706" t="s">
        <v>328</v>
      </c>
      <c r="P706">
        <v>1.8872617544141263E-5</v>
      </c>
      <c r="Q706" t="s">
        <v>161</v>
      </c>
      <c r="S706" t="s">
        <v>224</v>
      </c>
      <c r="T706" t="s">
        <v>328</v>
      </c>
      <c r="U706">
        <v>0</v>
      </c>
      <c r="V706" t="s">
        <v>161</v>
      </c>
    </row>
    <row r="707" spans="9:22" x14ac:dyDescent="0.45">
      <c r="I707" t="s">
        <v>179</v>
      </c>
      <c r="J707" t="s">
        <v>329</v>
      </c>
      <c r="K707">
        <v>0</v>
      </c>
      <c r="L707" t="s">
        <v>161</v>
      </c>
      <c r="N707" t="s">
        <v>202</v>
      </c>
      <c r="O707" t="s">
        <v>329</v>
      </c>
      <c r="P707">
        <v>2.7372899436485464E-5</v>
      </c>
      <c r="Q707" t="s">
        <v>161</v>
      </c>
      <c r="S707" t="s">
        <v>224</v>
      </c>
      <c r="T707" t="s">
        <v>329</v>
      </c>
      <c r="U707">
        <v>2.2565567836469783E-6</v>
      </c>
      <c r="V707" t="s">
        <v>161</v>
      </c>
    </row>
    <row r="708" spans="9:22" x14ac:dyDescent="0.45">
      <c r="I708" t="s">
        <v>179</v>
      </c>
      <c r="J708" t="s">
        <v>330</v>
      </c>
      <c r="K708">
        <v>0</v>
      </c>
      <c r="L708" t="s">
        <v>161</v>
      </c>
      <c r="N708" t="s">
        <v>202</v>
      </c>
      <c r="O708" t="s">
        <v>330</v>
      </c>
      <c r="P708">
        <v>2.9548127455871844E-5</v>
      </c>
      <c r="Q708" t="s">
        <v>161</v>
      </c>
      <c r="S708" t="s">
        <v>224</v>
      </c>
      <c r="T708" t="s">
        <v>330</v>
      </c>
      <c r="U708">
        <v>4.5225746352634265E-6</v>
      </c>
      <c r="V708" t="s">
        <v>161</v>
      </c>
    </row>
    <row r="709" spans="9:22" x14ac:dyDescent="0.45">
      <c r="I709" t="s">
        <v>179</v>
      </c>
      <c r="J709" t="s">
        <v>331</v>
      </c>
      <c r="K709">
        <v>0</v>
      </c>
      <c r="L709" t="s">
        <v>161</v>
      </c>
      <c r="N709" t="s">
        <v>202</v>
      </c>
      <c r="O709" t="s">
        <v>331</v>
      </c>
      <c r="P709">
        <v>3.2975897958553145E-5</v>
      </c>
      <c r="Q709" t="s">
        <v>161</v>
      </c>
      <c r="S709" t="s">
        <v>224</v>
      </c>
      <c r="T709" t="s">
        <v>331</v>
      </c>
      <c r="U709">
        <v>5.0536361547872026E-6</v>
      </c>
      <c r="V709" t="s">
        <v>161</v>
      </c>
    </row>
    <row r="710" spans="9:22" x14ac:dyDescent="0.45">
      <c r="I710" t="s">
        <v>179</v>
      </c>
      <c r="J710" t="s">
        <v>332</v>
      </c>
      <c r="K710">
        <v>0</v>
      </c>
      <c r="L710" t="s">
        <v>161</v>
      </c>
      <c r="N710" t="s">
        <v>202</v>
      </c>
      <c r="O710" t="s">
        <v>332</v>
      </c>
      <c r="P710">
        <v>3.4799960759367066E-5</v>
      </c>
      <c r="Q710" t="s">
        <v>161</v>
      </c>
      <c r="S710" t="s">
        <v>224</v>
      </c>
      <c r="T710" t="s">
        <v>332</v>
      </c>
      <c r="U710">
        <v>4.329444910630855E-6</v>
      </c>
      <c r="V710" t="s">
        <v>161</v>
      </c>
    </row>
    <row r="711" spans="9:22" x14ac:dyDescent="0.45">
      <c r="I711" t="s">
        <v>179</v>
      </c>
      <c r="J711" t="s">
        <v>333</v>
      </c>
      <c r="K711">
        <v>0</v>
      </c>
      <c r="L711" t="s">
        <v>161</v>
      </c>
      <c r="N711" t="s">
        <v>202</v>
      </c>
      <c r="O711" t="s">
        <v>333</v>
      </c>
      <c r="P711">
        <v>3.4882402756956803E-5</v>
      </c>
      <c r="Q711" t="s">
        <v>161</v>
      </c>
      <c r="S711" t="s">
        <v>224</v>
      </c>
      <c r="T711" t="s">
        <v>333</v>
      </c>
      <c r="U711">
        <v>6.4450725229463251E-6</v>
      </c>
      <c r="V711" t="s">
        <v>161</v>
      </c>
    </row>
    <row r="712" spans="9:22" x14ac:dyDescent="0.45">
      <c r="I712" t="s">
        <v>179</v>
      </c>
      <c r="J712" t="s">
        <v>334</v>
      </c>
      <c r="K712">
        <v>0</v>
      </c>
      <c r="L712" t="s">
        <v>161</v>
      </c>
      <c r="N712" t="s">
        <v>202</v>
      </c>
      <c r="O712" t="s">
        <v>334</v>
      </c>
      <c r="P712">
        <v>3.3841371041569556E-5</v>
      </c>
      <c r="Q712" t="s">
        <v>161</v>
      </c>
      <c r="S712" t="s">
        <v>224</v>
      </c>
      <c r="T712" t="s">
        <v>334</v>
      </c>
      <c r="U712">
        <v>6.2572896318390162E-6</v>
      </c>
      <c r="V712" t="s">
        <v>161</v>
      </c>
    </row>
    <row r="713" spans="9:22" x14ac:dyDescent="0.45">
      <c r="I713" t="s">
        <v>179</v>
      </c>
      <c r="J713" t="s">
        <v>164</v>
      </c>
      <c r="K713">
        <v>7.3614897452213132E-3</v>
      </c>
      <c r="L713" t="s">
        <v>161</v>
      </c>
      <c r="N713" t="s">
        <v>202</v>
      </c>
      <c r="O713" t="s">
        <v>164</v>
      </c>
      <c r="P713">
        <v>4.0621986463420676E-2</v>
      </c>
      <c r="Q713" t="s">
        <v>161</v>
      </c>
      <c r="S713" t="s">
        <v>224</v>
      </c>
      <c r="T713" t="s">
        <v>164</v>
      </c>
      <c r="U713">
        <v>3.6645090315378451E-2</v>
      </c>
      <c r="V713" t="s">
        <v>161</v>
      </c>
    </row>
    <row r="714" spans="9:22" x14ac:dyDescent="0.45">
      <c r="I714" t="s">
        <v>179</v>
      </c>
      <c r="J714" t="s">
        <v>165</v>
      </c>
      <c r="K714">
        <v>9.868242789838182E-3</v>
      </c>
      <c r="L714" t="s">
        <v>161</v>
      </c>
      <c r="N714" t="s">
        <v>202</v>
      </c>
      <c r="O714" t="s">
        <v>165</v>
      </c>
      <c r="P714">
        <v>4.7441033626696664E-3</v>
      </c>
      <c r="Q714" t="s">
        <v>161</v>
      </c>
      <c r="S714" t="s">
        <v>224</v>
      </c>
      <c r="T714" t="s">
        <v>165</v>
      </c>
      <c r="U714">
        <v>4.5496484209830339E-3</v>
      </c>
      <c r="V714" t="s">
        <v>161</v>
      </c>
    </row>
    <row r="715" spans="9:22" x14ac:dyDescent="0.45">
      <c r="I715" t="s">
        <v>179</v>
      </c>
      <c r="J715" t="s">
        <v>166</v>
      </c>
      <c r="K715">
        <v>9.3866698264193846E-2</v>
      </c>
      <c r="L715" t="s">
        <v>161</v>
      </c>
      <c r="N715" t="s">
        <v>202</v>
      </c>
      <c r="O715" t="s">
        <v>166</v>
      </c>
      <c r="P715">
        <v>3.1224970174699551E-2</v>
      </c>
      <c r="Q715" t="s">
        <v>161</v>
      </c>
      <c r="S715" t="s">
        <v>224</v>
      </c>
      <c r="T715" t="s">
        <v>166</v>
      </c>
      <c r="U715">
        <v>3.38002802508061E-2</v>
      </c>
      <c r="V715" t="s">
        <v>161</v>
      </c>
    </row>
    <row r="716" spans="9:22" x14ac:dyDescent="0.45">
      <c r="I716" t="s">
        <v>179</v>
      </c>
      <c r="J716" t="s">
        <v>244</v>
      </c>
      <c r="K716">
        <v>1.0717657654598088E-2</v>
      </c>
      <c r="L716" t="s">
        <v>161</v>
      </c>
      <c r="N716" t="s">
        <v>202</v>
      </c>
      <c r="O716" t="s">
        <v>244</v>
      </c>
      <c r="P716">
        <v>4.8024867429085115E-3</v>
      </c>
      <c r="Q716" t="s">
        <v>161</v>
      </c>
      <c r="S716" t="s">
        <v>224</v>
      </c>
      <c r="T716" t="s">
        <v>244</v>
      </c>
      <c r="U716">
        <v>5.0868618101689769E-3</v>
      </c>
      <c r="V716" t="s">
        <v>161</v>
      </c>
    </row>
    <row r="717" spans="9:22" x14ac:dyDescent="0.45">
      <c r="I717" t="s">
        <v>179</v>
      </c>
      <c r="J717" t="s">
        <v>245</v>
      </c>
      <c r="K717">
        <v>8.1477843929732494E-3</v>
      </c>
      <c r="L717" t="s">
        <v>161</v>
      </c>
      <c r="N717" t="s">
        <v>202</v>
      </c>
      <c r="O717" t="s">
        <v>245</v>
      </c>
      <c r="P717">
        <v>4.6237978919091939E-3</v>
      </c>
      <c r="Q717" t="s">
        <v>161</v>
      </c>
      <c r="S717" t="s">
        <v>224</v>
      </c>
      <c r="T717" t="s">
        <v>245</v>
      </c>
      <c r="U717">
        <v>5.0500509263348868E-3</v>
      </c>
      <c r="V717" t="s">
        <v>161</v>
      </c>
    </row>
    <row r="718" spans="9:22" x14ac:dyDescent="0.45">
      <c r="I718" t="s">
        <v>179</v>
      </c>
      <c r="J718" t="s">
        <v>267</v>
      </c>
      <c r="K718">
        <v>7.150930758647746E-3</v>
      </c>
      <c r="L718" t="s">
        <v>161</v>
      </c>
      <c r="N718" t="s">
        <v>202</v>
      </c>
      <c r="O718" t="s">
        <v>267</v>
      </c>
      <c r="P718">
        <v>3.0944111482505293E-2</v>
      </c>
      <c r="Q718" t="s">
        <v>161</v>
      </c>
      <c r="S718" t="s">
        <v>224</v>
      </c>
      <c r="T718" t="s">
        <v>267</v>
      </c>
      <c r="U718">
        <v>3.0143918936945402E-2</v>
      </c>
      <c r="V718" t="s">
        <v>161</v>
      </c>
    </row>
    <row r="719" spans="9:22" x14ac:dyDescent="0.45">
      <c r="I719" t="s">
        <v>179</v>
      </c>
      <c r="J719" t="s">
        <v>167</v>
      </c>
      <c r="K719">
        <v>4.4457276198269322E-2</v>
      </c>
      <c r="L719" t="s">
        <v>161</v>
      </c>
      <c r="N719" t="s">
        <v>202</v>
      </c>
      <c r="O719" t="s">
        <v>167</v>
      </c>
      <c r="P719">
        <v>6.2073126462889011E-2</v>
      </c>
      <c r="Q719" t="s">
        <v>161</v>
      </c>
      <c r="S719" t="s">
        <v>224</v>
      </c>
      <c r="T719" t="s">
        <v>167</v>
      </c>
      <c r="U719">
        <v>6.3448611661217721E-2</v>
      </c>
      <c r="V719" t="s">
        <v>161</v>
      </c>
    </row>
    <row r="720" spans="9:22" x14ac:dyDescent="0.45">
      <c r="I720" t="s">
        <v>179</v>
      </c>
      <c r="J720" t="s">
        <v>168</v>
      </c>
      <c r="K720">
        <v>3.009248812477841E-2</v>
      </c>
      <c r="L720" t="s">
        <v>161</v>
      </c>
      <c r="N720" t="s">
        <v>202</v>
      </c>
      <c r="O720" t="s">
        <v>168</v>
      </c>
      <c r="P720">
        <v>7.3583001300508138E-3</v>
      </c>
      <c r="Q720" t="s">
        <v>161</v>
      </c>
      <c r="S720" t="s">
        <v>224</v>
      </c>
      <c r="T720" t="s">
        <v>168</v>
      </c>
      <c r="U720">
        <v>7.7173590164403118E-3</v>
      </c>
      <c r="V720" t="s">
        <v>161</v>
      </c>
    </row>
    <row r="721" spans="9:22" x14ac:dyDescent="0.45">
      <c r="I721" t="s">
        <v>179</v>
      </c>
      <c r="J721" t="s">
        <v>169</v>
      </c>
      <c r="K721">
        <v>0.27033916822513554</v>
      </c>
      <c r="L721" t="s">
        <v>161</v>
      </c>
      <c r="N721" t="s">
        <v>202</v>
      </c>
      <c r="O721" t="s">
        <v>169</v>
      </c>
      <c r="P721">
        <v>5.0373623999635346E-2</v>
      </c>
      <c r="Q721" t="s">
        <v>161</v>
      </c>
      <c r="S721" t="s">
        <v>224</v>
      </c>
      <c r="T721" t="s">
        <v>169</v>
      </c>
      <c r="U721">
        <v>4.9519732542394702E-2</v>
      </c>
      <c r="V721" t="s">
        <v>161</v>
      </c>
    </row>
    <row r="722" spans="9:22" x14ac:dyDescent="0.45">
      <c r="I722" t="s">
        <v>179</v>
      </c>
      <c r="J722" t="s">
        <v>246</v>
      </c>
      <c r="K722">
        <v>3.4326602019649599E-2</v>
      </c>
      <c r="L722" t="s">
        <v>161</v>
      </c>
      <c r="N722" t="s">
        <v>202</v>
      </c>
      <c r="O722" t="s">
        <v>246</v>
      </c>
      <c r="P722">
        <v>7.8599663592690029E-3</v>
      </c>
      <c r="Q722" t="s">
        <v>161</v>
      </c>
      <c r="S722" t="s">
        <v>224</v>
      </c>
      <c r="T722" t="s">
        <v>246</v>
      </c>
      <c r="U722">
        <v>7.2735631852614193E-3</v>
      </c>
      <c r="V722" t="s">
        <v>161</v>
      </c>
    </row>
    <row r="723" spans="9:22" x14ac:dyDescent="0.45">
      <c r="I723" t="s">
        <v>179</v>
      </c>
      <c r="J723" t="s">
        <v>247</v>
      </c>
      <c r="K723">
        <v>2.8934590402711444E-2</v>
      </c>
      <c r="L723" t="s">
        <v>161</v>
      </c>
      <c r="N723" t="s">
        <v>202</v>
      </c>
      <c r="O723" t="s">
        <v>247</v>
      </c>
      <c r="P723">
        <v>7.5456861685816341E-3</v>
      </c>
      <c r="Q723" t="s">
        <v>161</v>
      </c>
      <c r="S723" t="s">
        <v>224</v>
      </c>
      <c r="T723" t="s">
        <v>247</v>
      </c>
      <c r="U723">
        <v>7.2812148682274277E-3</v>
      </c>
      <c r="V723" t="s">
        <v>161</v>
      </c>
    </row>
    <row r="724" spans="9:22" x14ac:dyDescent="0.45">
      <c r="I724" t="s">
        <v>179</v>
      </c>
      <c r="J724" t="s">
        <v>268</v>
      </c>
      <c r="K724">
        <v>4.3765374432804205E-2</v>
      </c>
      <c r="L724" t="s">
        <v>161</v>
      </c>
      <c r="N724" t="s">
        <v>202</v>
      </c>
      <c r="O724" t="s">
        <v>268</v>
      </c>
      <c r="P724">
        <v>4.9350194504554579E-2</v>
      </c>
      <c r="Q724" t="s">
        <v>161</v>
      </c>
      <c r="S724" t="s">
        <v>224</v>
      </c>
      <c r="T724" t="s">
        <v>268</v>
      </c>
      <c r="U724">
        <v>4.8243744621422086E-2</v>
      </c>
      <c r="V724" t="s">
        <v>161</v>
      </c>
    </row>
    <row r="725" spans="9:22" x14ac:dyDescent="0.45">
      <c r="I725" t="s">
        <v>179</v>
      </c>
      <c r="J725" t="s">
        <v>170</v>
      </c>
      <c r="K725">
        <v>1.2023367494565765E-2</v>
      </c>
      <c r="L725" t="s">
        <v>161</v>
      </c>
      <c r="N725" t="s">
        <v>202</v>
      </c>
      <c r="O725" t="s">
        <v>170</v>
      </c>
      <c r="P725">
        <v>3.2462355494766129E-2</v>
      </c>
      <c r="Q725" t="s">
        <v>161</v>
      </c>
      <c r="S725" t="s">
        <v>224</v>
      </c>
      <c r="T725" t="s">
        <v>170</v>
      </c>
      <c r="U725">
        <v>3.5494464917815612E-2</v>
      </c>
      <c r="V725" t="s">
        <v>161</v>
      </c>
    </row>
    <row r="726" spans="9:22" x14ac:dyDescent="0.45">
      <c r="I726" t="s">
        <v>179</v>
      </c>
      <c r="J726" t="s">
        <v>171</v>
      </c>
      <c r="K726">
        <v>1.2379393076839201E-2</v>
      </c>
      <c r="L726" t="s">
        <v>161</v>
      </c>
      <c r="N726" t="s">
        <v>202</v>
      </c>
      <c r="O726" t="s">
        <v>171</v>
      </c>
      <c r="P726">
        <v>3.6720196394821655E-3</v>
      </c>
      <c r="Q726" t="s">
        <v>161</v>
      </c>
      <c r="S726" t="s">
        <v>224</v>
      </c>
      <c r="T726" t="s">
        <v>171</v>
      </c>
      <c r="U726">
        <v>4.1045178378749589E-3</v>
      </c>
      <c r="V726" t="s">
        <v>161</v>
      </c>
    </row>
    <row r="727" spans="9:22" x14ac:dyDescent="0.45">
      <c r="I727" t="s">
        <v>179</v>
      </c>
      <c r="J727" t="s">
        <v>172</v>
      </c>
      <c r="K727">
        <v>0.11552348147600465</v>
      </c>
      <c r="L727" t="s">
        <v>161</v>
      </c>
      <c r="N727" t="s">
        <v>202</v>
      </c>
      <c r="O727" t="s">
        <v>172</v>
      </c>
      <c r="P727">
        <v>2.471222613327877E-2</v>
      </c>
      <c r="Q727" t="s">
        <v>161</v>
      </c>
      <c r="S727" t="s">
        <v>224</v>
      </c>
      <c r="T727" t="s">
        <v>172</v>
      </c>
      <c r="U727">
        <v>3.0486046792638822E-2</v>
      </c>
      <c r="V727" t="s">
        <v>161</v>
      </c>
    </row>
    <row r="728" spans="9:22" x14ac:dyDescent="0.45">
      <c r="I728" t="s">
        <v>179</v>
      </c>
      <c r="J728" t="s">
        <v>248</v>
      </c>
      <c r="K728">
        <v>1.372431493314295E-2</v>
      </c>
      <c r="L728" t="s">
        <v>161</v>
      </c>
      <c r="N728" t="s">
        <v>202</v>
      </c>
      <c r="O728" t="s">
        <v>248</v>
      </c>
      <c r="P728">
        <v>3.5872869503283701E-3</v>
      </c>
      <c r="Q728" t="s">
        <v>161</v>
      </c>
      <c r="S728" t="s">
        <v>224</v>
      </c>
      <c r="T728" t="s">
        <v>248</v>
      </c>
      <c r="U728">
        <v>4.6496332349618644E-3</v>
      </c>
      <c r="V728" t="s">
        <v>161</v>
      </c>
    </row>
    <row r="729" spans="9:22" x14ac:dyDescent="0.45">
      <c r="I729" t="s">
        <v>179</v>
      </c>
      <c r="J729" t="s">
        <v>249</v>
      </c>
      <c r="K729">
        <v>1.0763969587446387E-2</v>
      </c>
      <c r="L729" t="s">
        <v>161</v>
      </c>
      <c r="N729" t="s">
        <v>202</v>
      </c>
      <c r="O729" t="s">
        <v>249</v>
      </c>
      <c r="P729">
        <v>3.091180669112209E-3</v>
      </c>
      <c r="Q729" t="s">
        <v>161</v>
      </c>
      <c r="S729" t="s">
        <v>224</v>
      </c>
      <c r="T729" t="s">
        <v>249</v>
      </c>
      <c r="U729">
        <v>4.5822777658411657E-3</v>
      </c>
      <c r="V729" t="s">
        <v>161</v>
      </c>
    </row>
    <row r="730" spans="9:22" x14ac:dyDescent="0.45">
      <c r="I730" t="s">
        <v>179</v>
      </c>
      <c r="J730" t="s">
        <v>269</v>
      </c>
      <c r="K730">
        <v>1.2190474940896987E-2</v>
      </c>
      <c r="L730" t="s">
        <v>161</v>
      </c>
      <c r="N730" t="s">
        <v>202</v>
      </c>
      <c r="O730" t="s">
        <v>269</v>
      </c>
      <c r="P730">
        <v>2.2634585812251234E-2</v>
      </c>
      <c r="Q730" t="s">
        <v>161</v>
      </c>
      <c r="S730" t="s">
        <v>224</v>
      </c>
      <c r="T730" t="s">
        <v>269</v>
      </c>
      <c r="U730">
        <v>2.9669776456894083E-2</v>
      </c>
      <c r="V730" t="s">
        <v>161</v>
      </c>
    </row>
    <row r="731" spans="9:22" x14ac:dyDescent="0.45">
      <c r="I731" t="s">
        <v>179</v>
      </c>
      <c r="J731" t="s">
        <v>362</v>
      </c>
      <c r="K731">
        <v>0</v>
      </c>
      <c r="L731" t="s">
        <v>161</v>
      </c>
      <c r="N731" t="s">
        <v>202</v>
      </c>
      <c r="O731" t="s">
        <v>362</v>
      </c>
      <c r="P731">
        <v>1.7241383982016993E-5</v>
      </c>
      <c r="Q731" t="s">
        <v>161</v>
      </c>
      <c r="S731" t="s">
        <v>224</v>
      </c>
      <c r="T731" t="s">
        <v>362</v>
      </c>
      <c r="U731">
        <v>3.3204019064747884E-5</v>
      </c>
      <c r="V731" t="s">
        <v>161</v>
      </c>
    </row>
    <row r="732" spans="9:22" x14ac:dyDescent="0.45">
      <c r="I732" t="s">
        <v>179</v>
      </c>
      <c r="J732" t="s">
        <v>363</v>
      </c>
      <c r="K732">
        <v>0</v>
      </c>
      <c r="L732" t="s">
        <v>161</v>
      </c>
      <c r="N732" t="s">
        <v>202</v>
      </c>
      <c r="O732" t="s">
        <v>363</v>
      </c>
      <c r="P732">
        <v>1.7269843262196636E-5</v>
      </c>
      <c r="Q732" t="s">
        <v>161</v>
      </c>
      <c r="S732" t="s">
        <v>224</v>
      </c>
      <c r="T732" t="s">
        <v>363</v>
      </c>
      <c r="U732">
        <v>3.6730980532070322E-5</v>
      </c>
      <c r="V732" t="s">
        <v>161</v>
      </c>
    </row>
    <row r="733" spans="9:22" x14ac:dyDescent="0.45">
      <c r="I733" t="s">
        <v>179</v>
      </c>
      <c r="J733" t="s">
        <v>364</v>
      </c>
      <c r="K733">
        <v>0</v>
      </c>
      <c r="L733" t="s">
        <v>161</v>
      </c>
      <c r="N733" t="s">
        <v>202</v>
      </c>
      <c r="O733" t="s">
        <v>364</v>
      </c>
      <c r="P733">
        <v>1.5389173043684357E-5</v>
      </c>
      <c r="Q733" t="s">
        <v>161</v>
      </c>
      <c r="S733" t="s">
        <v>224</v>
      </c>
      <c r="T733" t="s">
        <v>364</v>
      </c>
      <c r="U733">
        <v>4.0594512774809536E-5</v>
      </c>
      <c r="V733" t="s">
        <v>161</v>
      </c>
    </row>
    <row r="734" spans="9:22" x14ac:dyDescent="0.45">
      <c r="I734" t="s">
        <v>179</v>
      </c>
      <c r="J734" t="s">
        <v>365</v>
      </c>
      <c r="K734">
        <v>0</v>
      </c>
      <c r="L734" t="s">
        <v>161</v>
      </c>
      <c r="N734" t="s">
        <v>202</v>
      </c>
      <c r="O734" t="s">
        <v>365</v>
      </c>
      <c r="P734">
        <v>9.9391338642072108E-6</v>
      </c>
      <c r="Q734" t="s">
        <v>161</v>
      </c>
      <c r="S734" t="s">
        <v>224</v>
      </c>
      <c r="T734" t="s">
        <v>365</v>
      </c>
      <c r="U734">
        <v>4.5027905964478758E-5</v>
      </c>
      <c r="V734" t="s">
        <v>161</v>
      </c>
    </row>
    <row r="735" spans="9:22" x14ac:dyDescent="0.45">
      <c r="I735" t="s">
        <v>179</v>
      </c>
      <c r="J735" t="s">
        <v>366</v>
      </c>
      <c r="K735">
        <v>0</v>
      </c>
      <c r="L735" t="s">
        <v>161</v>
      </c>
      <c r="N735" t="s">
        <v>202</v>
      </c>
      <c r="O735" t="s">
        <v>366</v>
      </c>
      <c r="P735">
        <v>8.0289592336060067E-6</v>
      </c>
      <c r="Q735" t="s">
        <v>161</v>
      </c>
      <c r="S735" t="s">
        <v>224</v>
      </c>
      <c r="T735" t="s">
        <v>366</v>
      </c>
      <c r="U735">
        <v>4.5405614959308807E-5</v>
      </c>
      <c r="V735" t="s">
        <v>161</v>
      </c>
    </row>
    <row r="736" spans="9:22" x14ac:dyDescent="0.45">
      <c r="I736" t="s">
        <v>179</v>
      </c>
      <c r="J736" t="s">
        <v>367</v>
      </c>
      <c r="K736">
        <v>0</v>
      </c>
      <c r="L736" t="s">
        <v>161</v>
      </c>
      <c r="N736" t="s">
        <v>202</v>
      </c>
      <c r="O736" t="s">
        <v>367</v>
      </c>
      <c r="P736">
        <v>8.1282882387344763E-6</v>
      </c>
      <c r="Q736" t="s">
        <v>161</v>
      </c>
      <c r="S736" t="s">
        <v>224</v>
      </c>
      <c r="T736" t="s">
        <v>367</v>
      </c>
      <c r="U736">
        <v>4.1243081825508051E-5</v>
      </c>
      <c r="V736" t="s">
        <v>161</v>
      </c>
    </row>
    <row r="737" spans="9:22" x14ac:dyDescent="0.45">
      <c r="I737" t="s">
        <v>179</v>
      </c>
      <c r="J737" t="s">
        <v>368</v>
      </c>
      <c r="K737">
        <v>1.623002021833359E-4</v>
      </c>
      <c r="L737" t="s">
        <v>161</v>
      </c>
      <c r="N737" t="s">
        <v>202</v>
      </c>
      <c r="O737" t="s">
        <v>368</v>
      </c>
      <c r="P737">
        <v>6.1871562218752096E-6</v>
      </c>
      <c r="Q737" t="s">
        <v>161</v>
      </c>
      <c r="S737" t="s">
        <v>224</v>
      </c>
      <c r="T737" t="s">
        <v>368</v>
      </c>
      <c r="U737">
        <v>3.3293893772213691E-5</v>
      </c>
      <c r="V737" t="s">
        <v>161</v>
      </c>
    </row>
    <row r="738" spans="9:22" x14ac:dyDescent="0.45">
      <c r="I738" t="s">
        <v>179</v>
      </c>
      <c r="J738" t="s">
        <v>369</v>
      </c>
      <c r="K738">
        <v>3.1360758717397332E-4</v>
      </c>
      <c r="L738" t="s">
        <v>161</v>
      </c>
      <c r="N738" t="s">
        <v>202</v>
      </c>
      <c r="O738" t="s">
        <v>369</v>
      </c>
      <c r="P738">
        <v>1.5695704888508589E-7</v>
      </c>
      <c r="Q738" t="s">
        <v>161</v>
      </c>
      <c r="S738" t="s">
        <v>224</v>
      </c>
      <c r="T738" t="s">
        <v>369</v>
      </c>
      <c r="U738">
        <v>2.251633734580627E-5</v>
      </c>
      <c r="V738" t="s">
        <v>161</v>
      </c>
    </row>
    <row r="739" spans="9:22" x14ac:dyDescent="0.45">
      <c r="I739" t="s">
        <v>179</v>
      </c>
      <c r="J739" t="s">
        <v>370</v>
      </c>
      <c r="K739">
        <v>3.8643351895757314E-4</v>
      </c>
      <c r="L739" t="s">
        <v>161</v>
      </c>
      <c r="N739" t="s">
        <v>202</v>
      </c>
      <c r="O739" t="s">
        <v>370</v>
      </c>
      <c r="P739">
        <v>2.1158798793097972E-8</v>
      </c>
      <c r="Q739" t="s">
        <v>161</v>
      </c>
      <c r="S739" t="s">
        <v>224</v>
      </c>
      <c r="T739" t="s">
        <v>370</v>
      </c>
      <c r="U739">
        <v>2.3581001755050068E-5</v>
      </c>
      <c r="V739" t="s">
        <v>161</v>
      </c>
    </row>
    <row r="740" spans="9:22" x14ac:dyDescent="0.45">
      <c r="I740" t="s">
        <v>179</v>
      </c>
      <c r="J740" t="s">
        <v>371</v>
      </c>
      <c r="K740">
        <v>4.5208732266047283E-4</v>
      </c>
      <c r="L740" t="s">
        <v>161</v>
      </c>
      <c r="N740" t="s">
        <v>202</v>
      </c>
      <c r="O740" t="s">
        <v>371</v>
      </c>
      <c r="P740">
        <v>5.6482298007609577E-8</v>
      </c>
      <c r="Q740" t="s">
        <v>161</v>
      </c>
      <c r="S740" t="s">
        <v>224</v>
      </c>
      <c r="T740" t="s">
        <v>371</v>
      </c>
      <c r="U740">
        <v>2.6085016685155236E-5</v>
      </c>
      <c r="V740" t="s">
        <v>161</v>
      </c>
    </row>
    <row r="741" spans="9:22" x14ac:dyDescent="0.45">
      <c r="I741" t="s">
        <v>179</v>
      </c>
      <c r="J741" t="s">
        <v>372</v>
      </c>
      <c r="K741">
        <v>4.765047656730215E-4</v>
      </c>
      <c r="L741" t="s">
        <v>161</v>
      </c>
      <c r="N741" t="s">
        <v>202</v>
      </c>
      <c r="O741" t="s">
        <v>372</v>
      </c>
      <c r="P741">
        <v>1.546462198145096E-7</v>
      </c>
      <c r="Q741" t="s">
        <v>161</v>
      </c>
      <c r="S741" t="s">
        <v>224</v>
      </c>
      <c r="T741" t="s">
        <v>372</v>
      </c>
      <c r="U741">
        <v>2.7234265275811626E-5</v>
      </c>
      <c r="V741" t="s">
        <v>161</v>
      </c>
    </row>
    <row r="742" spans="9:22" x14ac:dyDescent="0.45">
      <c r="I742" t="s">
        <v>179</v>
      </c>
      <c r="J742" t="s">
        <v>373</v>
      </c>
      <c r="K742">
        <v>4.5234349067411057E-4</v>
      </c>
      <c r="L742" t="s">
        <v>161</v>
      </c>
      <c r="N742" t="s">
        <v>202</v>
      </c>
      <c r="O742" t="s">
        <v>373</v>
      </c>
      <c r="P742">
        <v>7.4180145865713508E-8</v>
      </c>
      <c r="Q742" t="s">
        <v>161</v>
      </c>
      <c r="S742" t="s">
        <v>224</v>
      </c>
      <c r="T742" t="s">
        <v>373</v>
      </c>
      <c r="U742">
        <v>2.014853347860137E-5</v>
      </c>
      <c r="V742" t="s">
        <v>161</v>
      </c>
    </row>
    <row r="743" spans="9:22" x14ac:dyDescent="0.45">
      <c r="I743" t="s">
        <v>179</v>
      </c>
      <c r="J743" t="s">
        <v>374</v>
      </c>
      <c r="K743">
        <v>4.2060222201453502E-4</v>
      </c>
      <c r="L743" t="s">
        <v>161</v>
      </c>
      <c r="N743" t="s">
        <v>202</v>
      </c>
      <c r="O743" t="s">
        <v>374</v>
      </c>
      <c r="P743">
        <v>2.9525378213808946E-8</v>
      </c>
      <c r="Q743" t="s">
        <v>161</v>
      </c>
      <c r="S743" t="s">
        <v>224</v>
      </c>
      <c r="T743" t="s">
        <v>374</v>
      </c>
      <c r="U743">
        <v>1.3871528280043882E-5</v>
      </c>
      <c r="V743" t="s">
        <v>161</v>
      </c>
    </row>
    <row r="744" spans="9:22" x14ac:dyDescent="0.45">
      <c r="I744" t="s">
        <v>179</v>
      </c>
      <c r="J744" t="s">
        <v>375</v>
      </c>
      <c r="K744">
        <v>4.3693650245522838E-4</v>
      </c>
      <c r="L744" t="s">
        <v>161</v>
      </c>
      <c r="N744" t="s">
        <v>202</v>
      </c>
      <c r="O744" t="s">
        <v>375</v>
      </c>
      <c r="P744">
        <v>9.7672052942747637E-9</v>
      </c>
      <c r="Q744" t="s">
        <v>161</v>
      </c>
      <c r="S744" t="s">
        <v>224</v>
      </c>
      <c r="T744" t="s">
        <v>375</v>
      </c>
      <c r="U744">
        <v>1.0312989322758858E-5</v>
      </c>
      <c r="V744" t="s">
        <v>161</v>
      </c>
    </row>
    <row r="745" spans="9:22" x14ac:dyDescent="0.45">
      <c r="I745" t="s">
        <v>179</v>
      </c>
      <c r="J745" t="s">
        <v>376</v>
      </c>
      <c r="K745">
        <v>3.5003168201812383E-4</v>
      </c>
      <c r="L745" t="s">
        <v>161</v>
      </c>
      <c r="N745" t="s">
        <v>202</v>
      </c>
      <c r="O745" t="s">
        <v>376</v>
      </c>
      <c r="P745">
        <v>3.0717138668919545E-9</v>
      </c>
      <c r="Q745" t="s">
        <v>161</v>
      </c>
      <c r="S745" t="s">
        <v>224</v>
      </c>
      <c r="T745" t="s">
        <v>376</v>
      </c>
      <c r="U745">
        <v>5.9350073668256307E-6</v>
      </c>
      <c r="V745" t="s">
        <v>161</v>
      </c>
    </row>
    <row r="746" spans="9:22" x14ac:dyDescent="0.45">
      <c r="I746" t="s">
        <v>179</v>
      </c>
      <c r="J746" t="s">
        <v>377</v>
      </c>
      <c r="K746">
        <v>3.2725635211405671E-4</v>
      </c>
      <c r="L746" t="s">
        <v>161</v>
      </c>
      <c r="N746" t="s">
        <v>202</v>
      </c>
      <c r="O746" t="s">
        <v>377</v>
      </c>
      <c r="P746">
        <v>2.1145197848355615E-9</v>
      </c>
      <c r="Q746" t="s">
        <v>161</v>
      </c>
      <c r="S746" t="s">
        <v>224</v>
      </c>
      <c r="T746" t="s">
        <v>377</v>
      </c>
      <c r="U746">
        <v>5.0186320082164345E-6</v>
      </c>
      <c r="V746" t="s">
        <v>161</v>
      </c>
    </row>
    <row r="747" spans="9:22" x14ac:dyDescent="0.45">
      <c r="I747" t="s">
        <v>179</v>
      </c>
      <c r="J747" t="s">
        <v>378</v>
      </c>
      <c r="K747">
        <v>2.7444825422280952E-4</v>
      </c>
      <c r="L747" t="s">
        <v>161</v>
      </c>
      <c r="N747" t="s">
        <v>202</v>
      </c>
      <c r="O747" t="s">
        <v>378</v>
      </c>
      <c r="P747">
        <v>2.228362288157803E-9</v>
      </c>
      <c r="Q747" t="s">
        <v>161</v>
      </c>
      <c r="S747" t="s">
        <v>224</v>
      </c>
      <c r="T747" t="s">
        <v>378</v>
      </c>
      <c r="U747">
        <v>2.5004226140948384E-6</v>
      </c>
      <c r="V747" t="s">
        <v>161</v>
      </c>
    </row>
    <row r="748" spans="9:22" x14ac:dyDescent="0.45">
      <c r="I748" t="s">
        <v>179</v>
      </c>
      <c r="J748" t="s">
        <v>379</v>
      </c>
      <c r="K748">
        <v>1.8177906897811374E-4</v>
      </c>
      <c r="L748" t="s">
        <v>161</v>
      </c>
      <c r="N748" t="s">
        <v>202</v>
      </c>
      <c r="O748" t="s">
        <v>379</v>
      </c>
      <c r="P748">
        <v>1.0034891633598477E-7</v>
      </c>
      <c r="Q748" t="s">
        <v>161</v>
      </c>
      <c r="S748" t="s">
        <v>224</v>
      </c>
      <c r="T748" t="s">
        <v>379</v>
      </c>
      <c r="U748">
        <v>1.8578478175779263E-6</v>
      </c>
      <c r="V748" t="s">
        <v>161</v>
      </c>
    </row>
    <row r="749" spans="9:22" x14ac:dyDescent="0.45">
      <c r="I749" t="s">
        <v>179</v>
      </c>
      <c r="J749" t="s">
        <v>380</v>
      </c>
      <c r="K749">
        <v>1.259363153608928E-4</v>
      </c>
      <c r="L749" t="s">
        <v>161</v>
      </c>
      <c r="N749" t="s">
        <v>202</v>
      </c>
      <c r="O749" t="s">
        <v>380</v>
      </c>
      <c r="P749">
        <v>4.2297862263617114E-6</v>
      </c>
      <c r="Q749" t="s">
        <v>161</v>
      </c>
      <c r="S749" t="s">
        <v>224</v>
      </c>
      <c r="T749" t="s">
        <v>380</v>
      </c>
      <c r="U749">
        <v>1.4531666711726925E-6</v>
      </c>
      <c r="V749" t="s">
        <v>161</v>
      </c>
    </row>
    <row r="750" spans="9:22" x14ac:dyDescent="0.45">
      <c r="I750" t="s">
        <v>179</v>
      </c>
      <c r="J750" t="s">
        <v>381</v>
      </c>
      <c r="K750">
        <v>7.3513112573221631E-5</v>
      </c>
      <c r="L750" t="s">
        <v>161</v>
      </c>
      <c r="N750" t="s">
        <v>202</v>
      </c>
      <c r="O750" t="s">
        <v>381</v>
      </c>
      <c r="P750">
        <v>1.0542811397450248E-5</v>
      </c>
      <c r="Q750" t="s">
        <v>161</v>
      </c>
      <c r="S750" t="s">
        <v>224</v>
      </c>
      <c r="T750" t="s">
        <v>381</v>
      </c>
      <c r="U750">
        <v>4.755657225087776E-7</v>
      </c>
      <c r="V750" t="s">
        <v>161</v>
      </c>
    </row>
    <row r="751" spans="9:22" x14ac:dyDescent="0.45">
      <c r="I751" t="s">
        <v>179</v>
      </c>
      <c r="J751" t="s">
        <v>382</v>
      </c>
      <c r="K751">
        <v>0</v>
      </c>
      <c r="L751" t="s">
        <v>161</v>
      </c>
      <c r="N751" t="s">
        <v>202</v>
      </c>
      <c r="O751" t="s">
        <v>382</v>
      </c>
      <c r="P751">
        <v>1.3717292713069221E-5</v>
      </c>
      <c r="Q751" t="s">
        <v>161</v>
      </c>
      <c r="S751" t="s">
        <v>224</v>
      </c>
      <c r="T751" t="s">
        <v>382</v>
      </c>
      <c r="U751">
        <v>2.8273064443138841E-8</v>
      </c>
      <c r="V751" t="s">
        <v>161</v>
      </c>
    </row>
    <row r="752" spans="9:22" x14ac:dyDescent="0.45">
      <c r="I752" t="s">
        <v>179</v>
      </c>
      <c r="J752" t="s">
        <v>383</v>
      </c>
      <c r="K752">
        <v>0</v>
      </c>
      <c r="L752" t="s">
        <v>161</v>
      </c>
      <c r="N752" t="s">
        <v>202</v>
      </c>
      <c r="O752" t="s">
        <v>383</v>
      </c>
      <c r="P752">
        <v>1.3256510778261195E-5</v>
      </c>
      <c r="Q752" t="s">
        <v>161</v>
      </c>
      <c r="S752" t="s">
        <v>224</v>
      </c>
      <c r="T752" t="s">
        <v>383</v>
      </c>
      <c r="U752">
        <v>2.8172994843828491E-7</v>
      </c>
      <c r="V752" t="s">
        <v>161</v>
      </c>
    </row>
    <row r="753" spans="9:22" x14ac:dyDescent="0.45">
      <c r="I753" t="s">
        <v>179</v>
      </c>
      <c r="J753" t="s">
        <v>384</v>
      </c>
      <c r="K753">
        <v>0</v>
      </c>
      <c r="L753" t="s">
        <v>161</v>
      </c>
      <c r="N753" t="s">
        <v>202</v>
      </c>
      <c r="O753" t="s">
        <v>384</v>
      </c>
      <c r="P753">
        <v>7.4721755523158201E-6</v>
      </c>
      <c r="Q753" t="s">
        <v>161</v>
      </c>
      <c r="S753" t="s">
        <v>224</v>
      </c>
      <c r="T753" t="s">
        <v>384</v>
      </c>
      <c r="U753">
        <v>5.2972426494149514E-7</v>
      </c>
      <c r="V753" t="s">
        <v>161</v>
      </c>
    </row>
    <row r="754" spans="9:22" x14ac:dyDescent="0.45">
      <c r="I754" t="s">
        <v>179</v>
      </c>
      <c r="J754" t="s">
        <v>385</v>
      </c>
      <c r="K754">
        <v>0</v>
      </c>
      <c r="L754" t="s">
        <v>161</v>
      </c>
      <c r="N754" t="s">
        <v>202</v>
      </c>
      <c r="O754" t="s">
        <v>385</v>
      </c>
      <c r="P754">
        <v>9.5340122028808013E-6</v>
      </c>
      <c r="Q754" t="s">
        <v>161</v>
      </c>
      <c r="S754" t="s">
        <v>224</v>
      </c>
      <c r="T754" t="s">
        <v>385</v>
      </c>
      <c r="U754">
        <v>9.0821572298192518E-7</v>
      </c>
      <c r="V754" t="s">
        <v>161</v>
      </c>
    </row>
    <row r="755" spans="9:22" x14ac:dyDescent="0.45">
      <c r="I755" t="s">
        <v>179</v>
      </c>
      <c r="J755" t="s">
        <v>250</v>
      </c>
      <c r="K755">
        <v>1.7916409348791987E-3</v>
      </c>
      <c r="L755" t="s">
        <v>161</v>
      </c>
      <c r="N755" t="s">
        <v>202</v>
      </c>
      <c r="O755" t="s">
        <v>250</v>
      </c>
      <c r="P755">
        <v>5.4913509570803876E-2</v>
      </c>
      <c r="Q755" t="s">
        <v>161</v>
      </c>
      <c r="S755" t="s">
        <v>224</v>
      </c>
      <c r="T755" t="s">
        <v>250</v>
      </c>
      <c r="U755">
        <v>4.7300136317102101E-2</v>
      </c>
      <c r="V755" t="s">
        <v>161</v>
      </c>
    </row>
    <row r="756" spans="9:22" x14ac:dyDescent="0.45">
      <c r="I756" t="s">
        <v>179</v>
      </c>
      <c r="J756" t="s">
        <v>251</v>
      </c>
      <c r="K756">
        <v>4.4599028612877772E-3</v>
      </c>
      <c r="L756" t="s">
        <v>161</v>
      </c>
      <c r="N756" t="s">
        <v>202</v>
      </c>
      <c r="O756" t="s">
        <v>251</v>
      </c>
      <c r="P756">
        <v>6.789684759871694E-3</v>
      </c>
      <c r="Q756" t="s">
        <v>161</v>
      </c>
      <c r="S756" t="s">
        <v>224</v>
      </c>
      <c r="T756" t="s">
        <v>251</v>
      </c>
      <c r="U756">
        <v>6.1180822058338963E-3</v>
      </c>
      <c r="V756" t="s">
        <v>161</v>
      </c>
    </row>
    <row r="757" spans="9:22" x14ac:dyDescent="0.45">
      <c r="I757" t="s">
        <v>179</v>
      </c>
      <c r="J757" t="s">
        <v>252</v>
      </c>
      <c r="K757">
        <v>6.9939309618576057E-2</v>
      </c>
      <c r="L757" t="s">
        <v>161</v>
      </c>
      <c r="N757" t="s">
        <v>202</v>
      </c>
      <c r="O757" t="s">
        <v>252</v>
      </c>
      <c r="P757">
        <v>4.1624424768326604E-2</v>
      </c>
      <c r="Q757" t="s">
        <v>161</v>
      </c>
      <c r="S757" t="s">
        <v>224</v>
      </c>
      <c r="T757" t="s">
        <v>252</v>
      </c>
      <c r="U757">
        <v>4.1011972007128382E-2</v>
      </c>
      <c r="V757" t="s">
        <v>161</v>
      </c>
    </row>
    <row r="758" spans="9:22" x14ac:dyDescent="0.45">
      <c r="I758" t="s">
        <v>179</v>
      </c>
      <c r="J758" t="s">
        <v>253</v>
      </c>
      <c r="K758">
        <v>7.1893038681224266E-3</v>
      </c>
      <c r="L758" t="s">
        <v>161</v>
      </c>
      <c r="N758" t="s">
        <v>202</v>
      </c>
      <c r="O758" t="s">
        <v>253</v>
      </c>
      <c r="P758">
        <v>6.1372818239645568E-3</v>
      </c>
      <c r="Q758" t="s">
        <v>161</v>
      </c>
      <c r="S758" t="s">
        <v>224</v>
      </c>
      <c r="T758" t="s">
        <v>253</v>
      </c>
      <c r="U758">
        <v>5.9796392552988282E-3</v>
      </c>
      <c r="V758" t="s">
        <v>161</v>
      </c>
    </row>
    <row r="759" spans="9:22" x14ac:dyDescent="0.45">
      <c r="I759" t="s">
        <v>179</v>
      </c>
      <c r="J759" t="s">
        <v>254</v>
      </c>
      <c r="K759">
        <v>3.8354638190702438E-3</v>
      </c>
      <c r="L759" t="s">
        <v>161</v>
      </c>
      <c r="N759" t="s">
        <v>202</v>
      </c>
      <c r="O759" t="s">
        <v>254</v>
      </c>
      <c r="P759">
        <v>6.5553336472521009E-3</v>
      </c>
      <c r="Q759" t="s">
        <v>161</v>
      </c>
      <c r="S759" t="s">
        <v>224</v>
      </c>
      <c r="T759" t="s">
        <v>254</v>
      </c>
      <c r="U759">
        <v>6.2999004583928183E-3</v>
      </c>
      <c r="V759" t="s">
        <v>161</v>
      </c>
    </row>
    <row r="760" spans="9:22" x14ac:dyDescent="0.45">
      <c r="I760" t="s">
        <v>179</v>
      </c>
      <c r="J760" t="s">
        <v>270</v>
      </c>
      <c r="K760">
        <v>9.9841354589930609E-4</v>
      </c>
      <c r="L760" t="s">
        <v>161</v>
      </c>
      <c r="N760" t="s">
        <v>202</v>
      </c>
      <c r="O760" t="s">
        <v>270</v>
      </c>
      <c r="P760">
        <v>4.3908862010253888E-2</v>
      </c>
      <c r="Q760" t="s">
        <v>161</v>
      </c>
      <c r="S760" t="s">
        <v>224</v>
      </c>
      <c r="T760" t="s">
        <v>270</v>
      </c>
      <c r="U760">
        <v>3.7630992842303618E-2</v>
      </c>
      <c r="V760" t="s">
        <v>161</v>
      </c>
    </row>
    <row r="761" spans="9:22" x14ac:dyDescent="0.45">
      <c r="I761" t="s">
        <v>179</v>
      </c>
      <c r="J761" t="s">
        <v>255</v>
      </c>
      <c r="K761">
        <v>0</v>
      </c>
      <c r="L761" t="s">
        <v>161</v>
      </c>
      <c r="N761" t="s">
        <v>202</v>
      </c>
      <c r="O761" t="s">
        <v>255</v>
      </c>
      <c r="P761">
        <v>4.9656370954668343E-2</v>
      </c>
      <c r="Q761" t="s">
        <v>161</v>
      </c>
      <c r="S761" t="s">
        <v>224</v>
      </c>
      <c r="T761" t="s">
        <v>255</v>
      </c>
      <c r="U761">
        <v>5.01426417649838E-2</v>
      </c>
      <c r="V761" t="s">
        <v>161</v>
      </c>
    </row>
    <row r="762" spans="9:22" x14ac:dyDescent="0.45">
      <c r="I762" t="s">
        <v>179</v>
      </c>
      <c r="J762" t="s">
        <v>256</v>
      </c>
      <c r="K762">
        <v>8.8044303403390193E-5</v>
      </c>
      <c r="L762" t="s">
        <v>161</v>
      </c>
      <c r="N762" t="s">
        <v>202</v>
      </c>
      <c r="O762" t="s">
        <v>256</v>
      </c>
      <c r="P762">
        <v>5.8490161331015301E-3</v>
      </c>
      <c r="Q762" t="s">
        <v>161</v>
      </c>
      <c r="S762" t="s">
        <v>224</v>
      </c>
      <c r="T762" t="s">
        <v>256</v>
      </c>
      <c r="U762">
        <v>6.4131175943179207E-3</v>
      </c>
      <c r="V762" t="s">
        <v>161</v>
      </c>
    </row>
    <row r="763" spans="9:22" x14ac:dyDescent="0.45">
      <c r="I763" t="s">
        <v>179</v>
      </c>
      <c r="J763" t="s">
        <v>257</v>
      </c>
      <c r="K763">
        <v>2.8328689042900587E-2</v>
      </c>
      <c r="L763" t="s">
        <v>161</v>
      </c>
      <c r="N763" t="s">
        <v>202</v>
      </c>
      <c r="O763" t="s">
        <v>257</v>
      </c>
      <c r="P763">
        <v>3.8541823282938446E-2</v>
      </c>
      <c r="Q763" t="s">
        <v>161</v>
      </c>
      <c r="S763" t="s">
        <v>224</v>
      </c>
      <c r="T763" t="s">
        <v>257</v>
      </c>
      <c r="U763">
        <v>4.3449049142643831E-2</v>
      </c>
      <c r="V763" t="s">
        <v>161</v>
      </c>
    </row>
    <row r="764" spans="9:22" x14ac:dyDescent="0.45">
      <c r="I764" t="s">
        <v>179</v>
      </c>
      <c r="J764" t="s">
        <v>258</v>
      </c>
      <c r="K764">
        <v>1.9099478294241641E-3</v>
      </c>
      <c r="L764" t="s">
        <v>161</v>
      </c>
      <c r="N764" t="s">
        <v>202</v>
      </c>
      <c r="O764" t="s">
        <v>258</v>
      </c>
      <c r="P764">
        <v>6.2529711106497667E-3</v>
      </c>
      <c r="Q764" t="s">
        <v>161</v>
      </c>
      <c r="S764" t="s">
        <v>224</v>
      </c>
      <c r="T764" t="s">
        <v>258</v>
      </c>
      <c r="U764">
        <v>5.9929634008663822E-3</v>
      </c>
      <c r="V764" t="s">
        <v>161</v>
      </c>
    </row>
    <row r="765" spans="9:22" x14ac:dyDescent="0.45">
      <c r="I765" t="s">
        <v>179</v>
      </c>
      <c r="J765" t="s">
        <v>259</v>
      </c>
      <c r="K765">
        <v>0</v>
      </c>
      <c r="L765" t="s">
        <v>161</v>
      </c>
      <c r="N765" t="s">
        <v>202</v>
      </c>
      <c r="O765" t="s">
        <v>259</v>
      </c>
      <c r="P765">
        <v>6.4355224677808713E-3</v>
      </c>
      <c r="Q765" t="s">
        <v>161</v>
      </c>
      <c r="S765" t="s">
        <v>224</v>
      </c>
      <c r="T765" t="s">
        <v>259</v>
      </c>
      <c r="U765">
        <v>5.9696655774763973E-3</v>
      </c>
      <c r="V765" t="s">
        <v>161</v>
      </c>
    </row>
    <row r="766" spans="9:22" x14ac:dyDescent="0.45">
      <c r="I766" t="s">
        <v>179</v>
      </c>
      <c r="J766" t="s">
        <v>271</v>
      </c>
      <c r="K766">
        <v>0</v>
      </c>
      <c r="L766" t="s">
        <v>161</v>
      </c>
      <c r="N766" t="s">
        <v>202</v>
      </c>
      <c r="O766" t="s">
        <v>271</v>
      </c>
      <c r="P766">
        <v>4.0121846164765253E-2</v>
      </c>
      <c r="Q766" t="s">
        <v>161</v>
      </c>
      <c r="S766" t="s">
        <v>224</v>
      </c>
      <c r="T766" t="s">
        <v>271</v>
      </c>
      <c r="U766">
        <v>3.6134469702485898E-2</v>
      </c>
      <c r="V766" t="s">
        <v>161</v>
      </c>
    </row>
    <row r="767" spans="9:22" x14ac:dyDescent="0.45">
      <c r="I767" t="s">
        <v>179</v>
      </c>
      <c r="J767" t="s">
        <v>272</v>
      </c>
      <c r="K767">
        <v>0</v>
      </c>
      <c r="L767" t="s">
        <v>161</v>
      </c>
      <c r="N767" t="s">
        <v>202</v>
      </c>
      <c r="O767" t="s">
        <v>272</v>
      </c>
      <c r="P767">
        <v>2.1762460307095784E-2</v>
      </c>
      <c r="Q767" t="s">
        <v>161</v>
      </c>
      <c r="S767" t="s">
        <v>224</v>
      </c>
      <c r="T767" t="s">
        <v>272</v>
      </c>
      <c r="U767">
        <v>1.6182290560220722E-2</v>
      </c>
      <c r="V767" t="s">
        <v>161</v>
      </c>
    </row>
    <row r="768" spans="9:22" x14ac:dyDescent="0.45">
      <c r="I768" t="s">
        <v>179</v>
      </c>
      <c r="J768" t="s">
        <v>273</v>
      </c>
      <c r="K768">
        <v>0</v>
      </c>
      <c r="L768" t="s">
        <v>161</v>
      </c>
      <c r="N768" t="s">
        <v>202</v>
      </c>
      <c r="O768" t="s">
        <v>273</v>
      </c>
      <c r="P768">
        <v>2.551271451698563E-3</v>
      </c>
      <c r="Q768" t="s">
        <v>161</v>
      </c>
      <c r="S768" t="s">
        <v>224</v>
      </c>
      <c r="T768" t="s">
        <v>273</v>
      </c>
      <c r="U768">
        <v>2.1593201432176645E-3</v>
      </c>
      <c r="V768" t="s">
        <v>161</v>
      </c>
    </row>
    <row r="769" spans="9:22" x14ac:dyDescent="0.45">
      <c r="I769" t="s">
        <v>179</v>
      </c>
      <c r="J769" t="s">
        <v>274</v>
      </c>
      <c r="K769">
        <v>3.8572017119922314E-3</v>
      </c>
      <c r="L769" t="s">
        <v>161</v>
      </c>
      <c r="N769" t="s">
        <v>202</v>
      </c>
      <c r="O769" t="s">
        <v>274</v>
      </c>
      <c r="P769">
        <v>1.4983378984886294E-2</v>
      </c>
      <c r="Q769" t="s">
        <v>161</v>
      </c>
      <c r="S769" t="s">
        <v>224</v>
      </c>
      <c r="T769" t="s">
        <v>274</v>
      </c>
      <c r="U769">
        <v>1.3852797808515966E-2</v>
      </c>
      <c r="V769" t="s">
        <v>161</v>
      </c>
    </row>
    <row r="770" spans="9:22" x14ac:dyDescent="0.45">
      <c r="I770" t="s">
        <v>179</v>
      </c>
      <c r="J770" t="s">
        <v>275</v>
      </c>
      <c r="K770">
        <v>1.2009218858096187E-4</v>
      </c>
      <c r="L770" t="s">
        <v>161</v>
      </c>
      <c r="N770" t="s">
        <v>202</v>
      </c>
      <c r="O770" t="s">
        <v>275</v>
      </c>
      <c r="P770">
        <v>2.1477954859363399E-3</v>
      </c>
      <c r="Q770" t="s">
        <v>161</v>
      </c>
      <c r="S770" t="s">
        <v>224</v>
      </c>
      <c r="T770" t="s">
        <v>275</v>
      </c>
      <c r="U770">
        <v>1.8726714500304029E-3</v>
      </c>
      <c r="V770" t="s">
        <v>161</v>
      </c>
    </row>
    <row r="771" spans="9:22" x14ac:dyDescent="0.45">
      <c r="I771" t="s">
        <v>179</v>
      </c>
      <c r="J771" t="s">
        <v>276</v>
      </c>
      <c r="K771">
        <v>0</v>
      </c>
      <c r="L771" t="s">
        <v>161</v>
      </c>
      <c r="N771" t="s">
        <v>202</v>
      </c>
      <c r="O771" t="s">
        <v>276</v>
      </c>
      <c r="P771">
        <v>2.2328497544143082E-3</v>
      </c>
      <c r="Q771" t="s">
        <v>161</v>
      </c>
      <c r="S771" t="s">
        <v>224</v>
      </c>
      <c r="T771" t="s">
        <v>276</v>
      </c>
      <c r="U771">
        <v>1.8621763762248274E-3</v>
      </c>
      <c r="V771" t="s">
        <v>161</v>
      </c>
    </row>
    <row r="772" spans="9:22" x14ac:dyDescent="0.45">
      <c r="I772" t="s">
        <v>179</v>
      </c>
      <c r="J772" t="s">
        <v>277</v>
      </c>
      <c r="K772">
        <v>0</v>
      </c>
      <c r="L772" t="s">
        <v>161</v>
      </c>
      <c r="N772" t="s">
        <v>202</v>
      </c>
      <c r="O772" t="s">
        <v>277</v>
      </c>
      <c r="P772">
        <v>1.4592397916639955E-2</v>
      </c>
      <c r="Q772" t="s">
        <v>161</v>
      </c>
      <c r="S772" t="s">
        <v>224</v>
      </c>
      <c r="T772" t="s">
        <v>277</v>
      </c>
      <c r="U772">
        <v>1.0886214281160747E-2</v>
      </c>
      <c r="V772" t="s">
        <v>161</v>
      </c>
    </row>
    <row r="773" spans="9:22" x14ac:dyDescent="0.45">
      <c r="I773" t="s">
        <v>179</v>
      </c>
      <c r="J773" t="s">
        <v>278</v>
      </c>
      <c r="K773">
        <v>0</v>
      </c>
      <c r="L773" t="s">
        <v>161</v>
      </c>
      <c r="N773" t="s">
        <v>202</v>
      </c>
      <c r="O773" t="s">
        <v>278</v>
      </c>
      <c r="P773">
        <v>9.6324268562207986E-3</v>
      </c>
      <c r="Q773" t="s">
        <v>161</v>
      </c>
      <c r="S773" t="s">
        <v>224</v>
      </c>
      <c r="T773" t="s">
        <v>278</v>
      </c>
      <c r="U773">
        <v>6.6244278258581531E-3</v>
      </c>
      <c r="V773" t="s">
        <v>161</v>
      </c>
    </row>
    <row r="774" spans="9:22" x14ac:dyDescent="0.45">
      <c r="I774" t="s">
        <v>179</v>
      </c>
      <c r="J774" t="s">
        <v>279</v>
      </c>
      <c r="K774">
        <v>0</v>
      </c>
      <c r="L774" t="s">
        <v>161</v>
      </c>
      <c r="N774" t="s">
        <v>202</v>
      </c>
      <c r="O774" t="s">
        <v>279</v>
      </c>
      <c r="P774">
        <v>1.3075007102824711E-3</v>
      </c>
      <c r="Q774" t="s">
        <v>161</v>
      </c>
      <c r="S774" t="s">
        <v>224</v>
      </c>
      <c r="T774" t="s">
        <v>279</v>
      </c>
      <c r="U774">
        <v>8.3935936801812219E-4</v>
      </c>
      <c r="V774" t="s">
        <v>161</v>
      </c>
    </row>
    <row r="775" spans="9:22" x14ac:dyDescent="0.45">
      <c r="I775" t="s">
        <v>179</v>
      </c>
      <c r="J775" t="s">
        <v>280</v>
      </c>
      <c r="K775">
        <v>3.1514726952607147E-3</v>
      </c>
      <c r="L775" t="s">
        <v>161</v>
      </c>
      <c r="N775" t="s">
        <v>202</v>
      </c>
      <c r="O775" t="s">
        <v>280</v>
      </c>
      <c r="P775">
        <v>7.9957941922306972E-3</v>
      </c>
      <c r="Q775" t="s">
        <v>161</v>
      </c>
      <c r="S775" t="s">
        <v>224</v>
      </c>
      <c r="T775" t="s">
        <v>280</v>
      </c>
      <c r="U775">
        <v>6.8420138056858159E-3</v>
      </c>
      <c r="V775" t="s">
        <v>161</v>
      </c>
    </row>
    <row r="776" spans="9:22" x14ac:dyDescent="0.45">
      <c r="I776" t="s">
        <v>179</v>
      </c>
      <c r="J776" t="s">
        <v>281</v>
      </c>
      <c r="K776">
        <v>2.9126362769765161E-4</v>
      </c>
      <c r="L776" t="s">
        <v>161</v>
      </c>
      <c r="N776" t="s">
        <v>202</v>
      </c>
      <c r="O776" t="s">
        <v>281</v>
      </c>
      <c r="P776">
        <v>1.1519654041183022E-3</v>
      </c>
      <c r="Q776" t="s">
        <v>161</v>
      </c>
      <c r="S776" t="s">
        <v>224</v>
      </c>
      <c r="T776" t="s">
        <v>281</v>
      </c>
      <c r="U776">
        <v>1.1694323557915848E-3</v>
      </c>
      <c r="V776" t="s">
        <v>161</v>
      </c>
    </row>
    <row r="777" spans="9:22" x14ac:dyDescent="0.45">
      <c r="I777" t="s">
        <v>179</v>
      </c>
      <c r="J777" t="s">
        <v>282</v>
      </c>
      <c r="K777">
        <v>0</v>
      </c>
      <c r="L777" t="s">
        <v>161</v>
      </c>
      <c r="N777" t="s">
        <v>202</v>
      </c>
      <c r="O777" t="s">
        <v>282</v>
      </c>
      <c r="P777">
        <v>1.200222769821607E-3</v>
      </c>
      <c r="Q777" t="s">
        <v>161</v>
      </c>
      <c r="S777" t="s">
        <v>224</v>
      </c>
      <c r="T777" t="s">
        <v>282</v>
      </c>
      <c r="U777">
        <v>1.1941046188676566E-3</v>
      </c>
      <c r="V777" t="s">
        <v>161</v>
      </c>
    </row>
    <row r="778" spans="9:22" x14ac:dyDescent="0.45">
      <c r="I778" t="s">
        <v>179</v>
      </c>
      <c r="J778" t="s">
        <v>283</v>
      </c>
      <c r="K778">
        <v>0</v>
      </c>
      <c r="L778" t="s">
        <v>161</v>
      </c>
      <c r="N778" t="s">
        <v>202</v>
      </c>
      <c r="O778" t="s">
        <v>283</v>
      </c>
      <c r="P778">
        <v>7.3859171497671298E-3</v>
      </c>
      <c r="Q778" t="s">
        <v>161</v>
      </c>
      <c r="S778" t="s">
        <v>224</v>
      </c>
      <c r="T778" t="s">
        <v>283</v>
      </c>
      <c r="U778">
        <v>7.013817093500541E-3</v>
      </c>
      <c r="V778" t="s">
        <v>161</v>
      </c>
    </row>
    <row r="779" spans="9:22" x14ac:dyDescent="0.45">
      <c r="I779" t="s">
        <v>180</v>
      </c>
      <c r="J779" t="s">
        <v>160</v>
      </c>
      <c r="K779">
        <v>0</v>
      </c>
      <c r="L779" t="s">
        <v>161</v>
      </c>
      <c r="N779" t="s">
        <v>203</v>
      </c>
      <c r="O779" t="s">
        <v>160</v>
      </c>
      <c r="P779">
        <v>7.5768272828599992E-2</v>
      </c>
      <c r="Q779" t="s">
        <v>161</v>
      </c>
      <c r="S779" t="s">
        <v>225</v>
      </c>
      <c r="T779" t="s">
        <v>160</v>
      </c>
      <c r="U779">
        <v>7.6120136856745485E-2</v>
      </c>
      <c r="V779" t="s">
        <v>161</v>
      </c>
    </row>
    <row r="780" spans="9:22" x14ac:dyDescent="0.45">
      <c r="I780" t="s">
        <v>180</v>
      </c>
      <c r="J780" t="s">
        <v>162</v>
      </c>
      <c r="K780">
        <v>2.7613287840416233E-3</v>
      </c>
      <c r="L780" t="s">
        <v>161</v>
      </c>
      <c r="N780" t="s">
        <v>203</v>
      </c>
      <c r="O780" t="s">
        <v>162</v>
      </c>
      <c r="P780">
        <v>9.3318047324287175E-3</v>
      </c>
      <c r="Q780" t="s">
        <v>161</v>
      </c>
      <c r="S780" t="s">
        <v>225</v>
      </c>
      <c r="T780" t="s">
        <v>162</v>
      </c>
      <c r="U780">
        <v>9.8051180940596297E-3</v>
      </c>
      <c r="V780" t="s">
        <v>161</v>
      </c>
    </row>
    <row r="781" spans="9:22" x14ac:dyDescent="0.45">
      <c r="I781" t="s">
        <v>180</v>
      </c>
      <c r="J781" t="s">
        <v>163</v>
      </c>
      <c r="K781">
        <v>8.2970390165934146E-2</v>
      </c>
      <c r="L781" t="s">
        <v>161</v>
      </c>
      <c r="N781" t="s">
        <v>203</v>
      </c>
      <c r="O781" t="s">
        <v>163</v>
      </c>
      <c r="P781">
        <v>6.2281091725761697E-2</v>
      </c>
      <c r="Q781" t="s">
        <v>161</v>
      </c>
      <c r="S781" t="s">
        <v>225</v>
      </c>
      <c r="T781" t="s">
        <v>163</v>
      </c>
      <c r="U781">
        <v>6.3810103525076156E-2</v>
      </c>
      <c r="V781" t="s">
        <v>161</v>
      </c>
    </row>
    <row r="782" spans="9:22" x14ac:dyDescent="0.45">
      <c r="I782" t="s">
        <v>180</v>
      </c>
      <c r="J782" t="s">
        <v>242</v>
      </c>
      <c r="K782">
        <v>9.9796541437878351E-3</v>
      </c>
      <c r="L782" t="s">
        <v>161</v>
      </c>
      <c r="N782" t="s">
        <v>203</v>
      </c>
      <c r="O782" t="s">
        <v>242</v>
      </c>
      <c r="P782">
        <v>8.8928206912009221E-3</v>
      </c>
      <c r="Q782" t="s">
        <v>161</v>
      </c>
      <c r="S782" t="s">
        <v>225</v>
      </c>
      <c r="T782" t="s">
        <v>242</v>
      </c>
      <c r="U782">
        <v>8.9082035051062415E-3</v>
      </c>
      <c r="V782" t="s">
        <v>161</v>
      </c>
    </row>
    <row r="783" spans="9:22" x14ac:dyDescent="0.45">
      <c r="I783" t="s">
        <v>180</v>
      </c>
      <c r="J783" t="s">
        <v>243</v>
      </c>
      <c r="K783">
        <v>5.6983786071114189E-3</v>
      </c>
      <c r="L783" t="s">
        <v>161</v>
      </c>
      <c r="N783" t="s">
        <v>203</v>
      </c>
      <c r="O783" t="s">
        <v>243</v>
      </c>
      <c r="P783">
        <v>9.163305068079915E-3</v>
      </c>
      <c r="Q783" t="s">
        <v>161</v>
      </c>
      <c r="S783" t="s">
        <v>225</v>
      </c>
      <c r="T783" t="s">
        <v>243</v>
      </c>
      <c r="U783">
        <v>9.1048900748888079E-3</v>
      </c>
      <c r="V783" t="s">
        <v>161</v>
      </c>
    </row>
    <row r="784" spans="9:22" x14ac:dyDescent="0.45">
      <c r="I784" t="s">
        <v>180</v>
      </c>
      <c r="J784" t="s">
        <v>266</v>
      </c>
      <c r="K784">
        <v>2.0297816228181547E-3</v>
      </c>
      <c r="L784" t="s">
        <v>161</v>
      </c>
      <c r="N784" t="s">
        <v>203</v>
      </c>
      <c r="O784" t="s">
        <v>266</v>
      </c>
      <c r="P784">
        <v>5.6438660231535639E-2</v>
      </c>
      <c r="Q784" t="s">
        <v>161</v>
      </c>
      <c r="S784" t="s">
        <v>225</v>
      </c>
      <c r="T784" t="s">
        <v>266</v>
      </c>
      <c r="U784">
        <v>5.6950272263955035E-2</v>
      </c>
      <c r="V784" t="s">
        <v>161</v>
      </c>
    </row>
    <row r="785" spans="9:22" x14ac:dyDescent="0.45">
      <c r="I785" t="s">
        <v>180</v>
      </c>
      <c r="J785" t="s">
        <v>311</v>
      </c>
      <c r="K785">
        <v>0</v>
      </c>
      <c r="L785" t="s">
        <v>161</v>
      </c>
      <c r="N785" t="s">
        <v>203</v>
      </c>
      <c r="O785" t="s">
        <v>311</v>
      </c>
      <c r="P785">
        <v>1.2855761850888429E-5</v>
      </c>
      <c r="Q785" t="s">
        <v>161</v>
      </c>
      <c r="S785" t="s">
        <v>225</v>
      </c>
      <c r="T785" t="s">
        <v>311</v>
      </c>
      <c r="U785">
        <v>8.0099013377511592E-6</v>
      </c>
      <c r="V785" t="s">
        <v>161</v>
      </c>
    </row>
    <row r="786" spans="9:22" x14ac:dyDescent="0.45">
      <c r="I786" t="s">
        <v>180</v>
      </c>
      <c r="J786" t="s">
        <v>312</v>
      </c>
      <c r="K786">
        <v>0</v>
      </c>
      <c r="L786" t="s">
        <v>161</v>
      </c>
      <c r="N786" t="s">
        <v>203</v>
      </c>
      <c r="O786" t="s">
        <v>312</v>
      </c>
      <c r="P786">
        <v>1.0563533536870995E-5</v>
      </c>
      <c r="Q786" t="s">
        <v>161</v>
      </c>
      <c r="S786" t="s">
        <v>225</v>
      </c>
      <c r="T786" t="s">
        <v>312</v>
      </c>
      <c r="U786">
        <v>6.7259374197007535E-6</v>
      </c>
      <c r="V786" t="s">
        <v>161</v>
      </c>
    </row>
    <row r="787" spans="9:22" x14ac:dyDescent="0.45">
      <c r="I787" t="s">
        <v>180</v>
      </c>
      <c r="J787" t="s">
        <v>313</v>
      </c>
      <c r="K787">
        <v>0</v>
      </c>
      <c r="L787" t="s">
        <v>161</v>
      </c>
      <c r="N787" t="s">
        <v>203</v>
      </c>
      <c r="O787" t="s">
        <v>313</v>
      </c>
      <c r="P787">
        <v>8.8667718376151185E-6</v>
      </c>
      <c r="Q787" t="s">
        <v>161</v>
      </c>
      <c r="S787" t="s">
        <v>225</v>
      </c>
      <c r="T787" t="s">
        <v>313</v>
      </c>
      <c r="U787">
        <v>6.1572521836293169E-6</v>
      </c>
      <c r="V787" t="s">
        <v>161</v>
      </c>
    </row>
    <row r="788" spans="9:22" x14ac:dyDescent="0.45">
      <c r="I788" t="s">
        <v>180</v>
      </c>
      <c r="J788" t="s">
        <v>314</v>
      </c>
      <c r="K788">
        <v>0</v>
      </c>
      <c r="L788" t="s">
        <v>161</v>
      </c>
      <c r="N788" t="s">
        <v>203</v>
      </c>
      <c r="O788" t="s">
        <v>314</v>
      </c>
      <c r="P788">
        <v>6.989346961259052E-6</v>
      </c>
      <c r="Q788" t="s">
        <v>161</v>
      </c>
      <c r="S788" t="s">
        <v>225</v>
      </c>
      <c r="T788" t="s">
        <v>314</v>
      </c>
      <c r="U788">
        <v>2.7563384512584336E-6</v>
      </c>
      <c r="V788" t="s">
        <v>161</v>
      </c>
    </row>
    <row r="789" spans="9:22" x14ac:dyDescent="0.45">
      <c r="I789" t="s">
        <v>180</v>
      </c>
      <c r="J789" t="s">
        <v>315</v>
      </c>
      <c r="K789">
        <v>0</v>
      </c>
      <c r="L789" t="s">
        <v>161</v>
      </c>
      <c r="N789" t="s">
        <v>203</v>
      </c>
      <c r="O789" t="s">
        <v>315</v>
      </c>
      <c r="P789">
        <v>8.1230896386270721E-6</v>
      </c>
      <c r="Q789" t="s">
        <v>161</v>
      </c>
      <c r="S789" t="s">
        <v>225</v>
      </c>
      <c r="T789" t="s">
        <v>315</v>
      </c>
      <c r="U789">
        <v>1.2744363927438441E-6</v>
      </c>
      <c r="V789" t="s">
        <v>161</v>
      </c>
    </row>
    <row r="790" spans="9:22" x14ac:dyDescent="0.45">
      <c r="I790" t="s">
        <v>180</v>
      </c>
      <c r="J790" t="s">
        <v>316</v>
      </c>
      <c r="K790">
        <v>0</v>
      </c>
      <c r="L790" t="s">
        <v>161</v>
      </c>
      <c r="N790" t="s">
        <v>203</v>
      </c>
      <c r="O790" t="s">
        <v>316</v>
      </c>
      <c r="P790">
        <v>6.8221686856749026E-6</v>
      </c>
      <c r="Q790" t="s">
        <v>161</v>
      </c>
      <c r="S790" t="s">
        <v>225</v>
      </c>
      <c r="T790" t="s">
        <v>316</v>
      </c>
      <c r="U790">
        <v>1.1090769604737408E-6</v>
      </c>
      <c r="V790" t="s">
        <v>161</v>
      </c>
    </row>
    <row r="791" spans="9:22" x14ac:dyDescent="0.45">
      <c r="I791" t="s">
        <v>180</v>
      </c>
      <c r="J791" t="s">
        <v>317</v>
      </c>
      <c r="K791">
        <v>0</v>
      </c>
      <c r="L791" t="s">
        <v>161</v>
      </c>
      <c r="N791" t="s">
        <v>203</v>
      </c>
      <c r="O791" t="s">
        <v>317</v>
      </c>
      <c r="P791">
        <v>4.6917275580114914E-6</v>
      </c>
      <c r="Q791" t="s">
        <v>161</v>
      </c>
      <c r="S791" t="s">
        <v>225</v>
      </c>
      <c r="T791" t="s">
        <v>317</v>
      </c>
      <c r="U791">
        <v>2.8851959430486791E-7</v>
      </c>
      <c r="V791" t="s">
        <v>161</v>
      </c>
    </row>
    <row r="792" spans="9:22" x14ac:dyDescent="0.45">
      <c r="I792" t="s">
        <v>180</v>
      </c>
      <c r="J792" t="s">
        <v>318</v>
      </c>
      <c r="K792">
        <v>0</v>
      </c>
      <c r="L792" t="s">
        <v>161</v>
      </c>
      <c r="N792" t="s">
        <v>203</v>
      </c>
      <c r="O792" t="s">
        <v>318</v>
      </c>
      <c r="P792">
        <v>4.2126413447901684E-6</v>
      </c>
      <c r="Q792" t="s">
        <v>161</v>
      </c>
      <c r="S792" t="s">
        <v>225</v>
      </c>
      <c r="T792" t="s">
        <v>318</v>
      </c>
      <c r="U792">
        <v>0</v>
      </c>
      <c r="V792" t="s">
        <v>161</v>
      </c>
    </row>
    <row r="793" spans="9:22" x14ac:dyDescent="0.45">
      <c r="I793" t="s">
        <v>180</v>
      </c>
      <c r="J793" t="s">
        <v>319</v>
      </c>
      <c r="K793">
        <v>0</v>
      </c>
      <c r="L793" t="s">
        <v>161</v>
      </c>
      <c r="N793" t="s">
        <v>203</v>
      </c>
      <c r="O793" t="s">
        <v>319</v>
      </c>
      <c r="P793">
        <v>5.3673792403865637E-7</v>
      </c>
      <c r="Q793" t="s">
        <v>161</v>
      </c>
      <c r="S793" t="s">
        <v>225</v>
      </c>
      <c r="T793" t="s">
        <v>319</v>
      </c>
      <c r="U793">
        <v>0</v>
      </c>
      <c r="V793" t="s">
        <v>161</v>
      </c>
    </row>
    <row r="794" spans="9:22" x14ac:dyDescent="0.45">
      <c r="I794" t="s">
        <v>180</v>
      </c>
      <c r="J794" t="s">
        <v>320</v>
      </c>
      <c r="K794">
        <v>6.1664736642466045E-5</v>
      </c>
      <c r="L794" t="s">
        <v>161</v>
      </c>
      <c r="N794" t="s">
        <v>203</v>
      </c>
      <c r="O794" t="s">
        <v>320</v>
      </c>
      <c r="P794">
        <v>9.9544218870315757E-8</v>
      </c>
      <c r="Q794" t="s">
        <v>161</v>
      </c>
      <c r="S794" t="s">
        <v>225</v>
      </c>
      <c r="T794" t="s">
        <v>320</v>
      </c>
      <c r="U794">
        <v>0</v>
      </c>
      <c r="V794" t="s">
        <v>161</v>
      </c>
    </row>
    <row r="795" spans="9:22" x14ac:dyDescent="0.45">
      <c r="I795" t="s">
        <v>180</v>
      </c>
      <c r="J795" t="s">
        <v>321</v>
      </c>
      <c r="K795">
        <v>1.0870725573451851E-4</v>
      </c>
      <c r="L795" t="s">
        <v>161</v>
      </c>
      <c r="N795" t="s">
        <v>203</v>
      </c>
      <c r="O795" t="s">
        <v>321</v>
      </c>
      <c r="P795">
        <v>1.3463170932661039E-7</v>
      </c>
      <c r="Q795" t="s">
        <v>161</v>
      </c>
      <c r="S795" t="s">
        <v>225</v>
      </c>
      <c r="T795" t="s">
        <v>321</v>
      </c>
      <c r="U795">
        <v>0</v>
      </c>
      <c r="V795" t="s">
        <v>161</v>
      </c>
    </row>
    <row r="796" spans="9:22" x14ac:dyDescent="0.45">
      <c r="I796" t="s">
        <v>180</v>
      </c>
      <c r="J796" t="s">
        <v>322</v>
      </c>
      <c r="K796">
        <v>1.5794786302991755E-4</v>
      </c>
      <c r="L796" t="s">
        <v>161</v>
      </c>
      <c r="N796" t="s">
        <v>203</v>
      </c>
      <c r="O796" t="s">
        <v>322</v>
      </c>
      <c r="P796">
        <v>1.2368989207120193E-7</v>
      </c>
      <c r="Q796" t="s">
        <v>161</v>
      </c>
      <c r="S796" t="s">
        <v>225</v>
      </c>
      <c r="T796" t="s">
        <v>322</v>
      </c>
      <c r="U796">
        <v>0</v>
      </c>
      <c r="V796" t="s">
        <v>161</v>
      </c>
    </row>
    <row r="797" spans="9:22" x14ac:dyDescent="0.45">
      <c r="I797" t="s">
        <v>180</v>
      </c>
      <c r="J797" t="s">
        <v>323</v>
      </c>
      <c r="K797">
        <v>2.0484514384697905E-4</v>
      </c>
      <c r="L797" t="s">
        <v>161</v>
      </c>
      <c r="N797" t="s">
        <v>203</v>
      </c>
      <c r="O797" t="s">
        <v>323</v>
      </c>
      <c r="P797">
        <v>1.1135697012821426E-7</v>
      </c>
      <c r="Q797" t="s">
        <v>161</v>
      </c>
      <c r="S797" t="s">
        <v>225</v>
      </c>
      <c r="T797" t="s">
        <v>323</v>
      </c>
      <c r="U797">
        <v>0</v>
      </c>
      <c r="V797" t="s">
        <v>161</v>
      </c>
    </row>
    <row r="798" spans="9:22" x14ac:dyDescent="0.45">
      <c r="I798" t="s">
        <v>180</v>
      </c>
      <c r="J798" t="s">
        <v>324</v>
      </c>
      <c r="K798">
        <v>1.8952404315050823E-4</v>
      </c>
      <c r="L798" t="s">
        <v>161</v>
      </c>
      <c r="N798" t="s">
        <v>203</v>
      </c>
      <c r="O798" t="s">
        <v>324</v>
      </c>
      <c r="P798">
        <v>1.1375496603016823E-7</v>
      </c>
      <c r="Q798" t="s">
        <v>161</v>
      </c>
      <c r="S798" t="s">
        <v>225</v>
      </c>
      <c r="T798" t="s">
        <v>324</v>
      </c>
      <c r="U798">
        <v>0</v>
      </c>
      <c r="V798" t="s">
        <v>161</v>
      </c>
    </row>
    <row r="799" spans="9:22" x14ac:dyDescent="0.45">
      <c r="I799" t="s">
        <v>180</v>
      </c>
      <c r="J799" t="s">
        <v>325</v>
      </c>
      <c r="K799">
        <v>2.1392162059592648E-4</v>
      </c>
      <c r="L799" t="s">
        <v>161</v>
      </c>
      <c r="N799" t="s">
        <v>203</v>
      </c>
      <c r="O799" t="s">
        <v>325</v>
      </c>
      <c r="P799">
        <v>1.7196910456743947E-7</v>
      </c>
      <c r="Q799" t="s">
        <v>161</v>
      </c>
      <c r="S799" t="s">
        <v>225</v>
      </c>
      <c r="T799" t="s">
        <v>325</v>
      </c>
      <c r="U799">
        <v>0</v>
      </c>
      <c r="V799" t="s">
        <v>161</v>
      </c>
    </row>
    <row r="800" spans="9:22" x14ac:dyDescent="0.45">
      <c r="I800" t="s">
        <v>180</v>
      </c>
      <c r="J800" t="s">
        <v>326</v>
      </c>
      <c r="K800">
        <v>2.0405367625899056E-4</v>
      </c>
      <c r="L800" t="s">
        <v>161</v>
      </c>
      <c r="N800" t="s">
        <v>203</v>
      </c>
      <c r="O800" t="s">
        <v>326</v>
      </c>
      <c r="P800">
        <v>3.3728902109523919E-7</v>
      </c>
      <c r="Q800" t="s">
        <v>161</v>
      </c>
      <c r="S800" t="s">
        <v>225</v>
      </c>
      <c r="T800" t="s">
        <v>326</v>
      </c>
      <c r="U800">
        <v>0</v>
      </c>
      <c r="V800" t="s">
        <v>161</v>
      </c>
    </row>
    <row r="801" spans="9:22" x14ac:dyDescent="0.45">
      <c r="I801" t="s">
        <v>180</v>
      </c>
      <c r="J801" t="s">
        <v>327</v>
      </c>
      <c r="K801">
        <v>1.8221265009703226E-4</v>
      </c>
      <c r="L801" t="s">
        <v>161</v>
      </c>
      <c r="N801" t="s">
        <v>203</v>
      </c>
      <c r="O801" t="s">
        <v>327</v>
      </c>
      <c r="P801">
        <v>2.5601046922973229E-6</v>
      </c>
      <c r="Q801" t="s">
        <v>161</v>
      </c>
      <c r="S801" t="s">
        <v>225</v>
      </c>
      <c r="T801" t="s">
        <v>327</v>
      </c>
      <c r="U801">
        <v>0</v>
      </c>
      <c r="V801" t="s">
        <v>161</v>
      </c>
    </row>
    <row r="802" spans="9:22" x14ac:dyDescent="0.45">
      <c r="I802" t="s">
        <v>180</v>
      </c>
      <c r="J802" t="s">
        <v>328</v>
      </c>
      <c r="K802">
        <v>9.5318091844503612E-5</v>
      </c>
      <c r="L802" t="s">
        <v>161</v>
      </c>
      <c r="N802" t="s">
        <v>203</v>
      </c>
      <c r="O802" t="s">
        <v>328</v>
      </c>
      <c r="P802">
        <v>5.7033932934294394E-6</v>
      </c>
      <c r="Q802" t="s">
        <v>161</v>
      </c>
      <c r="S802" t="s">
        <v>225</v>
      </c>
      <c r="T802" t="s">
        <v>328</v>
      </c>
      <c r="U802">
        <v>0</v>
      </c>
      <c r="V802" t="s">
        <v>161</v>
      </c>
    </row>
    <row r="803" spans="9:22" x14ac:dyDescent="0.45">
      <c r="I803" t="s">
        <v>180</v>
      </c>
      <c r="J803" t="s">
        <v>329</v>
      </c>
      <c r="K803">
        <v>0</v>
      </c>
      <c r="L803" t="s">
        <v>161</v>
      </c>
      <c r="N803" t="s">
        <v>203</v>
      </c>
      <c r="O803" t="s">
        <v>329</v>
      </c>
      <c r="P803">
        <v>1.1390370824012194E-5</v>
      </c>
      <c r="Q803" t="s">
        <v>161</v>
      </c>
      <c r="S803" t="s">
        <v>225</v>
      </c>
      <c r="T803" t="s">
        <v>329</v>
      </c>
      <c r="U803">
        <v>0</v>
      </c>
      <c r="V803" t="s">
        <v>161</v>
      </c>
    </row>
    <row r="804" spans="9:22" x14ac:dyDescent="0.45">
      <c r="I804" t="s">
        <v>180</v>
      </c>
      <c r="J804" t="s">
        <v>330</v>
      </c>
      <c r="K804">
        <v>0</v>
      </c>
      <c r="L804" t="s">
        <v>161</v>
      </c>
      <c r="N804" t="s">
        <v>203</v>
      </c>
      <c r="O804" t="s">
        <v>330</v>
      </c>
      <c r="P804">
        <v>1.8982944657522459E-5</v>
      </c>
      <c r="Q804" t="s">
        <v>161</v>
      </c>
      <c r="S804" t="s">
        <v>225</v>
      </c>
      <c r="T804" t="s">
        <v>330</v>
      </c>
      <c r="U804">
        <v>0</v>
      </c>
      <c r="V804" t="s">
        <v>161</v>
      </c>
    </row>
    <row r="805" spans="9:22" x14ac:dyDescent="0.45">
      <c r="I805" t="s">
        <v>180</v>
      </c>
      <c r="J805" t="s">
        <v>331</v>
      </c>
      <c r="K805">
        <v>0</v>
      </c>
      <c r="L805" t="s">
        <v>161</v>
      </c>
      <c r="N805" t="s">
        <v>203</v>
      </c>
      <c r="O805" t="s">
        <v>331</v>
      </c>
      <c r="P805">
        <v>1.9211302092852577E-5</v>
      </c>
      <c r="Q805" t="s">
        <v>161</v>
      </c>
      <c r="S805" t="s">
        <v>225</v>
      </c>
      <c r="T805" t="s">
        <v>331</v>
      </c>
      <c r="U805">
        <v>0</v>
      </c>
      <c r="V805" t="s">
        <v>161</v>
      </c>
    </row>
    <row r="806" spans="9:22" x14ac:dyDescent="0.45">
      <c r="I806" t="s">
        <v>180</v>
      </c>
      <c r="J806" t="s">
        <v>332</v>
      </c>
      <c r="K806">
        <v>0</v>
      </c>
      <c r="L806" t="s">
        <v>161</v>
      </c>
      <c r="N806" t="s">
        <v>203</v>
      </c>
      <c r="O806" t="s">
        <v>332</v>
      </c>
      <c r="P806">
        <v>1.4936028494873955E-5</v>
      </c>
      <c r="Q806" t="s">
        <v>161</v>
      </c>
      <c r="S806" t="s">
        <v>225</v>
      </c>
      <c r="T806" t="s">
        <v>332</v>
      </c>
      <c r="U806">
        <v>9.1680704647507462E-7</v>
      </c>
      <c r="V806" t="s">
        <v>161</v>
      </c>
    </row>
    <row r="807" spans="9:22" x14ac:dyDescent="0.45">
      <c r="I807" t="s">
        <v>180</v>
      </c>
      <c r="J807" t="s">
        <v>333</v>
      </c>
      <c r="K807">
        <v>0</v>
      </c>
      <c r="L807" t="s">
        <v>161</v>
      </c>
      <c r="N807" t="s">
        <v>203</v>
      </c>
      <c r="O807" t="s">
        <v>333</v>
      </c>
      <c r="P807">
        <v>3.9022553488813057E-6</v>
      </c>
      <c r="Q807" t="s">
        <v>161</v>
      </c>
      <c r="S807" t="s">
        <v>225</v>
      </c>
      <c r="T807" t="s">
        <v>333</v>
      </c>
      <c r="U807">
        <v>9.2004072294121814E-7</v>
      </c>
      <c r="V807" t="s">
        <v>161</v>
      </c>
    </row>
    <row r="808" spans="9:22" x14ac:dyDescent="0.45">
      <c r="I808" t="s">
        <v>180</v>
      </c>
      <c r="J808" t="s">
        <v>334</v>
      </c>
      <c r="K808">
        <v>0</v>
      </c>
      <c r="L808" t="s">
        <v>161</v>
      </c>
      <c r="N808" t="s">
        <v>203</v>
      </c>
      <c r="O808" t="s">
        <v>334</v>
      </c>
      <c r="P808">
        <v>1.422830593317208E-6</v>
      </c>
      <c r="Q808" t="s">
        <v>161</v>
      </c>
      <c r="S808" t="s">
        <v>225</v>
      </c>
      <c r="T808" t="s">
        <v>334</v>
      </c>
      <c r="U808">
        <v>4.2513738000141813E-6</v>
      </c>
      <c r="V808" t="s">
        <v>161</v>
      </c>
    </row>
    <row r="809" spans="9:22" x14ac:dyDescent="0.45">
      <c r="I809" t="s">
        <v>180</v>
      </c>
      <c r="J809" t="s">
        <v>164</v>
      </c>
      <c r="K809">
        <v>6.5949887284057779E-3</v>
      </c>
      <c r="L809" t="s">
        <v>161</v>
      </c>
      <c r="N809" t="s">
        <v>203</v>
      </c>
      <c r="O809" t="s">
        <v>164</v>
      </c>
      <c r="P809">
        <v>3.7857368192275913E-2</v>
      </c>
      <c r="Q809" t="s">
        <v>161</v>
      </c>
      <c r="S809" t="s">
        <v>225</v>
      </c>
      <c r="T809" t="s">
        <v>164</v>
      </c>
      <c r="U809">
        <v>3.5883129758386562E-2</v>
      </c>
      <c r="V809" t="s">
        <v>161</v>
      </c>
    </row>
    <row r="810" spans="9:22" x14ac:dyDescent="0.45">
      <c r="I810" t="s">
        <v>180</v>
      </c>
      <c r="J810" t="s">
        <v>165</v>
      </c>
      <c r="K810">
        <v>9.0163523010752498E-3</v>
      </c>
      <c r="L810" t="s">
        <v>161</v>
      </c>
      <c r="N810" t="s">
        <v>203</v>
      </c>
      <c r="O810" t="s">
        <v>165</v>
      </c>
      <c r="P810">
        <v>4.1380085103516207E-3</v>
      </c>
      <c r="Q810" t="s">
        <v>161</v>
      </c>
      <c r="S810" t="s">
        <v>225</v>
      </c>
      <c r="T810" t="s">
        <v>165</v>
      </c>
      <c r="U810">
        <v>4.4207389564032392E-3</v>
      </c>
      <c r="V810" t="s">
        <v>161</v>
      </c>
    </row>
    <row r="811" spans="9:22" x14ac:dyDescent="0.45">
      <c r="I811" t="s">
        <v>180</v>
      </c>
      <c r="J811" t="s">
        <v>166</v>
      </c>
      <c r="K811">
        <v>9.1996072688518143E-2</v>
      </c>
      <c r="L811" t="s">
        <v>161</v>
      </c>
      <c r="N811" t="s">
        <v>203</v>
      </c>
      <c r="O811" t="s">
        <v>166</v>
      </c>
      <c r="P811">
        <v>3.0414974021755952E-2</v>
      </c>
      <c r="Q811" t="s">
        <v>161</v>
      </c>
      <c r="S811" t="s">
        <v>225</v>
      </c>
      <c r="T811" t="s">
        <v>166</v>
      </c>
      <c r="U811">
        <v>3.2469639165871811E-2</v>
      </c>
      <c r="V811" t="s">
        <v>161</v>
      </c>
    </row>
    <row r="812" spans="9:22" x14ac:dyDescent="0.45">
      <c r="I812" t="s">
        <v>180</v>
      </c>
      <c r="J812" t="s">
        <v>244</v>
      </c>
      <c r="K812">
        <v>1.1251277774754861E-2</v>
      </c>
      <c r="L812" t="s">
        <v>161</v>
      </c>
      <c r="N812" t="s">
        <v>203</v>
      </c>
      <c r="O812" t="s">
        <v>244</v>
      </c>
      <c r="P812">
        <v>4.4219117886542909E-3</v>
      </c>
      <c r="Q812" t="s">
        <v>161</v>
      </c>
      <c r="S812" t="s">
        <v>225</v>
      </c>
      <c r="T812" t="s">
        <v>244</v>
      </c>
      <c r="U812">
        <v>4.8463965279573066E-3</v>
      </c>
      <c r="V812" t="s">
        <v>161</v>
      </c>
    </row>
    <row r="813" spans="9:22" x14ac:dyDescent="0.45">
      <c r="I813" t="s">
        <v>180</v>
      </c>
      <c r="J813" t="s">
        <v>245</v>
      </c>
      <c r="K813">
        <v>8.8979675418594199E-3</v>
      </c>
      <c r="L813" t="s">
        <v>161</v>
      </c>
      <c r="N813" t="s">
        <v>203</v>
      </c>
      <c r="O813" t="s">
        <v>245</v>
      </c>
      <c r="P813">
        <v>4.3239559627804465E-3</v>
      </c>
      <c r="Q813" t="s">
        <v>161</v>
      </c>
      <c r="S813" t="s">
        <v>225</v>
      </c>
      <c r="T813" t="s">
        <v>245</v>
      </c>
      <c r="U813">
        <v>4.7177947011892664E-3</v>
      </c>
      <c r="V813" t="s">
        <v>161</v>
      </c>
    </row>
    <row r="814" spans="9:22" x14ac:dyDescent="0.45">
      <c r="I814" t="s">
        <v>180</v>
      </c>
      <c r="J814" t="s">
        <v>267</v>
      </c>
      <c r="K814">
        <v>8.5896731608525942E-3</v>
      </c>
      <c r="L814" t="s">
        <v>161</v>
      </c>
      <c r="N814" t="s">
        <v>203</v>
      </c>
      <c r="O814" t="s">
        <v>267</v>
      </c>
      <c r="P814">
        <v>3.0106501543659504E-2</v>
      </c>
      <c r="Q814" t="s">
        <v>161</v>
      </c>
      <c r="S814" t="s">
        <v>225</v>
      </c>
      <c r="T814" t="s">
        <v>267</v>
      </c>
      <c r="U814">
        <v>2.8871683256583607E-2</v>
      </c>
      <c r="V814" t="s">
        <v>161</v>
      </c>
    </row>
    <row r="815" spans="9:22" x14ac:dyDescent="0.45">
      <c r="I815" t="s">
        <v>180</v>
      </c>
      <c r="J815" t="s">
        <v>167</v>
      </c>
      <c r="K815">
        <v>4.2316239700660521E-2</v>
      </c>
      <c r="L815" t="s">
        <v>161</v>
      </c>
      <c r="N815" t="s">
        <v>203</v>
      </c>
      <c r="O815" t="s">
        <v>167</v>
      </c>
      <c r="P815">
        <v>5.9682805009193152E-2</v>
      </c>
      <c r="Q815" t="s">
        <v>161</v>
      </c>
      <c r="S815" t="s">
        <v>225</v>
      </c>
      <c r="T815" t="s">
        <v>167</v>
      </c>
      <c r="U815">
        <v>6.5804261625036289E-2</v>
      </c>
      <c r="V815" t="s">
        <v>161</v>
      </c>
    </row>
    <row r="816" spans="9:22" x14ac:dyDescent="0.45">
      <c r="I816" t="s">
        <v>180</v>
      </c>
      <c r="J816" t="s">
        <v>168</v>
      </c>
      <c r="K816">
        <v>2.8542971075999964E-2</v>
      </c>
      <c r="L816" t="s">
        <v>161</v>
      </c>
      <c r="N816" t="s">
        <v>203</v>
      </c>
      <c r="O816" t="s">
        <v>168</v>
      </c>
      <c r="P816">
        <v>7.1631420226078088E-3</v>
      </c>
      <c r="Q816" t="s">
        <v>161</v>
      </c>
      <c r="S816" t="s">
        <v>225</v>
      </c>
      <c r="T816" t="s">
        <v>168</v>
      </c>
      <c r="U816">
        <v>7.6420187543346967E-3</v>
      </c>
      <c r="V816" t="s">
        <v>161</v>
      </c>
    </row>
    <row r="817" spans="9:22" x14ac:dyDescent="0.45">
      <c r="I817" t="s">
        <v>180</v>
      </c>
      <c r="J817" t="s">
        <v>169</v>
      </c>
      <c r="K817">
        <v>0.26686765880493951</v>
      </c>
      <c r="L817" t="s">
        <v>161</v>
      </c>
      <c r="N817" t="s">
        <v>203</v>
      </c>
      <c r="O817" t="s">
        <v>169</v>
      </c>
      <c r="P817">
        <v>5.3329697081351865E-2</v>
      </c>
      <c r="Q817" t="s">
        <v>161</v>
      </c>
      <c r="S817" t="s">
        <v>225</v>
      </c>
      <c r="T817" t="s">
        <v>169</v>
      </c>
      <c r="U817">
        <v>5.0392628833168973E-2</v>
      </c>
      <c r="V817" t="s">
        <v>161</v>
      </c>
    </row>
    <row r="818" spans="9:22" x14ac:dyDescent="0.45">
      <c r="I818" t="s">
        <v>180</v>
      </c>
      <c r="J818" t="s">
        <v>246</v>
      </c>
      <c r="K818">
        <v>3.5076080511339598E-2</v>
      </c>
      <c r="L818" t="s">
        <v>161</v>
      </c>
      <c r="N818" t="s">
        <v>203</v>
      </c>
      <c r="O818" t="s">
        <v>246</v>
      </c>
      <c r="P818">
        <v>7.755966810948158E-3</v>
      </c>
      <c r="Q818" t="s">
        <v>161</v>
      </c>
      <c r="S818" t="s">
        <v>225</v>
      </c>
      <c r="T818" t="s">
        <v>246</v>
      </c>
      <c r="U818">
        <v>7.5690113650769717E-3</v>
      </c>
      <c r="V818" t="s">
        <v>161</v>
      </c>
    </row>
    <row r="819" spans="9:22" x14ac:dyDescent="0.45">
      <c r="I819" t="s">
        <v>180</v>
      </c>
      <c r="J819" t="s">
        <v>247</v>
      </c>
      <c r="K819">
        <v>3.052426579156697E-2</v>
      </c>
      <c r="L819" t="s">
        <v>161</v>
      </c>
      <c r="N819" t="s">
        <v>203</v>
      </c>
      <c r="O819" t="s">
        <v>247</v>
      </c>
      <c r="P819">
        <v>7.1946572103575093E-3</v>
      </c>
      <c r="Q819" t="s">
        <v>161</v>
      </c>
      <c r="S819" t="s">
        <v>225</v>
      </c>
      <c r="T819" t="s">
        <v>247</v>
      </c>
      <c r="U819">
        <v>7.3862847142165391E-3</v>
      </c>
      <c r="V819" t="s">
        <v>161</v>
      </c>
    </row>
    <row r="820" spans="9:22" x14ac:dyDescent="0.45">
      <c r="I820" t="s">
        <v>180</v>
      </c>
      <c r="J820" t="s">
        <v>268</v>
      </c>
      <c r="K820">
        <v>4.8677377267686235E-2</v>
      </c>
      <c r="L820" t="s">
        <v>161</v>
      </c>
      <c r="N820" t="s">
        <v>203</v>
      </c>
      <c r="O820" t="s">
        <v>268</v>
      </c>
      <c r="P820">
        <v>4.7214572032830179E-2</v>
      </c>
      <c r="Q820" t="s">
        <v>161</v>
      </c>
      <c r="S820" t="s">
        <v>225</v>
      </c>
      <c r="T820" t="s">
        <v>268</v>
      </c>
      <c r="U820">
        <v>4.8320528803369948E-2</v>
      </c>
      <c r="V820" t="s">
        <v>161</v>
      </c>
    </row>
    <row r="821" spans="9:22" x14ac:dyDescent="0.45">
      <c r="I821" t="s">
        <v>180</v>
      </c>
      <c r="J821" t="s">
        <v>170</v>
      </c>
      <c r="K821">
        <v>1.1535651951310866E-2</v>
      </c>
      <c r="L821" t="s">
        <v>161</v>
      </c>
      <c r="N821" t="s">
        <v>203</v>
      </c>
      <c r="O821" t="s">
        <v>170</v>
      </c>
      <c r="P821">
        <v>3.6474227462614479E-2</v>
      </c>
      <c r="Q821" t="s">
        <v>161</v>
      </c>
      <c r="S821" t="s">
        <v>225</v>
      </c>
      <c r="T821" t="s">
        <v>170</v>
      </c>
      <c r="U821">
        <v>3.7157096710761693E-2</v>
      </c>
      <c r="V821" t="s">
        <v>161</v>
      </c>
    </row>
    <row r="822" spans="9:22" x14ac:dyDescent="0.45">
      <c r="I822" t="s">
        <v>180</v>
      </c>
      <c r="J822" t="s">
        <v>171</v>
      </c>
      <c r="K822">
        <v>1.2131882056608374E-2</v>
      </c>
      <c r="L822" t="s">
        <v>161</v>
      </c>
      <c r="N822" t="s">
        <v>203</v>
      </c>
      <c r="O822" t="s">
        <v>171</v>
      </c>
      <c r="P822">
        <v>3.8646727961359367E-3</v>
      </c>
      <c r="Q822" t="s">
        <v>161</v>
      </c>
      <c r="S822" t="s">
        <v>225</v>
      </c>
      <c r="T822" t="s">
        <v>171</v>
      </c>
      <c r="U822">
        <v>4.1264506103267876E-3</v>
      </c>
      <c r="V822" t="s">
        <v>161</v>
      </c>
    </row>
    <row r="823" spans="9:22" x14ac:dyDescent="0.45">
      <c r="I823" t="s">
        <v>180</v>
      </c>
      <c r="J823" t="s">
        <v>172</v>
      </c>
      <c r="K823">
        <v>0.11539660306178144</v>
      </c>
      <c r="L823" t="s">
        <v>161</v>
      </c>
      <c r="N823" t="s">
        <v>203</v>
      </c>
      <c r="O823" t="s">
        <v>172</v>
      </c>
      <c r="P823">
        <v>2.9880258885052489E-2</v>
      </c>
      <c r="Q823" t="s">
        <v>161</v>
      </c>
      <c r="S823" t="s">
        <v>225</v>
      </c>
      <c r="T823" t="s">
        <v>172</v>
      </c>
      <c r="U823">
        <v>2.9951663397129055E-2</v>
      </c>
      <c r="V823" t="s">
        <v>161</v>
      </c>
    </row>
    <row r="824" spans="9:22" x14ac:dyDescent="0.45">
      <c r="I824" t="s">
        <v>180</v>
      </c>
      <c r="J824" t="s">
        <v>248</v>
      </c>
      <c r="K824">
        <v>1.4652691681204939E-2</v>
      </c>
      <c r="L824" t="s">
        <v>161</v>
      </c>
      <c r="N824" t="s">
        <v>203</v>
      </c>
      <c r="O824" t="s">
        <v>248</v>
      </c>
      <c r="P824">
        <v>4.0002677560084191E-3</v>
      </c>
      <c r="Q824" t="s">
        <v>161</v>
      </c>
      <c r="S824" t="s">
        <v>225</v>
      </c>
      <c r="T824" t="s">
        <v>248</v>
      </c>
      <c r="U824">
        <v>4.6535013649293966E-3</v>
      </c>
      <c r="V824" t="s">
        <v>161</v>
      </c>
    </row>
    <row r="825" spans="9:22" x14ac:dyDescent="0.45">
      <c r="I825" t="s">
        <v>180</v>
      </c>
      <c r="J825" t="s">
        <v>249</v>
      </c>
      <c r="K825">
        <v>1.2112396381541751E-2</v>
      </c>
      <c r="L825" t="s">
        <v>161</v>
      </c>
      <c r="N825" t="s">
        <v>203</v>
      </c>
      <c r="O825" t="s">
        <v>249</v>
      </c>
      <c r="P825">
        <v>3.6509566539768847E-3</v>
      </c>
      <c r="Q825" t="s">
        <v>161</v>
      </c>
      <c r="S825" t="s">
        <v>225</v>
      </c>
      <c r="T825" t="s">
        <v>249</v>
      </c>
      <c r="U825">
        <v>4.6260201521494465E-3</v>
      </c>
      <c r="V825" t="s">
        <v>161</v>
      </c>
    </row>
    <row r="826" spans="9:22" x14ac:dyDescent="0.45">
      <c r="I826" t="s">
        <v>180</v>
      </c>
      <c r="J826" t="s">
        <v>269</v>
      </c>
      <c r="K826">
        <v>1.4214712593504755E-2</v>
      </c>
      <c r="L826" t="s">
        <v>161</v>
      </c>
      <c r="N826" t="s">
        <v>203</v>
      </c>
      <c r="O826" t="s">
        <v>269</v>
      </c>
      <c r="P826">
        <v>2.7027473429479448E-2</v>
      </c>
      <c r="Q826" t="s">
        <v>161</v>
      </c>
      <c r="S826" t="s">
        <v>225</v>
      </c>
      <c r="T826" t="s">
        <v>269</v>
      </c>
      <c r="U826">
        <v>2.8887049976350221E-2</v>
      </c>
      <c r="V826" t="s">
        <v>161</v>
      </c>
    </row>
    <row r="827" spans="9:22" x14ac:dyDescent="0.45">
      <c r="I827" t="s">
        <v>180</v>
      </c>
      <c r="J827" t="s">
        <v>362</v>
      </c>
      <c r="K827">
        <v>0</v>
      </c>
      <c r="L827" t="s">
        <v>161</v>
      </c>
      <c r="N827" t="s">
        <v>203</v>
      </c>
      <c r="O827" t="s">
        <v>362</v>
      </c>
      <c r="P827">
        <v>8.3478255261638903E-6</v>
      </c>
      <c r="Q827" t="s">
        <v>161</v>
      </c>
      <c r="S827" t="s">
        <v>225</v>
      </c>
      <c r="T827" t="s">
        <v>362</v>
      </c>
      <c r="U827">
        <v>3.9817724456252239E-5</v>
      </c>
      <c r="V827" t="s">
        <v>161</v>
      </c>
    </row>
    <row r="828" spans="9:22" x14ac:dyDescent="0.45">
      <c r="I828" t="s">
        <v>180</v>
      </c>
      <c r="J828" t="s">
        <v>363</v>
      </c>
      <c r="K828">
        <v>0</v>
      </c>
      <c r="L828" t="s">
        <v>161</v>
      </c>
      <c r="N828" t="s">
        <v>203</v>
      </c>
      <c r="O828" t="s">
        <v>363</v>
      </c>
      <c r="P828">
        <v>8.9625917707117973E-6</v>
      </c>
      <c r="Q828" t="s">
        <v>161</v>
      </c>
      <c r="S828" t="s">
        <v>225</v>
      </c>
      <c r="T828" t="s">
        <v>363</v>
      </c>
      <c r="U828">
        <v>3.8184930450446439E-5</v>
      </c>
      <c r="V828" t="s">
        <v>161</v>
      </c>
    </row>
    <row r="829" spans="9:22" x14ac:dyDescent="0.45">
      <c r="I829" t="s">
        <v>180</v>
      </c>
      <c r="J829" t="s">
        <v>364</v>
      </c>
      <c r="K829">
        <v>0</v>
      </c>
      <c r="L829" t="s">
        <v>161</v>
      </c>
      <c r="N829" t="s">
        <v>203</v>
      </c>
      <c r="O829" t="s">
        <v>364</v>
      </c>
      <c r="P829">
        <v>1.0196149807913611E-5</v>
      </c>
      <c r="Q829" t="s">
        <v>161</v>
      </c>
      <c r="S829" t="s">
        <v>225</v>
      </c>
      <c r="T829" t="s">
        <v>364</v>
      </c>
      <c r="U829">
        <v>3.8390027096937219E-5</v>
      </c>
      <c r="V829" t="s">
        <v>161</v>
      </c>
    </row>
    <row r="830" spans="9:22" x14ac:dyDescent="0.45">
      <c r="I830" t="s">
        <v>180</v>
      </c>
      <c r="J830" t="s">
        <v>365</v>
      </c>
      <c r="K830">
        <v>0</v>
      </c>
      <c r="L830" t="s">
        <v>161</v>
      </c>
      <c r="N830" t="s">
        <v>203</v>
      </c>
      <c r="O830" t="s">
        <v>365</v>
      </c>
      <c r="P830">
        <v>1.1712001613427837E-5</v>
      </c>
      <c r="Q830" t="s">
        <v>161</v>
      </c>
      <c r="S830" t="s">
        <v>225</v>
      </c>
      <c r="T830" t="s">
        <v>365</v>
      </c>
      <c r="U830">
        <v>4.1392464770158035E-5</v>
      </c>
      <c r="V830" t="s">
        <v>161</v>
      </c>
    </row>
    <row r="831" spans="9:22" x14ac:dyDescent="0.45">
      <c r="I831" t="s">
        <v>180</v>
      </c>
      <c r="J831" t="s">
        <v>366</v>
      </c>
      <c r="K831">
        <v>0</v>
      </c>
      <c r="L831" t="s">
        <v>161</v>
      </c>
      <c r="N831" t="s">
        <v>203</v>
      </c>
      <c r="O831" t="s">
        <v>366</v>
      </c>
      <c r="P831">
        <v>1.2333217271190274E-5</v>
      </c>
      <c r="Q831" t="s">
        <v>161</v>
      </c>
      <c r="S831" t="s">
        <v>225</v>
      </c>
      <c r="T831" t="s">
        <v>366</v>
      </c>
      <c r="U831">
        <v>4.3519855503103161E-5</v>
      </c>
      <c r="V831" t="s">
        <v>161</v>
      </c>
    </row>
    <row r="832" spans="9:22" x14ac:dyDescent="0.45">
      <c r="I832" t="s">
        <v>180</v>
      </c>
      <c r="J832" t="s">
        <v>367</v>
      </c>
      <c r="K832">
        <v>0</v>
      </c>
      <c r="L832" t="s">
        <v>161</v>
      </c>
      <c r="N832" t="s">
        <v>203</v>
      </c>
      <c r="O832" t="s">
        <v>367</v>
      </c>
      <c r="P832">
        <v>1.1431502786188041E-5</v>
      </c>
      <c r="Q832" t="s">
        <v>161</v>
      </c>
      <c r="S832" t="s">
        <v>225</v>
      </c>
      <c r="T832" t="s">
        <v>367</v>
      </c>
      <c r="U832">
        <v>4.375468427041049E-5</v>
      </c>
      <c r="V832" t="s">
        <v>161</v>
      </c>
    </row>
    <row r="833" spans="9:22" x14ac:dyDescent="0.45">
      <c r="I833" t="s">
        <v>180</v>
      </c>
      <c r="J833" t="s">
        <v>368</v>
      </c>
      <c r="K833">
        <v>1.4879960212970967E-4</v>
      </c>
      <c r="L833" t="s">
        <v>161</v>
      </c>
      <c r="N833" t="s">
        <v>203</v>
      </c>
      <c r="O833" t="s">
        <v>368</v>
      </c>
      <c r="P833">
        <v>7.3584798144485088E-6</v>
      </c>
      <c r="Q833" t="s">
        <v>161</v>
      </c>
      <c r="S833" t="s">
        <v>225</v>
      </c>
      <c r="T833" t="s">
        <v>368</v>
      </c>
      <c r="U833">
        <v>4.0877271021446572E-5</v>
      </c>
      <c r="V833" t="s">
        <v>161</v>
      </c>
    </row>
    <row r="834" spans="9:22" x14ac:dyDescent="0.45">
      <c r="I834" t="s">
        <v>180</v>
      </c>
      <c r="J834" t="s">
        <v>369</v>
      </c>
      <c r="K834">
        <v>2.700000204858365E-4</v>
      </c>
      <c r="L834" t="s">
        <v>161</v>
      </c>
      <c r="N834" t="s">
        <v>203</v>
      </c>
      <c r="O834" t="s">
        <v>369</v>
      </c>
      <c r="P834">
        <v>1.1890427475910547E-7</v>
      </c>
      <c r="Q834" t="s">
        <v>161</v>
      </c>
      <c r="S834" t="s">
        <v>225</v>
      </c>
      <c r="T834" t="s">
        <v>369</v>
      </c>
      <c r="U834">
        <v>3.5937497281084466E-5</v>
      </c>
      <c r="V834" t="s">
        <v>161</v>
      </c>
    </row>
    <row r="835" spans="9:22" x14ac:dyDescent="0.45">
      <c r="I835" t="s">
        <v>180</v>
      </c>
      <c r="J835" t="s">
        <v>370</v>
      </c>
      <c r="K835">
        <v>3.5776102961990056E-4</v>
      </c>
      <c r="L835" t="s">
        <v>161</v>
      </c>
      <c r="N835" t="s">
        <v>203</v>
      </c>
      <c r="O835" t="s">
        <v>370</v>
      </c>
      <c r="P835">
        <v>1.8181867989703565E-7</v>
      </c>
      <c r="Q835" t="s">
        <v>161</v>
      </c>
      <c r="S835" t="s">
        <v>225</v>
      </c>
      <c r="T835" t="s">
        <v>370</v>
      </c>
      <c r="U835">
        <v>2.8434886919830634E-5</v>
      </c>
      <c r="V835" t="s">
        <v>161</v>
      </c>
    </row>
    <row r="836" spans="9:22" x14ac:dyDescent="0.45">
      <c r="I836" t="s">
        <v>180</v>
      </c>
      <c r="J836" t="s">
        <v>371</v>
      </c>
      <c r="K836">
        <v>3.8672389763532285E-4</v>
      </c>
      <c r="L836" t="s">
        <v>161</v>
      </c>
      <c r="N836" t="s">
        <v>203</v>
      </c>
      <c r="O836" t="s">
        <v>371</v>
      </c>
      <c r="P836">
        <v>3.221333239313057E-6</v>
      </c>
      <c r="Q836" t="s">
        <v>161</v>
      </c>
      <c r="S836" t="s">
        <v>225</v>
      </c>
      <c r="T836" t="s">
        <v>371</v>
      </c>
      <c r="U836">
        <v>2.729697387337769E-5</v>
      </c>
      <c r="V836" t="s">
        <v>161</v>
      </c>
    </row>
    <row r="837" spans="9:22" x14ac:dyDescent="0.45">
      <c r="I837" t="s">
        <v>180</v>
      </c>
      <c r="J837" t="s">
        <v>372</v>
      </c>
      <c r="K837">
        <v>4.2264950559751507E-4</v>
      </c>
      <c r="L837" t="s">
        <v>161</v>
      </c>
      <c r="N837" t="s">
        <v>203</v>
      </c>
      <c r="O837" t="s">
        <v>372</v>
      </c>
      <c r="P837">
        <v>2.747657858090019E-6</v>
      </c>
      <c r="Q837" t="s">
        <v>161</v>
      </c>
      <c r="S837" t="s">
        <v>225</v>
      </c>
      <c r="T837" t="s">
        <v>372</v>
      </c>
      <c r="U837">
        <v>2.9029660849054383E-5</v>
      </c>
      <c r="V837" t="s">
        <v>161</v>
      </c>
    </row>
    <row r="838" spans="9:22" x14ac:dyDescent="0.45">
      <c r="I838" t="s">
        <v>180</v>
      </c>
      <c r="J838" t="s">
        <v>373</v>
      </c>
      <c r="K838">
        <v>4.0430955011716037E-4</v>
      </c>
      <c r="L838" t="s">
        <v>161</v>
      </c>
      <c r="N838" t="s">
        <v>203</v>
      </c>
      <c r="O838" t="s">
        <v>373</v>
      </c>
      <c r="P838">
        <v>1.959211381341848E-6</v>
      </c>
      <c r="Q838" t="s">
        <v>161</v>
      </c>
      <c r="S838" t="s">
        <v>225</v>
      </c>
      <c r="T838" t="s">
        <v>373</v>
      </c>
      <c r="U838">
        <v>3.1474493502146772E-5</v>
      </c>
      <c r="V838" t="s">
        <v>161</v>
      </c>
    </row>
    <row r="839" spans="9:22" x14ac:dyDescent="0.45">
      <c r="I839" t="s">
        <v>180</v>
      </c>
      <c r="J839" t="s">
        <v>374</v>
      </c>
      <c r="K839">
        <v>3.9053476834185916E-4</v>
      </c>
      <c r="L839" t="s">
        <v>161</v>
      </c>
      <c r="N839" t="s">
        <v>203</v>
      </c>
      <c r="O839" t="s">
        <v>374</v>
      </c>
      <c r="P839">
        <v>1.375406258005301E-6</v>
      </c>
      <c r="Q839" t="s">
        <v>161</v>
      </c>
      <c r="S839" t="s">
        <v>225</v>
      </c>
      <c r="T839" t="s">
        <v>374</v>
      </c>
      <c r="U839">
        <v>2.7958624859868453E-5</v>
      </c>
      <c r="V839" t="s">
        <v>161</v>
      </c>
    </row>
    <row r="840" spans="9:22" x14ac:dyDescent="0.45">
      <c r="I840" t="s">
        <v>180</v>
      </c>
      <c r="J840" t="s">
        <v>375</v>
      </c>
      <c r="K840">
        <v>3.6424321319665243E-4</v>
      </c>
      <c r="L840" t="s">
        <v>161</v>
      </c>
      <c r="N840" t="s">
        <v>203</v>
      </c>
      <c r="O840" t="s">
        <v>375</v>
      </c>
      <c r="P840">
        <v>1.2646915307140811E-6</v>
      </c>
      <c r="Q840" t="s">
        <v>161</v>
      </c>
      <c r="S840" t="s">
        <v>225</v>
      </c>
      <c r="T840" t="s">
        <v>375</v>
      </c>
      <c r="U840">
        <v>2.2775474506864314E-5</v>
      </c>
      <c r="V840" t="s">
        <v>161</v>
      </c>
    </row>
    <row r="841" spans="9:22" x14ac:dyDescent="0.45">
      <c r="I841" t="s">
        <v>180</v>
      </c>
      <c r="J841" t="s">
        <v>376</v>
      </c>
      <c r="K841">
        <v>3.5779108506831263E-4</v>
      </c>
      <c r="L841" t="s">
        <v>161</v>
      </c>
      <c r="N841" t="s">
        <v>203</v>
      </c>
      <c r="O841" t="s">
        <v>376</v>
      </c>
      <c r="P841">
        <v>4.6276122966852277E-7</v>
      </c>
      <c r="Q841" t="s">
        <v>161</v>
      </c>
      <c r="S841" t="s">
        <v>225</v>
      </c>
      <c r="T841" t="s">
        <v>376</v>
      </c>
      <c r="U841">
        <v>1.7131023240484928E-5</v>
      </c>
      <c r="V841" t="s">
        <v>161</v>
      </c>
    </row>
    <row r="842" spans="9:22" x14ac:dyDescent="0.45">
      <c r="I842" t="s">
        <v>180</v>
      </c>
      <c r="J842" t="s">
        <v>377</v>
      </c>
      <c r="K842">
        <v>4.0126723917620132E-4</v>
      </c>
      <c r="L842" t="s">
        <v>161</v>
      </c>
      <c r="N842" t="s">
        <v>203</v>
      </c>
      <c r="O842" t="s">
        <v>377</v>
      </c>
      <c r="P842">
        <v>2.0109672579350528E-7</v>
      </c>
      <c r="Q842" t="s">
        <v>161</v>
      </c>
      <c r="S842" t="s">
        <v>225</v>
      </c>
      <c r="T842" t="s">
        <v>377</v>
      </c>
      <c r="U842">
        <v>9.8557503021163282E-6</v>
      </c>
      <c r="V842" t="s">
        <v>161</v>
      </c>
    </row>
    <row r="843" spans="9:22" x14ac:dyDescent="0.45">
      <c r="I843" t="s">
        <v>180</v>
      </c>
      <c r="J843" t="s">
        <v>378</v>
      </c>
      <c r="K843">
        <v>3.1732651241124841E-4</v>
      </c>
      <c r="L843" t="s">
        <v>161</v>
      </c>
      <c r="N843" t="s">
        <v>203</v>
      </c>
      <c r="O843" t="s">
        <v>378</v>
      </c>
      <c r="P843">
        <v>2.2203811156868855E-8</v>
      </c>
      <c r="Q843" t="s">
        <v>161</v>
      </c>
      <c r="S843" t="s">
        <v>225</v>
      </c>
      <c r="T843" t="s">
        <v>378</v>
      </c>
      <c r="U843">
        <v>5.1089152260052468E-6</v>
      </c>
      <c r="V843" t="s">
        <v>161</v>
      </c>
    </row>
    <row r="844" spans="9:22" x14ac:dyDescent="0.45">
      <c r="I844" t="s">
        <v>180</v>
      </c>
      <c r="J844" t="s">
        <v>379</v>
      </c>
      <c r="K844">
        <v>2.8204014945506719E-4</v>
      </c>
      <c r="L844" t="s">
        <v>161</v>
      </c>
      <c r="N844" t="s">
        <v>203</v>
      </c>
      <c r="O844" t="s">
        <v>379</v>
      </c>
      <c r="P844">
        <v>1.0373583967021312E-8</v>
      </c>
      <c r="Q844" t="s">
        <v>161</v>
      </c>
      <c r="S844" t="s">
        <v>225</v>
      </c>
      <c r="T844" t="s">
        <v>379</v>
      </c>
      <c r="U844">
        <v>2.2559683948062381E-6</v>
      </c>
      <c r="V844" t="s">
        <v>161</v>
      </c>
    </row>
    <row r="845" spans="9:22" x14ac:dyDescent="0.45">
      <c r="I845" t="s">
        <v>180</v>
      </c>
      <c r="J845" t="s">
        <v>380</v>
      </c>
      <c r="K845">
        <v>2.2735779983740575E-4</v>
      </c>
      <c r="L845" t="s">
        <v>161</v>
      </c>
      <c r="N845" t="s">
        <v>203</v>
      </c>
      <c r="O845" t="s">
        <v>380</v>
      </c>
      <c r="P845">
        <v>3.8110803473655869E-7</v>
      </c>
      <c r="Q845" t="s">
        <v>161</v>
      </c>
      <c r="S845" t="s">
        <v>225</v>
      </c>
      <c r="T845" t="s">
        <v>380</v>
      </c>
      <c r="U845">
        <v>5.8676147817184102E-7</v>
      </c>
      <c r="V845" t="s">
        <v>161</v>
      </c>
    </row>
    <row r="846" spans="9:22" x14ac:dyDescent="0.45">
      <c r="I846" t="s">
        <v>180</v>
      </c>
      <c r="J846" t="s">
        <v>381</v>
      </c>
      <c r="K846">
        <v>1.117708937360533E-4</v>
      </c>
      <c r="L846" t="s">
        <v>161</v>
      </c>
      <c r="N846" t="s">
        <v>203</v>
      </c>
      <c r="O846" t="s">
        <v>381</v>
      </c>
      <c r="P846">
        <v>6.1084960872388725E-6</v>
      </c>
      <c r="Q846" t="s">
        <v>161</v>
      </c>
      <c r="S846" t="s">
        <v>225</v>
      </c>
      <c r="T846" t="s">
        <v>381</v>
      </c>
      <c r="U846">
        <v>2.9777998461163683E-7</v>
      </c>
      <c r="V846" t="s">
        <v>161</v>
      </c>
    </row>
    <row r="847" spans="9:22" x14ac:dyDescent="0.45">
      <c r="I847" t="s">
        <v>180</v>
      </c>
      <c r="J847" t="s">
        <v>382</v>
      </c>
      <c r="K847">
        <v>0</v>
      </c>
      <c r="L847" t="s">
        <v>161</v>
      </c>
      <c r="N847" t="s">
        <v>203</v>
      </c>
      <c r="O847" t="s">
        <v>382</v>
      </c>
      <c r="P847">
        <v>1.4695050613281853E-5</v>
      </c>
      <c r="Q847" t="s">
        <v>161</v>
      </c>
      <c r="S847" t="s">
        <v>225</v>
      </c>
      <c r="T847" t="s">
        <v>382</v>
      </c>
      <c r="U847">
        <v>0</v>
      </c>
      <c r="V847" t="s">
        <v>161</v>
      </c>
    </row>
    <row r="848" spans="9:22" x14ac:dyDescent="0.45">
      <c r="I848" t="s">
        <v>180</v>
      </c>
      <c r="J848" t="s">
        <v>383</v>
      </c>
      <c r="K848">
        <v>0</v>
      </c>
      <c r="L848" t="s">
        <v>161</v>
      </c>
      <c r="N848" t="s">
        <v>203</v>
      </c>
      <c r="O848" t="s">
        <v>383</v>
      </c>
      <c r="P848">
        <v>2.1037051822555106E-5</v>
      </c>
      <c r="Q848" t="s">
        <v>161</v>
      </c>
      <c r="S848" t="s">
        <v>225</v>
      </c>
      <c r="T848" t="s">
        <v>383</v>
      </c>
      <c r="U848">
        <v>0</v>
      </c>
      <c r="V848" t="s">
        <v>161</v>
      </c>
    </row>
    <row r="849" spans="9:22" x14ac:dyDescent="0.45">
      <c r="I849" t="s">
        <v>180</v>
      </c>
      <c r="J849" t="s">
        <v>384</v>
      </c>
      <c r="K849">
        <v>0</v>
      </c>
      <c r="L849" t="s">
        <v>161</v>
      </c>
      <c r="N849" t="s">
        <v>203</v>
      </c>
      <c r="O849" t="s">
        <v>384</v>
      </c>
      <c r="P849">
        <v>2.4443466512440772E-5</v>
      </c>
      <c r="Q849" t="s">
        <v>161</v>
      </c>
      <c r="S849" t="s">
        <v>225</v>
      </c>
      <c r="T849" t="s">
        <v>384</v>
      </c>
      <c r="U849">
        <v>0</v>
      </c>
      <c r="V849" t="s">
        <v>161</v>
      </c>
    </row>
    <row r="850" spans="9:22" x14ac:dyDescent="0.45">
      <c r="I850" t="s">
        <v>180</v>
      </c>
      <c r="J850" t="s">
        <v>385</v>
      </c>
      <c r="K850">
        <v>0</v>
      </c>
      <c r="L850" t="s">
        <v>161</v>
      </c>
      <c r="N850" t="s">
        <v>203</v>
      </c>
      <c r="O850" t="s">
        <v>385</v>
      </c>
      <c r="P850">
        <v>2.7051321071004238E-5</v>
      </c>
      <c r="Q850" t="s">
        <v>161</v>
      </c>
      <c r="S850" t="s">
        <v>225</v>
      </c>
      <c r="T850" t="s">
        <v>385</v>
      </c>
      <c r="U850">
        <v>0</v>
      </c>
      <c r="V850" t="s">
        <v>161</v>
      </c>
    </row>
    <row r="851" spans="9:22" x14ac:dyDescent="0.45">
      <c r="I851" t="s">
        <v>180</v>
      </c>
      <c r="J851" t="s">
        <v>250</v>
      </c>
      <c r="K851">
        <v>1.459860606941778E-3</v>
      </c>
      <c r="L851" t="s">
        <v>161</v>
      </c>
      <c r="N851" t="s">
        <v>203</v>
      </c>
      <c r="O851" t="s">
        <v>250</v>
      </c>
      <c r="P851">
        <v>5.2057727929362051E-2</v>
      </c>
      <c r="Q851" t="s">
        <v>161</v>
      </c>
      <c r="S851" t="s">
        <v>225</v>
      </c>
      <c r="T851" t="s">
        <v>250</v>
      </c>
      <c r="U851">
        <v>4.6106637790641607E-2</v>
      </c>
      <c r="V851" t="s">
        <v>161</v>
      </c>
    </row>
    <row r="852" spans="9:22" x14ac:dyDescent="0.45">
      <c r="I852" t="s">
        <v>180</v>
      </c>
      <c r="J852" t="s">
        <v>251</v>
      </c>
      <c r="K852">
        <v>4.185089779343407E-3</v>
      </c>
      <c r="L852" t="s">
        <v>161</v>
      </c>
      <c r="N852" t="s">
        <v>203</v>
      </c>
      <c r="O852" t="s">
        <v>251</v>
      </c>
      <c r="P852">
        <v>6.3058550346889357E-3</v>
      </c>
      <c r="Q852" t="s">
        <v>161</v>
      </c>
      <c r="S852" t="s">
        <v>225</v>
      </c>
      <c r="T852" t="s">
        <v>251</v>
      </c>
      <c r="U852">
        <v>6.110615639021667E-3</v>
      </c>
      <c r="V852" t="s">
        <v>161</v>
      </c>
    </row>
    <row r="853" spans="9:22" x14ac:dyDescent="0.45">
      <c r="I853" t="s">
        <v>180</v>
      </c>
      <c r="J853" t="s">
        <v>252</v>
      </c>
      <c r="K853">
        <v>6.8010186204847833E-2</v>
      </c>
      <c r="L853" t="s">
        <v>161</v>
      </c>
      <c r="N853" t="s">
        <v>203</v>
      </c>
      <c r="O853" t="s">
        <v>252</v>
      </c>
      <c r="P853">
        <v>4.2085598474976275E-2</v>
      </c>
      <c r="Q853" t="s">
        <v>161</v>
      </c>
      <c r="S853" t="s">
        <v>225</v>
      </c>
      <c r="T853" t="s">
        <v>252</v>
      </c>
      <c r="U853">
        <v>4.0513194211547657E-2</v>
      </c>
      <c r="V853" t="s">
        <v>161</v>
      </c>
    </row>
    <row r="854" spans="9:22" x14ac:dyDescent="0.45">
      <c r="I854" t="s">
        <v>180</v>
      </c>
      <c r="J854" t="s">
        <v>253</v>
      </c>
      <c r="K854">
        <v>7.141911815157968E-3</v>
      </c>
      <c r="L854" t="s">
        <v>161</v>
      </c>
      <c r="N854" t="s">
        <v>203</v>
      </c>
      <c r="O854" t="s">
        <v>253</v>
      </c>
      <c r="P854">
        <v>6.057740081623744E-3</v>
      </c>
      <c r="Q854" t="s">
        <v>161</v>
      </c>
      <c r="S854" t="s">
        <v>225</v>
      </c>
      <c r="T854" t="s">
        <v>253</v>
      </c>
      <c r="U854">
        <v>5.7517332129725651E-3</v>
      </c>
      <c r="V854" t="s">
        <v>161</v>
      </c>
    </row>
    <row r="855" spans="9:22" x14ac:dyDescent="0.45">
      <c r="I855" t="s">
        <v>180</v>
      </c>
      <c r="J855" t="s">
        <v>254</v>
      </c>
      <c r="K855">
        <v>4.1551487865029765E-3</v>
      </c>
      <c r="L855" t="s">
        <v>161</v>
      </c>
      <c r="N855" t="s">
        <v>203</v>
      </c>
      <c r="O855" t="s">
        <v>254</v>
      </c>
      <c r="P855">
        <v>6.29696724658769E-3</v>
      </c>
      <c r="Q855" t="s">
        <v>161</v>
      </c>
      <c r="S855" t="s">
        <v>225</v>
      </c>
      <c r="T855" t="s">
        <v>254</v>
      </c>
      <c r="U855">
        <v>5.8430434365513966E-3</v>
      </c>
      <c r="V855" t="s">
        <v>161</v>
      </c>
    </row>
    <row r="856" spans="9:22" x14ac:dyDescent="0.45">
      <c r="I856" t="s">
        <v>180</v>
      </c>
      <c r="J856" t="s">
        <v>270</v>
      </c>
      <c r="K856">
        <v>1.3785299623838658E-3</v>
      </c>
      <c r="L856" t="s">
        <v>161</v>
      </c>
      <c r="N856" t="s">
        <v>203</v>
      </c>
      <c r="O856" t="s">
        <v>270</v>
      </c>
      <c r="P856">
        <v>4.0487733647793921E-2</v>
      </c>
      <c r="Q856" t="s">
        <v>161</v>
      </c>
      <c r="S856" t="s">
        <v>225</v>
      </c>
      <c r="T856" t="s">
        <v>270</v>
      </c>
      <c r="U856">
        <v>3.7973846430402129E-2</v>
      </c>
      <c r="V856" t="s">
        <v>161</v>
      </c>
    </row>
    <row r="857" spans="9:22" x14ac:dyDescent="0.45">
      <c r="I857" t="s">
        <v>180</v>
      </c>
      <c r="J857" t="s">
        <v>255</v>
      </c>
      <c r="K857">
        <v>0</v>
      </c>
      <c r="L857" t="s">
        <v>161</v>
      </c>
      <c r="N857" t="s">
        <v>203</v>
      </c>
      <c r="O857" t="s">
        <v>255</v>
      </c>
      <c r="P857">
        <v>5.2889373382331267E-2</v>
      </c>
      <c r="Q857" t="s">
        <v>161</v>
      </c>
      <c r="S857" t="s">
        <v>225</v>
      </c>
      <c r="T857" t="s">
        <v>255</v>
      </c>
      <c r="U857">
        <v>5.0703044841753454E-2</v>
      </c>
      <c r="V857" t="s">
        <v>161</v>
      </c>
    </row>
    <row r="858" spans="9:22" x14ac:dyDescent="0.45">
      <c r="I858" t="s">
        <v>180</v>
      </c>
      <c r="J858" t="s">
        <v>256</v>
      </c>
      <c r="K858">
        <v>5.0445593651048777E-6</v>
      </c>
      <c r="L858" t="s">
        <v>161</v>
      </c>
      <c r="N858" t="s">
        <v>203</v>
      </c>
      <c r="O858" t="s">
        <v>256</v>
      </c>
      <c r="P858">
        <v>6.8599889092184844E-3</v>
      </c>
      <c r="Q858" t="s">
        <v>161</v>
      </c>
      <c r="S858" t="s">
        <v>225</v>
      </c>
      <c r="T858" t="s">
        <v>256</v>
      </c>
      <c r="U858">
        <v>6.6514860005798216E-3</v>
      </c>
      <c r="V858" t="s">
        <v>161</v>
      </c>
    </row>
    <row r="859" spans="9:22" x14ac:dyDescent="0.45">
      <c r="I859" t="s">
        <v>180</v>
      </c>
      <c r="J859" t="s">
        <v>257</v>
      </c>
      <c r="K859">
        <v>2.7523580027694717E-2</v>
      </c>
      <c r="L859" t="s">
        <v>161</v>
      </c>
      <c r="N859" t="s">
        <v>203</v>
      </c>
      <c r="O859" t="s">
        <v>257</v>
      </c>
      <c r="P859">
        <v>4.2695627064454053E-2</v>
      </c>
      <c r="Q859" t="s">
        <v>161</v>
      </c>
      <c r="S859" t="s">
        <v>225</v>
      </c>
      <c r="T859" t="s">
        <v>257</v>
      </c>
      <c r="U859">
        <v>4.6453523851071377E-2</v>
      </c>
      <c r="V859" t="s">
        <v>161</v>
      </c>
    </row>
    <row r="860" spans="9:22" x14ac:dyDescent="0.45">
      <c r="I860" t="s">
        <v>180</v>
      </c>
      <c r="J860" t="s">
        <v>258</v>
      </c>
      <c r="K860">
        <v>2.2940961488647762E-3</v>
      </c>
      <c r="L860" t="s">
        <v>161</v>
      </c>
      <c r="N860" t="s">
        <v>203</v>
      </c>
      <c r="O860" t="s">
        <v>258</v>
      </c>
      <c r="P860">
        <v>5.8297857701284208E-3</v>
      </c>
      <c r="Q860" t="s">
        <v>161</v>
      </c>
      <c r="S860" t="s">
        <v>225</v>
      </c>
      <c r="T860" t="s">
        <v>258</v>
      </c>
      <c r="U860">
        <v>6.3929106367734056E-3</v>
      </c>
      <c r="V860" t="s">
        <v>161</v>
      </c>
    </row>
    <row r="861" spans="9:22" x14ac:dyDescent="0.45">
      <c r="I861" t="s">
        <v>180</v>
      </c>
      <c r="J861" t="s">
        <v>259</v>
      </c>
      <c r="K861">
        <v>0</v>
      </c>
      <c r="L861" t="s">
        <v>161</v>
      </c>
      <c r="N861" t="s">
        <v>203</v>
      </c>
      <c r="O861" t="s">
        <v>259</v>
      </c>
      <c r="P861">
        <v>5.8970430035762489E-3</v>
      </c>
      <c r="Q861" t="s">
        <v>161</v>
      </c>
      <c r="S861" t="s">
        <v>225</v>
      </c>
      <c r="T861" t="s">
        <v>259</v>
      </c>
      <c r="U861">
        <v>6.427520012525393E-3</v>
      </c>
      <c r="V861" t="s">
        <v>161</v>
      </c>
    </row>
    <row r="862" spans="9:22" x14ac:dyDescent="0.45">
      <c r="I862" t="s">
        <v>180</v>
      </c>
      <c r="J862" t="s">
        <v>271</v>
      </c>
      <c r="K862">
        <v>0</v>
      </c>
      <c r="L862" t="s">
        <v>161</v>
      </c>
      <c r="N862" t="s">
        <v>203</v>
      </c>
      <c r="O862" t="s">
        <v>271</v>
      </c>
      <c r="P862">
        <v>3.5462571316411146E-2</v>
      </c>
      <c r="Q862" t="s">
        <v>161</v>
      </c>
      <c r="S862" t="s">
        <v>225</v>
      </c>
      <c r="T862" t="s">
        <v>271</v>
      </c>
      <c r="U862">
        <v>3.7649277395980348E-2</v>
      </c>
      <c r="V862" t="s">
        <v>161</v>
      </c>
    </row>
    <row r="863" spans="9:22" x14ac:dyDescent="0.45">
      <c r="I863" t="s">
        <v>180</v>
      </c>
      <c r="J863" t="s">
        <v>272</v>
      </c>
      <c r="K863">
        <v>0</v>
      </c>
      <c r="L863" t="s">
        <v>161</v>
      </c>
      <c r="N863" t="s">
        <v>203</v>
      </c>
      <c r="O863" t="s">
        <v>272</v>
      </c>
      <c r="P863">
        <v>1.93444264020778E-2</v>
      </c>
      <c r="Q863" t="s">
        <v>161</v>
      </c>
      <c r="S863" t="s">
        <v>225</v>
      </c>
      <c r="T863" t="s">
        <v>272</v>
      </c>
      <c r="U863">
        <v>1.6035747173706792E-2</v>
      </c>
      <c r="V863" t="s">
        <v>161</v>
      </c>
    </row>
    <row r="864" spans="9:22" x14ac:dyDescent="0.45">
      <c r="I864" t="s">
        <v>180</v>
      </c>
      <c r="J864" t="s">
        <v>273</v>
      </c>
      <c r="K864">
        <v>0</v>
      </c>
      <c r="L864" t="s">
        <v>161</v>
      </c>
      <c r="N864" t="s">
        <v>203</v>
      </c>
      <c r="O864" t="s">
        <v>273</v>
      </c>
      <c r="P864">
        <v>2.5179194316360749E-3</v>
      </c>
      <c r="Q864" t="s">
        <v>161</v>
      </c>
      <c r="S864" t="s">
        <v>225</v>
      </c>
      <c r="T864" t="s">
        <v>273</v>
      </c>
      <c r="U864">
        <v>2.1726894875395467E-3</v>
      </c>
      <c r="V864" t="s">
        <v>161</v>
      </c>
    </row>
    <row r="865" spans="9:22" x14ac:dyDescent="0.45">
      <c r="I865" t="s">
        <v>180</v>
      </c>
      <c r="J865" t="s">
        <v>274</v>
      </c>
      <c r="K865">
        <v>2.9710197403880431E-3</v>
      </c>
      <c r="L865" t="s">
        <v>161</v>
      </c>
      <c r="N865" t="s">
        <v>203</v>
      </c>
      <c r="O865" t="s">
        <v>274</v>
      </c>
      <c r="P865">
        <v>1.4221370285545086E-2</v>
      </c>
      <c r="Q865" t="s">
        <v>161</v>
      </c>
      <c r="S865" t="s">
        <v>225</v>
      </c>
      <c r="T865" t="s">
        <v>274</v>
      </c>
      <c r="U865">
        <v>1.4325479965578713E-2</v>
      </c>
      <c r="V865" t="s">
        <v>161</v>
      </c>
    </row>
    <row r="866" spans="9:22" x14ac:dyDescent="0.45">
      <c r="I866" t="s">
        <v>180</v>
      </c>
      <c r="J866" t="s">
        <v>275</v>
      </c>
      <c r="K866">
        <v>8.2846924711518294E-5</v>
      </c>
      <c r="L866" t="s">
        <v>161</v>
      </c>
      <c r="N866" t="s">
        <v>203</v>
      </c>
      <c r="O866" t="s">
        <v>275</v>
      </c>
      <c r="P866">
        <v>2.012173098038807E-3</v>
      </c>
      <c r="Q866" t="s">
        <v>161</v>
      </c>
      <c r="S866" t="s">
        <v>225</v>
      </c>
      <c r="T866" t="s">
        <v>275</v>
      </c>
      <c r="U866">
        <v>1.8983532519839135E-3</v>
      </c>
      <c r="V866" t="s">
        <v>161</v>
      </c>
    </row>
    <row r="867" spans="9:22" x14ac:dyDescent="0.45">
      <c r="I867" t="s">
        <v>180</v>
      </c>
      <c r="J867" t="s">
        <v>276</v>
      </c>
      <c r="K867">
        <v>0</v>
      </c>
      <c r="L867" t="s">
        <v>161</v>
      </c>
      <c r="N867" t="s">
        <v>203</v>
      </c>
      <c r="O867" t="s">
        <v>276</v>
      </c>
      <c r="P867">
        <v>2.0022029095940175E-3</v>
      </c>
      <c r="Q867" t="s">
        <v>161</v>
      </c>
      <c r="S867" t="s">
        <v>225</v>
      </c>
      <c r="T867" t="s">
        <v>276</v>
      </c>
      <c r="U867">
        <v>1.8872184236845607E-3</v>
      </c>
      <c r="V867" t="s">
        <v>161</v>
      </c>
    </row>
    <row r="868" spans="9:22" x14ac:dyDescent="0.45">
      <c r="I868" t="s">
        <v>180</v>
      </c>
      <c r="J868" t="s">
        <v>277</v>
      </c>
      <c r="K868">
        <v>0</v>
      </c>
      <c r="L868" t="s">
        <v>161</v>
      </c>
      <c r="N868" t="s">
        <v>203</v>
      </c>
      <c r="O868" t="s">
        <v>277</v>
      </c>
      <c r="P868">
        <v>1.2354842746540405E-2</v>
      </c>
      <c r="Q868" t="s">
        <v>161</v>
      </c>
      <c r="S868" t="s">
        <v>225</v>
      </c>
      <c r="T868" t="s">
        <v>277</v>
      </c>
      <c r="U868">
        <v>1.0810446914072002E-2</v>
      </c>
      <c r="V868" t="s">
        <v>161</v>
      </c>
    </row>
    <row r="869" spans="9:22" x14ac:dyDescent="0.45">
      <c r="I869" t="s">
        <v>180</v>
      </c>
      <c r="J869" t="s">
        <v>278</v>
      </c>
      <c r="K869">
        <v>0</v>
      </c>
      <c r="L869" t="s">
        <v>161</v>
      </c>
      <c r="N869" t="s">
        <v>203</v>
      </c>
      <c r="O869" t="s">
        <v>278</v>
      </c>
      <c r="P869">
        <v>7.0606781432585577E-3</v>
      </c>
      <c r="Q869" t="s">
        <v>161</v>
      </c>
      <c r="S869" t="s">
        <v>225</v>
      </c>
      <c r="T869" t="s">
        <v>278</v>
      </c>
      <c r="U869">
        <v>7.0659363507026623E-3</v>
      </c>
      <c r="V869" t="s">
        <v>161</v>
      </c>
    </row>
    <row r="870" spans="9:22" x14ac:dyDescent="0.45">
      <c r="I870" t="s">
        <v>180</v>
      </c>
      <c r="J870" t="s">
        <v>279</v>
      </c>
      <c r="K870">
        <v>0</v>
      </c>
      <c r="L870" t="s">
        <v>161</v>
      </c>
      <c r="N870" t="s">
        <v>203</v>
      </c>
      <c r="O870" t="s">
        <v>279</v>
      </c>
      <c r="P870">
        <v>9.569405686756171E-4</v>
      </c>
      <c r="Q870" t="s">
        <v>161</v>
      </c>
      <c r="S870" t="s">
        <v>225</v>
      </c>
      <c r="T870" t="s">
        <v>279</v>
      </c>
      <c r="U870">
        <v>9.2628125463517031E-4</v>
      </c>
      <c r="V870" t="s">
        <v>161</v>
      </c>
    </row>
    <row r="871" spans="9:22" x14ac:dyDescent="0.45">
      <c r="I871" t="s">
        <v>180</v>
      </c>
      <c r="J871" t="s">
        <v>280</v>
      </c>
      <c r="K871">
        <v>2.8873382237954055E-3</v>
      </c>
      <c r="L871" t="s">
        <v>161</v>
      </c>
      <c r="N871" t="s">
        <v>203</v>
      </c>
      <c r="O871" t="s">
        <v>280</v>
      </c>
      <c r="P871">
        <v>6.4948545428596726E-3</v>
      </c>
      <c r="Q871" t="s">
        <v>161</v>
      </c>
      <c r="S871" t="s">
        <v>225</v>
      </c>
      <c r="T871" t="s">
        <v>280</v>
      </c>
      <c r="U871">
        <v>6.3268801541455071E-3</v>
      </c>
      <c r="V871" t="s">
        <v>161</v>
      </c>
    </row>
    <row r="872" spans="9:22" x14ac:dyDescent="0.45">
      <c r="I872" t="s">
        <v>180</v>
      </c>
      <c r="J872" t="s">
        <v>281</v>
      </c>
      <c r="K872">
        <v>2.1018047468612783E-4</v>
      </c>
      <c r="L872" t="s">
        <v>161</v>
      </c>
      <c r="N872" t="s">
        <v>203</v>
      </c>
      <c r="O872" t="s">
        <v>281</v>
      </c>
      <c r="P872">
        <v>1.1145593204211753E-3</v>
      </c>
      <c r="Q872" t="s">
        <v>161</v>
      </c>
      <c r="S872" t="s">
        <v>225</v>
      </c>
      <c r="T872" t="s">
        <v>281</v>
      </c>
      <c r="U872">
        <v>9.805380714121778E-4</v>
      </c>
      <c r="V872" t="s">
        <v>161</v>
      </c>
    </row>
    <row r="873" spans="9:22" x14ac:dyDescent="0.45">
      <c r="I873" t="s">
        <v>180</v>
      </c>
      <c r="J873" t="s">
        <v>282</v>
      </c>
      <c r="K873">
        <v>0</v>
      </c>
      <c r="L873" t="s">
        <v>161</v>
      </c>
      <c r="N873" t="s">
        <v>203</v>
      </c>
      <c r="O873" t="s">
        <v>282</v>
      </c>
      <c r="P873">
        <v>1.1481724283075594E-3</v>
      </c>
      <c r="Q873" t="s">
        <v>161</v>
      </c>
      <c r="S873" t="s">
        <v>225</v>
      </c>
      <c r="T873" t="s">
        <v>282</v>
      </c>
      <c r="U873">
        <v>1.0771372651646211E-3</v>
      </c>
      <c r="V873" t="s">
        <v>161</v>
      </c>
    </row>
    <row r="874" spans="9:22" x14ac:dyDescent="0.45">
      <c r="I874" t="s">
        <v>180</v>
      </c>
      <c r="J874" t="s">
        <v>283</v>
      </c>
      <c r="K874">
        <v>0</v>
      </c>
      <c r="L874" t="s">
        <v>161</v>
      </c>
      <c r="N874" t="s">
        <v>203</v>
      </c>
      <c r="O874" t="s">
        <v>283</v>
      </c>
      <c r="P874">
        <v>7.1499888477347118E-3</v>
      </c>
      <c r="Q874" t="s">
        <v>161</v>
      </c>
      <c r="S874" t="s">
        <v>225</v>
      </c>
      <c r="T874" t="s">
        <v>283</v>
      </c>
      <c r="U874">
        <v>6.9353447825847257E-3</v>
      </c>
      <c r="V874" t="s">
        <v>161</v>
      </c>
    </row>
    <row r="875" spans="9:22" x14ac:dyDescent="0.45">
      <c r="I875" t="s">
        <v>181</v>
      </c>
      <c r="J875" t="s">
        <v>160</v>
      </c>
      <c r="K875">
        <v>5.7995634890487259E-5</v>
      </c>
      <c r="L875" t="s">
        <v>161</v>
      </c>
      <c r="N875" t="s">
        <v>204</v>
      </c>
      <c r="O875" t="s">
        <v>160</v>
      </c>
      <c r="P875">
        <v>7.2931910694603058E-2</v>
      </c>
      <c r="Q875" t="s">
        <v>161</v>
      </c>
      <c r="S875" t="s">
        <v>226</v>
      </c>
      <c r="T875" t="s">
        <v>160</v>
      </c>
      <c r="U875">
        <v>7.9150321605852419E-2</v>
      </c>
      <c r="V875" t="s">
        <v>161</v>
      </c>
    </row>
    <row r="876" spans="9:22" x14ac:dyDescent="0.45">
      <c r="I876" t="s">
        <v>181</v>
      </c>
      <c r="J876" t="s">
        <v>162</v>
      </c>
      <c r="K876">
        <v>1.733261539912583E-3</v>
      </c>
      <c r="L876" t="s">
        <v>161</v>
      </c>
      <c r="N876" t="s">
        <v>204</v>
      </c>
      <c r="O876" t="s">
        <v>162</v>
      </c>
      <c r="P876">
        <v>8.978863538827566E-3</v>
      </c>
      <c r="Q876" t="s">
        <v>161</v>
      </c>
      <c r="S876" t="s">
        <v>226</v>
      </c>
      <c r="T876" t="s">
        <v>162</v>
      </c>
      <c r="U876">
        <v>9.5051276567150837E-3</v>
      </c>
      <c r="V876" t="s">
        <v>161</v>
      </c>
    </row>
    <row r="877" spans="9:22" x14ac:dyDescent="0.45">
      <c r="I877" t="s">
        <v>181</v>
      </c>
      <c r="J877" t="s">
        <v>163</v>
      </c>
      <c r="K877">
        <v>8.2412512306713717E-2</v>
      </c>
      <c r="L877" t="s">
        <v>161</v>
      </c>
      <c r="N877" t="s">
        <v>204</v>
      </c>
      <c r="O877" t="s">
        <v>163</v>
      </c>
      <c r="P877">
        <v>6.1746137143941671E-2</v>
      </c>
      <c r="Q877" t="s">
        <v>161</v>
      </c>
      <c r="S877" t="s">
        <v>226</v>
      </c>
      <c r="T877" t="s">
        <v>163</v>
      </c>
      <c r="U877">
        <v>6.2421566775064788E-2</v>
      </c>
      <c r="V877" t="s">
        <v>161</v>
      </c>
    </row>
    <row r="878" spans="9:22" x14ac:dyDescent="0.45">
      <c r="I878" t="s">
        <v>181</v>
      </c>
      <c r="J878" t="s">
        <v>242</v>
      </c>
      <c r="K878">
        <v>8.8773233922907514E-3</v>
      </c>
      <c r="L878" t="s">
        <v>161</v>
      </c>
      <c r="N878" t="s">
        <v>204</v>
      </c>
      <c r="O878" t="s">
        <v>242</v>
      </c>
      <c r="P878">
        <v>8.5798663708356194E-3</v>
      </c>
      <c r="Q878" t="s">
        <v>161</v>
      </c>
      <c r="S878" t="s">
        <v>226</v>
      </c>
      <c r="T878" t="s">
        <v>242</v>
      </c>
      <c r="U878">
        <v>9.131459894580302E-3</v>
      </c>
      <c r="V878" t="s">
        <v>161</v>
      </c>
    </row>
    <row r="879" spans="9:22" x14ac:dyDescent="0.45">
      <c r="I879" t="s">
        <v>181</v>
      </c>
      <c r="J879" t="s">
        <v>243</v>
      </c>
      <c r="K879">
        <v>4.9021949506141589E-3</v>
      </c>
      <c r="L879" t="s">
        <v>161</v>
      </c>
      <c r="N879" t="s">
        <v>204</v>
      </c>
      <c r="O879" t="s">
        <v>243</v>
      </c>
      <c r="P879">
        <v>8.8894159553250824E-3</v>
      </c>
      <c r="Q879" t="s">
        <v>161</v>
      </c>
      <c r="S879" t="s">
        <v>226</v>
      </c>
      <c r="T879" t="s">
        <v>243</v>
      </c>
      <c r="U879">
        <v>9.4636650864453054E-3</v>
      </c>
      <c r="V879" t="s">
        <v>161</v>
      </c>
    </row>
    <row r="880" spans="9:22" x14ac:dyDescent="0.45">
      <c r="I880" t="s">
        <v>181</v>
      </c>
      <c r="J880" t="s">
        <v>266</v>
      </c>
      <c r="K880">
        <v>1.5971030904416892E-3</v>
      </c>
      <c r="L880" t="s">
        <v>161</v>
      </c>
      <c r="N880" t="s">
        <v>204</v>
      </c>
      <c r="O880" t="s">
        <v>266</v>
      </c>
      <c r="P880">
        <v>5.3498032755867043E-2</v>
      </c>
      <c r="Q880" t="s">
        <v>161</v>
      </c>
      <c r="S880" t="s">
        <v>226</v>
      </c>
      <c r="T880" t="s">
        <v>266</v>
      </c>
      <c r="U880">
        <v>5.8087539324119149E-2</v>
      </c>
      <c r="V880" t="s">
        <v>161</v>
      </c>
    </row>
    <row r="881" spans="9:22" x14ac:dyDescent="0.45">
      <c r="I881" t="s">
        <v>181</v>
      </c>
      <c r="J881" t="s">
        <v>311</v>
      </c>
      <c r="K881">
        <v>0</v>
      </c>
      <c r="L881" t="s">
        <v>161</v>
      </c>
      <c r="N881" t="s">
        <v>204</v>
      </c>
      <c r="O881" t="s">
        <v>311</v>
      </c>
      <c r="P881">
        <v>5.4045439793355335E-7</v>
      </c>
      <c r="Q881" t="s">
        <v>161</v>
      </c>
      <c r="S881" t="s">
        <v>226</v>
      </c>
      <c r="T881" t="s">
        <v>311</v>
      </c>
      <c r="U881">
        <v>1.2932263598625425E-5</v>
      </c>
      <c r="V881" t="s">
        <v>161</v>
      </c>
    </row>
    <row r="882" spans="9:22" x14ac:dyDescent="0.45">
      <c r="I882" t="s">
        <v>181</v>
      </c>
      <c r="J882" t="s">
        <v>312</v>
      </c>
      <c r="K882">
        <v>0</v>
      </c>
      <c r="L882" t="s">
        <v>161</v>
      </c>
      <c r="N882" t="s">
        <v>204</v>
      </c>
      <c r="O882" t="s">
        <v>312</v>
      </c>
      <c r="P882">
        <v>3.87329838985332E-7</v>
      </c>
      <c r="Q882" t="s">
        <v>161</v>
      </c>
      <c r="S882" t="s">
        <v>226</v>
      </c>
      <c r="T882" t="s">
        <v>312</v>
      </c>
      <c r="U882">
        <v>9.6780445815896893E-6</v>
      </c>
      <c r="V882" t="s">
        <v>161</v>
      </c>
    </row>
    <row r="883" spans="9:22" x14ac:dyDescent="0.45">
      <c r="I883" t="s">
        <v>181</v>
      </c>
      <c r="J883" t="s">
        <v>313</v>
      </c>
      <c r="K883">
        <v>0</v>
      </c>
      <c r="L883" t="s">
        <v>161</v>
      </c>
      <c r="N883" t="s">
        <v>204</v>
      </c>
      <c r="O883" t="s">
        <v>313</v>
      </c>
      <c r="P883">
        <v>4.3471418485094724E-7</v>
      </c>
      <c r="Q883" t="s">
        <v>161</v>
      </c>
      <c r="S883" t="s">
        <v>226</v>
      </c>
      <c r="T883" t="s">
        <v>313</v>
      </c>
      <c r="U883">
        <v>3.9791666167483282E-6</v>
      </c>
      <c r="V883" t="s">
        <v>161</v>
      </c>
    </row>
    <row r="884" spans="9:22" x14ac:dyDescent="0.45">
      <c r="I884" t="s">
        <v>181</v>
      </c>
      <c r="J884" t="s">
        <v>314</v>
      </c>
      <c r="K884">
        <v>0</v>
      </c>
      <c r="L884" t="s">
        <v>161</v>
      </c>
      <c r="N884" t="s">
        <v>204</v>
      </c>
      <c r="O884" t="s">
        <v>314</v>
      </c>
      <c r="P884">
        <v>3.8756355588192122E-7</v>
      </c>
      <c r="Q884" t="s">
        <v>161</v>
      </c>
      <c r="S884" t="s">
        <v>226</v>
      </c>
      <c r="T884" t="s">
        <v>314</v>
      </c>
      <c r="U884">
        <v>2.6748474191696073E-6</v>
      </c>
      <c r="V884" t="s">
        <v>161</v>
      </c>
    </row>
    <row r="885" spans="9:22" x14ac:dyDescent="0.45">
      <c r="I885" t="s">
        <v>181</v>
      </c>
      <c r="J885" t="s">
        <v>315</v>
      </c>
      <c r="K885">
        <v>0</v>
      </c>
      <c r="L885" t="s">
        <v>161</v>
      </c>
      <c r="N885" t="s">
        <v>204</v>
      </c>
      <c r="O885" t="s">
        <v>315</v>
      </c>
      <c r="P885">
        <v>4.6812655381731738E-7</v>
      </c>
      <c r="Q885" t="s">
        <v>161</v>
      </c>
      <c r="S885" t="s">
        <v>226</v>
      </c>
      <c r="T885" t="s">
        <v>315</v>
      </c>
      <c r="U885">
        <v>4.6095364515960908E-6</v>
      </c>
      <c r="V885" t="s">
        <v>161</v>
      </c>
    </row>
    <row r="886" spans="9:22" x14ac:dyDescent="0.45">
      <c r="I886" t="s">
        <v>181</v>
      </c>
      <c r="J886" t="s">
        <v>316</v>
      </c>
      <c r="K886">
        <v>0</v>
      </c>
      <c r="L886" t="s">
        <v>161</v>
      </c>
      <c r="N886" t="s">
        <v>204</v>
      </c>
      <c r="O886" t="s">
        <v>316</v>
      </c>
      <c r="P886">
        <v>4.0084826335470748E-7</v>
      </c>
      <c r="Q886" t="s">
        <v>161</v>
      </c>
      <c r="S886" t="s">
        <v>226</v>
      </c>
      <c r="T886" t="s">
        <v>316</v>
      </c>
      <c r="U886">
        <v>2.6628644252116176E-6</v>
      </c>
      <c r="V886" t="s">
        <v>161</v>
      </c>
    </row>
    <row r="887" spans="9:22" x14ac:dyDescent="0.45">
      <c r="I887" t="s">
        <v>181</v>
      </c>
      <c r="J887" t="s">
        <v>317</v>
      </c>
      <c r="K887">
        <v>0</v>
      </c>
      <c r="L887" t="s">
        <v>161</v>
      </c>
      <c r="N887" t="s">
        <v>204</v>
      </c>
      <c r="O887" t="s">
        <v>317</v>
      </c>
      <c r="P887">
        <v>2.1228671119146493E-7</v>
      </c>
      <c r="Q887" t="s">
        <v>161</v>
      </c>
      <c r="S887" t="s">
        <v>226</v>
      </c>
      <c r="T887" t="s">
        <v>317</v>
      </c>
      <c r="U887">
        <v>3.4307683553307282E-6</v>
      </c>
      <c r="V887" t="s">
        <v>161</v>
      </c>
    </row>
    <row r="888" spans="9:22" x14ac:dyDescent="0.45">
      <c r="I888" t="s">
        <v>181</v>
      </c>
      <c r="J888" t="s">
        <v>318</v>
      </c>
      <c r="K888">
        <v>0</v>
      </c>
      <c r="L888" t="s">
        <v>161</v>
      </c>
      <c r="N888" t="s">
        <v>204</v>
      </c>
      <c r="O888" t="s">
        <v>318</v>
      </c>
      <c r="P888">
        <v>1.8333725182890933E-7</v>
      </c>
      <c r="Q888" t="s">
        <v>161</v>
      </c>
      <c r="S888" t="s">
        <v>226</v>
      </c>
      <c r="T888" t="s">
        <v>318</v>
      </c>
      <c r="U888">
        <v>3.0969440681097853E-6</v>
      </c>
      <c r="V888" t="s">
        <v>161</v>
      </c>
    </row>
    <row r="889" spans="9:22" x14ac:dyDescent="0.45">
      <c r="I889" t="s">
        <v>181</v>
      </c>
      <c r="J889" t="s">
        <v>319</v>
      </c>
      <c r="K889">
        <v>3.1898342416947368E-6</v>
      </c>
      <c r="L889" t="s">
        <v>161</v>
      </c>
      <c r="N889" t="s">
        <v>204</v>
      </c>
      <c r="O889" t="s">
        <v>319</v>
      </c>
      <c r="P889">
        <v>4.9519516341831006E-8</v>
      </c>
      <c r="Q889" t="s">
        <v>161</v>
      </c>
      <c r="S889" t="s">
        <v>226</v>
      </c>
      <c r="T889" t="s">
        <v>319</v>
      </c>
      <c r="U889">
        <v>0</v>
      </c>
      <c r="V889" t="s">
        <v>161</v>
      </c>
    </row>
    <row r="890" spans="9:22" x14ac:dyDescent="0.45">
      <c r="I890" t="s">
        <v>181</v>
      </c>
      <c r="J890" t="s">
        <v>320</v>
      </c>
      <c r="K890">
        <v>1.9480311097587395E-5</v>
      </c>
      <c r="L890" t="s">
        <v>161</v>
      </c>
      <c r="N890" t="s">
        <v>204</v>
      </c>
      <c r="O890" t="s">
        <v>320</v>
      </c>
      <c r="P890">
        <v>1.4194701659029344E-8</v>
      </c>
      <c r="Q890" t="s">
        <v>161</v>
      </c>
      <c r="S890" t="s">
        <v>226</v>
      </c>
      <c r="T890" t="s">
        <v>320</v>
      </c>
      <c r="U890">
        <v>0</v>
      </c>
      <c r="V890" t="s">
        <v>161</v>
      </c>
    </row>
    <row r="891" spans="9:22" x14ac:dyDescent="0.45">
      <c r="I891" t="s">
        <v>181</v>
      </c>
      <c r="J891" t="s">
        <v>321</v>
      </c>
      <c r="K891">
        <v>7.3006597242272048E-5</v>
      </c>
      <c r="L891" t="s">
        <v>161</v>
      </c>
      <c r="N891" t="s">
        <v>204</v>
      </c>
      <c r="O891" t="s">
        <v>321</v>
      </c>
      <c r="P891">
        <v>5.5586924402291518E-7</v>
      </c>
      <c r="Q891" t="s">
        <v>161</v>
      </c>
      <c r="S891" t="s">
        <v>226</v>
      </c>
      <c r="T891" t="s">
        <v>321</v>
      </c>
      <c r="U891">
        <v>0</v>
      </c>
      <c r="V891" t="s">
        <v>161</v>
      </c>
    </row>
    <row r="892" spans="9:22" x14ac:dyDescent="0.45">
      <c r="I892" t="s">
        <v>181</v>
      </c>
      <c r="J892" t="s">
        <v>322</v>
      </c>
      <c r="K892">
        <v>1.0920635208880371E-4</v>
      </c>
      <c r="L892" t="s">
        <v>161</v>
      </c>
      <c r="N892" t="s">
        <v>204</v>
      </c>
      <c r="O892" t="s">
        <v>322</v>
      </c>
      <c r="P892">
        <v>2.3455864979915764E-7</v>
      </c>
      <c r="Q892" t="s">
        <v>161</v>
      </c>
      <c r="S892" t="s">
        <v>226</v>
      </c>
      <c r="T892" t="s">
        <v>322</v>
      </c>
      <c r="U892">
        <v>0</v>
      </c>
      <c r="V892" t="s">
        <v>161</v>
      </c>
    </row>
    <row r="893" spans="9:22" x14ac:dyDescent="0.45">
      <c r="I893" t="s">
        <v>181</v>
      </c>
      <c r="J893" t="s">
        <v>323</v>
      </c>
      <c r="K893">
        <v>1.5599680846069793E-4</v>
      </c>
      <c r="L893" t="s">
        <v>161</v>
      </c>
      <c r="N893" t="s">
        <v>204</v>
      </c>
      <c r="O893" t="s">
        <v>323</v>
      </c>
      <c r="P893">
        <v>2.4964193629372528E-7</v>
      </c>
      <c r="Q893" t="s">
        <v>161</v>
      </c>
      <c r="S893" t="s">
        <v>226</v>
      </c>
      <c r="T893" t="s">
        <v>323</v>
      </c>
      <c r="U893">
        <v>0</v>
      </c>
      <c r="V893" t="s">
        <v>161</v>
      </c>
    </row>
    <row r="894" spans="9:22" x14ac:dyDescent="0.45">
      <c r="I894" t="s">
        <v>181</v>
      </c>
      <c r="J894" t="s">
        <v>324</v>
      </c>
      <c r="K894">
        <v>1.8514276883533308E-4</v>
      </c>
      <c r="L894" t="s">
        <v>161</v>
      </c>
      <c r="N894" t="s">
        <v>204</v>
      </c>
      <c r="O894" t="s">
        <v>324</v>
      </c>
      <c r="P894">
        <v>4.214888836570492E-7</v>
      </c>
      <c r="Q894" t="s">
        <v>161</v>
      </c>
      <c r="S894" t="s">
        <v>226</v>
      </c>
      <c r="T894" t="s">
        <v>324</v>
      </c>
      <c r="U894">
        <v>0</v>
      </c>
      <c r="V894" t="s">
        <v>161</v>
      </c>
    </row>
    <row r="895" spans="9:22" x14ac:dyDescent="0.45">
      <c r="I895" t="s">
        <v>181</v>
      </c>
      <c r="J895" t="s">
        <v>325</v>
      </c>
      <c r="K895">
        <v>1.8037881963834027E-4</v>
      </c>
      <c r="L895" t="s">
        <v>161</v>
      </c>
      <c r="N895" t="s">
        <v>204</v>
      </c>
      <c r="O895" t="s">
        <v>325</v>
      </c>
      <c r="P895">
        <v>6.3277277435961411E-7</v>
      </c>
      <c r="Q895" t="s">
        <v>161</v>
      </c>
      <c r="S895" t="s">
        <v>226</v>
      </c>
      <c r="T895" t="s">
        <v>325</v>
      </c>
      <c r="U895">
        <v>0</v>
      </c>
      <c r="V895" t="s">
        <v>161</v>
      </c>
    </row>
    <row r="896" spans="9:22" x14ac:dyDescent="0.45">
      <c r="I896" t="s">
        <v>181</v>
      </c>
      <c r="J896" t="s">
        <v>326</v>
      </c>
      <c r="K896">
        <v>1.2144137666133325E-4</v>
      </c>
      <c r="L896" t="s">
        <v>161</v>
      </c>
      <c r="N896" t="s">
        <v>204</v>
      </c>
      <c r="O896" t="s">
        <v>326</v>
      </c>
      <c r="P896">
        <v>1.3973353947160774E-6</v>
      </c>
      <c r="Q896" t="s">
        <v>161</v>
      </c>
      <c r="S896" t="s">
        <v>226</v>
      </c>
      <c r="T896" t="s">
        <v>326</v>
      </c>
      <c r="U896">
        <v>2.9631882518868021E-7</v>
      </c>
      <c r="V896" t="s">
        <v>161</v>
      </c>
    </row>
    <row r="897" spans="9:22" x14ac:dyDescent="0.45">
      <c r="I897" t="s">
        <v>181</v>
      </c>
      <c r="J897" t="s">
        <v>327</v>
      </c>
      <c r="K897">
        <v>1.0970499561263336E-4</v>
      </c>
      <c r="L897" t="s">
        <v>161</v>
      </c>
      <c r="N897" t="s">
        <v>204</v>
      </c>
      <c r="O897" t="s">
        <v>327</v>
      </c>
      <c r="P897">
        <v>7.9640539746743312E-6</v>
      </c>
      <c r="Q897" t="s">
        <v>161</v>
      </c>
      <c r="S897" t="s">
        <v>226</v>
      </c>
      <c r="T897" t="s">
        <v>327</v>
      </c>
      <c r="U897">
        <v>0</v>
      </c>
      <c r="V897" t="s">
        <v>161</v>
      </c>
    </row>
    <row r="898" spans="9:22" x14ac:dyDescent="0.45">
      <c r="I898" t="s">
        <v>181</v>
      </c>
      <c r="J898" t="s">
        <v>328</v>
      </c>
      <c r="K898">
        <v>5.3354618117874103E-5</v>
      </c>
      <c r="L898" t="s">
        <v>161</v>
      </c>
      <c r="N898" t="s">
        <v>204</v>
      </c>
      <c r="O898" t="s">
        <v>328</v>
      </c>
      <c r="P898">
        <v>1.857497017091097E-5</v>
      </c>
      <c r="Q898" t="s">
        <v>161</v>
      </c>
      <c r="S898" t="s">
        <v>226</v>
      </c>
      <c r="T898" t="s">
        <v>328</v>
      </c>
      <c r="U898">
        <v>0</v>
      </c>
      <c r="V898" t="s">
        <v>161</v>
      </c>
    </row>
    <row r="899" spans="9:22" x14ac:dyDescent="0.45">
      <c r="I899" t="s">
        <v>181</v>
      </c>
      <c r="J899" t="s">
        <v>329</v>
      </c>
      <c r="K899">
        <v>0</v>
      </c>
      <c r="L899" t="s">
        <v>161</v>
      </c>
      <c r="N899" t="s">
        <v>204</v>
      </c>
      <c r="O899" t="s">
        <v>329</v>
      </c>
      <c r="P899">
        <v>1.8596389504972197E-5</v>
      </c>
      <c r="Q899" t="s">
        <v>161</v>
      </c>
      <c r="S899" t="s">
        <v>226</v>
      </c>
      <c r="T899" t="s">
        <v>329</v>
      </c>
      <c r="U899">
        <v>4.5489458057510055E-7</v>
      </c>
      <c r="V899" t="s">
        <v>161</v>
      </c>
    </row>
    <row r="900" spans="9:22" x14ac:dyDescent="0.45">
      <c r="I900" t="s">
        <v>181</v>
      </c>
      <c r="J900" t="s">
        <v>330</v>
      </c>
      <c r="K900">
        <v>0</v>
      </c>
      <c r="L900" t="s">
        <v>161</v>
      </c>
      <c r="N900" t="s">
        <v>204</v>
      </c>
      <c r="O900" t="s">
        <v>330</v>
      </c>
      <c r="P900">
        <v>1.5185072793324273E-5</v>
      </c>
      <c r="Q900" t="s">
        <v>161</v>
      </c>
      <c r="S900" t="s">
        <v>226</v>
      </c>
      <c r="T900" t="s">
        <v>330</v>
      </c>
      <c r="U900">
        <v>3.5724551838376053E-6</v>
      </c>
      <c r="V900" t="s">
        <v>161</v>
      </c>
    </row>
    <row r="901" spans="9:22" x14ac:dyDescent="0.45">
      <c r="I901" t="s">
        <v>181</v>
      </c>
      <c r="J901" t="s">
        <v>331</v>
      </c>
      <c r="K901">
        <v>0</v>
      </c>
      <c r="L901" t="s">
        <v>161</v>
      </c>
      <c r="N901" t="s">
        <v>204</v>
      </c>
      <c r="O901" t="s">
        <v>331</v>
      </c>
      <c r="P901">
        <v>1.8424212995101281E-5</v>
      </c>
      <c r="Q901" t="s">
        <v>161</v>
      </c>
      <c r="S901" t="s">
        <v>226</v>
      </c>
      <c r="T901" t="s">
        <v>331</v>
      </c>
      <c r="U901">
        <v>4.0132138284324261E-6</v>
      </c>
      <c r="V901" t="s">
        <v>161</v>
      </c>
    </row>
    <row r="902" spans="9:22" x14ac:dyDescent="0.45">
      <c r="I902" t="s">
        <v>181</v>
      </c>
      <c r="J902" t="s">
        <v>332</v>
      </c>
      <c r="K902">
        <v>0</v>
      </c>
      <c r="L902" t="s">
        <v>161</v>
      </c>
      <c r="N902" t="s">
        <v>204</v>
      </c>
      <c r="O902" t="s">
        <v>332</v>
      </c>
      <c r="P902">
        <v>1.8468695376876361E-5</v>
      </c>
      <c r="Q902" t="s">
        <v>161</v>
      </c>
      <c r="S902" t="s">
        <v>226</v>
      </c>
      <c r="T902" t="s">
        <v>332</v>
      </c>
      <c r="U902">
        <v>3.7545400134883721E-6</v>
      </c>
      <c r="V902" t="s">
        <v>161</v>
      </c>
    </row>
    <row r="903" spans="9:22" x14ac:dyDescent="0.45">
      <c r="I903" t="s">
        <v>181</v>
      </c>
      <c r="J903" t="s">
        <v>333</v>
      </c>
      <c r="K903">
        <v>0</v>
      </c>
      <c r="L903" t="s">
        <v>161</v>
      </c>
      <c r="N903" t="s">
        <v>204</v>
      </c>
      <c r="O903" t="s">
        <v>333</v>
      </c>
      <c r="P903">
        <v>3.1213405297645659E-6</v>
      </c>
      <c r="Q903" t="s">
        <v>161</v>
      </c>
      <c r="S903" t="s">
        <v>226</v>
      </c>
      <c r="T903" t="s">
        <v>333</v>
      </c>
      <c r="U903">
        <v>4.0115160326982992E-6</v>
      </c>
      <c r="V903" t="s">
        <v>161</v>
      </c>
    </row>
    <row r="904" spans="9:22" x14ac:dyDescent="0.45">
      <c r="I904" t="s">
        <v>181</v>
      </c>
      <c r="J904" t="s">
        <v>334</v>
      </c>
      <c r="K904">
        <v>0</v>
      </c>
      <c r="L904" t="s">
        <v>161</v>
      </c>
      <c r="N904" t="s">
        <v>204</v>
      </c>
      <c r="O904" t="s">
        <v>334</v>
      </c>
      <c r="P904">
        <v>4.3946014879550722E-6</v>
      </c>
      <c r="Q904" t="s">
        <v>161</v>
      </c>
      <c r="S904" t="s">
        <v>226</v>
      </c>
      <c r="T904" t="s">
        <v>334</v>
      </c>
      <c r="U904">
        <v>3.3437721176759679E-6</v>
      </c>
      <c r="V904" t="s">
        <v>161</v>
      </c>
    </row>
    <row r="905" spans="9:22" x14ac:dyDescent="0.45">
      <c r="I905" t="s">
        <v>181</v>
      </c>
      <c r="J905" t="s">
        <v>164</v>
      </c>
      <c r="K905">
        <v>5.1850665656163093E-3</v>
      </c>
      <c r="L905" t="s">
        <v>161</v>
      </c>
      <c r="N905" t="s">
        <v>204</v>
      </c>
      <c r="O905" t="s">
        <v>164</v>
      </c>
      <c r="P905">
        <v>3.5213730634798372E-2</v>
      </c>
      <c r="Q905" t="s">
        <v>161</v>
      </c>
      <c r="S905" t="s">
        <v>226</v>
      </c>
      <c r="T905" t="s">
        <v>164</v>
      </c>
      <c r="U905">
        <v>3.68630893565575E-2</v>
      </c>
      <c r="V905" t="s">
        <v>161</v>
      </c>
    </row>
    <row r="906" spans="9:22" x14ac:dyDescent="0.45">
      <c r="I906" t="s">
        <v>181</v>
      </c>
      <c r="J906" t="s">
        <v>165</v>
      </c>
      <c r="K906">
        <v>7.6964582400121384E-3</v>
      </c>
      <c r="L906" t="s">
        <v>161</v>
      </c>
      <c r="N906" t="s">
        <v>204</v>
      </c>
      <c r="O906" t="s">
        <v>165</v>
      </c>
      <c r="P906">
        <v>4.1426659746741775E-3</v>
      </c>
      <c r="Q906" t="s">
        <v>161</v>
      </c>
      <c r="S906" t="s">
        <v>226</v>
      </c>
      <c r="T906" t="s">
        <v>165</v>
      </c>
      <c r="U906">
        <v>4.2071699037596125E-3</v>
      </c>
      <c r="V906" t="s">
        <v>161</v>
      </c>
    </row>
    <row r="907" spans="9:22" x14ac:dyDescent="0.45">
      <c r="I907" t="s">
        <v>181</v>
      </c>
      <c r="J907" t="s">
        <v>166</v>
      </c>
      <c r="K907">
        <v>9.1045407504517867E-2</v>
      </c>
      <c r="L907" t="s">
        <v>161</v>
      </c>
      <c r="N907" t="s">
        <v>204</v>
      </c>
      <c r="O907" t="s">
        <v>166</v>
      </c>
      <c r="P907">
        <v>2.8697892489554074E-2</v>
      </c>
      <c r="Q907" t="s">
        <v>161</v>
      </c>
      <c r="S907" t="s">
        <v>226</v>
      </c>
      <c r="T907" t="s">
        <v>166</v>
      </c>
      <c r="U907">
        <v>3.3053483512245935E-2</v>
      </c>
      <c r="V907" t="s">
        <v>161</v>
      </c>
    </row>
    <row r="908" spans="9:22" x14ac:dyDescent="0.45">
      <c r="I908" t="s">
        <v>181</v>
      </c>
      <c r="J908" t="s">
        <v>244</v>
      </c>
      <c r="K908">
        <v>1.0174531679126637E-2</v>
      </c>
      <c r="L908" t="s">
        <v>161</v>
      </c>
      <c r="N908" t="s">
        <v>204</v>
      </c>
      <c r="O908" t="s">
        <v>244</v>
      </c>
      <c r="P908">
        <v>4.3918784085807665E-3</v>
      </c>
      <c r="Q908" t="s">
        <v>161</v>
      </c>
      <c r="S908" t="s">
        <v>226</v>
      </c>
      <c r="T908" t="s">
        <v>244</v>
      </c>
      <c r="U908">
        <v>4.744258558608213E-3</v>
      </c>
      <c r="V908" t="s">
        <v>161</v>
      </c>
    </row>
    <row r="909" spans="9:22" x14ac:dyDescent="0.45">
      <c r="I909" t="s">
        <v>181</v>
      </c>
      <c r="J909" t="s">
        <v>245</v>
      </c>
      <c r="K909">
        <v>7.5912440339797639E-3</v>
      </c>
      <c r="L909" t="s">
        <v>161</v>
      </c>
      <c r="N909" t="s">
        <v>204</v>
      </c>
      <c r="O909" t="s">
        <v>245</v>
      </c>
      <c r="P909">
        <v>4.2851119406647469E-3</v>
      </c>
      <c r="Q909" t="s">
        <v>161</v>
      </c>
      <c r="S909" t="s">
        <v>226</v>
      </c>
      <c r="T909" t="s">
        <v>245</v>
      </c>
      <c r="U909">
        <v>4.5993112958074098E-3</v>
      </c>
      <c r="V909" t="s">
        <v>161</v>
      </c>
    </row>
    <row r="910" spans="9:22" x14ac:dyDescent="0.45">
      <c r="I910" t="s">
        <v>181</v>
      </c>
      <c r="J910" t="s">
        <v>267</v>
      </c>
      <c r="K910">
        <v>5.9922020501980292E-3</v>
      </c>
      <c r="L910" t="s">
        <v>161</v>
      </c>
      <c r="N910" t="s">
        <v>204</v>
      </c>
      <c r="O910" t="s">
        <v>267</v>
      </c>
      <c r="P910">
        <v>2.7766754566801017E-2</v>
      </c>
      <c r="Q910" t="s">
        <v>161</v>
      </c>
      <c r="S910" t="s">
        <v>226</v>
      </c>
      <c r="T910" t="s">
        <v>267</v>
      </c>
      <c r="U910">
        <v>2.9149510497502185E-2</v>
      </c>
      <c r="V910" t="s">
        <v>161</v>
      </c>
    </row>
    <row r="911" spans="9:22" x14ac:dyDescent="0.45">
      <c r="I911" t="s">
        <v>181</v>
      </c>
      <c r="J911" t="s">
        <v>167</v>
      </c>
      <c r="K911">
        <v>3.9423642987852621E-2</v>
      </c>
      <c r="L911" t="s">
        <v>161</v>
      </c>
      <c r="N911" t="s">
        <v>204</v>
      </c>
      <c r="O911" t="s">
        <v>167</v>
      </c>
      <c r="P911">
        <v>5.692055357472358E-2</v>
      </c>
      <c r="Q911" t="s">
        <v>161</v>
      </c>
      <c r="S911" t="s">
        <v>226</v>
      </c>
      <c r="T911" t="s">
        <v>167</v>
      </c>
      <c r="U911">
        <v>5.7729482912231282E-2</v>
      </c>
      <c r="V911" t="s">
        <v>161</v>
      </c>
    </row>
    <row r="912" spans="9:22" x14ac:dyDescent="0.45">
      <c r="I912" t="s">
        <v>181</v>
      </c>
      <c r="J912" t="s">
        <v>168</v>
      </c>
      <c r="K912">
        <v>3.0047914963205059E-2</v>
      </c>
      <c r="L912" t="s">
        <v>161</v>
      </c>
      <c r="N912" t="s">
        <v>204</v>
      </c>
      <c r="O912" t="s">
        <v>168</v>
      </c>
      <c r="P912">
        <v>6.9535364801071812E-3</v>
      </c>
      <c r="Q912" t="s">
        <v>161</v>
      </c>
      <c r="S912" t="s">
        <v>226</v>
      </c>
      <c r="T912" t="s">
        <v>168</v>
      </c>
      <c r="U912">
        <v>7.2188633377459812E-3</v>
      </c>
      <c r="V912" t="s">
        <v>161</v>
      </c>
    </row>
    <row r="913" spans="9:22" x14ac:dyDescent="0.45">
      <c r="I913" t="s">
        <v>181</v>
      </c>
      <c r="J913" t="s">
        <v>169</v>
      </c>
      <c r="K913">
        <v>0.26312586836211427</v>
      </c>
      <c r="L913" t="s">
        <v>161</v>
      </c>
      <c r="N913" t="s">
        <v>204</v>
      </c>
      <c r="O913" t="s">
        <v>169</v>
      </c>
      <c r="P913">
        <v>5.4726397607387622E-2</v>
      </c>
      <c r="Q913" t="s">
        <v>161</v>
      </c>
      <c r="S913" t="s">
        <v>226</v>
      </c>
      <c r="T913" t="s">
        <v>169</v>
      </c>
      <c r="U913">
        <v>5.0350698667112788E-2</v>
      </c>
      <c r="V913" t="s">
        <v>161</v>
      </c>
    </row>
    <row r="914" spans="9:22" x14ac:dyDescent="0.45">
      <c r="I914" t="s">
        <v>181</v>
      </c>
      <c r="J914" t="s">
        <v>246</v>
      </c>
      <c r="K914">
        <v>3.0914550246333095E-2</v>
      </c>
      <c r="L914" t="s">
        <v>161</v>
      </c>
      <c r="N914" t="s">
        <v>204</v>
      </c>
      <c r="O914" t="s">
        <v>246</v>
      </c>
      <c r="P914">
        <v>8.0229646380047277E-3</v>
      </c>
      <c r="Q914" t="s">
        <v>161</v>
      </c>
      <c r="S914" t="s">
        <v>226</v>
      </c>
      <c r="T914" t="s">
        <v>246</v>
      </c>
      <c r="U914">
        <v>7.2502914024162252E-3</v>
      </c>
      <c r="V914" t="s">
        <v>161</v>
      </c>
    </row>
    <row r="915" spans="9:22" x14ac:dyDescent="0.45">
      <c r="I915" t="s">
        <v>181</v>
      </c>
      <c r="J915" t="s">
        <v>247</v>
      </c>
      <c r="K915">
        <v>2.5882582958555844E-2</v>
      </c>
      <c r="L915" t="s">
        <v>161</v>
      </c>
      <c r="N915" t="s">
        <v>204</v>
      </c>
      <c r="O915" t="s">
        <v>247</v>
      </c>
      <c r="P915">
        <v>7.1320449700298712E-3</v>
      </c>
      <c r="Q915" t="s">
        <v>161</v>
      </c>
      <c r="S915" t="s">
        <v>226</v>
      </c>
      <c r="T915" t="s">
        <v>247</v>
      </c>
      <c r="U915">
        <v>6.826594766260209E-3</v>
      </c>
      <c r="V915" t="s">
        <v>161</v>
      </c>
    </row>
    <row r="916" spans="9:22" x14ac:dyDescent="0.45">
      <c r="I916" t="s">
        <v>181</v>
      </c>
      <c r="J916" t="s">
        <v>268</v>
      </c>
      <c r="K916">
        <v>3.885196389596713E-2</v>
      </c>
      <c r="L916" t="s">
        <v>161</v>
      </c>
      <c r="N916" t="s">
        <v>204</v>
      </c>
      <c r="O916" t="s">
        <v>268</v>
      </c>
      <c r="P916">
        <v>4.4768832426781729E-2</v>
      </c>
      <c r="Q916" t="s">
        <v>161</v>
      </c>
      <c r="S916" t="s">
        <v>226</v>
      </c>
      <c r="T916" t="s">
        <v>268</v>
      </c>
      <c r="U916">
        <v>4.6012374049959198E-2</v>
      </c>
      <c r="V916" t="s">
        <v>161</v>
      </c>
    </row>
    <row r="917" spans="9:22" x14ac:dyDescent="0.45">
      <c r="I917" t="s">
        <v>181</v>
      </c>
      <c r="J917" t="s">
        <v>170</v>
      </c>
      <c r="K917">
        <v>1.221710118419945E-2</v>
      </c>
      <c r="L917" t="s">
        <v>161</v>
      </c>
      <c r="N917" t="s">
        <v>204</v>
      </c>
      <c r="O917" t="s">
        <v>170</v>
      </c>
      <c r="P917">
        <v>3.3380270048833732E-2</v>
      </c>
      <c r="Q917" t="s">
        <v>161</v>
      </c>
      <c r="S917" t="s">
        <v>226</v>
      </c>
      <c r="T917" t="s">
        <v>170</v>
      </c>
      <c r="U917">
        <v>3.4619026300045222E-2</v>
      </c>
      <c r="V917" t="s">
        <v>161</v>
      </c>
    </row>
    <row r="918" spans="9:22" x14ac:dyDescent="0.45">
      <c r="I918" t="s">
        <v>181</v>
      </c>
      <c r="J918" t="s">
        <v>171</v>
      </c>
      <c r="K918">
        <v>1.2800242920715778E-2</v>
      </c>
      <c r="L918" t="s">
        <v>161</v>
      </c>
      <c r="N918" t="s">
        <v>204</v>
      </c>
      <c r="O918" t="s">
        <v>171</v>
      </c>
      <c r="P918">
        <v>3.9081155407070791E-3</v>
      </c>
      <c r="Q918" t="s">
        <v>161</v>
      </c>
      <c r="S918" t="s">
        <v>226</v>
      </c>
      <c r="T918" t="s">
        <v>171</v>
      </c>
      <c r="U918">
        <v>3.8930863992612964E-3</v>
      </c>
      <c r="V918" t="s">
        <v>161</v>
      </c>
    </row>
    <row r="919" spans="9:22" x14ac:dyDescent="0.45">
      <c r="I919" t="s">
        <v>181</v>
      </c>
      <c r="J919" t="s">
        <v>172</v>
      </c>
      <c r="K919">
        <v>0.12221346187346399</v>
      </c>
      <c r="L919" t="s">
        <v>161</v>
      </c>
      <c r="N919" t="s">
        <v>204</v>
      </c>
      <c r="O919" t="s">
        <v>172</v>
      </c>
      <c r="P919">
        <v>2.9965006375635681E-2</v>
      </c>
      <c r="Q919" t="s">
        <v>161</v>
      </c>
      <c r="S919" t="s">
        <v>226</v>
      </c>
      <c r="T919" t="s">
        <v>172</v>
      </c>
      <c r="U919">
        <v>2.7980756850346702E-2</v>
      </c>
      <c r="V919" t="s">
        <v>161</v>
      </c>
    </row>
    <row r="920" spans="9:22" x14ac:dyDescent="0.45">
      <c r="I920" t="s">
        <v>181</v>
      </c>
      <c r="J920" t="s">
        <v>248</v>
      </c>
      <c r="K920">
        <v>1.3965884758494748E-2</v>
      </c>
      <c r="L920" t="s">
        <v>161</v>
      </c>
      <c r="N920" t="s">
        <v>204</v>
      </c>
      <c r="O920" t="s">
        <v>248</v>
      </c>
      <c r="P920">
        <v>3.9959574395203815E-3</v>
      </c>
      <c r="Q920" t="s">
        <v>161</v>
      </c>
      <c r="S920" t="s">
        <v>226</v>
      </c>
      <c r="T920" t="s">
        <v>248</v>
      </c>
      <c r="U920">
        <v>3.9441236049374134E-3</v>
      </c>
      <c r="V920" t="s">
        <v>161</v>
      </c>
    </row>
    <row r="921" spans="9:22" x14ac:dyDescent="0.45">
      <c r="I921" t="s">
        <v>181</v>
      </c>
      <c r="J921" t="s">
        <v>249</v>
      </c>
      <c r="K921">
        <v>1.1647998773244893E-2</v>
      </c>
      <c r="L921" t="s">
        <v>161</v>
      </c>
      <c r="N921" t="s">
        <v>204</v>
      </c>
      <c r="O921" t="s">
        <v>249</v>
      </c>
      <c r="P921">
        <v>3.6639770412197751E-3</v>
      </c>
      <c r="Q921" t="s">
        <v>161</v>
      </c>
      <c r="S921" t="s">
        <v>226</v>
      </c>
      <c r="T921" t="s">
        <v>249</v>
      </c>
      <c r="U921">
        <v>3.7356816471158022E-3</v>
      </c>
      <c r="V921" t="s">
        <v>161</v>
      </c>
    </row>
    <row r="922" spans="9:22" x14ac:dyDescent="0.45">
      <c r="I922" t="s">
        <v>181</v>
      </c>
      <c r="J922" t="s">
        <v>269</v>
      </c>
      <c r="K922">
        <v>1.3560764736178444E-2</v>
      </c>
      <c r="L922" t="s">
        <v>161</v>
      </c>
      <c r="N922" t="s">
        <v>204</v>
      </c>
      <c r="O922" t="s">
        <v>269</v>
      </c>
      <c r="P922">
        <v>2.4180501542639132E-2</v>
      </c>
      <c r="Q922" t="s">
        <v>161</v>
      </c>
      <c r="S922" t="s">
        <v>226</v>
      </c>
      <c r="T922" t="s">
        <v>269</v>
      </c>
      <c r="U922">
        <v>2.7304143890402165E-2</v>
      </c>
      <c r="V922" t="s">
        <v>161</v>
      </c>
    </row>
    <row r="923" spans="9:22" x14ac:dyDescent="0.45">
      <c r="I923" t="s">
        <v>181</v>
      </c>
      <c r="J923" t="s">
        <v>362</v>
      </c>
      <c r="K923">
        <v>0</v>
      </c>
      <c r="L923" t="s">
        <v>161</v>
      </c>
      <c r="N923" t="s">
        <v>204</v>
      </c>
      <c r="O923" t="s">
        <v>362</v>
      </c>
      <c r="P923">
        <v>2.4790513688870934E-7</v>
      </c>
      <c r="Q923" t="s">
        <v>161</v>
      </c>
      <c r="S923" t="s">
        <v>226</v>
      </c>
      <c r="T923" t="s">
        <v>362</v>
      </c>
      <c r="U923">
        <v>2.4917340804402059E-5</v>
      </c>
      <c r="V923" t="s">
        <v>161</v>
      </c>
    </row>
    <row r="924" spans="9:22" x14ac:dyDescent="0.45">
      <c r="I924" t="s">
        <v>181</v>
      </c>
      <c r="J924" t="s">
        <v>363</v>
      </c>
      <c r="K924">
        <v>0</v>
      </c>
      <c r="L924" t="s">
        <v>161</v>
      </c>
      <c r="N924" t="s">
        <v>204</v>
      </c>
      <c r="O924" t="s">
        <v>363</v>
      </c>
      <c r="P924">
        <v>1.6580080498409237E-7</v>
      </c>
      <c r="Q924" t="s">
        <v>161</v>
      </c>
      <c r="S924" t="s">
        <v>226</v>
      </c>
      <c r="T924" t="s">
        <v>363</v>
      </c>
      <c r="U924">
        <v>2.8209841185352856E-5</v>
      </c>
      <c r="V924" t="s">
        <v>161</v>
      </c>
    </row>
    <row r="925" spans="9:22" x14ac:dyDescent="0.45">
      <c r="I925" t="s">
        <v>181</v>
      </c>
      <c r="J925" t="s">
        <v>364</v>
      </c>
      <c r="K925">
        <v>0</v>
      </c>
      <c r="L925" t="s">
        <v>161</v>
      </c>
      <c r="N925" t="s">
        <v>204</v>
      </c>
      <c r="O925" t="s">
        <v>364</v>
      </c>
      <c r="P925">
        <v>2.5778773082944421E-7</v>
      </c>
      <c r="Q925" t="s">
        <v>161</v>
      </c>
      <c r="S925" t="s">
        <v>226</v>
      </c>
      <c r="T925" t="s">
        <v>364</v>
      </c>
      <c r="U925">
        <v>3.2714482737833267E-5</v>
      </c>
      <c r="V925" t="s">
        <v>161</v>
      </c>
    </row>
    <row r="926" spans="9:22" x14ac:dyDescent="0.45">
      <c r="I926" t="s">
        <v>181</v>
      </c>
      <c r="J926" t="s">
        <v>365</v>
      </c>
      <c r="K926">
        <v>0</v>
      </c>
      <c r="L926" t="s">
        <v>161</v>
      </c>
      <c r="N926" t="s">
        <v>204</v>
      </c>
      <c r="O926" t="s">
        <v>365</v>
      </c>
      <c r="P926">
        <v>1.5415765156803491E-7</v>
      </c>
      <c r="Q926" t="s">
        <v>161</v>
      </c>
      <c r="S926" t="s">
        <v>226</v>
      </c>
      <c r="T926" t="s">
        <v>365</v>
      </c>
      <c r="U926">
        <v>3.515137520452951E-5</v>
      </c>
      <c r="V926" t="s">
        <v>161</v>
      </c>
    </row>
    <row r="927" spans="9:22" x14ac:dyDescent="0.45">
      <c r="I927" t="s">
        <v>181</v>
      </c>
      <c r="J927" t="s">
        <v>366</v>
      </c>
      <c r="K927">
        <v>0</v>
      </c>
      <c r="L927" t="s">
        <v>161</v>
      </c>
      <c r="N927" t="s">
        <v>204</v>
      </c>
      <c r="O927" t="s">
        <v>366</v>
      </c>
      <c r="P927">
        <v>7.1658298186404583E-8</v>
      </c>
      <c r="Q927" t="s">
        <v>161</v>
      </c>
      <c r="S927" t="s">
        <v>226</v>
      </c>
      <c r="T927" t="s">
        <v>366</v>
      </c>
      <c r="U927">
        <v>3.2550140260295001E-5</v>
      </c>
      <c r="V927" t="s">
        <v>161</v>
      </c>
    </row>
    <row r="928" spans="9:22" x14ac:dyDescent="0.45">
      <c r="I928" t="s">
        <v>181</v>
      </c>
      <c r="J928" t="s">
        <v>367</v>
      </c>
      <c r="K928">
        <v>0</v>
      </c>
      <c r="L928" t="s">
        <v>161</v>
      </c>
      <c r="N928" t="s">
        <v>204</v>
      </c>
      <c r="O928" t="s">
        <v>367</v>
      </c>
      <c r="P928">
        <v>2.0024894767210738E-8</v>
      </c>
      <c r="Q928" t="s">
        <v>161</v>
      </c>
      <c r="S928" t="s">
        <v>226</v>
      </c>
      <c r="T928" t="s">
        <v>367</v>
      </c>
      <c r="U928">
        <v>2.6775379763022482E-5</v>
      </c>
      <c r="V928" t="s">
        <v>161</v>
      </c>
    </row>
    <row r="929" spans="9:22" x14ac:dyDescent="0.45">
      <c r="I929" t="s">
        <v>181</v>
      </c>
      <c r="J929" t="s">
        <v>368</v>
      </c>
      <c r="K929">
        <v>1.2770033940420763E-4</v>
      </c>
      <c r="L929" t="s">
        <v>161</v>
      </c>
      <c r="N929" t="s">
        <v>204</v>
      </c>
      <c r="O929" t="s">
        <v>368</v>
      </c>
      <c r="P929">
        <v>2.8444920007239973E-8</v>
      </c>
      <c r="Q929" t="s">
        <v>161</v>
      </c>
      <c r="S929" t="s">
        <v>226</v>
      </c>
      <c r="T929" t="s">
        <v>368</v>
      </c>
      <c r="U929">
        <v>1.8608571033223401E-5</v>
      </c>
      <c r="V929" t="s">
        <v>161</v>
      </c>
    </row>
    <row r="930" spans="9:22" x14ac:dyDescent="0.45">
      <c r="I930" t="s">
        <v>181</v>
      </c>
      <c r="J930" t="s">
        <v>369</v>
      </c>
      <c r="K930">
        <v>2.4273859232183049E-4</v>
      </c>
      <c r="L930" t="s">
        <v>161</v>
      </c>
      <c r="N930" t="s">
        <v>204</v>
      </c>
      <c r="O930" t="s">
        <v>369</v>
      </c>
      <c r="P930">
        <v>4.6949513248551663E-9</v>
      </c>
      <c r="Q930" t="s">
        <v>161</v>
      </c>
      <c r="S930" t="s">
        <v>226</v>
      </c>
      <c r="T930" t="s">
        <v>369</v>
      </c>
      <c r="U930">
        <v>6.678430379255945E-6</v>
      </c>
      <c r="V930" t="s">
        <v>161</v>
      </c>
    </row>
    <row r="931" spans="9:22" x14ac:dyDescent="0.45">
      <c r="I931" t="s">
        <v>181</v>
      </c>
      <c r="J931" t="s">
        <v>370</v>
      </c>
      <c r="K931">
        <v>3.3891300475382959E-4</v>
      </c>
      <c r="L931" t="s">
        <v>161</v>
      </c>
      <c r="N931" t="s">
        <v>204</v>
      </c>
      <c r="O931" t="s">
        <v>370</v>
      </c>
      <c r="P931">
        <v>4.5170890874099666E-8</v>
      </c>
      <c r="Q931" t="s">
        <v>161</v>
      </c>
      <c r="S931" t="s">
        <v>226</v>
      </c>
      <c r="T931" t="s">
        <v>370</v>
      </c>
      <c r="U931">
        <v>5.6497696719823476E-6</v>
      </c>
      <c r="V931" t="s">
        <v>161</v>
      </c>
    </row>
    <row r="932" spans="9:22" x14ac:dyDescent="0.45">
      <c r="I932" t="s">
        <v>181</v>
      </c>
      <c r="J932" t="s">
        <v>371</v>
      </c>
      <c r="K932">
        <v>4.4613912193658791E-4</v>
      </c>
      <c r="L932" t="s">
        <v>161</v>
      </c>
      <c r="N932" t="s">
        <v>204</v>
      </c>
      <c r="O932" t="s">
        <v>371</v>
      </c>
      <c r="P932">
        <v>8.6091275173214967E-9</v>
      </c>
      <c r="Q932" t="s">
        <v>161</v>
      </c>
      <c r="S932" t="s">
        <v>226</v>
      </c>
      <c r="T932" t="s">
        <v>371</v>
      </c>
      <c r="U932">
        <v>1.147559826695724E-5</v>
      </c>
      <c r="V932" t="s">
        <v>161</v>
      </c>
    </row>
    <row r="933" spans="9:22" x14ac:dyDescent="0.45">
      <c r="I933" t="s">
        <v>181</v>
      </c>
      <c r="J933" t="s">
        <v>372</v>
      </c>
      <c r="K933">
        <v>4.4724898400125968E-4</v>
      </c>
      <c r="L933" t="s">
        <v>161</v>
      </c>
      <c r="N933" t="s">
        <v>204</v>
      </c>
      <c r="O933" t="s">
        <v>372</v>
      </c>
      <c r="P933">
        <v>6.2254140045263182E-9</v>
      </c>
      <c r="Q933" t="s">
        <v>161</v>
      </c>
      <c r="S933" t="s">
        <v>226</v>
      </c>
      <c r="T933" t="s">
        <v>372</v>
      </c>
      <c r="U933">
        <v>1.5937018217978104E-5</v>
      </c>
      <c r="V933" t="s">
        <v>161</v>
      </c>
    </row>
    <row r="934" spans="9:22" x14ac:dyDescent="0.45">
      <c r="I934" t="s">
        <v>181</v>
      </c>
      <c r="J934" t="s">
        <v>373</v>
      </c>
      <c r="K934">
        <v>4.5943970914563351E-4</v>
      </c>
      <c r="L934" t="s">
        <v>161</v>
      </c>
      <c r="N934" t="s">
        <v>204</v>
      </c>
      <c r="O934" t="s">
        <v>373</v>
      </c>
      <c r="P934">
        <v>2.2466475257715412E-8</v>
      </c>
      <c r="Q934" t="s">
        <v>161</v>
      </c>
      <c r="S934" t="s">
        <v>226</v>
      </c>
      <c r="T934" t="s">
        <v>373</v>
      </c>
      <c r="U934">
        <v>1.2797725775823497E-5</v>
      </c>
      <c r="V934" t="s">
        <v>161</v>
      </c>
    </row>
    <row r="935" spans="9:22" x14ac:dyDescent="0.45">
      <c r="I935" t="s">
        <v>181</v>
      </c>
      <c r="J935" t="s">
        <v>374</v>
      </c>
      <c r="K935">
        <v>4.5547276739910976E-4</v>
      </c>
      <c r="L935" t="s">
        <v>161</v>
      </c>
      <c r="N935" t="s">
        <v>204</v>
      </c>
      <c r="O935" t="s">
        <v>374</v>
      </c>
      <c r="P935">
        <v>2.0574260658439728E-8</v>
      </c>
      <c r="Q935" t="s">
        <v>161</v>
      </c>
      <c r="S935" t="s">
        <v>226</v>
      </c>
      <c r="T935" t="s">
        <v>374</v>
      </c>
      <c r="U935">
        <v>8.7455223277875608E-6</v>
      </c>
      <c r="V935" t="s">
        <v>161</v>
      </c>
    </row>
    <row r="936" spans="9:22" x14ac:dyDescent="0.45">
      <c r="I936" t="s">
        <v>181</v>
      </c>
      <c r="J936" t="s">
        <v>375</v>
      </c>
      <c r="K936">
        <v>3.7592750292286944E-4</v>
      </c>
      <c r="L936" t="s">
        <v>161</v>
      </c>
      <c r="N936" t="s">
        <v>204</v>
      </c>
      <c r="O936" t="s">
        <v>375</v>
      </c>
      <c r="P936">
        <v>1.3893655859341659E-9</v>
      </c>
      <c r="Q936" t="s">
        <v>161</v>
      </c>
      <c r="S936" t="s">
        <v>226</v>
      </c>
      <c r="T936" t="s">
        <v>375</v>
      </c>
      <c r="U936">
        <v>6.1631703395005471E-6</v>
      </c>
      <c r="V936" t="s">
        <v>161</v>
      </c>
    </row>
    <row r="937" spans="9:22" x14ac:dyDescent="0.45">
      <c r="I937" t="s">
        <v>181</v>
      </c>
      <c r="J937" t="s">
        <v>376</v>
      </c>
      <c r="K937">
        <v>3.4584278665442559E-4</v>
      </c>
      <c r="L937" t="s">
        <v>161</v>
      </c>
      <c r="N937" t="s">
        <v>204</v>
      </c>
      <c r="O937" t="s">
        <v>376</v>
      </c>
      <c r="P937">
        <v>0</v>
      </c>
      <c r="Q937" t="s">
        <v>161</v>
      </c>
      <c r="S937" t="s">
        <v>226</v>
      </c>
      <c r="T937" t="s">
        <v>376</v>
      </c>
      <c r="U937">
        <v>1.5291063721154988E-6</v>
      </c>
      <c r="V937" t="s">
        <v>161</v>
      </c>
    </row>
    <row r="938" spans="9:22" x14ac:dyDescent="0.45">
      <c r="I938" t="s">
        <v>181</v>
      </c>
      <c r="J938" t="s">
        <v>377</v>
      </c>
      <c r="K938">
        <v>2.5846900022522906E-4</v>
      </c>
      <c r="L938" t="s">
        <v>161</v>
      </c>
      <c r="N938" t="s">
        <v>204</v>
      </c>
      <c r="O938" t="s">
        <v>377</v>
      </c>
      <c r="P938">
        <v>0</v>
      </c>
      <c r="Q938" t="s">
        <v>161</v>
      </c>
      <c r="S938" t="s">
        <v>226</v>
      </c>
      <c r="T938" t="s">
        <v>377</v>
      </c>
      <c r="U938">
        <v>7.4759868935545765E-7</v>
      </c>
      <c r="V938" t="s">
        <v>161</v>
      </c>
    </row>
    <row r="939" spans="9:22" x14ac:dyDescent="0.45">
      <c r="I939" t="s">
        <v>181</v>
      </c>
      <c r="J939" t="s">
        <v>378</v>
      </c>
      <c r="K939">
        <v>2.0773482914189739E-4</v>
      </c>
      <c r="L939" t="s">
        <v>161</v>
      </c>
      <c r="N939" t="s">
        <v>204</v>
      </c>
      <c r="O939" t="s">
        <v>378</v>
      </c>
      <c r="P939">
        <v>0</v>
      </c>
      <c r="Q939" t="s">
        <v>161</v>
      </c>
      <c r="S939" t="s">
        <v>226</v>
      </c>
      <c r="T939" t="s">
        <v>378</v>
      </c>
      <c r="U939">
        <v>0</v>
      </c>
      <c r="V939" t="s">
        <v>161</v>
      </c>
    </row>
    <row r="940" spans="9:22" x14ac:dyDescent="0.45">
      <c r="I940" t="s">
        <v>181</v>
      </c>
      <c r="J940" t="s">
        <v>379</v>
      </c>
      <c r="K940">
        <v>1.775948550595859E-4</v>
      </c>
      <c r="L940" t="s">
        <v>161</v>
      </c>
      <c r="N940" t="s">
        <v>204</v>
      </c>
      <c r="O940" t="s">
        <v>379</v>
      </c>
      <c r="P940">
        <v>6.2954862994577563E-8</v>
      </c>
      <c r="Q940" t="s">
        <v>161</v>
      </c>
      <c r="S940" t="s">
        <v>226</v>
      </c>
      <c r="T940" t="s">
        <v>379</v>
      </c>
      <c r="U940">
        <v>0</v>
      </c>
      <c r="V940" t="s">
        <v>161</v>
      </c>
    </row>
    <row r="941" spans="9:22" x14ac:dyDescent="0.45">
      <c r="I941" t="s">
        <v>181</v>
      </c>
      <c r="J941" t="s">
        <v>380</v>
      </c>
      <c r="K941">
        <v>1.1531429965926186E-4</v>
      </c>
      <c r="L941" t="s">
        <v>161</v>
      </c>
      <c r="N941" t="s">
        <v>204</v>
      </c>
      <c r="O941" t="s">
        <v>380</v>
      </c>
      <c r="P941">
        <v>3.413377127101419E-6</v>
      </c>
      <c r="Q941" t="s">
        <v>161</v>
      </c>
      <c r="S941" t="s">
        <v>226</v>
      </c>
      <c r="T941" t="s">
        <v>380</v>
      </c>
      <c r="U941">
        <v>0</v>
      </c>
      <c r="V941" t="s">
        <v>161</v>
      </c>
    </row>
    <row r="942" spans="9:22" x14ac:dyDescent="0.45">
      <c r="I942" t="s">
        <v>181</v>
      </c>
      <c r="J942" t="s">
        <v>381</v>
      </c>
      <c r="K942">
        <v>8.1717221518467608E-5</v>
      </c>
      <c r="L942" t="s">
        <v>161</v>
      </c>
      <c r="N942" t="s">
        <v>204</v>
      </c>
      <c r="O942" t="s">
        <v>381</v>
      </c>
      <c r="P942">
        <v>1.4043406301105928E-5</v>
      </c>
      <c r="Q942" t="s">
        <v>161</v>
      </c>
      <c r="S942" t="s">
        <v>226</v>
      </c>
      <c r="T942" t="s">
        <v>381</v>
      </c>
      <c r="U942">
        <v>1.2855810450346763E-7</v>
      </c>
      <c r="V942" t="s">
        <v>161</v>
      </c>
    </row>
    <row r="943" spans="9:22" x14ac:dyDescent="0.45">
      <c r="I943" t="s">
        <v>181</v>
      </c>
      <c r="J943" t="s">
        <v>382</v>
      </c>
      <c r="K943">
        <v>0</v>
      </c>
      <c r="L943" t="s">
        <v>161</v>
      </c>
      <c r="N943" t="s">
        <v>204</v>
      </c>
      <c r="O943" t="s">
        <v>382</v>
      </c>
      <c r="P943">
        <v>2.1516033329577297E-5</v>
      </c>
      <c r="Q943" t="s">
        <v>161</v>
      </c>
      <c r="S943" t="s">
        <v>226</v>
      </c>
      <c r="T943" t="s">
        <v>382</v>
      </c>
      <c r="U943">
        <v>3.074805251398952E-6</v>
      </c>
      <c r="V943" t="s">
        <v>161</v>
      </c>
    </row>
    <row r="944" spans="9:22" x14ac:dyDescent="0.45">
      <c r="I944" t="s">
        <v>181</v>
      </c>
      <c r="J944" t="s">
        <v>383</v>
      </c>
      <c r="K944">
        <v>0</v>
      </c>
      <c r="L944" t="s">
        <v>161</v>
      </c>
      <c r="N944" t="s">
        <v>204</v>
      </c>
      <c r="O944" t="s">
        <v>383</v>
      </c>
      <c r="P944">
        <v>2.1955859961696972E-5</v>
      </c>
      <c r="Q944" t="s">
        <v>161</v>
      </c>
      <c r="S944" t="s">
        <v>226</v>
      </c>
      <c r="T944" t="s">
        <v>383</v>
      </c>
      <c r="U944">
        <v>4.3050680652719469E-6</v>
      </c>
      <c r="V944" t="s">
        <v>161</v>
      </c>
    </row>
    <row r="945" spans="9:22" x14ac:dyDescent="0.45">
      <c r="I945" t="s">
        <v>181</v>
      </c>
      <c r="J945" t="s">
        <v>384</v>
      </c>
      <c r="K945">
        <v>0</v>
      </c>
      <c r="L945" t="s">
        <v>161</v>
      </c>
      <c r="N945" t="s">
        <v>204</v>
      </c>
      <c r="O945" t="s">
        <v>384</v>
      </c>
      <c r="P945">
        <v>2.6179157768645419E-5</v>
      </c>
      <c r="Q945" t="s">
        <v>161</v>
      </c>
      <c r="S945" t="s">
        <v>226</v>
      </c>
      <c r="T945" t="s">
        <v>384</v>
      </c>
      <c r="U945">
        <v>5.7776693316222723E-6</v>
      </c>
      <c r="V945" t="s">
        <v>161</v>
      </c>
    </row>
    <row r="946" spans="9:22" x14ac:dyDescent="0.45">
      <c r="I946" t="s">
        <v>181</v>
      </c>
      <c r="J946" t="s">
        <v>385</v>
      </c>
      <c r="K946">
        <v>0</v>
      </c>
      <c r="L946" t="s">
        <v>161</v>
      </c>
      <c r="N946" t="s">
        <v>204</v>
      </c>
      <c r="O946" t="s">
        <v>385</v>
      </c>
      <c r="P946">
        <v>2.3292693650089892E-5</v>
      </c>
      <c r="Q946" t="s">
        <v>161</v>
      </c>
      <c r="S946" t="s">
        <v>226</v>
      </c>
      <c r="T946" t="s">
        <v>385</v>
      </c>
      <c r="U946">
        <v>8.2213706822118776E-6</v>
      </c>
      <c r="V946" t="s">
        <v>161</v>
      </c>
    </row>
    <row r="947" spans="9:22" x14ac:dyDescent="0.45">
      <c r="I947" t="s">
        <v>181</v>
      </c>
      <c r="J947" t="s">
        <v>250</v>
      </c>
      <c r="K947">
        <v>1.9936098108837199E-3</v>
      </c>
      <c r="L947" t="s">
        <v>161</v>
      </c>
      <c r="N947" t="s">
        <v>204</v>
      </c>
      <c r="O947" t="s">
        <v>250</v>
      </c>
      <c r="P947">
        <v>5.4126297316615529E-2</v>
      </c>
      <c r="Q947" t="s">
        <v>161</v>
      </c>
      <c r="S947" t="s">
        <v>226</v>
      </c>
      <c r="T947" t="s">
        <v>250</v>
      </c>
      <c r="U947">
        <v>4.8178499750205897E-2</v>
      </c>
      <c r="V947" t="s">
        <v>161</v>
      </c>
    </row>
    <row r="948" spans="9:22" x14ac:dyDescent="0.45">
      <c r="I948" t="s">
        <v>181</v>
      </c>
      <c r="J948" t="s">
        <v>251</v>
      </c>
      <c r="K948">
        <v>5.3734888520770019E-3</v>
      </c>
      <c r="L948" t="s">
        <v>161</v>
      </c>
      <c r="N948" t="s">
        <v>204</v>
      </c>
      <c r="O948" t="s">
        <v>251</v>
      </c>
      <c r="P948">
        <v>6.770474633740124E-3</v>
      </c>
      <c r="Q948" t="s">
        <v>161</v>
      </c>
      <c r="S948" t="s">
        <v>226</v>
      </c>
      <c r="T948" t="s">
        <v>251</v>
      </c>
      <c r="U948">
        <v>6.0958919409562478E-3</v>
      </c>
      <c r="V948" t="s">
        <v>161</v>
      </c>
    </row>
    <row r="949" spans="9:22" x14ac:dyDescent="0.45">
      <c r="I949" t="s">
        <v>181</v>
      </c>
      <c r="J949" t="s">
        <v>252</v>
      </c>
      <c r="K949">
        <v>8.0605060604732715E-2</v>
      </c>
      <c r="L949" t="s">
        <v>161</v>
      </c>
      <c r="N949" t="s">
        <v>204</v>
      </c>
      <c r="O949" t="s">
        <v>252</v>
      </c>
      <c r="P949">
        <v>4.2681911333850818E-2</v>
      </c>
      <c r="Q949" t="s">
        <v>161</v>
      </c>
      <c r="S949" t="s">
        <v>226</v>
      </c>
      <c r="T949" t="s">
        <v>252</v>
      </c>
      <c r="U949">
        <v>4.2492569664864532E-2</v>
      </c>
      <c r="V949" t="s">
        <v>161</v>
      </c>
    </row>
    <row r="950" spans="9:22" x14ac:dyDescent="0.45">
      <c r="I950" t="s">
        <v>181</v>
      </c>
      <c r="J950" t="s">
        <v>253</v>
      </c>
      <c r="K950">
        <v>8.5231009617479404E-3</v>
      </c>
      <c r="L950" t="s">
        <v>161</v>
      </c>
      <c r="N950" t="s">
        <v>204</v>
      </c>
      <c r="O950" t="s">
        <v>253</v>
      </c>
      <c r="P950">
        <v>6.1489166548895574E-3</v>
      </c>
      <c r="Q950" t="s">
        <v>161</v>
      </c>
      <c r="S950" t="s">
        <v>226</v>
      </c>
      <c r="T950" t="s">
        <v>253</v>
      </c>
      <c r="U950">
        <v>6.2682312427275125E-3</v>
      </c>
      <c r="V950" t="s">
        <v>161</v>
      </c>
    </row>
    <row r="951" spans="9:22" x14ac:dyDescent="0.45">
      <c r="I951" t="s">
        <v>181</v>
      </c>
      <c r="J951" t="s">
        <v>254</v>
      </c>
      <c r="K951">
        <v>5.13408379062265E-3</v>
      </c>
      <c r="L951" t="s">
        <v>161</v>
      </c>
      <c r="N951" t="s">
        <v>204</v>
      </c>
      <c r="O951" t="s">
        <v>254</v>
      </c>
      <c r="P951">
        <v>6.36749902829004E-3</v>
      </c>
      <c r="Q951" t="s">
        <v>161</v>
      </c>
      <c r="S951" t="s">
        <v>226</v>
      </c>
      <c r="T951" t="s">
        <v>254</v>
      </c>
      <c r="U951">
        <v>6.5549373365788319E-3</v>
      </c>
      <c r="V951" t="s">
        <v>161</v>
      </c>
    </row>
    <row r="952" spans="9:22" x14ac:dyDescent="0.45">
      <c r="I952" t="s">
        <v>181</v>
      </c>
      <c r="J952" t="s">
        <v>270</v>
      </c>
      <c r="K952">
        <v>1.3685076811350858E-3</v>
      </c>
      <c r="L952" t="s">
        <v>161</v>
      </c>
      <c r="N952" t="s">
        <v>204</v>
      </c>
      <c r="O952" t="s">
        <v>270</v>
      </c>
      <c r="P952">
        <v>4.1933961491580164E-2</v>
      </c>
      <c r="Q952" t="s">
        <v>161</v>
      </c>
      <c r="S952" t="s">
        <v>226</v>
      </c>
      <c r="T952" t="s">
        <v>270</v>
      </c>
      <c r="U952">
        <v>4.0051051969162699E-2</v>
      </c>
      <c r="V952" t="s">
        <v>161</v>
      </c>
    </row>
    <row r="953" spans="9:22" x14ac:dyDescent="0.45">
      <c r="I953" t="s">
        <v>181</v>
      </c>
      <c r="J953" t="s">
        <v>255</v>
      </c>
      <c r="K953">
        <v>0</v>
      </c>
      <c r="L953" t="s">
        <v>161</v>
      </c>
      <c r="N953" t="s">
        <v>204</v>
      </c>
      <c r="O953" t="s">
        <v>255</v>
      </c>
      <c r="P953">
        <v>5.5973940202839016E-2</v>
      </c>
      <c r="Q953" t="s">
        <v>161</v>
      </c>
      <c r="S953" t="s">
        <v>226</v>
      </c>
      <c r="T953" t="s">
        <v>255</v>
      </c>
      <c r="U953">
        <v>5.2298196546924823E-2</v>
      </c>
      <c r="V953" t="s">
        <v>161</v>
      </c>
    </row>
    <row r="954" spans="9:22" x14ac:dyDescent="0.45">
      <c r="I954" t="s">
        <v>181</v>
      </c>
      <c r="J954" t="s">
        <v>256</v>
      </c>
      <c r="K954">
        <v>1.2222210698245586E-4</v>
      </c>
      <c r="L954" t="s">
        <v>161</v>
      </c>
      <c r="N954" t="s">
        <v>204</v>
      </c>
      <c r="O954" t="s">
        <v>256</v>
      </c>
      <c r="P954">
        <v>6.9384944657691636E-3</v>
      </c>
      <c r="Q954" t="s">
        <v>161</v>
      </c>
      <c r="S954" t="s">
        <v>226</v>
      </c>
      <c r="T954" t="s">
        <v>256</v>
      </c>
      <c r="U954">
        <v>7.0138508425762669E-3</v>
      </c>
      <c r="V954" t="s">
        <v>161</v>
      </c>
    </row>
    <row r="955" spans="9:22" x14ac:dyDescent="0.45">
      <c r="I955" t="s">
        <v>181</v>
      </c>
      <c r="J955" t="s">
        <v>257</v>
      </c>
      <c r="K955">
        <v>3.4239276692163048E-2</v>
      </c>
      <c r="L955" t="s">
        <v>161</v>
      </c>
      <c r="N955" t="s">
        <v>204</v>
      </c>
      <c r="O955" t="s">
        <v>257</v>
      </c>
      <c r="P955">
        <v>4.4237187020720957E-2</v>
      </c>
      <c r="Q955" t="s">
        <v>161</v>
      </c>
      <c r="S955" t="s">
        <v>226</v>
      </c>
      <c r="T955" t="s">
        <v>257</v>
      </c>
      <c r="U955">
        <v>4.6418799293643287E-2</v>
      </c>
      <c r="V955" t="s">
        <v>161</v>
      </c>
    </row>
    <row r="956" spans="9:22" x14ac:dyDescent="0.45">
      <c r="I956" t="s">
        <v>181</v>
      </c>
      <c r="J956" t="s">
        <v>258</v>
      </c>
      <c r="K956">
        <v>2.7887252770885714E-3</v>
      </c>
      <c r="L956" t="s">
        <v>161</v>
      </c>
      <c r="N956" t="s">
        <v>204</v>
      </c>
      <c r="O956" t="s">
        <v>258</v>
      </c>
      <c r="P956">
        <v>6.2557723525272649E-3</v>
      </c>
      <c r="Q956" t="s">
        <v>161</v>
      </c>
      <c r="S956" t="s">
        <v>226</v>
      </c>
      <c r="T956" t="s">
        <v>258</v>
      </c>
      <c r="U956">
        <v>6.3260179794374016E-3</v>
      </c>
      <c r="V956" t="s">
        <v>161</v>
      </c>
    </row>
    <row r="957" spans="9:22" x14ac:dyDescent="0.45">
      <c r="I957" t="s">
        <v>181</v>
      </c>
      <c r="J957" t="s">
        <v>259</v>
      </c>
      <c r="K957">
        <v>1.7887387541919891E-5</v>
      </c>
      <c r="L957" t="s">
        <v>161</v>
      </c>
      <c r="N957" t="s">
        <v>204</v>
      </c>
      <c r="O957" t="s">
        <v>259</v>
      </c>
      <c r="P957">
        <v>6.420052629194384E-3</v>
      </c>
      <c r="Q957" t="s">
        <v>161</v>
      </c>
      <c r="S957" t="s">
        <v>226</v>
      </c>
      <c r="T957" t="s">
        <v>259</v>
      </c>
      <c r="U957">
        <v>6.2623616988751445E-3</v>
      </c>
      <c r="V957" t="s">
        <v>161</v>
      </c>
    </row>
    <row r="958" spans="9:22" x14ac:dyDescent="0.45">
      <c r="I958" t="s">
        <v>181</v>
      </c>
      <c r="J958" t="s">
        <v>271</v>
      </c>
      <c r="K958">
        <v>0</v>
      </c>
      <c r="L958" t="s">
        <v>161</v>
      </c>
      <c r="N958" t="s">
        <v>204</v>
      </c>
      <c r="O958" t="s">
        <v>271</v>
      </c>
      <c r="P958">
        <v>3.8838789856649888E-2</v>
      </c>
      <c r="Q958" t="s">
        <v>161</v>
      </c>
      <c r="S958" t="s">
        <v>226</v>
      </c>
      <c r="T958" t="s">
        <v>271</v>
      </c>
      <c r="U958">
        <v>3.6361823400545015E-2</v>
      </c>
      <c r="V958" t="s">
        <v>161</v>
      </c>
    </row>
    <row r="959" spans="9:22" x14ac:dyDescent="0.45">
      <c r="I959" t="s">
        <v>181</v>
      </c>
      <c r="J959" t="s">
        <v>272</v>
      </c>
      <c r="K959">
        <v>0</v>
      </c>
      <c r="L959" t="s">
        <v>161</v>
      </c>
      <c r="N959" t="s">
        <v>204</v>
      </c>
      <c r="O959" t="s">
        <v>272</v>
      </c>
      <c r="P959">
        <v>2.198659951831828E-2</v>
      </c>
      <c r="Q959" t="s">
        <v>161</v>
      </c>
      <c r="S959" t="s">
        <v>226</v>
      </c>
      <c r="T959" t="s">
        <v>272</v>
      </c>
      <c r="U959">
        <v>1.9478318761507754E-2</v>
      </c>
      <c r="V959" t="s">
        <v>161</v>
      </c>
    </row>
    <row r="960" spans="9:22" x14ac:dyDescent="0.45">
      <c r="I960" t="s">
        <v>181</v>
      </c>
      <c r="J960" t="s">
        <v>273</v>
      </c>
      <c r="K960">
        <v>0</v>
      </c>
      <c r="L960" t="s">
        <v>161</v>
      </c>
      <c r="N960" t="s">
        <v>204</v>
      </c>
      <c r="O960" t="s">
        <v>273</v>
      </c>
      <c r="P960">
        <v>2.7519576601381796E-3</v>
      </c>
      <c r="Q960" t="s">
        <v>161</v>
      </c>
      <c r="S960" t="s">
        <v>226</v>
      </c>
      <c r="T960" t="s">
        <v>273</v>
      </c>
      <c r="U960">
        <v>2.5978663316063274E-3</v>
      </c>
      <c r="V960" t="s">
        <v>161</v>
      </c>
    </row>
    <row r="961" spans="9:22" x14ac:dyDescent="0.45">
      <c r="I961" t="s">
        <v>181</v>
      </c>
      <c r="J961" t="s">
        <v>274</v>
      </c>
      <c r="K961">
        <v>6.7074554295196752E-3</v>
      </c>
      <c r="L961" t="s">
        <v>161</v>
      </c>
      <c r="N961" t="s">
        <v>204</v>
      </c>
      <c r="O961" t="s">
        <v>274</v>
      </c>
      <c r="P961">
        <v>1.5969676949904379E-2</v>
      </c>
      <c r="Q961" t="s">
        <v>161</v>
      </c>
      <c r="S961" t="s">
        <v>226</v>
      </c>
      <c r="T961" t="s">
        <v>274</v>
      </c>
      <c r="U961">
        <v>1.5081718397840249E-2</v>
      </c>
      <c r="V961" t="s">
        <v>161</v>
      </c>
    </row>
    <row r="962" spans="9:22" x14ac:dyDescent="0.45">
      <c r="I962" t="s">
        <v>181</v>
      </c>
      <c r="J962" t="s">
        <v>275</v>
      </c>
      <c r="K962">
        <v>4.8161716514031564E-4</v>
      </c>
      <c r="L962" t="s">
        <v>161</v>
      </c>
      <c r="N962" t="s">
        <v>204</v>
      </c>
      <c r="O962" t="s">
        <v>275</v>
      </c>
      <c r="P962">
        <v>2.2250566022686052E-3</v>
      </c>
      <c r="Q962" t="s">
        <v>161</v>
      </c>
      <c r="S962" t="s">
        <v>226</v>
      </c>
      <c r="T962" t="s">
        <v>275</v>
      </c>
      <c r="U962">
        <v>2.0856570640293078E-3</v>
      </c>
      <c r="V962" t="s">
        <v>161</v>
      </c>
    </row>
    <row r="963" spans="9:22" x14ac:dyDescent="0.45">
      <c r="I963" t="s">
        <v>181</v>
      </c>
      <c r="J963" t="s">
        <v>276</v>
      </c>
      <c r="K963">
        <v>0</v>
      </c>
      <c r="L963" t="s">
        <v>161</v>
      </c>
      <c r="N963" t="s">
        <v>204</v>
      </c>
      <c r="O963" t="s">
        <v>276</v>
      </c>
      <c r="P963">
        <v>2.2596190224839757E-3</v>
      </c>
      <c r="Q963" t="s">
        <v>161</v>
      </c>
      <c r="S963" t="s">
        <v>226</v>
      </c>
      <c r="T963" t="s">
        <v>276</v>
      </c>
      <c r="U963">
        <v>2.1205570286755393E-3</v>
      </c>
      <c r="V963" t="s">
        <v>161</v>
      </c>
    </row>
    <row r="964" spans="9:22" x14ac:dyDescent="0.45">
      <c r="I964" t="s">
        <v>181</v>
      </c>
      <c r="J964" t="s">
        <v>277</v>
      </c>
      <c r="K964">
        <v>0</v>
      </c>
      <c r="L964" t="s">
        <v>161</v>
      </c>
      <c r="N964" t="s">
        <v>204</v>
      </c>
      <c r="O964" t="s">
        <v>277</v>
      </c>
      <c r="P964">
        <v>1.4345627797490372E-2</v>
      </c>
      <c r="Q964" t="s">
        <v>161</v>
      </c>
      <c r="S964" t="s">
        <v>226</v>
      </c>
      <c r="T964" t="s">
        <v>277</v>
      </c>
      <c r="U964">
        <v>1.2739637837665418E-2</v>
      </c>
      <c r="V964" t="s">
        <v>161</v>
      </c>
    </row>
    <row r="965" spans="9:22" x14ac:dyDescent="0.45">
      <c r="I965" t="s">
        <v>181</v>
      </c>
      <c r="J965" t="s">
        <v>278</v>
      </c>
      <c r="K965">
        <v>0</v>
      </c>
      <c r="L965" t="s">
        <v>161</v>
      </c>
      <c r="N965" t="s">
        <v>204</v>
      </c>
      <c r="O965" t="s">
        <v>278</v>
      </c>
      <c r="P965">
        <v>8.4785188897315237E-3</v>
      </c>
      <c r="Q965" t="s">
        <v>161</v>
      </c>
      <c r="S965" t="s">
        <v>226</v>
      </c>
      <c r="T965" t="s">
        <v>278</v>
      </c>
      <c r="U965">
        <v>6.5935420839356353E-3</v>
      </c>
      <c r="V965" t="s">
        <v>161</v>
      </c>
    </row>
    <row r="966" spans="9:22" x14ac:dyDescent="0.45">
      <c r="I966" t="s">
        <v>181</v>
      </c>
      <c r="J966" t="s">
        <v>279</v>
      </c>
      <c r="K966">
        <v>0</v>
      </c>
      <c r="L966" t="s">
        <v>161</v>
      </c>
      <c r="N966" t="s">
        <v>204</v>
      </c>
      <c r="O966" t="s">
        <v>279</v>
      </c>
      <c r="P966">
        <v>1.2797067685433102E-3</v>
      </c>
      <c r="Q966" t="s">
        <v>161</v>
      </c>
      <c r="S966" t="s">
        <v>226</v>
      </c>
      <c r="T966" t="s">
        <v>279</v>
      </c>
      <c r="U966">
        <v>8.2903662515499733E-4</v>
      </c>
      <c r="V966" t="s">
        <v>161</v>
      </c>
    </row>
    <row r="967" spans="9:22" x14ac:dyDescent="0.45">
      <c r="I967" t="s">
        <v>181</v>
      </c>
      <c r="J967" t="s">
        <v>280</v>
      </c>
      <c r="K967">
        <v>5.0990797547066447E-3</v>
      </c>
      <c r="L967" t="s">
        <v>161</v>
      </c>
      <c r="N967" t="s">
        <v>204</v>
      </c>
      <c r="O967" t="s">
        <v>280</v>
      </c>
      <c r="P967">
        <v>7.7231340295121718E-3</v>
      </c>
      <c r="Q967" t="s">
        <v>161</v>
      </c>
      <c r="S967" t="s">
        <v>226</v>
      </c>
      <c r="T967" t="s">
        <v>280</v>
      </c>
      <c r="U967">
        <v>6.5252087990563031E-3</v>
      </c>
      <c r="V967" t="s">
        <v>161</v>
      </c>
    </row>
    <row r="968" spans="9:22" x14ac:dyDescent="0.45">
      <c r="I968" t="s">
        <v>181</v>
      </c>
      <c r="J968" t="s">
        <v>281</v>
      </c>
      <c r="K968">
        <v>5.3745034087567434E-4</v>
      </c>
      <c r="L968" t="s">
        <v>161</v>
      </c>
      <c r="N968" t="s">
        <v>204</v>
      </c>
      <c r="O968" t="s">
        <v>281</v>
      </c>
      <c r="P968">
        <v>1.0925065826312261E-3</v>
      </c>
      <c r="Q968" t="s">
        <v>161</v>
      </c>
      <c r="S968" t="s">
        <v>226</v>
      </c>
      <c r="T968" t="s">
        <v>281</v>
      </c>
      <c r="U968">
        <v>1.1812484518613242E-3</v>
      </c>
      <c r="V968" t="s">
        <v>161</v>
      </c>
    </row>
    <row r="969" spans="9:22" x14ac:dyDescent="0.45">
      <c r="I969" t="s">
        <v>181</v>
      </c>
      <c r="J969" t="s">
        <v>282</v>
      </c>
      <c r="K969">
        <v>0</v>
      </c>
      <c r="L969" t="s">
        <v>161</v>
      </c>
      <c r="N969" t="s">
        <v>204</v>
      </c>
      <c r="O969" t="s">
        <v>282</v>
      </c>
      <c r="P969">
        <v>1.108285034002262E-3</v>
      </c>
      <c r="Q969" t="s">
        <v>161</v>
      </c>
      <c r="S969" t="s">
        <v>226</v>
      </c>
      <c r="T969" t="s">
        <v>282</v>
      </c>
      <c r="U969">
        <v>1.2245210018677643E-3</v>
      </c>
      <c r="V969" t="s">
        <v>161</v>
      </c>
    </row>
    <row r="970" spans="9:22" x14ac:dyDescent="0.45">
      <c r="I970" t="s">
        <v>181</v>
      </c>
      <c r="J970" t="s">
        <v>283</v>
      </c>
      <c r="K970">
        <v>0</v>
      </c>
      <c r="L970" t="s">
        <v>161</v>
      </c>
      <c r="N970" t="s">
        <v>204</v>
      </c>
      <c r="O970" t="s">
        <v>283</v>
      </c>
      <c r="P970">
        <v>7.122778226630622E-3</v>
      </c>
      <c r="Q970" t="s">
        <v>161</v>
      </c>
      <c r="S970" t="s">
        <v>226</v>
      </c>
      <c r="T970" t="s">
        <v>283</v>
      </c>
      <c r="U970">
        <v>7.6261589666493657E-3</v>
      </c>
      <c r="V970" t="s">
        <v>161</v>
      </c>
    </row>
    <row r="971" spans="9:22" x14ac:dyDescent="0.45">
      <c r="I971" t="s">
        <v>182</v>
      </c>
      <c r="J971" t="s">
        <v>160</v>
      </c>
      <c r="K971">
        <v>0</v>
      </c>
      <c r="L971" t="s">
        <v>161</v>
      </c>
      <c r="N971" t="s">
        <v>205</v>
      </c>
      <c r="O971" t="s">
        <v>160</v>
      </c>
      <c r="P971">
        <v>8.8909273093310967E-2</v>
      </c>
      <c r="Q971" t="s">
        <v>161</v>
      </c>
    </row>
    <row r="972" spans="9:22" x14ac:dyDescent="0.45">
      <c r="I972" t="s">
        <v>182</v>
      </c>
      <c r="J972" t="s">
        <v>162</v>
      </c>
      <c r="K972">
        <v>1.8778502589615375E-3</v>
      </c>
      <c r="L972" t="s">
        <v>161</v>
      </c>
      <c r="N972" t="s">
        <v>205</v>
      </c>
      <c r="O972" t="s">
        <v>162</v>
      </c>
      <c r="P972">
        <v>1.0370583911471063E-2</v>
      </c>
      <c r="Q972" t="s">
        <v>161</v>
      </c>
    </row>
    <row r="973" spans="9:22" x14ac:dyDescent="0.45">
      <c r="I973" t="s">
        <v>182</v>
      </c>
      <c r="J973" t="s">
        <v>163</v>
      </c>
      <c r="K973">
        <v>7.581181600282931E-2</v>
      </c>
      <c r="L973" t="s">
        <v>161</v>
      </c>
      <c r="N973" t="s">
        <v>205</v>
      </c>
      <c r="O973" t="s">
        <v>163</v>
      </c>
      <c r="P973">
        <v>6.5836598243426844E-2</v>
      </c>
      <c r="Q973" t="s">
        <v>161</v>
      </c>
    </row>
    <row r="974" spans="9:22" x14ac:dyDescent="0.45">
      <c r="I974" t="s">
        <v>182</v>
      </c>
      <c r="J974" t="s">
        <v>242</v>
      </c>
      <c r="K974">
        <v>8.4332557746000011E-3</v>
      </c>
      <c r="L974" t="s">
        <v>161</v>
      </c>
      <c r="N974" t="s">
        <v>205</v>
      </c>
      <c r="O974" t="s">
        <v>242</v>
      </c>
      <c r="P974">
        <v>1.1073963948835659E-2</v>
      </c>
      <c r="Q974" t="s">
        <v>161</v>
      </c>
    </row>
    <row r="975" spans="9:22" x14ac:dyDescent="0.45">
      <c r="I975" t="s">
        <v>182</v>
      </c>
      <c r="J975" t="s">
        <v>243</v>
      </c>
      <c r="K975">
        <v>5.0747274167288253E-3</v>
      </c>
      <c r="L975" t="s">
        <v>161</v>
      </c>
      <c r="N975" t="s">
        <v>205</v>
      </c>
      <c r="O975" t="s">
        <v>243</v>
      </c>
      <c r="P975">
        <v>1.1547647355100051E-2</v>
      </c>
      <c r="Q975" t="s">
        <v>161</v>
      </c>
    </row>
    <row r="976" spans="9:22" x14ac:dyDescent="0.45">
      <c r="I976" t="s">
        <v>182</v>
      </c>
      <c r="J976" t="s">
        <v>266</v>
      </c>
      <c r="K976">
        <v>1.7951764816206254E-3</v>
      </c>
      <c r="L976" t="s">
        <v>161</v>
      </c>
      <c r="N976" t="s">
        <v>205</v>
      </c>
      <c r="O976" t="s">
        <v>266</v>
      </c>
      <c r="P976">
        <v>7.0136241093583102E-2</v>
      </c>
      <c r="Q976" t="s">
        <v>161</v>
      </c>
    </row>
    <row r="977" spans="9:17" x14ac:dyDescent="0.45">
      <c r="I977" t="s">
        <v>182</v>
      </c>
      <c r="J977" t="s">
        <v>311</v>
      </c>
      <c r="K977">
        <v>0</v>
      </c>
      <c r="L977" t="s">
        <v>161</v>
      </c>
      <c r="N977" t="s">
        <v>205</v>
      </c>
      <c r="O977" t="s">
        <v>311</v>
      </c>
      <c r="P977">
        <v>6.510792899908E-7</v>
      </c>
      <c r="Q977" t="s">
        <v>161</v>
      </c>
    </row>
    <row r="978" spans="9:17" x14ac:dyDescent="0.45">
      <c r="I978" t="s">
        <v>182</v>
      </c>
      <c r="J978" t="s">
        <v>312</v>
      </c>
      <c r="K978">
        <v>0</v>
      </c>
      <c r="L978" t="s">
        <v>161</v>
      </c>
      <c r="N978" t="s">
        <v>205</v>
      </c>
      <c r="O978" t="s">
        <v>312</v>
      </c>
      <c r="P978">
        <v>1.4687765380191466E-7</v>
      </c>
      <c r="Q978" t="s">
        <v>161</v>
      </c>
    </row>
    <row r="979" spans="9:17" x14ac:dyDescent="0.45">
      <c r="I979" t="s">
        <v>182</v>
      </c>
      <c r="J979" t="s">
        <v>313</v>
      </c>
      <c r="K979">
        <v>0</v>
      </c>
      <c r="L979" t="s">
        <v>161</v>
      </c>
      <c r="N979" t="s">
        <v>205</v>
      </c>
      <c r="O979" t="s">
        <v>313</v>
      </c>
      <c r="P979">
        <v>0</v>
      </c>
      <c r="Q979" t="s">
        <v>161</v>
      </c>
    </row>
    <row r="980" spans="9:17" x14ac:dyDescent="0.45">
      <c r="I980" t="s">
        <v>182</v>
      </c>
      <c r="J980" t="s">
        <v>314</v>
      </c>
      <c r="K980">
        <v>0</v>
      </c>
      <c r="L980" t="s">
        <v>161</v>
      </c>
      <c r="N980" t="s">
        <v>205</v>
      </c>
      <c r="O980" t="s">
        <v>314</v>
      </c>
      <c r="P980">
        <v>0</v>
      </c>
      <c r="Q980" t="s">
        <v>161</v>
      </c>
    </row>
    <row r="981" spans="9:17" x14ac:dyDescent="0.45">
      <c r="I981" t="s">
        <v>182</v>
      </c>
      <c r="J981" t="s">
        <v>315</v>
      </c>
      <c r="K981">
        <v>0</v>
      </c>
      <c r="L981" t="s">
        <v>161</v>
      </c>
      <c r="N981" t="s">
        <v>205</v>
      </c>
      <c r="O981" t="s">
        <v>315</v>
      </c>
      <c r="P981">
        <v>0</v>
      </c>
      <c r="Q981" t="s">
        <v>161</v>
      </c>
    </row>
    <row r="982" spans="9:17" x14ac:dyDescent="0.45">
      <c r="I982" t="s">
        <v>182</v>
      </c>
      <c r="J982" t="s">
        <v>316</v>
      </c>
      <c r="K982">
        <v>0</v>
      </c>
      <c r="L982" t="s">
        <v>161</v>
      </c>
      <c r="N982" t="s">
        <v>205</v>
      </c>
      <c r="O982" t="s">
        <v>316</v>
      </c>
      <c r="P982">
        <v>3.582368701420647E-9</v>
      </c>
      <c r="Q982" t="s">
        <v>161</v>
      </c>
    </row>
    <row r="983" spans="9:17" x14ac:dyDescent="0.45">
      <c r="I983" t="s">
        <v>182</v>
      </c>
      <c r="J983" t="s">
        <v>317</v>
      </c>
      <c r="K983">
        <v>0</v>
      </c>
      <c r="L983" t="s">
        <v>161</v>
      </c>
      <c r="N983" t="s">
        <v>205</v>
      </c>
      <c r="O983" t="s">
        <v>317</v>
      </c>
      <c r="P983">
        <v>2.5975968645725085E-7</v>
      </c>
      <c r="Q983" t="s">
        <v>161</v>
      </c>
    </row>
    <row r="984" spans="9:17" x14ac:dyDescent="0.45">
      <c r="I984" t="s">
        <v>182</v>
      </c>
      <c r="J984" t="s">
        <v>318</v>
      </c>
      <c r="K984">
        <v>0</v>
      </c>
      <c r="L984" t="s">
        <v>161</v>
      </c>
      <c r="N984" t="s">
        <v>205</v>
      </c>
      <c r="O984" t="s">
        <v>318</v>
      </c>
      <c r="P984">
        <v>3.7512943201929091E-7</v>
      </c>
      <c r="Q984" t="s">
        <v>161</v>
      </c>
    </row>
    <row r="985" spans="9:17" x14ac:dyDescent="0.45">
      <c r="I985" t="s">
        <v>182</v>
      </c>
      <c r="J985" t="s">
        <v>319</v>
      </c>
      <c r="K985">
        <v>1.2555571660063254E-6</v>
      </c>
      <c r="L985" t="s">
        <v>161</v>
      </c>
      <c r="N985" t="s">
        <v>205</v>
      </c>
      <c r="O985" t="s">
        <v>319</v>
      </c>
      <c r="P985">
        <v>3.9239667228368752E-7</v>
      </c>
      <c r="Q985" t="s">
        <v>161</v>
      </c>
    </row>
    <row r="986" spans="9:17" x14ac:dyDescent="0.45">
      <c r="I986" t="s">
        <v>182</v>
      </c>
      <c r="J986" t="s">
        <v>320</v>
      </c>
      <c r="K986">
        <v>1.2554592821002278E-5</v>
      </c>
      <c r="L986" t="s">
        <v>161</v>
      </c>
      <c r="N986" t="s">
        <v>205</v>
      </c>
      <c r="O986" t="s">
        <v>320</v>
      </c>
      <c r="P986">
        <v>1.007021651939283E-7</v>
      </c>
      <c r="Q986" t="s">
        <v>161</v>
      </c>
    </row>
    <row r="987" spans="9:17" x14ac:dyDescent="0.45">
      <c r="I987" t="s">
        <v>182</v>
      </c>
      <c r="J987" t="s">
        <v>321</v>
      </c>
      <c r="K987">
        <v>4.9307039401785783E-5</v>
      </c>
      <c r="L987" t="s">
        <v>161</v>
      </c>
      <c r="N987" t="s">
        <v>205</v>
      </c>
      <c r="O987" t="s">
        <v>321</v>
      </c>
      <c r="P987">
        <v>0</v>
      </c>
      <c r="Q987" t="s">
        <v>161</v>
      </c>
    </row>
    <row r="988" spans="9:17" x14ac:dyDescent="0.45">
      <c r="I988" t="s">
        <v>182</v>
      </c>
      <c r="J988" t="s">
        <v>322</v>
      </c>
      <c r="K988">
        <v>9.1367109043683569E-5</v>
      </c>
      <c r="L988" t="s">
        <v>161</v>
      </c>
      <c r="N988" t="s">
        <v>205</v>
      </c>
      <c r="O988" t="s">
        <v>322</v>
      </c>
      <c r="P988">
        <v>0</v>
      </c>
      <c r="Q988" t="s">
        <v>161</v>
      </c>
    </row>
    <row r="989" spans="9:17" x14ac:dyDescent="0.45">
      <c r="I989" t="s">
        <v>182</v>
      </c>
      <c r="J989" t="s">
        <v>323</v>
      </c>
      <c r="K989">
        <v>1.3735565258392641E-4</v>
      </c>
      <c r="L989" t="s">
        <v>161</v>
      </c>
      <c r="N989" t="s">
        <v>205</v>
      </c>
      <c r="O989" t="s">
        <v>323</v>
      </c>
      <c r="P989">
        <v>1.7559895775487937E-7</v>
      </c>
      <c r="Q989" t="s">
        <v>161</v>
      </c>
    </row>
    <row r="990" spans="9:17" x14ac:dyDescent="0.45">
      <c r="I990" t="s">
        <v>182</v>
      </c>
      <c r="J990" t="s">
        <v>324</v>
      </c>
      <c r="K990">
        <v>1.4242412685280291E-4</v>
      </c>
      <c r="L990" t="s">
        <v>161</v>
      </c>
      <c r="N990" t="s">
        <v>205</v>
      </c>
      <c r="O990" t="s">
        <v>324</v>
      </c>
      <c r="P990">
        <v>1.1798577232266554E-6</v>
      </c>
      <c r="Q990" t="s">
        <v>161</v>
      </c>
    </row>
    <row r="991" spans="9:17" x14ac:dyDescent="0.45">
      <c r="I991" t="s">
        <v>182</v>
      </c>
      <c r="J991" t="s">
        <v>325</v>
      </c>
      <c r="K991">
        <v>1.2428805106458094E-4</v>
      </c>
      <c r="L991" t="s">
        <v>161</v>
      </c>
      <c r="N991" t="s">
        <v>205</v>
      </c>
      <c r="O991" t="s">
        <v>325</v>
      </c>
      <c r="P991">
        <v>1.1655384406585616E-5</v>
      </c>
      <c r="Q991" t="s">
        <v>161</v>
      </c>
    </row>
    <row r="992" spans="9:17" x14ac:dyDescent="0.45">
      <c r="I992" t="s">
        <v>182</v>
      </c>
      <c r="J992" t="s">
        <v>326</v>
      </c>
      <c r="K992">
        <v>9.4458236007869317E-5</v>
      </c>
      <c r="L992" t="s">
        <v>161</v>
      </c>
      <c r="N992" t="s">
        <v>205</v>
      </c>
      <c r="O992" t="s">
        <v>326</v>
      </c>
      <c r="P992">
        <v>2.2126234640989108E-5</v>
      </c>
      <c r="Q992" t="s">
        <v>161</v>
      </c>
    </row>
    <row r="993" spans="9:17" x14ac:dyDescent="0.45">
      <c r="I993" t="s">
        <v>182</v>
      </c>
      <c r="J993" t="s">
        <v>327</v>
      </c>
      <c r="K993">
        <v>6.2365295543737381E-5</v>
      </c>
      <c r="L993" t="s">
        <v>161</v>
      </c>
      <c r="N993" t="s">
        <v>205</v>
      </c>
      <c r="O993" t="s">
        <v>327</v>
      </c>
      <c r="P993">
        <v>2.2858426070239342E-5</v>
      </c>
      <c r="Q993" t="s">
        <v>161</v>
      </c>
    </row>
    <row r="994" spans="9:17" x14ac:dyDescent="0.45">
      <c r="I994" t="s">
        <v>182</v>
      </c>
      <c r="J994" t="s">
        <v>328</v>
      </c>
      <c r="K994">
        <v>4.4154890135651262E-5</v>
      </c>
      <c r="L994" t="s">
        <v>161</v>
      </c>
      <c r="N994" t="s">
        <v>205</v>
      </c>
      <c r="O994" t="s">
        <v>328</v>
      </c>
      <c r="P994">
        <v>4.1331768456717131E-5</v>
      </c>
      <c r="Q994" t="s">
        <v>161</v>
      </c>
    </row>
    <row r="995" spans="9:17" x14ac:dyDescent="0.45">
      <c r="I995" t="s">
        <v>182</v>
      </c>
      <c r="J995" t="s">
        <v>329</v>
      </c>
      <c r="K995">
        <v>0</v>
      </c>
      <c r="L995" t="s">
        <v>161</v>
      </c>
      <c r="N995" t="s">
        <v>205</v>
      </c>
      <c r="O995" t="s">
        <v>329</v>
      </c>
      <c r="P995">
        <v>6.6611881719871109E-5</v>
      </c>
      <c r="Q995" t="s">
        <v>161</v>
      </c>
    </row>
    <row r="996" spans="9:17" x14ac:dyDescent="0.45">
      <c r="I996" t="s">
        <v>182</v>
      </c>
      <c r="J996" t="s">
        <v>330</v>
      </c>
      <c r="K996">
        <v>0</v>
      </c>
      <c r="L996" t="s">
        <v>161</v>
      </c>
      <c r="N996" t="s">
        <v>205</v>
      </c>
      <c r="O996" t="s">
        <v>330</v>
      </c>
      <c r="P996">
        <v>7.9263701318285553E-5</v>
      </c>
      <c r="Q996" t="s">
        <v>161</v>
      </c>
    </row>
    <row r="997" spans="9:17" x14ac:dyDescent="0.45">
      <c r="I997" t="s">
        <v>182</v>
      </c>
      <c r="J997" t="s">
        <v>331</v>
      </c>
      <c r="K997">
        <v>0</v>
      </c>
      <c r="L997" t="s">
        <v>161</v>
      </c>
      <c r="N997" t="s">
        <v>205</v>
      </c>
      <c r="O997" t="s">
        <v>331</v>
      </c>
      <c r="P997">
        <v>7.2878912751031877E-5</v>
      </c>
      <c r="Q997" t="s">
        <v>161</v>
      </c>
    </row>
    <row r="998" spans="9:17" x14ac:dyDescent="0.45">
      <c r="I998" t="s">
        <v>182</v>
      </c>
      <c r="J998" t="s">
        <v>332</v>
      </c>
      <c r="K998">
        <v>0</v>
      </c>
      <c r="L998" t="s">
        <v>161</v>
      </c>
      <c r="N998" t="s">
        <v>205</v>
      </c>
      <c r="O998" t="s">
        <v>332</v>
      </c>
      <c r="P998">
        <v>5.9887603260024323E-5</v>
      </c>
      <c r="Q998" t="s">
        <v>161</v>
      </c>
    </row>
    <row r="999" spans="9:17" x14ac:dyDescent="0.45">
      <c r="I999" t="s">
        <v>182</v>
      </c>
      <c r="J999" t="s">
        <v>333</v>
      </c>
      <c r="K999">
        <v>0</v>
      </c>
      <c r="L999" t="s">
        <v>161</v>
      </c>
      <c r="N999" t="s">
        <v>205</v>
      </c>
      <c r="O999" t="s">
        <v>333</v>
      </c>
      <c r="P999">
        <v>5.1647249407896505E-5</v>
      </c>
      <c r="Q999" t="s">
        <v>161</v>
      </c>
    </row>
    <row r="1000" spans="9:17" x14ac:dyDescent="0.45">
      <c r="I1000" t="s">
        <v>182</v>
      </c>
      <c r="J1000" t="s">
        <v>334</v>
      </c>
      <c r="K1000">
        <v>0</v>
      </c>
      <c r="L1000" t="s">
        <v>161</v>
      </c>
      <c r="N1000" t="s">
        <v>205</v>
      </c>
      <c r="O1000" t="s">
        <v>334</v>
      </c>
      <c r="P1000">
        <v>4.2887012957501823E-5</v>
      </c>
      <c r="Q1000" t="s">
        <v>161</v>
      </c>
    </row>
    <row r="1001" spans="9:17" x14ac:dyDescent="0.45">
      <c r="I1001" t="s">
        <v>182</v>
      </c>
      <c r="J1001" t="s">
        <v>164</v>
      </c>
      <c r="K1001">
        <v>5.6149359154590781E-3</v>
      </c>
      <c r="L1001" t="s">
        <v>161</v>
      </c>
      <c r="N1001" t="s">
        <v>205</v>
      </c>
      <c r="O1001" t="s">
        <v>164</v>
      </c>
      <c r="P1001">
        <v>3.4433188601400967E-2</v>
      </c>
      <c r="Q1001" t="s">
        <v>161</v>
      </c>
    </row>
    <row r="1002" spans="9:17" x14ac:dyDescent="0.45">
      <c r="I1002" t="s">
        <v>182</v>
      </c>
      <c r="J1002" t="s">
        <v>165</v>
      </c>
      <c r="K1002">
        <v>8.265496261749234E-3</v>
      </c>
      <c r="L1002" t="s">
        <v>161</v>
      </c>
      <c r="N1002" t="s">
        <v>205</v>
      </c>
      <c r="O1002" t="s">
        <v>165</v>
      </c>
      <c r="P1002">
        <v>4.2913754231554265E-3</v>
      </c>
      <c r="Q1002" t="s">
        <v>161</v>
      </c>
    </row>
    <row r="1003" spans="9:17" x14ac:dyDescent="0.45">
      <c r="I1003" t="s">
        <v>182</v>
      </c>
      <c r="J1003" t="s">
        <v>166</v>
      </c>
      <c r="K1003">
        <v>9.3152144295423137E-2</v>
      </c>
      <c r="L1003" t="s">
        <v>161</v>
      </c>
      <c r="N1003" t="s">
        <v>205</v>
      </c>
      <c r="O1003" t="s">
        <v>166</v>
      </c>
      <c r="P1003">
        <v>3.1958072812389035E-2</v>
      </c>
      <c r="Q1003" t="s">
        <v>161</v>
      </c>
    </row>
    <row r="1004" spans="9:17" x14ac:dyDescent="0.45">
      <c r="I1004" t="s">
        <v>182</v>
      </c>
      <c r="J1004" t="s">
        <v>244</v>
      </c>
      <c r="K1004">
        <v>1.0570058890500356E-2</v>
      </c>
      <c r="L1004" t="s">
        <v>161</v>
      </c>
      <c r="N1004" t="s">
        <v>205</v>
      </c>
      <c r="O1004" t="s">
        <v>244</v>
      </c>
      <c r="P1004">
        <v>5.1306098660043025E-3</v>
      </c>
      <c r="Q1004" t="s">
        <v>161</v>
      </c>
    </row>
    <row r="1005" spans="9:17" x14ac:dyDescent="0.45">
      <c r="I1005" t="s">
        <v>182</v>
      </c>
      <c r="J1005" t="s">
        <v>245</v>
      </c>
      <c r="K1005">
        <v>8.2920939978230693E-3</v>
      </c>
      <c r="L1005" t="s">
        <v>161</v>
      </c>
      <c r="N1005" t="s">
        <v>205</v>
      </c>
      <c r="O1005" t="s">
        <v>245</v>
      </c>
      <c r="P1005">
        <v>4.910791616967689E-3</v>
      </c>
      <c r="Q1005" t="s">
        <v>161</v>
      </c>
    </row>
    <row r="1006" spans="9:17" x14ac:dyDescent="0.45">
      <c r="I1006" t="s">
        <v>182</v>
      </c>
      <c r="J1006" t="s">
        <v>267</v>
      </c>
      <c r="K1006">
        <v>6.7423523789510711E-3</v>
      </c>
      <c r="L1006" t="s">
        <v>161</v>
      </c>
      <c r="N1006" t="s">
        <v>205</v>
      </c>
      <c r="O1006" t="s">
        <v>267</v>
      </c>
      <c r="P1006">
        <v>2.8959754178126639E-2</v>
      </c>
      <c r="Q1006" t="s">
        <v>161</v>
      </c>
    </row>
    <row r="1007" spans="9:17" x14ac:dyDescent="0.45">
      <c r="I1007" t="s">
        <v>182</v>
      </c>
      <c r="J1007" t="s">
        <v>167</v>
      </c>
      <c r="K1007">
        <v>4.2006916430368017E-2</v>
      </c>
      <c r="L1007" t="s">
        <v>161</v>
      </c>
      <c r="N1007" t="s">
        <v>205</v>
      </c>
      <c r="O1007" t="s">
        <v>167</v>
      </c>
      <c r="P1007">
        <v>7.5482121729337798E-2</v>
      </c>
      <c r="Q1007" t="s">
        <v>161</v>
      </c>
    </row>
    <row r="1008" spans="9:17" x14ac:dyDescent="0.45">
      <c r="I1008" t="s">
        <v>182</v>
      </c>
      <c r="J1008" t="s">
        <v>168</v>
      </c>
      <c r="K1008">
        <v>3.0004648065592446E-2</v>
      </c>
      <c r="L1008" t="s">
        <v>161</v>
      </c>
      <c r="N1008" t="s">
        <v>205</v>
      </c>
      <c r="O1008" t="s">
        <v>168</v>
      </c>
      <c r="P1008">
        <v>6.6327403659522076E-3</v>
      </c>
      <c r="Q1008" t="s">
        <v>161</v>
      </c>
    </row>
    <row r="1009" spans="9:17" x14ac:dyDescent="0.45">
      <c r="I1009" t="s">
        <v>182</v>
      </c>
      <c r="J1009" t="s">
        <v>169</v>
      </c>
      <c r="K1009">
        <v>0.27264941921093588</v>
      </c>
      <c r="L1009" t="s">
        <v>161</v>
      </c>
      <c r="N1009" t="s">
        <v>205</v>
      </c>
      <c r="O1009" t="s">
        <v>169</v>
      </c>
      <c r="P1009">
        <v>5.8968895048788786E-2</v>
      </c>
      <c r="Q1009" t="s">
        <v>161</v>
      </c>
    </row>
    <row r="1010" spans="9:17" x14ac:dyDescent="0.45">
      <c r="I1010" t="s">
        <v>182</v>
      </c>
      <c r="J1010" t="s">
        <v>246</v>
      </c>
      <c r="K1010">
        <v>3.2178819742898809E-2</v>
      </c>
      <c r="L1010" t="s">
        <v>161</v>
      </c>
      <c r="N1010" t="s">
        <v>205</v>
      </c>
      <c r="O1010" t="s">
        <v>246</v>
      </c>
      <c r="P1010">
        <v>1.1165364538013324E-2</v>
      </c>
      <c r="Q1010" t="s">
        <v>161</v>
      </c>
    </row>
    <row r="1011" spans="9:17" x14ac:dyDescent="0.45">
      <c r="I1011" t="s">
        <v>182</v>
      </c>
      <c r="J1011" t="s">
        <v>247</v>
      </c>
      <c r="K1011">
        <v>2.7281797872738562E-2</v>
      </c>
      <c r="L1011" t="s">
        <v>161</v>
      </c>
      <c r="N1011" t="s">
        <v>205</v>
      </c>
      <c r="O1011" t="s">
        <v>247</v>
      </c>
      <c r="P1011">
        <v>1.1175233842298205E-2</v>
      </c>
      <c r="Q1011" t="s">
        <v>161</v>
      </c>
    </row>
    <row r="1012" spans="9:17" x14ac:dyDescent="0.45">
      <c r="I1012" t="s">
        <v>182</v>
      </c>
      <c r="J1012" t="s">
        <v>268</v>
      </c>
      <c r="K1012">
        <v>4.1049786615075891E-2</v>
      </c>
      <c r="L1012" t="s">
        <v>161</v>
      </c>
      <c r="N1012" t="s">
        <v>205</v>
      </c>
      <c r="O1012" t="s">
        <v>268</v>
      </c>
      <c r="P1012">
        <v>7.2802589081186794E-2</v>
      </c>
      <c r="Q1012" t="s">
        <v>161</v>
      </c>
    </row>
    <row r="1013" spans="9:17" x14ac:dyDescent="0.45">
      <c r="I1013" t="s">
        <v>182</v>
      </c>
      <c r="J1013" t="s">
        <v>170</v>
      </c>
      <c r="K1013">
        <v>1.1571953332716444E-2</v>
      </c>
      <c r="L1013" t="s">
        <v>161</v>
      </c>
      <c r="N1013" t="s">
        <v>205</v>
      </c>
      <c r="O1013" t="s">
        <v>170</v>
      </c>
      <c r="P1013">
        <v>3.7052124746121747E-2</v>
      </c>
      <c r="Q1013" t="s">
        <v>161</v>
      </c>
    </row>
    <row r="1014" spans="9:17" x14ac:dyDescent="0.45">
      <c r="I1014" t="s">
        <v>182</v>
      </c>
      <c r="J1014" t="s">
        <v>171</v>
      </c>
      <c r="K1014">
        <v>1.2593105827045594E-2</v>
      </c>
      <c r="L1014" t="s">
        <v>161</v>
      </c>
      <c r="N1014" t="s">
        <v>205</v>
      </c>
      <c r="O1014" t="s">
        <v>171</v>
      </c>
      <c r="P1014">
        <v>3.3449842663516084E-3</v>
      </c>
      <c r="Q1014" t="s">
        <v>161</v>
      </c>
    </row>
    <row r="1015" spans="9:17" x14ac:dyDescent="0.45">
      <c r="I1015" t="s">
        <v>182</v>
      </c>
      <c r="J1015" t="s">
        <v>172</v>
      </c>
      <c r="K1015">
        <v>0.12195142132185267</v>
      </c>
      <c r="L1015" t="s">
        <v>161</v>
      </c>
      <c r="N1015" t="s">
        <v>205</v>
      </c>
      <c r="O1015" t="s">
        <v>172</v>
      </c>
      <c r="P1015">
        <v>2.5846600174778786E-2</v>
      </c>
      <c r="Q1015" t="s">
        <v>161</v>
      </c>
    </row>
    <row r="1016" spans="9:17" x14ac:dyDescent="0.45">
      <c r="I1016" t="s">
        <v>182</v>
      </c>
      <c r="J1016" t="s">
        <v>248</v>
      </c>
      <c r="K1016">
        <v>1.421502257163457E-2</v>
      </c>
      <c r="L1016" t="s">
        <v>161</v>
      </c>
      <c r="N1016" t="s">
        <v>205</v>
      </c>
      <c r="O1016" t="s">
        <v>248</v>
      </c>
      <c r="P1016">
        <v>4.5122427706753218E-3</v>
      </c>
      <c r="Q1016" t="s">
        <v>161</v>
      </c>
    </row>
    <row r="1017" spans="9:17" x14ac:dyDescent="0.45">
      <c r="I1017" t="s">
        <v>182</v>
      </c>
      <c r="J1017" t="s">
        <v>249</v>
      </c>
      <c r="K1017">
        <v>1.2013992628786685E-2</v>
      </c>
      <c r="L1017" t="s">
        <v>161</v>
      </c>
      <c r="N1017" t="s">
        <v>205</v>
      </c>
      <c r="O1017" t="s">
        <v>249</v>
      </c>
      <c r="P1017">
        <v>4.1690639208324491E-3</v>
      </c>
      <c r="Q1017" t="s">
        <v>161</v>
      </c>
    </row>
    <row r="1018" spans="9:17" x14ac:dyDescent="0.45">
      <c r="I1018" t="s">
        <v>182</v>
      </c>
      <c r="J1018" t="s">
        <v>269</v>
      </c>
      <c r="K1018">
        <v>1.4024409867023694E-2</v>
      </c>
      <c r="L1018" t="s">
        <v>161</v>
      </c>
      <c r="N1018" t="s">
        <v>205</v>
      </c>
      <c r="O1018" t="s">
        <v>269</v>
      </c>
      <c r="P1018">
        <v>2.4055777808047935E-2</v>
      </c>
      <c r="Q1018" t="s">
        <v>161</v>
      </c>
    </row>
    <row r="1019" spans="9:17" x14ac:dyDescent="0.45">
      <c r="I1019" t="s">
        <v>182</v>
      </c>
      <c r="J1019" t="s">
        <v>362</v>
      </c>
      <c r="K1019">
        <v>0</v>
      </c>
      <c r="L1019" t="s">
        <v>161</v>
      </c>
      <c r="N1019" t="s">
        <v>205</v>
      </c>
      <c r="O1019" t="s">
        <v>362</v>
      </c>
      <c r="P1019">
        <v>0</v>
      </c>
      <c r="Q1019" t="s">
        <v>161</v>
      </c>
    </row>
    <row r="1020" spans="9:17" x14ac:dyDescent="0.45">
      <c r="I1020" t="s">
        <v>182</v>
      </c>
      <c r="J1020" t="s">
        <v>363</v>
      </c>
      <c r="K1020">
        <v>0</v>
      </c>
      <c r="L1020" t="s">
        <v>161</v>
      </c>
      <c r="N1020" t="s">
        <v>205</v>
      </c>
      <c r="O1020" t="s">
        <v>363</v>
      </c>
      <c r="P1020">
        <v>0</v>
      </c>
      <c r="Q1020" t="s">
        <v>161</v>
      </c>
    </row>
    <row r="1021" spans="9:17" x14ac:dyDescent="0.45">
      <c r="I1021" t="s">
        <v>182</v>
      </c>
      <c r="J1021" t="s">
        <v>364</v>
      </c>
      <c r="K1021">
        <v>0</v>
      </c>
      <c r="L1021" t="s">
        <v>161</v>
      </c>
      <c r="N1021" t="s">
        <v>205</v>
      </c>
      <c r="O1021" t="s">
        <v>364</v>
      </c>
      <c r="P1021">
        <v>1.6469770601351108E-8</v>
      </c>
      <c r="Q1021" t="s">
        <v>161</v>
      </c>
    </row>
    <row r="1022" spans="9:17" x14ac:dyDescent="0.45">
      <c r="I1022" t="s">
        <v>182</v>
      </c>
      <c r="J1022" t="s">
        <v>365</v>
      </c>
      <c r="K1022">
        <v>0</v>
      </c>
      <c r="L1022" t="s">
        <v>161</v>
      </c>
      <c r="N1022" t="s">
        <v>205</v>
      </c>
      <c r="O1022" t="s">
        <v>365</v>
      </c>
      <c r="P1022">
        <v>1.4192886310782884E-7</v>
      </c>
      <c r="Q1022" t="s">
        <v>161</v>
      </c>
    </row>
    <row r="1023" spans="9:17" x14ac:dyDescent="0.45">
      <c r="I1023" t="s">
        <v>182</v>
      </c>
      <c r="J1023" t="s">
        <v>366</v>
      </c>
      <c r="K1023">
        <v>0</v>
      </c>
      <c r="L1023" t="s">
        <v>161</v>
      </c>
      <c r="N1023" t="s">
        <v>205</v>
      </c>
      <c r="O1023" t="s">
        <v>366</v>
      </c>
      <c r="P1023">
        <v>2.0006415511691385E-6</v>
      </c>
      <c r="Q1023" t="s">
        <v>161</v>
      </c>
    </row>
    <row r="1024" spans="9:17" x14ac:dyDescent="0.45">
      <c r="I1024" t="s">
        <v>182</v>
      </c>
      <c r="J1024" t="s">
        <v>367</v>
      </c>
      <c r="K1024">
        <v>0</v>
      </c>
      <c r="L1024" t="s">
        <v>161</v>
      </c>
      <c r="N1024" t="s">
        <v>205</v>
      </c>
      <c r="O1024" t="s">
        <v>367</v>
      </c>
      <c r="P1024">
        <v>1.6907254807813052E-5</v>
      </c>
      <c r="Q1024" t="s">
        <v>161</v>
      </c>
    </row>
    <row r="1025" spans="9:17" x14ac:dyDescent="0.45">
      <c r="I1025" t="s">
        <v>182</v>
      </c>
      <c r="J1025" t="s">
        <v>368</v>
      </c>
      <c r="K1025">
        <v>6.9528284421458041E-5</v>
      </c>
      <c r="L1025" t="s">
        <v>161</v>
      </c>
      <c r="N1025" t="s">
        <v>205</v>
      </c>
      <c r="O1025" t="s">
        <v>368</v>
      </c>
      <c r="P1025">
        <v>2.4336356789594487E-5</v>
      </c>
      <c r="Q1025" t="s">
        <v>161</v>
      </c>
    </row>
    <row r="1026" spans="9:17" x14ac:dyDescent="0.45">
      <c r="I1026" t="s">
        <v>182</v>
      </c>
      <c r="J1026" t="s">
        <v>369</v>
      </c>
      <c r="K1026">
        <v>1.6973924896474939E-4</v>
      </c>
      <c r="L1026" t="s">
        <v>161</v>
      </c>
      <c r="N1026" t="s">
        <v>205</v>
      </c>
      <c r="O1026" t="s">
        <v>369</v>
      </c>
      <c r="P1026">
        <v>1.4351894407417165E-5</v>
      </c>
      <c r="Q1026" t="s">
        <v>161</v>
      </c>
    </row>
    <row r="1027" spans="9:17" x14ac:dyDescent="0.45">
      <c r="I1027" t="s">
        <v>182</v>
      </c>
      <c r="J1027" t="s">
        <v>370</v>
      </c>
      <c r="K1027">
        <v>2.5700440347693109E-4</v>
      </c>
      <c r="L1027" t="s">
        <v>161</v>
      </c>
      <c r="N1027" t="s">
        <v>205</v>
      </c>
      <c r="O1027" t="s">
        <v>370</v>
      </c>
      <c r="P1027">
        <v>3.5019403640978102E-5</v>
      </c>
      <c r="Q1027" t="s">
        <v>161</v>
      </c>
    </row>
    <row r="1028" spans="9:17" x14ac:dyDescent="0.45">
      <c r="I1028" t="s">
        <v>182</v>
      </c>
      <c r="J1028" t="s">
        <v>371</v>
      </c>
      <c r="K1028">
        <v>3.6910129153663255E-4</v>
      </c>
      <c r="L1028" t="s">
        <v>161</v>
      </c>
      <c r="N1028" t="s">
        <v>205</v>
      </c>
      <c r="O1028" t="s">
        <v>371</v>
      </c>
      <c r="P1028">
        <v>1.2794622685489838E-4</v>
      </c>
      <c r="Q1028" t="s">
        <v>161</v>
      </c>
    </row>
    <row r="1029" spans="9:17" x14ac:dyDescent="0.45">
      <c r="I1029" t="s">
        <v>182</v>
      </c>
      <c r="J1029" t="s">
        <v>372</v>
      </c>
      <c r="K1029">
        <v>4.6597834866862872E-4</v>
      </c>
      <c r="L1029" t="s">
        <v>161</v>
      </c>
      <c r="N1029" t="s">
        <v>205</v>
      </c>
      <c r="O1029" t="s">
        <v>372</v>
      </c>
      <c r="P1029">
        <v>1.8415352192183661E-4</v>
      </c>
      <c r="Q1029" t="s">
        <v>161</v>
      </c>
    </row>
    <row r="1030" spans="9:17" x14ac:dyDescent="0.45">
      <c r="I1030" t="s">
        <v>182</v>
      </c>
      <c r="J1030" t="s">
        <v>373</v>
      </c>
      <c r="K1030">
        <v>4.3118391057519491E-4</v>
      </c>
      <c r="L1030" t="s">
        <v>161</v>
      </c>
      <c r="N1030" t="s">
        <v>205</v>
      </c>
      <c r="O1030" t="s">
        <v>373</v>
      </c>
      <c r="P1030">
        <v>2.0388297424149004E-4</v>
      </c>
      <c r="Q1030" t="s">
        <v>161</v>
      </c>
    </row>
    <row r="1031" spans="9:17" x14ac:dyDescent="0.45">
      <c r="I1031" t="s">
        <v>182</v>
      </c>
      <c r="J1031" t="s">
        <v>374</v>
      </c>
      <c r="K1031">
        <v>4.4452904991001285E-4</v>
      </c>
      <c r="L1031" t="s">
        <v>161</v>
      </c>
      <c r="N1031" t="s">
        <v>205</v>
      </c>
      <c r="O1031" t="s">
        <v>374</v>
      </c>
      <c r="P1031">
        <v>1.8800196232365767E-4</v>
      </c>
      <c r="Q1031" t="s">
        <v>161</v>
      </c>
    </row>
    <row r="1032" spans="9:17" x14ac:dyDescent="0.45">
      <c r="I1032" t="s">
        <v>182</v>
      </c>
      <c r="J1032" t="s">
        <v>375</v>
      </c>
      <c r="K1032">
        <v>3.814788257496113E-4</v>
      </c>
      <c r="L1032" t="s">
        <v>161</v>
      </c>
      <c r="N1032" t="s">
        <v>205</v>
      </c>
      <c r="O1032" t="s">
        <v>375</v>
      </c>
      <c r="P1032">
        <v>1.6347528282915875E-4</v>
      </c>
      <c r="Q1032" t="s">
        <v>161</v>
      </c>
    </row>
    <row r="1033" spans="9:17" x14ac:dyDescent="0.45">
      <c r="I1033" t="s">
        <v>182</v>
      </c>
      <c r="J1033" t="s">
        <v>376</v>
      </c>
      <c r="K1033">
        <v>3.1464457564233034E-4</v>
      </c>
      <c r="L1033" t="s">
        <v>161</v>
      </c>
      <c r="N1033" t="s">
        <v>205</v>
      </c>
      <c r="O1033" t="s">
        <v>376</v>
      </c>
      <c r="P1033">
        <v>1.1957506487431132E-4</v>
      </c>
      <c r="Q1033" t="s">
        <v>161</v>
      </c>
    </row>
    <row r="1034" spans="9:17" x14ac:dyDescent="0.45">
      <c r="I1034" t="s">
        <v>182</v>
      </c>
      <c r="J1034" t="s">
        <v>377</v>
      </c>
      <c r="K1034">
        <v>2.517842419867134E-4</v>
      </c>
      <c r="L1034" t="s">
        <v>161</v>
      </c>
      <c r="N1034" t="s">
        <v>205</v>
      </c>
      <c r="O1034" t="s">
        <v>377</v>
      </c>
      <c r="P1034">
        <v>1.0944028481558691E-4</v>
      </c>
      <c r="Q1034" t="s">
        <v>161</v>
      </c>
    </row>
    <row r="1035" spans="9:17" x14ac:dyDescent="0.45">
      <c r="I1035" t="s">
        <v>182</v>
      </c>
      <c r="J1035" t="s">
        <v>378</v>
      </c>
      <c r="K1035">
        <v>1.8721051472244174E-4</v>
      </c>
      <c r="L1035" t="s">
        <v>161</v>
      </c>
      <c r="N1035" t="s">
        <v>205</v>
      </c>
      <c r="O1035" t="s">
        <v>378</v>
      </c>
      <c r="P1035">
        <v>1.3795585565001104E-4</v>
      </c>
      <c r="Q1035" t="s">
        <v>161</v>
      </c>
    </row>
    <row r="1036" spans="9:17" x14ac:dyDescent="0.45">
      <c r="I1036" t="s">
        <v>182</v>
      </c>
      <c r="J1036" t="s">
        <v>379</v>
      </c>
      <c r="K1036">
        <v>1.7416367401254873E-4</v>
      </c>
      <c r="L1036" t="s">
        <v>161</v>
      </c>
      <c r="N1036" t="s">
        <v>205</v>
      </c>
      <c r="O1036" t="s">
        <v>379</v>
      </c>
      <c r="P1036">
        <v>1.5111873228885857E-4</v>
      </c>
      <c r="Q1036" t="s">
        <v>161</v>
      </c>
    </row>
    <row r="1037" spans="9:17" x14ac:dyDescent="0.45">
      <c r="I1037" t="s">
        <v>182</v>
      </c>
      <c r="J1037" t="s">
        <v>380</v>
      </c>
      <c r="K1037">
        <v>9.5360793201124583E-5</v>
      </c>
      <c r="L1037" t="s">
        <v>161</v>
      </c>
      <c r="N1037" t="s">
        <v>205</v>
      </c>
      <c r="O1037" t="s">
        <v>380</v>
      </c>
      <c r="P1037">
        <v>9.7900257457785269E-5</v>
      </c>
      <c r="Q1037" t="s">
        <v>161</v>
      </c>
    </row>
    <row r="1038" spans="9:17" x14ac:dyDescent="0.45">
      <c r="I1038" t="s">
        <v>182</v>
      </c>
      <c r="J1038" t="s">
        <v>381</v>
      </c>
      <c r="K1038">
        <v>8.2071376267799206E-5</v>
      </c>
      <c r="L1038" t="s">
        <v>161</v>
      </c>
      <c r="N1038" t="s">
        <v>205</v>
      </c>
      <c r="O1038" t="s">
        <v>381</v>
      </c>
      <c r="P1038">
        <v>6.9672922362267896E-5</v>
      </c>
      <c r="Q1038" t="s">
        <v>161</v>
      </c>
    </row>
    <row r="1039" spans="9:17" x14ac:dyDescent="0.45">
      <c r="I1039" t="s">
        <v>182</v>
      </c>
      <c r="J1039" t="s">
        <v>382</v>
      </c>
      <c r="K1039">
        <v>0</v>
      </c>
      <c r="L1039" t="s">
        <v>161</v>
      </c>
      <c r="N1039" t="s">
        <v>205</v>
      </c>
      <c r="O1039" t="s">
        <v>382</v>
      </c>
      <c r="P1039">
        <v>4.4124505555259941E-5</v>
      </c>
      <c r="Q1039" t="s">
        <v>161</v>
      </c>
    </row>
    <row r="1040" spans="9:17" x14ac:dyDescent="0.45">
      <c r="I1040" t="s">
        <v>182</v>
      </c>
      <c r="J1040" t="s">
        <v>383</v>
      </c>
      <c r="K1040">
        <v>0</v>
      </c>
      <c r="L1040" t="s">
        <v>161</v>
      </c>
      <c r="N1040" t="s">
        <v>205</v>
      </c>
      <c r="O1040" t="s">
        <v>383</v>
      </c>
      <c r="P1040">
        <v>2.0094716873790501E-5</v>
      </c>
      <c r="Q1040" t="s">
        <v>161</v>
      </c>
    </row>
    <row r="1041" spans="9:17" x14ac:dyDescent="0.45">
      <c r="I1041" t="s">
        <v>182</v>
      </c>
      <c r="J1041" t="s">
        <v>384</v>
      </c>
      <c r="K1041">
        <v>0</v>
      </c>
      <c r="L1041" t="s">
        <v>161</v>
      </c>
      <c r="N1041" t="s">
        <v>205</v>
      </c>
      <c r="O1041" t="s">
        <v>384</v>
      </c>
      <c r="P1041">
        <v>7.3698955933694156E-6</v>
      </c>
      <c r="Q1041" t="s">
        <v>161</v>
      </c>
    </row>
    <row r="1042" spans="9:17" x14ac:dyDescent="0.45">
      <c r="I1042" t="s">
        <v>182</v>
      </c>
      <c r="J1042" t="s">
        <v>385</v>
      </c>
      <c r="K1042">
        <v>0</v>
      </c>
      <c r="L1042" t="s">
        <v>161</v>
      </c>
      <c r="N1042" t="s">
        <v>205</v>
      </c>
      <c r="O1042" t="s">
        <v>385</v>
      </c>
      <c r="P1042">
        <v>2.6817308491418335E-7</v>
      </c>
      <c r="Q1042" t="s">
        <v>161</v>
      </c>
    </row>
    <row r="1043" spans="9:17" x14ac:dyDescent="0.45">
      <c r="I1043" t="s">
        <v>182</v>
      </c>
      <c r="J1043" t="s">
        <v>250</v>
      </c>
      <c r="K1043">
        <v>1.4729184018602069E-3</v>
      </c>
      <c r="L1043" t="s">
        <v>161</v>
      </c>
      <c r="N1043" t="s">
        <v>205</v>
      </c>
      <c r="O1043" t="s">
        <v>250</v>
      </c>
      <c r="P1043">
        <v>3.5304139497058455E-2</v>
      </c>
      <c r="Q1043" t="s">
        <v>161</v>
      </c>
    </row>
    <row r="1044" spans="9:17" x14ac:dyDescent="0.45">
      <c r="I1044" t="s">
        <v>182</v>
      </c>
      <c r="J1044" t="s">
        <v>251</v>
      </c>
      <c r="K1044">
        <v>4.6593096174537101E-3</v>
      </c>
      <c r="L1044" t="s">
        <v>161</v>
      </c>
      <c r="N1044" t="s">
        <v>205</v>
      </c>
      <c r="O1044" t="s">
        <v>251</v>
      </c>
      <c r="P1044">
        <v>4.5808073644203837E-3</v>
      </c>
      <c r="Q1044" t="s">
        <v>161</v>
      </c>
    </row>
    <row r="1045" spans="9:17" x14ac:dyDescent="0.45">
      <c r="I1045" t="s">
        <v>182</v>
      </c>
      <c r="J1045" t="s">
        <v>252</v>
      </c>
      <c r="K1045">
        <v>7.2918780833836197E-2</v>
      </c>
      <c r="L1045" t="s">
        <v>161</v>
      </c>
      <c r="N1045" t="s">
        <v>205</v>
      </c>
      <c r="O1045" t="s">
        <v>252</v>
      </c>
      <c r="P1045">
        <v>2.6617358668280293E-2</v>
      </c>
      <c r="Q1045" t="s">
        <v>161</v>
      </c>
    </row>
    <row r="1046" spans="9:17" x14ac:dyDescent="0.45">
      <c r="I1046" t="s">
        <v>182</v>
      </c>
      <c r="J1046" t="s">
        <v>253</v>
      </c>
      <c r="K1046">
        <v>7.8923780522562412E-3</v>
      </c>
      <c r="L1046" t="s">
        <v>161</v>
      </c>
      <c r="N1046" t="s">
        <v>205</v>
      </c>
      <c r="O1046" t="s">
        <v>253</v>
      </c>
      <c r="P1046">
        <v>4.5456099537019663E-3</v>
      </c>
      <c r="Q1046" t="s">
        <v>161</v>
      </c>
    </row>
    <row r="1047" spans="9:17" x14ac:dyDescent="0.45">
      <c r="I1047" t="s">
        <v>182</v>
      </c>
      <c r="J1047" t="s">
        <v>254</v>
      </c>
      <c r="K1047">
        <v>4.7557616017892129E-3</v>
      </c>
      <c r="L1047" t="s">
        <v>161</v>
      </c>
      <c r="N1047" t="s">
        <v>205</v>
      </c>
      <c r="O1047" t="s">
        <v>254</v>
      </c>
      <c r="P1047">
        <v>4.5811863231071193E-3</v>
      </c>
      <c r="Q1047" t="s">
        <v>161</v>
      </c>
    </row>
    <row r="1048" spans="9:17" x14ac:dyDescent="0.45">
      <c r="I1048" t="s">
        <v>182</v>
      </c>
      <c r="J1048" t="s">
        <v>270</v>
      </c>
      <c r="K1048">
        <v>1.3952499298684371E-3</v>
      </c>
      <c r="L1048" t="s">
        <v>161</v>
      </c>
      <c r="N1048" t="s">
        <v>205</v>
      </c>
      <c r="O1048" t="s">
        <v>270</v>
      </c>
      <c r="P1048">
        <v>2.5546527389520634E-2</v>
      </c>
      <c r="Q1048" t="s">
        <v>161</v>
      </c>
    </row>
    <row r="1049" spans="9:17" x14ac:dyDescent="0.45">
      <c r="I1049" t="s">
        <v>182</v>
      </c>
      <c r="J1049" t="s">
        <v>255</v>
      </c>
      <c r="K1049">
        <v>0</v>
      </c>
      <c r="L1049" t="s">
        <v>161</v>
      </c>
      <c r="N1049" t="s">
        <v>205</v>
      </c>
      <c r="O1049" t="s">
        <v>255</v>
      </c>
      <c r="P1049">
        <v>5.9357193194080678E-2</v>
      </c>
      <c r="Q1049" t="s">
        <v>161</v>
      </c>
    </row>
    <row r="1050" spans="9:17" x14ac:dyDescent="0.45">
      <c r="I1050" t="s">
        <v>182</v>
      </c>
      <c r="J1050" t="s">
        <v>256</v>
      </c>
      <c r="K1050">
        <v>8.732413704660603E-5</v>
      </c>
      <c r="L1050" t="s">
        <v>161</v>
      </c>
      <c r="N1050" t="s">
        <v>205</v>
      </c>
      <c r="O1050" t="s">
        <v>256</v>
      </c>
      <c r="P1050">
        <v>6.1020115497711852E-3</v>
      </c>
      <c r="Q1050" t="s">
        <v>161</v>
      </c>
    </row>
    <row r="1051" spans="9:17" x14ac:dyDescent="0.45">
      <c r="I1051" t="s">
        <v>182</v>
      </c>
      <c r="J1051" t="s">
        <v>257</v>
      </c>
      <c r="K1051">
        <v>3.1166884810165392E-2</v>
      </c>
      <c r="L1051" t="s">
        <v>161</v>
      </c>
      <c r="N1051" t="s">
        <v>205</v>
      </c>
      <c r="O1051" t="s">
        <v>257</v>
      </c>
      <c r="P1051">
        <v>3.580019440257224E-2</v>
      </c>
      <c r="Q1051" t="s">
        <v>161</v>
      </c>
    </row>
    <row r="1052" spans="9:17" x14ac:dyDescent="0.45">
      <c r="I1052" t="s">
        <v>182</v>
      </c>
      <c r="J1052" t="s">
        <v>258</v>
      </c>
      <c r="K1052">
        <v>2.5030534795219823E-3</v>
      </c>
      <c r="L1052" t="s">
        <v>161</v>
      </c>
      <c r="N1052" t="s">
        <v>205</v>
      </c>
      <c r="O1052" t="s">
        <v>258</v>
      </c>
      <c r="P1052">
        <v>5.2585908272065086E-3</v>
      </c>
      <c r="Q1052" t="s">
        <v>161</v>
      </c>
    </row>
    <row r="1053" spans="9:17" x14ac:dyDescent="0.45">
      <c r="I1053" t="s">
        <v>182</v>
      </c>
      <c r="J1053" t="s">
        <v>259</v>
      </c>
      <c r="K1053">
        <v>9.0171153538450303E-6</v>
      </c>
      <c r="L1053" t="s">
        <v>161</v>
      </c>
      <c r="N1053" t="s">
        <v>205</v>
      </c>
      <c r="O1053" t="s">
        <v>259</v>
      </c>
      <c r="P1053">
        <v>5.7948228382272175E-3</v>
      </c>
      <c r="Q1053" t="s">
        <v>161</v>
      </c>
    </row>
    <row r="1054" spans="9:17" x14ac:dyDescent="0.45">
      <c r="I1054" t="s">
        <v>182</v>
      </c>
      <c r="J1054" t="s">
        <v>271</v>
      </c>
      <c r="K1054">
        <v>0</v>
      </c>
      <c r="L1054" t="s">
        <v>161</v>
      </c>
      <c r="N1054" t="s">
        <v>205</v>
      </c>
      <c r="O1054" t="s">
        <v>271</v>
      </c>
      <c r="P1054">
        <v>4.1301499152738737E-2</v>
      </c>
      <c r="Q1054" t="s">
        <v>161</v>
      </c>
    </row>
    <row r="1055" spans="9:17" x14ac:dyDescent="0.45">
      <c r="I1055" t="s">
        <v>182</v>
      </c>
      <c r="J1055" t="s">
        <v>272</v>
      </c>
      <c r="K1055">
        <v>0</v>
      </c>
      <c r="L1055" t="s">
        <v>161</v>
      </c>
      <c r="N1055" t="s">
        <v>205</v>
      </c>
      <c r="O1055" t="s">
        <v>272</v>
      </c>
      <c r="P1055">
        <v>1.0766376984243249E-2</v>
      </c>
      <c r="Q1055" t="s">
        <v>161</v>
      </c>
    </row>
    <row r="1056" spans="9:17" x14ac:dyDescent="0.45">
      <c r="I1056" t="s">
        <v>182</v>
      </c>
      <c r="J1056" t="s">
        <v>273</v>
      </c>
      <c r="K1056">
        <v>0</v>
      </c>
      <c r="L1056" t="s">
        <v>161</v>
      </c>
      <c r="N1056" t="s">
        <v>205</v>
      </c>
      <c r="O1056" t="s">
        <v>273</v>
      </c>
      <c r="P1056">
        <v>1.0755697696820973E-3</v>
      </c>
      <c r="Q1056" t="s">
        <v>161</v>
      </c>
    </row>
    <row r="1057" spans="9:17" x14ac:dyDescent="0.45">
      <c r="I1057" t="s">
        <v>182</v>
      </c>
      <c r="J1057" t="s">
        <v>274</v>
      </c>
      <c r="K1057">
        <v>5.1492293135523099E-3</v>
      </c>
      <c r="L1057" t="s">
        <v>161</v>
      </c>
      <c r="N1057" t="s">
        <v>205</v>
      </c>
      <c r="O1057" t="s">
        <v>274</v>
      </c>
      <c r="P1057">
        <v>6.3484861617079807E-3</v>
      </c>
      <c r="Q1057" t="s">
        <v>161</v>
      </c>
    </row>
    <row r="1058" spans="9:17" x14ac:dyDescent="0.45">
      <c r="I1058" t="s">
        <v>182</v>
      </c>
      <c r="J1058" t="s">
        <v>275</v>
      </c>
      <c r="K1058">
        <v>4.1220699519753959E-4</v>
      </c>
      <c r="L1058" t="s">
        <v>161</v>
      </c>
      <c r="N1058" t="s">
        <v>205</v>
      </c>
      <c r="O1058" t="s">
        <v>275</v>
      </c>
      <c r="P1058">
        <v>1.5370726231740913E-3</v>
      </c>
      <c r="Q1058" t="s">
        <v>161</v>
      </c>
    </row>
    <row r="1059" spans="9:17" x14ac:dyDescent="0.45">
      <c r="I1059" t="s">
        <v>182</v>
      </c>
      <c r="J1059" t="s">
        <v>276</v>
      </c>
      <c r="K1059">
        <v>0</v>
      </c>
      <c r="L1059" t="s">
        <v>161</v>
      </c>
      <c r="N1059" t="s">
        <v>205</v>
      </c>
      <c r="O1059" t="s">
        <v>276</v>
      </c>
      <c r="P1059">
        <v>1.5479400908936132E-3</v>
      </c>
      <c r="Q1059" t="s">
        <v>161</v>
      </c>
    </row>
    <row r="1060" spans="9:17" x14ac:dyDescent="0.45">
      <c r="I1060" t="s">
        <v>182</v>
      </c>
      <c r="J1060" t="s">
        <v>277</v>
      </c>
      <c r="K1060">
        <v>0</v>
      </c>
      <c r="L1060" t="s">
        <v>161</v>
      </c>
      <c r="N1060" t="s">
        <v>205</v>
      </c>
      <c r="O1060" t="s">
        <v>277</v>
      </c>
      <c r="P1060">
        <v>9.3314779763307952E-3</v>
      </c>
      <c r="Q1060" t="s">
        <v>161</v>
      </c>
    </row>
    <row r="1061" spans="9:17" x14ac:dyDescent="0.45">
      <c r="I1061" t="s">
        <v>182</v>
      </c>
      <c r="J1061" t="s">
        <v>278</v>
      </c>
      <c r="K1061">
        <v>0</v>
      </c>
      <c r="L1061" t="s">
        <v>161</v>
      </c>
      <c r="N1061" t="s">
        <v>205</v>
      </c>
      <c r="O1061" t="s">
        <v>278</v>
      </c>
      <c r="P1061">
        <v>6.2558949900401433E-3</v>
      </c>
      <c r="Q1061" t="s">
        <v>161</v>
      </c>
    </row>
    <row r="1062" spans="9:17" x14ac:dyDescent="0.45">
      <c r="I1062" t="s">
        <v>182</v>
      </c>
      <c r="J1062" t="s">
        <v>279</v>
      </c>
      <c r="K1062">
        <v>0</v>
      </c>
      <c r="L1062" t="s">
        <v>161</v>
      </c>
      <c r="N1062" t="s">
        <v>205</v>
      </c>
      <c r="O1062" t="s">
        <v>279</v>
      </c>
      <c r="P1062">
        <v>4.5016374320847085E-4</v>
      </c>
      <c r="Q1062" t="s">
        <v>161</v>
      </c>
    </row>
    <row r="1063" spans="9:17" x14ac:dyDescent="0.45">
      <c r="I1063" t="s">
        <v>182</v>
      </c>
      <c r="J1063" t="s">
        <v>280</v>
      </c>
      <c r="K1063">
        <v>5.3885380824695382E-3</v>
      </c>
      <c r="L1063" t="s">
        <v>161</v>
      </c>
      <c r="N1063" t="s">
        <v>205</v>
      </c>
      <c r="O1063" t="s">
        <v>280</v>
      </c>
      <c r="P1063">
        <v>1.1754158635235014E-3</v>
      </c>
      <c r="Q1063" t="s">
        <v>161</v>
      </c>
    </row>
    <row r="1064" spans="9:17" x14ac:dyDescent="0.45">
      <c r="I1064" t="s">
        <v>182</v>
      </c>
      <c r="J1064" t="s">
        <v>281</v>
      </c>
      <c r="K1064">
        <v>5.6483737855262111E-4</v>
      </c>
      <c r="L1064" t="s">
        <v>161</v>
      </c>
      <c r="N1064" t="s">
        <v>205</v>
      </c>
      <c r="O1064" t="s">
        <v>281</v>
      </c>
      <c r="P1064">
        <v>1.4557996145084584E-4</v>
      </c>
      <c r="Q1064" t="s">
        <v>161</v>
      </c>
    </row>
    <row r="1065" spans="9:17" x14ac:dyDescent="0.45">
      <c r="I1065" t="s">
        <v>182</v>
      </c>
      <c r="J1065" t="s">
        <v>282</v>
      </c>
      <c r="K1065">
        <v>0</v>
      </c>
      <c r="L1065" t="s">
        <v>161</v>
      </c>
      <c r="N1065" t="s">
        <v>205</v>
      </c>
      <c r="O1065" t="s">
        <v>282</v>
      </c>
      <c r="P1065">
        <v>1.8069496476635382E-4</v>
      </c>
      <c r="Q1065" t="s">
        <v>161</v>
      </c>
    </row>
    <row r="1066" spans="9:17" x14ac:dyDescent="0.45">
      <c r="I1066" t="s">
        <v>182</v>
      </c>
      <c r="J1066" t="s">
        <v>283</v>
      </c>
      <c r="K1066">
        <v>0</v>
      </c>
      <c r="L1066" t="s">
        <v>161</v>
      </c>
      <c r="N1066" t="s">
        <v>205</v>
      </c>
      <c r="O1066" t="s">
        <v>283</v>
      </c>
      <c r="P1066">
        <v>1.4373597886369214E-3</v>
      </c>
      <c r="Q1066" t="s">
        <v>161</v>
      </c>
    </row>
    <row r="1067" spans="9:17" x14ac:dyDescent="0.45">
      <c r="I1067" t="s">
        <v>183</v>
      </c>
      <c r="J1067" t="s">
        <v>160</v>
      </c>
      <c r="K1067">
        <v>6.9307706789229674E-5</v>
      </c>
      <c r="L1067" t="s">
        <v>161</v>
      </c>
      <c r="N1067" t="s">
        <v>206</v>
      </c>
      <c r="O1067" t="s">
        <v>160</v>
      </c>
      <c r="P1067">
        <v>7.5223373591445125E-2</v>
      </c>
      <c r="Q1067" t="s">
        <v>161</v>
      </c>
    </row>
    <row r="1068" spans="9:17" x14ac:dyDescent="0.45">
      <c r="I1068" t="s">
        <v>183</v>
      </c>
      <c r="J1068" t="s">
        <v>162</v>
      </c>
      <c r="K1068">
        <v>2.334154492818622E-3</v>
      </c>
      <c r="L1068" t="s">
        <v>161</v>
      </c>
      <c r="N1068" t="s">
        <v>206</v>
      </c>
      <c r="O1068" t="s">
        <v>162</v>
      </c>
      <c r="P1068">
        <v>9.2575117903261808E-3</v>
      </c>
      <c r="Q1068" t="s">
        <v>161</v>
      </c>
    </row>
    <row r="1069" spans="9:17" x14ac:dyDescent="0.45">
      <c r="I1069" t="s">
        <v>183</v>
      </c>
      <c r="J1069" t="s">
        <v>163</v>
      </c>
      <c r="K1069">
        <v>7.7316994321546109E-2</v>
      </c>
      <c r="L1069" t="s">
        <v>161</v>
      </c>
      <c r="N1069" t="s">
        <v>206</v>
      </c>
      <c r="O1069" t="s">
        <v>163</v>
      </c>
      <c r="P1069">
        <v>6.137581907113878E-2</v>
      </c>
      <c r="Q1069" t="s">
        <v>161</v>
      </c>
    </row>
    <row r="1070" spans="9:17" x14ac:dyDescent="0.45">
      <c r="I1070" t="s">
        <v>183</v>
      </c>
      <c r="J1070" t="s">
        <v>242</v>
      </c>
      <c r="K1070">
        <v>7.7168758730495092E-3</v>
      </c>
      <c r="L1070" t="s">
        <v>161</v>
      </c>
      <c r="N1070" t="s">
        <v>206</v>
      </c>
      <c r="O1070" t="s">
        <v>242</v>
      </c>
      <c r="P1070">
        <v>8.7773027087413129E-3</v>
      </c>
      <c r="Q1070" t="s">
        <v>161</v>
      </c>
    </row>
    <row r="1071" spans="9:17" x14ac:dyDescent="0.45">
      <c r="I1071" t="s">
        <v>183</v>
      </c>
      <c r="J1071" t="s">
        <v>243</v>
      </c>
      <c r="K1071">
        <v>4.5430993816378369E-3</v>
      </c>
      <c r="L1071" t="s">
        <v>161</v>
      </c>
      <c r="N1071" t="s">
        <v>206</v>
      </c>
      <c r="O1071" t="s">
        <v>243</v>
      </c>
      <c r="P1071">
        <v>9.2108927694943641E-3</v>
      </c>
      <c r="Q1071" t="s">
        <v>161</v>
      </c>
    </row>
    <row r="1072" spans="9:17" x14ac:dyDescent="0.45">
      <c r="I1072" t="s">
        <v>183</v>
      </c>
      <c r="J1072" t="s">
        <v>266</v>
      </c>
      <c r="K1072">
        <v>1.7809900231856204E-3</v>
      </c>
      <c r="L1072" t="s">
        <v>161</v>
      </c>
      <c r="N1072" t="s">
        <v>206</v>
      </c>
      <c r="O1072" t="s">
        <v>266</v>
      </c>
      <c r="P1072">
        <v>5.7824573034985102E-2</v>
      </c>
      <c r="Q1072" t="s">
        <v>161</v>
      </c>
    </row>
    <row r="1073" spans="9:17" x14ac:dyDescent="0.45">
      <c r="I1073" t="s">
        <v>183</v>
      </c>
      <c r="J1073" t="s">
        <v>311</v>
      </c>
      <c r="K1073">
        <v>0</v>
      </c>
      <c r="L1073" t="s">
        <v>161</v>
      </c>
      <c r="N1073" t="s">
        <v>206</v>
      </c>
      <c r="O1073" t="s">
        <v>311</v>
      </c>
      <c r="P1073">
        <v>8.7399879071616245E-6</v>
      </c>
      <c r="Q1073" t="s">
        <v>161</v>
      </c>
    </row>
    <row r="1074" spans="9:17" x14ac:dyDescent="0.45">
      <c r="I1074" t="s">
        <v>183</v>
      </c>
      <c r="J1074" t="s">
        <v>312</v>
      </c>
      <c r="K1074">
        <v>0</v>
      </c>
      <c r="L1074" t="s">
        <v>161</v>
      </c>
      <c r="N1074" t="s">
        <v>206</v>
      </c>
      <c r="O1074" t="s">
        <v>312</v>
      </c>
      <c r="P1074">
        <v>5.1516116326965201E-6</v>
      </c>
      <c r="Q1074" t="s">
        <v>161</v>
      </c>
    </row>
    <row r="1075" spans="9:17" x14ac:dyDescent="0.45">
      <c r="I1075" t="s">
        <v>183</v>
      </c>
      <c r="J1075" t="s">
        <v>313</v>
      </c>
      <c r="K1075">
        <v>0</v>
      </c>
      <c r="L1075" t="s">
        <v>161</v>
      </c>
      <c r="N1075" t="s">
        <v>206</v>
      </c>
      <c r="O1075" t="s">
        <v>313</v>
      </c>
      <c r="P1075">
        <v>1.9319369262470092E-6</v>
      </c>
      <c r="Q1075" t="s">
        <v>161</v>
      </c>
    </row>
    <row r="1076" spans="9:17" x14ac:dyDescent="0.45">
      <c r="I1076" t="s">
        <v>183</v>
      </c>
      <c r="J1076" t="s">
        <v>314</v>
      </c>
      <c r="K1076">
        <v>0</v>
      </c>
      <c r="L1076" t="s">
        <v>161</v>
      </c>
      <c r="N1076" t="s">
        <v>206</v>
      </c>
      <c r="O1076" t="s">
        <v>314</v>
      </c>
      <c r="P1076">
        <v>2.1311846739383082E-6</v>
      </c>
      <c r="Q1076" t="s">
        <v>161</v>
      </c>
    </row>
    <row r="1077" spans="9:17" x14ac:dyDescent="0.45">
      <c r="I1077" t="s">
        <v>183</v>
      </c>
      <c r="J1077" t="s">
        <v>315</v>
      </c>
      <c r="K1077">
        <v>0</v>
      </c>
      <c r="L1077" t="s">
        <v>161</v>
      </c>
      <c r="N1077" t="s">
        <v>206</v>
      </c>
      <c r="O1077" t="s">
        <v>315</v>
      </c>
      <c r="P1077">
        <v>2.2449918777946052E-6</v>
      </c>
      <c r="Q1077" t="s">
        <v>161</v>
      </c>
    </row>
    <row r="1078" spans="9:17" x14ac:dyDescent="0.45">
      <c r="I1078" t="s">
        <v>183</v>
      </c>
      <c r="J1078" t="s">
        <v>316</v>
      </c>
      <c r="K1078">
        <v>0</v>
      </c>
      <c r="L1078" t="s">
        <v>161</v>
      </c>
      <c r="N1078" t="s">
        <v>206</v>
      </c>
      <c r="O1078" t="s">
        <v>316</v>
      </c>
      <c r="P1078">
        <v>6.851330058195299E-6</v>
      </c>
      <c r="Q1078" t="s">
        <v>161</v>
      </c>
    </row>
    <row r="1079" spans="9:17" x14ac:dyDescent="0.45">
      <c r="I1079" t="s">
        <v>183</v>
      </c>
      <c r="J1079" t="s">
        <v>317</v>
      </c>
      <c r="K1079">
        <v>0</v>
      </c>
      <c r="L1079" t="s">
        <v>161</v>
      </c>
      <c r="N1079" t="s">
        <v>206</v>
      </c>
      <c r="O1079" t="s">
        <v>317</v>
      </c>
      <c r="P1079">
        <v>9.3984672998150549E-6</v>
      </c>
      <c r="Q1079" t="s">
        <v>161</v>
      </c>
    </row>
    <row r="1080" spans="9:17" x14ac:dyDescent="0.45">
      <c r="I1080" t="s">
        <v>183</v>
      </c>
      <c r="J1080" t="s">
        <v>318</v>
      </c>
      <c r="K1080">
        <v>0</v>
      </c>
      <c r="L1080" t="s">
        <v>161</v>
      </c>
      <c r="N1080" t="s">
        <v>206</v>
      </c>
      <c r="O1080" t="s">
        <v>318</v>
      </c>
      <c r="P1080">
        <v>1.4285833722726514E-5</v>
      </c>
      <c r="Q1080" t="s">
        <v>161</v>
      </c>
    </row>
    <row r="1081" spans="9:17" x14ac:dyDescent="0.45">
      <c r="I1081" t="s">
        <v>183</v>
      </c>
      <c r="J1081" t="s">
        <v>319</v>
      </c>
      <c r="K1081">
        <v>4.011980289848408E-5</v>
      </c>
      <c r="L1081" t="s">
        <v>161</v>
      </c>
      <c r="N1081" t="s">
        <v>206</v>
      </c>
      <c r="O1081" t="s">
        <v>319</v>
      </c>
      <c r="P1081">
        <v>1.8306236433385684E-5</v>
      </c>
      <c r="Q1081" t="s">
        <v>161</v>
      </c>
    </row>
    <row r="1082" spans="9:17" x14ac:dyDescent="0.45">
      <c r="I1082" t="s">
        <v>183</v>
      </c>
      <c r="J1082" t="s">
        <v>320</v>
      </c>
      <c r="K1082">
        <v>1.0568099552487981E-4</v>
      </c>
      <c r="L1082" t="s">
        <v>161</v>
      </c>
      <c r="N1082" t="s">
        <v>206</v>
      </c>
      <c r="O1082" t="s">
        <v>320</v>
      </c>
      <c r="P1082">
        <v>1.5536720585359077E-5</v>
      </c>
      <c r="Q1082" t="s">
        <v>161</v>
      </c>
    </row>
    <row r="1083" spans="9:17" x14ac:dyDescent="0.45">
      <c r="I1083" t="s">
        <v>183</v>
      </c>
      <c r="J1083" t="s">
        <v>321</v>
      </c>
      <c r="K1083">
        <v>1.9044822303438164E-4</v>
      </c>
      <c r="L1083" t="s">
        <v>161</v>
      </c>
      <c r="N1083" t="s">
        <v>206</v>
      </c>
      <c r="O1083" t="s">
        <v>321</v>
      </c>
      <c r="P1083">
        <v>1.0491910024164274E-5</v>
      </c>
      <c r="Q1083" t="s">
        <v>161</v>
      </c>
    </row>
    <row r="1084" spans="9:17" x14ac:dyDescent="0.45">
      <c r="I1084" t="s">
        <v>183</v>
      </c>
      <c r="J1084" t="s">
        <v>322</v>
      </c>
      <c r="K1084">
        <v>2.5924411535907152E-4</v>
      </c>
      <c r="L1084" t="s">
        <v>161</v>
      </c>
      <c r="N1084" t="s">
        <v>206</v>
      </c>
      <c r="O1084" t="s">
        <v>322</v>
      </c>
      <c r="P1084">
        <v>4.6855230372063884E-5</v>
      </c>
      <c r="Q1084" t="s">
        <v>161</v>
      </c>
    </row>
    <row r="1085" spans="9:17" x14ac:dyDescent="0.45">
      <c r="I1085" t="s">
        <v>183</v>
      </c>
      <c r="J1085" t="s">
        <v>323</v>
      </c>
      <c r="K1085">
        <v>2.4318390447463449E-4</v>
      </c>
      <c r="L1085" t="s">
        <v>161</v>
      </c>
      <c r="N1085" t="s">
        <v>206</v>
      </c>
      <c r="O1085" t="s">
        <v>323</v>
      </c>
      <c r="P1085">
        <v>3.7149851217685435E-5</v>
      </c>
      <c r="Q1085" t="s">
        <v>161</v>
      </c>
    </row>
    <row r="1086" spans="9:17" x14ac:dyDescent="0.45">
      <c r="I1086" t="s">
        <v>183</v>
      </c>
      <c r="J1086" t="s">
        <v>324</v>
      </c>
      <c r="K1086">
        <v>2.0368946721163722E-4</v>
      </c>
      <c r="L1086" t="s">
        <v>161</v>
      </c>
      <c r="N1086" t="s">
        <v>206</v>
      </c>
      <c r="O1086" t="s">
        <v>324</v>
      </c>
      <c r="P1086">
        <v>2.9145394892630253E-5</v>
      </c>
      <c r="Q1086" t="s">
        <v>161</v>
      </c>
    </row>
    <row r="1087" spans="9:17" x14ac:dyDescent="0.45">
      <c r="I1087" t="s">
        <v>183</v>
      </c>
      <c r="J1087" t="s">
        <v>325</v>
      </c>
      <c r="K1087">
        <v>1.3492060570862265E-4</v>
      </c>
      <c r="L1087" t="s">
        <v>161</v>
      </c>
      <c r="N1087" t="s">
        <v>206</v>
      </c>
      <c r="O1087" t="s">
        <v>325</v>
      </c>
      <c r="P1087">
        <v>2.4717618414142724E-5</v>
      </c>
      <c r="Q1087" t="s">
        <v>161</v>
      </c>
    </row>
    <row r="1088" spans="9:17" x14ac:dyDescent="0.45">
      <c r="I1088" t="s">
        <v>183</v>
      </c>
      <c r="J1088" t="s">
        <v>326</v>
      </c>
      <c r="K1088">
        <v>7.9725954172749222E-5</v>
      </c>
      <c r="L1088" t="s">
        <v>161</v>
      </c>
      <c r="N1088" t="s">
        <v>206</v>
      </c>
      <c r="O1088" t="s">
        <v>326</v>
      </c>
      <c r="P1088">
        <v>1.7305811348271873E-5</v>
      </c>
      <c r="Q1088" t="s">
        <v>161</v>
      </c>
    </row>
    <row r="1089" spans="9:17" x14ac:dyDescent="0.45">
      <c r="I1089" t="s">
        <v>183</v>
      </c>
      <c r="J1089" t="s">
        <v>327</v>
      </c>
      <c r="K1089">
        <v>3.133582046492738E-5</v>
      </c>
      <c r="L1089" t="s">
        <v>161</v>
      </c>
      <c r="N1089" t="s">
        <v>206</v>
      </c>
      <c r="O1089" t="s">
        <v>327</v>
      </c>
      <c r="P1089">
        <v>1.3918970372555874E-5</v>
      </c>
      <c r="Q1089" t="s">
        <v>161</v>
      </c>
    </row>
    <row r="1090" spans="9:17" x14ac:dyDescent="0.45">
      <c r="I1090" t="s">
        <v>183</v>
      </c>
      <c r="J1090" t="s">
        <v>328</v>
      </c>
      <c r="K1090">
        <v>4.100337353334425E-5</v>
      </c>
      <c r="L1090" t="s">
        <v>161</v>
      </c>
      <c r="N1090" t="s">
        <v>206</v>
      </c>
      <c r="O1090" t="s">
        <v>328</v>
      </c>
      <c r="P1090">
        <v>2.2060005327433087E-5</v>
      </c>
      <c r="Q1090" t="s">
        <v>161</v>
      </c>
    </row>
    <row r="1091" spans="9:17" x14ac:dyDescent="0.45">
      <c r="I1091" t="s">
        <v>183</v>
      </c>
      <c r="J1091" t="s">
        <v>329</v>
      </c>
      <c r="K1091">
        <v>0</v>
      </c>
      <c r="L1091" t="s">
        <v>161</v>
      </c>
      <c r="N1091" t="s">
        <v>206</v>
      </c>
      <c r="O1091" t="s">
        <v>329</v>
      </c>
      <c r="P1091">
        <v>4.2138816678506643E-5</v>
      </c>
      <c r="Q1091" t="s">
        <v>161</v>
      </c>
    </row>
    <row r="1092" spans="9:17" x14ac:dyDescent="0.45">
      <c r="I1092" t="s">
        <v>183</v>
      </c>
      <c r="J1092" t="s">
        <v>330</v>
      </c>
      <c r="K1092">
        <v>0</v>
      </c>
      <c r="L1092" t="s">
        <v>161</v>
      </c>
      <c r="N1092" t="s">
        <v>206</v>
      </c>
      <c r="O1092" t="s">
        <v>330</v>
      </c>
      <c r="P1092">
        <v>6.3349994585391373E-5</v>
      </c>
      <c r="Q1092" t="s">
        <v>161</v>
      </c>
    </row>
    <row r="1093" spans="9:17" x14ac:dyDescent="0.45">
      <c r="I1093" t="s">
        <v>183</v>
      </c>
      <c r="J1093" t="s">
        <v>331</v>
      </c>
      <c r="K1093">
        <v>0</v>
      </c>
      <c r="L1093" t="s">
        <v>161</v>
      </c>
      <c r="N1093" t="s">
        <v>206</v>
      </c>
      <c r="O1093" t="s">
        <v>331</v>
      </c>
      <c r="P1093">
        <v>7.2603813879035302E-5</v>
      </c>
      <c r="Q1093" t="s">
        <v>161</v>
      </c>
    </row>
    <row r="1094" spans="9:17" x14ac:dyDescent="0.45">
      <c r="I1094" t="s">
        <v>183</v>
      </c>
      <c r="J1094" t="s">
        <v>332</v>
      </c>
      <c r="K1094">
        <v>0</v>
      </c>
      <c r="L1094" t="s">
        <v>161</v>
      </c>
      <c r="N1094" t="s">
        <v>206</v>
      </c>
      <c r="O1094" t="s">
        <v>332</v>
      </c>
      <c r="P1094">
        <v>7.377362918902758E-5</v>
      </c>
      <c r="Q1094" t="s">
        <v>161</v>
      </c>
    </row>
    <row r="1095" spans="9:17" x14ac:dyDescent="0.45">
      <c r="I1095" t="s">
        <v>183</v>
      </c>
      <c r="J1095" t="s">
        <v>333</v>
      </c>
      <c r="K1095">
        <v>0</v>
      </c>
      <c r="L1095" t="s">
        <v>161</v>
      </c>
      <c r="N1095" t="s">
        <v>206</v>
      </c>
      <c r="O1095" t="s">
        <v>333</v>
      </c>
      <c r="P1095">
        <v>6.9865566111705415E-5</v>
      </c>
      <c r="Q1095" t="s">
        <v>161</v>
      </c>
    </row>
    <row r="1096" spans="9:17" x14ac:dyDescent="0.45">
      <c r="I1096" t="s">
        <v>183</v>
      </c>
      <c r="J1096" t="s">
        <v>334</v>
      </c>
      <c r="K1096">
        <v>0</v>
      </c>
      <c r="L1096" t="s">
        <v>161</v>
      </c>
      <c r="N1096" t="s">
        <v>206</v>
      </c>
      <c r="O1096" t="s">
        <v>334</v>
      </c>
      <c r="P1096">
        <v>3.8801100047008408E-5</v>
      </c>
      <c r="Q1096" t="s">
        <v>161</v>
      </c>
    </row>
    <row r="1097" spans="9:17" x14ac:dyDescent="0.45">
      <c r="I1097" t="s">
        <v>183</v>
      </c>
      <c r="J1097" t="s">
        <v>164</v>
      </c>
      <c r="K1097">
        <v>6.798443122542094E-3</v>
      </c>
      <c r="L1097" t="s">
        <v>161</v>
      </c>
      <c r="N1097" t="s">
        <v>206</v>
      </c>
      <c r="O1097" t="s">
        <v>164</v>
      </c>
      <c r="P1097">
        <v>4.3033912671802753E-2</v>
      </c>
      <c r="Q1097" t="s">
        <v>161</v>
      </c>
    </row>
    <row r="1098" spans="9:17" x14ac:dyDescent="0.45">
      <c r="I1098" t="s">
        <v>183</v>
      </c>
      <c r="J1098" t="s">
        <v>165</v>
      </c>
      <c r="K1098">
        <v>9.4784609351641746E-3</v>
      </c>
      <c r="L1098" t="s">
        <v>161</v>
      </c>
      <c r="N1098" t="s">
        <v>206</v>
      </c>
      <c r="O1098" t="s">
        <v>165</v>
      </c>
      <c r="P1098">
        <v>5.9846003083532566E-3</v>
      </c>
      <c r="Q1098" t="s">
        <v>161</v>
      </c>
    </row>
    <row r="1099" spans="9:17" x14ac:dyDescent="0.45">
      <c r="I1099" t="s">
        <v>183</v>
      </c>
      <c r="J1099" t="s">
        <v>166</v>
      </c>
      <c r="K1099">
        <v>9.5890815613537489E-2</v>
      </c>
      <c r="L1099" t="s">
        <v>161</v>
      </c>
      <c r="N1099" t="s">
        <v>206</v>
      </c>
      <c r="O1099" t="s">
        <v>166</v>
      </c>
      <c r="P1099">
        <v>3.7112507026841768E-2</v>
      </c>
      <c r="Q1099" t="s">
        <v>161</v>
      </c>
    </row>
    <row r="1100" spans="9:17" x14ac:dyDescent="0.45">
      <c r="I1100" t="s">
        <v>183</v>
      </c>
      <c r="J1100" t="s">
        <v>244</v>
      </c>
      <c r="K1100">
        <v>1.01206824559244E-2</v>
      </c>
      <c r="L1100" t="s">
        <v>161</v>
      </c>
      <c r="N1100" t="s">
        <v>206</v>
      </c>
      <c r="O1100" t="s">
        <v>244</v>
      </c>
      <c r="P1100">
        <v>4.9544391234421729E-3</v>
      </c>
      <c r="Q1100" t="s">
        <v>161</v>
      </c>
    </row>
    <row r="1101" spans="9:17" x14ac:dyDescent="0.45">
      <c r="I1101" t="s">
        <v>183</v>
      </c>
      <c r="J1101" t="s">
        <v>245</v>
      </c>
      <c r="K1101">
        <v>7.9141775462015923E-3</v>
      </c>
      <c r="L1101" t="s">
        <v>161</v>
      </c>
      <c r="N1101" t="s">
        <v>206</v>
      </c>
      <c r="O1101" t="s">
        <v>245</v>
      </c>
      <c r="P1101">
        <v>4.9998471629930591E-3</v>
      </c>
      <c r="Q1101" t="s">
        <v>161</v>
      </c>
    </row>
    <row r="1102" spans="9:17" x14ac:dyDescent="0.45">
      <c r="I1102" t="s">
        <v>183</v>
      </c>
      <c r="J1102" t="s">
        <v>267</v>
      </c>
      <c r="K1102">
        <v>6.5812422056806385E-3</v>
      </c>
      <c r="L1102" t="s">
        <v>161</v>
      </c>
      <c r="N1102" t="s">
        <v>206</v>
      </c>
      <c r="O1102" t="s">
        <v>267</v>
      </c>
      <c r="P1102">
        <v>3.259963776826684E-2</v>
      </c>
      <c r="Q1102" t="s">
        <v>161</v>
      </c>
    </row>
    <row r="1103" spans="9:17" x14ac:dyDescent="0.45">
      <c r="I1103" t="s">
        <v>183</v>
      </c>
      <c r="J1103" t="s">
        <v>167</v>
      </c>
      <c r="K1103">
        <v>4.4753623777102916E-2</v>
      </c>
      <c r="L1103" t="s">
        <v>161</v>
      </c>
      <c r="N1103" t="s">
        <v>206</v>
      </c>
      <c r="O1103" t="s">
        <v>167</v>
      </c>
      <c r="P1103">
        <v>6.2965851928473121E-2</v>
      </c>
      <c r="Q1103" t="s">
        <v>161</v>
      </c>
    </row>
    <row r="1104" spans="9:17" x14ac:dyDescent="0.45">
      <c r="I1104" t="s">
        <v>183</v>
      </c>
      <c r="J1104" t="s">
        <v>168</v>
      </c>
      <c r="K1104">
        <v>3.1382215208792197E-2</v>
      </c>
      <c r="L1104" t="s">
        <v>161</v>
      </c>
      <c r="N1104" t="s">
        <v>206</v>
      </c>
      <c r="O1104" t="s">
        <v>168</v>
      </c>
      <c r="P1104">
        <v>6.07778870409379E-3</v>
      </c>
      <c r="Q1104" t="s">
        <v>161</v>
      </c>
    </row>
    <row r="1105" spans="9:17" x14ac:dyDescent="0.45">
      <c r="I1105" t="s">
        <v>183</v>
      </c>
      <c r="J1105" t="s">
        <v>169</v>
      </c>
      <c r="K1105">
        <v>0.27286808724012152</v>
      </c>
      <c r="L1105" t="s">
        <v>161</v>
      </c>
      <c r="N1105" t="s">
        <v>206</v>
      </c>
      <c r="O1105" t="s">
        <v>169</v>
      </c>
      <c r="P1105">
        <v>4.434952122976258E-2</v>
      </c>
      <c r="Q1105" t="s">
        <v>161</v>
      </c>
    </row>
    <row r="1106" spans="9:17" x14ac:dyDescent="0.45">
      <c r="I1106" t="s">
        <v>183</v>
      </c>
      <c r="J1106" t="s">
        <v>246</v>
      </c>
      <c r="K1106">
        <v>3.2439899949352591E-2</v>
      </c>
      <c r="L1106" t="s">
        <v>161</v>
      </c>
      <c r="N1106" t="s">
        <v>206</v>
      </c>
      <c r="O1106" t="s">
        <v>246</v>
      </c>
      <c r="P1106">
        <v>7.7795767690304173E-3</v>
      </c>
      <c r="Q1106" t="s">
        <v>161</v>
      </c>
    </row>
    <row r="1107" spans="9:17" x14ac:dyDescent="0.45">
      <c r="I1107" t="s">
        <v>183</v>
      </c>
      <c r="J1107" t="s">
        <v>247</v>
      </c>
      <c r="K1107">
        <v>2.7316363167821142E-2</v>
      </c>
      <c r="L1107" t="s">
        <v>161</v>
      </c>
      <c r="N1107" t="s">
        <v>206</v>
      </c>
      <c r="O1107" t="s">
        <v>247</v>
      </c>
      <c r="P1107">
        <v>8.2113860031734019E-3</v>
      </c>
      <c r="Q1107" t="s">
        <v>161</v>
      </c>
    </row>
    <row r="1108" spans="9:17" x14ac:dyDescent="0.45">
      <c r="I1108" t="s">
        <v>183</v>
      </c>
      <c r="J1108" t="s">
        <v>268</v>
      </c>
      <c r="K1108">
        <v>3.9495778606312947E-2</v>
      </c>
      <c r="L1108" t="s">
        <v>161</v>
      </c>
      <c r="N1108" t="s">
        <v>206</v>
      </c>
      <c r="O1108" t="s">
        <v>268</v>
      </c>
      <c r="P1108">
        <v>5.5717900154870478E-2</v>
      </c>
      <c r="Q1108" t="s">
        <v>161</v>
      </c>
    </row>
    <row r="1109" spans="9:17" x14ac:dyDescent="0.45">
      <c r="I1109" t="s">
        <v>183</v>
      </c>
      <c r="J1109" t="s">
        <v>170</v>
      </c>
      <c r="K1109">
        <v>1.176848040915719E-2</v>
      </c>
      <c r="L1109" t="s">
        <v>161</v>
      </c>
      <c r="N1109" t="s">
        <v>206</v>
      </c>
      <c r="O1109" t="s">
        <v>170</v>
      </c>
      <c r="P1109">
        <v>3.0857653696797209E-2</v>
      </c>
      <c r="Q1109" t="s">
        <v>161</v>
      </c>
    </row>
    <row r="1110" spans="9:17" x14ac:dyDescent="0.45">
      <c r="I1110" t="s">
        <v>183</v>
      </c>
      <c r="J1110" t="s">
        <v>171</v>
      </c>
      <c r="K1110">
        <v>1.2610585591101118E-2</v>
      </c>
      <c r="L1110" t="s">
        <v>161</v>
      </c>
      <c r="N1110" t="s">
        <v>206</v>
      </c>
      <c r="O1110" t="s">
        <v>171</v>
      </c>
      <c r="P1110">
        <v>3.5860102873359503E-3</v>
      </c>
      <c r="Q1110" t="s">
        <v>161</v>
      </c>
    </row>
    <row r="1111" spans="9:17" x14ac:dyDescent="0.45">
      <c r="I1111" t="s">
        <v>183</v>
      </c>
      <c r="J1111" t="s">
        <v>172</v>
      </c>
      <c r="K1111">
        <v>0.12023701523230224</v>
      </c>
      <c r="L1111" t="s">
        <v>161</v>
      </c>
      <c r="N1111" t="s">
        <v>206</v>
      </c>
      <c r="O1111" t="s">
        <v>172</v>
      </c>
      <c r="P1111">
        <v>2.4174967662819971E-2</v>
      </c>
      <c r="Q1111" t="s">
        <v>161</v>
      </c>
    </row>
    <row r="1112" spans="9:17" x14ac:dyDescent="0.45">
      <c r="I1112" t="s">
        <v>183</v>
      </c>
      <c r="J1112" t="s">
        <v>248</v>
      </c>
      <c r="K1112">
        <v>1.3508348042153274E-2</v>
      </c>
      <c r="L1112" t="s">
        <v>161</v>
      </c>
      <c r="N1112" t="s">
        <v>206</v>
      </c>
      <c r="O1112" t="s">
        <v>248</v>
      </c>
      <c r="P1112">
        <v>3.6242883777518322E-3</v>
      </c>
      <c r="Q1112" t="s">
        <v>161</v>
      </c>
    </row>
    <row r="1113" spans="9:17" x14ac:dyDescent="0.45">
      <c r="I1113" t="s">
        <v>183</v>
      </c>
      <c r="J1113" t="s">
        <v>249</v>
      </c>
      <c r="K1113">
        <v>1.1223809792673839E-2</v>
      </c>
      <c r="L1113" t="s">
        <v>161</v>
      </c>
      <c r="N1113" t="s">
        <v>206</v>
      </c>
      <c r="O1113" t="s">
        <v>249</v>
      </c>
      <c r="P1113">
        <v>3.4372042708395987E-3</v>
      </c>
      <c r="Q1113" t="s">
        <v>161</v>
      </c>
    </row>
    <row r="1114" spans="9:17" x14ac:dyDescent="0.45">
      <c r="I1114" t="s">
        <v>183</v>
      </c>
      <c r="J1114" t="s">
        <v>269</v>
      </c>
      <c r="K1114">
        <v>1.2255601126847985E-2</v>
      </c>
      <c r="L1114" t="s">
        <v>161</v>
      </c>
      <c r="N1114" t="s">
        <v>206</v>
      </c>
      <c r="O1114" t="s">
        <v>269</v>
      </c>
      <c r="P1114">
        <v>2.1898542880823275E-2</v>
      </c>
      <c r="Q1114" t="s">
        <v>161</v>
      </c>
    </row>
    <row r="1115" spans="9:17" x14ac:dyDescent="0.45">
      <c r="I1115" t="s">
        <v>183</v>
      </c>
      <c r="J1115" t="s">
        <v>362</v>
      </c>
      <c r="K1115">
        <v>0</v>
      </c>
      <c r="L1115" t="s">
        <v>161</v>
      </c>
      <c r="N1115" t="s">
        <v>206</v>
      </c>
      <c r="O1115" t="s">
        <v>362</v>
      </c>
      <c r="P1115">
        <v>4.9169378508785224E-7</v>
      </c>
      <c r="Q1115" t="s">
        <v>161</v>
      </c>
    </row>
    <row r="1116" spans="9:17" x14ac:dyDescent="0.45">
      <c r="I1116" t="s">
        <v>183</v>
      </c>
      <c r="J1116" t="s">
        <v>363</v>
      </c>
      <c r="K1116">
        <v>0</v>
      </c>
      <c r="L1116" t="s">
        <v>161</v>
      </c>
      <c r="N1116" t="s">
        <v>206</v>
      </c>
      <c r="O1116" t="s">
        <v>363</v>
      </c>
      <c r="P1116">
        <v>1.4530664154142365E-6</v>
      </c>
      <c r="Q1116" t="s">
        <v>161</v>
      </c>
    </row>
    <row r="1117" spans="9:17" x14ac:dyDescent="0.45">
      <c r="I1117" t="s">
        <v>183</v>
      </c>
      <c r="J1117" t="s">
        <v>364</v>
      </c>
      <c r="K1117">
        <v>0</v>
      </c>
      <c r="L1117" t="s">
        <v>161</v>
      </c>
      <c r="N1117" t="s">
        <v>206</v>
      </c>
      <c r="O1117" t="s">
        <v>364</v>
      </c>
      <c r="P1117">
        <v>1.7088095455343891E-6</v>
      </c>
      <c r="Q1117" t="s">
        <v>161</v>
      </c>
    </row>
    <row r="1118" spans="9:17" x14ac:dyDescent="0.45">
      <c r="I1118" t="s">
        <v>183</v>
      </c>
      <c r="J1118" t="s">
        <v>365</v>
      </c>
      <c r="K1118">
        <v>0</v>
      </c>
      <c r="L1118" t="s">
        <v>161</v>
      </c>
      <c r="N1118" t="s">
        <v>206</v>
      </c>
      <c r="O1118" t="s">
        <v>365</v>
      </c>
      <c r="P1118">
        <v>1.4804156151316916E-6</v>
      </c>
      <c r="Q1118" t="s">
        <v>161</v>
      </c>
    </row>
    <row r="1119" spans="9:17" x14ac:dyDescent="0.45">
      <c r="I1119" t="s">
        <v>183</v>
      </c>
      <c r="J1119" t="s">
        <v>366</v>
      </c>
      <c r="K1119">
        <v>0</v>
      </c>
      <c r="L1119" t="s">
        <v>161</v>
      </c>
      <c r="N1119" t="s">
        <v>206</v>
      </c>
      <c r="O1119" t="s">
        <v>366</v>
      </c>
      <c r="P1119">
        <v>1.8605461439200718E-6</v>
      </c>
      <c r="Q1119" t="s">
        <v>161</v>
      </c>
    </row>
    <row r="1120" spans="9:17" x14ac:dyDescent="0.45">
      <c r="I1120" t="s">
        <v>183</v>
      </c>
      <c r="J1120" t="s">
        <v>367</v>
      </c>
      <c r="K1120">
        <v>0</v>
      </c>
      <c r="L1120" t="s">
        <v>161</v>
      </c>
      <c r="N1120" t="s">
        <v>206</v>
      </c>
      <c r="O1120" t="s">
        <v>367</v>
      </c>
      <c r="P1120">
        <v>5.0907190468912151E-6</v>
      </c>
      <c r="Q1120" t="s">
        <v>161</v>
      </c>
    </row>
    <row r="1121" spans="9:17" x14ac:dyDescent="0.45">
      <c r="I1121" t="s">
        <v>183</v>
      </c>
      <c r="J1121" t="s">
        <v>368</v>
      </c>
      <c r="K1121">
        <v>1.3192802720217805E-4</v>
      </c>
      <c r="L1121" t="s">
        <v>161</v>
      </c>
      <c r="N1121" t="s">
        <v>206</v>
      </c>
      <c r="O1121" t="s">
        <v>368</v>
      </c>
      <c r="P1121">
        <v>1.0050734494293176E-5</v>
      </c>
      <c r="Q1121" t="s">
        <v>161</v>
      </c>
    </row>
    <row r="1122" spans="9:17" x14ac:dyDescent="0.45">
      <c r="I1122" t="s">
        <v>183</v>
      </c>
      <c r="J1122" t="s">
        <v>369</v>
      </c>
      <c r="K1122">
        <v>2.4215958605729374E-4</v>
      </c>
      <c r="L1122" t="s">
        <v>161</v>
      </c>
      <c r="N1122" t="s">
        <v>206</v>
      </c>
      <c r="O1122" t="s">
        <v>369</v>
      </c>
      <c r="P1122">
        <v>6.278197917769362E-6</v>
      </c>
      <c r="Q1122" t="s">
        <v>161</v>
      </c>
    </row>
    <row r="1123" spans="9:17" x14ac:dyDescent="0.45">
      <c r="I1123" t="s">
        <v>183</v>
      </c>
      <c r="J1123" t="s">
        <v>370</v>
      </c>
      <c r="K1123">
        <v>2.6820901652847059E-4</v>
      </c>
      <c r="L1123" t="s">
        <v>161</v>
      </c>
      <c r="N1123" t="s">
        <v>206</v>
      </c>
      <c r="O1123" t="s">
        <v>370</v>
      </c>
      <c r="P1123">
        <v>3.3316461417623045E-7</v>
      </c>
      <c r="Q1123" t="s">
        <v>161</v>
      </c>
    </row>
    <row r="1124" spans="9:17" x14ac:dyDescent="0.45">
      <c r="I1124" t="s">
        <v>183</v>
      </c>
      <c r="J1124" t="s">
        <v>371</v>
      </c>
      <c r="K1124">
        <v>3.316058063790755E-4</v>
      </c>
      <c r="L1124" t="s">
        <v>161</v>
      </c>
      <c r="N1124" t="s">
        <v>206</v>
      </c>
      <c r="O1124" t="s">
        <v>371</v>
      </c>
      <c r="P1124">
        <v>1.143476905021677E-6</v>
      </c>
      <c r="Q1124" t="s">
        <v>161</v>
      </c>
    </row>
    <row r="1125" spans="9:17" x14ac:dyDescent="0.45">
      <c r="I1125" t="s">
        <v>183</v>
      </c>
      <c r="J1125" t="s">
        <v>372</v>
      </c>
      <c r="K1125">
        <v>3.6035840278339347E-4</v>
      </c>
      <c r="L1125" t="s">
        <v>161</v>
      </c>
      <c r="N1125" t="s">
        <v>206</v>
      </c>
      <c r="O1125" t="s">
        <v>372</v>
      </c>
      <c r="P1125">
        <v>3.3879918920575256E-6</v>
      </c>
      <c r="Q1125" t="s">
        <v>161</v>
      </c>
    </row>
    <row r="1126" spans="9:17" x14ac:dyDescent="0.45">
      <c r="I1126" t="s">
        <v>183</v>
      </c>
      <c r="J1126" t="s">
        <v>373</v>
      </c>
      <c r="K1126">
        <v>4.1802611940568456E-4</v>
      </c>
      <c r="L1126" t="s">
        <v>161</v>
      </c>
      <c r="N1126" t="s">
        <v>206</v>
      </c>
      <c r="O1126" t="s">
        <v>373</v>
      </c>
      <c r="P1126">
        <v>3.3421114330042318E-6</v>
      </c>
      <c r="Q1126" t="s">
        <v>161</v>
      </c>
    </row>
    <row r="1127" spans="9:17" x14ac:dyDescent="0.45">
      <c r="I1127" t="s">
        <v>183</v>
      </c>
      <c r="J1127" t="s">
        <v>374</v>
      </c>
      <c r="K1127">
        <v>4.2900754360794443E-4</v>
      </c>
      <c r="L1127" t="s">
        <v>161</v>
      </c>
      <c r="N1127" t="s">
        <v>206</v>
      </c>
      <c r="O1127" t="s">
        <v>374</v>
      </c>
      <c r="P1127">
        <v>2.5271815232220528E-6</v>
      </c>
      <c r="Q1127" t="s">
        <v>161</v>
      </c>
    </row>
    <row r="1128" spans="9:17" x14ac:dyDescent="0.45">
      <c r="I1128" t="s">
        <v>183</v>
      </c>
      <c r="J1128" t="s">
        <v>375</v>
      </c>
      <c r="K1128">
        <v>4.0743325427862855E-4</v>
      </c>
      <c r="L1128" t="s">
        <v>161</v>
      </c>
      <c r="N1128" t="s">
        <v>206</v>
      </c>
      <c r="O1128" t="s">
        <v>375</v>
      </c>
      <c r="P1128">
        <v>1.9343178262227861E-6</v>
      </c>
      <c r="Q1128" t="s">
        <v>161</v>
      </c>
    </row>
    <row r="1129" spans="9:17" x14ac:dyDescent="0.45">
      <c r="I1129" t="s">
        <v>183</v>
      </c>
      <c r="J1129" t="s">
        <v>376</v>
      </c>
      <c r="K1129">
        <v>3.3258758322672654E-4</v>
      </c>
      <c r="L1129" t="s">
        <v>161</v>
      </c>
      <c r="N1129" t="s">
        <v>206</v>
      </c>
      <c r="O1129" t="s">
        <v>376</v>
      </c>
      <c r="P1129">
        <v>1.3794893950653101E-6</v>
      </c>
      <c r="Q1129" t="s">
        <v>161</v>
      </c>
    </row>
    <row r="1130" spans="9:17" x14ac:dyDescent="0.45">
      <c r="I1130" t="s">
        <v>183</v>
      </c>
      <c r="J1130" t="s">
        <v>377</v>
      </c>
      <c r="K1130">
        <v>2.312363656101884E-4</v>
      </c>
      <c r="L1130" t="s">
        <v>161</v>
      </c>
      <c r="N1130" t="s">
        <v>206</v>
      </c>
      <c r="O1130" t="s">
        <v>377</v>
      </c>
      <c r="P1130">
        <v>1.417349753908167E-6</v>
      </c>
      <c r="Q1130" t="s">
        <v>161</v>
      </c>
    </row>
    <row r="1131" spans="9:17" x14ac:dyDescent="0.45">
      <c r="I1131" t="s">
        <v>183</v>
      </c>
      <c r="J1131" t="s">
        <v>378</v>
      </c>
      <c r="K1131">
        <v>2.0683281857860304E-4</v>
      </c>
      <c r="L1131" t="s">
        <v>161</v>
      </c>
      <c r="N1131" t="s">
        <v>206</v>
      </c>
      <c r="O1131" t="s">
        <v>378</v>
      </c>
      <c r="P1131">
        <v>3.6735815469793205E-6</v>
      </c>
      <c r="Q1131" t="s">
        <v>161</v>
      </c>
    </row>
    <row r="1132" spans="9:17" x14ac:dyDescent="0.45">
      <c r="I1132" t="s">
        <v>183</v>
      </c>
      <c r="J1132" t="s">
        <v>379</v>
      </c>
      <c r="K1132">
        <v>1.935335331565018E-4</v>
      </c>
      <c r="L1132" t="s">
        <v>161</v>
      </c>
      <c r="N1132" t="s">
        <v>206</v>
      </c>
      <c r="O1132" t="s">
        <v>379</v>
      </c>
      <c r="P1132">
        <v>7.9934018699532046E-6</v>
      </c>
      <c r="Q1132" t="s">
        <v>161</v>
      </c>
    </row>
    <row r="1133" spans="9:17" x14ac:dyDescent="0.45">
      <c r="I1133" t="s">
        <v>183</v>
      </c>
      <c r="J1133" t="s">
        <v>380</v>
      </c>
      <c r="K1133">
        <v>7.9886550469032716E-5</v>
      </c>
      <c r="L1133" t="s">
        <v>161</v>
      </c>
      <c r="N1133" t="s">
        <v>206</v>
      </c>
      <c r="O1133" t="s">
        <v>380</v>
      </c>
      <c r="P1133">
        <v>1.5912033145204889E-5</v>
      </c>
      <c r="Q1133" t="s">
        <v>161</v>
      </c>
    </row>
    <row r="1134" spans="9:17" x14ac:dyDescent="0.45">
      <c r="I1134" t="s">
        <v>183</v>
      </c>
      <c r="J1134" t="s">
        <v>381</v>
      </c>
      <c r="K1134">
        <v>5.2732361463283752E-5</v>
      </c>
      <c r="L1134" t="s">
        <v>161</v>
      </c>
      <c r="N1134" t="s">
        <v>206</v>
      </c>
      <c r="O1134" t="s">
        <v>381</v>
      </c>
      <c r="P1134">
        <v>3.1394736278648528E-5</v>
      </c>
      <c r="Q1134" t="s">
        <v>161</v>
      </c>
    </row>
    <row r="1135" spans="9:17" x14ac:dyDescent="0.45">
      <c r="I1135" t="s">
        <v>183</v>
      </c>
      <c r="J1135" t="s">
        <v>382</v>
      </c>
      <c r="K1135">
        <v>0</v>
      </c>
      <c r="L1135" t="s">
        <v>161</v>
      </c>
      <c r="N1135" t="s">
        <v>206</v>
      </c>
      <c r="O1135" t="s">
        <v>382</v>
      </c>
      <c r="P1135">
        <v>4.6408271737958395E-5</v>
      </c>
      <c r="Q1135" t="s">
        <v>161</v>
      </c>
    </row>
    <row r="1136" spans="9:17" x14ac:dyDescent="0.45">
      <c r="I1136" t="s">
        <v>183</v>
      </c>
      <c r="J1136" t="s">
        <v>383</v>
      </c>
      <c r="K1136">
        <v>0</v>
      </c>
      <c r="L1136" t="s">
        <v>161</v>
      </c>
      <c r="N1136" t="s">
        <v>206</v>
      </c>
      <c r="O1136" t="s">
        <v>383</v>
      </c>
      <c r="P1136">
        <v>5.0107084505789925E-5</v>
      </c>
      <c r="Q1136" t="s">
        <v>161</v>
      </c>
    </row>
    <row r="1137" spans="9:17" x14ac:dyDescent="0.45">
      <c r="I1137" t="s">
        <v>183</v>
      </c>
      <c r="J1137" t="s">
        <v>384</v>
      </c>
      <c r="K1137">
        <v>0</v>
      </c>
      <c r="L1137" t="s">
        <v>161</v>
      </c>
      <c r="N1137" t="s">
        <v>206</v>
      </c>
      <c r="O1137" t="s">
        <v>384</v>
      </c>
      <c r="P1137">
        <v>4.9724824835620453E-5</v>
      </c>
      <c r="Q1137" t="s">
        <v>161</v>
      </c>
    </row>
    <row r="1138" spans="9:17" x14ac:dyDescent="0.45">
      <c r="I1138" t="s">
        <v>183</v>
      </c>
      <c r="J1138" t="s">
        <v>385</v>
      </c>
      <c r="K1138">
        <v>0</v>
      </c>
      <c r="L1138" t="s">
        <v>161</v>
      </c>
      <c r="N1138" t="s">
        <v>206</v>
      </c>
      <c r="O1138" t="s">
        <v>385</v>
      </c>
      <c r="P1138">
        <v>1.970130910791658E-5</v>
      </c>
      <c r="Q1138" t="s">
        <v>161</v>
      </c>
    </row>
    <row r="1139" spans="9:17" x14ac:dyDescent="0.45">
      <c r="I1139" t="s">
        <v>183</v>
      </c>
      <c r="J1139" t="s">
        <v>250</v>
      </c>
      <c r="K1139">
        <v>1.8890102469499592E-3</v>
      </c>
      <c r="L1139" t="s">
        <v>161</v>
      </c>
      <c r="N1139" t="s">
        <v>206</v>
      </c>
      <c r="O1139" t="s">
        <v>250</v>
      </c>
      <c r="P1139">
        <v>4.9076402057415043E-2</v>
      </c>
      <c r="Q1139" t="s">
        <v>161</v>
      </c>
    </row>
    <row r="1140" spans="9:17" x14ac:dyDescent="0.45">
      <c r="I1140" t="s">
        <v>183</v>
      </c>
      <c r="J1140" t="s">
        <v>251</v>
      </c>
      <c r="K1140">
        <v>4.720682719714671E-3</v>
      </c>
      <c r="L1140" t="s">
        <v>161</v>
      </c>
      <c r="N1140" t="s">
        <v>206</v>
      </c>
      <c r="O1140" t="s">
        <v>251</v>
      </c>
      <c r="P1140">
        <v>6.6979578488860214E-3</v>
      </c>
      <c r="Q1140" t="s">
        <v>161</v>
      </c>
    </row>
    <row r="1141" spans="9:17" x14ac:dyDescent="0.45">
      <c r="I1141" t="s">
        <v>183</v>
      </c>
      <c r="J1141" t="s">
        <v>252</v>
      </c>
      <c r="K1141">
        <v>7.261472672080227E-2</v>
      </c>
      <c r="L1141" t="s">
        <v>161</v>
      </c>
      <c r="N1141" t="s">
        <v>206</v>
      </c>
      <c r="O1141" t="s">
        <v>252</v>
      </c>
      <c r="P1141">
        <v>4.0687958611055994E-2</v>
      </c>
      <c r="Q1141" t="s">
        <v>161</v>
      </c>
    </row>
    <row r="1142" spans="9:17" x14ac:dyDescent="0.45">
      <c r="I1142" t="s">
        <v>183</v>
      </c>
      <c r="J1142" t="s">
        <v>253</v>
      </c>
      <c r="K1142">
        <v>7.9034295330354856E-3</v>
      </c>
      <c r="L1142" t="s">
        <v>161</v>
      </c>
      <c r="N1142" t="s">
        <v>206</v>
      </c>
      <c r="O1142" t="s">
        <v>253</v>
      </c>
      <c r="P1142">
        <v>5.4867122367620088E-3</v>
      </c>
      <c r="Q1142" t="s">
        <v>161</v>
      </c>
    </row>
    <row r="1143" spans="9:17" x14ac:dyDescent="0.45">
      <c r="I1143" t="s">
        <v>183</v>
      </c>
      <c r="J1143" t="s">
        <v>254</v>
      </c>
      <c r="K1143">
        <v>4.3634341570936057E-3</v>
      </c>
      <c r="L1143" t="s">
        <v>161</v>
      </c>
      <c r="N1143" t="s">
        <v>206</v>
      </c>
      <c r="O1143" t="s">
        <v>254</v>
      </c>
      <c r="P1143">
        <v>5.7531835708145339E-3</v>
      </c>
      <c r="Q1143" t="s">
        <v>161</v>
      </c>
    </row>
    <row r="1144" spans="9:17" x14ac:dyDescent="0.45">
      <c r="I1144" t="s">
        <v>183</v>
      </c>
      <c r="J1144" t="s">
        <v>270</v>
      </c>
      <c r="K1144">
        <v>1.0571793168776948E-3</v>
      </c>
      <c r="L1144" t="s">
        <v>161</v>
      </c>
      <c r="N1144" t="s">
        <v>206</v>
      </c>
      <c r="O1144" t="s">
        <v>270</v>
      </c>
      <c r="P1144">
        <v>3.9671728725207439E-2</v>
      </c>
      <c r="Q1144" t="s">
        <v>161</v>
      </c>
    </row>
    <row r="1145" spans="9:17" x14ac:dyDescent="0.45">
      <c r="I1145" t="s">
        <v>183</v>
      </c>
      <c r="J1145" t="s">
        <v>255</v>
      </c>
      <c r="K1145">
        <v>0</v>
      </c>
      <c r="L1145" t="s">
        <v>161</v>
      </c>
      <c r="N1145" t="s">
        <v>206</v>
      </c>
      <c r="O1145" t="s">
        <v>255</v>
      </c>
      <c r="P1145">
        <v>5.9110770672366884E-2</v>
      </c>
      <c r="Q1145" t="s">
        <v>161</v>
      </c>
    </row>
    <row r="1146" spans="9:17" x14ac:dyDescent="0.45">
      <c r="I1146" t="s">
        <v>183</v>
      </c>
      <c r="J1146" t="s">
        <v>256</v>
      </c>
      <c r="K1146">
        <v>7.3841552474211751E-5</v>
      </c>
      <c r="L1146" t="s">
        <v>161</v>
      </c>
      <c r="N1146" t="s">
        <v>206</v>
      </c>
      <c r="O1146" t="s">
        <v>256</v>
      </c>
      <c r="P1146">
        <v>8.0663517782576296E-3</v>
      </c>
      <c r="Q1146" t="s">
        <v>161</v>
      </c>
    </row>
    <row r="1147" spans="9:17" x14ac:dyDescent="0.45">
      <c r="I1147" t="s">
        <v>183</v>
      </c>
      <c r="J1147" t="s">
        <v>257</v>
      </c>
      <c r="K1147">
        <v>2.9037817938713961E-2</v>
      </c>
      <c r="L1147" t="s">
        <v>161</v>
      </c>
      <c r="N1147" t="s">
        <v>206</v>
      </c>
      <c r="O1147" t="s">
        <v>257</v>
      </c>
      <c r="P1147">
        <v>4.9815834743270587E-2</v>
      </c>
      <c r="Q1147" t="s">
        <v>161</v>
      </c>
    </row>
    <row r="1148" spans="9:17" x14ac:dyDescent="0.45">
      <c r="I1148" t="s">
        <v>183</v>
      </c>
      <c r="J1148" t="s">
        <v>258</v>
      </c>
      <c r="K1148">
        <v>1.9124726863090475E-3</v>
      </c>
      <c r="L1148" t="s">
        <v>161</v>
      </c>
      <c r="N1148" t="s">
        <v>206</v>
      </c>
      <c r="O1148" t="s">
        <v>258</v>
      </c>
      <c r="P1148">
        <v>6.6972864078894499E-3</v>
      </c>
      <c r="Q1148" t="s">
        <v>161</v>
      </c>
    </row>
    <row r="1149" spans="9:17" x14ac:dyDescent="0.45">
      <c r="I1149" t="s">
        <v>183</v>
      </c>
      <c r="J1149" t="s">
        <v>259</v>
      </c>
      <c r="K1149">
        <v>0</v>
      </c>
      <c r="L1149" t="s">
        <v>161</v>
      </c>
      <c r="N1149" t="s">
        <v>206</v>
      </c>
      <c r="O1149" t="s">
        <v>259</v>
      </c>
      <c r="P1149">
        <v>6.8557027097934731E-3</v>
      </c>
      <c r="Q1149" t="s">
        <v>161</v>
      </c>
    </row>
    <row r="1150" spans="9:17" x14ac:dyDescent="0.45">
      <c r="I1150" t="s">
        <v>183</v>
      </c>
      <c r="J1150" t="s">
        <v>271</v>
      </c>
      <c r="K1150">
        <v>0</v>
      </c>
      <c r="L1150" t="s">
        <v>161</v>
      </c>
      <c r="N1150" t="s">
        <v>206</v>
      </c>
      <c r="O1150" t="s">
        <v>271</v>
      </c>
      <c r="P1150">
        <v>4.3173911700046808E-2</v>
      </c>
      <c r="Q1150" t="s">
        <v>161</v>
      </c>
    </row>
    <row r="1151" spans="9:17" x14ac:dyDescent="0.45">
      <c r="I1151" t="s">
        <v>183</v>
      </c>
      <c r="J1151" t="s">
        <v>272</v>
      </c>
      <c r="K1151">
        <v>0</v>
      </c>
      <c r="L1151" t="s">
        <v>161</v>
      </c>
      <c r="N1151" t="s">
        <v>206</v>
      </c>
      <c r="O1151" t="s">
        <v>272</v>
      </c>
      <c r="P1151">
        <v>1.5841230828547544E-2</v>
      </c>
      <c r="Q1151" t="s">
        <v>161</v>
      </c>
    </row>
    <row r="1152" spans="9:17" x14ac:dyDescent="0.45">
      <c r="I1152" t="s">
        <v>183</v>
      </c>
      <c r="J1152" t="s">
        <v>273</v>
      </c>
      <c r="K1152">
        <v>0</v>
      </c>
      <c r="L1152" t="s">
        <v>161</v>
      </c>
      <c r="N1152" t="s">
        <v>206</v>
      </c>
      <c r="O1152" t="s">
        <v>273</v>
      </c>
      <c r="P1152">
        <v>1.8474561642247229E-3</v>
      </c>
      <c r="Q1152" t="s">
        <v>161</v>
      </c>
    </row>
    <row r="1153" spans="9:17" x14ac:dyDescent="0.45">
      <c r="I1153" t="s">
        <v>183</v>
      </c>
      <c r="J1153" t="s">
        <v>274</v>
      </c>
      <c r="K1153">
        <v>5.9111995241871119E-3</v>
      </c>
      <c r="L1153" t="s">
        <v>161</v>
      </c>
      <c r="N1153" t="s">
        <v>206</v>
      </c>
      <c r="O1153" t="s">
        <v>274</v>
      </c>
      <c r="P1153">
        <v>8.9628995671983454E-3</v>
      </c>
      <c r="Q1153" t="s">
        <v>161</v>
      </c>
    </row>
    <row r="1154" spans="9:17" x14ac:dyDescent="0.45">
      <c r="I1154" t="s">
        <v>183</v>
      </c>
      <c r="J1154" t="s">
        <v>275</v>
      </c>
      <c r="K1154">
        <v>3.6691012422046879E-4</v>
      </c>
      <c r="L1154" t="s">
        <v>161</v>
      </c>
      <c r="N1154" t="s">
        <v>206</v>
      </c>
      <c r="O1154" t="s">
        <v>275</v>
      </c>
      <c r="P1154">
        <v>1.3088550233612557E-3</v>
      </c>
      <c r="Q1154" t="s">
        <v>161</v>
      </c>
    </row>
    <row r="1155" spans="9:17" x14ac:dyDescent="0.45">
      <c r="I1155" t="s">
        <v>183</v>
      </c>
      <c r="J1155" t="s">
        <v>276</v>
      </c>
      <c r="K1155">
        <v>0</v>
      </c>
      <c r="L1155" t="s">
        <v>161</v>
      </c>
      <c r="N1155" t="s">
        <v>206</v>
      </c>
      <c r="O1155" t="s">
        <v>276</v>
      </c>
      <c r="P1155">
        <v>1.5453673523417434E-3</v>
      </c>
      <c r="Q1155" t="s">
        <v>161</v>
      </c>
    </row>
    <row r="1156" spans="9:17" x14ac:dyDescent="0.45">
      <c r="I1156" t="s">
        <v>183</v>
      </c>
      <c r="J1156" t="s">
        <v>277</v>
      </c>
      <c r="K1156">
        <v>0</v>
      </c>
      <c r="L1156" t="s">
        <v>161</v>
      </c>
      <c r="N1156" t="s">
        <v>206</v>
      </c>
      <c r="O1156" t="s">
        <v>277</v>
      </c>
      <c r="P1156">
        <v>1.1080849049787915E-2</v>
      </c>
      <c r="Q1156" t="s">
        <v>161</v>
      </c>
    </row>
    <row r="1157" spans="9:17" x14ac:dyDescent="0.45">
      <c r="I1157" t="s">
        <v>183</v>
      </c>
      <c r="J1157" t="s">
        <v>278</v>
      </c>
      <c r="K1157">
        <v>0</v>
      </c>
      <c r="L1157" t="s">
        <v>161</v>
      </c>
      <c r="N1157" t="s">
        <v>206</v>
      </c>
      <c r="O1157" t="s">
        <v>278</v>
      </c>
      <c r="P1157">
        <v>6.1278427145331224E-3</v>
      </c>
      <c r="Q1157" t="s">
        <v>161</v>
      </c>
    </row>
    <row r="1158" spans="9:17" x14ac:dyDescent="0.45">
      <c r="I1158" t="s">
        <v>183</v>
      </c>
      <c r="J1158" t="s">
        <v>279</v>
      </c>
      <c r="K1158">
        <v>0</v>
      </c>
      <c r="L1158" t="s">
        <v>161</v>
      </c>
      <c r="N1158" t="s">
        <v>206</v>
      </c>
      <c r="O1158" t="s">
        <v>279</v>
      </c>
      <c r="P1158">
        <v>6.132043853959311E-4</v>
      </c>
      <c r="Q1158" t="s">
        <v>161</v>
      </c>
    </row>
    <row r="1159" spans="9:17" x14ac:dyDescent="0.45">
      <c r="I1159" t="s">
        <v>183</v>
      </c>
      <c r="J1159" t="s">
        <v>280</v>
      </c>
      <c r="K1159">
        <v>4.3123012190556809E-3</v>
      </c>
      <c r="L1159" t="s">
        <v>161</v>
      </c>
      <c r="N1159" t="s">
        <v>206</v>
      </c>
      <c r="O1159" t="s">
        <v>280</v>
      </c>
      <c r="P1159">
        <v>3.2657051871271179E-3</v>
      </c>
      <c r="Q1159" t="s">
        <v>161</v>
      </c>
    </row>
    <row r="1160" spans="9:17" x14ac:dyDescent="0.45">
      <c r="I1160" t="s">
        <v>183</v>
      </c>
      <c r="J1160" t="s">
        <v>281</v>
      </c>
      <c r="K1160">
        <v>4.1705320761914228E-4</v>
      </c>
      <c r="L1160" t="s">
        <v>161</v>
      </c>
      <c r="N1160" t="s">
        <v>206</v>
      </c>
      <c r="O1160" t="s">
        <v>281</v>
      </c>
      <c r="P1160">
        <v>3.9339947003964664E-4</v>
      </c>
      <c r="Q1160" t="s">
        <v>161</v>
      </c>
    </row>
    <row r="1161" spans="9:17" x14ac:dyDescent="0.45">
      <c r="I1161" t="s">
        <v>183</v>
      </c>
      <c r="J1161" t="s">
        <v>282</v>
      </c>
      <c r="K1161">
        <v>0</v>
      </c>
      <c r="L1161" t="s">
        <v>161</v>
      </c>
      <c r="N1161" t="s">
        <v>206</v>
      </c>
      <c r="O1161" t="s">
        <v>282</v>
      </c>
      <c r="P1161">
        <v>4.6886778445922499E-4</v>
      </c>
      <c r="Q1161" t="s">
        <v>161</v>
      </c>
    </row>
    <row r="1162" spans="9:17" x14ac:dyDescent="0.45">
      <c r="I1162" t="s">
        <v>183</v>
      </c>
      <c r="J1162" t="s">
        <v>283</v>
      </c>
      <c r="K1162">
        <v>0</v>
      </c>
      <c r="L1162" t="s">
        <v>161</v>
      </c>
      <c r="N1162" t="s">
        <v>206</v>
      </c>
      <c r="O1162" t="s">
        <v>283</v>
      </c>
      <c r="P1162">
        <v>3.499861894703912E-3</v>
      </c>
      <c r="Q1162" t="s">
        <v>161</v>
      </c>
    </row>
    <row r="1163" spans="9:17" x14ac:dyDescent="0.45">
      <c r="I1163" t="s">
        <v>184</v>
      </c>
      <c r="J1163" t="s">
        <v>160</v>
      </c>
      <c r="K1163">
        <v>1.3079746366149348E-3</v>
      </c>
      <c r="L1163" t="s">
        <v>161</v>
      </c>
      <c r="N1163" t="s">
        <v>207</v>
      </c>
      <c r="O1163" t="s">
        <v>160</v>
      </c>
      <c r="P1163">
        <v>8.3552476310916821E-2</v>
      </c>
      <c r="Q1163" t="s">
        <v>161</v>
      </c>
    </row>
    <row r="1164" spans="9:17" x14ac:dyDescent="0.45">
      <c r="I1164" t="s">
        <v>184</v>
      </c>
      <c r="J1164" t="s">
        <v>162</v>
      </c>
      <c r="K1164">
        <v>4.5362181872816241E-3</v>
      </c>
      <c r="L1164" t="s">
        <v>161</v>
      </c>
      <c r="N1164" t="s">
        <v>207</v>
      </c>
      <c r="O1164" t="s">
        <v>162</v>
      </c>
      <c r="P1164">
        <v>1.0202821332811309E-2</v>
      </c>
      <c r="Q1164" t="s">
        <v>161</v>
      </c>
    </row>
    <row r="1165" spans="9:17" x14ac:dyDescent="0.45">
      <c r="I1165" t="s">
        <v>184</v>
      </c>
      <c r="J1165" t="s">
        <v>163</v>
      </c>
      <c r="K1165">
        <v>8.6891362969459207E-2</v>
      </c>
      <c r="L1165" t="s">
        <v>161</v>
      </c>
      <c r="N1165" t="s">
        <v>207</v>
      </c>
      <c r="O1165" t="s">
        <v>163</v>
      </c>
      <c r="P1165">
        <v>5.9847482134080025E-2</v>
      </c>
      <c r="Q1165" t="s">
        <v>161</v>
      </c>
    </row>
    <row r="1166" spans="9:17" x14ac:dyDescent="0.45">
      <c r="I1166" t="s">
        <v>184</v>
      </c>
      <c r="J1166" t="s">
        <v>242</v>
      </c>
      <c r="K1166">
        <v>6.9826611375825342E-3</v>
      </c>
      <c r="L1166" t="s">
        <v>161</v>
      </c>
      <c r="N1166" t="s">
        <v>207</v>
      </c>
      <c r="O1166" t="s">
        <v>242</v>
      </c>
      <c r="P1166">
        <v>8.6870071048256951E-3</v>
      </c>
      <c r="Q1166" t="s">
        <v>161</v>
      </c>
    </row>
    <row r="1167" spans="9:17" x14ac:dyDescent="0.45">
      <c r="I1167" t="s">
        <v>184</v>
      </c>
      <c r="J1167" t="s">
        <v>243</v>
      </c>
      <c r="K1167">
        <v>2.5117388779913679E-3</v>
      </c>
      <c r="L1167" t="s">
        <v>161</v>
      </c>
      <c r="N1167" t="s">
        <v>207</v>
      </c>
      <c r="O1167" t="s">
        <v>243</v>
      </c>
      <c r="P1167">
        <v>9.0421361997800095E-3</v>
      </c>
      <c r="Q1167" t="s">
        <v>161</v>
      </c>
    </row>
    <row r="1168" spans="9:17" x14ac:dyDescent="0.45">
      <c r="I1168" t="s">
        <v>184</v>
      </c>
      <c r="J1168" t="s">
        <v>266</v>
      </c>
      <c r="K1168">
        <v>0</v>
      </c>
      <c r="L1168" t="s">
        <v>161</v>
      </c>
      <c r="N1168" t="s">
        <v>207</v>
      </c>
      <c r="O1168" t="s">
        <v>266</v>
      </c>
      <c r="P1168">
        <v>6.2679644359354733E-2</v>
      </c>
      <c r="Q1168" t="s">
        <v>161</v>
      </c>
    </row>
    <row r="1169" spans="9:17" x14ac:dyDescent="0.45">
      <c r="I1169" t="s">
        <v>184</v>
      </c>
      <c r="J1169" t="s">
        <v>311</v>
      </c>
      <c r="K1169">
        <v>0</v>
      </c>
      <c r="L1169" t="s">
        <v>161</v>
      </c>
      <c r="N1169" t="s">
        <v>207</v>
      </c>
      <c r="O1169" t="s">
        <v>311</v>
      </c>
      <c r="P1169">
        <v>2.5995261702470042E-5</v>
      </c>
      <c r="Q1169" t="s">
        <v>161</v>
      </c>
    </row>
    <row r="1170" spans="9:17" x14ac:dyDescent="0.45">
      <c r="I1170" t="s">
        <v>184</v>
      </c>
      <c r="J1170" t="s">
        <v>312</v>
      </c>
      <c r="K1170">
        <v>0</v>
      </c>
      <c r="L1170" t="s">
        <v>161</v>
      </c>
      <c r="N1170" t="s">
        <v>207</v>
      </c>
      <c r="O1170" t="s">
        <v>312</v>
      </c>
      <c r="P1170">
        <v>1.6827047623615873E-5</v>
      </c>
      <c r="Q1170" t="s">
        <v>161</v>
      </c>
    </row>
    <row r="1171" spans="9:17" x14ac:dyDescent="0.45">
      <c r="I1171" t="s">
        <v>184</v>
      </c>
      <c r="J1171" t="s">
        <v>313</v>
      </c>
      <c r="K1171">
        <v>0</v>
      </c>
      <c r="L1171" t="s">
        <v>161</v>
      </c>
      <c r="N1171" t="s">
        <v>207</v>
      </c>
      <c r="O1171" t="s">
        <v>313</v>
      </c>
      <c r="P1171">
        <v>9.7600066474553503E-6</v>
      </c>
      <c r="Q1171" t="s">
        <v>161</v>
      </c>
    </row>
    <row r="1172" spans="9:17" x14ac:dyDescent="0.45">
      <c r="I1172" t="s">
        <v>184</v>
      </c>
      <c r="J1172" t="s">
        <v>314</v>
      </c>
      <c r="K1172">
        <v>0</v>
      </c>
      <c r="L1172" t="s">
        <v>161</v>
      </c>
      <c r="N1172" t="s">
        <v>207</v>
      </c>
      <c r="O1172" t="s">
        <v>314</v>
      </c>
      <c r="P1172">
        <v>5.2129511262053901E-6</v>
      </c>
      <c r="Q1172" t="s">
        <v>161</v>
      </c>
    </row>
    <row r="1173" spans="9:17" x14ac:dyDescent="0.45">
      <c r="I1173" t="s">
        <v>184</v>
      </c>
      <c r="J1173" t="s">
        <v>315</v>
      </c>
      <c r="K1173">
        <v>0</v>
      </c>
      <c r="L1173" t="s">
        <v>161</v>
      </c>
      <c r="N1173" t="s">
        <v>207</v>
      </c>
      <c r="O1173" t="s">
        <v>315</v>
      </c>
      <c r="P1173">
        <v>1.2446975603929051E-6</v>
      </c>
      <c r="Q1173" t="s">
        <v>161</v>
      </c>
    </row>
    <row r="1174" spans="9:17" x14ac:dyDescent="0.45">
      <c r="I1174" t="s">
        <v>184</v>
      </c>
      <c r="J1174" t="s">
        <v>316</v>
      </c>
      <c r="K1174">
        <v>0</v>
      </c>
      <c r="L1174" t="s">
        <v>161</v>
      </c>
      <c r="N1174" t="s">
        <v>207</v>
      </c>
      <c r="O1174" t="s">
        <v>316</v>
      </c>
      <c r="P1174">
        <v>6.2227630027248487E-6</v>
      </c>
      <c r="Q1174" t="s">
        <v>161</v>
      </c>
    </row>
    <row r="1175" spans="9:17" x14ac:dyDescent="0.45">
      <c r="I1175" t="s">
        <v>184</v>
      </c>
      <c r="J1175" t="s">
        <v>317</v>
      </c>
      <c r="K1175">
        <v>0</v>
      </c>
      <c r="L1175" t="s">
        <v>161</v>
      </c>
      <c r="N1175" t="s">
        <v>207</v>
      </c>
      <c r="O1175" t="s">
        <v>317</v>
      </c>
      <c r="P1175">
        <v>1.0081753721521664E-5</v>
      </c>
      <c r="Q1175" t="s">
        <v>161</v>
      </c>
    </row>
    <row r="1176" spans="9:17" x14ac:dyDescent="0.45">
      <c r="I1176" t="s">
        <v>184</v>
      </c>
      <c r="J1176" t="s">
        <v>318</v>
      </c>
      <c r="K1176">
        <v>0</v>
      </c>
      <c r="L1176" t="s">
        <v>161</v>
      </c>
      <c r="N1176" t="s">
        <v>207</v>
      </c>
      <c r="O1176" t="s">
        <v>318</v>
      </c>
      <c r="P1176">
        <v>1.1736978708335023E-5</v>
      </c>
      <c r="Q1176" t="s">
        <v>161</v>
      </c>
    </row>
    <row r="1177" spans="9:17" x14ac:dyDescent="0.45">
      <c r="I1177" t="s">
        <v>184</v>
      </c>
      <c r="J1177" t="s">
        <v>319</v>
      </c>
      <c r="K1177">
        <v>2.6931419918862161E-5</v>
      </c>
      <c r="L1177" t="s">
        <v>161</v>
      </c>
      <c r="N1177" t="s">
        <v>207</v>
      </c>
      <c r="O1177" t="s">
        <v>319</v>
      </c>
      <c r="P1177">
        <v>9.4648228655127275E-6</v>
      </c>
      <c r="Q1177" t="s">
        <v>161</v>
      </c>
    </row>
    <row r="1178" spans="9:17" x14ac:dyDescent="0.45">
      <c r="I1178" t="s">
        <v>184</v>
      </c>
      <c r="J1178" t="s">
        <v>320</v>
      </c>
      <c r="K1178">
        <v>7.2851139734081386E-5</v>
      </c>
      <c r="L1178" t="s">
        <v>161</v>
      </c>
      <c r="N1178" t="s">
        <v>207</v>
      </c>
      <c r="O1178" t="s">
        <v>320</v>
      </c>
      <c r="P1178">
        <v>3.1295458776504223E-6</v>
      </c>
      <c r="Q1178" t="s">
        <v>161</v>
      </c>
    </row>
    <row r="1179" spans="9:17" x14ac:dyDescent="0.45">
      <c r="I1179" t="s">
        <v>184</v>
      </c>
      <c r="J1179" t="s">
        <v>321</v>
      </c>
      <c r="K1179">
        <v>1.1632356243193785E-4</v>
      </c>
      <c r="L1179" t="s">
        <v>161</v>
      </c>
      <c r="N1179" t="s">
        <v>207</v>
      </c>
      <c r="O1179" t="s">
        <v>321</v>
      </c>
      <c r="P1179">
        <v>5.1342828962490485E-9</v>
      </c>
      <c r="Q1179" t="s">
        <v>161</v>
      </c>
    </row>
    <row r="1180" spans="9:17" x14ac:dyDescent="0.45">
      <c r="I1180" t="s">
        <v>184</v>
      </c>
      <c r="J1180" t="s">
        <v>322</v>
      </c>
      <c r="K1180">
        <v>1.7591634771264066E-4</v>
      </c>
      <c r="L1180" t="s">
        <v>161</v>
      </c>
      <c r="N1180" t="s">
        <v>207</v>
      </c>
      <c r="O1180" t="s">
        <v>322</v>
      </c>
      <c r="P1180">
        <v>3.5551544554716126E-6</v>
      </c>
      <c r="Q1180" t="s">
        <v>161</v>
      </c>
    </row>
    <row r="1181" spans="9:17" x14ac:dyDescent="0.45">
      <c r="I1181" t="s">
        <v>184</v>
      </c>
      <c r="J1181" t="s">
        <v>323</v>
      </c>
      <c r="K1181">
        <v>1.4426781600767357E-4</v>
      </c>
      <c r="L1181" t="s">
        <v>161</v>
      </c>
      <c r="N1181" t="s">
        <v>207</v>
      </c>
      <c r="O1181" t="s">
        <v>323</v>
      </c>
      <c r="P1181">
        <v>8.193246424641317E-6</v>
      </c>
      <c r="Q1181" t="s">
        <v>161</v>
      </c>
    </row>
    <row r="1182" spans="9:17" x14ac:dyDescent="0.45">
      <c r="I1182" t="s">
        <v>184</v>
      </c>
      <c r="J1182" t="s">
        <v>324</v>
      </c>
      <c r="K1182">
        <v>1.5292032260022796E-4</v>
      </c>
      <c r="L1182" t="s">
        <v>161</v>
      </c>
      <c r="N1182" t="s">
        <v>207</v>
      </c>
      <c r="O1182" t="s">
        <v>324</v>
      </c>
      <c r="P1182">
        <v>7.241701686318027E-6</v>
      </c>
      <c r="Q1182" t="s">
        <v>161</v>
      </c>
    </row>
    <row r="1183" spans="9:17" x14ac:dyDescent="0.45">
      <c r="I1183" t="s">
        <v>184</v>
      </c>
      <c r="J1183" t="s">
        <v>325</v>
      </c>
      <c r="K1183">
        <v>1.4882636089424815E-4</v>
      </c>
      <c r="L1183" t="s">
        <v>161</v>
      </c>
      <c r="N1183" t="s">
        <v>207</v>
      </c>
      <c r="O1183" t="s">
        <v>325</v>
      </c>
      <c r="P1183">
        <v>6.9645862690952584E-6</v>
      </c>
      <c r="Q1183" t="s">
        <v>161</v>
      </c>
    </row>
    <row r="1184" spans="9:17" x14ac:dyDescent="0.45">
      <c r="I1184" t="s">
        <v>184</v>
      </c>
      <c r="J1184" t="s">
        <v>326</v>
      </c>
      <c r="K1184">
        <v>7.8930851469556502E-5</v>
      </c>
      <c r="L1184" t="s">
        <v>161</v>
      </c>
      <c r="N1184" t="s">
        <v>207</v>
      </c>
      <c r="O1184" t="s">
        <v>326</v>
      </c>
      <c r="P1184">
        <v>6.2781289095579718E-6</v>
      </c>
      <c r="Q1184" t="s">
        <v>161</v>
      </c>
    </row>
    <row r="1185" spans="9:17" x14ac:dyDescent="0.45">
      <c r="I1185" t="s">
        <v>184</v>
      </c>
      <c r="J1185" t="s">
        <v>327</v>
      </c>
      <c r="K1185">
        <v>3.9955268309742404E-5</v>
      </c>
      <c r="L1185" t="s">
        <v>161</v>
      </c>
      <c r="N1185" t="s">
        <v>207</v>
      </c>
      <c r="O1185" t="s">
        <v>327</v>
      </c>
      <c r="P1185">
        <v>5.1582303686905987E-6</v>
      </c>
      <c r="Q1185" t="s">
        <v>161</v>
      </c>
    </row>
    <row r="1186" spans="9:17" x14ac:dyDescent="0.45">
      <c r="I1186" t="s">
        <v>184</v>
      </c>
      <c r="J1186" t="s">
        <v>328</v>
      </c>
      <c r="K1186">
        <v>6.214046704257139E-6</v>
      </c>
      <c r="L1186" t="s">
        <v>161</v>
      </c>
      <c r="N1186" t="s">
        <v>207</v>
      </c>
      <c r="O1186" t="s">
        <v>328</v>
      </c>
      <c r="P1186">
        <v>1.6776070277153336E-5</v>
      </c>
      <c r="Q1186" t="s">
        <v>161</v>
      </c>
    </row>
    <row r="1187" spans="9:17" x14ac:dyDescent="0.45">
      <c r="I1187" t="s">
        <v>184</v>
      </c>
      <c r="J1187" t="s">
        <v>329</v>
      </c>
      <c r="K1187">
        <v>0</v>
      </c>
      <c r="L1187" t="s">
        <v>161</v>
      </c>
      <c r="N1187" t="s">
        <v>207</v>
      </c>
      <c r="O1187" t="s">
        <v>329</v>
      </c>
      <c r="P1187">
        <v>3.7213093950977197E-5</v>
      </c>
      <c r="Q1187" t="s">
        <v>161</v>
      </c>
    </row>
    <row r="1188" spans="9:17" x14ac:dyDescent="0.45">
      <c r="I1188" t="s">
        <v>184</v>
      </c>
      <c r="J1188" t="s">
        <v>330</v>
      </c>
      <c r="K1188">
        <v>0</v>
      </c>
      <c r="L1188" t="s">
        <v>161</v>
      </c>
      <c r="N1188" t="s">
        <v>207</v>
      </c>
      <c r="O1188" t="s">
        <v>330</v>
      </c>
      <c r="P1188">
        <v>5.5024870013853441E-5</v>
      </c>
      <c r="Q1188" t="s">
        <v>161</v>
      </c>
    </row>
    <row r="1189" spans="9:17" x14ac:dyDescent="0.45">
      <c r="I1189" t="s">
        <v>184</v>
      </c>
      <c r="J1189" t="s">
        <v>331</v>
      </c>
      <c r="K1189">
        <v>0</v>
      </c>
      <c r="L1189" t="s">
        <v>161</v>
      </c>
      <c r="N1189" t="s">
        <v>207</v>
      </c>
      <c r="O1189" t="s">
        <v>331</v>
      </c>
      <c r="P1189">
        <v>6.1478513693398281E-5</v>
      </c>
      <c r="Q1189" t="s">
        <v>161</v>
      </c>
    </row>
    <row r="1190" spans="9:17" x14ac:dyDescent="0.45">
      <c r="I1190" t="s">
        <v>184</v>
      </c>
      <c r="J1190" t="s">
        <v>332</v>
      </c>
      <c r="K1190">
        <v>0</v>
      </c>
      <c r="L1190" t="s">
        <v>161</v>
      </c>
      <c r="N1190" t="s">
        <v>207</v>
      </c>
      <c r="O1190" t="s">
        <v>332</v>
      </c>
      <c r="P1190">
        <v>6.3225408338586948E-5</v>
      </c>
      <c r="Q1190" t="s">
        <v>161</v>
      </c>
    </row>
    <row r="1191" spans="9:17" x14ac:dyDescent="0.45">
      <c r="I1191" t="s">
        <v>184</v>
      </c>
      <c r="J1191" t="s">
        <v>333</v>
      </c>
      <c r="K1191">
        <v>0</v>
      </c>
      <c r="L1191" t="s">
        <v>161</v>
      </c>
      <c r="N1191" t="s">
        <v>207</v>
      </c>
      <c r="O1191" t="s">
        <v>333</v>
      </c>
      <c r="P1191">
        <v>6.2606777293694162E-5</v>
      </c>
      <c r="Q1191" t="s">
        <v>161</v>
      </c>
    </row>
    <row r="1192" spans="9:17" x14ac:dyDescent="0.45">
      <c r="I1192" t="s">
        <v>184</v>
      </c>
      <c r="J1192" t="s">
        <v>334</v>
      </c>
      <c r="K1192">
        <v>0</v>
      </c>
      <c r="L1192" t="s">
        <v>161</v>
      </c>
      <c r="N1192" t="s">
        <v>207</v>
      </c>
      <c r="O1192" t="s">
        <v>334</v>
      </c>
      <c r="P1192">
        <v>5.0386007010927166E-5</v>
      </c>
      <c r="Q1192" t="s">
        <v>161</v>
      </c>
    </row>
    <row r="1193" spans="9:17" x14ac:dyDescent="0.45">
      <c r="I1193" t="s">
        <v>184</v>
      </c>
      <c r="J1193" t="s">
        <v>164</v>
      </c>
      <c r="K1193">
        <v>1.2032614038290835E-2</v>
      </c>
      <c r="L1193" t="s">
        <v>161</v>
      </c>
      <c r="N1193" t="s">
        <v>207</v>
      </c>
      <c r="O1193" t="s">
        <v>164</v>
      </c>
      <c r="P1193">
        <v>4.7582156291603506E-2</v>
      </c>
      <c r="Q1193" t="s">
        <v>161</v>
      </c>
    </row>
    <row r="1194" spans="9:17" x14ac:dyDescent="0.45">
      <c r="I1194" t="s">
        <v>184</v>
      </c>
      <c r="J1194" t="s">
        <v>165</v>
      </c>
      <c r="K1194">
        <v>1.1420266675798018E-2</v>
      </c>
      <c r="L1194" t="s">
        <v>161</v>
      </c>
      <c r="N1194" t="s">
        <v>207</v>
      </c>
      <c r="O1194" t="s">
        <v>165</v>
      </c>
      <c r="P1194">
        <v>5.9357036115009502E-3</v>
      </c>
      <c r="Q1194" t="s">
        <v>161</v>
      </c>
    </row>
    <row r="1195" spans="9:17" x14ac:dyDescent="0.45">
      <c r="I1195" t="s">
        <v>184</v>
      </c>
      <c r="J1195" t="s">
        <v>166</v>
      </c>
      <c r="K1195">
        <v>9.5970913136706207E-2</v>
      </c>
      <c r="L1195" t="s">
        <v>161</v>
      </c>
      <c r="N1195" t="s">
        <v>207</v>
      </c>
      <c r="O1195" t="s">
        <v>166</v>
      </c>
      <c r="P1195">
        <v>3.1437780085157678E-2</v>
      </c>
      <c r="Q1195" t="s">
        <v>161</v>
      </c>
    </row>
    <row r="1196" spans="9:17" x14ac:dyDescent="0.45">
      <c r="I1196" t="s">
        <v>184</v>
      </c>
      <c r="J1196" t="s">
        <v>244</v>
      </c>
      <c r="K1196">
        <v>1.0525380720539858E-2</v>
      </c>
      <c r="L1196" t="s">
        <v>161</v>
      </c>
      <c r="N1196" t="s">
        <v>207</v>
      </c>
      <c r="O1196" t="s">
        <v>244</v>
      </c>
      <c r="P1196">
        <v>4.1221216788611447E-3</v>
      </c>
      <c r="Q1196" t="s">
        <v>161</v>
      </c>
    </row>
    <row r="1197" spans="9:17" x14ac:dyDescent="0.45">
      <c r="I1197" t="s">
        <v>184</v>
      </c>
      <c r="J1197" t="s">
        <v>245</v>
      </c>
      <c r="K1197">
        <v>8.0290420035919741E-3</v>
      </c>
      <c r="L1197" t="s">
        <v>161</v>
      </c>
      <c r="N1197" t="s">
        <v>207</v>
      </c>
      <c r="O1197" t="s">
        <v>245</v>
      </c>
      <c r="P1197">
        <v>4.3145902739186127E-3</v>
      </c>
      <c r="Q1197" t="s">
        <v>161</v>
      </c>
    </row>
    <row r="1198" spans="9:17" x14ac:dyDescent="0.45">
      <c r="I1198" t="s">
        <v>184</v>
      </c>
      <c r="J1198" t="s">
        <v>267</v>
      </c>
      <c r="K1198">
        <v>4.5331617446918776E-3</v>
      </c>
      <c r="L1198" t="s">
        <v>161</v>
      </c>
      <c r="N1198" t="s">
        <v>207</v>
      </c>
      <c r="O1198" t="s">
        <v>267</v>
      </c>
      <c r="P1198">
        <v>3.3579648807267548E-2</v>
      </c>
      <c r="Q1198" t="s">
        <v>161</v>
      </c>
    </row>
    <row r="1199" spans="9:17" x14ac:dyDescent="0.45">
      <c r="I1199" t="s">
        <v>184</v>
      </c>
      <c r="J1199" t="s">
        <v>167</v>
      </c>
      <c r="K1199">
        <v>4.9706560826251509E-2</v>
      </c>
      <c r="L1199" t="s">
        <v>161</v>
      </c>
      <c r="N1199" t="s">
        <v>207</v>
      </c>
      <c r="O1199" t="s">
        <v>167</v>
      </c>
      <c r="P1199">
        <v>7.5678166635623212E-2</v>
      </c>
      <c r="Q1199" t="s">
        <v>161</v>
      </c>
    </row>
    <row r="1200" spans="9:17" x14ac:dyDescent="0.45">
      <c r="I1200" t="s">
        <v>184</v>
      </c>
      <c r="J1200" t="s">
        <v>168</v>
      </c>
      <c r="K1200">
        <v>2.8626514275549644E-2</v>
      </c>
      <c r="L1200" t="s">
        <v>161</v>
      </c>
      <c r="N1200" t="s">
        <v>207</v>
      </c>
      <c r="O1200" t="s">
        <v>168</v>
      </c>
      <c r="P1200">
        <v>5.9208743272068627E-3</v>
      </c>
      <c r="Q1200" t="s">
        <v>161</v>
      </c>
    </row>
    <row r="1201" spans="9:17" x14ac:dyDescent="0.45">
      <c r="I1201" t="s">
        <v>184</v>
      </c>
      <c r="J1201" t="s">
        <v>169</v>
      </c>
      <c r="K1201">
        <v>0.26619960238745327</v>
      </c>
      <c r="L1201" t="s">
        <v>161</v>
      </c>
      <c r="N1201" t="s">
        <v>207</v>
      </c>
      <c r="O1201" t="s">
        <v>169</v>
      </c>
      <c r="P1201">
        <v>4.2528178404120993E-2</v>
      </c>
      <c r="Q1201" t="s">
        <v>161</v>
      </c>
    </row>
    <row r="1202" spans="9:17" x14ac:dyDescent="0.45">
      <c r="I1202" t="s">
        <v>184</v>
      </c>
      <c r="J1202" t="s">
        <v>246</v>
      </c>
      <c r="K1202">
        <v>3.1919815410266644E-2</v>
      </c>
      <c r="L1202" t="s">
        <v>161</v>
      </c>
      <c r="N1202" t="s">
        <v>207</v>
      </c>
      <c r="O1202" t="s">
        <v>246</v>
      </c>
      <c r="P1202">
        <v>7.884117707644852E-3</v>
      </c>
      <c r="Q1202" t="s">
        <v>161</v>
      </c>
    </row>
    <row r="1203" spans="9:17" x14ac:dyDescent="0.45">
      <c r="I1203" t="s">
        <v>184</v>
      </c>
      <c r="J1203" t="s">
        <v>247</v>
      </c>
      <c r="K1203">
        <v>2.612554247037014E-2</v>
      </c>
      <c r="L1203" t="s">
        <v>161</v>
      </c>
      <c r="N1203" t="s">
        <v>207</v>
      </c>
      <c r="O1203" t="s">
        <v>247</v>
      </c>
      <c r="P1203">
        <v>8.3940598916990346E-3</v>
      </c>
      <c r="Q1203" t="s">
        <v>161</v>
      </c>
    </row>
    <row r="1204" spans="9:17" x14ac:dyDescent="0.45">
      <c r="I1204" t="s">
        <v>184</v>
      </c>
      <c r="J1204" t="s">
        <v>268</v>
      </c>
      <c r="K1204">
        <v>3.2421171551459398E-2</v>
      </c>
      <c r="L1204" t="s">
        <v>161</v>
      </c>
      <c r="N1204" t="s">
        <v>207</v>
      </c>
      <c r="O1204" t="s">
        <v>268</v>
      </c>
      <c r="P1204">
        <v>6.4163393194609383E-2</v>
      </c>
      <c r="Q1204" t="s">
        <v>161</v>
      </c>
    </row>
    <row r="1205" spans="9:17" x14ac:dyDescent="0.45">
      <c r="I1205" t="s">
        <v>184</v>
      </c>
      <c r="J1205" t="s">
        <v>170</v>
      </c>
      <c r="K1205">
        <v>1.6216186368875719E-2</v>
      </c>
      <c r="L1205" t="s">
        <v>161</v>
      </c>
      <c r="N1205" t="s">
        <v>207</v>
      </c>
      <c r="O1205" t="s">
        <v>170</v>
      </c>
      <c r="P1205">
        <v>3.5993354532365102E-2</v>
      </c>
      <c r="Q1205" t="s">
        <v>161</v>
      </c>
    </row>
    <row r="1206" spans="9:17" x14ac:dyDescent="0.45">
      <c r="I1206" t="s">
        <v>184</v>
      </c>
      <c r="J1206" t="s">
        <v>171</v>
      </c>
      <c r="K1206">
        <v>1.2685728245715538E-2</v>
      </c>
      <c r="L1206" t="s">
        <v>161</v>
      </c>
      <c r="N1206" t="s">
        <v>207</v>
      </c>
      <c r="O1206" t="s">
        <v>171</v>
      </c>
      <c r="P1206">
        <v>2.921384133728242E-3</v>
      </c>
      <c r="Q1206" t="s">
        <v>161</v>
      </c>
    </row>
    <row r="1207" spans="9:17" x14ac:dyDescent="0.45">
      <c r="I1207" t="s">
        <v>184</v>
      </c>
      <c r="J1207" t="s">
        <v>172</v>
      </c>
      <c r="K1207">
        <v>0.11491972226275614</v>
      </c>
      <c r="L1207" t="s">
        <v>161</v>
      </c>
      <c r="N1207" t="s">
        <v>207</v>
      </c>
      <c r="O1207" t="s">
        <v>172</v>
      </c>
      <c r="P1207">
        <v>2.0528694147543585E-2</v>
      </c>
      <c r="Q1207" t="s">
        <v>161</v>
      </c>
    </row>
    <row r="1208" spans="9:17" x14ac:dyDescent="0.45">
      <c r="I1208" t="s">
        <v>184</v>
      </c>
      <c r="J1208" t="s">
        <v>248</v>
      </c>
      <c r="K1208">
        <v>1.4018256577947414E-2</v>
      </c>
      <c r="L1208" t="s">
        <v>161</v>
      </c>
      <c r="N1208" t="s">
        <v>207</v>
      </c>
      <c r="O1208" t="s">
        <v>248</v>
      </c>
      <c r="P1208">
        <v>3.0028893033361937E-3</v>
      </c>
      <c r="Q1208" t="s">
        <v>161</v>
      </c>
    </row>
    <row r="1209" spans="9:17" x14ac:dyDescent="0.45">
      <c r="I1209" t="s">
        <v>184</v>
      </c>
      <c r="J1209" t="s">
        <v>249</v>
      </c>
      <c r="K1209">
        <v>1.1022025341575164E-2</v>
      </c>
      <c r="L1209" t="s">
        <v>161</v>
      </c>
      <c r="N1209" t="s">
        <v>207</v>
      </c>
      <c r="O1209" t="s">
        <v>249</v>
      </c>
      <c r="P1209">
        <v>3.0859112775029332E-3</v>
      </c>
      <c r="Q1209" t="s">
        <v>161</v>
      </c>
    </row>
    <row r="1210" spans="9:17" x14ac:dyDescent="0.45">
      <c r="I1210" t="s">
        <v>184</v>
      </c>
      <c r="J1210" t="s">
        <v>269</v>
      </c>
      <c r="K1210">
        <v>9.0924159577420258E-3</v>
      </c>
      <c r="L1210" t="s">
        <v>161</v>
      </c>
      <c r="N1210" t="s">
        <v>207</v>
      </c>
      <c r="O1210" t="s">
        <v>269</v>
      </c>
      <c r="P1210">
        <v>2.4095779121877797E-2</v>
      </c>
      <c r="Q1210" t="s">
        <v>161</v>
      </c>
    </row>
    <row r="1211" spans="9:17" x14ac:dyDescent="0.45">
      <c r="I1211" t="s">
        <v>184</v>
      </c>
      <c r="J1211" t="s">
        <v>362</v>
      </c>
      <c r="K1211">
        <v>0</v>
      </c>
      <c r="L1211" t="s">
        <v>161</v>
      </c>
      <c r="N1211" t="s">
        <v>207</v>
      </c>
      <c r="O1211" t="s">
        <v>362</v>
      </c>
      <c r="P1211">
        <v>0</v>
      </c>
      <c r="Q1211" t="s">
        <v>161</v>
      </c>
    </row>
    <row r="1212" spans="9:17" x14ac:dyDescent="0.45">
      <c r="I1212" t="s">
        <v>184</v>
      </c>
      <c r="J1212" t="s">
        <v>363</v>
      </c>
      <c r="K1212">
        <v>0</v>
      </c>
      <c r="L1212" t="s">
        <v>161</v>
      </c>
      <c r="N1212" t="s">
        <v>207</v>
      </c>
      <c r="O1212" t="s">
        <v>363</v>
      </c>
      <c r="P1212">
        <v>0</v>
      </c>
      <c r="Q1212" t="s">
        <v>161</v>
      </c>
    </row>
    <row r="1213" spans="9:17" x14ac:dyDescent="0.45">
      <c r="I1213" t="s">
        <v>184</v>
      </c>
      <c r="J1213" t="s">
        <v>364</v>
      </c>
      <c r="K1213">
        <v>0</v>
      </c>
      <c r="L1213" t="s">
        <v>161</v>
      </c>
      <c r="N1213" t="s">
        <v>207</v>
      </c>
      <c r="O1213" t="s">
        <v>364</v>
      </c>
      <c r="P1213">
        <v>2.1113979393719975E-8</v>
      </c>
      <c r="Q1213" t="s">
        <v>161</v>
      </c>
    </row>
    <row r="1214" spans="9:17" x14ac:dyDescent="0.45">
      <c r="I1214" t="s">
        <v>184</v>
      </c>
      <c r="J1214" t="s">
        <v>365</v>
      </c>
      <c r="K1214">
        <v>0</v>
      </c>
      <c r="L1214" t="s">
        <v>161</v>
      </c>
      <c r="N1214" t="s">
        <v>207</v>
      </c>
      <c r="O1214" t="s">
        <v>365</v>
      </c>
      <c r="P1214">
        <v>4.2651143330448482E-8</v>
      </c>
      <c r="Q1214" t="s">
        <v>161</v>
      </c>
    </row>
    <row r="1215" spans="9:17" x14ac:dyDescent="0.45">
      <c r="I1215" t="s">
        <v>184</v>
      </c>
      <c r="J1215" t="s">
        <v>366</v>
      </c>
      <c r="K1215">
        <v>0</v>
      </c>
      <c r="L1215" t="s">
        <v>161</v>
      </c>
      <c r="N1215" t="s">
        <v>207</v>
      </c>
      <c r="O1215" t="s">
        <v>366</v>
      </c>
      <c r="P1215">
        <v>5.7255874360872158E-7</v>
      </c>
      <c r="Q1215" t="s">
        <v>161</v>
      </c>
    </row>
    <row r="1216" spans="9:17" x14ac:dyDescent="0.45">
      <c r="I1216" t="s">
        <v>184</v>
      </c>
      <c r="J1216" t="s">
        <v>367</v>
      </c>
      <c r="K1216">
        <v>5.4084799991793329E-6</v>
      </c>
      <c r="L1216" t="s">
        <v>161</v>
      </c>
      <c r="N1216" t="s">
        <v>207</v>
      </c>
      <c r="O1216" t="s">
        <v>367</v>
      </c>
      <c r="P1216">
        <v>1.3750008462260591E-5</v>
      </c>
      <c r="Q1216" t="s">
        <v>161</v>
      </c>
    </row>
    <row r="1217" spans="9:17" x14ac:dyDescent="0.45">
      <c r="I1217" t="s">
        <v>184</v>
      </c>
      <c r="J1217" t="s">
        <v>368</v>
      </c>
      <c r="K1217">
        <v>2.3796861871976438E-4</v>
      </c>
      <c r="L1217" t="s">
        <v>161</v>
      </c>
      <c r="N1217" t="s">
        <v>207</v>
      </c>
      <c r="O1217" t="s">
        <v>368</v>
      </c>
      <c r="P1217">
        <v>2.6000467426832055E-5</v>
      </c>
      <c r="Q1217" t="s">
        <v>161</v>
      </c>
    </row>
    <row r="1218" spans="9:17" x14ac:dyDescent="0.45">
      <c r="I1218" t="s">
        <v>184</v>
      </c>
      <c r="J1218" t="s">
        <v>369</v>
      </c>
      <c r="K1218">
        <v>3.5782673948757371E-4</v>
      </c>
      <c r="L1218" t="s">
        <v>161</v>
      </c>
      <c r="N1218" t="s">
        <v>207</v>
      </c>
      <c r="O1218" t="s">
        <v>369</v>
      </c>
      <c r="P1218">
        <v>1.7778577368694268E-5</v>
      </c>
      <c r="Q1218" t="s">
        <v>161</v>
      </c>
    </row>
    <row r="1219" spans="9:17" x14ac:dyDescent="0.45">
      <c r="I1219" t="s">
        <v>184</v>
      </c>
      <c r="J1219" t="s">
        <v>370</v>
      </c>
      <c r="K1219">
        <v>4.0053513126850598E-4</v>
      </c>
      <c r="L1219" t="s">
        <v>161</v>
      </c>
      <c r="N1219" t="s">
        <v>207</v>
      </c>
      <c r="O1219" t="s">
        <v>370</v>
      </c>
      <c r="P1219">
        <v>8.0725130369109921E-6</v>
      </c>
      <c r="Q1219" t="s">
        <v>161</v>
      </c>
    </row>
    <row r="1220" spans="9:17" x14ac:dyDescent="0.45">
      <c r="I1220" t="s">
        <v>184</v>
      </c>
      <c r="J1220" t="s">
        <v>371</v>
      </c>
      <c r="K1220">
        <v>4.209443248937828E-4</v>
      </c>
      <c r="L1220" t="s">
        <v>161</v>
      </c>
      <c r="N1220" t="s">
        <v>207</v>
      </c>
      <c r="O1220" t="s">
        <v>371</v>
      </c>
      <c r="P1220">
        <v>2.9732333708184735E-5</v>
      </c>
      <c r="Q1220" t="s">
        <v>161</v>
      </c>
    </row>
    <row r="1221" spans="9:17" x14ac:dyDescent="0.45">
      <c r="I1221" t="s">
        <v>184</v>
      </c>
      <c r="J1221" t="s">
        <v>372</v>
      </c>
      <c r="K1221">
        <v>4.7597853080662365E-4</v>
      </c>
      <c r="L1221" t="s">
        <v>161</v>
      </c>
      <c r="N1221" t="s">
        <v>207</v>
      </c>
      <c r="O1221" t="s">
        <v>372</v>
      </c>
      <c r="P1221">
        <v>4.4530784143087629E-5</v>
      </c>
      <c r="Q1221" t="s">
        <v>161</v>
      </c>
    </row>
    <row r="1222" spans="9:17" x14ac:dyDescent="0.45">
      <c r="I1222" t="s">
        <v>184</v>
      </c>
      <c r="J1222" t="s">
        <v>373</v>
      </c>
      <c r="K1222">
        <v>4.5698662803483485E-4</v>
      </c>
      <c r="L1222" t="s">
        <v>161</v>
      </c>
      <c r="N1222" t="s">
        <v>207</v>
      </c>
      <c r="O1222" t="s">
        <v>373</v>
      </c>
      <c r="P1222">
        <v>5.9299136423175453E-5</v>
      </c>
      <c r="Q1222" t="s">
        <v>161</v>
      </c>
    </row>
    <row r="1223" spans="9:17" x14ac:dyDescent="0.45">
      <c r="I1223" t="s">
        <v>184</v>
      </c>
      <c r="J1223" t="s">
        <v>374</v>
      </c>
      <c r="K1223">
        <v>4.2480839906987636E-4</v>
      </c>
      <c r="L1223" t="s">
        <v>161</v>
      </c>
      <c r="N1223" t="s">
        <v>207</v>
      </c>
      <c r="O1223" t="s">
        <v>374</v>
      </c>
      <c r="P1223">
        <v>6.0200672476215717E-5</v>
      </c>
      <c r="Q1223" t="s">
        <v>161</v>
      </c>
    </row>
    <row r="1224" spans="9:17" x14ac:dyDescent="0.45">
      <c r="I1224" t="s">
        <v>184</v>
      </c>
      <c r="J1224" t="s">
        <v>375</v>
      </c>
      <c r="K1224">
        <v>4.2960856420682422E-4</v>
      </c>
      <c r="L1224" t="s">
        <v>161</v>
      </c>
      <c r="N1224" t="s">
        <v>207</v>
      </c>
      <c r="O1224" t="s">
        <v>375</v>
      </c>
      <c r="P1224">
        <v>5.2592537203746169E-5</v>
      </c>
      <c r="Q1224" t="s">
        <v>161</v>
      </c>
    </row>
    <row r="1225" spans="9:17" x14ac:dyDescent="0.45">
      <c r="I1225" t="s">
        <v>184</v>
      </c>
      <c r="J1225" t="s">
        <v>376</v>
      </c>
      <c r="K1225">
        <v>4.2738722043864585E-4</v>
      </c>
      <c r="L1225" t="s">
        <v>161</v>
      </c>
      <c r="N1225" t="s">
        <v>207</v>
      </c>
      <c r="O1225" t="s">
        <v>376</v>
      </c>
      <c r="P1225">
        <v>3.9880152559253476E-5</v>
      </c>
      <c r="Q1225" t="s">
        <v>161</v>
      </c>
    </row>
    <row r="1226" spans="9:17" x14ac:dyDescent="0.45">
      <c r="I1226" t="s">
        <v>184</v>
      </c>
      <c r="J1226" t="s">
        <v>377</v>
      </c>
      <c r="K1226">
        <v>3.517398030112185E-4</v>
      </c>
      <c r="L1226" t="s">
        <v>161</v>
      </c>
      <c r="N1226" t="s">
        <v>207</v>
      </c>
      <c r="O1226" t="s">
        <v>377</v>
      </c>
      <c r="P1226">
        <v>2.8005069395577264E-5</v>
      </c>
      <c r="Q1226" t="s">
        <v>161</v>
      </c>
    </row>
    <row r="1227" spans="9:17" x14ac:dyDescent="0.45">
      <c r="I1227" t="s">
        <v>184</v>
      </c>
      <c r="J1227" t="s">
        <v>378</v>
      </c>
      <c r="K1227">
        <v>1.9785023132187361E-4</v>
      </c>
      <c r="L1227" t="s">
        <v>161</v>
      </c>
      <c r="N1227" t="s">
        <v>207</v>
      </c>
      <c r="O1227" t="s">
        <v>378</v>
      </c>
      <c r="P1227">
        <v>2.9870843944852774E-5</v>
      </c>
      <c r="Q1227" t="s">
        <v>161</v>
      </c>
    </row>
    <row r="1228" spans="9:17" x14ac:dyDescent="0.45">
      <c r="I1228" t="s">
        <v>184</v>
      </c>
      <c r="J1228" t="s">
        <v>379</v>
      </c>
      <c r="K1228">
        <v>1.5113799573939098E-4</v>
      </c>
      <c r="L1228" t="s">
        <v>161</v>
      </c>
      <c r="N1228" t="s">
        <v>207</v>
      </c>
      <c r="O1228" t="s">
        <v>379</v>
      </c>
      <c r="P1228">
        <v>3.9092501297848356E-5</v>
      </c>
      <c r="Q1228" t="s">
        <v>161</v>
      </c>
    </row>
    <row r="1229" spans="9:17" x14ac:dyDescent="0.45">
      <c r="I1229" t="s">
        <v>184</v>
      </c>
      <c r="J1229" t="s">
        <v>380</v>
      </c>
      <c r="K1229">
        <v>6.3097641679241801E-5</v>
      </c>
      <c r="L1229" t="s">
        <v>161</v>
      </c>
      <c r="N1229" t="s">
        <v>207</v>
      </c>
      <c r="O1229" t="s">
        <v>380</v>
      </c>
      <c r="P1229">
        <v>3.7069745598066056E-5</v>
      </c>
      <c r="Q1229" t="s">
        <v>161</v>
      </c>
    </row>
    <row r="1230" spans="9:17" x14ac:dyDescent="0.45">
      <c r="I1230" t="s">
        <v>184</v>
      </c>
      <c r="J1230" t="s">
        <v>381</v>
      </c>
      <c r="K1230">
        <v>4.2265397517780922E-5</v>
      </c>
      <c r="L1230" t="s">
        <v>161</v>
      </c>
      <c r="N1230" t="s">
        <v>207</v>
      </c>
      <c r="O1230" t="s">
        <v>381</v>
      </c>
      <c r="P1230">
        <v>4.5363697901051083E-5</v>
      </c>
      <c r="Q1230" t="s">
        <v>161</v>
      </c>
    </row>
    <row r="1231" spans="9:17" x14ac:dyDescent="0.45">
      <c r="I1231" t="s">
        <v>184</v>
      </c>
      <c r="J1231" t="s">
        <v>382</v>
      </c>
      <c r="K1231">
        <v>0</v>
      </c>
      <c r="L1231" t="s">
        <v>161</v>
      </c>
      <c r="N1231" t="s">
        <v>207</v>
      </c>
      <c r="O1231" t="s">
        <v>382</v>
      </c>
      <c r="P1231">
        <v>6.5255350620574415E-5</v>
      </c>
      <c r="Q1231" t="s">
        <v>161</v>
      </c>
    </row>
    <row r="1232" spans="9:17" x14ac:dyDescent="0.45">
      <c r="I1232" t="s">
        <v>184</v>
      </c>
      <c r="J1232" t="s">
        <v>383</v>
      </c>
      <c r="K1232">
        <v>0</v>
      </c>
      <c r="L1232" t="s">
        <v>161</v>
      </c>
      <c r="N1232" t="s">
        <v>207</v>
      </c>
      <c r="O1232" t="s">
        <v>383</v>
      </c>
      <c r="P1232">
        <v>7.0178740478527349E-5</v>
      </c>
      <c r="Q1232" t="s">
        <v>161</v>
      </c>
    </row>
    <row r="1233" spans="9:17" x14ac:dyDescent="0.45">
      <c r="I1233" t="s">
        <v>184</v>
      </c>
      <c r="J1233" t="s">
        <v>384</v>
      </c>
      <c r="K1233">
        <v>0</v>
      </c>
      <c r="L1233" t="s">
        <v>161</v>
      </c>
      <c r="N1233" t="s">
        <v>207</v>
      </c>
      <c r="O1233" t="s">
        <v>384</v>
      </c>
      <c r="P1233">
        <v>6.1014360807109581E-5</v>
      </c>
      <c r="Q1233" t="s">
        <v>161</v>
      </c>
    </row>
    <row r="1234" spans="9:17" x14ac:dyDescent="0.45">
      <c r="I1234" t="s">
        <v>184</v>
      </c>
      <c r="J1234" t="s">
        <v>385</v>
      </c>
      <c r="K1234">
        <v>0</v>
      </c>
      <c r="L1234" t="s">
        <v>161</v>
      </c>
      <c r="N1234" t="s">
        <v>207</v>
      </c>
      <c r="O1234" t="s">
        <v>385</v>
      </c>
      <c r="P1234">
        <v>3.1786647978750433E-5</v>
      </c>
      <c r="Q1234" t="s">
        <v>161</v>
      </c>
    </row>
    <row r="1235" spans="9:17" x14ac:dyDescent="0.45">
      <c r="I1235" t="s">
        <v>184</v>
      </c>
      <c r="J1235" t="s">
        <v>250</v>
      </c>
      <c r="K1235">
        <v>4.226004077384991E-3</v>
      </c>
      <c r="L1235" t="s">
        <v>161</v>
      </c>
      <c r="N1235" t="s">
        <v>207</v>
      </c>
      <c r="O1235" t="s">
        <v>250</v>
      </c>
      <c r="P1235">
        <v>4.6655895124488721E-2</v>
      </c>
      <c r="Q1235" t="s">
        <v>161</v>
      </c>
    </row>
    <row r="1236" spans="9:17" x14ac:dyDescent="0.45">
      <c r="I1236" t="s">
        <v>184</v>
      </c>
      <c r="J1236" t="s">
        <v>251</v>
      </c>
      <c r="K1236">
        <v>7.4484324227632884E-3</v>
      </c>
      <c r="L1236" t="s">
        <v>161</v>
      </c>
      <c r="N1236" t="s">
        <v>207</v>
      </c>
      <c r="O1236" t="s">
        <v>251</v>
      </c>
      <c r="P1236">
        <v>5.9572142408353254E-3</v>
      </c>
      <c r="Q1236" t="s">
        <v>161</v>
      </c>
    </row>
    <row r="1237" spans="9:17" x14ac:dyDescent="0.45">
      <c r="I1237" t="s">
        <v>184</v>
      </c>
      <c r="J1237" t="s">
        <v>252</v>
      </c>
      <c r="K1237">
        <v>7.4644403140791946E-2</v>
      </c>
      <c r="L1237" t="s">
        <v>161</v>
      </c>
      <c r="N1237" t="s">
        <v>207</v>
      </c>
      <c r="O1237" t="s">
        <v>252</v>
      </c>
      <c r="P1237">
        <v>3.1037038560195369E-2</v>
      </c>
      <c r="Q1237" t="s">
        <v>161</v>
      </c>
    </row>
    <row r="1238" spans="9:17" x14ac:dyDescent="0.45">
      <c r="I1238" t="s">
        <v>184</v>
      </c>
      <c r="J1238" t="s">
        <v>253</v>
      </c>
      <c r="K1238">
        <v>6.755636434088024E-3</v>
      </c>
      <c r="L1238" t="s">
        <v>161</v>
      </c>
      <c r="N1238" t="s">
        <v>207</v>
      </c>
      <c r="O1238" t="s">
        <v>253</v>
      </c>
      <c r="P1238">
        <v>4.7203850831757359E-3</v>
      </c>
      <c r="Q1238" t="s">
        <v>161</v>
      </c>
    </row>
    <row r="1239" spans="9:17" x14ac:dyDescent="0.45">
      <c r="I1239" t="s">
        <v>184</v>
      </c>
      <c r="J1239" t="s">
        <v>254</v>
      </c>
      <c r="K1239">
        <v>2.7849132028089814E-3</v>
      </c>
      <c r="L1239" t="s">
        <v>161</v>
      </c>
      <c r="N1239" t="s">
        <v>207</v>
      </c>
      <c r="O1239" t="s">
        <v>254</v>
      </c>
      <c r="P1239">
        <v>5.0213297783190244E-3</v>
      </c>
      <c r="Q1239" t="s">
        <v>161</v>
      </c>
    </row>
    <row r="1240" spans="9:17" x14ac:dyDescent="0.45">
      <c r="I1240" t="s">
        <v>184</v>
      </c>
      <c r="J1240" t="s">
        <v>270</v>
      </c>
      <c r="K1240">
        <v>2.5762930593478342E-6</v>
      </c>
      <c r="L1240" t="s">
        <v>161</v>
      </c>
      <c r="N1240" t="s">
        <v>207</v>
      </c>
      <c r="O1240" t="s">
        <v>270</v>
      </c>
      <c r="P1240">
        <v>3.7564928963270176E-2</v>
      </c>
      <c r="Q1240" t="s">
        <v>161</v>
      </c>
    </row>
    <row r="1241" spans="9:17" x14ac:dyDescent="0.45">
      <c r="I1241" t="s">
        <v>184</v>
      </c>
      <c r="J1241" t="s">
        <v>255</v>
      </c>
      <c r="K1241">
        <v>0</v>
      </c>
      <c r="L1241" t="s">
        <v>161</v>
      </c>
      <c r="N1241" t="s">
        <v>207</v>
      </c>
      <c r="O1241" t="s">
        <v>255</v>
      </c>
      <c r="P1241">
        <v>6.2163372854665049E-2</v>
      </c>
      <c r="Q1241" t="s">
        <v>161</v>
      </c>
    </row>
    <row r="1242" spans="9:17" x14ac:dyDescent="0.45">
      <c r="I1242" t="s">
        <v>184</v>
      </c>
      <c r="J1242" t="s">
        <v>256</v>
      </c>
      <c r="K1242">
        <v>1.6858081573298605E-3</v>
      </c>
      <c r="L1242" t="s">
        <v>161</v>
      </c>
      <c r="N1242" t="s">
        <v>207</v>
      </c>
      <c r="O1242" t="s">
        <v>256</v>
      </c>
      <c r="P1242">
        <v>7.2368171043741573E-3</v>
      </c>
      <c r="Q1242" t="s">
        <v>161</v>
      </c>
    </row>
    <row r="1243" spans="9:17" x14ac:dyDescent="0.45">
      <c r="I1243" t="s">
        <v>184</v>
      </c>
      <c r="J1243" t="s">
        <v>257</v>
      </c>
      <c r="K1243">
        <v>3.1984641760281644E-2</v>
      </c>
      <c r="L1243" t="s">
        <v>161</v>
      </c>
      <c r="N1243" t="s">
        <v>207</v>
      </c>
      <c r="O1243" t="s">
        <v>257</v>
      </c>
      <c r="P1243">
        <v>3.9387423115021969E-2</v>
      </c>
      <c r="Q1243" t="s">
        <v>161</v>
      </c>
    </row>
    <row r="1244" spans="9:17" x14ac:dyDescent="0.45">
      <c r="I1244" t="s">
        <v>184</v>
      </c>
      <c r="J1244" t="s">
        <v>258</v>
      </c>
      <c r="K1244">
        <v>2.7806355170446396E-4</v>
      </c>
      <c r="L1244" t="s">
        <v>161</v>
      </c>
      <c r="N1244" t="s">
        <v>207</v>
      </c>
      <c r="O1244" t="s">
        <v>258</v>
      </c>
      <c r="P1244">
        <v>5.4520446522543812E-3</v>
      </c>
      <c r="Q1244" t="s">
        <v>161</v>
      </c>
    </row>
    <row r="1245" spans="9:17" x14ac:dyDescent="0.45">
      <c r="I1245" t="s">
        <v>184</v>
      </c>
      <c r="J1245" t="s">
        <v>259</v>
      </c>
      <c r="K1245">
        <v>0</v>
      </c>
      <c r="L1245" t="s">
        <v>161</v>
      </c>
      <c r="N1245" t="s">
        <v>207</v>
      </c>
      <c r="O1245" t="s">
        <v>259</v>
      </c>
      <c r="P1245">
        <v>6.0759530531410248E-3</v>
      </c>
      <c r="Q1245" t="s">
        <v>161</v>
      </c>
    </row>
    <row r="1246" spans="9:17" x14ac:dyDescent="0.45">
      <c r="I1246" t="s">
        <v>184</v>
      </c>
      <c r="J1246" t="s">
        <v>271</v>
      </c>
      <c r="K1246">
        <v>0</v>
      </c>
      <c r="L1246" t="s">
        <v>161</v>
      </c>
      <c r="N1246" t="s">
        <v>207</v>
      </c>
      <c r="O1246" t="s">
        <v>271</v>
      </c>
      <c r="P1246">
        <v>4.466799159381802E-2</v>
      </c>
      <c r="Q1246" t="s">
        <v>161</v>
      </c>
    </row>
    <row r="1247" spans="9:17" x14ac:dyDescent="0.45">
      <c r="I1247" t="s">
        <v>184</v>
      </c>
      <c r="J1247" t="s">
        <v>272</v>
      </c>
      <c r="K1247">
        <v>0</v>
      </c>
      <c r="L1247" t="s">
        <v>161</v>
      </c>
      <c r="N1247" t="s">
        <v>207</v>
      </c>
      <c r="O1247" t="s">
        <v>272</v>
      </c>
      <c r="P1247">
        <v>1.3366311758032807E-2</v>
      </c>
      <c r="Q1247" t="s">
        <v>161</v>
      </c>
    </row>
    <row r="1248" spans="9:17" x14ac:dyDescent="0.45">
      <c r="I1248" t="s">
        <v>184</v>
      </c>
      <c r="J1248" t="s">
        <v>273</v>
      </c>
      <c r="K1248">
        <v>0</v>
      </c>
      <c r="L1248" t="s">
        <v>161</v>
      </c>
      <c r="N1248" t="s">
        <v>207</v>
      </c>
      <c r="O1248" t="s">
        <v>273</v>
      </c>
      <c r="P1248">
        <v>1.4085504750738673E-3</v>
      </c>
      <c r="Q1248" t="s">
        <v>161</v>
      </c>
    </row>
    <row r="1249" spans="9:17" x14ac:dyDescent="0.45">
      <c r="I1249" t="s">
        <v>184</v>
      </c>
      <c r="J1249" t="s">
        <v>274</v>
      </c>
      <c r="K1249">
        <v>4.3902998748045728E-3</v>
      </c>
      <c r="L1249" t="s">
        <v>161</v>
      </c>
      <c r="N1249" t="s">
        <v>207</v>
      </c>
      <c r="O1249" t="s">
        <v>274</v>
      </c>
      <c r="P1249">
        <v>6.1167752341941507E-3</v>
      </c>
      <c r="Q1249" t="s">
        <v>161</v>
      </c>
    </row>
    <row r="1250" spans="9:17" x14ac:dyDescent="0.45">
      <c r="I1250" t="s">
        <v>184</v>
      </c>
      <c r="J1250" t="s">
        <v>275</v>
      </c>
      <c r="K1250">
        <v>0</v>
      </c>
      <c r="L1250" t="s">
        <v>161</v>
      </c>
      <c r="N1250" t="s">
        <v>207</v>
      </c>
      <c r="O1250" t="s">
        <v>275</v>
      </c>
      <c r="P1250">
        <v>1.260134600823692E-3</v>
      </c>
      <c r="Q1250" t="s">
        <v>161</v>
      </c>
    </row>
    <row r="1251" spans="9:17" x14ac:dyDescent="0.45">
      <c r="I1251" t="s">
        <v>184</v>
      </c>
      <c r="J1251" t="s">
        <v>276</v>
      </c>
      <c r="K1251">
        <v>0</v>
      </c>
      <c r="L1251" t="s">
        <v>161</v>
      </c>
      <c r="N1251" t="s">
        <v>207</v>
      </c>
      <c r="O1251" t="s">
        <v>276</v>
      </c>
      <c r="P1251">
        <v>1.5617237611066463E-3</v>
      </c>
      <c r="Q1251" t="s">
        <v>161</v>
      </c>
    </row>
    <row r="1252" spans="9:17" x14ac:dyDescent="0.45">
      <c r="I1252" t="s">
        <v>184</v>
      </c>
      <c r="J1252" t="s">
        <v>277</v>
      </c>
      <c r="K1252">
        <v>0</v>
      </c>
      <c r="L1252" t="s">
        <v>161</v>
      </c>
      <c r="N1252" t="s">
        <v>207</v>
      </c>
      <c r="O1252" t="s">
        <v>277</v>
      </c>
      <c r="P1252">
        <v>1.1518507578139979E-2</v>
      </c>
      <c r="Q1252" t="s">
        <v>161</v>
      </c>
    </row>
    <row r="1253" spans="9:17" x14ac:dyDescent="0.45">
      <c r="I1253" t="s">
        <v>184</v>
      </c>
      <c r="J1253" t="s">
        <v>278</v>
      </c>
      <c r="K1253">
        <v>0</v>
      </c>
      <c r="L1253" t="s">
        <v>161</v>
      </c>
      <c r="N1253" t="s">
        <v>207</v>
      </c>
      <c r="O1253" t="s">
        <v>278</v>
      </c>
      <c r="P1253">
        <v>6.9324673874105822E-3</v>
      </c>
      <c r="Q1253" t="s">
        <v>161</v>
      </c>
    </row>
    <row r="1254" spans="9:17" x14ac:dyDescent="0.45">
      <c r="I1254" t="s">
        <v>184</v>
      </c>
      <c r="J1254" t="s">
        <v>279</v>
      </c>
      <c r="K1254">
        <v>0</v>
      </c>
      <c r="L1254" t="s">
        <v>161</v>
      </c>
      <c r="N1254" t="s">
        <v>207</v>
      </c>
      <c r="O1254" t="s">
        <v>279</v>
      </c>
      <c r="P1254">
        <v>3.7935144368702402E-4</v>
      </c>
      <c r="Q1254" t="s">
        <v>161</v>
      </c>
    </row>
    <row r="1255" spans="9:17" x14ac:dyDescent="0.45">
      <c r="I1255" t="s">
        <v>184</v>
      </c>
      <c r="J1255" t="s">
        <v>280</v>
      </c>
      <c r="K1255">
        <v>2.6976644384907392E-3</v>
      </c>
      <c r="L1255" t="s">
        <v>161</v>
      </c>
      <c r="N1255" t="s">
        <v>207</v>
      </c>
      <c r="O1255" t="s">
        <v>280</v>
      </c>
      <c r="P1255">
        <v>1.2970659101607007E-3</v>
      </c>
      <c r="Q1255" t="s">
        <v>161</v>
      </c>
    </row>
    <row r="1256" spans="9:17" x14ac:dyDescent="0.45">
      <c r="I1256" t="s">
        <v>184</v>
      </c>
      <c r="J1256" t="s">
        <v>281</v>
      </c>
      <c r="K1256">
        <v>0</v>
      </c>
      <c r="L1256" t="s">
        <v>161</v>
      </c>
      <c r="N1256" t="s">
        <v>207</v>
      </c>
      <c r="O1256" t="s">
        <v>281</v>
      </c>
      <c r="P1256">
        <v>1.7706292111294831E-4</v>
      </c>
      <c r="Q1256" t="s">
        <v>161</v>
      </c>
    </row>
    <row r="1257" spans="9:17" x14ac:dyDescent="0.45">
      <c r="I1257" t="s">
        <v>184</v>
      </c>
      <c r="J1257" t="s">
        <v>282</v>
      </c>
      <c r="K1257">
        <v>0</v>
      </c>
      <c r="L1257" t="s">
        <v>161</v>
      </c>
      <c r="N1257" t="s">
        <v>207</v>
      </c>
      <c r="O1257" t="s">
        <v>282</v>
      </c>
      <c r="P1257">
        <v>2.9010193245592841E-4</v>
      </c>
      <c r="Q1257" t="s">
        <v>161</v>
      </c>
    </row>
    <row r="1258" spans="9:17" x14ac:dyDescent="0.45">
      <c r="I1258" t="s">
        <v>184</v>
      </c>
      <c r="J1258" t="s">
        <v>283</v>
      </c>
      <c r="K1258">
        <v>0</v>
      </c>
      <c r="L1258" t="s">
        <v>161</v>
      </c>
      <c r="N1258" t="s">
        <v>207</v>
      </c>
      <c r="O1258" t="s">
        <v>283</v>
      </c>
      <c r="P1258">
        <v>3.32728879039695E-3</v>
      </c>
      <c r="Q1258" t="s">
        <v>161</v>
      </c>
    </row>
    <row r="1259" spans="9:17" x14ac:dyDescent="0.45">
      <c r="I1259" t="s">
        <v>185</v>
      </c>
      <c r="J1259" t="s">
        <v>160</v>
      </c>
      <c r="K1259">
        <v>1.9638952640274737E-3</v>
      </c>
      <c r="L1259" t="s">
        <v>161</v>
      </c>
      <c r="N1259" t="s">
        <v>208</v>
      </c>
      <c r="O1259" t="s">
        <v>160</v>
      </c>
      <c r="P1259">
        <v>7.753674432921033E-2</v>
      </c>
      <c r="Q1259" t="s">
        <v>161</v>
      </c>
    </row>
    <row r="1260" spans="9:17" x14ac:dyDescent="0.45">
      <c r="I1260" t="s">
        <v>185</v>
      </c>
      <c r="J1260" t="s">
        <v>162</v>
      </c>
      <c r="K1260">
        <v>5.6442892878613661E-3</v>
      </c>
      <c r="L1260" t="s">
        <v>161</v>
      </c>
      <c r="N1260" t="s">
        <v>208</v>
      </c>
      <c r="O1260" t="s">
        <v>162</v>
      </c>
      <c r="P1260">
        <v>9.4073992389861871E-3</v>
      </c>
      <c r="Q1260" t="s">
        <v>161</v>
      </c>
    </row>
    <row r="1261" spans="9:17" x14ac:dyDescent="0.45">
      <c r="I1261" t="s">
        <v>185</v>
      </c>
      <c r="J1261" t="s">
        <v>163</v>
      </c>
      <c r="K1261">
        <v>8.9613354483178906E-2</v>
      </c>
      <c r="L1261" t="s">
        <v>161</v>
      </c>
      <c r="N1261" t="s">
        <v>208</v>
      </c>
      <c r="O1261" t="s">
        <v>163</v>
      </c>
      <c r="P1261">
        <v>6.0530985940775807E-2</v>
      </c>
      <c r="Q1261" t="s">
        <v>161</v>
      </c>
    </row>
    <row r="1262" spans="9:17" x14ac:dyDescent="0.45">
      <c r="I1262" t="s">
        <v>185</v>
      </c>
      <c r="J1262" t="s">
        <v>242</v>
      </c>
      <c r="K1262">
        <v>7.0747026328462932E-3</v>
      </c>
      <c r="L1262" t="s">
        <v>161</v>
      </c>
      <c r="N1262" t="s">
        <v>208</v>
      </c>
      <c r="O1262" t="s">
        <v>242</v>
      </c>
      <c r="P1262">
        <v>9.9722262998294103E-3</v>
      </c>
      <c r="Q1262" t="s">
        <v>161</v>
      </c>
    </row>
    <row r="1263" spans="9:17" x14ac:dyDescent="0.45">
      <c r="I1263" t="s">
        <v>185</v>
      </c>
      <c r="J1263" t="s">
        <v>243</v>
      </c>
      <c r="K1263">
        <v>2.6633089560182789E-3</v>
      </c>
      <c r="L1263" t="s">
        <v>161</v>
      </c>
      <c r="N1263" t="s">
        <v>208</v>
      </c>
      <c r="O1263" t="s">
        <v>243</v>
      </c>
      <c r="P1263">
        <v>1.01750778860898E-2</v>
      </c>
      <c r="Q1263" t="s">
        <v>161</v>
      </c>
    </row>
    <row r="1264" spans="9:17" x14ac:dyDescent="0.45">
      <c r="I1264" t="s">
        <v>185</v>
      </c>
      <c r="J1264" t="s">
        <v>266</v>
      </c>
      <c r="K1264">
        <v>0</v>
      </c>
      <c r="L1264" t="s">
        <v>161</v>
      </c>
      <c r="N1264" t="s">
        <v>208</v>
      </c>
      <c r="O1264" t="s">
        <v>266</v>
      </c>
      <c r="P1264">
        <v>5.9055177674875586E-2</v>
      </c>
      <c r="Q1264" t="s">
        <v>161</v>
      </c>
    </row>
    <row r="1265" spans="9:17" x14ac:dyDescent="0.45">
      <c r="I1265" t="s">
        <v>185</v>
      </c>
      <c r="J1265" t="s">
        <v>311</v>
      </c>
      <c r="K1265">
        <v>0</v>
      </c>
      <c r="L1265" t="s">
        <v>161</v>
      </c>
      <c r="N1265" t="s">
        <v>208</v>
      </c>
      <c r="O1265" t="s">
        <v>311</v>
      </c>
      <c r="P1265">
        <v>2.6886758328660812E-7</v>
      </c>
      <c r="Q1265" t="s">
        <v>161</v>
      </c>
    </row>
    <row r="1266" spans="9:17" x14ac:dyDescent="0.45">
      <c r="I1266" t="s">
        <v>185</v>
      </c>
      <c r="J1266" t="s">
        <v>312</v>
      </c>
      <c r="K1266">
        <v>0</v>
      </c>
      <c r="L1266" t="s">
        <v>161</v>
      </c>
      <c r="N1266" t="s">
        <v>208</v>
      </c>
      <c r="O1266" t="s">
        <v>312</v>
      </c>
      <c r="P1266">
        <v>2.1601692290246172E-9</v>
      </c>
      <c r="Q1266" t="s">
        <v>161</v>
      </c>
    </row>
    <row r="1267" spans="9:17" x14ac:dyDescent="0.45">
      <c r="I1267" t="s">
        <v>185</v>
      </c>
      <c r="J1267" t="s">
        <v>313</v>
      </c>
      <c r="K1267">
        <v>0</v>
      </c>
      <c r="L1267" t="s">
        <v>161</v>
      </c>
      <c r="N1267" t="s">
        <v>208</v>
      </c>
      <c r="O1267" t="s">
        <v>313</v>
      </c>
      <c r="P1267">
        <v>0</v>
      </c>
      <c r="Q1267" t="s">
        <v>161</v>
      </c>
    </row>
    <row r="1268" spans="9:17" x14ac:dyDescent="0.45">
      <c r="I1268" t="s">
        <v>185</v>
      </c>
      <c r="J1268" t="s">
        <v>314</v>
      </c>
      <c r="K1268">
        <v>0</v>
      </c>
      <c r="L1268" t="s">
        <v>161</v>
      </c>
      <c r="N1268" t="s">
        <v>208</v>
      </c>
      <c r="O1268" t="s">
        <v>314</v>
      </c>
      <c r="P1268">
        <v>0</v>
      </c>
      <c r="Q1268" t="s">
        <v>161</v>
      </c>
    </row>
    <row r="1269" spans="9:17" x14ac:dyDescent="0.45">
      <c r="I1269" t="s">
        <v>185</v>
      </c>
      <c r="J1269" t="s">
        <v>315</v>
      </c>
      <c r="K1269">
        <v>0</v>
      </c>
      <c r="L1269" t="s">
        <v>161</v>
      </c>
      <c r="N1269" t="s">
        <v>208</v>
      </c>
      <c r="O1269" t="s">
        <v>315</v>
      </c>
      <c r="P1269">
        <v>0</v>
      </c>
      <c r="Q1269" t="s">
        <v>161</v>
      </c>
    </row>
    <row r="1270" spans="9:17" x14ac:dyDescent="0.45">
      <c r="I1270" t="s">
        <v>185</v>
      </c>
      <c r="J1270" t="s">
        <v>316</v>
      </c>
      <c r="K1270">
        <v>0</v>
      </c>
      <c r="L1270" t="s">
        <v>161</v>
      </c>
      <c r="N1270" t="s">
        <v>208</v>
      </c>
      <c r="O1270" t="s">
        <v>316</v>
      </c>
      <c r="P1270">
        <v>0</v>
      </c>
      <c r="Q1270" t="s">
        <v>161</v>
      </c>
    </row>
    <row r="1271" spans="9:17" x14ac:dyDescent="0.45">
      <c r="I1271" t="s">
        <v>185</v>
      </c>
      <c r="J1271" t="s">
        <v>317</v>
      </c>
      <c r="K1271">
        <v>0</v>
      </c>
      <c r="L1271" t="s">
        <v>161</v>
      </c>
      <c r="N1271" t="s">
        <v>208</v>
      </c>
      <c r="O1271" t="s">
        <v>317</v>
      </c>
      <c r="P1271">
        <v>4.9027306851734103E-10</v>
      </c>
      <c r="Q1271" t="s">
        <v>161</v>
      </c>
    </row>
    <row r="1272" spans="9:17" x14ac:dyDescent="0.45">
      <c r="I1272" t="s">
        <v>185</v>
      </c>
      <c r="J1272" t="s">
        <v>318</v>
      </c>
      <c r="K1272">
        <v>0</v>
      </c>
      <c r="L1272" t="s">
        <v>161</v>
      </c>
      <c r="N1272" t="s">
        <v>208</v>
      </c>
      <c r="O1272" t="s">
        <v>318</v>
      </c>
      <c r="P1272">
        <v>1.7326584993805329E-9</v>
      </c>
      <c r="Q1272" t="s">
        <v>161</v>
      </c>
    </row>
    <row r="1273" spans="9:17" x14ac:dyDescent="0.45">
      <c r="I1273" t="s">
        <v>185</v>
      </c>
      <c r="J1273" t="s">
        <v>319</v>
      </c>
      <c r="K1273">
        <v>6.3947459783728322E-6</v>
      </c>
      <c r="L1273" t="s">
        <v>161</v>
      </c>
      <c r="N1273" t="s">
        <v>208</v>
      </c>
      <c r="O1273" t="s">
        <v>319</v>
      </c>
      <c r="P1273">
        <v>2.5987349304798434E-9</v>
      </c>
      <c r="Q1273" t="s">
        <v>161</v>
      </c>
    </row>
    <row r="1274" spans="9:17" x14ac:dyDescent="0.45">
      <c r="I1274" t="s">
        <v>185</v>
      </c>
      <c r="J1274" t="s">
        <v>320</v>
      </c>
      <c r="K1274">
        <v>2.8118997086441147E-5</v>
      </c>
      <c r="L1274" t="s">
        <v>161</v>
      </c>
      <c r="N1274" t="s">
        <v>208</v>
      </c>
      <c r="O1274" t="s">
        <v>320</v>
      </c>
      <c r="P1274">
        <v>1.9779384095199648E-9</v>
      </c>
      <c r="Q1274" t="s">
        <v>161</v>
      </c>
    </row>
    <row r="1275" spans="9:17" x14ac:dyDescent="0.45">
      <c r="I1275" t="s">
        <v>185</v>
      </c>
      <c r="J1275" t="s">
        <v>321</v>
      </c>
      <c r="K1275">
        <v>6.7799872122447657E-5</v>
      </c>
      <c r="L1275" t="s">
        <v>161</v>
      </c>
      <c r="N1275" t="s">
        <v>208</v>
      </c>
      <c r="O1275" t="s">
        <v>321</v>
      </c>
      <c r="P1275">
        <v>0</v>
      </c>
      <c r="Q1275" t="s">
        <v>161</v>
      </c>
    </row>
    <row r="1276" spans="9:17" x14ac:dyDescent="0.45">
      <c r="I1276" t="s">
        <v>185</v>
      </c>
      <c r="J1276" t="s">
        <v>322</v>
      </c>
      <c r="K1276">
        <v>1.0039831027281804E-4</v>
      </c>
      <c r="L1276" t="s">
        <v>161</v>
      </c>
      <c r="N1276" t="s">
        <v>208</v>
      </c>
      <c r="O1276" t="s">
        <v>322</v>
      </c>
      <c r="P1276">
        <v>2.1618710523034843E-6</v>
      </c>
      <c r="Q1276" t="s">
        <v>161</v>
      </c>
    </row>
    <row r="1277" spans="9:17" x14ac:dyDescent="0.45">
      <c r="I1277" t="s">
        <v>185</v>
      </c>
      <c r="J1277" t="s">
        <v>323</v>
      </c>
      <c r="K1277">
        <v>1.0465092121795062E-4</v>
      </c>
      <c r="L1277" t="s">
        <v>161</v>
      </c>
      <c r="N1277" t="s">
        <v>208</v>
      </c>
      <c r="O1277" t="s">
        <v>323</v>
      </c>
      <c r="P1277">
        <v>5.1346935144047887E-6</v>
      </c>
      <c r="Q1277" t="s">
        <v>161</v>
      </c>
    </row>
    <row r="1278" spans="9:17" x14ac:dyDescent="0.45">
      <c r="I1278" t="s">
        <v>185</v>
      </c>
      <c r="J1278" t="s">
        <v>324</v>
      </c>
      <c r="K1278">
        <v>8.7046944628812786E-5</v>
      </c>
      <c r="L1278" t="s">
        <v>161</v>
      </c>
      <c r="N1278" t="s">
        <v>208</v>
      </c>
      <c r="O1278" t="s">
        <v>324</v>
      </c>
      <c r="P1278">
        <v>3.8318941115419283E-6</v>
      </c>
      <c r="Q1278" t="s">
        <v>161</v>
      </c>
    </row>
    <row r="1279" spans="9:17" x14ac:dyDescent="0.45">
      <c r="I1279" t="s">
        <v>185</v>
      </c>
      <c r="J1279" t="s">
        <v>325</v>
      </c>
      <c r="K1279">
        <v>6.6046997844990688E-5</v>
      </c>
      <c r="L1279" t="s">
        <v>161</v>
      </c>
      <c r="N1279" t="s">
        <v>208</v>
      </c>
      <c r="O1279" t="s">
        <v>325</v>
      </c>
      <c r="P1279">
        <v>5.3994265640307932E-7</v>
      </c>
      <c r="Q1279" t="s">
        <v>161</v>
      </c>
    </row>
    <row r="1280" spans="9:17" x14ac:dyDescent="0.45">
      <c r="I1280" t="s">
        <v>185</v>
      </c>
      <c r="J1280" t="s">
        <v>326</v>
      </c>
      <c r="K1280">
        <v>4.6460103673692982E-5</v>
      </c>
      <c r="L1280" t="s">
        <v>161</v>
      </c>
      <c r="N1280" t="s">
        <v>208</v>
      </c>
      <c r="O1280" t="s">
        <v>326</v>
      </c>
      <c r="P1280">
        <v>5.2471777223615079E-7</v>
      </c>
      <c r="Q1280" t="s">
        <v>161</v>
      </c>
    </row>
    <row r="1281" spans="9:17" x14ac:dyDescent="0.45">
      <c r="I1281" t="s">
        <v>185</v>
      </c>
      <c r="J1281" t="s">
        <v>327</v>
      </c>
      <c r="K1281">
        <v>2.707070662859172E-5</v>
      </c>
      <c r="L1281" t="s">
        <v>161</v>
      </c>
      <c r="N1281" t="s">
        <v>208</v>
      </c>
      <c r="O1281" t="s">
        <v>327</v>
      </c>
      <c r="P1281">
        <v>3.5657237249519216E-6</v>
      </c>
      <c r="Q1281" t="s">
        <v>161</v>
      </c>
    </row>
    <row r="1282" spans="9:17" x14ac:dyDescent="0.45">
      <c r="I1282" t="s">
        <v>185</v>
      </c>
      <c r="J1282" t="s">
        <v>328</v>
      </c>
      <c r="K1282">
        <v>1.6746278104775328E-7</v>
      </c>
      <c r="L1282" t="s">
        <v>161</v>
      </c>
      <c r="N1282" t="s">
        <v>208</v>
      </c>
      <c r="O1282" t="s">
        <v>328</v>
      </c>
      <c r="P1282">
        <v>1.0063461699261278E-5</v>
      </c>
      <c r="Q1282" t="s">
        <v>161</v>
      </c>
    </row>
    <row r="1283" spans="9:17" x14ac:dyDescent="0.45">
      <c r="I1283" t="s">
        <v>185</v>
      </c>
      <c r="J1283" t="s">
        <v>329</v>
      </c>
      <c r="K1283">
        <v>0</v>
      </c>
      <c r="L1283" t="s">
        <v>161</v>
      </c>
      <c r="N1283" t="s">
        <v>208</v>
      </c>
      <c r="O1283" t="s">
        <v>329</v>
      </c>
      <c r="P1283">
        <v>2.1082542500345074E-5</v>
      </c>
      <c r="Q1283" t="s">
        <v>161</v>
      </c>
    </row>
    <row r="1284" spans="9:17" x14ac:dyDescent="0.45">
      <c r="I1284" t="s">
        <v>185</v>
      </c>
      <c r="J1284" t="s">
        <v>330</v>
      </c>
      <c r="K1284">
        <v>0</v>
      </c>
      <c r="L1284" t="s">
        <v>161</v>
      </c>
      <c r="N1284" t="s">
        <v>208</v>
      </c>
      <c r="O1284" t="s">
        <v>330</v>
      </c>
      <c r="P1284">
        <v>3.2062927996495741E-5</v>
      </c>
      <c r="Q1284" t="s">
        <v>161</v>
      </c>
    </row>
    <row r="1285" spans="9:17" x14ac:dyDescent="0.45">
      <c r="I1285" t="s">
        <v>185</v>
      </c>
      <c r="J1285" t="s">
        <v>331</v>
      </c>
      <c r="K1285">
        <v>0</v>
      </c>
      <c r="L1285" t="s">
        <v>161</v>
      </c>
      <c r="N1285" t="s">
        <v>208</v>
      </c>
      <c r="O1285" t="s">
        <v>331</v>
      </c>
      <c r="P1285">
        <v>3.9263042704917083E-5</v>
      </c>
      <c r="Q1285" t="s">
        <v>161</v>
      </c>
    </row>
    <row r="1286" spans="9:17" x14ac:dyDescent="0.45">
      <c r="I1286" t="s">
        <v>185</v>
      </c>
      <c r="J1286" t="s">
        <v>332</v>
      </c>
      <c r="K1286">
        <v>0</v>
      </c>
      <c r="L1286" t="s">
        <v>161</v>
      </c>
      <c r="N1286" t="s">
        <v>208</v>
      </c>
      <c r="O1286" t="s">
        <v>332</v>
      </c>
      <c r="P1286">
        <v>4.7135127112107652E-5</v>
      </c>
      <c r="Q1286" t="s">
        <v>161</v>
      </c>
    </row>
    <row r="1287" spans="9:17" x14ac:dyDescent="0.45">
      <c r="I1287" t="s">
        <v>185</v>
      </c>
      <c r="J1287" t="s">
        <v>333</v>
      </c>
      <c r="K1287">
        <v>0</v>
      </c>
      <c r="L1287" t="s">
        <v>161</v>
      </c>
      <c r="N1287" t="s">
        <v>208</v>
      </c>
      <c r="O1287" t="s">
        <v>333</v>
      </c>
      <c r="P1287">
        <v>5.2563030347389964E-5</v>
      </c>
      <c r="Q1287" t="s">
        <v>161</v>
      </c>
    </row>
    <row r="1288" spans="9:17" x14ac:dyDescent="0.45">
      <c r="I1288" t="s">
        <v>185</v>
      </c>
      <c r="J1288" t="s">
        <v>334</v>
      </c>
      <c r="K1288">
        <v>0</v>
      </c>
      <c r="L1288" t="s">
        <v>161</v>
      </c>
      <c r="N1288" t="s">
        <v>208</v>
      </c>
      <c r="O1288" t="s">
        <v>334</v>
      </c>
      <c r="P1288">
        <v>3.4007738129569343E-5</v>
      </c>
      <c r="Q1288" t="s">
        <v>161</v>
      </c>
    </row>
    <row r="1289" spans="9:17" x14ac:dyDescent="0.45">
      <c r="I1289" t="s">
        <v>185</v>
      </c>
      <c r="J1289" t="s">
        <v>164</v>
      </c>
      <c r="K1289">
        <v>1.2380060098840412E-2</v>
      </c>
      <c r="L1289" t="s">
        <v>161</v>
      </c>
      <c r="N1289" t="s">
        <v>208</v>
      </c>
      <c r="O1289" t="s">
        <v>164</v>
      </c>
      <c r="P1289">
        <v>4.4025625843559783E-2</v>
      </c>
      <c r="Q1289" t="s">
        <v>161</v>
      </c>
    </row>
    <row r="1290" spans="9:17" x14ac:dyDescent="0.45">
      <c r="I1290" t="s">
        <v>185</v>
      </c>
      <c r="J1290" t="s">
        <v>165</v>
      </c>
      <c r="K1290">
        <v>1.1399528761506482E-2</v>
      </c>
      <c r="L1290" t="s">
        <v>161</v>
      </c>
      <c r="N1290" t="s">
        <v>208</v>
      </c>
      <c r="O1290" t="s">
        <v>165</v>
      </c>
      <c r="P1290">
        <v>6.364307609266171E-3</v>
      </c>
      <c r="Q1290" t="s">
        <v>161</v>
      </c>
    </row>
    <row r="1291" spans="9:17" x14ac:dyDescent="0.45">
      <c r="I1291" t="s">
        <v>185</v>
      </c>
      <c r="J1291" t="s">
        <v>166</v>
      </c>
      <c r="K1291">
        <v>9.4755579264650058E-2</v>
      </c>
      <c r="L1291" t="s">
        <v>161</v>
      </c>
      <c r="N1291" t="s">
        <v>208</v>
      </c>
      <c r="O1291" t="s">
        <v>166</v>
      </c>
      <c r="P1291">
        <v>3.93627028715519E-2</v>
      </c>
      <c r="Q1291" t="s">
        <v>161</v>
      </c>
    </row>
    <row r="1292" spans="9:17" x14ac:dyDescent="0.45">
      <c r="I1292" t="s">
        <v>185</v>
      </c>
      <c r="J1292" t="s">
        <v>244</v>
      </c>
      <c r="K1292">
        <v>9.0995180755264853E-3</v>
      </c>
      <c r="L1292" t="s">
        <v>161</v>
      </c>
      <c r="N1292" t="s">
        <v>208</v>
      </c>
      <c r="O1292" t="s">
        <v>244</v>
      </c>
      <c r="P1292">
        <v>4.9210209200798759E-3</v>
      </c>
      <c r="Q1292" t="s">
        <v>161</v>
      </c>
    </row>
    <row r="1293" spans="9:17" x14ac:dyDescent="0.45">
      <c r="I1293" t="s">
        <v>185</v>
      </c>
      <c r="J1293" t="s">
        <v>245</v>
      </c>
      <c r="K1293">
        <v>6.7649785618326026E-3</v>
      </c>
      <c r="L1293" t="s">
        <v>161</v>
      </c>
      <c r="N1293" t="s">
        <v>208</v>
      </c>
      <c r="O1293" t="s">
        <v>245</v>
      </c>
      <c r="P1293">
        <v>4.933254886559834E-3</v>
      </c>
      <c r="Q1293" t="s">
        <v>161</v>
      </c>
    </row>
    <row r="1294" spans="9:17" x14ac:dyDescent="0.45">
      <c r="I1294" t="s">
        <v>185</v>
      </c>
      <c r="J1294" t="s">
        <v>267</v>
      </c>
      <c r="K1294">
        <v>3.4985560718638373E-3</v>
      </c>
      <c r="L1294" t="s">
        <v>161</v>
      </c>
      <c r="N1294" t="s">
        <v>208</v>
      </c>
      <c r="O1294" t="s">
        <v>267</v>
      </c>
      <c r="P1294">
        <v>3.3237643148188736E-2</v>
      </c>
      <c r="Q1294" t="s">
        <v>161</v>
      </c>
    </row>
    <row r="1295" spans="9:17" x14ac:dyDescent="0.45">
      <c r="I1295" t="s">
        <v>185</v>
      </c>
      <c r="J1295" t="s">
        <v>167</v>
      </c>
      <c r="K1295">
        <v>5.6579544773610435E-2</v>
      </c>
      <c r="L1295" t="s">
        <v>161</v>
      </c>
      <c r="N1295" t="s">
        <v>208</v>
      </c>
      <c r="O1295" t="s">
        <v>167</v>
      </c>
      <c r="P1295">
        <v>6.5394400674427505E-2</v>
      </c>
      <c r="Q1295" t="s">
        <v>161</v>
      </c>
    </row>
    <row r="1296" spans="9:17" x14ac:dyDescent="0.45">
      <c r="I1296" t="s">
        <v>185</v>
      </c>
      <c r="J1296" t="s">
        <v>168</v>
      </c>
      <c r="K1296">
        <v>3.0976571507975489E-2</v>
      </c>
      <c r="L1296" t="s">
        <v>161</v>
      </c>
      <c r="N1296" t="s">
        <v>208</v>
      </c>
      <c r="O1296" t="s">
        <v>168</v>
      </c>
      <c r="P1296">
        <v>6.483323189294103E-3</v>
      </c>
      <c r="Q1296" t="s">
        <v>161</v>
      </c>
    </row>
    <row r="1297" spans="9:17" x14ac:dyDescent="0.45">
      <c r="I1297" t="s">
        <v>185</v>
      </c>
      <c r="J1297" t="s">
        <v>169</v>
      </c>
      <c r="K1297">
        <v>0.26323002960129799</v>
      </c>
      <c r="L1297" t="s">
        <v>161</v>
      </c>
      <c r="N1297" t="s">
        <v>208</v>
      </c>
      <c r="O1297" t="s">
        <v>169</v>
      </c>
      <c r="P1297">
        <v>4.9287230774702623E-2</v>
      </c>
      <c r="Q1297" t="s">
        <v>161</v>
      </c>
    </row>
    <row r="1298" spans="9:17" x14ac:dyDescent="0.45">
      <c r="I1298" t="s">
        <v>185</v>
      </c>
      <c r="J1298" t="s">
        <v>246</v>
      </c>
      <c r="K1298">
        <v>2.9126564993091741E-2</v>
      </c>
      <c r="L1298" t="s">
        <v>161</v>
      </c>
      <c r="N1298" t="s">
        <v>208</v>
      </c>
      <c r="O1298" t="s">
        <v>246</v>
      </c>
      <c r="P1298">
        <v>9.0162929640089633E-3</v>
      </c>
      <c r="Q1298" t="s">
        <v>161</v>
      </c>
    </row>
    <row r="1299" spans="9:17" x14ac:dyDescent="0.45">
      <c r="I1299" t="s">
        <v>185</v>
      </c>
      <c r="J1299" t="s">
        <v>247</v>
      </c>
      <c r="K1299">
        <v>2.4122126486846824E-2</v>
      </c>
      <c r="L1299" t="s">
        <v>161</v>
      </c>
      <c r="N1299" t="s">
        <v>208</v>
      </c>
      <c r="O1299" t="s">
        <v>247</v>
      </c>
      <c r="P1299">
        <v>9.2997355449147938E-3</v>
      </c>
      <c r="Q1299" t="s">
        <v>161</v>
      </c>
    </row>
    <row r="1300" spans="9:17" x14ac:dyDescent="0.45">
      <c r="I1300" t="s">
        <v>185</v>
      </c>
      <c r="J1300" t="s">
        <v>268</v>
      </c>
      <c r="K1300">
        <v>2.9356786215088616E-2</v>
      </c>
      <c r="L1300" t="s">
        <v>161</v>
      </c>
      <c r="N1300" t="s">
        <v>208</v>
      </c>
      <c r="O1300" t="s">
        <v>268</v>
      </c>
      <c r="P1300">
        <v>5.9892622618235782E-2</v>
      </c>
      <c r="Q1300" t="s">
        <v>161</v>
      </c>
    </row>
    <row r="1301" spans="9:17" x14ac:dyDescent="0.45">
      <c r="I1301" t="s">
        <v>185</v>
      </c>
      <c r="J1301" t="s">
        <v>170</v>
      </c>
      <c r="K1301">
        <v>1.8927178163115538E-2</v>
      </c>
      <c r="L1301" t="s">
        <v>161</v>
      </c>
      <c r="N1301" t="s">
        <v>208</v>
      </c>
      <c r="O1301" t="s">
        <v>170</v>
      </c>
      <c r="P1301">
        <v>3.3438033757113371E-2</v>
      </c>
      <c r="Q1301" t="s">
        <v>161</v>
      </c>
    </row>
    <row r="1302" spans="9:17" x14ac:dyDescent="0.45">
      <c r="I1302" t="s">
        <v>185</v>
      </c>
      <c r="J1302" t="s">
        <v>171</v>
      </c>
      <c r="K1302">
        <v>1.3674509300886243E-2</v>
      </c>
      <c r="L1302" t="s">
        <v>161</v>
      </c>
      <c r="N1302" t="s">
        <v>208</v>
      </c>
      <c r="O1302" t="s">
        <v>171</v>
      </c>
      <c r="P1302">
        <v>3.2825652210582137E-3</v>
      </c>
      <c r="Q1302" t="s">
        <v>161</v>
      </c>
    </row>
    <row r="1303" spans="9:17" x14ac:dyDescent="0.45">
      <c r="I1303" t="s">
        <v>185</v>
      </c>
      <c r="J1303" t="s">
        <v>172</v>
      </c>
      <c r="K1303">
        <v>0.1153930429542817</v>
      </c>
      <c r="L1303" t="s">
        <v>161</v>
      </c>
      <c r="N1303" t="s">
        <v>208</v>
      </c>
      <c r="O1303" t="s">
        <v>172</v>
      </c>
      <c r="P1303">
        <v>2.430233261013949E-2</v>
      </c>
      <c r="Q1303" t="s">
        <v>161</v>
      </c>
    </row>
    <row r="1304" spans="9:17" x14ac:dyDescent="0.45">
      <c r="I1304" t="s">
        <v>185</v>
      </c>
      <c r="J1304" t="s">
        <v>248</v>
      </c>
      <c r="K1304">
        <v>1.3530310317337443E-2</v>
      </c>
      <c r="L1304" t="s">
        <v>161</v>
      </c>
      <c r="N1304" t="s">
        <v>208</v>
      </c>
      <c r="O1304" t="s">
        <v>248</v>
      </c>
      <c r="P1304">
        <v>3.8857560512415954E-3</v>
      </c>
      <c r="Q1304" t="s">
        <v>161</v>
      </c>
    </row>
    <row r="1305" spans="9:17" x14ac:dyDescent="0.45">
      <c r="I1305" t="s">
        <v>185</v>
      </c>
      <c r="J1305" t="s">
        <v>249</v>
      </c>
      <c r="K1305">
        <v>9.8786424190452863E-3</v>
      </c>
      <c r="L1305" t="s">
        <v>161</v>
      </c>
      <c r="N1305" t="s">
        <v>208</v>
      </c>
      <c r="O1305" t="s">
        <v>249</v>
      </c>
      <c r="P1305">
        <v>3.8028269758575151E-3</v>
      </c>
      <c r="Q1305" t="s">
        <v>161</v>
      </c>
    </row>
    <row r="1306" spans="9:17" x14ac:dyDescent="0.45">
      <c r="I1306" t="s">
        <v>185</v>
      </c>
      <c r="J1306" t="s">
        <v>269</v>
      </c>
      <c r="K1306">
        <v>8.1626933839012202E-3</v>
      </c>
      <c r="L1306" t="s">
        <v>161</v>
      </c>
      <c r="N1306" t="s">
        <v>208</v>
      </c>
      <c r="O1306" t="s">
        <v>269</v>
      </c>
      <c r="P1306">
        <v>2.3267873821230457E-2</v>
      </c>
      <c r="Q1306" t="s">
        <v>161</v>
      </c>
    </row>
    <row r="1307" spans="9:17" x14ac:dyDescent="0.45">
      <c r="I1307" t="s">
        <v>185</v>
      </c>
      <c r="J1307" t="s">
        <v>362</v>
      </c>
      <c r="K1307">
        <v>0</v>
      </c>
      <c r="L1307" t="s">
        <v>161</v>
      </c>
      <c r="N1307" t="s">
        <v>208</v>
      </c>
      <c r="O1307" t="s">
        <v>362</v>
      </c>
      <c r="P1307">
        <v>6.1591690205303037E-6</v>
      </c>
      <c r="Q1307" t="s">
        <v>161</v>
      </c>
    </row>
    <row r="1308" spans="9:17" x14ac:dyDescent="0.45">
      <c r="I1308" t="s">
        <v>185</v>
      </c>
      <c r="J1308" t="s">
        <v>363</v>
      </c>
      <c r="K1308">
        <v>0</v>
      </c>
      <c r="L1308" t="s">
        <v>161</v>
      </c>
      <c r="N1308" t="s">
        <v>208</v>
      </c>
      <c r="O1308" t="s">
        <v>363</v>
      </c>
      <c r="P1308">
        <v>5.4517348691541219E-6</v>
      </c>
      <c r="Q1308" t="s">
        <v>161</v>
      </c>
    </row>
    <row r="1309" spans="9:17" x14ac:dyDescent="0.45">
      <c r="I1309" t="s">
        <v>185</v>
      </c>
      <c r="J1309" t="s">
        <v>364</v>
      </c>
      <c r="K1309">
        <v>0</v>
      </c>
      <c r="L1309" t="s">
        <v>161</v>
      </c>
      <c r="N1309" t="s">
        <v>208</v>
      </c>
      <c r="O1309" t="s">
        <v>364</v>
      </c>
      <c r="P1309">
        <v>2.8790942685097343E-6</v>
      </c>
      <c r="Q1309" t="s">
        <v>161</v>
      </c>
    </row>
    <row r="1310" spans="9:17" x14ac:dyDescent="0.45">
      <c r="I1310" t="s">
        <v>185</v>
      </c>
      <c r="J1310" t="s">
        <v>365</v>
      </c>
      <c r="K1310">
        <v>0</v>
      </c>
      <c r="L1310" t="s">
        <v>161</v>
      </c>
      <c r="N1310" t="s">
        <v>208</v>
      </c>
      <c r="O1310" t="s">
        <v>365</v>
      </c>
      <c r="P1310">
        <v>5.5571808999829186E-7</v>
      </c>
      <c r="Q1310" t="s">
        <v>161</v>
      </c>
    </row>
    <row r="1311" spans="9:17" x14ac:dyDescent="0.45">
      <c r="I1311" t="s">
        <v>185</v>
      </c>
      <c r="J1311" t="s">
        <v>366</v>
      </c>
      <c r="K1311">
        <v>0</v>
      </c>
      <c r="L1311" t="s">
        <v>161</v>
      </c>
      <c r="N1311" t="s">
        <v>208</v>
      </c>
      <c r="O1311" t="s">
        <v>366</v>
      </c>
      <c r="P1311">
        <v>2.5294856760493038E-7</v>
      </c>
      <c r="Q1311" t="s">
        <v>161</v>
      </c>
    </row>
    <row r="1312" spans="9:17" x14ac:dyDescent="0.45">
      <c r="I1312" t="s">
        <v>185</v>
      </c>
      <c r="J1312" t="s">
        <v>367</v>
      </c>
      <c r="K1312">
        <v>3.7923094684586021E-5</v>
      </c>
      <c r="L1312" t="s">
        <v>161</v>
      </c>
      <c r="N1312" t="s">
        <v>208</v>
      </c>
      <c r="O1312" t="s">
        <v>367</v>
      </c>
      <c r="P1312">
        <v>2.0704605455012029E-7</v>
      </c>
      <c r="Q1312" t="s">
        <v>161</v>
      </c>
    </row>
    <row r="1313" spans="9:17" x14ac:dyDescent="0.45">
      <c r="I1313" t="s">
        <v>185</v>
      </c>
      <c r="J1313" t="s">
        <v>368</v>
      </c>
      <c r="K1313">
        <v>2.5802745858380263E-4</v>
      </c>
      <c r="L1313" t="s">
        <v>161</v>
      </c>
      <c r="N1313" t="s">
        <v>208</v>
      </c>
      <c r="O1313" t="s">
        <v>368</v>
      </c>
      <c r="P1313">
        <v>1.6796643429353217E-7</v>
      </c>
      <c r="Q1313" t="s">
        <v>161</v>
      </c>
    </row>
    <row r="1314" spans="9:17" x14ac:dyDescent="0.45">
      <c r="I1314" t="s">
        <v>185</v>
      </c>
      <c r="J1314" t="s">
        <v>369</v>
      </c>
      <c r="K1314">
        <v>4.0874388529776228E-4</v>
      </c>
      <c r="L1314" t="s">
        <v>161</v>
      </c>
      <c r="N1314" t="s">
        <v>208</v>
      </c>
      <c r="O1314" t="s">
        <v>369</v>
      </c>
      <c r="P1314">
        <v>1.6196353560895911E-7</v>
      </c>
      <c r="Q1314" t="s">
        <v>161</v>
      </c>
    </row>
    <row r="1315" spans="9:17" x14ac:dyDescent="0.45">
      <c r="I1315" t="s">
        <v>185</v>
      </c>
      <c r="J1315" t="s">
        <v>370</v>
      </c>
      <c r="K1315">
        <v>4.4860982308194216E-4</v>
      </c>
      <c r="L1315" t="s">
        <v>161</v>
      </c>
      <c r="N1315" t="s">
        <v>208</v>
      </c>
      <c r="O1315" t="s">
        <v>370</v>
      </c>
      <c r="P1315">
        <v>4.8308396496705313E-6</v>
      </c>
      <c r="Q1315" t="s">
        <v>161</v>
      </c>
    </row>
    <row r="1316" spans="9:17" x14ac:dyDescent="0.45">
      <c r="I1316" t="s">
        <v>185</v>
      </c>
      <c r="J1316" t="s">
        <v>371</v>
      </c>
      <c r="K1316">
        <v>4.6412685889590924E-4</v>
      </c>
      <c r="L1316" t="s">
        <v>161</v>
      </c>
      <c r="N1316" t="s">
        <v>208</v>
      </c>
      <c r="O1316" t="s">
        <v>371</v>
      </c>
      <c r="P1316">
        <v>2.8197049017558395E-5</v>
      </c>
      <c r="Q1316" t="s">
        <v>161</v>
      </c>
    </row>
    <row r="1317" spans="9:17" x14ac:dyDescent="0.45">
      <c r="I1317" t="s">
        <v>185</v>
      </c>
      <c r="J1317" t="s">
        <v>372</v>
      </c>
      <c r="K1317">
        <v>4.7354513537756362E-4</v>
      </c>
      <c r="L1317" t="s">
        <v>161</v>
      </c>
      <c r="N1317" t="s">
        <v>208</v>
      </c>
      <c r="O1317" t="s">
        <v>372</v>
      </c>
      <c r="P1317">
        <v>3.7252046768660059E-5</v>
      </c>
      <c r="Q1317" t="s">
        <v>161</v>
      </c>
    </row>
    <row r="1318" spans="9:17" x14ac:dyDescent="0.45">
      <c r="I1318" t="s">
        <v>185</v>
      </c>
      <c r="J1318" t="s">
        <v>373</v>
      </c>
      <c r="K1318">
        <v>3.7569944859172324E-4</v>
      </c>
      <c r="L1318" t="s">
        <v>161</v>
      </c>
      <c r="N1318" t="s">
        <v>208</v>
      </c>
      <c r="O1318" t="s">
        <v>373</v>
      </c>
      <c r="P1318">
        <v>2.4997161525544847E-5</v>
      </c>
      <c r="Q1318" t="s">
        <v>161</v>
      </c>
    </row>
    <row r="1319" spans="9:17" x14ac:dyDescent="0.45">
      <c r="I1319" t="s">
        <v>185</v>
      </c>
      <c r="J1319" t="s">
        <v>374</v>
      </c>
      <c r="K1319">
        <v>3.9981456486099171E-4</v>
      </c>
      <c r="L1319" t="s">
        <v>161</v>
      </c>
      <c r="N1319" t="s">
        <v>208</v>
      </c>
      <c r="O1319" t="s">
        <v>374</v>
      </c>
      <c r="P1319">
        <v>1.4580060758832459E-5</v>
      </c>
      <c r="Q1319" t="s">
        <v>161</v>
      </c>
    </row>
    <row r="1320" spans="9:17" x14ac:dyDescent="0.45">
      <c r="I1320" t="s">
        <v>185</v>
      </c>
      <c r="J1320" t="s">
        <v>375</v>
      </c>
      <c r="K1320">
        <v>3.9970849450359473E-4</v>
      </c>
      <c r="L1320" t="s">
        <v>161</v>
      </c>
      <c r="N1320" t="s">
        <v>208</v>
      </c>
      <c r="O1320" t="s">
        <v>375</v>
      </c>
      <c r="P1320">
        <v>9.0139268992807004E-6</v>
      </c>
      <c r="Q1320" t="s">
        <v>161</v>
      </c>
    </row>
    <row r="1321" spans="9:17" x14ac:dyDescent="0.45">
      <c r="I1321" t="s">
        <v>185</v>
      </c>
      <c r="J1321" t="s">
        <v>376</v>
      </c>
      <c r="K1321">
        <v>4.0939376113213987E-4</v>
      </c>
      <c r="L1321" t="s">
        <v>161</v>
      </c>
      <c r="N1321" t="s">
        <v>208</v>
      </c>
      <c r="O1321" t="s">
        <v>376</v>
      </c>
      <c r="P1321">
        <v>4.6773700591262657E-6</v>
      </c>
      <c r="Q1321" t="s">
        <v>161</v>
      </c>
    </row>
    <row r="1322" spans="9:17" x14ac:dyDescent="0.45">
      <c r="I1322" t="s">
        <v>185</v>
      </c>
      <c r="J1322" t="s">
        <v>377</v>
      </c>
      <c r="K1322">
        <v>3.7119334868676319E-4</v>
      </c>
      <c r="L1322" t="s">
        <v>161</v>
      </c>
      <c r="N1322" t="s">
        <v>208</v>
      </c>
      <c r="O1322" t="s">
        <v>377</v>
      </c>
      <c r="P1322">
        <v>6.342416586349077E-6</v>
      </c>
      <c r="Q1322" t="s">
        <v>161</v>
      </c>
    </row>
    <row r="1323" spans="9:17" x14ac:dyDescent="0.45">
      <c r="I1323" t="s">
        <v>185</v>
      </c>
      <c r="J1323" t="s">
        <v>378</v>
      </c>
      <c r="K1323">
        <v>2.6579476581843484E-4</v>
      </c>
      <c r="L1323" t="s">
        <v>161</v>
      </c>
      <c r="N1323" t="s">
        <v>208</v>
      </c>
      <c r="O1323" t="s">
        <v>378</v>
      </c>
      <c r="P1323">
        <v>1.1814520734740568E-5</v>
      </c>
      <c r="Q1323" t="s">
        <v>161</v>
      </c>
    </row>
    <row r="1324" spans="9:17" x14ac:dyDescent="0.45">
      <c r="I1324" t="s">
        <v>185</v>
      </c>
      <c r="J1324" t="s">
        <v>379</v>
      </c>
      <c r="K1324">
        <v>2.0558355550232845E-4</v>
      </c>
      <c r="L1324" t="s">
        <v>161</v>
      </c>
      <c r="N1324" t="s">
        <v>208</v>
      </c>
      <c r="O1324" t="s">
        <v>379</v>
      </c>
      <c r="P1324">
        <v>1.8829822106405835E-5</v>
      </c>
      <c r="Q1324" t="s">
        <v>161</v>
      </c>
    </row>
    <row r="1325" spans="9:17" x14ac:dyDescent="0.45">
      <c r="I1325" t="s">
        <v>185</v>
      </c>
      <c r="J1325" t="s">
        <v>380</v>
      </c>
      <c r="K1325">
        <v>1.01274386900114E-4</v>
      </c>
      <c r="L1325" t="s">
        <v>161</v>
      </c>
      <c r="N1325" t="s">
        <v>208</v>
      </c>
      <c r="O1325" t="s">
        <v>380</v>
      </c>
      <c r="P1325">
        <v>3.1139874581221783E-5</v>
      </c>
      <c r="Q1325" t="s">
        <v>161</v>
      </c>
    </row>
    <row r="1326" spans="9:17" x14ac:dyDescent="0.45">
      <c r="I1326" t="s">
        <v>185</v>
      </c>
      <c r="J1326" t="s">
        <v>381</v>
      </c>
      <c r="K1326">
        <v>3.7825405241356742E-6</v>
      </c>
      <c r="L1326" t="s">
        <v>161</v>
      </c>
      <c r="N1326" t="s">
        <v>208</v>
      </c>
      <c r="O1326" t="s">
        <v>381</v>
      </c>
      <c r="P1326">
        <v>4.8158800302738104E-5</v>
      </c>
      <c r="Q1326" t="s">
        <v>161</v>
      </c>
    </row>
    <row r="1327" spans="9:17" x14ac:dyDescent="0.45">
      <c r="I1327" t="s">
        <v>185</v>
      </c>
      <c r="J1327" t="s">
        <v>382</v>
      </c>
      <c r="K1327">
        <v>0</v>
      </c>
      <c r="L1327" t="s">
        <v>161</v>
      </c>
      <c r="N1327" t="s">
        <v>208</v>
      </c>
      <c r="O1327" t="s">
        <v>382</v>
      </c>
      <c r="P1327">
        <v>5.0525475118705041E-5</v>
      </c>
      <c r="Q1327" t="s">
        <v>161</v>
      </c>
    </row>
    <row r="1328" spans="9:17" x14ac:dyDescent="0.45">
      <c r="I1328" t="s">
        <v>185</v>
      </c>
      <c r="J1328" t="s">
        <v>383</v>
      </c>
      <c r="K1328">
        <v>0</v>
      </c>
      <c r="L1328" t="s">
        <v>161</v>
      </c>
      <c r="N1328" t="s">
        <v>208</v>
      </c>
      <c r="O1328" t="s">
        <v>383</v>
      </c>
      <c r="P1328">
        <v>3.8638843907511335E-5</v>
      </c>
      <c r="Q1328" t="s">
        <v>161</v>
      </c>
    </row>
    <row r="1329" spans="9:17" x14ac:dyDescent="0.45">
      <c r="I1329" t="s">
        <v>185</v>
      </c>
      <c r="J1329" t="s">
        <v>384</v>
      </c>
      <c r="K1329">
        <v>0</v>
      </c>
      <c r="L1329" t="s">
        <v>161</v>
      </c>
      <c r="N1329" t="s">
        <v>208</v>
      </c>
      <c r="O1329" t="s">
        <v>384</v>
      </c>
      <c r="P1329">
        <v>4.2134227236168467E-5</v>
      </c>
      <c r="Q1329" t="s">
        <v>161</v>
      </c>
    </row>
    <row r="1330" spans="9:17" x14ac:dyDescent="0.45">
      <c r="I1330" t="s">
        <v>185</v>
      </c>
      <c r="J1330" t="s">
        <v>385</v>
      </c>
      <c r="K1330">
        <v>0</v>
      </c>
      <c r="L1330" t="s">
        <v>161</v>
      </c>
      <c r="N1330" t="s">
        <v>208</v>
      </c>
      <c r="O1330" t="s">
        <v>385</v>
      </c>
      <c r="P1330">
        <v>9.2518039182543861E-6</v>
      </c>
      <c r="Q1330" t="s">
        <v>161</v>
      </c>
    </row>
    <row r="1331" spans="9:17" x14ac:dyDescent="0.45">
      <c r="I1331" t="s">
        <v>185</v>
      </c>
      <c r="J1331" t="s">
        <v>250</v>
      </c>
      <c r="K1331">
        <v>4.5596296378322063E-3</v>
      </c>
      <c r="L1331" t="s">
        <v>161</v>
      </c>
      <c r="N1331" t="s">
        <v>208</v>
      </c>
      <c r="O1331" t="s">
        <v>250</v>
      </c>
      <c r="P1331">
        <v>4.2626819537166079E-2</v>
      </c>
      <c r="Q1331" t="s">
        <v>161</v>
      </c>
    </row>
    <row r="1332" spans="9:17" x14ac:dyDescent="0.45">
      <c r="I1332" t="s">
        <v>185</v>
      </c>
      <c r="J1332" t="s">
        <v>251</v>
      </c>
      <c r="K1332">
        <v>7.8255520876699541E-3</v>
      </c>
      <c r="L1332" t="s">
        <v>161</v>
      </c>
      <c r="N1332" t="s">
        <v>208</v>
      </c>
      <c r="O1332" t="s">
        <v>251</v>
      </c>
      <c r="P1332">
        <v>5.5406449485912012E-3</v>
      </c>
      <c r="Q1332" t="s">
        <v>161</v>
      </c>
    </row>
    <row r="1333" spans="9:17" x14ac:dyDescent="0.45">
      <c r="I1333" t="s">
        <v>185</v>
      </c>
      <c r="J1333" t="s">
        <v>252</v>
      </c>
      <c r="K1333">
        <v>7.5170230361347082E-2</v>
      </c>
      <c r="L1333" t="s">
        <v>161</v>
      </c>
      <c r="N1333" t="s">
        <v>208</v>
      </c>
      <c r="O1333" t="s">
        <v>252</v>
      </c>
      <c r="P1333">
        <v>3.6375632370520113E-2</v>
      </c>
      <c r="Q1333" t="s">
        <v>161</v>
      </c>
    </row>
    <row r="1334" spans="9:17" x14ac:dyDescent="0.45">
      <c r="I1334" t="s">
        <v>185</v>
      </c>
      <c r="J1334" t="s">
        <v>253</v>
      </c>
      <c r="K1334">
        <v>6.0331982894917154E-3</v>
      </c>
      <c r="L1334" t="s">
        <v>161</v>
      </c>
      <c r="N1334" t="s">
        <v>208</v>
      </c>
      <c r="O1334" t="s">
        <v>253</v>
      </c>
      <c r="P1334">
        <v>5.1107721000041174E-3</v>
      </c>
      <c r="Q1334" t="s">
        <v>161</v>
      </c>
    </row>
    <row r="1335" spans="9:17" x14ac:dyDescent="0.45">
      <c r="I1335" t="s">
        <v>185</v>
      </c>
      <c r="J1335" t="s">
        <v>254</v>
      </c>
      <c r="K1335">
        <v>2.2768578974194263E-3</v>
      </c>
      <c r="L1335" t="s">
        <v>161</v>
      </c>
      <c r="N1335" t="s">
        <v>208</v>
      </c>
      <c r="O1335" t="s">
        <v>254</v>
      </c>
      <c r="P1335">
        <v>5.226284416117233E-3</v>
      </c>
      <c r="Q1335" t="s">
        <v>161</v>
      </c>
    </row>
    <row r="1336" spans="9:17" x14ac:dyDescent="0.45">
      <c r="I1336" t="s">
        <v>185</v>
      </c>
      <c r="J1336" t="s">
        <v>270</v>
      </c>
      <c r="K1336">
        <v>0</v>
      </c>
      <c r="L1336" t="s">
        <v>161</v>
      </c>
      <c r="N1336" t="s">
        <v>208</v>
      </c>
      <c r="O1336" t="s">
        <v>270</v>
      </c>
      <c r="P1336">
        <v>3.6083697146083761E-2</v>
      </c>
      <c r="Q1336" t="s">
        <v>161</v>
      </c>
    </row>
    <row r="1337" spans="9:17" x14ac:dyDescent="0.45">
      <c r="I1337" t="s">
        <v>185</v>
      </c>
      <c r="J1337" t="s">
        <v>255</v>
      </c>
      <c r="K1337">
        <v>0</v>
      </c>
      <c r="L1337" t="s">
        <v>161</v>
      </c>
      <c r="N1337" t="s">
        <v>208</v>
      </c>
      <c r="O1337" t="s">
        <v>255</v>
      </c>
      <c r="P1337">
        <v>6.3179560951697453E-2</v>
      </c>
      <c r="Q1337" t="s">
        <v>161</v>
      </c>
    </row>
    <row r="1338" spans="9:17" x14ac:dyDescent="0.45">
      <c r="I1338" t="s">
        <v>185</v>
      </c>
      <c r="J1338" t="s">
        <v>256</v>
      </c>
      <c r="K1338">
        <v>1.9513961261331642E-3</v>
      </c>
      <c r="L1338" t="s">
        <v>161</v>
      </c>
      <c r="N1338" t="s">
        <v>208</v>
      </c>
      <c r="O1338" t="s">
        <v>256</v>
      </c>
      <c r="P1338">
        <v>8.0829714865275539E-3</v>
      </c>
      <c r="Q1338" t="s">
        <v>161</v>
      </c>
    </row>
    <row r="1339" spans="9:17" x14ac:dyDescent="0.45">
      <c r="I1339" t="s">
        <v>185</v>
      </c>
      <c r="J1339" t="s">
        <v>257</v>
      </c>
      <c r="K1339">
        <v>3.2350252356547586E-2</v>
      </c>
      <c r="L1339" t="s">
        <v>161</v>
      </c>
      <c r="N1339" t="s">
        <v>208</v>
      </c>
      <c r="O1339" t="s">
        <v>257</v>
      </c>
      <c r="P1339">
        <v>4.9547696211770458E-2</v>
      </c>
      <c r="Q1339" t="s">
        <v>161</v>
      </c>
    </row>
    <row r="1340" spans="9:17" x14ac:dyDescent="0.45">
      <c r="I1340" t="s">
        <v>185</v>
      </c>
      <c r="J1340" t="s">
        <v>258</v>
      </c>
      <c r="K1340">
        <v>1.9024790052778832E-4</v>
      </c>
      <c r="L1340" t="s">
        <v>161</v>
      </c>
      <c r="N1340" t="s">
        <v>208</v>
      </c>
      <c r="O1340" t="s">
        <v>258</v>
      </c>
      <c r="P1340">
        <v>6.4769878489594618E-3</v>
      </c>
      <c r="Q1340" t="s">
        <v>161</v>
      </c>
    </row>
    <row r="1341" spans="9:17" x14ac:dyDescent="0.45">
      <c r="I1341" t="s">
        <v>185</v>
      </c>
      <c r="J1341" t="s">
        <v>259</v>
      </c>
      <c r="K1341">
        <v>0</v>
      </c>
      <c r="L1341" t="s">
        <v>161</v>
      </c>
      <c r="N1341" t="s">
        <v>208</v>
      </c>
      <c r="O1341" t="s">
        <v>259</v>
      </c>
      <c r="P1341">
        <v>6.5440970209553221E-3</v>
      </c>
      <c r="Q1341" t="s">
        <v>161</v>
      </c>
    </row>
    <row r="1342" spans="9:17" x14ac:dyDescent="0.45">
      <c r="I1342" t="s">
        <v>185</v>
      </c>
      <c r="J1342" t="s">
        <v>271</v>
      </c>
      <c r="K1342">
        <v>0</v>
      </c>
      <c r="L1342" t="s">
        <v>161</v>
      </c>
      <c r="N1342" t="s">
        <v>208</v>
      </c>
      <c r="O1342" t="s">
        <v>271</v>
      </c>
      <c r="P1342">
        <v>4.3830690190225015E-2</v>
      </c>
      <c r="Q1342" t="s">
        <v>161</v>
      </c>
    </row>
    <row r="1343" spans="9:17" x14ac:dyDescent="0.45">
      <c r="I1343" t="s">
        <v>185</v>
      </c>
      <c r="J1343" t="s">
        <v>272</v>
      </c>
      <c r="K1343">
        <v>0</v>
      </c>
      <c r="L1343" t="s">
        <v>161</v>
      </c>
      <c r="N1343" t="s">
        <v>208</v>
      </c>
      <c r="O1343" t="s">
        <v>272</v>
      </c>
      <c r="P1343">
        <v>1.2026834450162463E-2</v>
      </c>
      <c r="Q1343" t="s">
        <v>161</v>
      </c>
    </row>
    <row r="1344" spans="9:17" x14ac:dyDescent="0.45">
      <c r="I1344" t="s">
        <v>185</v>
      </c>
      <c r="J1344" t="s">
        <v>273</v>
      </c>
      <c r="K1344">
        <v>0</v>
      </c>
      <c r="L1344" t="s">
        <v>161</v>
      </c>
      <c r="N1344" t="s">
        <v>208</v>
      </c>
      <c r="O1344" t="s">
        <v>273</v>
      </c>
      <c r="P1344">
        <v>1.6864899941606713E-3</v>
      </c>
      <c r="Q1344" t="s">
        <v>161</v>
      </c>
    </row>
    <row r="1345" spans="9:17" x14ac:dyDescent="0.45">
      <c r="I1345" t="s">
        <v>185</v>
      </c>
      <c r="J1345" t="s">
        <v>274</v>
      </c>
      <c r="K1345">
        <v>3.7285114052497243E-3</v>
      </c>
      <c r="L1345" t="s">
        <v>161</v>
      </c>
      <c r="N1345" t="s">
        <v>208</v>
      </c>
      <c r="O1345" t="s">
        <v>274</v>
      </c>
      <c r="P1345">
        <v>6.7311787854377244E-3</v>
      </c>
      <c r="Q1345" t="s">
        <v>161</v>
      </c>
    </row>
    <row r="1346" spans="9:17" x14ac:dyDescent="0.45">
      <c r="I1346" t="s">
        <v>185</v>
      </c>
      <c r="J1346" t="s">
        <v>275</v>
      </c>
      <c r="K1346">
        <v>0</v>
      </c>
      <c r="L1346" t="s">
        <v>161</v>
      </c>
      <c r="N1346" t="s">
        <v>208</v>
      </c>
      <c r="O1346" t="s">
        <v>275</v>
      </c>
      <c r="P1346">
        <v>1.11559669947997E-3</v>
      </c>
      <c r="Q1346" t="s">
        <v>161</v>
      </c>
    </row>
    <row r="1347" spans="9:17" x14ac:dyDescent="0.45">
      <c r="I1347" t="s">
        <v>185</v>
      </c>
      <c r="J1347" t="s">
        <v>276</v>
      </c>
      <c r="K1347">
        <v>0</v>
      </c>
      <c r="L1347" t="s">
        <v>161</v>
      </c>
      <c r="N1347" t="s">
        <v>208</v>
      </c>
      <c r="O1347" t="s">
        <v>276</v>
      </c>
      <c r="P1347">
        <v>1.3258380198065526E-3</v>
      </c>
      <c r="Q1347" t="s">
        <v>161</v>
      </c>
    </row>
    <row r="1348" spans="9:17" x14ac:dyDescent="0.45">
      <c r="I1348" t="s">
        <v>185</v>
      </c>
      <c r="J1348" t="s">
        <v>277</v>
      </c>
      <c r="K1348">
        <v>0</v>
      </c>
      <c r="L1348" t="s">
        <v>161</v>
      </c>
      <c r="N1348" t="s">
        <v>208</v>
      </c>
      <c r="O1348" t="s">
        <v>277</v>
      </c>
      <c r="P1348">
        <v>8.398999520196156E-3</v>
      </c>
      <c r="Q1348" t="s">
        <v>161</v>
      </c>
    </row>
    <row r="1349" spans="9:17" x14ac:dyDescent="0.45">
      <c r="I1349" t="s">
        <v>185</v>
      </c>
      <c r="J1349" t="s">
        <v>278</v>
      </c>
      <c r="K1349">
        <v>0</v>
      </c>
      <c r="L1349" t="s">
        <v>161</v>
      </c>
      <c r="N1349" t="s">
        <v>208</v>
      </c>
      <c r="O1349" t="s">
        <v>278</v>
      </c>
      <c r="P1349">
        <v>4.2511897757166418E-3</v>
      </c>
      <c r="Q1349" t="s">
        <v>161</v>
      </c>
    </row>
    <row r="1350" spans="9:17" x14ac:dyDescent="0.45">
      <c r="I1350" t="s">
        <v>185</v>
      </c>
      <c r="J1350" t="s">
        <v>279</v>
      </c>
      <c r="K1350">
        <v>0</v>
      </c>
      <c r="L1350" t="s">
        <v>161</v>
      </c>
      <c r="N1350" t="s">
        <v>208</v>
      </c>
      <c r="O1350" t="s">
        <v>279</v>
      </c>
      <c r="P1350">
        <v>5.4887136294244317E-4</v>
      </c>
      <c r="Q1350" t="s">
        <v>161</v>
      </c>
    </row>
    <row r="1351" spans="9:17" x14ac:dyDescent="0.45">
      <c r="I1351" t="s">
        <v>185</v>
      </c>
      <c r="J1351" t="s">
        <v>280</v>
      </c>
      <c r="K1351">
        <v>2.9409761784765136E-3</v>
      </c>
      <c r="L1351" t="s">
        <v>161</v>
      </c>
      <c r="N1351" t="s">
        <v>208</v>
      </c>
      <c r="O1351" t="s">
        <v>280</v>
      </c>
      <c r="P1351">
        <v>1.6406141354611086E-3</v>
      </c>
      <c r="Q1351" t="s">
        <v>161</v>
      </c>
    </row>
    <row r="1352" spans="9:17" x14ac:dyDescent="0.45">
      <c r="I1352" t="s">
        <v>185</v>
      </c>
      <c r="J1352" t="s">
        <v>281</v>
      </c>
      <c r="K1352">
        <v>0</v>
      </c>
      <c r="L1352" t="s">
        <v>161</v>
      </c>
      <c r="N1352" t="s">
        <v>208</v>
      </c>
      <c r="O1352" t="s">
        <v>281</v>
      </c>
      <c r="P1352">
        <v>1.5157608828336811E-4</v>
      </c>
      <c r="Q1352" t="s">
        <v>161</v>
      </c>
    </row>
    <row r="1353" spans="9:17" x14ac:dyDescent="0.45">
      <c r="I1353" t="s">
        <v>185</v>
      </c>
      <c r="J1353" t="s">
        <v>282</v>
      </c>
      <c r="K1353">
        <v>0</v>
      </c>
      <c r="L1353" t="s">
        <v>161</v>
      </c>
      <c r="N1353" t="s">
        <v>208</v>
      </c>
      <c r="O1353" t="s">
        <v>282</v>
      </c>
      <c r="P1353">
        <v>1.8546791460742512E-4</v>
      </c>
      <c r="Q1353" t="s">
        <v>161</v>
      </c>
    </row>
    <row r="1354" spans="9:17" x14ac:dyDescent="0.45">
      <c r="I1354" t="s">
        <v>185</v>
      </c>
      <c r="J1354" t="s">
        <v>283</v>
      </c>
      <c r="K1354">
        <v>0</v>
      </c>
      <c r="L1354" t="s">
        <v>161</v>
      </c>
      <c r="N1354" t="s">
        <v>208</v>
      </c>
      <c r="O1354" t="s">
        <v>283</v>
      </c>
      <c r="P1354">
        <v>1.7878937532380694E-3</v>
      </c>
      <c r="Q1354" t="s">
        <v>161</v>
      </c>
    </row>
    <row r="1355" spans="9:17" x14ac:dyDescent="0.45">
      <c r="I1355" t="s">
        <v>186</v>
      </c>
      <c r="J1355" t="s">
        <v>160</v>
      </c>
      <c r="K1355">
        <v>2.2223276216923279E-3</v>
      </c>
      <c r="L1355" t="s">
        <v>161</v>
      </c>
      <c r="N1355" t="s">
        <v>209</v>
      </c>
      <c r="O1355" t="s">
        <v>160</v>
      </c>
      <c r="P1355">
        <v>7.1981921747442182E-2</v>
      </c>
      <c r="Q1355" t="s">
        <v>161</v>
      </c>
    </row>
    <row r="1356" spans="9:17" x14ac:dyDescent="0.45">
      <c r="I1356" t="s">
        <v>186</v>
      </c>
      <c r="J1356" t="s">
        <v>162</v>
      </c>
      <c r="K1356">
        <v>6.5013496175976111E-3</v>
      </c>
      <c r="L1356" t="s">
        <v>161</v>
      </c>
      <c r="N1356" t="s">
        <v>209</v>
      </c>
      <c r="O1356" t="s">
        <v>162</v>
      </c>
      <c r="P1356">
        <v>8.7887949288506188E-3</v>
      </c>
      <c r="Q1356" t="s">
        <v>161</v>
      </c>
    </row>
    <row r="1357" spans="9:17" x14ac:dyDescent="0.45">
      <c r="I1357" t="s">
        <v>186</v>
      </c>
      <c r="J1357" t="s">
        <v>163</v>
      </c>
      <c r="K1357">
        <v>8.7680502823400772E-2</v>
      </c>
      <c r="L1357" t="s">
        <v>161</v>
      </c>
      <c r="N1357" t="s">
        <v>209</v>
      </c>
      <c r="O1357" t="s">
        <v>163</v>
      </c>
      <c r="P1357">
        <v>5.2469600259654407E-2</v>
      </c>
      <c r="Q1357" t="s">
        <v>161</v>
      </c>
    </row>
    <row r="1358" spans="9:17" x14ac:dyDescent="0.45">
      <c r="I1358" t="s">
        <v>186</v>
      </c>
      <c r="J1358" t="s">
        <v>242</v>
      </c>
      <c r="K1358">
        <v>6.5009601232805863E-3</v>
      </c>
      <c r="L1358" t="s">
        <v>161</v>
      </c>
      <c r="N1358" t="s">
        <v>209</v>
      </c>
      <c r="O1358" t="s">
        <v>242</v>
      </c>
      <c r="P1358">
        <v>8.1889975913793378E-3</v>
      </c>
      <c r="Q1358" t="s">
        <v>161</v>
      </c>
    </row>
    <row r="1359" spans="9:17" x14ac:dyDescent="0.45">
      <c r="I1359" t="s">
        <v>186</v>
      </c>
      <c r="J1359" t="s">
        <v>243</v>
      </c>
      <c r="K1359">
        <v>2.5715590910572765E-3</v>
      </c>
      <c r="L1359" t="s">
        <v>161</v>
      </c>
      <c r="N1359" t="s">
        <v>209</v>
      </c>
      <c r="O1359" t="s">
        <v>243</v>
      </c>
      <c r="P1359">
        <v>8.660481115933167E-3</v>
      </c>
      <c r="Q1359" t="s">
        <v>161</v>
      </c>
    </row>
    <row r="1360" spans="9:17" x14ac:dyDescent="0.45">
      <c r="I1360" t="s">
        <v>186</v>
      </c>
      <c r="J1360" t="s">
        <v>266</v>
      </c>
      <c r="K1360">
        <v>0</v>
      </c>
      <c r="L1360" t="s">
        <v>161</v>
      </c>
      <c r="N1360" t="s">
        <v>209</v>
      </c>
      <c r="O1360" t="s">
        <v>266</v>
      </c>
      <c r="P1360">
        <v>5.4361394019583349E-2</v>
      </c>
      <c r="Q1360" t="s">
        <v>161</v>
      </c>
    </row>
    <row r="1361" spans="9:17" x14ac:dyDescent="0.45">
      <c r="I1361" t="s">
        <v>186</v>
      </c>
      <c r="J1361" t="s">
        <v>311</v>
      </c>
      <c r="K1361">
        <v>0</v>
      </c>
      <c r="L1361" t="s">
        <v>161</v>
      </c>
      <c r="N1361" t="s">
        <v>209</v>
      </c>
      <c r="O1361" t="s">
        <v>311</v>
      </c>
      <c r="P1361">
        <v>9.1482543270555308E-6</v>
      </c>
      <c r="Q1361" t="s">
        <v>161</v>
      </c>
    </row>
    <row r="1362" spans="9:17" x14ac:dyDescent="0.45">
      <c r="I1362" t="s">
        <v>186</v>
      </c>
      <c r="J1362" t="s">
        <v>312</v>
      </c>
      <c r="K1362">
        <v>0</v>
      </c>
      <c r="L1362" t="s">
        <v>161</v>
      </c>
      <c r="N1362" t="s">
        <v>209</v>
      </c>
      <c r="O1362" t="s">
        <v>312</v>
      </c>
      <c r="P1362">
        <v>9.5679403098574827E-6</v>
      </c>
      <c r="Q1362" t="s">
        <v>161</v>
      </c>
    </row>
    <row r="1363" spans="9:17" x14ac:dyDescent="0.45">
      <c r="I1363" t="s">
        <v>186</v>
      </c>
      <c r="J1363" t="s">
        <v>313</v>
      </c>
      <c r="K1363">
        <v>0</v>
      </c>
      <c r="L1363" t="s">
        <v>161</v>
      </c>
      <c r="N1363" t="s">
        <v>209</v>
      </c>
      <c r="O1363" t="s">
        <v>313</v>
      </c>
      <c r="P1363">
        <v>1.3967576930280154E-5</v>
      </c>
      <c r="Q1363" t="s">
        <v>161</v>
      </c>
    </row>
    <row r="1364" spans="9:17" x14ac:dyDescent="0.45">
      <c r="I1364" t="s">
        <v>186</v>
      </c>
      <c r="J1364" t="s">
        <v>314</v>
      </c>
      <c r="K1364">
        <v>0</v>
      </c>
      <c r="L1364" t="s">
        <v>161</v>
      </c>
      <c r="N1364" t="s">
        <v>209</v>
      </c>
      <c r="O1364" t="s">
        <v>314</v>
      </c>
      <c r="P1364">
        <v>1.9575346227121972E-5</v>
      </c>
      <c r="Q1364" t="s">
        <v>161</v>
      </c>
    </row>
    <row r="1365" spans="9:17" x14ac:dyDescent="0.45">
      <c r="I1365" t="s">
        <v>186</v>
      </c>
      <c r="J1365" t="s">
        <v>315</v>
      </c>
      <c r="K1365">
        <v>0</v>
      </c>
      <c r="L1365" t="s">
        <v>161</v>
      </c>
      <c r="N1365" t="s">
        <v>209</v>
      </c>
      <c r="O1365" t="s">
        <v>315</v>
      </c>
      <c r="P1365">
        <v>2.8579712731184695E-5</v>
      </c>
      <c r="Q1365" t="s">
        <v>161</v>
      </c>
    </row>
    <row r="1366" spans="9:17" x14ac:dyDescent="0.45">
      <c r="I1366" t="s">
        <v>186</v>
      </c>
      <c r="J1366" t="s">
        <v>316</v>
      </c>
      <c r="K1366">
        <v>0</v>
      </c>
      <c r="L1366" t="s">
        <v>161</v>
      </c>
      <c r="N1366" t="s">
        <v>209</v>
      </c>
      <c r="O1366" t="s">
        <v>316</v>
      </c>
      <c r="P1366">
        <v>3.0920272678737556E-5</v>
      </c>
      <c r="Q1366" t="s">
        <v>161</v>
      </c>
    </row>
    <row r="1367" spans="9:17" x14ac:dyDescent="0.45">
      <c r="I1367" t="s">
        <v>186</v>
      </c>
      <c r="J1367" t="s">
        <v>317</v>
      </c>
      <c r="K1367">
        <v>0</v>
      </c>
      <c r="L1367" t="s">
        <v>161</v>
      </c>
      <c r="N1367" t="s">
        <v>209</v>
      </c>
      <c r="O1367" t="s">
        <v>317</v>
      </c>
      <c r="P1367">
        <v>3.1760161809307958E-5</v>
      </c>
      <c r="Q1367" t="s">
        <v>161</v>
      </c>
    </row>
    <row r="1368" spans="9:17" x14ac:dyDescent="0.45">
      <c r="I1368" t="s">
        <v>186</v>
      </c>
      <c r="J1368" t="s">
        <v>318</v>
      </c>
      <c r="K1368">
        <v>0</v>
      </c>
      <c r="L1368" t="s">
        <v>161</v>
      </c>
      <c r="N1368" t="s">
        <v>209</v>
      </c>
      <c r="O1368" t="s">
        <v>318</v>
      </c>
      <c r="P1368">
        <v>2.9177006921787018E-5</v>
      </c>
      <c r="Q1368" t="s">
        <v>161</v>
      </c>
    </row>
    <row r="1369" spans="9:17" x14ac:dyDescent="0.45">
      <c r="I1369" t="s">
        <v>186</v>
      </c>
      <c r="J1369" t="s">
        <v>319</v>
      </c>
      <c r="K1369">
        <v>1.1373059582217176E-5</v>
      </c>
      <c r="L1369" t="s">
        <v>161</v>
      </c>
      <c r="N1369" t="s">
        <v>209</v>
      </c>
      <c r="O1369" t="s">
        <v>319</v>
      </c>
      <c r="P1369">
        <v>1.8486740569613052E-5</v>
      </c>
      <c r="Q1369" t="s">
        <v>161</v>
      </c>
    </row>
    <row r="1370" spans="9:17" x14ac:dyDescent="0.45">
      <c r="I1370" t="s">
        <v>186</v>
      </c>
      <c r="J1370" t="s">
        <v>320</v>
      </c>
      <c r="K1370">
        <v>4.1385668943382374E-5</v>
      </c>
      <c r="L1370" t="s">
        <v>161</v>
      </c>
      <c r="N1370" t="s">
        <v>209</v>
      </c>
      <c r="O1370" t="s">
        <v>320</v>
      </c>
      <c r="P1370">
        <v>1.694258598346562E-5</v>
      </c>
      <c r="Q1370" t="s">
        <v>161</v>
      </c>
    </row>
    <row r="1371" spans="9:17" x14ac:dyDescent="0.45">
      <c r="I1371" t="s">
        <v>186</v>
      </c>
      <c r="J1371" t="s">
        <v>321</v>
      </c>
      <c r="K1371">
        <v>8.7096950123362129E-5</v>
      </c>
      <c r="L1371" t="s">
        <v>161</v>
      </c>
      <c r="N1371" t="s">
        <v>209</v>
      </c>
      <c r="O1371" t="s">
        <v>321</v>
      </c>
      <c r="P1371">
        <v>1.1705374493339246E-5</v>
      </c>
      <c r="Q1371" t="s">
        <v>161</v>
      </c>
    </row>
    <row r="1372" spans="9:17" x14ac:dyDescent="0.45">
      <c r="I1372" t="s">
        <v>186</v>
      </c>
      <c r="J1372" t="s">
        <v>322</v>
      </c>
      <c r="K1372">
        <v>1.2369493677356647E-4</v>
      </c>
      <c r="L1372" t="s">
        <v>161</v>
      </c>
      <c r="N1372" t="s">
        <v>209</v>
      </c>
      <c r="O1372" t="s">
        <v>322</v>
      </c>
      <c r="P1372">
        <v>2.2894973305289512E-5</v>
      </c>
      <c r="Q1372" t="s">
        <v>161</v>
      </c>
    </row>
    <row r="1373" spans="9:17" x14ac:dyDescent="0.45">
      <c r="I1373" t="s">
        <v>186</v>
      </c>
      <c r="J1373" t="s">
        <v>323</v>
      </c>
      <c r="K1373">
        <v>1.1197221194557795E-4</v>
      </c>
      <c r="L1373" t="s">
        <v>161</v>
      </c>
      <c r="N1373" t="s">
        <v>209</v>
      </c>
      <c r="O1373" t="s">
        <v>323</v>
      </c>
      <c r="P1373">
        <v>3.9981047912800377E-5</v>
      </c>
      <c r="Q1373" t="s">
        <v>161</v>
      </c>
    </row>
    <row r="1374" spans="9:17" x14ac:dyDescent="0.45">
      <c r="I1374" t="s">
        <v>186</v>
      </c>
      <c r="J1374" t="s">
        <v>324</v>
      </c>
      <c r="K1374">
        <v>1.1401634070940528E-4</v>
      </c>
      <c r="L1374" t="s">
        <v>161</v>
      </c>
      <c r="N1374" t="s">
        <v>209</v>
      </c>
      <c r="O1374" t="s">
        <v>324</v>
      </c>
      <c r="P1374">
        <v>4.7331340354781181E-5</v>
      </c>
      <c r="Q1374" t="s">
        <v>161</v>
      </c>
    </row>
    <row r="1375" spans="9:17" x14ac:dyDescent="0.45">
      <c r="I1375" t="s">
        <v>186</v>
      </c>
      <c r="J1375" t="s">
        <v>325</v>
      </c>
      <c r="K1375">
        <v>9.425471313908142E-5</v>
      </c>
      <c r="L1375" t="s">
        <v>161</v>
      </c>
      <c r="N1375" t="s">
        <v>209</v>
      </c>
      <c r="O1375" t="s">
        <v>325</v>
      </c>
      <c r="P1375">
        <v>4.68316694797217E-5</v>
      </c>
      <c r="Q1375" t="s">
        <v>161</v>
      </c>
    </row>
    <row r="1376" spans="9:17" x14ac:dyDescent="0.45">
      <c r="I1376" t="s">
        <v>186</v>
      </c>
      <c r="J1376" t="s">
        <v>326</v>
      </c>
      <c r="K1376">
        <v>6.7131238268240212E-5</v>
      </c>
      <c r="L1376" t="s">
        <v>161</v>
      </c>
      <c r="N1376" t="s">
        <v>209</v>
      </c>
      <c r="O1376" t="s">
        <v>326</v>
      </c>
      <c r="P1376">
        <v>3.9213966749443775E-5</v>
      </c>
      <c r="Q1376" t="s">
        <v>161</v>
      </c>
    </row>
    <row r="1377" spans="9:17" x14ac:dyDescent="0.45">
      <c r="I1377" t="s">
        <v>186</v>
      </c>
      <c r="J1377" t="s">
        <v>327</v>
      </c>
      <c r="K1377">
        <v>4.6865675190568263E-5</v>
      </c>
      <c r="L1377" t="s">
        <v>161</v>
      </c>
      <c r="N1377" t="s">
        <v>209</v>
      </c>
      <c r="O1377" t="s">
        <v>327</v>
      </c>
      <c r="P1377">
        <v>4.0845334429893866E-5</v>
      </c>
      <c r="Q1377" t="s">
        <v>161</v>
      </c>
    </row>
    <row r="1378" spans="9:17" x14ac:dyDescent="0.45">
      <c r="I1378" t="s">
        <v>186</v>
      </c>
      <c r="J1378" t="s">
        <v>328</v>
      </c>
      <c r="K1378">
        <v>0</v>
      </c>
      <c r="L1378" t="s">
        <v>161</v>
      </c>
      <c r="N1378" t="s">
        <v>209</v>
      </c>
      <c r="O1378" t="s">
        <v>328</v>
      </c>
      <c r="P1378">
        <v>5.956458116770384E-5</v>
      </c>
      <c r="Q1378" t="s">
        <v>161</v>
      </c>
    </row>
    <row r="1379" spans="9:17" x14ac:dyDescent="0.45">
      <c r="I1379" t="s">
        <v>186</v>
      </c>
      <c r="J1379" t="s">
        <v>329</v>
      </c>
      <c r="K1379">
        <v>0</v>
      </c>
      <c r="L1379" t="s">
        <v>161</v>
      </c>
      <c r="N1379" t="s">
        <v>209</v>
      </c>
      <c r="O1379" t="s">
        <v>329</v>
      </c>
      <c r="P1379">
        <v>8.6379862469165904E-5</v>
      </c>
      <c r="Q1379" t="s">
        <v>161</v>
      </c>
    </row>
    <row r="1380" spans="9:17" x14ac:dyDescent="0.45">
      <c r="I1380" t="s">
        <v>186</v>
      </c>
      <c r="J1380" t="s">
        <v>330</v>
      </c>
      <c r="K1380">
        <v>0</v>
      </c>
      <c r="L1380" t="s">
        <v>161</v>
      </c>
      <c r="N1380" t="s">
        <v>209</v>
      </c>
      <c r="O1380" t="s">
        <v>330</v>
      </c>
      <c r="P1380">
        <v>9.9296882334141018E-5</v>
      </c>
      <c r="Q1380" t="s">
        <v>161</v>
      </c>
    </row>
    <row r="1381" spans="9:17" x14ac:dyDescent="0.45">
      <c r="I1381" t="s">
        <v>186</v>
      </c>
      <c r="J1381" t="s">
        <v>331</v>
      </c>
      <c r="K1381">
        <v>0</v>
      </c>
      <c r="L1381" t="s">
        <v>161</v>
      </c>
      <c r="N1381" t="s">
        <v>209</v>
      </c>
      <c r="O1381" t="s">
        <v>331</v>
      </c>
      <c r="P1381">
        <v>1.0412566076415126E-4</v>
      </c>
      <c r="Q1381" t="s">
        <v>161</v>
      </c>
    </row>
    <row r="1382" spans="9:17" x14ac:dyDescent="0.45">
      <c r="I1382" t="s">
        <v>186</v>
      </c>
      <c r="J1382" t="s">
        <v>332</v>
      </c>
      <c r="K1382">
        <v>0</v>
      </c>
      <c r="L1382" t="s">
        <v>161</v>
      </c>
      <c r="N1382" t="s">
        <v>209</v>
      </c>
      <c r="O1382" t="s">
        <v>332</v>
      </c>
      <c r="P1382">
        <v>9.9529330671218016E-5</v>
      </c>
      <c r="Q1382" t="s">
        <v>161</v>
      </c>
    </row>
    <row r="1383" spans="9:17" x14ac:dyDescent="0.45">
      <c r="I1383" t="s">
        <v>186</v>
      </c>
      <c r="J1383" t="s">
        <v>333</v>
      </c>
      <c r="K1383">
        <v>0</v>
      </c>
      <c r="L1383" t="s">
        <v>161</v>
      </c>
      <c r="N1383" t="s">
        <v>209</v>
      </c>
      <c r="O1383" t="s">
        <v>333</v>
      </c>
      <c r="P1383">
        <v>9.5017700784904893E-5</v>
      </c>
      <c r="Q1383" t="s">
        <v>161</v>
      </c>
    </row>
    <row r="1384" spans="9:17" x14ac:dyDescent="0.45">
      <c r="I1384" t="s">
        <v>186</v>
      </c>
      <c r="J1384" t="s">
        <v>334</v>
      </c>
      <c r="K1384">
        <v>0</v>
      </c>
      <c r="L1384" t="s">
        <v>161</v>
      </c>
      <c r="N1384" t="s">
        <v>209</v>
      </c>
      <c r="O1384" t="s">
        <v>334</v>
      </c>
      <c r="P1384">
        <v>9.7200084901341685E-5</v>
      </c>
      <c r="Q1384" t="s">
        <v>161</v>
      </c>
    </row>
    <row r="1385" spans="9:17" x14ac:dyDescent="0.45">
      <c r="I1385" t="s">
        <v>186</v>
      </c>
      <c r="J1385" t="s">
        <v>164</v>
      </c>
      <c r="K1385">
        <v>1.4387999090433274E-2</v>
      </c>
      <c r="L1385" t="s">
        <v>161</v>
      </c>
      <c r="N1385" t="s">
        <v>209</v>
      </c>
      <c r="O1385" t="s">
        <v>164</v>
      </c>
      <c r="P1385">
        <v>4.9043251488726493E-2</v>
      </c>
      <c r="Q1385" t="s">
        <v>161</v>
      </c>
    </row>
    <row r="1386" spans="9:17" x14ac:dyDescent="0.45">
      <c r="I1386" t="s">
        <v>186</v>
      </c>
      <c r="J1386" t="s">
        <v>165</v>
      </c>
      <c r="K1386">
        <v>1.1538025183553201E-2</v>
      </c>
      <c r="L1386" t="s">
        <v>161</v>
      </c>
      <c r="N1386" t="s">
        <v>209</v>
      </c>
      <c r="O1386" t="s">
        <v>165</v>
      </c>
      <c r="P1386">
        <v>5.7258823137340724E-3</v>
      </c>
      <c r="Q1386" t="s">
        <v>161</v>
      </c>
    </row>
    <row r="1387" spans="9:17" x14ac:dyDescent="0.45">
      <c r="I1387" t="s">
        <v>186</v>
      </c>
      <c r="J1387" t="s">
        <v>166</v>
      </c>
      <c r="K1387">
        <v>9.3655621069862277E-2</v>
      </c>
      <c r="L1387" t="s">
        <v>161</v>
      </c>
      <c r="N1387" t="s">
        <v>209</v>
      </c>
      <c r="O1387" t="s">
        <v>166</v>
      </c>
      <c r="P1387">
        <v>3.5039081379130706E-2</v>
      </c>
      <c r="Q1387" t="s">
        <v>161</v>
      </c>
    </row>
    <row r="1388" spans="9:17" x14ac:dyDescent="0.45">
      <c r="I1388" t="s">
        <v>186</v>
      </c>
      <c r="J1388" t="s">
        <v>244</v>
      </c>
      <c r="K1388">
        <v>9.1085560364549123E-3</v>
      </c>
      <c r="L1388" t="s">
        <v>161</v>
      </c>
      <c r="N1388" t="s">
        <v>209</v>
      </c>
      <c r="O1388" t="s">
        <v>244</v>
      </c>
      <c r="P1388">
        <v>5.4133743724777564E-3</v>
      </c>
      <c r="Q1388" t="s">
        <v>161</v>
      </c>
    </row>
    <row r="1389" spans="9:17" x14ac:dyDescent="0.45">
      <c r="I1389" t="s">
        <v>186</v>
      </c>
      <c r="J1389" t="s">
        <v>245</v>
      </c>
      <c r="K1389">
        <v>6.4847551722172821E-3</v>
      </c>
      <c r="L1389" t="s">
        <v>161</v>
      </c>
      <c r="N1389" t="s">
        <v>209</v>
      </c>
      <c r="O1389" t="s">
        <v>245</v>
      </c>
      <c r="P1389">
        <v>5.1840523063123025E-3</v>
      </c>
      <c r="Q1389" t="s">
        <v>161</v>
      </c>
    </row>
    <row r="1390" spans="9:17" x14ac:dyDescent="0.45">
      <c r="I1390" t="s">
        <v>186</v>
      </c>
      <c r="J1390" t="s">
        <v>267</v>
      </c>
      <c r="K1390">
        <v>3.1683826647866805E-3</v>
      </c>
      <c r="L1390" t="s">
        <v>161</v>
      </c>
      <c r="N1390" t="s">
        <v>209</v>
      </c>
      <c r="O1390" t="s">
        <v>267</v>
      </c>
      <c r="P1390">
        <v>3.4963553299997813E-2</v>
      </c>
      <c r="Q1390" t="s">
        <v>161</v>
      </c>
    </row>
    <row r="1391" spans="9:17" x14ac:dyDescent="0.45">
      <c r="I1391" t="s">
        <v>186</v>
      </c>
      <c r="J1391" t="s">
        <v>167</v>
      </c>
      <c r="K1391">
        <v>6.5472172303405865E-2</v>
      </c>
      <c r="L1391" t="s">
        <v>161</v>
      </c>
      <c r="N1391" t="s">
        <v>209</v>
      </c>
      <c r="O1391" t="s">
        <v>167</v>
      </c>
      <c r="P1391">
        <v>6.8496253032396578E-2</v>
      </c>
      <c r="Q1391" t="s">
        <v>161</v>
      </c>
    </row>
    <row r="1392" spans="9:17" x14ac:dyDescent="0.45">
      <c r="I1392" t="s">
        <v>186</v>
      </c>
      <c r="J1392" t="s">
        <v>168</v>
      </c>
      <c r="K1392">
        <v>3.3553714605410359E-2</v>
      </c>
      <c r="L1392" t="s">
        <v>161</v>
      </c>
      <c r="N1392" t="s">
        <v>209</v>
      </c>
      <c r="O1392" t="s">
        <v>168</v>
      </c>
      <c r="P1392">
        <v>7.3047042406450841E-3</v>
      </c>
      <c r="Q1392" t="s">
        <v>161</v>
      </c>
    </row>
    <row r="1393" spans="9:17" x14ac:dyDescent="0.45">
      <c r="I1393" t="s">
        <v>186</v>
      </c>
      <c r="J1393" t="s">
        <v>169</v>
      </c>
      <c r="K1393">
        <v>0.26483229254052426</v>
      </c>
      <c r="L1393" t="s">
        <v>161</v>
      </c>
      <c r="N1393" t="s">
        <v>209</v>
      </c>
      <c r="O1393" t="s">
        <v>169</v>
      </c>
      <c r="P1393">
        <v>5.1568880145741444E-2</v>
      </c>
      <c r="Q1393" t="s">
        <v>161</v>
      </c>
    </row>
    <row r="1394" spans="9:17" x14ac:dyDescent="0.45">
      <c r="I1394" t="s">
        <v>186</v>
      </c>
      <c r="J1394" t="s">
        <v>246</v>
      </c>
      <c r="K1394">
        <v>2.8809714813585668E-2</v>
      </c>
      <c r="L1394" t="s">
        <v>161</v>
      </c>
      <c r="N1394" t="s">
        <v>209</v>
      </c>
      <c r="O1394" t="s">
        <v>246</v>
      </c>
      <c r="P1394">
        <v>8.0147886860878342E-3</v>
      </c>
      <c r="Q1394" t="s">
        <v>161</v>
      </c>
    </row>
    <row r="1395" spans="9:17" x14ac:dyDescent="0.45">
      <c r="I1395" t="s">
        <v>186</v>
      </c>
      <c r="J1395" t="s">
        <v>247</v>
      </c>
      <c r="K1395">
        <v>2.3496645162880001E-2</v>
      </c>
      <c r="L1395" t="s">
        <v>161</v>
      </c>
      <c r="N1395" t="s">
        <v>209</v>
      </c>
      <c r="O1395" t="s">
        <v>247</v>
      </c>
      <c r="P1395">
        <v>7.6863939944612171E-3</v>
      </c>
      <c r="Q1395" t="s">
        <v>161</v>
      </c>
    </row>
    <row r="1396" spans="9:17" x14ac:dyDescent="0.45">
      <c r="I1396" t="s">
        <v>186</v>
      </c>
      <c r="J1396" t="s">
        <v>268</v>
      </c>
      <c r="K1396">
        <v>2.5961520332778373E-2</v>
      </c>
      <c r="L1396" t="s">
        <v>161</v>
      </c>
      <c r="N1396" t="s">
        <v>209</v>
      </c>
      <c r="O1396" t="s">
        <v>268</v>
      </c>
      <c r="P1396">
        <v>5.5246322501918112E-2</v>
      </c>
      <c r="Q1396" t="s">
        <v>161</v>
      </c>
    </row>
    <row r="1397" spans="9:17" x14ac:dyDescent="0.45">
      <c r="I1397" t="s">
        <v>186</v>
      </c>
      <c r="J1397" t="s">
        <v>170</v>
      </c>
      <c r="K1397">
        <v>2.1700182622008752E-2</v>
      </c>
      <c r="L1397" t="s">
        <v>161</v>
      </c>
      <c r="N1397" t="s">
        <v>209</v>
      </c>
      <c r="O1397" t="s">
        <v>170</v>
      </c>
      <c r="P1397">
        <v>2.8745478658494413E-2</v>
      </c>
      <c r="Q1397" t="s">
        <v>161</v>
      </c>
    </row>
    <row r="1398" spans="9:17" x14ac:dyDescent="0.45">
      <c r="I1398" t="s">
        <v>186</v>
      </c>
      <c r="J1398" t="s">
        <v>171</v>
      </c>
      <c r="K1398">
        <v>1.4422283698638761E-2</v>
      </c>
      <c r="L1398" t="s">
        <v>161</v>
      </c>
      <c r="N1398" t="s">
        <v>209</v>
      </c>
      <c r="O1398" t="s">
        <v>171</v>
      </c>
      <c r="P1398">
        <v>3.0226004143081987E-3</v>
      </c>
      <c r="Q1398" t="s">
        <v>161</v>
      </c>
    </row>
    <row r="1399" spans="9:17" x14ac:dyDescent="0.45">
      <c r="I1399" t="s">
        <v>186</v>
      </c>
      <c r="J1399" t="s">
        <v>172</v>
      </c>
      <c r="K1399">
        <v>0.11389303731107145</v>
      </c>
      <c r="L1399" t="s">
        <v>161</v>
      </c>
      <c r="N1399" t="s">
        <v>209</v>
      </c>
      <c r="O1399" t="s">
        <v>172</v>
      </c>
      <c r="P1399">
        <v>1.9675931388075621E-2</v>
      </c>
      <c r="Q1399" t="s">
        <v>161</v>
      </c>
    </row>
    <row r="1400" spans="9:17" x14ac:dyDescent="0.45">
      <c r="I1400" t="s">
        <v>186</v>
      </c>
      <c r="J1400" t="s">
        <v>248</v>
      </c>
      <c r="K1400">
        <v>1.1935005886839708E-2</v>
      </c>
      <c r="L1400" t="s">
        <v>161</v>
      </c>
      <c r="N1400" t="s">
        <v>209</v>
      </c>
      <c r="O1400" t="s">
        <v>248</v>
      </c>
      <c r="P1400">
        <v>3.0251372760802912E-3</v>
      </c>
      <c r="Q1400" t="s">
        <v>161</v>
      </c>
    </row>
    <row r="1401" spans="9:17" x14ac:dyDescent="0.45">
      <c r="I1401" t="s">
        <v>186</v>
      </c>
      <c r="J1401" t="s">
        <v>249</v>
      </c>
      <c r="K1401">
        <v>9.228266723797526E-3</v>
      </c>
      <c r="L1401" t="s">
        <v>161</v>
      </c>
      <c r="N1401" t="s">
        <v>209</v>
      </c>
      <c r="O1401" t="s">
        <v>249</v>
      </c>
      <c r="P1401">
        <v>2.6463327855174631E-3</v>
      </c>
      <c r="Q1401" t="s">
        <v>161</v>
      </c>
    </row>
    <row r="1402" spans="9:17" x14ac:dyDescent="0.45">
      <c r="I1402" t="s">
        <v>186</v>
      </c>
      <c r="J1402" t="s">
        <v>269</v>
      </c>
      <c r="K1402">
        <v>7.1627545760434346E-3</v>
      </c>
      <c r="L1402" t="s">
        <v>161</v>
      </c>
      <c r="N1402" t="s">
        <v>209</v>
      </c>
      <c r="O1402" t="s">
        <v>269</v>
      </c>
      <c r="P1402">
        <v>2.115139148867265E-2</v>
      </c>
      <c r="Q1402" t="s">
        <v>161</v>
      </c>
    </row>
    <row r="1403" spans="9:17" x14ac:dyDescent="0.45">
      <c r="I1403" t="s">
        <v>186</v>
      </c>
      <c r="J1403" t="s">
        <v>362</v>
      </c>
      <c r="K1403">
        <v>0</v>
      </c>
      <c r="L1403" t="s">
        <v>161</v>
      </c>
      <c r="N1403" t="s">
        <v>209</v>
      </c>
      <c r="O1403" t="s">
        <v>362</v>
      </c>
      <c r="P1403">
        <v>6.337703684819538E-5</v>
      </c>
      <c r="Q1403" t="s">
        <v>161</v>
      </c>
    </row>
    <row r="1404" spans="9:17" x14ac:dyDescent="0.45">
      <c r="I1404" t="s">
        <v>186</v>
      </c>
      <c r="J1404" t="s">
        <v>363</v>
      </c>
      <c r="K1404">
        <v>0</v>
      </c>
      <c r="L1404" t="s">
        <v>161</v>
      </c>
      <c r="N1404" t="s">
        <v>209</v>
      </c>
      <c r="O1404" t="s">
        <v>363</v>
      </c>
      <c r="P1404">
        <v>6.2841244412497555E-5</v>
      </c>
      <c r="Q1404" t="s">
        <v>161</v>
      </c>
    </row>
    <row r="1405" spans="9:17" x14ac:dyDescent="0.45">
      <c r="I1405" t="s">
        <v>186</v>
      </c>
      <c r="J1405" t="s">
        <v>364</v>
      </c>
      <c r="K1405">
        <v>0</v>
      </c>
      <c r="L1405" t="s">
        <v>161</v>
      </c>
      <c r="N1405" t="s">
        <v>209</v>
      </c>
      <c r="O1405" t="s">
        <v>364</v>
      </c>
      <c r="P1405">
        <v>5.5252740674781882E-5</v>
      </c>
      <c r="Q1405" t="s">
        <v>161</v>
      </c>
    </row>
    <row r="1406" spans="9:17" x14ac:dyDescent="0.45">
      <c r="I1406" t="s">
        <v>186</v>
      </c>
      <c r="J1406" t="s">
        <v>365</v>
      </c>
      <c r="K1406">
        <v>0</v>
      </c>
      <c r="L1406" t="s">
        <v>161</v>
      </c>
      <c r="N1406" t="s">
        <v>209</v>
      </c>
      <c r="O1406" t="s">
        <v>365</v>
      </c>
      <c r="P1406">
        <v>5.1893419594875053E-5</v>
      </c>
      <c r="Q1406" t="s">
        <v>161</v>
      </c>
    </row>
    <row r="1407" spans="9:17" x14ac:dyDescent="0.45">
      <c r="I1407" t="s">
        <v>186</v>
      </c>
      <c r="J1407" t="s">
        <v>366</v>
      </c>
      <c r="K1407">
        <v>0</v>
      </c>
      <c r="L1407" t="s">
        <v>161</v>
      </c>
      <c r="N1407" t="s">
        <v>209</v>
      </c>
      <c r="O1407" t="s">
        <v>366</v>
      </c>
      <c r="P1407">
        <v>4.7307585444823208E-5</v>
      </c>
      <c r="Q1407" t="s">
        <v>161</v>
      </c>
    </row>
    <row r="1408" spans="9:17" x14ac:dyDescent="0.45">
      <c r="I1408" t="s">
        <v>186</v>
      </c>
      <c r="J1408" t="s">
        <v>367</v>
      </c>
      <c r="K1408">
        <v>1.3365824180680447E-4</v>
      </c>
      <c r="L1408" t="s">
        <v>161</v>
      </c>
      <c r="N1408" t="s">
        <v>209</v>
      </c>
      <c r="O1408" t="s">
        <v>367</v>
      </c>
      <c r="P1408">
        <v>4.5586479309175473E-5</v>
      </c>
      <c r="Q1408" t="s">
        <v>161</v>
      </c>
    </row>
    <row r="1409" spans="9:17" x14ac:dyDescent="0.45">
      <c r="I1409" t="s">
        <v>186</v>
      </c>
      <c r="J1409" t="s">
        <v>368</v>
      </c>
      <c r="K1409">
        <v>2.2329720838431375E-4</v>
      </c>
      <c r="L1409" t="s">
        <v>161</v>
      </c>
      <c r="N1409" t="s">
        <v>209</v>
      </c>
      <c r="O1409" t="s">
        <v>368</v>
      </c>
      <c r="P1409">
        <v>3.9044937119604702E-5</v>
      </c>
      <c r="Q1409" t="s">
        <v>161</v>
      </c>
    </row>
    <row r="1410" spans="9:17" x14ac:dyDescent="0.45">
      <c r="I1410" t="s">
        <v>186</v>
      </c>
      <c r="J1410" t="s">
        <v>369</v>
      </c>
      <c r="K1410">
        <v>4.1930474170892215E-4</v>
      </c>
      <c r="L1410" t="s">
        <v>161</v>
      </c>
      <c r="N1410" t="s">
        <v>209</v>
      </c>
      <c r="O1410" t="s">
        <v>369</v>
      </c>
      <c r="P1410">
        <v>1.7302627356870515E-5</v>
      </c>
      <c r="Q1410" t="s">
        <v>161</v>
      </c>
    </row>
    <row r="1411" spans="9:17" x14ac:dyDescent="0.45">
      <c r="I1411" t="s">
        <v>186</v>
      </c>
      <c r="J1411" t="s">
        <v>370</v>
      </c>
      <c r="K1411">
        <v>5.0309728750553618E-4</v>
      </c>
      <c r="L1411" t="s">
        <v>161</v>
      </c>
      <c r="N1411" t="s">
        <v>209</v>
      </c>
      <c r="O1411" t="s">
        <v>370</v>
      </c>
      <c r="P1411">
        <v>1.6813163990336172E-5</v>
      </c>
      <c r="Q1411" t="s">
        <v>161</v>
      </c>
    </row>
    <row r="1412" spans="9:17" x14ac:dyDescent="0.45">
      <c r="I1412" t="s">
        <v>186</v>
      </c>
      <c r="J1412" t="s">
        <v>371</v>
      </c>
      <c r="K1412">
        <v>5.2187164264984049E-4</v>
      </c>
      <c r="L1412" t="s">
        <v>161</v>
      </c>
      <c r="N1412" t="s">
        <v>209</v>
      </c>
      <c r="O1412" t="s">
        <v>371</v>
      </c>
      <c r="P1412">
        <v>1.581406305644839E-5</v>
      </c>
      <c r="Q1412" t="s">
        <v>161</v>
      </c>
    </row>
    <row r="1413" spans="9:17" x14ac:dyDescent="0.45">
      <c r="I1413" t="s">
        <v>186</v>
      </c>
      <c r="J1413" t="s">
        <v>372</v>
      </c>
      <c r="K1413">
        <v>4.3557390190378177E-4</v>
      </c>
      <c r="L1413" t="s">
        <v>161</v>
      </c>
      <c r="N1413" t="s">
        <v>209</v>
      </c>
      <c r="O1413" t="s">
        <v>372</v>
      </c>
      <c r="P1413">
        <v>7.9317719321010759E-6</v>
      </c>
      <c r="Q1413" t="s">
        <v>161</v>
      </c>
    </row>
    <row r="1414" spans="9:17" x14ac:dyDescent="0.45">
      <c r="I1414" t="s">
        <v>186</v>
      </c>
      <c r="J1414" t="s">
        <v>373</v>
      </c>
      <c r="K1414">
        <v>3.7309165385271512E-4</v>
      </c>
      <c r="L1414" t="s">
        <v>161</v>
      </c>
      <c r="N1414" t="s">
        <v>209</v>
      </c>
      <c r="O1414" t="s">
        <v>373</v>
      </c>
      <c r="P1414">
        <v>1.0687424869325227E-5</v>
      </c>
      <c r="Q1414" t="s">
        <v>161</v>
      </c>
    </row>
    <row r="1415" spans="9:17" x14ac:dyDescent="0.45">
      <c r="I1415" t="s">
        <v>186</v>
      </c>
      <c r="J1415" t="s">
        <v>374</v>
      </c>
      <c r="K1415">
        <v>3.1301382777221937E-4</v>
      </c>
      <c r="L1415" t="s">
        <v>161</v>
      </c>
      <c r="N1415" t="s">
        <v>209</v>
      </c>
      <c r="O1415" t="s">
        <v>374</v>
      </c>
      <c r="P1415">
        <v>1.3997928986513732E-5</v>
      </c>
      <c r="Q1415" t="s">
        <v>161</v>
      </c>
    </row>
    <row r="1416" spans="9:17" x14ac:dyDescent="0.45">
      <c r="I1416" t="s">
        <v>186</v>
      </c>
      <c r="J1416" t="s">
        <v>375</v>
      </c>
      <c r="K1416">
        <v>3.2645104378068774E-4</v>
      </c>
      <c r="L1416" t="s">
        <v>161</v>
      </c>
      <c r="N1416" t="s">
        <v>209</v>
      </c>
      <c r="O1416" t="s">
        <v>375</v>
      </c>
      <c r="P1416">
        <v>1.3207244260323567E-5</v>
      </c>
      <c r="Q1416" t="s">
        <v>161</v>
      </c>
    </row>
    <row r="1417" spans="9:17" x14ac:dyDescent="0.45">
      <c r="I1417" t="s">
        <v>186</v>
      </c>
      <c r="J1417" t="s">
        <v>376</v>
      </c>
      <c r="K1417">
        <v>2.8696087389541871E-4</v>
      </c>
      <c r="L1417" t="s">
        <v>161</v>
      </c>
      <c r="N1417" t="s">
        <v>209</v>
      </c>
      <c r="O1417" t="s">
        <v>376</v>
      </c>
      <c r="P1417">
        <v>1.3056307323568256E-5</v>
      </c>
      <c r="Q1417" t="s">
        <v>161</v>
      </c>
    </row>
    <row r="1418" spans="9:17" x14ac:dyDescent="0.45">
      <c r="I1418" t="s">
        <v>186</v>
      </c>
      <c r="J1418" t="s">
        <v>377</v>
      </c>
      <c r="K1418">
        <v>2.4734159683268222E-4</v>
      </c>
      <c r="L1418" t="s">
        <v>161</v>
      </c>
      <c r="N1418" t="s">
        <v>209</v>
      </c>
      <c r="O1418" t="s">
        <v>377</v>
      </c>
      <c r="P1418">
        <v>1.455658789769723E-5</v>
      </c>
      <c r="Q1418" t="s">
        <v>161</v>
      </c>
    </row>
    <row r="1419" spans="9:17" x14ac:dyDescent="0.45">
      <c r="I1419" t="s">
        <v>186</v>
      </c>
      <c r="J1419" t="s">
        <v>378</v>
      </c>
      <c r="K1419">
        <v>1.8319271889220514E-4</v>
      </c>
      <c r="L1419" t="s">
        <v>161</v>
      </c>
      <c r="N1419" t="s">
        <v>209</v>
      </c>
      <c r="O1419" t="s">
        <v>378</v>
      </c>
      <c r="P1419">
        <v>1.7690494967945189E-5</v>
      </c>
      <c r="Q1419" t="s">
        <v>161</v>
      </c>
    </row>
    <row r="1420" spans="9:17" x14ac:dyDescent="0.45">
      <c r="I1420" t="s">
        <v>186</v>
      </c>
      <c r="J1420" t="s">
        <v>379</v>
      </c>
      <c r="K1420">
        <v>1.1993291069357977E-4</v>
      </c>
      <c r="L1420" t="s">
        <v>161</v>
      </c>
      <c r="N1420" t="s">
        <v>209</v>
      </c>
      <c r="O1420" t="s">
        <v>379</v>
      </c>
      <c r="P1420">
        <v>1.8995749279902118E-5</v>
      </c>
      <c r="Q1420" t="s">
        <v>161</v>
      </c>
    </row>
    <row r="1421" spans="9:17" x14ac:dyDescent="0.45">
      <c r="I1421" t="s">
        <v>186</v>
      </c>
      <c r="J1421" t="s">
        <v>380</v>
      </c>
      <c r="K1421">
        <v>1.0097186263892392E-4</v>
      </c>
      <c r="L1421" t="s">
        <v>161</v>
      </c>
      <c r="N1421" t="s">
        <v>209</v>
      </c>
      <c r="O1421" t="s">
        <v>380</v>
      </c>
      <c r="P1421">
        <v>2.4043778282752789E-5</v>
      </c>
      <c r="Q1421" t="s">
        <v>161</v>
      </c>
    </row>
    <row r="1422" spans="9:17" x14ac:dyDescent="0.45">
      <c r="I1422" t="s">
        <v>186</v>
      </c>
      <c r="J1422" t="s">
        <v>381</v>
      </c>
      <c r="K1422">
        <v>0</v>
      </c>
      <c r="L1422" t="s">
        <v>161</v>
      </c>
      <c r="N1422" t="s">
        <v>209</v>
      </c>
      <c r="O1422" t="s">
        <v>381</v>
      </c>
      <c r="P1422">
        <v>4.1396072264988625E-5</v>
      </c>
      <c r="Q1422" t="s">
        <v>161</v>
      </c>
    </row>
    <row r="1423" spans="9:17" x14ac:dyDescent="0.45">
      <c r="I1423" t="s">
        <v>186</v>
      </c>
      <c r="J1423" t="s">
        <v>382</v>
      </c>
      <c r="K1423">
        <v>0</v>
      </c>
      <c r="L1423" t="s">
        <v>161</v>
      </c>
      <c r="N1423" t="s">
        <v>209</v>
      </c>
      <c r="O1423" t="s">
        <v>382</v>
      </c>
      <c r="P1423">
        <v>5.4604105836542873E-5</v>
      </c>
      <c r="Q1423" t="s">
        <v>161</v>
      </c>
    </row>
    <row r="1424" spans="9:17" x14ac:dyDescent="0.45">
      <c r="I1424" t="s">
        <v>186</v>
      </c>
      <c r="J1424" t="s">
        <v>383</v>
      </c>
      <c r="K1424">
        <v>0</v>
      </c>
      <c r="L1424" t="s">
        <v>161</v>
      </c>
      <c r="N1424" t="s">
        <v>209</v>
      </c>
      <c r="O1424" t="s">
        <v>383</v>
      </c>
      <c r="P1424">
        <v>5.7255537097552495E-5</v>
      </c>
      <c r="Q1424" t="s">
        <v>161</v>
      </c>
    </row>
    <row r="1425" spans="9:17" x14ac:dyDescent="0.45">
      <c r="I1425" t="s">
        <v>186</v>
      </c>
      <c r="J1425" t="s">
        <v>384</v>
      </c>
      <c r="K1425">
        <v>0</v>
      </c>
      <c r="L1425" t="s">
        <v>161</v>
      </c>
      <c r="N1425" t="s">
        <v>209</v>
      </c>
      <c r="O1425" t="s">
        <v>384</v>
      </c>
      <c r="P1425">
        <v>4.7678180606921393E-5</v>
      </c>
      <c r="Q1425" t="s">
        <v>161</v>
      </c>
    </row>
    <row r="1426" spans="9:17" x14ac:dyDescent="0.45">
      <c r="I1426" t="s">
        <v>186</v>
      </c>
      <c r="J1426" t="s">
        <v>385</v>
      </c>
      <c r="K1426">
        <v>0</v>
      </c>
      <c r="L1426" t="s">
        <v>161</v>
      </c>
      <c r="N1426" t="s">
        <v>209</v>
      </c>
      <c r="O1426" t="s">
        <v>385</v>
      </c>
      <c r="P1426">
        <v>4.5093048818881944E-5</v>
      </c>
      <c r="Q1426" t="s">
        <v>161</v>
      </c>
    </row>
    <row r="1427" spans="9:17" x14ac:dyDescent="0.45">
      <c r="I1427" t="s">
        <v>186</v>
      </c>
      <c r="J1427" t="s">
        <v>250</v>
      </c>
      <c r="K1427">
        <v>4.65660366424354E-3</v>
      </c>
      <c r="L1427" t="s">
        <v>161</v>
      </c>
      <c r="N1427" t="s">
        <v>209</v>
      </c>
      <c r="O1427" t="s">
        <v>250</v>
      </c>
      <c r="P1427">
        <v>5.158887895847987E-2</v>
      </c>
      <c r="Q1427" t="s">
        <v>161</v>
      </c>
    </row>
    <row r="1428" spans="9:17" x14ac:dyDescent="0.45">
      <c r="I1428" t="s">
        <v>186</v>
      </c>
      <c r="J1428" t="s">
        <v>251</v>
      </c>
      <c r="K1428">
        <v>7.3309709373379434E-3</v>
      </c>
      <c r="L1428" t="s">
        <v>161</v>
      </c>
      <c r="N1428" t="s">
        <v>209</v>
      </c>
      <c r="O1428" t="s">
        <v>251</v>
      </c>
      <c r="P1428">
        <v>6.1625895330889198E-3</v>
      </c>
      <c r="Q1428" t="s">
        <v>161</v>
      </c>
    </row>
    <row r="1429" spans="9:17" x14ac:dyDescent="0.45">
      <c r="I1429" t="s">
        <v>186</v>
      </c>
      <c r="J1429" t="s">
        <v>252</v>
      </c>
      <c r="K1429">
        <v>7.0827651747053563E-2</v>
      </c>
      <c r="L1429" t="s">
        <v>161</v>
      </c>
      <c r="N1429" t="s">
        <v>209</v>
      </c>
      <c r="O1429" t="s">
        <v>252</v>
      </c>
      <c r="P1429">
        <v>3.6947952115824564E-2</v>
      </c>
      <c r="Q1429" t="s">
        <v>161</v>
      </c>
    </row>
    <row r="1430" spans="9:17" x14ac:dyDescent="0.45">
      <c r="I1430" t="s">
        <v>186</v>
      </c>
      <c r="J1430" t="s">
        <v>253</v>
      </c>
      <c r="K1430">
        <v>5.234491107209467E-3</v>
      </c>
      <c r="L1430" t="s">
        <v>161</v>
      </c>
      <c r="N1430" t="s">
        <v>209</v>
      </c>
      <c r="O1430" t="s">
        <v>253</v>
      </c>
      <c r="P1430">
        <v>5.6388912801688534E-3</v>
      </c>
      <c r="Q1430" t="s">
        <v>161</v>
      </c>
    </row>
    <row r="1431" spans="9:17" x14ac:dyDescent="0.45">
      <c r="I1431" t="s">
        <v>186</v>
      </c>
      <c r="J1431" t="s">
        <v>254</v>
      </c>
      <c r="K1431">
        <v>1.9304386862527142E-3</v>
      </c>
      <c r="L1431" t="s">
        <v>161</v>
      </c>
      <c r="N1431" t="s">
        <v>209</v>
      </c>
      <c r="O1431" t="s">
        <v>254</v>
      </c>
      <c r="P1431">
        <v>6.1328406612359901E-3</v>
      </c>
      <c r="Q1431" t="s">
        <v>161</v>
      </c>
    </row>
    <row r="1432" spans="9:17" x14ac:dyDescent="0.45">
      <c r="I1432" t="s">
        <v>186</v>
      </c>
      <c r="J1432" t="s">
        <v>270</v>
      </c>
      <c r="K1432">
        <v>0</v>
      </c>
      <c r="L1432" t="s">
        <v>161</v>
      </c>
      <c r="N1432" t="s">
        <v>209</v>
      </c>
      <c r="O1432" t="s">
        <v>270</v>
      </c>
      <c r="P1432">
        <v>3.941197384951832E-2</v>
      </c>
      <c r="Q1432" t="s">
        <v>161</v>
      </c>
    </row>
    <row r="1433" spans="9:17" x14ac:dyDescent="0.45">
      <c r="I1433" t="s">
        <v>186</v>
      </c>
      <c r="J1433" t="s">
        <v>255</v>
      </c>
      <c r="K1433">
        <v>4.3753041276753114E-9</v>
      </c>
      <c r="L1433" t="s">
        <v>161</v>
      </c>
      <c r="N1433" t="s">
        <v>209</v>
      </c>
      <c r="O1433" t="s">
        <v>255</v>
      </c>
      <c r="P1433">
        <v>5.0840148704489822E-2</v>
      </c>
      <c r="Q1433" t="s">
        <v>161</v>
      </c>
    </row>
    <row r="1434" spans="9:17" x14ac:dyDescent="0.45">
      <c r="I1434" t="s">
        <v>186</v>
      </c>
      <c r="J1434" t="s">
        <v>256</v>
      </c>
      <c r="K1434">
        <v>1.899296000337104E-3</v>
      </c>
      <c r="L1434" t="s">
        <v>161</v>
      </c>
      <c r="N1434" t="s">
        <v>209</v>
      </c>
      <c r="O1434" t="s">
        <v>256</v>
      </c>
      <c r="P1434">
        <v>5.7339373865948401E-3</v>
      </c>
      <c r="Q1434" t="s">
        <v>161</v>
      </c>
    </row>
    <row r="1435" spans="9:17" x14ac:dyDescent="0.45">
      <c r="I1435" t="s">
        <v>186</v>
      </c>
      <c r="J1435" t="s">
        <v>257</v>
      </c>
      <c r="K1435">
        <v>3.1889806854425294E-2</v>
      </c>
      <c r="L1435" t="s">
        <v>161</v>
      </c>
      <c r="N1435" t="s">
        <v>209</v>
      </c>
      <c r="O1435" t="s">
        <v>257</v>
      </c>
      <c r="P1435">
        <v>3.9501671881347677E-2</v>
      </c>
      <c r="Q1435" t="s">
        <v>161</v>
      </c>
    </row>
    <row r="1436" spans="9:17" x14ac:dyDescent="0.45">
      <c r="I1436" t="s">
        <v>186</v>
      </c>
      <c r="J1436" t="s">
        <v>258</v>
      </c>
      <c r="K1436">
        <v>3.7914751457427632E-5</v>
      </c>
      <c r="L1436" t="s">
        <v>161</v>
      </c>
      <c r="N1436" t="s">
        <v>209</v>
      </c>
      <c r="O1436" t="s">
        <v>258</v>
      </c>
      <c r="P1436">
        <v>6.7751462260856521E-3</v>
      </c>
      <c r="Q1436" t="s">
        <v>161</v>
      </c>
    </row>
    <row r="1437" spans="9:17" x14ac:dyDescent="0.45">
      <c r="I1437" t="s">
        <v>186</v>
      </c>
      <c r="J1437" t="s">
        <v>259</v>
      </c>
      <c r="K1437">
        <v>0</v>
      </c>
      <c r="L1437" t="s">
        <v>161</v>
      </c>
      <c r="N1437" t="s">
        <v>209</v>
      </c>
      <c r="O1437" t="s">
        <v>259</v>
      </c>
      <c r="P1437">
        <v>7.1932105368251471E-3</v>
      </c>
      <c r="Q1437" t="s">
        <v>161</v>
      </c>
    </row>
    <row r="1438" spans="9:17" x14ac:dyDescent="0.45">
      <c r="I1438" t="s">
        <v>186</v>
      </c>
      <c r="J1438" t="s">
        <v>271</v>
      </c>
      <c r="K1438">
        <v>0</v>
      </c>
      <c r="L1438" t="s">
        <v>161</v>
      </c>
      <c r="N1438" t="s">
        <v>209</v>
      </c>
      <c r="O1438" t="s">
        <v>271</v>
      </c>
      <c r="P1438">
        <v>4.209700085736659E-2</v>
      </c>
      <c r="Q1438" t="s">
        <v>161</v>
      </c>
    </row>
    <row r="1439" spans="9:17" x14ac:dyDescent="0.45">
      <c r="I1439" t="s">
        <v>186</v>
      </c>
      <c r="J1439" t="s">
        <v>272</v>
      </c>
      <c r="K1439">
        <v>0</v>
      </c>
      <c r="L1439" t="s">
        <v>161</v>
      </c>
      <c r="N1439" t="s">
        <v>209</v>
      </c>
      <c r="O1439" t="s">
        <v>272</v>
      </c>
      <c r="P1439">
        <v>2.1754301013350956E-2</v>
      </c>
      <c r="Q1439" t="s">
        <v>161</v>
      </c>
    </row>
    <row r="1440" spans="9:17" x14ac:dyDescent="0.45">
      <c r="I1440" t="s">
        <v>186</v>
      </c>
      <c r="J1440" t="s">
        <v>273</v>
      </c>
      <c r="K1440">
        <v>0</v>
      </c>
      <c r="L1440" t="s">
        <v>161</v>
      </c>
      <c r="N1440" t="s">
        <v>209</v>
      </c>
      <c r="O1440" t="s">
        <v>273</v>
      </c>
      <c r="P1440">
        <v>2.4977419110024071E-3</v>
      </c>
      <c r="Q1440" t="s">
        <v>161</v>
      </c>
    </row>
    <row r="1441" spans="9:17" x14ac:dyDescent="0.45">
      <c r="I1441" t="s">
        <v>186</v>
      </c>
      <c r="J1441" t="s">
        <v>274</v>
      </c>
      <c r="K1441">
        <v>3.3122334055698467E-3</v>
      </c>
      <c r="L1441" t="s">
        <v>161</v>
      </c>
      <c r="N1441" t="s">
        <v>209</v>
      </c>
      <c r="O1441" t="s">
        <v>274</v>
      </c>
      <c r="P1441">
        <v>1.4350597888679191E-2</v>
      </c>
      <c r="Q1441" t="s">
        <v>161</v>
      </c>
    </row>
    <row r="1442" spans="9:17" x14ac:dyDescent="0.45">
      <c r="I1442" t="s">
        <v>186</v>
      </c>
      <c r="J1442" t="s">
        <v>275</v>
      </c>
      <c r="K1442">
        <v>0</v>
      </c>
      <c r="L1442" t="s">
        <v>161</v>
      </c>
      <c r="N1442" t="s">
        <v>209</v>
      </c>
      <c r="O1442" t="s">
        <v>275</v>
      </c>
      <c r="P1442">
        <v>2.1671803036665098E-3</v>
      </c>
      <c r="Q1442" t="s">
        <v>161</v>
      </c>
    </row>
    <row r="1443" spans="9:17" x14ac:dyDescent="0.45">
      <c r="I1443" t="s">
        <v>186</v>
      </c>
      <c r="J1443" t="s">
        <v>276</v>
      </c>
      <c r="K1443">
        <v>0</v>
      </c>
      <c r="L1443" t="s">
        <v>161</v>
      </c>
      <c r="N1443" t="s">
        <v>209</v>
      </c>
      <c r="O1443" t="s">
        <v>276</v>
      </c>
      <c r="P1443">
        <v>2.2358784029386154E-3</v>
      </c>
      <c r="Q1443" t="s">
        <v>161</v>
      </c>
    </row>
    <row r="1444" spans="9:17" x14ac:dyDescent="0.45">
      <c r="I1444" t="s">
        <v>186</v>
      </c>
      <c r="J1444" t="s">
        <v>277</v>
      </c>
      <c r="K1444">
        <v>0</v>
      </c>
      <c r="L1444" t="s">
        <v>161</v>
      </c>
      <c r="N1444" t="s">
        <v>209</v>
      </c>
      <c r="O1444" t="s">
        <v>277</v>
      </c>
      <c r="P1444">
        <v>1.5107273847871406E-2</v>
      </c>
      <c r="Q1444" t="s">
        <v>161</v>
      </c>
    </row>
    <row r="1445" spans="9:17" x14ac:dyDescent="0.45">
      <c r="I1445" t="s">
        <v>186</v>
      </c>
      <c r="J1445" t="s">
        <v>278</v>
      </c>
      <c r="K1445">
        <v>0</v>
      </c>
      <c r="L1445" t="s">
        <v>161</v>
      </c>
      <c r="N1445" t="s">
        <v>209</v>
      </c>
      <c r="O1445" t="s">
        <v>278</v>
      </c>
      <c r="P1445">
        <v>8.8134526577344358E-3</v>
      </c>
      <c r="Q1445" t="s">
        <v>161</v>
      </c>
    </row>
    <row r="1446" spans="9:17" x14ac:dyDescent="0.45">
      <c r="I1446" t="s">
        <v>186</v>
      </c>
      <c r="J1446" t="s">
        <v>279</v>
      </c>
      <c r="K1446">
        <v>0</v>
      </c>
      <c r="L1446" t="s">
        <v>161</v>
      </c>
      <c r="N1446" t="s">
        <v>209</v>
      </c>
      <c r="O1446" t="s">
        <v>279</v>
      </c>
      <c r="P1446">
        <v>1.2054498665621592E-3</v>
      </c>
      <c r="Q1446" t="s">
        <v>161</v>
      </c>
    </row>
    <row r="1447" spans="9:17" x14ac:dyDescent="0.45">
      <c r="I1447" t="s">
        <v>186</v>
      </c>
      <c r="J1447" t="s">
        <v>280</v>
      </c>
      <c r="K1447">
        <v>3.7074090924945099E-3</v>
      </c>
      <c r="L1447" t="s">
        <v>161</v>
      </c>
      <c r="N1447" t="s">
        <v>209</v>
      </c>
      <c r="O1447" t="s">
        <v>280</v>
      </c>
      <c r="P1447">
        <v>6.7186540809573373E-3</v>
      </c>
      <c r="Q1447" t="s">
        <v>161</v>
      </c>
    </row>
    <row r="1448" spans="9:17" x14ac:dyDescent="0.45">
      <c r="I1448" t="s">
        <v>186</v>
      </c>
      <c r="J1448" t="s">
        <v>281</v>
      </c>
      <c r="K1448">
        <v>0</v>
      </c>
      <c r="L1448" t="s">
        <v>161</v>
      </c>
      <c r="N1448" t="s">
        <v>209</v>
      </c>
      <c r="O1448" t="s">
        <v>281</v>
      </c>
      <c r="P1448">
        <v>1.0102797863020855E-3</v>
      </c>
      <c r="Q1448" t="s">
        <v>161</v>
      </c>
    </row>
    <row r="1449" spans="9:17" x14ac:dyDescent="0.45">
      <c r="I1449" t="s">
        <v>186</v>
      </c>
      <c r="J1449" t="s">
        <v>282</v>
      </c>
      <c r="K1449">
        <v>0</v>
      </c>
      <c r="L1449" t="s">
        <v>161</v>
      </c>
      <c r="N1449" t="s">
        <v>209</v>
      </c>
      <c r="O1449" t="s">
        <v>282</v>
      </c>
      <c r="P1449">
        <v>1.045526962883056E-3</v>
      </c>
      <c r="Q1449" t="s">
        <v>161</v>
      </c>
    </row>
    <row r="1450" spans="9:17" x14ac:dyDescent="0.45">
      <c r="I1450" t="s">
        <v>186</v>
      </c>
      <c r="J1450" t="s">
        <v>283</v>
      </c>
      <c r="K1450">
        <v>0</v>
      </c>
      <c r="L1450" t="s">
        <v>161</v>
      </c>
      <c r="N1450" t="s">
        <v>209</v>
      </c>
      <c r="O1450" t="s">
        <v>283</v>
      </c>
      <c r="P1450">
        <v>6.7713509128643446E-3</v>
      </c>
      <c r="Q1450" t="s">
        <v>161</v>
      </c>
    </row>
    <row r="1451" spans="9:17" x14ac:dyDescent="0.45">
      <c r="I1451" t="s">
        <v>187</v>
      </c>
      <c r="J1451" t="s">
        <v>160</v>
      </c>
      <c r="K1451">
        <v>2.3918469413202765E-3</v>
      </c>
      <c r="L1451" t="s">
        <v>161</v>
      </c>
      <c r="N1451" t="s">
        <v>210</v>
      </c>
      <c r="O1451" t="s">
        <v>160</v>
      </c>
      <c r="P1451">
        <v>7.4691544642001492E-2</v>
      </c>
      <c r="Q1451" t="s">
        <v>161</v>
      </c>
    </row>
    <row r="1452" spans="9:17" x14ac:dyDescent="0.45">
      <c r="I1452" t="s">
        <v>187</v>
      </c>
      <c r="J1452" t="s">
        <v>162</v>
      </c>
      <c r="K1452">
        <v>6.2494057835208684E-3</v>
      </c>
      <c r="L1452" t="s">
        <v>161</v>
      </c>
      <c r="N1452" t="s">
        <v>210</v>
      </c>
      <c r="O1452" t="s">
        <v>162</v>
      </c>
      <c r="P1452">
        <v>9.091160550179762E-3</v>
      </c>
      <c r="Q1452" t="s">
        <v>161</v>
      </c>
    </row>
    <row r="1453" spans="9:17" x14ac:dyDescent="0.45">
      <c r="I1453" t="s">
        <v>187</v>
      </c>
      <c r="J1453" t="s">
        <v>163</v>
      </c>
      <c r="K1453">
        <v>8.7374409015887708E-2</v>
      </c>
      <c r="L1453" t="s">
        <v>161</v>
      </c>
      <c r="N1453" t="s">
        <v>210</v>
      </c>
      <c r="O1453" t="s">
        <v>163</v>
      </c>
      <c r="P1453">
        <v>5.7716937424967987E-2</v>
      </c>
      <c r="Q1453" t="s">
        <v>161</v>
      </c>
    </row>
    <row r="1454" spans="9:17" x14ac:dyDescent="0.45">
      <c r="I1454" t="s">
        <v>187</v>
      </c>
      <c r="J1454" t="s">
        <v>242</v>
      </c>
      <c r="K1454">
        <v>6.4956826100011581E-3</v>
      </c>
      <c r="L1454" t="s">
        <v>161</v>
      </c>
      <c r="N1454" t="s">
        <v>210</v>
      </c>
      <c r="O1454" t="s">
        <v>242</v>
      </c>
      <c r="P1454">
        <v>8.8105787168003737E-3</v>
      </c>
      <c r="Q1454" t="s">
        <v>161</v>
      </c>
    </row>
    <row r="1455" spans="9:17" x14ac:dyDescent="0.45">
      <c r="I1455" t="s">
        <v>187</v>
      </c>
      <c r="J1455" t="s">
        <v>243</v>
      </c>
      <c r="K1455">
        <v>2.8088855273168799E-3</v>
      </c>
      <c r="L1455" t="s">
        <v>161</v>
      </c>
      <c r="N1455" t="s">
        <v>210</v>
      </c>
      <c r="O1455" t="s">
        <v>243</v>
      </c>
      <c r="P1455">
        <v>9.4095535565112687E-3</v>
      </c>
      <c r="Q1455" t="s">
        <v>161</v>
      </c>
    </row>
    <row r="1456" spans="9:17" x14ac:dyDescent="0.45">
      <c r="I1456" t="s">
        <v>187</v>
      </c>
      <c r="J1456" t="s">
        <v>266</v>
      </c>
      <c r="K1456">
        <v>0</v>
      </c>
      <c r="L1456" t="s">
        <v>161</v>
      </c>
      <c r="N1456" t="s">
        <v>210</v>
      </c>
      <c r="O1456" t="s">
        <v>266</v>
      </c>
      <c r="P1456">
        <v>5.5732801734830938E-2</v>
      </c>
      <c r="Q1456" t="s">
        <v>161</v>
      </c>
    </row>
    <row r="1457" spans="9:17" x14ac:dyDescent="0.45">
      <c r="I1457" t="s">
        <v>187</v>
      </c>
      <c r="J1457" t="s">
        <v>311</v>
      </c>
      <c r="K1457">
        <v>0</v>
      </c>
      <c r="L1457" t="s">
        <v>161</v>
      </c>
      <c r="N1457" t="s">
        <v>210</v>
      </c>
      <c r="O1457" t="s">
        <v>311</v>
      </c>
      <c r="P1457">
        <v>4.235663829543934E-6</v>
      </c>
      <c r="Q1457" t="s">
        <v>161</v>
      </c>
    </row>
    <row r="1458" spans="9:17" x14ac:dyDescent="0.45">
      <c r="I1458" t="s">
        <v>187</v>
      </c>
      <c r="J1458" t="s">
        <v>312</v>
      </c>
      <c r="K1458">
        <v>0</v>
      </c>
      <c r="L1458" t="s">
        <v>161</v>
      </c>
      <c r="N1458" t="s">
        <v>210</v>
      </c>
      <c r="O1458" t="s">
        <v>312</v>
      </c>
      <c r="P1458">
        <v>5.2442413470298908E-6</v>
      </c>
      <c r="Q1458" t="s">
        <v>161</v>
      </c>
    </row>
    <row r="1459" spans="9:17" x14ac:dyDescent="0.45">
      <c r="I1459" t="s">
        <v>187</v>
      </c>
      <c r="J1459" t="s">
        <v>313</v>
      </c>
      <c r="K1459">
        <v>0</v>
      </c>
      <c r="L1459" t="s">
        <v>161</v>
      </c>
      <c r="N1459" t="s">
        <v>210</v>
      </c>
      <c r="O1459" t="s">
        <v>313</v>
      </c>
      <c r="P1459">
        <v>5.8735656394658092E-6</v>
      </c>
      <c r="Q1459" t="s">
        <v>161</v>
      </c>
    </row>
    <row r="1460" spans="9:17" x14ac:dyDescent="0.45">
      <c r="I1460" t="s">
        <v>187</v>
      </c>
      <c r="J1460" t="s">
        <v>314</v>
      </c>
      <c r="K1460">
        <v>0</v>
      </c>
      <c r="L1460" t="s">
        <v>161</v>
      </c>
      <c r="N1460" t="s">
        <v>210</v>
      </c>
      <c r="O1460" t="s">
        <v>314</v>
      </c>
      <c r="P1460">
        <v>4.0142304017296275E-6</v>
      </c>
      <c r="Q1460" t="s">
        <v>161</v>
      </c>
    </row>
    <row r="1461" spans="9:17" x14ac:dyDescent="0.45">
      <c r="I1461" t="s">
        <v>187</v>
      </c>
      <c r="J1461" t="s">
        <v>315</v>
      </c>
      <c r="K1461">
        <v>0</v>
      </c>
      <c r="L1461" t="s">
        <v>161</v>
      </c>
      <c r="N1461" t="s">
        <v>210</v>
      </c>
      <c r="O1461" t="s">
        <v>315</v>
      </c>
      <c r="P1461">
        <v>6.2185760862062499E-6</v>
      </c>
      <c r="Q1461" t="s">
        <v>161</v>
      </c>
    </row>
    <row r="1462" spans="9:17" x14ac:dyDescent="0.45">
      <c r="I1462" t="s">
        <v>187</v>
      </c>
      <c r="J1462" t="s">
        <v>316</v>
      </c>
      <c r="K1462">
        <v>0</v>
      </c>
      <c r="L1462" t="s">
        <v>161</v>
      </c>
      <c r="N1462" t="s">
        <v>210</v>
      </c>
      <c r="O1462" t="s">
        <v>316</v>
      </c>
      <c r="P1462">
        <v>9.1088219734012885E-6</v>
      </c>
      <c r="Q1462" t="s">
        <v>161</v>
      </c>
    </row>
    <row r="1463" spans="9:17" x14ac:dyDescent="0.45">
      <c r="I1463" t="s">
        <v>187</v>
      </c>
      <c r="J1463" t="s">
        <v>317</v>
      </c>
      <c r="K1463">
        <v>0</v>
      </c>
      <c r="L1463" t="s">
        <v>161</v>
      </c>
      <c r="N1463" t="s">
        <v>210</v>
      </c>
      <c r="O1463" t="s">
        <v>317</v>
      </c>
      <c r="P1463">
        <v>1.668017381777569E-5</v>
      </c>
      <c r="Q1463" t="s">
        <v>161</v>
      </c>
    </row>
    <row r="1464" spans="9:17" x14ac:dyDescent="0.45">
      <c r="I1464" t="s">
        <v>187</v>
      </c>
      <c r="J1464" t="s">
        <v>318</v>
      </c>
      <c r="K1464">
        <v>0</v>
      </c>
      <c r="L1464" t="s">
        <v>161</v>
      </c>
      <c r="N1464" t="s">
        <v>210</v>
      </c>
      <c r="O1464" t="s">
        <v>318</v>
      </c>
      <c r="P1464">
        <v>2.0333329802909141E-5</v>
      </c>
      <c r="Q1464" t="s">
        <v>161</v>
      </c>
    </row>
    <row r="1465" spans="9:17" x14ac:dyDescent="0.45">
      <c r="I1465" t="s">
        <v>187</v>
      </c>
      <c r="J1465" t="s">
        <v>319</v>
      </c>
      <c r="K1465">
        <v>9.2875199579440469E-6</v>
      </c>
      <c r="L1465" t="s">
        <v>161</v>
      </c>
      <c r="N1465" t="s">
        <v>210</v>
      </c>
      <c r="O1465" t="s">
        <v>319</v>
      </c>
      <c r="P1465">
        <v>1.5805210321644546E-5</v>
      </c>
      <c r="Q1465" t="s">
        <v>161</v>
      </c>
    </row>
    <row r="1466" spans="9:17" x14ac:dyDescent="0.45">
      <c r="I1466" t="s">
        <v>187</v>
      </c>
      <c r="J1466" t="s">
        <v>320</v>
      </c>
      <c r="K1466">
        <v>2.3499078880935393E-5</v>
      </c>
      <c r="L1466" t="s">
        <v>161</v>
      </c>
      <c r="N1466" t="s">
        <v>210</v>
      </c>
      <c r="O1466" t="s">
        <v>320</v>
      </c>
      <c r="P1466">
        <v>2.0861969187326086E-5</v>
      </c>
      <c r="Q1466" t="s">
        <v>161</v>
      </c>
    </row>
    <row r="1467" spans="9:17" x14ac:dyDescent="0.45">
      <c r="I1467" t="s">
        <v>187</v>
      </c>
      <c r="J1467" t="s">
        <v>321</v>
      </c>
      <c r="K1467">
        <v>4.4261714516873614E-5</v>
      </c>
      <c r="L1467" t="s">
        <v>161</v>
      </c>
      <c r="N1467" t="s">
        <v>210</v>
      </c>
      <c r="O1467" t="s">
        <v>321</v>
      </c>
      <c r="P1467">
        <v>3.0546849008174597E-5</v>
      </c>
      <c r="Q1467" t="s">
        <v>161</v>
      </c>
    </row>
    <row r="1468" spans="9:17" x14ac:dyDescent="0.45">
      <c r="I1468" t="s">
        <v>187</v>
      </c>
      <c r="J1468" t="s">
        <v>322</v>
      </c>
      <c r="K1468">
        <v>6.8093915421878396E-5</v>
      </c>
      <c r="L1468" t="s">
        <v>161</v>
      </c>
      <c r="N1468" t="s">
        <v>210</v>
      </c>
      <c r="O1468" t="s">
        <v>322</v>
      </c>
      <c r="P1468">
        <v>3.2371163377739748E-5</v>
      </c>
      <c r="Q1468" t="s">
        <v>161</v>
      </c>
    </row>
    <row r="1469" spans="9:17" x14ac:dyDescent="0.45">
      <c r="I1469" t="s">
        <v>187</v>
      </c>
      <c r="J1469" t="s">
        <v>323</v>
      </c>
      <c r="K1469">
        <v>6.1857840477259595E-5</v>
      </c>
      <c r="L1469" t="s">
        <v>161</v>
      </c>
      <c r="N1469" t="s">
        <v>210</v>
      </c>
      <c r="O1469" t="s">
        <v>323</v>
      </c>
      <c r="P1469">
        <v>2.4581263609337193E-5</v>
      </c>
      <c r="Q1469" t="s">
        <v>161</v>
      </c>
    </row>
    <row r="1470" spans="9:17" x14ac:dyDescent="0.45">
      <c r="I1470" t="s">
        <v>187</v>
      </c>
      <c r="J1470" t="s">
        <v>324</v>
      </c>
      <c r="K1470">
        <v>9.2790292746889905E-5</v>
      </c>
      <c r="L1470" t="s">
        <v>161</v>
      </c>
      <c r="N1470" t="s">
        <v>210</v>
      </c>
      <c r="O1470" t="s">
        <v>324</v>
      </c>
      <c r="P1470">
        <v>2.3160688376616456E-5</v>
      </c>
      <c r="Q1470" t="s">
        <v>161</v>
      </c>
    </row>
    <row r="1471" spans="9:17" x14ac:dyDescent="0.45">
      <c r="I1471" t="s">
        <v>187</v>
      </c>
      <c r="J1471" t="s">
        <v>325</v>
      </c>
      <c r="K1471">
        <v>7.4933990800028918E-5</v>
      </c>
      <c r="L1471" t="s">
        <v>161</v>
      </c>
      <c r="N1471" t="s">
        <v>210</v>
      </c>
      <c r="O1471" t="s">
        <v>325</v>
      </c>
      <c r="P1471">
        <v>2.7197988308350991E-5</v>
      </c>
      <c r="Q1471" t="s">
        <v>161</v>
      </c>
    </row>
    <row r="1472" spans="9:17" x14ac:dyDescent="0.45">
      <c r="I1472" t="s">
        <v>187</v>
      </c>
      <c r="J1472" t="s">
        <v>326</v>
      </c>
      <c r="K1472">
        <v>4.7932754959125456E-5</v>
      </c>
      <c r="L1472" t="s">
        <v>161</v>
      </c>
      <c r="N1472" t="s">
        <v>210</v>
      </c>
      <c r="O1472" t="s">
        <v>326</v>
      </c>
      <c r="P1472">
        <v>2.580435745111926E-5</v>
      </c>
      <c r="Q1472" t="s">
        <v>161</v>
      </c>
    </row>
    <row r="1473" spans="9:17" x14ac:dyDescent="0.45">
      <c r="I1473" t="s">
        <v>187</v>
      </c>
      <c r="J1473" t="s">
        <v>327</v>
      </c>
      <c r="K1473">
        <v>2.4463055578668301E-5</v>
      </c>
      <c r="L1473" t="s">
        <v>161</v>
      </c>
      <c r="N1473" t="s">
        <v>210</v>
      </c>
      <c r="O1473" t="s">
        <v>327</v>
      </c>
      <c r="P1473">
        <v>3.3932831252859534E-5</v>
      </c>
      <c r="Q1473" t="s">
        <v>161</v>
      </c>
    </row>
    <row r="1474" spans="9:17" x14ac:dyDescent="0.45">
      <c r="I1474" t="s">
        <v>187</v>
      </c>
      <c r="J1474" t="s">
        <v>328</v>
      </c>
      <c r="K1474">
        <v>0</v>
      </c>
      <c r="L1474" t="s">
        <v>161</v>
      </c>
      <c r="N1474" t="s">
        <v>210</v>
      </c>
      <c r="O1474" t="s">
        <v>328</v>
      </c>
      <c r="P1474">
        <v>5.4913636885850909E-5</v>
      </c>
      <c r="Q1474" t="s">
        <v>161</v>
      </c>
    </row>
    <row r="1475" spans="9:17" x14ac:dyDescent="0.45">
      <c r="I1475" t="s">
        <v>187</v>
      </c>
      <c r="J1475" t="s">
        <v>329</v>
      </c>
      <c r="K1475">
        <v>0</v>
      </c>
      <c r="L1475" t="s">
        <v>161</v>
      </c>
      <c r="N1475" t="s">
        <v>210</v>
      </c>
      <c r="O1475" t="s">
        <v>329</v>
      </c>
      <c r="P1475">
        <v>7.2090396456353257E-5</v>
      </c>
      <c r="Q1475" t="s">
        <v>161</v>
      </c>
    </row>
    <row r="1476" spans="9:17" x14ac:dyDescent="0.45">
      <c r="I1476" t="s">
        <v>187</v>
      </c>
      <c r="J1476" t="s">
        <v>330</v>
      </c>
      <c r="K1476">
        <v>0</v>
      </c>
      <c r="L1476" t="s">
        <v>161</v>
      </c>
      <c r="N1476" t="s">
        <v>210</v>
      </c>
      <c r="O1476" t="s">
        <v>330</v>
      </c>
      <c r="P1476">
        <v>7.8344000172175216E-5</v>
      </c>
      <c r="Q1476" t="s">
        <v>161</v>
      </c>
    </row>
    <row r="1477" spans="9:17" x14ac:dyDescent="0.45">
      <c r="I1477" t="s">
        <v>187</v>
      </c>
      <c r="J1477" t="s">
        <v>331</v>
      </c>
      <c r="K1477">
        <v>0</v>
      </c>
      <c r="L1477" t="s">
        <v>161</v>
      </c>
      <c r="N1477" t="s">
        <v>210</v>
      </c>
      <c r="O1477" t="s">
        <v>331</v>
      </c>
      <c r="P1477">
        <v>7.8367386617265997E-5</v>
      </c>
      <c r="Q1477" t="s">
        <v>161</v>
      </c>
    </row>
    <row r="1478" spans="9:17" x14ac:dyDescent="0.45">
      <c r="I1478" t="s">
        <v>187</v>
      </c>
      <c r="J1478" t="s">
        <v>332</v>
      </c>
      <c r="K1478">
        <v>0</v>
      </c>
      <c r="L1478" t="s">
        <v>161</v>
      </c>
      <c r="N1478" t="s">
        <v>210</v>
      </c>
      <c r="O1478" t="s">
        <v>332</v>
      </c>
      <c r="P1478">
        <v>7.2241359516147851E-5</v>
      </c>
      <c r="Q1478" t="s">
        <v>161</v>
      </c>
    </row>
    <row r="1479" spans="9:17" x14ac:dyDescent="0.45">
      <c r="I1479" t="s">
        <v>187</v>
      </c>
      <c r="J1479" t="s">
        <v>333</v>
      </c>
      <c r="K1479">
        <v>0</v>
      </c>
      <c r="L1479" t="s">
        <v>161</v>
      </c>
      <c r="N1479" t="s">
        <v>210</v>
      </c>
      <c r="O1479" t="s">
        <v>333</v>
      </c>
      <c r="P1479">
        <v>5.5526049739863605E-5</v>
      </c>
      <c r="Q1479" t="s">
        <v>161</v>
      </c>
    </row>
    <row r="1480" spans="9:17" x14ac:dyDescent="0.45">
      <c r="I1480" t="s">
        <v>187</v>
      </c>
      <c r="J1480" t="s">
        <v>334</v>
      </c>
      <c r="K1480">
        <v>0</v>
      </c>
      <c r="L1480" t="s">
        <v>161</v>
      </c>
      <c r="N1480" t="s">
        <v>210</v>
      </c>
      <c r="O1480" t="s">
        <v>334</v>
      </c>
      <c r="P1480">
        <v>5.6763604243219823E-5</v>
      </c>
      <c r="Q1480" t="s">
        <v>161</v>
      </c>
    </row>
    <row r="1481" spans="9:17" x14ac:dyDescent="0.45">
      <c r="I1481" t="s">
        <v>187</v>
      </c>
      <c r="J1481" t="s">
        <v>164</v>
      </c>
      <c r="K1481">
        <v>1.4350881201082381E-2</v>
      </c>
      <c r="L1481" t="s">
        <v>161</v>
      </c>
      <c r="N1481" t="s">
        <v>210</v>
      </c>
      <c r="O1481" t="s">
        <v>164</v>
      </c>
      <c r="P1481">
        <v>4.5310817616851677E-2</v>
      </c>
      <c r="Q1481" t="s">
        <v>161</v>
      </c>
    </row>
    <row r="1482" spans="9:17" x14ac:dyDescent="0.45">
      <c r="I1482" t="s">
        <v>187</v>
      </c>
      <c r="J1482" t="s">
        <v>165</v>
      </c>
      <c r="K1482">
        <v>1.1307202956685998E-2</v>
      </c>
      <c r="L1482" t="s">
        <v>161</v>
      </c>
      <c r="N1482" t="s">
        <v>210</v>
      </c>
      <c r="O1482" t="s">
        <v>165</v>
      </c>
      <c r="P1482">
        <v>5.5978243312251588E-3</v>
      </c>
      <c r="Q1482" t="s">
        <v>161</v>
      </c>
    </row>
    <row r="1483" spans="9:17" x14ac:dyDescent="0.45">
      <c r="I1483" t="s">
        <v>187</v>
      </c>
      <c r="J1483" t="s">
        <v>166</v>
      </c>
      <c r="K1483">
        <v>9.1447768686020683E-2</v>
      </c>
      <c r="L1483" t="s">
        <v>161</v>
      </c>
      <c r="N1483" t="s">
        <v>210</v>
      </c>
      <c r="O1483" t="s">
        <v>166</v>
      </c>
      <c r="P1483">
        <v>3.2551875459949448E-2</v>
      </c>
      <c r="Q1483" t="s">
        <v>161</v>
      </c>
    </row>
    <row r="1484" spans="9:17" x14ac:dyDescent="0.45">
      <c r="I1484" t="s">
        <v>187</v>
      </c>
      <c r="J1484" t="s">
        <v>244</v>
      </c>
      <c r="K1484">
        <v>9.7424017036342198E-3</v>
      </c>
      <c r="L1484" t="s">
        <v>161</v>
      </c>
      <c r="N1484" t="s">
        <v>210</v>
      </c>
      <c r="O1484" t="s">
        <v>244</v>
      </c>
      <c r="P1484">
        <v>5.1814167799940185E-3</v>
      </c>
      <c r="Q1484" t="s">
        <v>161</v>
      </c>
    </row>
    <row r="1485" spans="9:17" x14ac:dyDescent="0.45">
      <c r="I1485" t="s">
        <v>187</v>
      </c>
      <c r="J1485" t="s">
        <v>245</v>
      </c>
      <c r="K1485">
        <v>7.311572370103595E-3</v>
      </c>
      <c r="L1485" t="s">
        <v>161</v>
      </c>
      <c r="N1485" t="s">
        <v>210</v>
      </c>
      <c r="O1485" t="s">
        <v>245</v>
      </c>
      <c r="P1485">
        <v>5.3545630823579457E-3</v>
      </c>
      <c r="Q1485" t="s">
        <v>161</v>
      </c>
    </row>
    <row r="1486" spans="9:17" x14ac:dyDescent="0.45">
      <c r="I1486" t="s">
        <v>187</v>
      </c>
      <c r="J1486" t="s">
        <v>267</v>
      </c>
      <c r="K1486">
        <v>3.7299349457301984E-3</v>
      </c>
      <c r="L1486" t="s">
        <v>161</v>
      </c>
      <c r="N1486" t="s">
        <v>210</v>
      </c>
      <c r="O1486" t="s">
        <v>267</v>
      </c>
      <c r="P1486">
        <v>3.4763975445292535E-2</v>
      </c>
      <c r="Q1486" t="s">
        <v>161</v>
      </c>
    </row>
    <row r="1487" spans="9:17" x14ac:dyDescent="0.45">
      <c r="I1487" t="s">
        <v>187</v>
      </c>
      <c r="J1487" t="s">
        <v>167</v>
      </c>
      <c r="K1487">
        <v>6.2346161747632321E-2</v>
      </c>
      <c r="L1487" t="s">
        <v>161</v>
      </c>
      <c r="N1487" t="s">
        <v>210</v>
      </c>
      <c r="O1487" t="s">
        <v>167</v>
      </c>
      <c r="P1487">
        <v>6.2564322309708528E-2</v>
      </c>
      <c r="Q1487" t="s">
        <v>161</v>
      </c>
    </row>
    <row r="1488" spans="9:17" x14ac:dyDescent="0.45">
      <c r="I1488" t="s">
        <v>187</v>
      </c>
      <c r="J1488" t="s">
        <v>168</v>
      </c>
      <c r="K1488">
        <v>3.1283734436433938E-2</v>
      </c>
      <c r="L1488" t="s">
        <v>161</v>
      </c>
      <c r="N1488" t="s">
        <v>210</v>
      </c>
      <c r="O1488" t="s">
        <v>168</v>
      </c>
      <c r="P1488">
        <v>6.7351330634240055E-3</v>
      </c>
      <c r="Q1488" t="s">
        <v>161</v>
      </c>
    </row>
    <row r="1489" spans="9:17" x14ac:dyDescent="0.45">
      <c r="I1489" t="s">
        <v>187</v>
      </c>
      <c r="J1489" t="s">
        <v>169</v>
      </c>
      <c r="K1489">
        <v>0.26581696891320633</v>
      </c>
      <c r="L1489" t="s">
        <v>161</v>
      </c>
      <c r="N1489" t="s">
        <v>210</v>
      </c>
      <c r="O1489" t="s">
        <v>169</v>
      </c>
      <c r="P1489">
        <v>4.8272149484774429E-2</v>
      </c>
      <c r="Q1489" t="s">
        <v>161</v>
      </c>
    </row>
    <row r="1490" spans="9:17" x14ac:dyDescent="0.45">
      <c r="I1490" t="s">
        <v>187</v>
      </c>
      <c r="J1490" t="s">
        <v>246</v>
      </c>
      <c r="K1490">
        <v>3.2009789572713047E-2</v>
      </c>
      <c r="L1490" t="s">
        <v>161</v>
      </c>
      <c r="N1490" t="s">
        <v>210</v>
      </c>
      <c r="O1490" t="s">
        <v>246</v>
      </c>
      <c r="P1490">
        <v>7.8833024324472725E-3</v>
      </c>
      <c r="Q1490" t="s">
        <v>161</v>
      </c>
    </row>
    <row r="1491" spans="9:17" x14ac:dyDescent="0.45">
      <c r="I1491" t="s">
        <v>187</v>
      </c>
      <c r="J1491" t="s">
        <v>247</v>
      </c>
      <c r="K1491">
        <v>2.6587010906893839E-2</v>
      </c>
      <c r="L1491" t="s">
        <v>161</v>
      </c>
      <c r="N1491" t="s">
        <v>210</v>
      </c>
      <c r="O1491" t="s">
        <v>247</v>
      </c>
      <c r="P1491">
        <v>7.7479512221427438E-3</v>
      </c>
      <c r="Q1491" t="s">
        <v>161</v>
      </c>
    </row>
    <row r="1492" spans="9:17" x14ac:dyDescent="0.45">
      <c r="I1492" t="s">
        <v>187</v>
      </c>
      <c r="J1492" t="s">
        <v>268</v>
      </c>
      <c r="K1492">
        <v>3.0979456950216616E-2</v>
      </c>
      <c r="L1492" t="s">
        <v>161</v>
      </c>
      <c r="N1492" t="s">
        <v>210</v>
      </c>
      <c r="O1492" t="s">
        <v>268</v>
      </c>
      <c r="P1492">
        <v>5.573884974644689E-2</v>
      </c>
      <c r="Q1492" t="s">
        <v>161</v>
      </c>
    </row>
    <row r="1493" spans="9:17" x14ac:dyDescent="0.45">
      <c r="I1493" t="s">
        <v>187</v>
      </c>
      <c r="J1493" t="s">
        <v>170</v>
      </c>
      <c r="K1493">
        <v>2.0089297768727043E-2</v>
      </c>
      <c r="L1493" t="s">
        <v>161</v>
      </c>
      <c r="N1493" t="s">
        <v>210</v>
      </c>
      <c r="O1493" t="s">
        <v>170</v>
      </c>
      <c r="P1493">
        <v>2.9923332562780149E-2</v>
      </c>
      <c r="Q1493" t="s">
        <v>161</v>
      </c>
    </row>
    <row r="1494" spans="9:17" x14ac:dyDescent="0.45">
      <c r="I1494" t="s">
        <v>187</v>
      </c>
      <c r="J1494" t="s">
        <v>171</v>
      </c>
      <c r="K1494">
        <v>1.359407832271085E-2</v>
      </c>
      <c r="L1494" t="s">
        <v>161</v>
      </c>
      <c r="N1494" t="s">
        <v>210</v>
      </c>
      <c r="O1494" t="s">
        <v>171</v>
      </c>
      <c r="P1494">
        <v>3.1359091923731409E-3</v>
      </c>
      <c r="Q1494" t="s">
        <v>161</v>
      </c>
    </row>
    <row r="1495" spans="9:17" x14ac:dyDescent="0.45">
      <c r="I1495" t="s">
        <v>187</v>
      </c>
      <c r="J1495" t="s">
        <v>172</v>
      </c>
      <c r="K1495">
        <v>0.11067593138997103</v>
      </c>
      <c r="L1495" t="s">
        <v>161</v>
      </c>
      <c r="N1495" t="s">
        <v>210</v>
      </c>
      <c r="O1495" t="s">
        <v>172</v>
      </c>
      <c r="P1495">
        <v>1.9156646928647682E-2</v>
      </c>
      <c r="Q1495" t="s">
        <v>161</v>
      </c>
    </row>
    <row r="1496" spans="9:17" x14ac:dyDescent="0.45">
      <c r="I1496" t="s">
        <v>187</v>
      </c>
      <c r="J1496" t="s">
        <v>248</v>
      </c>
      <c r="K1496">
        <v>1.3539198543341459E-2</v>
      </c>
      <c r="L1496" t="s">
        <v>161</v>
      </c>
      <c r="N1496" t="s">
        <v>210</v>
      </c>
      <c r="O1496" t="s">
        <v>248</v>
      </c>
      <c r="P1496">
        <v>2.9878476940706331E-3</v>
      </c>
      <c r="Q1496" t="s">
        <v>161</v>
      </c>
    </row>
    <row r="1497" spans="9:17" x14ac:dyDescent="0.45">
      <c r="I1497" t="s">
        <v>187</v>
      </c>
      <c r="J1497" t="s">
        <v>249</v>
      </c>
      <c r="K1497">
        <v>1.0452245756897013E-2</v>
      </c>
      <c r="L1497" t="s">
        <v>161</v>
      </c>
      <c r="N1497" t="s">
        <v>210</v>
      </c>
      <c r="O1497" t="s">
        <v>249</v>
      </c>
      <c r="P1497">
        <v>2.8439427856654645E-3</v>
      </c>
      <c r="Q1497" t="s">
        <v>161</v>
      </c>
    </row>
    <row r="1498" spans="9:17" x14ac:dyDescent="0.45">
      <c r="I1498" t="s">
        <v>187</v>
      </c>
      <c r="J1498" t="s">
        <v>269</v>
      </c>
      <c r="K1498">
        <v>8.2230007869076131E-3</v>
      </c>
      <c r="L1498" t="s">
        <v>161</v>
      </c>
      <c r="N1498" t="s">
        <v>210</v>
      </c>
      <c r="O1498" t="s">
        <v>269</v>
      </c>
      <c r="P1498">
        <v>2.0925972674325364E-2</v>
      </c>
      <c r="Q1498" t="s">
        <v>161</v>
      </c>
    </row>
    <row r="1499" spans="9:17" x14ac:dyDescent="0.45">
      <c r="I1499" t="s">
        <v>187</v>
      </c>
      <c r="J1499" t="s">
        <v>362</v>
      </c>
      <c r="K1499">
        <v>0</v>
      </c>
      <c r="L1499" t="s">
        <v>161</v>
      </c>
      <c r="N1499" t="s">
        <v>210</v>
      </c>
      <c r="O1499" t="s">
        <v>362</v>
      </c>
      <c r="P1499">
        <v>2.7132384577249134E-6</v>
      </c>
      <c r="Q1499" t="s">
        <v>161</v>
      </c>
    </row>
    <row r="1500" spans="9:17" x14ac:dyDescent="0.45">
      <c r="I1500" t="s">
        <v>187</v>
      </c>
      <c r="J1500" t="s">
        <v>363</v>
      </c>
      <c r="K1500">
        <v>0</v>
      </c>
      <c r="L1500" t="s">
        <v>161</v>
      </c>
      <c r="N1500" t="s">
        <v>210</v>
      </c>
      <c r="O1500" t="s">
        <v>363</v>
      </c>
      <c r="P1500">
        <v>1.0712731664405163E-5</v>
      </c>
      <c r="Q1500" t="s">
        <v>161</v>
      </c>
    </row>
    <row r="1501" spans="9:17" x14ac:dyDescent="0.45">
      <c r="I1501" t="s">
        <v>187</v>
      </c>
      <c r="J1501" t="s">
        <v>364</v>
      </c>
      <c r="K1501">
        <v>0</v>
      </c>
      <c r="L1501" t="s">
        <v>161</v>
      </c>
      <c r="N1501" t="s">
        <v>210</v>
      </c>
      <c r="O1501" t="s">
        <v>364</v>
      </c>
      <c r="P1501">
        <v>1.9362645114446589E-5</v>
      </c>
      <c r="Q1501" t="s">
        <v>161</v>
      </c>
    </row>
    <row r="1502" spans="9:17" x14ac:dyDescent="0.45">
      <c r="I1502" t="s">
        <v>187</v>
      </c>
      <c r="J1502" t="s">
        <v>365</v>
      </c>
      <c r="K1502">
        <v>0</v>
      </c>
      <c r="L1502" t="s">
        <v>161</v>
      </c>
      <c r="N1502" t="s">
        <v>210</v>
      </c>
      <c r="O1502" t="s">
        <v>365</v>
      </c>
      <c r="P1502">
        <v>2.0860019846200062E-5</v>
      </c>
      <c r="Q1502" t="s">
        <v>161</v>
      </c>
    </row>
    <row r="1503" spans="9:17" x14ac:dyDescent="0.45">
      <c r="I1503" t="s">
        <v>187</v>
      </c>
      <c r="J1503" t="s">
        <v>366</v>
      </c>
      <c r="K1503">
        <v>0</v>
      </c>
      <c r="L1503" t="s">
        <v>161</v>
      </c>
      <c r="N1503" t="s">
        <v>210</v>
      </c>
      <c r="O1503" t="s">
        <v>366</v>
      </c>
      <c r="P1503">
        <v>2.1828439907232049E-5</v>
      </c>
      <c r="Q1503" t="s">
        <v>161</v>
      </c>
    </row>
    <row r="1504" spans="9:17" x14ac:dyDescent="0.45">
      <c r="I1504" t="s">
        <v>187</v>
      </c>
      <c r="J1504" t="s">
        <v>367</v>
      </c>
      <c r="K1504">
        <v>1.2396689700918092E-4</v>
      </c>
      <c r="L1504" t="s">
        <v>161</v>
      </c>
      <c r="N1504" t="s">
        <v>210</v>
      </c>
      <c r="O1504" t="s">
        <v>367</v>
      </c>
      <c r="P1504">
        <v>2.5026642894030645E-5</v>
      </c>
      <c r="Q1504" t="s">
        <v>161</v>
      </c>
    </row>
    <row r="1505" spans="9:17" x14ac:dyDescent="0.45">
      <c r="I1505" t="s">
        <v>187</v>
      </c>
      <c r="J1505" t="s">
        <v>368</v>
      </c>
      <c r="K1505">
        <v>2.1600235961411905E-4</v>
      </c>
      <c r="L1505" t="s">
        <v>161</v>
      </c>
      <c r="N1505" t="s">
        <v>210</v>
      </c>
      <c r="O1505" t="s">
        <v>368</v>
      </c>
      <c r="P1505">
        <v>1.5116161850072224E-5</v>
      </c>
      <c r="Q1505" t="s">
        <v>161</v>
      </c>
    </row>
    <row r="1506" spans="9:17" x14ac:dyDescent="0.45">
      <c r="I1506" t="s">
        <v>187</v>
      </c>
      <c r="J1506" t="s">
        <v>369</v>
      </c>
      <c r="K1506">
        <v>3.2047004607736355E-4</v>
      </c>
      <c r="L1506" t="s">
        <v>161</v>
      </c>
      <c r="N1506" t="s">
        <v>210</v>
      </c>
      <c r="O1506" t="s">
        <v>369</v>
      </c>
      <c r="P1506">
        <v>1.0871784823270672E-6</v>
      </c>
      <c r="Q1506" t="s">
        <v>161</v>
      </c>
    </row>
    <row r="1507" spans="9:17" x14ac:dyDescent="0.45">
      <c r="I1507" t="s">
        <v>187</v>
      </c>
      <c r="J1507" t="s">
        <v>370</v>
      </c>
      <c r="K1507">
        <v>3.7038418631920521E-4</v>
      </c>
      <c r="L1507" t="s">
        <v>161</v>
      </c>
      <c r="N1507" t="s">
        <v>210</v>
      </c>
      <c r="O1507" t="s">
        <v>370</v>
      </c>
      <c r="P1507">
        <v>1.4886107198858991E-6</v>
      </c>
      <c r="Q1507" t="s">
        <v>161</v>
      </c>
    </row>
    <row r="1508" spans="9:17" x14ac:dyDescent="0.45">
      <c r="I1508" t="s">
        <v>187</v>
      </c>
      <c r="J1508" t="s">
        <v>371</v>
      </c>
      <c r="K1508">
        <v>3.840291865148914E-4</v>
      </c>
      <c r="L1508" t="s">
        <v>161</v>
      </c>
      <c r="N1508" t="s">
        <v>210</v>
      </c>
      <c r="O1508" t="s">
        <v>371</v>
      </c>
      <c r="P1508">
        <v>3.8966611270974075E-6</v>
      </c>
      <c r="Q1508" t="s">
        <v>161</v>
      </c>
    </row>
    <row r="1509" spans="9:17" x14ac:dyDescent="0.45">
      <c r="I1509" t="s">
        <v>187</v>
      </c>
      <c r="J1509" t="s">
        <v>372</v>
      </c>
      <c r="K1509">
        <v>3.7890850097546485E-4</v>
      </c>
      <c r="L1509" t="s">
        <v>161</v>
      </c>
      <c r="N1509" t="s">
        <v>210</v>
      </c>
      <c r="O1509" t="s">
        <v>372</v>
      </c>
      <c r="P1509">
        <v>1.2329741367921051E-5</v>
      </c>
      <c r="Q1509" t="s">
        <v>161</v>
      </c>
    </row>
    <row r="1510" spans="9:17" x14ac:dyDescent="0.45">
      <c r="I1510" t="s">
        <v>187</v>
      </c>
      <c r="J1510" t="s">
        <v>373</v>
      </c>
      <c r="K1510">
        <v>3.954384587639484E-4</v>
      </c>
      <c r="L1510" t="s">
        <v>161</v>
      </c>
      <c r="N1510" t="s">
        <v>210</v>
      </c>
      <c r="O1510" t="s">
        <v>373</v>
      </c>
      <c r="P1510">
        <v>9.5583356283976215E-6</v>
      </c>
      <c r="Q1510" t="s">
        <v>161</v>
      </c>
    </row>
    <row r="1511" spans="9:17" x14ac:dyDescent="0.45">
      <c r="I1511" t="s">
        <v>187</v>
      </c>
      <c r="J1511" t="s">
        <v>374</v>
      </c>
      <c r="K1511">
        <v>3.645342037511278E-4</v>
      </c>
      <c r="L1511" t="s">
        <v>161</v>
      </c>
      <c r="N1511" t="s">
        <v>210</v>
      </c>
      <c r="O1511" t="s">
        <v>374</v>
      </c>
      <c r="P1511">
        <v>3.5521274613568734E-6</v>
      </c>
      <c r="Q1511" t="s">
        <v>161</v>
      </c>
    </row>
    <row r="1512" spans="9:17" x14ac:dyDescent="0.45">
      <c r="I1512" t="s">
        <v>187</v>
      </c>
      <c r="J1512" t="s">
        <v>375</v>
      </c>
      <c r="K1512">
        <v>4.0338311752556805E-4</v>
      </c>
      <c r="L1512" t="s">
        <v>161</v>
      </c>
      <c r="N1512" t="s">
        <v>210</v>
      </c>
      <c r="O1512" t="s">
        <v>375</v>
      </c>
      <c r="P1512">
        <v>2.6635426400977468E-6</v>
      </c>
      <c r="Q1512" t="s">
        <v>161</v>
      </c>
    </row>
    <row r="1513" spans="9:17" x14ac:dyDescent="0.45">
      <c r="I1513" t="s">
        <v>187</v>
      </c>
      <c r="J1513" t="s">
        <v>376</v>
      </c>
      <c r="K1513">
        <v>3.9829939232582175E-4</v>
      </c>
      <c r="L1513" t="s">
        <v>161</v>
      </c>
      <c r="N1513" t="s">
        <v>210</v>
      </c>
      <c r="O1513" t="s">
        <v>376</v>
      </c>
      <c r="P1513">
        <v>3.3547620886826249E-6</v>
      </c>
      <c r="Q1513" t="s">
        <v>161</v>
      </c>
    </row>
    <row r="1514" spans="9:17" x14ac:dyDescent="0.45">
      <c r="I1514" t="s">
        <v>187</v>
      </c>
      <c r="J1514" t="s">
        <v>377</v>
      </c>
      <c r="K1514">
        <v>4.0447536464750355E-4</v>
      </c>
      <c r="L1514" t="s">
        <v>161</v>
      </c>
      <c r="N1514" t="s">
        <v>210</v>
      </c>
      <c r="O1514" t="s">
        <v>377</v>
      </c>
      <c r="P1514">
        <v>3.1978143421976063E-6</v>
      </c>
      <c r="Q1514" t="s">
        <v>161</v>
      </c>
    </row>
    <row r="1515" spans="9:17" x14ac:dyDescent="0.45">
      <c r="I1515" t="s">
        <v>187</v>
      </c>
      <c r="J1515" t="s">
        <v>378</v>
      </c>
      <c r="K1515">
        <v>3.1952635107954309E-4</v>
      </c>
      <c r="L1515" t="s">
        <v>161</v>
      </c>
      <c r="N1515" t="s">
        <v>210</v>
      </c>
      <c r="O1515" t="s">
        <v>378</v>
      </c>
      <c r="P1515">
        <v>4.3901020349893634E-6</v>
      </c>
      <c r="Q1515" t="s">
        <v>161</v>
      </c>
    </row>
    <row r="1516" spans="9:17" x14ac:dyDescent="0.45">
      <c r="I1516" t="s">
        <v>187</v>
      </c>
      <c r="J1516" t="s">
        <v>379</v>
      </c>
      <c r="K1516">
        <v>1.780059550555054E-4</v>
      </c>
      <c r="L1516" t="s">
        <v>161</v>
      </c>
      <c r="N1516" t="s">
        <v>210</v>
      </c>
      <c r="O1516" t="s">
        <v>379</v>
      </c>
      <c r="P1516">
        <v>7.2648001257337768E-6</v>
      </c>
      <c r="Q1516" t="s">
        <v>161</v>
      </c>
    </row>
    <row r="1517" spans="9:17" x14ac:dyDescent="0.45">
      <c r="I1517" t="s">
        <v>187</v>
      </c>
      <c r="J1517" t="s">
        <v>380</v>
      </c>
      <c r="K1517">
        <v>7.9970515808572404E-5</v>
      </c>
      <c r="L1517" t="s">
        <v>161</v>
      </c>
      <c r="N1517" t="s">
        <v>210</v>
      </c>
      <c r="O1517" t="s">
        <v>380</v>
      </c>
      <c r="P1517">
        <v>1.5998213204587646E-5</v>
      </c>
      <c r="Q1517" t="s">
        <v>161</v>
      </c>
    </row>
    <row r="1518" spans="9:17" x14ac:dyDescent="0.45">
      <c r="I1518" t="s">
        <v>187</v>
      </c>
      <c r="J1518" t="s">
        <v>381</v>
      </c>
      <c r="K1518">
        <v>1.2534324373081099E-6</v>
      </c>
      <c r="L1518" t="s">
        <v>161</v>
      </c>
      <c r="N1518" t="s">
        <v>210</v>
      </c>
      <c r="O1518" t="s">
        <v>381</v>
      </c>
      <c r="P1518">
        <v>3.0421992522028119E-5</v>
      </c>
      <c r="Q1518" t="s">
        <v>161</v>
      </c>
    </row>
    <row r="1519" spans="9:17" x14ac:dyDescent="0.45">
      <c r="I1519" t="s">
        <v>187</v>
      </c>
      <c r="J1519" t="s">
        <v>382</v>
      </c>
      <c r="K1519">
        <v>0</v>
      </c>
      <c r="L1519" t="s">
        <v>161</v>
      </c>
      <c r="N1519" t="s">
        <v>210</v>
      </c>
      <c r="O1519" t="s">
        <v>382</v>
      </c>
      <c r="P1519">
        <v>3.9593767335721133E-5</v>
      </c>
      <c r="Q1519" t="s">
        <v>161</v>
      </c>
    </row>
    <row r="1520" spans="9:17" x14ac:dyDescent="0.45">
      <c r="I1520" t="s">
        <v>187</v>
      </c>
      <c r="J1520" t="s">
        <v>383</v>
      </c>
      <c r="K1520">
        <v>0</v>
      </c>
      <c r="L1520" t="s">
        <v>161</v>
      </c>
      <c r="N1520" t="s">
        <v>210</v>
      </c>
      <c r="O1520" t="s">
        <v>383</v>
      </c>
      <c r="P1520">
        <v>4.1969605661630533E-5</v>
      </c>
      <c r="Q1520" t="s">
        <v>161</v>
      </c>
    </row>
    <row r="1521" spans="9:17" x14ac:dyDescent="0.45">
      <c r="I1521" t="s">
        <v>187</v>
      </c>
      <c r="J1521" t="s">
        <v>384</v>
      </c>
      <c r="K1521">
        <v>0</v>
      </c>
      <c r="L1521" t="s">
        <v>161</v>
      </c>
      <c r="N1521" t="s">
        <v>210</v>
      </c>
      <c r="O1521" t="s">
        <v>384</v>
      </c>
      <c r="P1521">
        <v>2.8869648326608827E-5</v>
      </c>
      <c r="Q1521" t="s">
        <v>161</v>
      </c>
    </row>
    <row r="1522" spans="9:17" x14ac:dyDescent="0.45">
      <c r="I1522" t="s">
        <v>187</v>
      </c>
      <c r="J1522" t="s">
        <v>385</v>
      </c>
      <c r="K1522">
        <v>0</v>
      </c>
      <c r="L1522" t="s">
        <v>161</v>
      </c>
      <c r="N1522" t="s">
        <v>210</v>
      </c>
      <c r="O1522" t="s">
        <v>385</v>
      </c>
      <c r="P1522">
        <v>2.2550260587981331E-5</v>
      </c>
      <c r="Q1522" t="s">
        <v>161</v>
      </c>
    </row>
    <row r="1523" spans="9:17" x14ac:dyDescent="0.45">
      <c r="I1523" t="s">
        <v>187</v>
      </c>
      <c r="J1523" t="s">
        <v>250</v>
      </c>
      <c r="K1523">
        <v>4.7983696945753281E-3</v>
      </c>
      <c r="L1523" t="s">
        <v>161</v>
      </c>
      <c r="N1523" t="s">
        <v>210</v>
      </c>
      <c r="O1523" t="s">
        <v>250</v>
      </c>
      <c r="P1523">
        <v>5.4086404282382594E-2</v>
      </c>
      <c r="Q1523" t="s">
        <v>161</v>
      </c>
    </row>
    <row r="1524" spans="9:17" x14ac:dyDescent="0.45">
      <c r="I1524" t="s">
        <v>187</v>
      </c>
      <c r="J1524" t="s">
        <v>251</v>
      </c>
      <c r="K1524">
        <v>7.4160780372115615E-3</v>
      </c>
      <c r="L1524" t="s">
        <v>161</v>
      </c>
      <c r="N1524" t="s">
        <v>210</v>
      </c>
      <c r="O1524" t="s">
        <v>251</v>
      </c>
      <c r="P1524">
        <v>6.5724704172395948E-3</v>
      </c>
      <c r="Q1524" t="s">
        <v>161</v>
      </c>
    </row>
    <row r="1525" spans="9:17" x14ac:dyDescent="0.45">
      <c r="I1525" t="s">
        <v>187</v>
      </c>
      <c r="J1525" t="s">
        <v>252</v>
      </c>
      <c r="K1525">
        <v>6.7616440628127203E-2</v>
      </c>
      <c r="L1525" t="s">
        <v>161</v>
      </c>
      <c r="N1525" t="s">
        <v>210</v>
      </c>
      <c r="O1525" t="s">
        <v>252</v>
      </c>
      <c r="P1525">
        <v>3.6676443883287377E-2</v>
      </c>
      <c r="Q1525" t="s">
        <v>161</v>
      </c>
    </row>
    <row r="1526" spans="9:17" x14ac:dyDescent="0.45">
      <c r="I1526" t="s">
        <v>187</v>
      </c>
      <c r="J1526" t="s">
        <v>253</v>
      </c>
      <c r="K1526">
        <v>5.1209502982553301E-3</v>
      </c>
      <c r="L1526" t="s">
        <v>161</v>
      </c>
      <c r="N1526" t="s">
        <v>210</v>
      </c>
      <c r="O1526" t="s">
        <v>253</v>
      </c>
      <c r="P1526">
        <v>5.4360365777397371E-3</v>
      </c>
      <c r="Q1526" t="s">
        <v>161</v>
      </c>
    </row>
    <row r="1527" spans="9:17" x14ac:dyDescent="0.45">
      <c r="I1527" t="s">
        <v>187</v>
      </c>
      <c r="J1527" t="s">
        <v>254</v>
      </c>
      <c r="K1527">
        <v>1.9844561798111394E-3</v>
      </c>
      <c r="L1527" t="s">
        <v>161</v>
      </c>
      <c r="N1527" t="s">
        <v>210</v>
      </c>
      <c r="O1527" t="s">
        <v>254</v>
      </c>
      <c r="P1527">
        <v>6.1023696128256963E-3</v>
      </c>
      <c r="Q1527" t="s">
        <v>161</v>
      </c>
    </row>
    <row r="1528" spans="9:17" x14ac:dyDescent="0.45">
      <c r="I1528" t="s">
        <v>187</v>
      </c>
      <c r="J1528" t="s">
        <v>270</v>
      </c>
      <c r="K1528">
        <v>0</v>
      </c>
      <c r="L1528" t="s">
        <v>161</v>
      </c>
      <c r="N1528" t="s">
        <v>210</v>
      </c>
      <c r="O1528" t="s">
        <v>270</v>
      </c>
      <c r="P1528">
        <v>4.2348235148936215E-2</v>
      </c>
      <c r="Q1528" t="s">
        <v>161</v>
      </c>
    </row>
    <row r="1529" spans="9:17" x14ac:dyDescent="0.45">
      <c r="I1529" t="s">
        <v>187</v>
      </c>
      <c r="J1529" t="s">
        <v>255</v>
      </c>
      <c r="K1529">
        <v>0</v>
      </c>
      <c r="L1529" t="s">
        <v>161</v>
      </c>
      <c r="N1529" t="s">
        <v>210</v>
      </c>
      <c r="O1529" t="s">
        <v>255</v>
      </c>
      <c r="P1529">
        <v>5.6182082345301247E-2</v>
      </c>
      <c r="Q1529" t="s">
        <v>161</v>
      </c>
    </row>
    <row r="1530" spans="9:17" x14ac:dyDescent="0.45">
      <c r="I1530" t="s">
        <v>187</v>
      </c>
      <c r="J1530" t="s">
        <v>256</v>
      </c>
      <c r="K1530">
        <v>1.7125350670200894E-3</v>
      </c>
      <c r="L1530" t="s">
        <v>161</v>
      </c>
      <c r="N1530" t="s">
        <v>210</v>
      </c>
      <c r="O1530" t="s">
        <v>256</v>
      </c>
      <c r="P1530">
        <v>6.5005422283122274E-3</v>
      </c>
      <c r="Q1530" t="s">
        <v>161</v>
      </c>
    </row>
    <row r="1531" spans="9:17" x14ac:dyDescent="0.45">
      <c r="I1531" t="s">
        <v>187</v>
      </c>
      <c r="J1531" t="s">
        <v>257</v>
      </c>
      <c r="K1531">
        <v>3.144555065901574E-2</v>
      </c>
      <c r="L1531" t="s">
        <v>161</v>
      </c>
      <c r="N1531" t="s">
        <v>210</v>
      </c>
      <c r="O1531" t="s">
        <v>257</v>
      </c>
      <c r="P1531">
        <v>4.0936623399471891E-2</v>
      </c>
      <c r="Q1531" t="s">
        <v>161</v>
      </c>
    </row>
    <row r="1532" spans="9:17" x14ac:dyDescent="0.45">
      <c r="I1532" t="s">
        <v>187</v>
      </c>
      <c r="J1532" t="s">
        <v>258</v>
      </c>
      <c r="K1532">
        <v>3.5969989251436045E-6</v>
      </c>
      <c r="L1532" t="s">
        <v>161</v>
      </c>
      <c r="N1532" t="s">
        <v>210</v>
      </c>
      <c r="O1532" t="s">
        <v>258</v>
      </c>
      <c r="P1532">
        <v>6.1485762368366885E-3</v>
      </c>
      <c r="Q1532" t="s">
        <v>161</v>
      </c>
    </row>
    <row r="1533" spans="9:17" x14ac:dyDescent="0.45">
      <c r="I1533" t="s">
        <v>187</v>
      </c>
      <c r="J1533" t="s">
        <v>259</v>
      </c>
      <c r="K1533">
        <v>0</v>
      </c>
      <c r="L1533" t="s">
        <v>161</v>
      </c>
      <c r="N1533" t="s">
        <v>210</v>
      </c>
      <c r="O1533" t="s">
        <v>259</v>
      </c>
      <c r="P1533">
        <v>6.5199941157376064E-3</v>
      </c>
      <c r="Q1533" t="s">
        <v>161</v>
      </c>
    </row>
    <row r="1534" spans="9:17" x14ac:dyDescent="0.45">
      <c r="I1534" t="s">
        <v>187</v>
      </c>
      <c r="J1534" t="s">
        <v>271</v>
      </c>
      <c r="K1534">
        <v>0</v>
      </c>
      <c r="L1534" t="s">
        <v>161</v>
      </c>
      <c r="N1534" t="s">
        <v>210</v>
      </c>
      <c r="O1534" t="s">
        <v>271</v>
      </c>
      <c r="P1534">
        <v>4.256796900621003E-2</v>
      </c>
      <c r="Q1534" t="s">
        <v>161</v>
      </c>
    </row>
    <row r="1535" spans="9:17" x14ac:dyDescent="0.45">
      <c r="I1535" t="s">
        <v>187</v>
      </c>
      <c r="J1535" t="s">
        <v>272</v>
      </c>
      <c r="K1535">
        <v>0</v>
      </c>
      <c r="L1535" t="s">
        <v>161</v>
      </c>
      <c r="N1535" t="s">
        <v>210</v>
      </c>
      <c r="O1535" t="s">
        <v>272</v>
      </c>
      <c r="P1535">
        <v>1.8505499449187248E-2</v>
      </c>
      <c r="Q1535" t="s">
        <v>161</v>
      </c>
    </row>
    <row r="1536" spans="9:17" x14ac:dyDescent="0.45">
      <c r="I1536" t="s">
        <v>187</v>
      </c>
      <c r="J1536" t="s">
        <v>273</v>
      </c>
      <c r="K1536">
        <v>0</v>
      </c>
      <c r="L1536" t="s">
        <v>161</v>
      </c>
      <c r="N1536" t="s">
        <v>210</v>
      </c>
      <c r="O1536" t="s">
        <v>273</v>
      </c>
      <c r="P1536">
        <v>2.215134314728303E-3</v>
      </c>
      <c r="Q1536" t="s">
        <v>161</v>
      </c>
    </row>
    <row r="1537" spans="9:17" x14ac:dyDescent="0.45">
      <c r="I1537" t="s">
        <v>187</v>
      </c>
      <c r="J1537" t="s">
        <v>274</v>
      </c>
      <c r="K1537">
        <v>3.3088027529542103E-3</v>
      </c>
      <c r="L1537" t="s">
        <v>161</v>
      </c>
      <c r="N1537" t="s">
        <v>210</v>
      </c>
      <c r="O1537" t="s">
        <v>274</v>
      </c>
      <c r="P1537">
        <v>1.3652976778060185E-2</v>
      </c>
      <c r="Q1537" t="s">
        <v>161</v>
      </c>
    </row>
    <row r="1538" spans="9:17" x14ac:dyDescent="0.45">
      <c r="I1538" t="s">
        <v>187</v>
      </c>
      <c r="J1538" t="s">
        <v>275</v>
      </c>
      <c r="K1538">
        <v>0</v>
      </c>
      <c r="L1538" t="s">
        <v>161</v>
      </c>
      <c r="N1538" t="s">
        <v>210</v>
      </c>
      <c r="O1538" t="s">
        <v>275</v>
      </c>
      <c r="P1538">
        <v>2.1504493975723939E-3</v>
      </c>
      <c r="Q1538" t="s">
        <v>161</v>
      </c>
    </row>
    <row r="1539" spans="9:17" x14ac:dyDescent="0.45">
      <c r="I1539" t="s">
        <v>187</v>
      </c>
      <c r="J1539" t="s">
        <v>276</v>
      </c>
      <c r="K1539">
        <v>0</v>
      </c>
      <c r="L1539" t="s">
        <v>161</v>
      </c>
      <c r="N1539" t="s">
        <v>210</v>
      </c>
      <c r="O1539" t="s">
        <v>276</v>
      </c>
      <c r="P1539">
        <v>2.2396338637585642E-3</v>
      </c>
      <c r="Q1539" t="s">
        <v>161</v>
      </c>
    </row>
    <row r="1540" spans="9:17" x14ac:dyDescent="0.45">
      <c r="I1540" t="s">
        <v>187</v>
      </c>
      <c r="J1540" t="s">
        <v>277</v>
      </c>
      <c r="K1540">
        <v>0</v>
      </c>
      <c r="L1540" t="s">
        <v>161</v>
      </c>
      <c r="N1540" t="s">
        <v>210</v>
      </c>
      <c r="O1540" t="s">
        <v>277</v>
      </c>
      <c r="P1540">
        <v>1.4541686512529408E-2</v>
      </c>
      <c r="Q1540" t="s">
        <v>161</v>
      </c>
    </row>
    <row r="1541" spans="9:17" x14ac:dyDescent="0.45">
      <c r="I1541" t="s">
        <v>187</v>
      </c>
      <c r="J1541" t="s">
        <v>278</v>
      </c>
      <c r="K1541">
        <v>0</v>
      </c>
      <c r="L1541" t="s">
        <v>161</v>
      </c>
      <c r="N1541" t="s">
        <v>210</v>
      </c>
      <c r="O1541" t="s">
        <v>278</v>
      </c>
      <c r="P1541">
        <v>8.3295878436172918E-3</v>
      </c>
      <c r="Q1541" t="s">
        <v>161</v>
      </c>
    </row>
    <row r="1542" spans="9:17" x14ac:dyDescent="0.45">
      <c r="I1542" t="s">
        <v>187</v>
      </c>
      <c r="J1542" t="s">
        <v>279</v>
      </c>
      <c r="K1542">
        <v>0</v>
      </c>
      <c r="L1542" t="s">
        <v>161</v>
      </c>
      <c r="N1542" t="s">
        <v>210</v>
      </c>
      <c r="O1542" t="s">
        <v>279</v>
      </c>
      <c r="P1542">
        <v>9.5241088716196379E-4</v>
      </c>
      <c r="Q1542" t="s">
        <v>161</v>
      </c>
    </row>
    <row r="1543" spans="9:17" x14ac:dyDescent="0.45">
      <c r="I1543" t="s">
        <v>187</v>
      </c>
      <c r="J1543" t="s">
        <v>280</v>
      </c>
      <c r="K1543">
        <v>3.0005847159080444E-3</v>
      </c>
      <c r="L1543" t="s">
        <v>161</v>
      </c>
      <c r="N1543" t="s">
        <v>210</v>
      </c>
      <c r="O1543" t="s">
        <v>280</v>
      </c>
      <c r="P1543">
        <v>5.6050802042284572E-3</v>
      </c>
      <c r="Q1543" t="s">
        <v>161</v>
      </c>
    </row>
    <row r="1544" spans="9:17" x14ac:dyDescent="0.45">
      <c r="I1544" t="s">
        <v>187</v>
      </c>
      <c r="J1544" t="s">
        <v>281</v>
      </c>
      <c r="K1544">
        <v>0</v>
      </c>
      <c r="L1544" t="s">
        <v>161</v>
      </c>
      <c r="N1544" t="s">
        <v>210</v>
      </c>
      <c r="O1544" t="s">
        <v>281</v>
      </c>
      <c r="P1544">
        <v>9.7714201772930377E-4</v>
      </c>
      <c r="Q1544" t="s">
        <v>161</v>
      </c>
    </row>
    <row r="1545" spans="9:17" x14ac:dyDescent="0.45">
      <c r="I1545" t="s">
        <v>187</v>
      </c>
      <c r="J1545" t="s">
        <v>282</v>
      </c>
      <c r="K1545">
        <v>0</v>
      </c>
      <c r="L1545" t="s">
        <v>161</v>
      </c>
      <c r="N1545" t="s">
        <v>210</v>
      </c>
      <c r="O1545" t="s">
        <v>282</v>
      </c>
      <c r="P1545">
        <v>1.0250838807202311E-3</v>
      </c>
      <c r="Q1545" t="s">
        <v>161</v>
      </c>
    </row>
    <row r="1546" spans="9:17" x14ac:dyDescent="0.45">
      <c r="I1546" t="s">
        <v>187</v>
      </c>
      <c r="J1546" t="s">
        <v>283</v>
      </c>
      <c r="K1546">
        <v>0</v>
      </c>
      <c r="L1546" t="s">
        <v>161</v>
      </c>
      <c r="N1546" t="s">
        <v>210</v>
      </c>
      <c r="O1546" t="s">
        <v>283</v>
      </c>
      <c r="P1546">
        <v>6.4771337578429355E-3</v>
      </c>
      <c r="Q1546" t="s">
        <v>161</v>
      </c>
    </row>
    <row r="1547" spans="9:17" x14ac:dyDescent="0.45">
      <c r="I1547" t="s">
        <v>188</v>
      </c>
      <c r="J1547" t="s">
        <v>160</v>
      </c>
      <c r="K1547">
        <v>1.7243991207857635E-3</v>
      </c>
      <c r="L1547" t="s">
        <v>161</v>
      </c>
      <c r="N1547" t="s">
        <v>211</v>
      </c>
      <c r="O1547" t="s">
        <v>160</v>
      </c>
      <c r="P1547">
        <v>7.1145750171134628E-2</v>
      </c>
      <c r="Q1547" t="s">
        <v>161</v>
      </c>
    </row>
    <row r="1548" spans="9:17" x14ac:dyDescent="0.45">
      <c r="I1548" t="s">
        <v>188</v>
      </c>
      <c r="J1548" t="s">
        <v>162</v>
      </c>
      <c r="K1548">
        <v>5.3643441872640706E-3</v>
      </c>
      <c r="L1548" t="s">
        <v>161</v>
      </c>
      <c r="N1548" t="s">
        <v>211</v>
      </c>
      <c r="O1548" t="s">
        <v>162</v>
      </c>
      <c r="P1548">
        <v>8.7829507310636951E-3</v>
      </c>
      <c r="Q1548" t="s">
        <v>161</v>
      </c>
    </row>
    <row r="1549" spans="9:17" x14ac:dyDescent="0.45">
      <c r="I1549" t="s">
        <v>188</v>
      </c>
      <c r="J1549" t="s">
        <v>163</v>
      </c>
      <c r="K1549">
        <v>9.4062287656426574E-2</v>
      </c>
      <c r="L1549" t="s">
        <v>161</v>
      </c>
      <c r="N1549" t="s">
        <v>211</v>
      </c>
      <c r="O1549" t="s">
        <v>163</v>
      </c>
      <c r="P1549">
        <v>5.9464881237995433E-2</v>
      </c>
      <c r="Q1549" t="s">
        <v>161</v>
      </c>
    </row>
    <row r="1550" spans="9:17" x14ac:dyDescent="0.45">
      <c r="I1550" t="s">
        <v>188</v>
      </c>
      <c r="J1550" t="s">
        <v>242</v>
      </c>
      <c r="K1550">
        <v>7.6543995092482999E-3</v>
      </c>
      <c r="L1550" t="s">
        <v>161</v>
      </c>
      <c r="N1550" t="s">
        <v>211</v>
      </c>
      <c r="O1550" t="s">
        <v>242</v>
      </c>
      <c r="P1550">
        <v>8.7299860337553842E-3</v>
      </c>
      <c r="Q1550" t="s">
        <v>161</v>
      </c>
    </row>
    <row r="1551" spans="9:17" x14ac:dyDescent="0.45">
      <c r="I1551" t="s">
        <v>188</v>
      </c>
      <c r="J1551" t="s">
        <v>243</v>
      </c>
      <c r="K1551">
        <v>3.1084662299893486E-3</v>
      </c>
      <c r="L1551" t="s">
        <v>161</v>
      </c>
      <c r="N1551" t="s">
        <v>211</v>
      </c>
      <c r="O1551" t="s">
        <v>243</v>
      </c>
      <c r="P1551">
        <v>9.0560825875533185E-3</v>
      </c>
      <c r="Q1551" t="s">
        <v>161</v>
      </c>
    </row>
    <row r="1552" spans="9:17" x14ac:dyDescent="0.45">
      <c r="I1552" t="s">
        <v>188</v>
      </c>
      <c r="J1552" t="s">
        <v>266</v>
      </c>
      <c r="K1552">
        <v>0</v>
      </c>
      <c r="L1552" t="s">
        <v>161</v>
      </c>
      <c r="N1552" t="s">
        <v>211</v>
      </c>
      <c r="O1552" t="s">
        <v>266</v>
      </c>
      <c r="P1552">
        <v>5.2333094436079364E-2</v>
      </c>
      <c r="Q1552" t="s">
        <v>161</v>
      </c>
    </row>
    <row r="1553" spans="9:17" x14ac:dyDescent="0.45">
      <c r="I1553" t="s">
        <v>188</v>
      </c>
      <c r="J1553" t="s">
        <v>311</v>
      </c>
      <c r="K1553">
        <v>0</v>
      </c>
      <c r="L1553" t="s">
        <v>161</v>
      </c>
      <c r="N1553" t="s">
        <v>211</v>
      </c>
      <c r="O1553" t="s">
        <v>311</v>
      </c>
      <c r="P1553">
        <v>3.896698029619889E-6</v>
      </c>
      <c r="Q1553" t="s">
        <v>161</v>
      </c>
    </row>
    <row r="1554" spans="9:17" x14ac:dyDescent="0.45">
      <c r="I1554" t="s">
        <v>188</v>
      </c>
      <c r="J1554" t="s">
        <v>312</v>
      </c>
      <c r="K1554">
        <v>0</v>
      </c>
      <c r="L1554" t="s">
        <v>161</v>
      </c>
      <c r="N1554" t="s">
        <v>211</v>
      </c>
      <c r="O1554" t="s">
        <v>312</v>
      </c>
      <c r="P1554">
        <v>5.0718226135893131E-6</v>
      </c>
      <c r="Q1554" t="s">
        <v>161</v>
      </c>
    </row>
    <row r="1555" spans="9:17" x14ac:dyDescent="0.45">
      <c r="I1555" t="s">
        <v>188</v>
      </c>
      <c r="J1555" t="s">
        <v>313</v>
      </c>
      <c r="K1555">
        <v>0</v>
      </c>
      <c r="L1555" t="s">
        <v>161</v>
      </c>
      <c r="N1555" t="s">
        <v>211</v>
      </c>
      <c r="O1555" t="s">
        <v>313</v>
      </c>
      <c r="P1555">
        <v>5.2131790221403185E-6</v>
      </c>
      <c r="Q1555" t="s">
        <v>161</v>
      </c>
    </row>
    <row r="1556" spans="9:17" x14ac:dyDescent="0.45">
      <c r="I1556" t="s">
        <v>188</v>
      </c>
      <c r="J1556" t="s">
        <v>314</v>
      </c>
      <c r="K1556">
        <v>0</v>
      </c>
      <c r="L1556" t="s">
        <v>161</v>
      </c>
      <c r="N1556" t="s">
        <v>211</v>
      </c>
      <c r="O1556" t="s">
        <v>314</v>
      </c>
      <c r="P1556">
        <v>3.6795075583917877E-6</v>
      </c>
      <c r="Q1556" t="s">
        <v>161</v>
      </c>
    </row>
    <row r="1557" spans="9:17" x14ac:dyDescent="0.45">
      <c r="I1557" t="s">
        <v>188</v>
      </c>
      <c r="J1557" t="s">
        <v>315</v>
      </c>
      <c r="K1557">
        <v>0</v>
      </c>
      <c r="L1557" t="s">
        <v>161</v>
      </c>
      <c r="N1557" t="s">
        <v>211</v>
      </c>
      <c r="O1557" t="s">
        <v>315</v>
      </c>
      <c r="P1557">
        <v>4.9458243746988147E-6</v>
      </c>
      <c r="Q1557" t="s">
        <v>161</v>
      </c>
    </row>
    <row r="1558" spans="9:17" x14ac:dyDescent="0.45">
      <c r="I1558" t="s">
        <v>188</v>
      </c>
      <c r="J1558" t="s">
        <v>316</v>
      </c>
      <c r="K1558">
        <v>0</v>
      </c>
      <c r="L1558" t="s">
        <v>161</v>
      </c>
      <c r="N1558" t="s">
        <v>211</v>
      </c>
      <c r="O1558" t="s">
        <v>316</v>
      </c>
      <c r="P1558">
        <v>4.8416695377439114E-6</v>
      </c>
      <c r="Q1558" t="s">
        <v>161</v>
      </c>
    </row>
    <row r="1559" spans="9:17" x14ac:dyDescent="0.45">
      <c r="I1559" t="s">
        <v>188</v>
      </c>
      <c r="J1559" t="s">
        <v>317</v>
      </c>
      <c r="K1559">
        <v>0</v>
      </c>
      <c r="L1559" t="s">
        <v>161</v>
      </c>
      <c r="N1559" t="s">
        <v>211</v>
      </c>
      <c r="O1559" t="s">
        <v>317</v>
      </c>
      <c r="P1559">
        <v>6.4373429024614629E-6</v>
      </c>
      <c r="Q1559" t="s">
        <v>161</v>
      </c>
    </row>
    <row r="1560" spans="9:17" x14ac:dyDescent="0.45">
      <c r="I1560" t="s">
        <v>188</v>
      </c>
      <c r="J1560" t="s">
        <v>318</v>
      </c>
      <c r="K1560">
        <v>0</v>
      </c>
      <c r="L1560" t="s">
        <v>161</v>
      </c>
      <c r="N1560" t="s">
        <v>211</v>
      </c>
      <c r="O1560" t="s">
        <v>318</v>
      </c>
      <c r="P1560">
        <v>9.278665679064219E-6</v>
      </c>
      <c r="Q1560" t="s">
        <v>161</v>
      </c>
    </row>
    <row r="1561" spans="9:17" x14ac:dyDescent="0.45">
      <c r="I1561" t="s">
        <v>188</v>
      </c>
      <c r="J1561" t="s">
        <v>319</v>
      </c>
      <c r="K1561">
        <v>4.6841409763147886E-5</v>
      </c>
      <c r="L1561" t="s">
        <v>161</v>
      </c>
      <c r="N1561" t="s">
        <v>211</v>
      </c>
      <c r="O1561" t="s">
        <v>319</v>
      </c>
      <c r="P1561">
        <v>9.4024150523986653E-6</v>
      </c>
      <c r="Q1561" t="s">
        <v>161</v>
      </c>
    </row>
    <row r="1562" spans="9:17" x14ac:dyDescent="0.45">
      <c r="I1562" t="s">
        <v>188</v>
      </c>
      <c r="J1562" t="s">
        <v>320</v>
      </c>
      <c r="K1562">
        <v>9.2281572748189526E-5</v>
      </c>
      <c r="L1562" t="s">
        <v>161</v>
      </c>
      <c r="N1562" t="s">
        <v>211</v>
      </c>
      <c r="O1562" t="s">
        <v>320</v>
      </c>
      <c r="P1562">
        <v>9.510378627547501E-6</v>
      </c>
      <c r="Q1562" t="s">
        <v>161</v>
      </c>
    </row>
    <row r="1563" spans="9:17" x14ac:dyDescent="0.45">
      <c r="I1563" t="s">
        <v>188</v>
      </c>
      <c r="J1563" t="s">
        <v>321</v>
      </c>
      <c r="K1563">
        <v>1.4604202510207565E-4</v>
      </c>
      <c r="L1563" t="s">
        <v>161</v>
      </c>
      <c r="N1563" t="s">
        <v>211</v>
      </c>
      <c r="O1563" t="s">
        <v>321</v>
      </c>
      <c r="P1563">
        <v>1.4087879501279509E-5</v>
      </c>
      <c r="Q1563" t="s">
        <v>161</v>
      </c>
    </row>
    <row r="1564" spans="9:17" x14ac:dyDescent="0.45">
      <c r="I1564" t="s">
        <v>188</v>
      </c>
      <c r="J1564" t="s">
        <v>322</v>
      </c>
      <c r="K1564">
        <v>1.989755311405136E-4</v>
      </c>
      <c r="L1564" t="s">
        <v>161</v>
      </c>
      <c r="N1564" t="s">
        <v>211</v>
      </c>
      <c r="O1564" t="s">
        <v>322</v>
      </c>
      <c r="P1564">
        <v>1.2530317586172638E-5</v>
      </c>
      <c r="Q1564" t="s">
        <v>161</v>
      </c>
    </row>
    <row r="1565" spans="9:17" x14ac:dyDescent="0.45">
      <c r="I1565" t="s">
        <v>188</v>
      </c>
      <c r="J1565" t="s">
        <v>323</v>
      </c>
      <c r="K1565">
        <v>1.9579172917584913E-4</v>
      </c>
      <c r="L1565" t="s">
        <v>161</v>
      </c>
      <c r="N1565" t="s">
        <v>211</v>
      </c>
      <c r="O1565" t="s">
        <v>323</v>
      </c>
      <c r="P1565">
        <v>9.3966628926548927E-6</v>
      </c>
      <c r="Q1565" t="s">
        <v>161</v>
      </c>
    </row>
    <row r="1566" spans="9:17" x14ac:dyDescent="0.45">
      <c r="I1566" t="s">
        <v>188</v>
      </c>
      <c r="J1566" t="s">
        <v>324</v>
      </c>
      <c r="K1566">
        <v>2.3361678445894514E-4</v>
      </c>
      <c r="L1566" t="s">
        <v>161</v>
      </c>
      <c r="N1566" t="s">
        <v>211</v>
      </c>
      <c r="O1566" t="s">
        <v>324</v>
      </c>
      <c r="P1566">
        <v>8.8905255290974084E-6</v>
      </c>
      <c r="Q1566" t="s">
        <v>161</v>
      </c>
    </row>
    <row r="1567" spans="9:17" x14ac:dyDescent="0.45">
      <c r="I1567" t="s">
        <v>188</v>
      </c>
      <c r="J1567" t="s">
        <v>325</v>
      </c>
      <c r="K1567">
        <v>2.4175482693923056E-4</v>
      </c>
      <c r="L1567" t="s">
        <v>161</v>
      </c>
      <c r="N1567" t="s">
        <v>211</v>
      </c>
      <c r="O1567" t="s">
        <v>325</v>
      </c>
      <c r="P1567">
        <v>1.0260543607266877E-5</v>
      </c>
      <c r="Q1567" t="s">
        <v>161</v>
      </c>
    </row>
    <row r="1568" spans="9:17" x14ac:dyDescent="0.45">
      <c r="I1568" t="s">
        <v>188</v>
      </c>
      <c r="J1568" t="s">
        <v>326</v>
      </c>
      <c r="K1568">
        <v>1.493489915557797E-4</v>
      </c>
      <c r="L1568" t="s">
        <v>161</v>
      </c>
      <c r="N1568" t="s">
        <v>211</v>
      </c>
      <c r="O1568" t="s">
        <v>326</v>
      </c>
      <c r="P1568">
        <v>1.1858674234227865E-5</v>
      </c>
      <c r="Q1568" t="s">
        <v>161</v>
      </c>
    </row>
    <row r="1569" spans="9:17" x14ac:dyDescent="0.45">
      <c r="I1569" t="s">
        <v>188</v>
      </c>
      <c r="J1569" t="s">
        <v>327</v>
      </c>
      <c r="K1569">
        <v>1.027941450083245E-4</v>
      </c>
      <c r="L1569" t="s">
        <v>161</v>
      </c>
      <c r="N1569" t="s">
        <v>211</v>
      </c>
      <c r="O1569" t="s">
        <v>327</v>
      </c>
      <c r="P1569">
        <v>2.0803136687325775E-5</v>
      </c>
      <c r="Q1569" t="s">
        <v>161</v>
      </c>
    </row>
    <row r="1570" spans="9:17" x14ac:dyDescent="0.45">
      <c r="I1570" t="s">
        <v>188</v>
      </c>
      <c r="J1570" t="s">
        <v>328</v>
      </c>
      <c r="K1570">
        <v>8.5328549317858907E-5</v>
      </c>
      <c r="L1570" t="s">
        <v>161</v>
      </c>
      <c r="N1570" t="s">
        <v>211</v>
      </c>
      <c r="O1570" t="s">
        <v>328</v>
      </c>
      <c r="P1570">
        <v>3.5084240746481247E-5</v>
      </c>
      <c r="Q1570" t="s">
        <v>161</v>
      </c>
    </row>
    <row r="1571" spans="9:17" x14ac:dyDescent="0.45">
      <c r="I1571" t="s">
        <v>188</v>
      </c>
      <c r="J1571" t="s">
        <v>329</v>
      </c>
      <c r="K1571">
        <v>0</v>
      </c>
      <c r="L1571" t="s">
        <v>161</v>
      </c>
      <c r="N1571" t="s">
        <v>211</v>
      </c>
      <c r="O1571" t="s">
        <v>329</v>
      </c>
      <c r="P1571">
        <v>4.0838205417648729E-5</v>
      </c>
      <c r="Q1571" t="s">
        <v>161</v>
      </c>
    </row>
    <row r="1572" spans="9:17" x14ac:dyDescent="0.45">
      <c r="I1572" t="s">
        <v>188</v>
      </c>
      <c r="J1572" t="s">
        <v>330</v>
      </c>
      <c r="K1572">
        <v>0</v>
      </c>
      <c r="L1572" t="s">
        <v>161</v>
      </c>
      <c r="N1572" t="s">
        <v>211</v>
      </c>
      <c r="O1572" t="s">
        <v>330</v>
      </c>
      <c r="P1572">
        <v>3.530961707522475E-5</v>
      </c>
      <c r="Q1572" t="s">
        <v>161</v>
      </c>
    </row>
    <row r="1573" spans="9:17" x14ac:dyDescent="0.45">
      <c r="I1573" t="s">
        <v>188</v>
      </c>
      <c r="J1573" t="s">
        <v>331</v>
      </c>
      <c r="K1573">
        <v>0</v>
      </c>
      <c r="L1573" t="s">
        <v>161</v>
      </c>
      <c r="N1573" t="s">
        <v>211</v>
      </c>
      <c r="O1573" t="s">
        <v>331</v>
      </c>
      <c r="P1573">
        <v>3.1062582766488693E-5</v>
      </c>
      <c r="Q1573" t="s">
        <v>161</v>
      </c>
    </row>
    <row r="1574" spans="9:17" x14ac:dyDescent="0.45">
      <c r="I1574" t="s">
        <v>188</v>
      </c>
      <c r="J1574" t="s">
        <v>332</v>
      </c>
      <c r="K1574">
        <v>0</v>
      </c>
      <c r="L1574" t="s">
        <v>161</v>
      </c>
      <c r="N1574" t="s">
        <v>211</v>
      </c>
      <c r="O1574" t="s">
        <v>332</v>
      </c>
      <c r="P1574">
        <v>2.9997286028074799E-5</v>
      </c>
      <c r="Q1574" t="s">
        <v>161</v>
      </c>
    </row>
    <row r="1575" spans="9:17" x14ac:dyDescent="0.45">
      <c r="I1575" t="s">
        <v>188</v>
      </c>
      <c r="J1575" t="s">
        <v>333</v>
      </c>
      <c r="K1575">
        <v>0</v>
      </c>
      <c r="L1575" t="s">
        <v>161</v>
      </c>
      <c r="N1575" t="s">
        <v>211</v>
      </c>
      <c r="O1575" t="s">
        <v>333</v>
      </c>
      <c r="P1575">
        <v>2.3690553624974059E-5</v>
      </c>
      <c r="Q1575" t="s">
        <v>161</v>
      </c>
    </row>
    <row r="1576" spans="9:17" x14ac:dyDescent="0.45">
      <c r="I1576" t="s">
        <v>188</v>
      </c>
      <c r="J1576" t="s">
        <v>334</v>
      </c>
      <c r="K1576">
        <v>0</v>
      </c>
      <c r="L1576" t="s">
        <v>161</v>
      </c>
      <c r="N1576" t="s">
        <v>211</v>
      </c>
      <c r="O1576" t="s">
        <v>334</v>
      </c>
      <c r="P1576">
        <v>2.4708551221849288E-5</v>
      </c>
      <c r="Q1576" t="s">
        <v>161</v>
      </c>
    </row>
    <row r="1577" spans="9:17" x14ac:dyDescent="0.45">
      <c r="I1577" t="s">
        <v>188</v>
      </c>
      <c r="J1577" t="s">
        <v>164</v>
      </c>
      <c r="K1577">
        <v>1.0371647757622062E-2</v>
      </c>
      <c r="L1577" t="s">
        <v>161</v>
      </c>
      <c r="N1577" t="s">
        <v>211</v>
      </c>
      <c r="O1577" t="s">
        <v>164</v>
      </c>
      <c r="P1577">
        <v>3.8782136027723381E-2</v>
      </c>
      <c r="Q1577" t="s">
        <v>161</v>
      </c>
    </row>
    <row r="1578" spans="9:17" x14ac:dyDescent="0.45">
      <c r="I1578" t="s">
        <v>188</v>
      </c>
      <c r="J1578" t="s">
        <v>165</v>
      </c>
      <c r="K1578">
        <v>1.117127770124908E-2</v>
      </c>
      <c r="L1578" t="s">
        <v>161</v>
      </c>
      <c r="N1578" t="s">
        <v>211</v>
      </c>
      <c r="O1578" t="s">
        <v>165</v>
      </c>
      <c r="P1578">
        <v>4.8640700017167707E-3</v>
      </c>
      <c r="Q1578" t="s">
        <v>161</v>
      </c>
    </row>
    <row r="1579" spans="9:17" x14ac:dyDescent="0.45">
      <c r="I1579" t="s">
        <v>188</v>
      </c>
      <c r="J1579" t="s">
        <v>166</v>
      </c>
      <c r="K1579">
        <v>9.5127657133393453E-2</v>
      </c>
      <c r="L1579" t="s">
        <v>161</v>
      </c>
      <c r="N1579" t="s">
        <v>211</v>
      </c>
      <c r="O1579" t="s">
        <v>166</v>
      </c>
      <c r="P1579">
        <v>3.2386044285150753E-2</v>
      </c>
      <c r="Q1579" t="s">
        <v>161</v>
      </c>
    </row>
    <row r="1580" spans="9:17" x14ac:dyDescent="0.45">
      <c r="I1580" t="s">
        <v>188</v>
      </c>
      <c r="J1580" t="s">
        <v>244</v>
      </c>
      <c r="K1580">
        <v>8.4465747517719989E-3</v>
      </c>
      <c r="L1580" t="s">
        <v>161</v>
      </c>
      <c r="N1580" t="s">
        <v>211</v>
      </c>
      <c r="O1580" t="s">
        <v>244</v>
      </c>
      <c r="P1580">
        <v>5.2426170967827708E-3</v>
      </c>
      <c r="Q1580" t="s">
        <v>161</v>
      </c>
    </row>
    <row r="1581" spans="9:17" x14ac:dyDescent="0.45">
      <c r="I1581" t="s">
        <v>188</v>
      </c>
      <c r="J1581" t="s">
        <v>245</v>
      </c>
      <c r="K1581">
        <v>5.7760473078564628E-3</v>
      </c>
      <c r="L1581" t="s">
        <v>161</v>
      </c>
      <c r="N1581" t="s">
        <v>211</v>
      </c>
      <c r="O1581" t="s">
        <v>245</v>
      </c>
      <c r="P1581">
        <v>5.086087842983417E-3</v>
      </c>
      <c r="Q1581" t="s">
        <v>161</v>
      </c>
    </row>
    <row r="1582" spans="9:17" x14ac:dyDescent="0.45">
      <c r="I1582" t="s">
        <v>188</v>
      </c>
      <c r="J1582" t="s">
        <v>267</v>
      </c>
      <c r="K1582">
        <v>3.2352863987157349E-3</v>
      </c>
      <c r="L1582" t="s">
        <v>161</v>
      </c>
      <c r="N1582" t="s">
        <v>211</v>
      </c>
      <c r="O1582" t="s">
        <v>267</v>
      </c>
      <c r="P1582">
        <v>3.093736181491135E-2</v>
      </c>
      <c r="Q1582" t="s">
        <v>161</v>
      </c>
    </row>
    <row r="1583" spans="9:17" x14ac:dyDescent="0.45">
      <c r="I1583" t="s">
        <v>188</v>
      </c>
      <c r="J1583" t="s">
        <v>167</v>
      </c>
      <c r="K1583">
        <v>5.2061022045423413E-2</v>
      </c>
      <c r="L1583" t="s">
        <v>161</v>
      </c>
      <c r="N1583" t="s">
        <v>211</v>
      </c>
      <c r="O1583" t="s">
        <v>167</v>
      </c>
      <c r="P1583">
        <v>6.020284957834901E-2</v>
      </c>
      <c r="Q1583" t="s">
        <v>161</v>
      </c>
    </row>
    <row r="1584" spans="9:17" x14ac:dyDescent="0.45">
      <c r="I1584" t="s">
        <v>188</v>
      </c>
      <c r="J1584" t="s">
        <v>168</v>
      </c>
      <c r="K1584">
        <v>3.1708538211330517E-2</v>
      </c>
      <c r="L1584" t="s">
        <v>161</v>
      </c>
      <c r="N1584" t="s">
        <v>211</v>
      </c>
      <c r="O1584" t="s">
        <v>168</v>
      </c>
      <c r="P1584">
        <v>7.4473414959041855E-3</v>
      </c>
      <c r="Q1584" t="s">
        <v>161</v>
      </c>
    </row>
    <row r="1585" spans="9:17" x14ac:dyDescent="0.45">
      <c r="I1585" t="s">
        <v>188</v>
      </c>
      <c r="J1585" t="s">
        <v>169</v>
      </c>
      <c r="K1585">
        <v>0.25894982513915854</v>
      </c>
      <c r="L1585" t="s">
        <v>161</v>
      </c>
      <c r="N1585" t="s">
        <v>211</v>
      </c>
      <c r="O1585" t="s">
        <v>169</v>
      </c>
      <c r="P1585">
        <v>5.6263392286591211E-2</v>
      </c>
      <c r="Q1585" t="s">
        <v>161</v>
      </c>
    </row>
    <row r="1586" spans="9:17" x14ac:dyDescent="0.45">
      <c r="I1586" t="s">
        <v>188</v>
      </c>
      <c r="J1586" t="s">
        <v>246</v>
      </c>
      <c r="K1586">
        <v>2.9093353980604E-2</v>
      </c>
      <c r="L1586" t="s">
        <v>161</v>
      </c>
      <c r="N1586" t="s">
        <v>211</v>
      </c>
      <c r="O1586" t="s">
        <v>246</v>
      </c>
      <c r="P1586">
        <v>8.4992970201523219E-3</v>
      </c>
      <c r="Q1586" t="s">
        <v>161</v>
      </c>
    </row>
    <row r="1587" spans="9:17" x14ac:dyDescent="0.45">
      <c r="I1587" t="s">
        <v>188</v>
      </c>
      <c r="J1587" t="s">
        <v>247</v>
      </c>
      <c r="K1587">
        <v>2.3469015911068446E-2</v>
      </c>
      <c r="L1587" t="s">
        <v>161</v>
      </c>
      <c r="N1587" t="s">
        <v>211</v>
      </c>
      <c r="O1587" t="s">
        <v>247</v>
      </c>
      <c r="P1587">
        <v>7.9553669972102399E-3</v>
      </c>
      <c r="Q1587" t="s">
        <v>161</v>
      </c>
    </row>
    <row r="1588" spans="9:17" x14ac:dyDescent="0.45">
      <c r="I1588" t="s">
        <v>188</v>
      </c>
      <c r="J1588" t="s">
        <v>268</v>
      </c>
      <c r="K1588">
        <v>2.6096135185877143E-2</v>
      </c>
      <c r="L1588" t="s">
        <v>161</v>
      </c>
      <c r="N1588" t="s">
        <v>211</v>
      </c>
      <c r="O1588" t="s">
        <v>268</v>
      </c>
      <c r="P1588">
        <v>4.8831259626520421E-2</v>
      </c>
      <c r="Q1588" t="s">
        <v>161</v>
      </c>
    </row>
    <row r="1589" spans="9:17" x14ac:dyDescent="0.45">
      <c r="I1589" t="s">
        <v>188</v>
      </c>
      <c r="J1589" t="s">
        <v>170</v>
      </c>
      <c r="K1589">
        <v>1.9875245655075188E-2</v>
      </c>
      <c r="L1589" t="s">
        <v>161</v>
      </c>
      <c r="N1589" t="s">
        <v>211</v>
      </c>
      <c r="O1589" t="s">
        <v>170</v>
      </c>
      <c r="P1589">
        <v>2.9157986857070765E-2</v>
      </c>
      <c r="Q1589" t="s">
        <v>161</v>
      </c>
    </row>
    <row r="1590" spans="9:17" x14ac:dyDescent="0.45">
      <c r="I1590" t="s">
        <v>188</v>
      </c>
      <c r="J1590" t="s">
        <v>171</v>
      </c>
      <c r="K1590">
        <v>1.4974422708996219E-2</v>
      </c>
      <c r="L1590" t="s">
        <v>161</v>
      </c>
      <c r="N1590" t="s">
        <v>211</v>
      </c>
      <c r="O1590" t="s">
        <v>171</v>
      </c>
      <c r="P1590">
        <v>3.4781881462300013E-3</v>
      </c>
      <c r="Q1590" t="s">
        <v>161</v>
      </c>
    </row>
    <row r="1591" spans="9:17" x14ac:dyDescent="0.45">
      <c r="I1591" t="s">
        <v>188</v>
      </c>
      <c r="J1591" t="s">
        <v>172</v>
      </c>
      <c r="K1591">
        <v>0.12189080744395948</v>
      </c>
      <c r="L1591" t="s">
        <v>161</v>
      </c>
      <c r="N1591" t="s">
        <v>211</v>
      </c>
      <c r="O1591" t="s">
        <v>172</v>
      </c>
      <c r="P1591">
        <v>2.4419732470309728E-2</v>
      </c>
      <c r="Q1591" t="s">
        <v>161</v>
      </c>
    </row>
    <row r="1592" spans="9:17" x14ac:dyDescent="0.45">
      <c r="I1592" t="s">
        <v>188</v>
      </c>
      <c r="J1592" t="s">
        <v>248</v>
      </c>
      <c r="K1592">
        <v>1.2073011106702846E-2</v>
      </c>
      <c r="L1592" t="s">
        <v>161</v>
      </c>
      <c r="N1592" t="s">
        <v>211</v>
      </c>
      <c r="O1592" t="s">
        <v>248</v>
      </c>
      <c r="P1592">
        <v>3.538309052780388E-3</v>
      </c>
      <c r="Q1592" t="s">
        <v>161</v>
      </c>
    </row>
    <row r="1593" spans="9:17" x14ac:dyDescent="0.45">
      <c r="I1593" t="s">
        <v>188</v>
      </c>
      <c r="J1593" t="s">
        <v>249</v>
      </c>
      <c r="K1593">
        <v>9.4204557654867516E-3</v>
      </c>
      <c r="L1593" t="s">
        <v>161</v>
      </c>
      <c r="N1593" t="s">
        <v>211</v>
      </c>
      <c r="O1593" t="s">
        <v>249</v>
      </c>
      <c r="P1593">
        <v>3.1984135469432626E-3</v>
      </c>
      <c r="Q1593" t="s">
        <v>161</v>
      </c>
    </row>
    <row r="1594" spans="9:17" x14ac:dyDescent="0.45">
      <c r="I1594" t="s">
        <v>188</v>
      </c>
      <c r="J1594" t="s">
        <v>269</v>
      </c>
      <c r="K1594">
        <v>7.9842256291076819E-3</v>
      </c>
      <c r="L1594" t="s">
        <v>161</v>
      </c>
      <c r="N1594" t="s">
        <v>211</v>
      </c>
      <c r="O1594" t="s">
        <v>269</v>
      </c>
      <c r="P1594">
        <v>2.1240433045324178E-2</v>
      </c>
      <c r="Q1594" t="s">
        <v>161</v>
      </c>
    </row>
    <row r="1595" spans="9:17" x14ac:dyDescent="0.45">
      <c r="I1595" t="s">
        <v>188</v>
      </c>
      <c r="J1595" t="s">
        <v>362</v>
      </c>
      <c r="K1595">
        <v>0</v>
      </c>
      <c r="L1595" t="s">
        <v>161</v>
      </c>
      <c r="N1595" t="s">
        <v>211</v>
      </c>
      <c r="O1595" t="s">
        <v>362</v>
      </c>
      <c r="P1595">
        <v>6.6606295537305873E-6</v>
      </c>
      <c r="Q1595" t="s">
        <v>161</v>
      </c>
    </row>
    <row r="1596" spans="9:17" x14ac:dyDescent="0.45">
      <c r="I1596" t="s">
        <v>188</v>
      </c>
      <c r="J1596" t="s">
        <v>363</v>
      </c>
      <c r="K1596">
        <v>0</v>
      </c>
      <c r="L1596" t="s">
        <v>161</v>
      </c>
      <c r="N1596" t="s">
        <v>211</v>
      </c>
      <c r="O1596" t="s">
        <v>363</v>
      </c>
      <c r="P1596">
        <v>6.54174101895454E-6</v>
      </c>
      <c r="Q1596" t="s">
        <v>161</v>
      </c>
    </row>
    <row r="1597" spans="9:17" x14ac:dyDescent="0.45">
      <c r="I1597" t="s">
        <v>188</v>
      </c>
      <c r="J1597" t="s">
        <v>364</v>
      </c>
      <c r="K1597">
        <v>0</v>
      </c>
      <c r="L1597" t="s">
        <v>161</v>
      </c>
      <c r="N1597" t="s">
        <v>211</v>
      </c>
      <c r="O1597" t="s">
        <v>364</v>
      </c>
      <c r="P1597">
        <v>5.2850848842513285E-6</v>
      </c>
      <c r="Q1597" t="s">
        <v>161</v>
      </c>
    </row>
    <row r="1598" spans="9:17" x14ac:dyDescent="0.45">
      <c r="I1598" t="s">
        <v>188</v>
      </c>
      <c r="J1598" t="s">
        <v>365</v>
      </c>
      <c r="K1598">
        <v>0</v>
      </c>
      <c r="L1598" t="s">
        <v>161</v>
      </c>
      <c r="N1598" t="s">
        <v>211</v>
      </c>
      <c r="O1598" t="s">
        <v>365</v>
      </c>
      <c r="P1598">
        <v>3.002852919973778E-6</v>
      </c>
      <c r="Q1598" t="s">
        <v>161</v>
      </c>
    </row>
    <row r="1599" spans="9:17" x14ac:dyDescent="0.45">
      <c r="I1599" t="s">
        <v>188</v>
      </c>
      <c r="J1599" t="s">
        <v>366</v>
      </c>
      <c r="K1599">
        <v>0</v>
      </c>
      <c r="L1599" t="s">
        <v>161</v>
      </c>
      <c r="N1599" t="s">
        <v>211</v>
      </c>
      <c r="O1599" t="s">
        <v>366</v>
      </c>
      <c r="P1599">
        <v>1.7502632312727994E-6</v>
      </c>
      <c r="Q1599" t="s">
        <v>161</v>
      </c>
    </row>
    <row r="1600" spans="9:17" x14ac:dyDescent="0.45">
      <c r="I1600" t="s">
        <v>188</v>
      </c>
      <c r="J1600" t="s">
        <v>367</v>
      </c>
      <c r="K1600">
        <v>0</v>
      </c>
      <c r="L1600" t="s">
        <v>161</v>
      </c>
      <c r="N1600" t="s">
        <v>211</v>
      </c>
      <c r="O1600" t="s">
        <v>367</v>
      </c>
      <c r="P1600">
        <v>1.9974566877909476E-6</v>
      </c>
      <c r="Q1600" t="s">
        <v>161</v>
      </c>
    </row>
    <row r="1601" spans="9:17" x14ac:dyDescent="0.45">
      <c r="I1601" t="s">
        <v>188</v>
      </c>
      <c r="J1601" t="s">
        <v>368</v>
      </c>
      <c r="K1601">
        <v>2.6679615298357072E-4</v>
      </c>
      <c r="L1601" t="s">
        <v>161</v>
      </c>
      <c r="N1601" t="s">
        <v>211</v>
      </c>
      <c r="O1601" t="s">
        <v>368</v>
      </c>
      <c r="P1601">
        <v>8.015214353387017E-7</v>
      </c>
      <c r="Q1601" t="s">
        <v>161</v>
      </c>
    </row>
    <row r="1602" spans="9:17" x14ac:dyDescent="0.45">
      <c r="I1602" t="s">
        <v>188</v>
      </c>
      <c r="J1602" t="s">
        <v>369</v>
      </c>
      <c r="K1602">
        <v>4.138988531789382E-4</v>
      </c>
      <c r="L1602" t="s">
        <v>161</v>
      </c>
      <c r="N1602" t="s">
        <v>211</v>
      </c>
      <c r="O1602" t="s">
        <v>369</v>
      </c>
      <c r="P1602">
        <v>5.9881870451040066E-8</v>
      </c>
      <c r="Q1602" t="s">
        <v>161</v>
      </c>
    </row>
    <row r="1603" spans="9:17" x14ac:dyDescent="0.45">
      <c r="I1603" t="s">
        <v>188</v>
      </c>
      <c r="J1603" t="s">
        <v>370</v>
      </c>
      <c r="K1603">
        <v>5.0235641770535254E-4</v>
      </c>
      <c r="L1603" t="s">
        <v>161</v>
      </c>
      <c r="N1603" t="s">
        <v>211</v>
      </c>
      <c r="O1603" t="s">
        <v>370</v>
      </c>
      <c r="P1603">
        <v>1.2031283833252168E-7</v>
      </c>
      <c r="Q1603" t="s">
        <v>161</v>
      </c>
    </row>
    <row r="1604" spans="9:17" x14ac:dyDescent="0.45">
      <c r="I1604" t="s">
        <v>188</v>
      </c>
      <c r="J1604" t="s">
        <v>371</v>
      </c>
      <c r="K1604">
        <v>5.5007717299217012E-4</v>
      </c>
      <c r="L1604" t="s">
        <v>161</v>
      </c>
      <c r="N1604" t="s">
        <v>211</v>
      </c>
      <c r="O1604" t="s">
        <v>371</v>
      </c>
      <c r="P1604">
        <v>6.3752654029236259E-8</v>
      </c>
      <c r="Q1604" t="s">
        <v>161</v>
      </c>
    </row>
    <row r="1605" spans="9:17" x14ac:dyDescent="0.45">
      <c r="I1605" t="s">
        <v>188</v>
      </c>
      <c r="J1605" t="s">
        <v>372</v>
      </c>
      <c r="K1605">
        <v>5.7147447967426579E-4</v>
      </c>
      <c r="L1605" t="s">
        <v>161</v>
      </c>
      <c r="N1605" t="s">
        <v>211</v>
      </c>
      <c r="O1605" t="s">
        <v>372</v>
      </c>
      <c r="P1605">
        <v>7.9461174579797939E-8</v>
      </c>
      <c r="Q1605" t="s">
        <v>161</v>
      </c>
    </row>
    <row r="1606" spans="9:17" x14ac:dyDescent="0.45">
      <c r="I1606" t="s">
        <v>188</v>
      </c>
      <c r="J1606" t="s">
        <v>373</v>
      </c>
      <c r="K1606">
        <v>5.0391099308717965E-4</v>
      </c>
      <c r="L1606" t="s">
        <v>161</v>
      </c>
      <c r="N1606" t="s">
        <v>211</v>
      </c>
      <c r="O1606" t="s">
        <v>373</v>
      </c>
      <c r="P1606">
        <v>3.8805559894908287E-8</v>
      </c>
      <c r="Q1606" t="s">
        <v>161</v>
      </c>
    </row>
    <row r="1607" spans="9:17" x14ac:dyDescent="0.45">
      <c r="I1607" t="s">
        <v>188</v>
      </c>
      <c r="J1607" t="s">
        <v>374</v>
      </c>
      <c r="K1607">
        <v>4.2430219257070482E-4</v>
      </c>
      <c r="L1607" t="s">
        <v>161</v>
      </c>
      <c r="N1607" t="s">
        <v>211</v>
      </c>
      <c r="O1607" t="s">
        <v>374</v>
      </c>
      <c r="P1607">
        <v>1.1726532951029766E-8</v>
      </c>
      <c r="Q1607" t="s">
        <v>161</v>
      </c>
    </row>
    <row r="1608" spans="9:17" x14ac:dyDescent="0.45">
      <c r="I1608" t="s">
        <v>188</v>
      </c>
      <c r="J1608" t="s">
        <v>375</v>
      </c>
      <c r="K1608">
        <v>4.860548743784301E-4</v>
      </c>
      <c r="L1608" t="s">
        <v>161</v>
      </c>
      <c r="N1608" t="s">
        <v>211</v>
      </c>
      <c r="O1608" t="s">
        <v>375</v>
      </c>
      <c r="P1608">
        <v>0</v>
      </c>
      <c r="Q1608" t="s">
        <v>161</v>
      </c>
    </row>
    <row r="1609" spans="9:17" x14ac:dyDescent="0.45">
      <c r="I1609" t="s">
        <v>188</v>
      </c>
      <c r="J1609" t="s">
        <v>376</v>
      </c>
      <c r="K1609">
        <v>5.0212983091340517E-4</v>
      </c>
      <c r="L1609" t="s">
        <v>161</v>
      </c>
      <c r="N1609" t="s">
        <v>211</v>
      </c>
      <c r="O1609" t="s">
        <v>376</v>
      </c>
      <c r="P1609">
        <v>0</v>
      </c>
      <c r="Q1609" t="s">
        <v>161</v>
      </c>
    </row>
    <row r="1610" spans="9:17" x14ac:dyDescent="0.45">
      <c r="I1610" t="s">
        <v>188</v>
      </c>
      <c r="J1610" t="s">
        <v>377</v>
      </c>
      <c r="K1610">
        <v>5.3360065109677411E-4</v>
      </c>
      <c r="L1610" t="s">
        <v>161</v>
      </c>
      <c r="N1610" t="s">
        <v>211</v>
      </c>
      <c r="O1610" t="s">
        <v>377</v>
      </c>
      <c r="P1610">
        <v>3.2595275887696551E-8</v>
      </c>
      <c r="Q1610" t="s">
        <v>161</v>
      </c>
    </row>
    <row r="1611" spans="9:17" x14ac:dyDescent="0.45">
      <c r="I1611" t="s">
        <v>188</v>
      </c>
      <c r="J1611" t="s">
        <v>378</v>
      </c>
      <c r="K1611">
        <v>4.7040400911584534E-4</v>
      </c>
      <c r="L1611" t="s">
        <v>161</v>
      </c>
      <c r="N1611" t="s">
        <v>211</v>
      </c>
      <c r="O1611" t="s">
        <v>378</v>
      </c>
      <c r="P1611">
        <v>1.0503195009621831E-7</v>
      </c>
      <c r="Q1611" t="s">
        <v>161</v>
      </c>
    </row>
    <row r="1612" spans="9:17" x14ac:dyDescent="0.45">
      <c r="I1612" t="s">
        <v>188</v>
      </c>
      <c r="J1612" t="s">
        <v>379</v>
      </c>
      <c r="K1612">
        <v>3.9705383720169395E-4</v>
      </c>
      <c r="L1612" t="s">
        <v>161</v>
      </c>
      <c r="N1612" t="s">
        <v>211</v>
      </c>
      <c r="O1612" t="s">
        <v>379</v>
      </c>
      <c r="P1612">
        <v>2.4321510366195233E-6</v>
      </c>
      <c r="Q1612" t="s">
        <v>161</v>
      </c>
    </row>
    <row r="1613" spans="9:17" x14ac:dyDescent="0.45">
      <c r="I1613" t="s">
        <v>188</v>
      </c>
      <c r="J1613" t="s">
        <v>380</v>
      </c>
      <c r="K1613">
        <v>2.6191410481121296E-4</v>
      </c>
      <c r="L1613" t="s">
        <v>161</v>
      </c>
      <c r="N1613" t="s">
        <v>211</v>
      </c>
      <c r="O1613" t="s">
        <v>380</v>
      </c>
      <c r="P1613">
        <v>8.9409185652302241E-6</v>
      </c>
      <c r="Q1613" t="s">
        <v>161</v>
      </c>
    </row>
    <row r="1614" spans="9:17" x14ac:dyDescent="0.45">
      <c r="I1614" t="s">
        <v>188</v>
      </c>
      <c r="J1614" t="s">
        <v>381</v>
      </c>
      <c r="K1614">
        <v>1.8344565007926749E-5</v>
      </c>
      <c r="L1614" t="s">
        <v>161</v>
      </c>
      <c r="N1614" t="s">
        <v>211</v>
      </c>
      <c r="O1614" t="s">
        <v>381</v>
      </c>
      <c r="P1614">
        <v>2.0552735225109166E-5</v>
      </c>
      <c r="Q1614" t="s">
        <v>161</v>
      </c>
    </row>
    <row r="1615" spans="9:17" x14ac:dyDescent="0.45">
      <c r="I1615" t="s">
        <v>188</v>
      </c>
      <c r="J1615" t="s">
        <v>382</v>
      </c>
      <c r="K1615">
        <v>0</v>
      </c>
      <c r="L1615" t="s">
        <v>161</v>
      </c>
      <c r="N1615" t="s">
        <v>211</v>
      </c>
      <c r="O1615" t="s">
        <v>382</v>
      </c>
      <c r="P1615">
        <v>2.7415874021654894E-5</v>
      </c>
      <c r="Q1615" t="s">
        <v>161</v>
      </c>
    </row>
    <row r="1616" spans="9:17" x14ac:dyDescent="0.45">
      <c r="I1616" t="s">
        <v>188</v>
      </c>
      <c r="J1616" t="s">
        <v>383</v>
      </c>
      <c r="K1616">
        <v>0</v>
      </c>
      <c r="L1616" t="s">
        <v>161</v>
      </c>
      <c r="N1616" t="s">
        <v>211</v>
      </c>
      <c r="O1616" t="s">
        <v>383</v>
      </c>
      <c r="P1616">
        <v>2.6493289035890737E-5</v>
      </c>
      <c r="Q1616" t="s">
        <v>161</v>
      </c>
    </row>
    <row r="1617" spans="9:17" x14ac:dyDescent="0.45">
      <c r="I1617" t="s">
        <v>188</v>
      </c>
      <c r="J1617" t="s">
        <v>384</v>
      </c>
      <c r="K1617">
        <v>0</v>
      </c>
      <c r="L1617" t="s">
        <v>161</v>
      </c>
      <c r="N1617" t="s">
        <v>211</v>
      </c>
      <c r="O1617" t="s">
        <v>384</v>
      </c>
      <c r="P1617">
        <v>1.629100661392717E-5</v>
      </c>
      <c r="Q1617" t="s">
        <v>161</v>
      </c>
    </row>
    <row r="1618" spans="9:17" x14ac:dyDescent="0.45">
      <c r="I1618" t="s">
        <v>188</v>
      </c>
      <c r="J1618" t="s">
        <v>385</v>
      </c>
      <c r="K1618">
        <v>0</v>
      </c>
      <c r="L1618" t="s">
        <v>161</v>
      </c>
      <c r="N1618" t="s">
        <v>211</v>
      </c>
      <c r="O1618" t="s">
        <v>385</v>
      </c>
      <c r="P1618">
        <v>9.9595106661112354E-6</v>
      </c>
      <c r="Q1618" t="s">
        <v>161</v>
      </c>
    </row>
    <row r="1619" spans="9:17" x14ac:dyDescent="0.45">
      <c r="I1619" t="s">
        <v>188</v>
      </c>
      <c r="J1619" t="s">
        <v>250</v>
      </c>
      <c r="K1619">
        <v>3.8653624634440074E-3</v>
      </c>
      <c r="L1619" t="s">
        <v>161</v>
      </c>
      <c r="N1619" t="s">
        <v>211</v>
      </c>
      <c r="O1619" t="s">
        <v>250</v>
      </c>
      <c r="P1619">
        <v>5.1323754220149939E-2</v>
      </c>
      <c r="Q1619" t="s">
        <v>161</v>
      </c>
    </row>
    <row r="1620" spans="9:17" x14ac:dyDescent="0.45">
      <c r="I1620" t="s">
        <v>188</v>
      </c>
      <c r="J1620" t="s">
        <v>251</v>
      </c>
      <c r="K1620">
        <v>6.6687831875391016E-3</v>
      </c>
      <c r="L1620" t="s">
        <v>161</v>
      </c>
      <c r="N1620" t="s">
        <v>211</v>
      </c>
      <c r="O1620" t="s">
        <v>251</v>
      </c>
      <c r="P1620">
        <v>6.5862179635786397E-3</v>
      </c>
      <c r="Q1620" t="s">
        <v>161</v>
      </c>
    </row>
    <row r="1621" spans="9:17" x14ac:dyDescent="0.45">
      <c r="I1621" t="s">
        <v>188</v>
      </c>
      <c r="J1621" t="s">
        <v>252</v>
      </c>
      <c r="K1621">
        <v>7.3102374996802541E-2</v>
      </c>
      <c r="L1621" t="s">
        <v>161</v>
      </c>
      <c r="N1621" t="s">
        <v>211</v>
      </c>
      <c r="O1621" t="s">
        <v>252</v>
      </c>
      <c r="P1621">
        <v>4.1562973645768365E-2</v>
      </c>
      <c r="Q1621" t="s">
        <v>161</v>
      </c>
    </row>
    <row r="1622" spans="9:17" x14ac:dyDescent="0.45">
      <c r="I1622" t="s">
        <v>188</v>
      </c>
      <c r="J1622" t="s">
        <v>253</v>
      </c>
      <c r="K1622">
        <v>6.2418964555726441E-3</v>
      </c>
      <c r="L1622" t="s">
        <v>161</v>
      </c>
      <c r="N1622" t="s">
        <v>211</v>
      </c>
      <c r="O1622" t="s">
        <v>253</v>
      </c>
      <c r="P1622">
        <v>5.9880290279465571E-3</v>
      </c>
      <c r="Q1622" t="s">
        <v>161</v>
      </c>
    </row>
    <row r="1623" spans="9:17" x14ac:dyDescent="0.45">
      <c r="I1623" t="s">
        <v>188</v>
      </c>
      <c r="J1623" t="s">
        <v>254</v>
      </c>
      <c r="K1623">
        <v>2.2461512309413872E-3</v>
      </c>
      <c r="L1623" t="s">
        <v>161</v>
      </c>
      <c r="N1623" t="s">
        <v>211</v>
      </c>
      <c r="O1623" t="s">
        <v>254</v>
      </c>
      <c r="P1623">
        <v>6.4077478245436557E-3</v>
      </c>
      <c r="Q1623" t="s">
        <v>161</v>
      </c>
    </row>
    <row r="1624" spans="9:17" x14ac:dyDescent="0.45">
      <c r="I1624" t="s">
        <v>188</v>
      </c>
      <c r="J1624" t="s">
        <v>270</v>
      </c>
      <c r="K1624">
        <v>2.6711525342290173E-6</v>
      </c>
      <c r="L1624" t="s">
        <v>161</v>
      </c>
      <c r="N1624" t="s">
        <v>211</v>
      </c>
      <c r="O1624" t="s">
        <v>270</v>
      </c>
      <c r="P1624">
        <v>4.1836776391136109E-2</v>
      </c>
      <c r="Q1624" t="s">
        <v>161</v>
      </c>
    </row>
    <row r="1625" spans="9:17" x14ac:dyDescent="0.45">
      <c r="I1625" t="s">
        <v>188</v>
      </c>
      <c r="J1625" t="s">
        <v>255</v>
      </c>
      <c r="K1625">
        <v>0</v>
      </c>
      <c r="L1625" t="s">
        <v>161</v>
      </c>
      <c r="N1625" t="s">
        <v>211</v>
      </c>
      <c r="O1625" t="s">
        <v>255</v>
      </c>
      <c r="P1625">
        <v>5.363299644700039E-2</v>
      </c>
      <c r="Q1625" t="s">
        <v>161</v>
      </c>
    </row>
    <row r="1626" spans="9:17" x14ac:dyDescent="0.45">
      <c r="I1626" t="s">
        <v>188</v>
      </c>
      <c r="J1626" t="s">
        <v>256</v>
      </c>
      <c r="K1626">
        <v>1.8323947446471998E-3</v>
      </c>
      <c r="L1626" t="s">
        <v>161</v>
      </c>
      <c r="N1626" t="s">
        <v>211</v>
      </c>
      <c r="O1626" t="s">
        <v>256</v>
      </c>
      <c r="P1626">
        <v>6.2945281182939187E-3</v>
      </c>
      <c r="Q1626" t="s">
        <v>161</v>
      </c>
    </row>
    <row r="1627" spans="9:17" x14ac:dyDescent="0.45">
      <c r="I1627" t="s">
        <v>188</v>
      </c>
      <c r="J1627" t="s">
        <v>257</v>
      </c>
      <c r="K1627">
        <v>3.5136342430741013E-2</v>
      </c>
      <c r="L1627" t="s">
        <v>161</v>
      </c>
      <c r="N1627" t="s">
        <v>211</v>
      </c>
      <c r="O1627" t="s">
        <v>257</v>
      </c>
      <c r="P1627">
        <v>4.1950148108176467E-2</v>
      </c>
      <c r="Q1627" t="s">
        <v>161</v>
      </c>
    </row>
    <row r="1628" spans="9:17" x14ac:dyDescent="0.45">
      <c r="I1628" t="s">
        <v>188</v>
      </c>
      <c r="J1628" t="s">
        <v>258</v>
      </c>
      <c r="K1628">
        <v>6.7134346540074379E-4</v>
      </c>
      <c r="L1628" t="s">
        <v>161</v>
      </c>
      <c r="N1628" t="s">
        <v>211</v>
      </c>
      <c r="O1628" t="s">
        <v>258</v>
      </c>
      <c r="P1628">
        <v>6.4692647129252967E-3</v>
      </c>
      <c r="Q1628" t="s">
        <v>161</v>
      </c>
    </row>
    <row r="1629" spans="9:17" x14ac:dyDescent="0.45">
      <c r="I1629" t="s">
        <v>188</v>
      </c>
      <c r="J1629" t="s">
        <v>259</v>
      </c>
      <c r="K1629">
        <v>0</v>
      </c>
      <c r="L1629" t="s">
        <v>161</v>
      </c>
      <c r="N1629" t="s">
        <v>211</v>
      </c>
      <c r="O1629" t="s">
        <v>259</v>
      </c>
      <c r="P1629">
        <v>6.6805659520126374E-3</v>
      </c>
      <c r="Q1629" t="s">
        <v>161</v>
      </c>
    </row>
    <row r="1630" spans="9:17" x14ac:dyDescent="0.45">
      <c r="I1630" t="s">
        <v>188</v>
      </c>
      <c r="J1630" t="s">
        <v>271</v>
      </c>
      <c r="K1630">
        <v>0</v>
      </c>
      <c r="L1630" t="s">
        <v>161</v>
      </c>
      <c r="N1630" t="s">
        <v>211</v>
      </c>
      <c r="O1630" t="s">
        <v>271</v>
      </c>
      <c r="P1630">
        <v>4.0655279341068787E-2</v>
      </c>
      <c r="Q1630" t="s">
        <v>161</v>
      </c>
    </row>
    <row r="1631" spans="9:17" x14ac:dyDescent="0.45">
      <c r="I1631" t="s">
        <v>188</v>
      </c>
      <c r="J1631" t="s">
        <v>272</v>
      </c>
      <c r="K1631">
        <v>0</v>
      </c>
      <c r="L1631" t="s">
        <v>161</v>
      </c>
      <c r="N1631" t="s">
        <v>211</v>
      </c>
      <c r="O1631" t="s">
        <v>272</v>
      </c>
      <c r="P1631">
        <v>2.222229127131569E-2</v>
      </c>
      <c r="Q1631" t="s">
        <v>161</v>
      </c>
    </row>
    <row r="1632" spans="9:17" x14ac:dyDescent="0.45">
      <c r="I1632" t="s">
        <v>188</v>
      </c>
      <c r="J1632" t="s">
        <v>273</v>
      </c>
      <c r="K1632">
        <v>0</v>
      </c>
      <c r="L1632" t="s">
        <v>161</v>
      </c>
      <c r="N1632" t="s">
        <v>211</v>
      </c>
      <c r="O1632" t="s">
        <v>273</v>
      </c>
      <c r="P1632">
        <v>2.6907212066591027E-3</v>
      </c>
      <c r="Q1632" t="s">
        <v>161</v>
      </c>
    </row>
    <row r="1633" spans="9:17" x14ac:dyDescent="0.45">
      <c r="I1633" t="s">
        <v>188</v>
      </c>
      <c r="J1633" t="s">
        <v>274</v>
      </c>
      <c r="K1633">
        <v>5.6261710488744307E-3</v>
      </c>
      <c r="L1633" t="s">
        <v>161</v>
      </c>
      <c r="N1633" t="s">
        <v>211</v>
      </c>
      <c r="O1633" t="s">
        <v>274</v>
      </c>
      <c r="P1633">
        <v>1.6509402277673082E-2</v>
      </c>
      <c r="Q1633" t="s">
        <v>161</v>
      </c>
    </row>
    <row r="1634" spans="9:17" x14ac:dyDescent="0.45">
      <c r="I1634" t="s">
        <v>188</v>
      </c>
      <c r="J1634" t="s">
        <v>275</v>
      </c>
      <c r="K1634">
        <v>0</v>
      </c>
      <c r="L1634" t="s">
        <v>161</v>
      </c>
      <c r="N1634" t="s">
        <v>211</v>
      </c>
      <c r="O1634" t="s">
        <v>275</v>
      </c>
      <c r="P1634">
        <v>2.2936717295715574E-3</v>
      </c>
      <c r="Q1634" t="s">
        <v>161</v>
      </c>
    </row>
    <row r="1635" spans="9:17" x14ac:dyDescent="0.45">
      <c r="I1635" t="s">
        <v>188</v>
      </c>
      <c r="J1635" t="s">
        <v>276</v>
      </c>
      <c r="K1635">
        <v>0</v>
      </c>
      <c r="L1635" t="s">
        <v>161</v>
      </c>
      <c r="N1635" t="s">
        <v>211</v>
      </c>
      <c r="O1635" t="s">
        <v>276</v>
      </c>
      <c r="P1635">
        <v>2.3657591524764397E-3</v>
      </c>
      <c r="Q1635" t="s">
        <v>161</v>
      </c>
    </row>
    <row r="1636" spans="9:17" x14ac:dyDescent="0.45">
      <c r="I1636" t="s">
        <v>188</v>
      </c>
      <c r="J1636" t="s">
        <v>277</v>
      </c>
      <c r="K1636">
        <v>0</v>
      </c>
      <c r="L1636" t="s">
        <v>161</v>
      </c>
      <c r="N1636" t="s">
        <v>211</v>
      </c>
      <c r="O1636" t="s">
        <v>277</v>
      </c>
      <c r="P1636">
        <v>1.5276498479907471E-2</v>
      </c>
      <c r="Q1636" t="s">
        <v>161</v>
      </c>
    </row>
    <row r="1637" spans="9:17" x14ac:dyDescent="0.45">
      <c r="I1637" t="s">
        <v>188</v>
      </c>
      <c r="J1637" t="s">
        <v>278</v>
      </c>
      <c r="K1637">
        <v>0</v>
      </c>
      <c r="L1637" t="s">
        <v>161</v>
      </c>
      <c r="N1637" t="s">
        <v>211</v>
      </c>
      <c r="O1637" t="s">
        <v>278</v>
      </c>
      <c r="P1637">
        <v>9.113414420054056E-3</v>
      </c>
      <c r="Q1637" t="s">
        <v>161</v>
      </c>
    </row>
    <row r="1638" spans="9:17" x14ac:dyDescent="0.45">
      <c r="I1638" t="s">
        <v>188</v>
      </c>
      <c r="J1638" t="s">
        <v>279</v>
      </c>
      <c r="K1638">
        <v>0</v>
      </c>
      <c r="L1638" t="s">
        <v>161</v>
      </c>
      <c r="N1638" t="s">
        <v>211</v>
      </c>
      <c r="O1638" t="s">
        <v>279</v>
      </c>
      <c r="P1638">
        <v>1.3244739187918129E-3</v>
      </c>
      <c r="Q1638" t="s">
        <v>161</v>
      </c>
    </row>
    <row r="1639" spans="9:17" x14ac:dyDescent="0.45">
      <c r="I1639" t="s">
        <v>188</v>
      </c>
      <c r="J1639" t="s">
        <v>280</v>
      </c>
      <c r="K1639">
        <v>3.5729685864610799E-3</v>
      </c>
      <c r="L1639" t="s">
        <v>161</v>
      </c>
      <c r="N1639" t="s">
        <v>211</v>
      </c>
      <c r="O1639" t="s">
        <v>280</v>
      </c>
      <c r="P1639">
        <v>8.1219420055669549E-3</v>
      </c>
      <c r="Q1639" t="s">
        <v>161</v>
      </c>
    </row>
    <row r="1640" spans="9:17" x14ac:dyDescent="0.45">
      <c r="I1640" t="s">
        <v>188</v>
      </c>
      <c r="J1640" t="s">
        <v>281</v>
      </c>
      <c r="K1640">
        <v>0</v>
      </c>
      <c r="L1640" t="s">
        <v>161</v>
      </c>
      <c r="N1640" t="s">
        <v>211</v>
      </c>
      <c r="O1640" t="s">
        <v>281</v>
      </c>
      <c r="P1640">
        <v>1.065385761567764E-3</v>
      </c>
      <c r="Q1640" t="s">
        <v>161</v>
      </c>
    </row>
    <row r="1641" spans="9:17" x14ac:dyDescent="0.45">
      <c r="I1641" t="s">
        <v>188</v>
      </c>
      <c r="J1641" t="s">
        <v>282</v>
      </c>
      <c r="K1641">
        <v>0</v>
      </c>
      <c r="L1641" t="s">
        <v>161</v>
      </c>
      <c r="N1641" t="s">
        <v>211</v>
      </c>
      <c r="O1641" t="s">
        <v>282</v>
      </c>
      <c r="P1641">
        <v>1.0929208936416464E-3</v>
      </c>
      <c r="Q1641" t="s">
        <v>161</v>
      </c>
    </row>
    <row r="1642" spans="9:17" x14ac:dyDescent="0.45">
      <c r="I1642" t="s">
        <v>188</v>
      </c>
      <c r="J1642" t="s">
        <v>283</v>
      </c>
      <c r="K1642">
        <v>0</v>
      </c>
      <c r="L1642" t="s">
        <v>161</v>
      </c>
      <c r="N1642" t="s">
        <v>211</v>
      </c>
      <c r="O1642" t="s">
        <v>283</v>
      </c>
      <c r="P1642">
        <v>6.9821718568703253E-3</v>
      </c>
      <c r="Q1642" t="s">
        <v>161</v>
      </c>
    </row>
    <row r="1643" spans="9:17" x14ac:dyDescent="0.45">
      <c r="I1643" t="s">
        <v>189</v>
      </c>
      <c r="J1643" t="s">
        <v>160</v>
      </c>
      <c r="K1643">
        <v>2.0179467180957934E-3</v>
      </c>
      <c r="L1643" t="s">
        <v>161</v>
      </c>
      <c r="N1643" t="s">
        <v>212</v>
      </c>
      <c r="O1643" t="s">
        <v>160</v>
      </c>
      <c r="P1643">
        <v>8.3453827149801402E-2</v>
      </c>
      <c r="Q1643" t="s">
        <v>161</v>
      </c>
    </row>
    <row r="1644" spans="9:17" x14ac:dyDescent="0.45">
      <c r="I1644" t="s">
        <v>189</v>
      </c>
      <c r="J1644" t="s">
        <v>162</v>
      </c>
      <c r="K1644">
        <v>6.4319938944366623E-3</v>
      </c>
      <c r="L1644" t="s">
        <v>161</v>
      </c>
      <c r="N1644" t="s">
        <v>212</v>
      </c>
      <c r="O1644" t="s">
        <v>162</v>
      </c>
      <c r="P1644">
        <v>9.4536566457491551E-3</v>
      </c>
      <c r="Q1644" t="s">
        <v>161</v>
      </c>
    </row>
    <row r="1645" spans="9:17" x14ac:dyDescent="0.45">
      <c r="I1645" t="s">
        <v>189</v>
      </c>
      <c r="J1645" t="s">
        <v>163</v>
      </c>
      <c r="K1645">
        <v>9.4196005123966406E-2</v>
      </c>
      <c r="L1645" t="s">
        <v>161</v>
      </c>
      <c r="N1645" t="s">
        <v>212</v>
      </c>
      <c r="O1645" t="s">
        <v>163</v>
      </c>
      <c r="P1645">
        <v>5.7952000353864032E-2</v>
      </c>
      <c r="Q1645" t="s">
        <v>161</v>
      </c>
    </row>
    <row r="1646" spans="9:17" x14ac:dyDescent="0.45">
      <c r="I1646" t="s">
        <v>189</v>
      </c>
      <c r="J1646" t="s">
        <v>242</v>
      </c>
      <c r="K1646">
        <v>7.5032176107355276E-3</v>
      </c>
      <c r="L1646" t="s">
        <v>161</v>
      </c>
      <c r="N1646" t="s">
        <v>212</v>
      </c>
      <c r="O1646" t="s">
        <v>242</v>
      </c>
      <c r="P1646">
        <v>9.3133602937910467E-3</v>
      </c>
      <c r="Q1646" t="s">
        <v>161</v>
      </c>
    </row>
    <row r="1647" spans="9:17" x14ac:dyDescent="0.45">
      <c r="I1647" t="s">
        <v>189</v>
      </c>
      <c r="J1647" t="s">
        <v>243</v>
      </c>
      <c r="K1647">
        <v>3.4224327523842382E-3</v>
      </c>
      <c r="L1647" t="s">
        <v>161</v>
      </c>
      <c r="N1647" t="s">
        <v>212</v>
      </c>
      <c r="O1647" t="s">
        <v>243</v>
      </c>
      <c r="P1647">
        <v>9.8066428079869091E-3</v>
      </c>
      <c r="Q1647" t="s">
        <v>161</v>
      </c>
    </row>
    <row r="1648" spans="9:17" x14ac:dyDescent="0.45">
      <c r="I1648" t="s">
        <v>189</v>
      </c>
      <c r="J1648" t="s">
        <v>266</v>
      </c>
      <c r="K1648">
        <v>1.5509885138534424E-6</v>
      </c>
      <c r="L1648" t="s">
        <v>161</v>
      </c>
      <c r="N1648" t="s">
        <v>212</v>
      </c>
      <c r="O1648" t="s">
        <v>266</v>
      </c>
      <c r="P1648">
        <v>6.6818366552816311E-2</v>
      </c>
      <c r="Q1648" t="s">
        <v>161</v>
      </c>
    </row>
    <row r="1649" spans="9:17" x14ac:dyDescent="0.45">
      <c r="I1649" t="s">
        <v>189</v>
      </c>
      <c r="J1649" t="s">
        <v>311</v>
      </c>
      <c r="K1649">
        <v>0</v>
      </c>
      <c r="L1649" t="s">
        <v>161</v>
      </c>
      <c r="N1649" t="s">
        <v>212</v>
      </c>
      <c r="O1649" t="s">
        <v>311</v>
      </c>
      <c r="P1649">
        <v>2.0027179059603665E-5</v>
      </c>
      <c r="Q1649" t="s">
        <v>161</v>
      </c>
    </row>
    <row r="1650" spans="9:17" x14ac:dyDescent="0.45">
      <c r="I1650" t="s">
        <v>189</v>
      </c>
      <c r="J1650" t="s">
        <v>312</v>
      </c>
      <c r="K1650">
        <v>0</v>
      </c>
      <c r="L1650" t="s">
        <v>161</v>
      </c>
      <c r="N1650" t="s">
        <v>212</v>
      </c>
      <c r="O1650" t="s">
        <v>312</v>
      </c>
      <c r="P1650">
        <v>1.3400197902653867E-5</v>
      </c>
      <c r="Q1650" t="s">
        <v>161</v>
      </c>
    </row>
    <row r="1651" spans="9:17" x14ac:dyDescent="0.45">
      <c r="I1651" t="s">
        <v>189</v>
      </c>
      <c r="J1651" t="s">
        <v>313</v>
      </c>
      <c r="K1651">
        <v>0</v>
      </c>
      <c r="L1651" t="s">
        <v>161</v>
      </c>
      <c r="N1651" t="s">
        <v>212</v>
      </c>
      <c r="O1651" t="s">
        <v>313</v>
      </c>
      <c r="P1651">
        <v>6.7358634502344794E-6</v>
      </c>
      <c r="Q1651" t="s">
        <v>161</v>
      </c>
    </row>
    <row r="1652" spans="9:17" x14ac:dyDescent="0.45">
      <c r="I1652" t="s">
        <v>189</v>
      </c>
      <c r="J1652" t="s">
        <v>314</v>
      </c>
      <c r="K1652">
        <v>0</v>
      </c>
      <c r="L1652" t="s">
        <v>161</v>
      </c>
      <c r="N1652" t="s">
        <v>212</v>
      </c>
      <c r="O1652" t="s">
        <v>314</v>
      </c>
      <c r="P1652">
        <v>1.9729935882886087E-6</v>
      </c>
      <c r="Q1652" t="s">
        <v>161</v>
      </c>
    </row>
    <row r="1653" spans="9:17" x14ac:dyDescent="0.45">
      <c r="I1653" t="s">
        <v>189</v>
      </c>
      <c r="J1653" t="s">
        <v>315</v>
      </c>
      <c r="K1653">
        <v>0</v>
      </c>
      <c r="L1653" t="s">
        <v>161</v>
      </c>
      <c r="N1653" t="s">
        <v>212</v>
      </c>
      <c r="O1653" t="s">
        <v>315</v>
      </c>
      <c r="P1653">
        <v>2.4004655393338421E-6</v>
      </c>
      <c r="Q1653" t="s">
        <v>161</v>
      </c>
    </row>
    <row r="1654" spans="9:17" x14ac:dyDescent="0.45">
      <c r="I1654" t="s">
        <v>189</v>
      </c>
      <c r="J1654" t="s">
        <v>316</v>
      </c>
      <c r="K1654">
        <v>0</v>
      </c>
      <c r="L1654" t="s">
        <v>161</v>
      </c>
      <c r="N1654" t="s">
        <v>212</v>
      </c>
      <c r="O1654" t="s">
        <v>316</v>
      </c>
      <c r="P1654">
        <v>2.7586627417049472E-6</v>
      </c>
      <c r="Q1654" t="s">
        <v>161</v>
      </c>
    </row>
    <row r="1655" spans="9:17" x14ac:dyDescent="0.45">
      <c r="I1655" t="s">
        <v>189</v>
      </c>
      <c r="J1655" t="s">
        <v>317</v>
      </c>
      <c r="K1655">
        <v>0</v>
      </c>
      <c r="L1655" t="s">
        <v>161</v>
      </c>
      <c r="N1655" t="s">
        <v>212</v>
      </c>
      <c r="O1655" t="s">
        <v>317</v>
      </c>
      <c r="P1655">
        <v>3.1999938163631902E-6</v>
      </c>
      <c r="Q1655" t="s">
        <v>161</v>
      </c>
    </row>
    <row r="1656" spans="9:17" x14ac:dyDescent="0.45">
      <c r="I1656" t="s">
        <v>189</v>
      </c>
      <c r="J1656" t="s">
        <v>318</v>
      </c>
      <c r="K1656">
        <v>0</v>
      </c>
      <c r="L1656" t="s">
        <v>161</v>
      </c>
      <c r="N1656" t="s">
        <v>212</v>
      </c>
      <c r="O1656" t="s">
        <v>318</v>
      </c>
      <c r="P1656">
        <v>2.3674256598465734E-6</v>
      </c>
      <c r="Q1656" t="s">
        <v>161</v>
      </c>
    </row>
    <row r="1657" spans="9:17" x14ac:dyDescent="0.45">
      <c r="I1657" t="s">
        <v>189</v>
      </c>
      <c r="J1657" t="s">
        <v>319</v>
      </c>
      <c r="K1657">
        <v>2.6180199003395932E-5</v>
      </c>
      <c r="L1657" t="s">
        <v>161</v>
      </c>
      <c r="N1657" t="s">
        <v>212</v>
      </c>
      <c r="O1657" t="s">
        <v>319</v>
      </c>
      <c r="P1657">
        <v>3.8790576628646107E-7</v>
      </c>
      <c r="Q1657" t="s">
        <v>161</v>
      </c>
    </row>
    <row r="1658" spans="9:17" x14ac:dyDescent="0.45">
      <c r="I1658" t="s">
        <v>189</v>
      </c>
      <c r="J1658" t="s">
        <v>320</v>
      </c>
      <c r="K1658">
        <v>7.3257025001976489E-5</v>
      </c>
      <c r="L1658" t="s">
        <v>161</v>
      </c>
      <c r="N1658" t="s">
        <v>212</v>
      </c>
      <c r="O1658" t="s">
        <v>320</v>
      </c>
      <c r="P1658">
        <v>2.7880958257498084E-6</v>
      </c>
      <c r="Q1658" t="s">
        <v>161</v>
      </c>
    </row>
    <row r="1659" spans="9:17" x14ac:dyDescent="0.45">
      <c r="I1659" t="s">
        <v>189</v>
      </c>
      <c r="J1659" t="s">
        <v>321</v>
      </c>
      <c r="K1659">
        <v>1.0634673369574081E-4</v>
      </c>
      <c r="L1659" t="s">
        <v>161</v>
      </c>
      <c r="N1659" t="s">
        <v>212</v>
      </c>
      <c r="O1659" t="s">
        <v>321</v>
      </c>
      <c r="P1659">
        <v>2.0380142816924002E-5</v>
      </c>
      <c r="Q1659" t="s">
        <v>161</v>
      </c>
    </row>
    <row r="1660" spans="9:17" x14ac:dyDescent="0.45">
      <c r="I1660" t="s">
        <v>189</v>
      </c>
      <c r="J1660" t="s">
        <v>322</v>
      </c>
      <c r="K1660">
        <v>1.3971182612495495E-4</v>
      </c>
      <c r="L1660" t="s">
        <v>161</v>
      </c>
      <c r="N1660" t="s">
        <v>212</v>
      </c>
      <c r="O1660" t="s">
        <v>322</v>
      </c>
      <c r="P1660">
        <v>1.7754010134869448E-5</v>
      </c>
      <c r="Q1660" t="s">
        <v>161</v>
      </c>
    </row>
    <row r="1661" spans="9:17" x14ac:dyDescent="0.45">
      <c r="I1661" t="s">
        <v>189</v>
      </c>
      <c r="J1661" t="s">
        <v>323</v>
      </c>
      <c r="K1661">
        <v>1.6172640111058914E-4</v>
      </c>
      <c r="L1661" t="s">
        <v>161</v>
      </c>
      <c r="N1661" t="s">
        <v>212</v>
      </c>
      <c r="O1661" t="s">
        <v>323</v>
      </c>
      <c r="P1661">
        <v>2.5691056281447749E-5</v>
      </c>
      <c r="Q1661" t="s">
        <v>161</v>
      </c>
    </row>
    <row r="1662" spans="9:17" x14ac:dyDescent="0.45">
      <c r="I1662" t="s">
        <v>189</v>
      </c>
      <c r="J1662" t="s">
        <v>324</v>
      </c>
      <c r="K1662">
        <v>2.4794890088010424E-4</v>
      </c>
      <c r="L1662" t="s">
        <v>161</v>
      </c>
      <c r="N1662" t="s">
        <v>212</v>
      </c>
      <c r="O1662" t="s">
        <v>324</v>
      </c>
      <c r="P1662">
        <v>5.3554853146902993E-5</v>
      </c>
      <c r="Q1662" t="s">
        <v>161</v>
      </c>
    </row>
    <row r="1663" spans="9:17" x14ac:dyDescent="0.45">
      <c r="I1663" t="s">
        <v>189</v>
      </c>
      <c r="J1663" t="s">
        <v>325</v>
      </c>
      <c r="K1663">
        <v>2.069214821336545E-4</v>
      </c>
      <c r="L1663" t="s">
        <v>161</v>
      </c>
      <c r="N1663" t="s">
        <v>212</v>
      </c>
      <c r="O1663" t="s">
        <v>325</v>
      </c>
      <c r="P1663">
        <v>7.1587654629227078E-5</v>
      </c>
      <c r="Q1663" t="s">
        <v>161</v>
      </c>
    </row>
    <row r="1664" spans="9:17" x14ac:dyDescent="0.45">
      <c r="I1664" t="s">
        <v>189</v>
      </c>
      <c r="J1664" t="s">
        <v>326</v>
      </c>
      <c r="K1664">
        <v>1.4468920403502166E-4</v>
      </c>
      <c r="L1664" t="s">
        <v>161</v>
      </c>
      <c r="N1664" t="s">
        <v>212</v>
      </c>
      <c r="O1664" t="s">
        <v>326</v>
      </c>
      <c r="P1664">
        <v>7.0246887363452986E-5</v>
      </c>
      <c r="Q1664" t="s">
        <v>161</v>
      </c>
    </row>
    <row r="1665" spans="9:17" x14ac:dyDescent="0.45">
      <c r="I1665" t="s">
        <v>189</v>
      </c>
      <c r="J1665" t="s">
        <v>327</v>
      </c>
      <c r="K1665">
        <v>1.3179849842134229E-4</v>
      </c>
      <c r="L1665" t="s">
        <v>161</v>
      </c>
      <c r="N1665" t="s">
        <v>212</v>
      </c>
      <c r="O1665" t="s">
        <v>327</v>
      </c>
      <c r="P1665">
        <v>7.3865189218943003E-5</v>
      </c>
      <c r="Q1665" t="s">
        <v>161</v>
      </c>
    </row>
    <row r="1666" spans="9:17" x14ac:dyDescent="0.45">
      <c r="I1666" t="s">
        <v>189</v>
      </c>
      <c r="J1666" t="s">
        <v>328</v>
      </c>
      <c r="K1666">
        <v>1.0118027386921423E-4</v>
      </c>
      <c r="L1666" t="s">
        <v>161</v>
      </c>
      <c r="N1666" t="s">
        <v>212</v>
      </c>
      <c r="O1666" t="s">
        <v>328</v>
      </c>
      <c r="P1666">
        <v>9.8814647619174724E-5</v>
      </c>
      <c r="Q1666" t="s">
        <v>161</v>
      </c>
    </row>
    <row r="1667" spans="9:17" x14ac:dyDescent="0.45">
      <c r="I1667" t="s">
        <v>189</v>
      </c>
      <c r="J1667" t="s">
        <v>329</v>
      </c>
      <c r="K1667">
        <v>0</v>
      </c>
      <c r="L1667" t="s">
        <v>161</v>
      </c>
      <c r="N1667" t="s">
        <v>212</v>
      </c>
      <c r="O1667" t="s">
        <v>329</v>
      </c>
      <c r="P1667">
        <v>1.1871103038112552E-4</v>
      </c>
      <c r="Q1667" t="s">
        <v>161</v>
      </c>
    </row>
    <row r="1668" spans="9:17" x14ac:dyDescent="0.45">
      <c r="I1668" t="s">
        <v>189</v>
      </c>
      <c r="J1668" t="s">
        <v>330</v>
      </c>
      <c r="K1668">
        <v>0</v>
      </c>
      <c r="L1668" t="s">
        <v>161</v>
      </c>
      <c r="N1668" t="s">
        <v>212</v>
      </c>
      <c r="O1668" t="s">
        <v>330</v>
      </c>
      <c r="P1668">
        <v>1.1885441001546162E-4</v>
      </c>
      <c r="Q1668" t="s">
        <v>161</v>
      </c>
    </row>
    <row r="1669" spans="9:17" x14ac:dyDescent="0.45">
      <c r="I1669" t="s">
        <v>189</v>
      </c>
      <c r="J1669" t="s">
        <v>331</v>
      </c>
      <c r="K1669">
        <v>0</v>
      </c>
      <c r="L1669" t="s">
        <v>161</v>
      </c>
      <c r="N1669" t="s">
        <v>212</v>
      </c>
      <c r="O1669" t="s">
        <v>331</v>
      </c>
      <c r="P1669">
        <v>1.153619170218049E-4</v>
      </c>
      <c r="Q1669" t="s">
        <v>161</v>
      </c>
    </row>
    <row r="1670" spans="9:17" x14ac:dyDescent="0.45">
      <c r="I1670" t="s">
        <v>189</v>
      </c>
      <c r="J1670" t="s">
        <v>332</v>
      </c>
      <c r="K1670">
        <v>0</v>
      </c>
      <c r="L1670" t="s">
        <v>161</v>
      </c>
      <c r="N1670" t="s">
        <v>212</v>
      </c>
      <c r="O1670" t="s">
        <v>332</v>
      </c>
      <c r="P1670">
        <v>1.1579433520715306E-4</v>
      </c>
      <c r="Q1670" t="s">
        <v>161</v>
      </c>
    </row>
    <row r="1671" spans="9:17" x14ac:dyDescent="0.45">
      <c r="I1671" t="s">
        <v>189</v>
      </c>
      <c r="J1671" t="s">
        <v>333</v>
      </c>
      <c r="K1671">
        <v>0</v>
      </c>
      <c r="L1671" t="s">
        <v>161</v>
      </c>
      <c r="N1671" t="s">
        <v>212</v>
      </c>
      <c r="O1671" t="s">
        <v>333</v>
      </c>
      <c r="P1671">
        <v>1.0758262923838305E-4</v>
      </c>
      <c r="Q1671" t="s">
        <v>161</v>
      </c>
    </row>
    <row r="1672" spans="9:17" x14ac:dyDescent="0.45">
      <c r="I1672" t="s">
        <v>189</v>
      </c>
      <c r="J1672" t="s">
        <v>334</v>
      </c>
      <c r="K1672">
        <v>0</v>
      </c>
      <c r="L1672" t="s">
        <v>161</v>
      </c>
      <c r="N1672" t="s">
        <v>212</v>
      </c>
      <c r="O1672" t="s">
        <v>334</v>
      </c>
      <c r="P1672">
        <v>7.8985218678169028E-5</v>
      </c>
      <c r="Q1672" t="s">
        <v>161</v>
      </c>
    </row>
    <row r="1673" spans="9:17" x14ac:dyDescent="0.45">
      <c r="I1673" t="s">
        <v>189</v>
      </c>
      <c r="J1673" t="s">
        <v>164</v>
      </c>
      <c r="K1673">
        <v>9.8072806058015268E-3</v>
      </c>
      <c r="L1673" t="s">
        <v>161</v>
      </c>
      <c r="N1673" t="s">
        <v>212</v>
      </c>
      <c r="O1673" t="s">
        <v>164</v>
      </c>
      <c r="P1673">
        <v>4.3921661376194882E-2</v>
      </c>
      <c r="Q1673" t="s">
        <v>161</v>
      </c>
    </row>
    <row r="1674" spans="9:17" x14ac:dyDescent="0.45">
      <c r="I1674" t="s">
        <v>189</v>
      </c>
      <c r="J1674" t="s">
        <v>165</v>
      </c>
      <c r="K1674">
        <v>1.0863326433786989E-2</v>
      </c>
      <c r="L1674" t="s">
        <v>161</v>
      </c>
      <c r="N1674" t="s">
        <v>212</v>
      </c>
      <c r="O1674" t="s">
        <v>165</v>
      </c>
      <c r="P1674">
        <v>5.1200108018434557E-3</v>
      </c>
      <c r="Q1674" t="s">
        <v>161</v>
      </c>
    </row>
    <row r="1675" spans="9:17" x14ac:dyDescent="0.45">
      <c r="I1675" t="s">
        <v>189</v>
      </c>
      <c r="J1675" t="s">
        <v>166</v>
      </c>
      <c r="K1675">
        <v>9.0426386315395957E-2</v>
      </c>
      <c r="L1675" t="s">
        <v>161</v>
      </c>
      <c r="N1675" t="s">
        <v>212</v>
      </c>
      <c r="O1675" t="s">
        <v>166</v>
      </c>
      <c r="P1675">
        <v>3.1474216412596595E-2</v>
      </c>
      <c r="Q1675" t="s">
        <v>161</v>
      </c>
    </row>
    <row r="1676" spans="9:17" x14ac:dyDescent="0.45">
      <c r="I1676" t="s">
        <v>189</v>
      </c>
      <c r="J1676" t="s">
        <v>244</v>
      </c>
      <c r="K1676">
        <v>7.7745138968178182E-3</v>
      </c>
      <c r="L1676" t="s">
        <v>161</v>
      </c>
      <c r="N1676" t="s">
        <v>212</v>
      </c>
      <c r="O1676" t="s">
        <v>244</v>
      </c>
      <c r="P1676">
        <v>4.0769607899942177E-3</v>
      </c>
      <c r="Q1676" t="s">
        <v>161</v>
      </c>
    </row>
    <row r="1677" spans="9:17" x14ac:dyDescent="0.45">
      <c r="I1677" t="s">
        <v>189</v>
      </c>
      <c r="J1677" t="s">
        <v>245</v>
      </c>
      <c r="K1677">
        <v>5.2402895173571402E-3</v>
      </c>
      <c r="L1677" t="s">
        <v>161</v>
      </c>
      <c r="N1677" t="s">
        <v>212</v>
      </c>
      <c r="O1677" t="s">
        <v>245</v>
      </c>
      <c r="P1677">
        <v>4.4634717458952268E-3</v>
      </c>
      <c r="Q1677" t="s">
        <v>161</v>
      </c>
    </row>
    <row r="1678" spans="9:17" x14ac:dyDescent="0.45">
      <c r="I1678" t="s">
        <v>189</v>
      </c>
      <c r="J1678" t="s">
        <v>267</v>
      </c>
      <c r="K1678">
        <v>2.7840427455604901E-3</v>
      </c>
      <c r="L1678" t="s">
        <v>161</v>
      </c>
      <c r="N1678" t="s">
        <v>212</v>
      </c>
      <c r="O1678" t="s">
        <v>267</v>
      </c>
      <c r="P1678">
        <v>3.1208569188467181E-2</v>
      </c>
      <c r="Q1678" t="s">
        <v>161</v>
      </c>
    </row>
    <row r="1679" spans="9:17" x14ac:dyDescent="0.45">
      <c r="I1679" t="s">
        <v>189</v>
      </c>
      <c r="J1679" t="s">
        <v>167</v>
      </c>
      <c r="K1679">
        <v>5.1829668153088218E-2</v>
      </c>
      <c r="L1679" t="s">
        <v>161</v>
      </c>
      <c r="N1679" t="s">
        <v>212</v>
      </c>
      <c r="O1679" t="s">
        <v>167</v>
      </c>
      <c r="P1679">
        <v>6.2537803295437094E-2</v>
      </c>
      <c r="Q1679" t="s">
        <v>161</v>
      </c>
    </row>
    <row r="1680" spans="9:17" x14ac:dyDescent="0.45">
      <c r="I1680" t="s">
        <v>189</v>
      </c>
      <c r="J1680" t="s">
        <v>168</v>
      </c>
      <c r="K1680">
        <v>3.1396733044808632E-2</v>
      </c>
      <c r="L1680" t="s">
        <v>161</v>
      </c>
      <c r="N1680" t="s">
        <v>212</v>
      </c>
      <c r="O1680" t="s">
        <v>168</v>
      </c>
      <c r="P1680">
        <v>6.5884284465572446E-3</v>
      </c>
      <c r="Q1680" t="s">
        <v>161</v>
      </c>
    </row>
    <row r="1681" spans="9:17" x14ac:dyDescent="0.45">
      <c r="I1681" t="s">
        <v>189</v>
      </c>
      <c r="J1681" t="s">
        <v>169</v>
      </c>
      <c r="K1681">
        <v>0.2576839400291252</v>
      </c>
      <c r="L1681" t="s">
        <v>161</v>
      </c>
      <c r="N1681" t="s">
        <v>212</v>
      </c>
      <c r="O1681" t="s">
        <v>169</v>
      </c>
      <c r="P1681">
        <v>5.8449246309125902E-2</v>
      </c>
      <c r="Q1681" t="s">
        <v>161</v>
      </c>
    </row>
    <row r="1682" spans="9:17" x14ac:dyDescent="0.45">
      <c r="I1682" t="s">
        <v>189</v>
      </c>
      <c r="J1682" t="s">
        <v>246</v>
      </c>
      <c r="K1682">
        <v>2.9616922580314627E-2</v>
      </c>
      <c r="L1682" t="s">
        <v>161</v>
      </c>
      <c r="N1682" t="s">
        <v>212</v>
      </c>
      <c r="O1682" t="s">
        <v>246</v>
      </c>
      <c r="P1682">
        <v>9.1608892806482167E-3</v>
      </c>
      <c r="Q1682" t="s">
        <v>161</v>
      </c>
    </row>
    <row r="1683" spans="9:17" x14ac:dyDescent="0.45">
      <c r="I1683" t="s">
        <v>189</v>
      </c>
      <c r="J1683" t="s">
        <v>247</v>
      </c>
      <c r="K1683">
        <v>2.3685888942222739E-2</v>
      </c>
      <c r="L1683" t="s">
        <v>161</v>
      </c>
      <c r="N1683" t="s">
        <v>212</v>
      </c>
      <c r="O1683" t="s">
        <v>247</v>
      </c>
      <c r="P1683">
        <v>8.6021839516008218E-3</v>
      </c>
      <c r="Q1683" t="s">
        <v>161</v>
      </c>
    </row>
    <row r="1684" spans="9:17" x14ac:dyDescent="0.45">
      <c r="I1684" t="s">
        <v>189</v>
      </c>
      <c r="J1684" t="s">
        <v>268</v>
      </c>
      <c r="K1684">
        <v>2.5704050696970029E-2</v>
      </c>
      <c r="L1684" t="s">
        <v>161</v>
      </c>
      <c r="N1684" t="s">
        <v>212</v>
      </c>
      <c r="O1684" t="s">
        <v>268</v>
      </c>
      <c r="P1684">
        <v>6.012357161776119E-2</v>
      </c>
      <c r="Q1684" t="s">
        <v>161</v>
      </c>
    </row>
    <row r="1685" spans="9:17" x14ac:dyDescent="0.45">
      <c r="I1685" t="s">
        <v>189</v>
      </c>
      <c r="J1685" t="s">
        <v>170</v>
      </c>
      <c r="K1685">
        <v>1.9894988580784499E-2</v>
      </c>
      <c r="L1685" t="s">
        <v>161</v>
      </c>
      <c r="N1685" t="s">
        <v>212</v>
      </c>
      <c r="O1685" t="s">
        <v>170</v>
      </c>
      <c r="P1685">
        <v>3.6292132029708123E-2</v>
      </c>
      <c r="Q1685" t="s">
        <v>161</v>
      </c>
    </row>
    <row r="1686" spans="9:17" x14ac:dyDescent="0.45">
      <c r="I1686" t="s">
        <v>189</v>
      </c>
      <c r="J1686" t="s">
        <v>171</v>
      </c>
      <c r="K1686">
        <v>1.4935857597907373E-2</v>
      </c>
      <c r="L1686" t="s">
        <v>161</v>
      </c>
      <c r="N1686" t="s">
        <v>212</v>
      </c>
      <c r="O1686" t="s">
        <v>171</v>
      </c>
      <c r="P1686">
        <v>3.6231523428941082E-3</v>
      </c>
      <c r="Q1686" t="s">
        <v>161</v>
      </c>
    </row>
    <row r="1687" spans="9:17" x14ac:dyDescent="0.45">
      <c r="I1687" t="s">
        <v>189</v>
      </c>
      <c r="J1687" t="s">
        <v>172</v>
      </c>
      <c r="K1687">
        <v>0.1229399301292468</v>
      </c>
      <c r="L1687" t="s">
        <v>161</v>
      </c>
      <c r="N1687" t="s">
        <v>212</v>
      </c>
      <c r="O1687" t="s">
        <v>172</v>
      </c>
      <c r="P1687">
        <v>2.434376621689514E-2</v>
      </c>
      <c r="Q1687" t="s">
        <v>161</v>
      </c>
    </row>
    <row r="1688" spans="9:17" x14ac:dyDescent="0.45">
      <c r="I1688" t="s">
        <v>189</v>
      </c>
      <c r="J1688" t="s">
        <v>248</v>
      </c>
      <c r="K1688">
        <v>1.310583968974966E-2</v>
      </c>
      <c r="L1688" t="s">
        <v>161</v>
      </c>
      <c r="N1688" t="s">
        <v>212</v>
      </c>
      <c r="O1688" t="s">
        <v>248</v>
      </c>
      <c r="P1688">
        <v>3.4850098426083211E-3</v>
      </c>
      <c r="Q1688" t="s">
        <v>161</v>
      </c>
    </row>
    <row r="1689" spans="9:17" x14ac:dyDescent="0.45">
      <c r="I1689" t="s">
        <v>189</v>
      </c>
      <c r="J1689" t="s">
        <v>249</v>
      </c>
      <c r="K1689">
        <v>9.9701685293186321E-3</v>
      </c>
      <c r="L1689" t="s">
        <v>161</v>
      </c>
      <c r="N1689" t="s">
        <v>212</v>
      </c>
      <c r="O1689" t="s">
        <v>249</v>
      </c>
      <c r="P1689">
        <v>3.193319599247276E-3</v>
      </c>
      <c r="Q1689" t="s">
        <v>161</v>
      </c>
    </row>
    <row r="1690" spans="9:17" x14ac:dyDescent="0.45">
      <c r="I1690" t="s">
        <v>189</v>
      </c>
      <c r="J1690" t="s">
        <v>269</v>
      </c>
      <c r="K1690">
        <v>8.153325902397951E-3</v>
      </c>
      <c r="L1690" t="s">
        <v>161</v>
      </c>
      <c r="N1690" t="s">
        <v>212</v>
      </c>
      <c r="O1690" t="s">
        <v>269</v>
      </c>
      <c r="P1690">
        <v>2.594878538918827E-2</v>
      </c>
      <c r="Q1690" t="s">
        <v>161</v>
      </c>
    </row>
    <row r="1691" spans="9:17" x14ac:dyDescent="0.45">
      <c r="I1691" t="s">
        <v>189</v>
      </c>
      <c r="J1691" t="s">
        <v>362</v>
      </c>
      <c r="K1691">
        <v>0</v>
      </c>
      <c r="L1691" t="s">
        <v>161</v>
      </c>
      <c r="N1691" t="s">
        <v>212</v>
      </c>
      <c r="O1691" t="s">
        <v>362</v>
      </c>
      <c r="P1691">
        <v>3.4003470018677319E-5</v>
      </c>
      <c r="Q1691" t="s">
        <v>161</v>
      </c>
    </row>
    <row r="1692" spans="9:17" x14ac:dyDescent="0.45">
      <c r="I1692" t="s">
        <v>189</v>
      </c>
      <c r="J1692" t="s">
        <v>363</v>
      </c>
      <c r="K1692">
        <v>0</v>
      </c>
      <c r="L1692" t="s">
        <v>161</v>
      </c>
      <c r="N1692" t="s">
        <v>212</v>
      </c>
      <c r="O1692" t="s">
        <v>363</v>
      </c>
      <c r="P1692">
        <v>4.6782239522667448E-5</v>
      </c>
      <c r="Q1692" t="s">
        <v>161</v>
      </c>
    </row>
    <row r="1693" spans="9:17" x14ac:dyDescent="0.45">
      <c r="I1693" t="s">
        <v>189</v>
      </c>
      <c r="J1693" t="s">
        <v>364</v>
      </c>
      <c r="K1693">
        <v>0</v>
      </c>
      <c r="L1693" t="s">
        <v>161</v>
      </c>
      <c r="N1693" t="s">
        <v>212</v>
      </c>
      <c r="O1693" t="s">
        <v>364</v>
      </c>
      <c r="P1693">
        <v>5.9943654330133681E-5</v>
      </c>
      <c r="Q1693" t="s">
        <v>161</v>
      </c>
    </row>
    <row r="1694" spans="9:17" x14ac:dyDescent="0.45">
      <c r="I1694" t="s">
        <v>189</v>
      </c>
      <c r="J1694" t="s">
        <v>365</v>
      </c>
      <c r="K1694">
        <v>0</v>
      </c>
      <c r="L1694" t="s">
        <v>161</v>
      </c>
      <c r="N1694" t="s">
        <v>212</v>
      </c>
      <c r="O1694" t="s">
        <v>365</v>
      </c>
      <c r="P1694">
        <v>6.4208449377345616E-5</v>
      </c>
      <c r="Q1694" t="s">
        <v>161</v>
      </c>
    </row>
    <row r="1695" spans="9:17" x14ac:dyDescent="0.45">
      <c r="I1695" t="s">
        <v>189</v>
      </c>
      <c r="J1695" t="s">
        <v>366</v>
      </c>
      <c r="K1695">
        <v>0</v>
      </c>
      <c r="L1695" t="s">
        <v>161</v>
      </c>
      <c r="N1695" t="s">
        <v>212</v>
      </c>
      <c r="O1695" t="s">
        <v>366</v>
      </c>
      <c r="P1695">
        <v>7.4735600200286317E-5</v>
      </c>
      <c r="Q1695" t="s">
        <v>161</v>
      </c>
    </row>
    <row r="1696" spans="9:17" x14ac:dyDescent="0.45">
      <c r="I1696" t="s">
        <v>189</v>
      </c>
      <c r="J1696" t="s">
        <v>367</v>
      </c>
      <c r="K1696">
        <v>0</v>
      </c>
      <c r="L1696" t="s">
        <v>161</v>
      </c>
      <c r="N1696" t="s">
        <v>212</v>
      </c>
      <c r="O1696" t="s">
        <v>367</v>
      </c>
      <c r="P1696">
        <v>1.1842086216121913E-4</v>
      </c>
      <c r="Q1696" t="s">
        <v>161</v>
      </c>
    </row>
    <row r="1697" spans="9:17" x14ac:dyDescent="0.45">
      <c r="I1697" t="s">
        <v>189</v>
      </c>
      <c r="J1697" t="s">
        <v>368</v>
      </c>
      <c r="K1697">
        <v>2.5511782681372568E-4</v>
      </c>
      <c r="L1697" t="s">
        <v>161</v>
      </c>
      <c r="N1697" t="s">
        <v>212</v>
      </c>
      <c r="O1697" t="s">
        <v>368</v>
      </c>
      <c r="P1697">
        <v>8.6084046513262613E-5</v>
      </c>
      <c r="Q1697" t="s">
        <v>161</v>
      </c>
    </row>
    <row r="1698" spans="9:17" x14ac:dyDescent="0.45">
      <c r="I1698" t="s">
        <v>189</v>
      </c>
      <c r="J1698" t="s">
        <v>369</v>
      </c>
      <c r="K1698">
        <v>4.1545457845095879E-4</v>
      </c>
      <c r="L1698" t="s">
        <v>161</v>
      </c>
      <c r="N1698" t="s">
        <v>212</v>
      </c>
      <c r="O1698" t="s">
        <v>369</v>
      </c>
      <c r="P1698">
        <v>7.7035634192381915E-5</v>
      </c>
      <c r="Q1698" t="s">
        <v>161</v>
      </c>
    </row>
    <row r="1699" spans="9:17" x14ac:dyDescent="0.45">
      <c r="I1699" t="s">
        <v>189</v>
      </c>
      <c r="J1699" t="s">
        <v>370</v>
      </c>
      <c r="K1699">
        <v>5.0133923822556531E-4</v>
      </c>
      <c r="L1699" t="s">
        <v>161</v>
      </c>
      <c r="N1699" t="s">
        <v>212</v>
      </c>
      <c r="O1699" t="s">
        <v>370</v>
      </c>
      <c r="P1699">
        <v>1.1404112013874788E-4</v>
      </c>
      <c r="Q1699" t="s">
        <v>161</v>
      </c>
    </row>
    <row r="1700" spans="9:17" x14ac:dyDescent="0.45">
      <c r="I1700" t="s">
        <v>189</v>
      </c>
      <c r="J1700" t="s">
        <v>371</v>
      </c>
      <c r="K1700">
        <v>5.4913573038071985E-4</v>
      </c>
      <c r="L1700" t="s">
        <v>161</v>
      </c>
      <c r="N1700" t="s">
        <v>212</v>
      </c>
      <c r="O1700" t="s">
        <v>371</v>
      </c>
      <c r="P1700">
        <v>1.9578467646747905E-4</v>
      </c>
      <c r="Q1700" t="s">
        <v>161</v>
      </c>
    </row>
    <row r="1701" spans="9:17" x14ac:dyDescent="0.45">
      <c r="I1701" t="s">
        <v>189</v>
      </c>
      <c r="J1701" t="s">
        <v>372</v>
      </c>
      <c r="K1701">
        <v>5.6662783061601487E-4</v>
      </c>
      <c r="L1701" t="s">
        <v>161</v>
      </c>
      <c r="N1701" t="s">
        <v>212</v>
      </c>
      <c r="O1701" t="s">
        <v>372</v>
      </c>
      <c r="P1701">
        <v>2.9586308315425442E-4</v>
      </c>
      <c r="Q1701" t="s">
        <v>161</v>
      </c>
    </row>
    <row r="1702" spans="9:17" x14ac:dyDescent="0.45">
      <c r="I1702" t="s">
        <v>189</v>
      </c>
      <c r="J1702" t="s">
        <v>373</v>
      </c>
      <c r="K1702">
        <v>5.2162489022455417E-4</v>
      </c>
      <c r="L1702" t="s">
        <v>161</v>
      </c>
      <c r="N1702" t="s">
        <v>212</v>
      </c>
      <c r="O1702" t="s">
        <v>373</v>
      </c>
      <c r="P1702">
        <v>2.7294928548427211E-4</v>
      </c>
      <c r="Q1702" t="s">
        <v>161</v>
      </c>
    </row>
    <row r="1703" spans="9:17" x14ac:dyDescent="0.45">
      <c r="I1703" t="s">
        <v>189</v>
      </c>
      <c r="J1703" t="s">
        <v>374</v>
      </c>
      <c r="K1703">
        <v>4.4621340852478929E-4</v>
      </c>
      <c r="L1703" t="s">
        <v>161</v>
      </c>
      <c r="N1703" t="s">
        <v>212</v>
      </c>
      <c r="O1703" t="s">
        <v>374</v>
      </c>
      <c r="P1703">
        <v>2.2187717717455304E-4</v>
      </c>
      <c r="Q1703" t="s">
        <v>161</v>
      </c>
    </row>
    <row r="1704" spans="9:17" x14ac:dyDescent="0.45">
      <c r="I1704" t="s">
        <v>189</v>
      </c>
      <c r="J1704" t="s">
        <v>375</v>
      </c>
      <c r="K1704">
        <v>4.9213077688152061E-4</v>
      </c>
      <c r="L1704" t="s">
        <v>161</v>
      </c>
      <c r="N1704" t="s">
        <v>212</v>
      </c>
      <c r="O1704" t="s">
        <v>375</v>
      </c>
      <c r="P1704">
        <v>1.6245096697076631E-4</v>
      </c>
      <c r="Q1704" t="s">
        <v>161</v>
      </c>
    </row>
    <row r="1705" spans="9:17" x14ac:dyDescent="0.45">
      <c r="I1705" t="s">
        <v>189</v>
      </c>
      <c r="J1705" t="s">
        <v>376</v>
      </c>
      <c r="K1705">
        <v>4.8456601204276758E-4</v>
      </c>
      <c r="L1705" t="s">
        <v>161</v>
      </c>
      <c r="N1705" t="s">
        <v>212</v>
      </c>
      <c r="O1705" t="s">
        <v>376</v>
      </c>
      <c r="P1705">
        <v>1.3159202640801822E-4</v>
      </c>
      <c r="Q1705" t="s">
        <v>161</v>
      </c>
    </row>
    <row r="1706" spans="9:17" x14ac:dyDescent="0.45">
      <c r="I1706" t="s">
        <v>189</v>
      </c>
      <c r="J1706" t="s">
        <v>377</v>
      </c>
      <c r="K1706">
        <v>4.9415121629546241E-4</v>
      </c>
      <c r="L1706" t="s">
        <v>161</v>
      </c>
      <c r="N1706" t="s">
        <v>212</v>
      </c>
      <c r="O1706" t="s">
        <v>377</v>
      </c>
      <c r="P1706">
        <v>1.2611582126295214E-4</v>
      </c>
      <c r="Q1706" t="s">
        <v>161</v>
      </c>
    </row>
    <row r="1707" spans="9:17" x14ac:dyDescent="0.45">
      <c r="I1707" t="s">
        <v>189</v>
      </c>
      <c r="J1707" t="s">
        <v>378</v>
      </c>
      <c r="K1707">
        <v>4.6898301514317184E-4</v>
      </c>
      <c r="L1707" t="s">
        <v>161</v>
      </c>
      <c r="N1707" t="s">
        <v>212</v>
      </c>
      <c r="O1707" t="s">
        <v>378</v>
      </c>
      <c r="P1707">
        <v>1.4218989631794432E-4</v>
      </c>
      <c r="Q1707" t="s">
        <v>161</v>
      </c>
    </row>
    <row r="1708" spans="9:17" x14ac:dyDescent="0.45">
      <c r="I1708" t="s">
        <v>189</v>
      </c>
      <c r="J1708" t="s">
        <v>379</v>
      </c>
      <c r="K1708">
        <v>4.0412814957691326E-4</v>
      </c>
      <c r="L1708" t="s">
        <v>161</v>
      </c>
      <c r="N1708" t="s">
        <v>212</v>
      </c>
      <c r="O1708" t="s">
        <v>379</v>
      </c>
      <c r="P1708">
        <v>1.2173656094681084E-4</v>
      </c>
      <c r="Q1708" t="s">
        <v>161</v>
      </c>
    </row>
    <row r="1709" spans="9:17" x14ac:dyDescent="0.45">
      <c r="I1709" t="s">
        <v>189</v>
      </c>
      <c r="J1709" t="s">
        <v>380</v>
      </c>
      <c r="K1709">
        <v>2.7076591004820196E-4</v>
      </c>
      <c r="L1709" t="s">
        <v>161</v>
      </c>
      <c r="N1709" t="s">
        <v>212</v>
      </c>
      <c r="O1709" t="s">
        <v>380</v>
      </c>
      <c r="P1709">
        <v>1.2052860013569398E-4</v>
      </c>
      <c r="Q1709" t="s">
        <v>161</v>
      </c>
    </row>
    <row r="1710" spans="9:17" x14ac:dyDescent="0.45">
      <c r="I1710" t="s">
        <v>189</v>
      </c>
      <c r="J1710" t="s">
        <v>381</v>
      </c>
      <c r="K1710">
        <v>2.148122397160044E-6</v>
      </c>
      <c r="L1710" t="s">
        <v>161</v>
      </c>
      <c r="N1710" t="s">
        <v>212</v>
      </c>
      <c r="O1710" t="s">
        <v>381</v>
      </c>
      <c r="P1710">
        <v>1.3422994939346822E-4</v>
      </c>
      <c r="Q1710" t="s">
        <v>161</v>
      </c>
    </row>
    <row r="1711" spans="9:17" x14ac:dyDescent="0.45">
      <c r="I1711" t="s">
        <v>189</v>
      </c>
      <c r="J1711" t="s">
        <v>382</v>
      </c>
      <c r="K1711">
        <v>0</v>
      </c>
      <c r="L1711" t="s">
        <v>161</v>
      </c>
      <c r="N1711" t="s">
        <v>212</v>
      </c>
      <c r="O1711" t="s">
        <v>382</v>
      </c>
      <c r="P1711">
        <v>1.2885927625657043E-4</v>
      </c>
      <c r="Q1711" t="s">
        <v>161</v>
      </c>
    </row>
    <row r="1712" spans="9:17" x14ac:dyDescent="0.45">
      <c r="I1712" t="s">
        <v>189</v>
      </c>
      <c r="J1712" t="s">
        <v>383</v>
      </c>
      <c r="K1712">
        <v>0</v>
      </c>
      <c r="L1712" t="s">
        <v>161</v>
      </c>
      <c r="N1712" t="s">
        <v>212</v>
      </c>
      <c r="O1712" t="s">
        <v>383</v>
      </c>
      <c r="P1712">
        <v>9.7111744926771891E-5</v>
      </c>
      <c r="Q1712" t="s">
        <v>161</v>
      </c>
    </row>
    <row r="1713" spans="9:17" x14ac:dyDescent="0.45">
      <c r="I1713" t="s">
        <v>189</v>
      </c>
      <c r="J1713" t="s">
        <v>384</v>
      </c>
      <c r="K1713">
        <v>0</v>
      </c>
      <c r="L1713" t="s">
        <v>161</v>
      </c>
      <c r="N1713" t="s">
        <v>212</v>
      </c>
      <c r="O1713" t="s">
        <v>384</v>
      </c>
      <c r="P1713">
        <v>7.0086851080740367E-5</v>
      </c>
      <c r="Q1713" t="s">
        <v>161</v>
      </c>
    </row>
    <row r="1714" spans="9:17" x14ac:dyDescent="0.45">
      <c r="I1714" t="s">
        <v>189</v>
      </c>
      <c r="J1714" t="s">
        <v>385</v>
      </c>
      <c r="K1714">
        <v>0</v>
      </c>
      <c r="L1714" t="s">
        <v>161</v>
      </c>
      <c r="N1714" t="s">
        <v>212</v>
      </c>
      <c r="O1714" t="s">
        <v>385</v>
      </c>
      <c r="P1714">
        <v>4.9913718927464125E-5</v>
      </c>
      <c r="Q1714" t="s">
        <v>161</v>
      </c>
    </row>
    <row r="1715" spans="9:17" x14ac:dyDescent="0.45">
      <c r="I1715" t="s">
        <v>189</v>
      </c>
      <c r="J1715" t="s">
        <v>250</v>
      </c>
      <c r="K1715">
        <v>4.0626708684498008E-3</v>
      </c>
      <c r="L1715" t="s">
        <v>161</v>
      </c>
      <c r="N1715" t="s">
        <v>212</v>
      </c>
      <c r="O1715" t="s">
        <v>250</v>
      </c>
      <c r="P1715">
        <v>4.421349477080621E-2</v>
      </c>
      <c r="Q1715" t="s">
        <v>161</v>
      </c>
    </row>
    <row r="1716" spans="9:17" x14ac:dyDescent="0.45">
      <c r="I1716" t="s">
        <v>189</v>
      </c>
      <c r="J1716" t="s">
        <v>251</v>
      </c>
      <c r="K1716">
        <v>6.6289992808220627E-3</v>
      </c>
      <c r="L1716" t="s">
        <v>161</v>
      </c>
      <c r="N1716" t="s">
        <v>212</v>
      </c>
      <c r="O1716" t="s">
        <v>251</v>
      </c>
      <c r="P1716">
        <v>4.6175767708102836E-3</v>
      </c>
      <c r="Q1716" t="s">
        <v>161</v>
      </c>
    </row>
    <row r="1717" spans="9:17" x14ac:dyDescent="0.45">
      <c r="I1717" t="s">
        <v>189</v>
      </c>
      <c r="J1717" t="s">
        <v>252</v>
      </c>
      <c r="K1717">
        <v>7.311488921998778E-2</v>
      </c>
      <c r="L1717" t="s">
        <v>161</v>
      </c>
      <c r="N1717" t="s">
        <v>212</v>
      </c>
      <c r="O1717" t="s">
        <v>252</v>
      </c>
      <c r="P1717">
        <v>2.9212490504107243E-2</v>
      </c>
      <c r="Q1717" t="s">
        <v>161</v>
      </c>
    </row>
    <row r="1718" spans="9:17" x14ac:dyDescent="0.45">
      <c r="I1718" t="s">
        <v>189</v>
      </c>
      <c r="J1718" t="s">
        <v>253</v>
      </c>
      <c r="K1718">
        <v>6.4730701807310153E-3</v>
      </c>
      <c r="L1718" t="s">
        <v>161</v>
      </c>
      <c r="N1718" t="s">
        <v>212</v>
      </c>
      <c r="O1718" t="s">
        <v>253</v>
      </c>
      <c r="P1718">
        <v>4.8657840301120497E-3</v>
      </c>
      <c r="Q1718" t="s">
        <v>161</v>
      </c>
    </row>
    <row r="1719" spans="9:17" x14ac:dyDescent="0.45">
      <c r="I1719" t="s">
        <v>189</v>
      </c>
      <c r="J1719" t="s">
        <v>254</v>
      </c>
      <c r="K1719">
        <v>2.412378297038025E-3</v>
      </c>
      <c r="L1719" t="s">
        <v>161</v>
      </c>
      <c r="N1719" t="s">
        <v>212</v>
      </c>
      <c r="O1719" t="s">
        <v>254</v>
      </c>
      <c r="P1719">
        <v>5.3289608958935917E-3</v>
      </c>
      <c r="Q1719" t="s">
        <v>161</v>
      </c>
    </row>
    <row r="1720" spans="9:17" x14ac:dyDescent="0.45">
      <c r="I1720" t="s">
        <v>189</v>
      </c>
      <c r="J1720" t="s">
        <v>270</v>
      </c>
      <c r="K1720">
        <v>2.4981865680207286E-6</v>
      </c>
      <c r="L1720" t="s">
        <v>161</v>
      </c>
      <c r="N1720" t="s">
        <v>212</v>
      </c>
      <c r="O1720" t="s">
        <v>270</v>
      </c>
      <c r="P1720">
        <v>3.4406941814717706E-2</v>
      </c>
      <c r="Q1720" t="s">
        <v>161</v>
      </c>
    </row>
    <row r="1721" spans="9:17" x14ac:dyDescent="0.45">
      <c r="I1721" t="s">
        <v>189</v>
      </c>
      <c r="J1721" t="s">
        <v>255</v>
      </c>
      <c r="K1721">
        <v>6.1471339709829036E-7</v>
      </c>
      <c r="L1721" t="s">
        <v>161</v>
      </c>
      <c r="N1721" t="s">
        <v>212</v>
      </c>
      <c r="O1721" t="s">
        <v>255</v>
      </c>
      <c r="P1721">
        <v>5.8719789282221241E-2</v>
      </c>
      <c r="Q1721" t="s">
        <v>161</v>
      </c>
    </row>
    <row r="1722" spans="9:17" x14ac:dyDescent="0.45">
      <c r="I1722" t="s">
        <v>189</v>
      </c>
      <c r="J1722" t="s">
        <v>256</v>
      </c>
      <c r="K1722">
        <v>1.989643989411375E-3</v>
      </c>
      <c r="L1722" t="s">
        <v>161</v>
      </c>
      <c r="N1722" t="s">
        <v>212</v>
      </c>
      <c r="O1722" t="s">
        <v>256</v>
      </c>
      <c r="P1722">
        <v>6.673929917568551E-3</v>
      </c>
      <c r="Q1722" t="s">
        <v>161</v>
      </c>
    </row>
    <row r="1723" spans="9:17" x14ac:dyDescent="0.45">
      <c r="I1723" t="s">
        <v>189</v>
      </c>
      <c r="J1723" t="s">
        <v>257</v>
      </c>
      <c r="K1723">
        <v>3.815919212004714E-2</v>
      </c>
      <c r="L1723" t="s">
        <v>161</v>
      </c>
      <c r="N1723" t="s">
        <v>212</v>
      </c>
      <c r="O1723" t="s">
        <v>257</v>
      </c>
      <c r="P1723">
        <v>4.013448891496231E-2</v>
      </c>
      <c r="Q1723" t="s">
        <v>161</v>
      </c>
    </row>
    <row r="1724" spans="9:17" x14ac:dyDescent="0.45">
      <c r="I1724" t="s">
        <v>189</v>
      </c>
      <c r="J1724" t="s">
        <v>258</v>
      </c>
      <c r="K1724">
        <v>8.71731158328213E-4</v>
      </c>
      <c r="L1724" t="s">
        <v>161</v>
      </c>
      <c r="N1724" t="s">
        <v>212</v>
      </c>
      <c r="O1724" t="s">
        <v>258</v>
      </c>
      <c r="P1724">
        <v>7.2470086259581517E-3</v>
      </c>
      <c r="Q1724" t="s">
        <v>161</v>
      </c>
    </row>
    <row r="1725" spans="9:17" x14ac:dyDescent="0.45">
      <c r="I1725" t="s">
        <v>189</v>
      </c>
      <c r="J1725" t="s">
        <v>259</v>
      </c>
      <c r="K1725">
        <v>0</v>
      </c>
      <c r="L1725" t="s">
        <v>161</v>
      </c>
      <c r="N1725" t="s">
        <v>212</v>
      </c>
      <c r="O1725" t="s">
        <v>259</v>
      </c>
      <c r="P1725">
        <v>7.4289179653749763E-3</v>
      </c>
      <c r="Q1725" t="s">
        <v>161</v>
      </c>
    </row>
    <row r="1726" spans="9:17" x14ac:dyDescent="0.45">
      <c r="I1726" t="s">
        <v>189</v>
      </c>
      <c r="J1726" t="s">
        <v>271</v>
      </c>
      <c r="K1726">
        <v>0</v>
      </c>
      <c r="L1726" t="s">
        <v>161</v>
      </c>
      <c r="N1726" t="s">
        <v>212</v>
      </c>
      <c r="O1726" t="s">
        <v>271</v>
      </c>
      <c r="P1726">
        <v>4.3970496006494421E-2</v>
      </c>
      <c r="Q1726" t="s">
        <v>161</v>
      </c>
    </row>
    <row r="1727" spans="9:17" x14ac:dyDescent="0.45">
      <c r="I1727" t="s">
        <v>189</v>
      </c>
      <c r="J1727" t="s">
        <v>272</v>
      </c>
      <c r="K1727">
        <v>0</v>
      </c>
      <c r="L1727" t="s">
        <v>161</v>
      </c>
      <c r="N1727" t="s">
        <v>212</v>
      </c>
      <c r="O1727" t="s">
        <v>272</v>
      </c>
      <c r="P1727">
        <v>1.4021400364724606E-2</v>
      </c>
      <c r="Q1727" t="s">
        <v>161</v>
      </c>
    </row>
    <row r="1728" spans="9:17" x14ac:dyDescent="0.45">
      <c r="I1728" t="s">
        <v>189</v>
      </c>
      <c r="J1728" t="s">
        <v>273</v>
      </c>
      <c r="K1728">
        <v>1.063196959809439E-5</v>
      </c>
      <c r="L1728" t="s">
        <v>161</v>
      </c>
      <c r="N1728" t="s">
        <v>212</v>
      </c>
      <c r="O1728" t="s">
        <v>273</v>
      </c>
      <c r="P1728">
        <v>1.4246852582758241E-3</v>
      </c>
      <c r="Q1728" t="s">
        <v>161</v>
      </c>
    </row>
    <row r="1729" spans="9:17" x14ac:dyDescent="0.45">
      <c r="I1729" t="s">
        <v>189</v>
      </c>
      <c r="J1729" t="s">
        <v>274</v>
      </c>
      <c r="K1729">
        <v>5.1841595538329923E-3</v>
      </c>
      <c r="L1729" t="s">
        <v>161</v>
      </c>
      <c r="N1729" t="s">
        <v>212</v>
      </c>
      <c r="O1729" t="s">
        <v>274</v>
      </c>
      <c r="P1729">
        <v>8.5439609276844724E-3</v>
      </c>
      <c r="Q1729" t="s">
        <v>161</v>
      </c>
    </row>
    <row r="1730" spans="9:17" x14ac:dyDescent="0.45">
      <c r="I1730" t="s">
        <v>189</v>
      </c>
      <c r="J1730" t="s">
        <v>275</v>
      </c>
      <c r="K1730">
        <v>0</v>
      </c>
      <c r="L1730" t="s">
        <v>161</v>
      </c>
      <c r="N1730" t="s">
        <v>212</v>
      </c>
      <c r="O1730" t="s">
        <v>275</v>
      </c>
      <c r="P1730">
        <v>1.7321913158913501E-3</v>
      </c>
      <c r="Q1730" t="s">
        <v>161</v>
      </c>
    </row>
    <row r="1731" spans="9:17" x14ac:dyDescent="0.45">
      <c r="I1731" t="s">
        <v>189</v>
      </c>
      <c r="J1731" t="s">
        <v>276</v>
      </c>
      <c r="K1731">
        <v>0</v>
      </c>
      <c r="L1731" t="s">
        <v>161</v>
      </c>
      <c r="N1731" t="s">
        <v>212</v>
      </c>
      <c r="O1731" t="s">
        <v>276</v>
      </c>
      <c r="P1731">
        <v>1.7866123883393773E-3</v>
      </c>
      <c r="Q1731" t="s">
        <v>161</v>
      </c>
    </row>
    <row r="1732" spans="9:17" x14ac:dyDescent="0.45">
      <c r="I1732" t="s">
        <v>189</v>
      </c>
      <c r="J1732" t="s">
        <v>277</v>
      </c>
      <c r="K1732">
        <v>0</v>
      </c>
      <c r="L1732" t="s">
        <v>161</v>
      </c>
      <c r="N1732" t="s">
        <v>212</v>
      </c>
      <c r="O1732" t="s">
        <v>277</v>
      </c>
      <c r="P1732">
        <v>9.7446953113492982E-3</v>
      </c>
      <c r="Q1732" t="s">
        <v>161</v>
      </c>
    </row>
    <row r="1733" spans="9:17" x14ac:dyDescent="0.45">
      <c r="I1733" t="s">
        <v>189</v>
      </c>
      <c r="J1733" t="s">
        <v>278</v>
      </c>
      <c r="K1733">
        <v>0</v>
      </c>
      <c r="L1733" t="s">
        <v>161</v>
      </c>
      <c r="N1733" t="s">
        <v>212</v>
      </c>
      <c r="O1733" t="s">
        <v>278</v>
      </c>
      <c r="P1733">
        <v>6.2936428487310641E-3</v>
      </c>
      <c r="Q1733" t="s">
        <v>161</v>
      </c>
    </row>
    <row r="1734" spans="9:17" x14ac:dyDescent="0.45">
      <c r="I1734" t="s">
        <v>189</v>
      </c>
      <c r="J1734" t="s">
        <v>279</v>
      </c>
      <c r="K1734">
        <v>0</v>
      </c>
      <c r="L1734" t="s">
        <v>161</v>
      </c>
      <c r="N1734" t="s">
        <v>212</v>
      </c>
      <c r="O1734" t="s">
        <v>279</v>
      </c>
      <c r="P1734">
        <v>4.9241656870904651E-4</v>
      </c>
      <c r="Q1734" t="s">
        <v>161</v>
      </c>
    </row>
    <row r="1735" spans="9:17" x14ac:dyDescent="0.45">
      <c r="I1735" t="s">
        <v>189</v>
      </c>
      <c r="J1735" t="s">
        <v>280</v>
      </c>
      <c r="K1735">
        <v>4.4790868313950476E-3</v>
      </c>
      <c r="L1735" t="s">
        <v>161</v>
      </c>
      <c r="N1735" t="s">
        <v>212</v>
      </c>
      <c r="O1735" t="s">
        <v>280</v>
      </c>
      <c r="P1735">
        <v>1.2780331021153028E-3</v>
      </c>
      <c r="Q1735" t="s">
        <v>161</v>
      </c>
    </row>
    <row r="1736" spans="9:17" x14ac:dyDescent="0.45">
      <c r="I1736" t="s">
        <v>189</v>
      </c>
      <c r="J1736" t="s">
        <v>281</v>
      </c>
      <c r="K1736">
        <v>1.1985901709345212E-5</v>
      </c>
      <c r="L1736" t="s">
        <v>161</v>
      </c>
      <c r="N1736" t="s">
        <v>212</v>
      </c>
      <c r="O1736" t="s">
        <v>281</v>
      </c>
      <c r="P1736">
        <v>2.5247882866021823E-4</v>
      </c>
      <c r="Q1736" t="s">
        <v>161</v>
      </c>
    </row>
    <row r="1737" spans="9:17" x14ac:dyDescent="0.45">
      <c r="I1737" t="s">
        <v>189</v>
      </c>
      <c r="J1737" t="s">
        <v>282</v>
      </c>
      <c r="K1737">
        <v>0</v>
      </c>
      <c r="L1737" t="s">
        <v>161</v>
      </c>
      <c r="N1737" t="s">
        <v>212</v>
      </c>
      <c r="O1737" t="s">
        <v>282</v>
      </c>
      <c r="P1737">
        <v>3.6666072122872777E-4</v>
      </c>
      <c r="Q1737" t="s">
        <v>161</v>
      </c>
    </row>
    <row r="1738" spans="9:17" x14ac:dyDescent="0.45">
      <c r="I1738" t="s">
        <v>189</v>
      </c>
      <c r="J1738" t="s">
        <v>283</v>
      </c>
      <c r="K1738">
        <v>0</v>
      </c>
      <c r="L1738" t="s">
        <v>161</v>
      </c>
      <c r="N1738" t="s">
        <v>212</v>
      </c>
      <c r="O1738" t="s">
        <v>283</v>
      </c>
      <c r="P1738">
        <v>3.7425429481242269E-3</v>
      </c>
      <c r="Q1738" t="s">
        <v>161</v>
      </c>
    </row>
    <row r="1739" spans="9:17" x14ac:dyDescent="0.45">
      <c r="I1739" t="s">
        <v>190</v>
      </c>
      <c r="J1739" t="s">
        <v>160</v>
      </c>
      <c r="K1739">
        <v>1.6868626678150618E-3</v>
      </c>
      <c r="L1739" t="s">
        <v>161</v>
      </c>
      <c r="N1739" t="s">
        <v>213</v>
      </c>
      <c r="O1739" t="s">
        <v>160</v>
      </c>
      <c r="P1739">
        <v>8.0127659683239566E-2</v>
      </c>
      <c r="Q1739" t="s">
        <v>161</v>
      </c>
    </row>
    <row r="1740" spans="9:17" x14ac:dyDescent="0.45">
      <c r="I1740" t="s">
        <v>190</v>
      </c>
      <c r="J1740" t="s">
        <v>162</v>
      </c>
      <c r="K1740">
        <v>5.5017693444451479E-3</v>
      </c>
      <c r="L1740" t="s">
        <v>161</v>
      </c>
      <c r="N1740" t="s">
        <v>213</v>
      </c>
      <c r="O1740" t="s">
        <v>162</v>
      </c>
      <c r="P1740">
        <v>9.4591885662171776E-3</v>
      </c>
      <c r="Q1740" t="s">
        <v>161</v>
      </c>
    </row>
    <row r="1741" spans="9:17" x14ac:dyDescent="0.45">
      <c r="I1741" t="s">
        <v>190</v>
      </c>
      <c r="J1741" t="s">
        <v>163</v>
      </c>
      <c r="K1741">
        <v>8.1984901028063301E-2</v>
      </c>
      <c r="L1741" t="s">
        <v>161</v>
      </c>
      <c r="N1741" t="s">
        <v>213</v>
      </c>
      <c r="O1741" t="s">
        <v>163</v>
      </c>
      <c r="P1741">
        <v>5.6340534727698857E-2</v>
      </c>
      <c r="Q1741" t="s">
        <v>161</v>
      </c>
    </row>
    <row r="1742" spans="9:17" x14ac:dyDescent="0.45">
      <c r="I1742" t="s">
        <v>190</v>
      </c>
      <c r="J1742" t="s">
        <v>242</v>
      </c>
      <c r="K1742">
        <v>6.2853657830295295E-3</v>
      </c>
      <c r="L1742" t="s">
        <v>161</v>
      </c>
      <c r="N1742" t="s">
        <v>213</v>
      </c>
      <c r="O1742" t="s">
        <v>242</v>
      </c>
      <c r="P1742">
        <v>8.7673502302858548E-3</v>
      </c>
      <c r="Q1742" t="s">
        <v>161</v>
      </c>
    </row>
    <row r="1743" spans="9:17" x14ac:dyDescent="0.45">
      <c r="I1743" t="s">
        <v>190</v>
      </c>
      <c r="J1743" t="s">
        <v>243</v>
      </c>
      <c r="K1743">
        <v>2.4179052755828275E-3</v>
      </c>
      <c r="L1743" t="s">
        <v>161</v>
      </c>
      <c r="N1743" t="s">
        <v>213</v>
      </c>
      <c r="O1743" t="s">
        <v>243</v>
      </c>
      <c r="P1743">
        <v>9.5467344071965884E-3</v>
      </c>
      <c r="Q1743" t="s">
        <v>161</v>
      </c>
    </row>
    <row r="1744" spans="9:17" x14ac:dyDescent="0.45">
      <c r="I1744" t="s">
        <v>190</v>
      </c>
      <c r="J1744" t="s">
        <v>266</v>
      </c>
      <c r="K1744">
        <v>0</v>
      </c>
      <c r="L1744" t="s">
        <v>161</v>
      </c>
      <c r="N1744" t="s">
        <v>213</v>
      </c>
      <c r="O1744" t="s">
        <v>266</v>
      </c>
      <c r="P1744">
        <v>6.0698413089449434E-2</v>
      </c>
      <c r="Q1744" t="s">
        <v>161</v>
      </c>
    </row>
    <row r="1745" spans="9:17" x14ac:dyDescent="0.45">
      <c r="I1745" t="s">
        <v>190</v>
      </c>
      <c r="J1745" t="s">
        <v>311</v>
      </c>
      <c r="K1745">
        <v>0</v>
      </c>
      <c r="L1745" t="s">
        <v>161</v>
      </c>
      <c r="N1745" t="s">
        <v>213</v>
      </c>
      <c r="O1745" t="s">
        <v>311</v>
      </c>
      <c r="P1745">
        <v>1.6312658697270093E-6</v>
      </c>
      <c r="Q1745" t="s">
        <v>161</v>
      </c>
    </row>
    <row r="1746" spans="9:17" x14ac:dyDescent="0.45">
      <c r="I1746" t="s">
        <v>190</v>
      </c>
      <c r="J1746" t="s">
        <v>312</v>
      </c>
      <c r="K1746">
        <v>0</v>
      </c>
      <c r="L1746" t="s">
        <v>161</v>
      </c>
      <c r="N1746" t="s">
        <v>213</v>
      </c>
      <c r="O1746" t="s">
        <v>312</v>
      </c>
      <c r="P1746">
        <v>5.6533348233845406E-6</v>
      </c>
      <c r="Q1746" t="s">
        <v>161</v>
      </c>
    </row>
    <row r="1747" spans="9:17" x14ac:dyDescent="0.45">
      <c r="I1747" t="s">
        <v>190</v>
      </c>
      <c r="J1747" t="s">
        <v>313</v>
      </c>
      <c r="K1747">
        <v>0</v>
      </c>
      <c r="L1747" t="s">
        <v>161</v>
      </c>
      <c r="N1747" t="s">
        <v>213</v>
      </c>
      <c r="O1747" t="s">
        <v>313</v>
      </c>
      <c r="P1747">
        <v>1.5107157725266917E-5</v>
      </c>
      <c r="Q1747" t="s">
        <v>161</v>
      </c>
    </row>
    <row r="1748" spans="9:17" x14ac:dyDescent="0.45">
      <c r="I1748" t="s">
        <v>190</v>
      </c>
      <c r="J1748" t="s">
        <v>314</v>
      </c>
      <c r="K1748">
        <v>0</v>
      </c>
      <c r="L1748" t="s">
        <v>161</v>
      </c>
      <c r="N1748" t="s">
        <v>213</v>
      </c>
      <c r="O1748" t="s">
        <v>314</v>
      </c>
      <c r="P1748">
        <v>5.4915485901883981E-6</v>
      </c>
      <c r="Q1748" t="s">
        <v>161</v>
      </c>
    </row>
    <row r="1749" spans="9:17" x14ac:dyDescent="0.45">
      <c r="I1749" t="s">
        <v>190</v>
      </c>
      <c r="J1749" t="s">
        <v>315</v>
      </c>
      <c r="K1749">
        <v>0</v>
      </c>
      <c r="L1749" t="s">
        <v>161</v>
      </c>
      <c r="N1749" t="s">
        <v>213</v>
      </c>
      <c r="O1749" t="s">
        <v>315</v>
      </c>
      <c r="P1749">
        <v>3.6718352679359056E-6</v>
      </c>
      <c r="Q1749" t="s">
        <v>161</v>
      </c>
    </row>
    <row r="1750" spans="9:17" x14ac:dyDescent="0.45">
      <c r="I1750" t="s">
        <v>190</v>
      </c>
      <c r="J1750" t="s">
        <v>316</v>
      </c>
      <c r="K1750">
        <v>0</v>
      </c>
      <c r="L1750" t="s">
        <v>161</v>
      </c>
      <c r="N1750" t="s">
        <v>213</v>
      </c>
      <c r="O1750" t="s">
        <v>316</v>
      </c>
      <c r="P1750">
        <v>4.3350860439929552E-6</v>
      </c>
      <c r="Q1750" t="s">
        <v>161</v>
      </c>
    </row>
    <row r="1751" spans="9:17" x14ac:dyDescent="0.45">
      <c r="I1751" t="s">
        <v>190</v>
      </c>
      <c r="J1751" t="s">
        <v>317</v>
      </c>
      <c r="K1751">
        <v>0</v>
      </c>
      <c r="L1751" t="s">
        <v>161</v>
      </c>
      <c r="N1751" t="s">
        <v>213</v>
      </c>
      <c r="O1751" t="s">
        <v>317</v>
      </c>
      <c r="P1751">
        <v>5.1303436896503369E-6</v>
      </c>
      <c r="Q1751" t="s">
        <v>161</v>
      </c>
    </row>
    <row r="1752" spans="9:17" x14ac:dyDescent="0.45">
      <c r="I1752" t="s">
        <v>190</v>
      </c>
      <c r="J1752" t="s">
        <v>318</v>
      </c>
      <c r="K1752">
        <v>0</v>
      </c>
      <c r="L1752" t="s">
        <v>161</v>
      </c>
      <c r="N1752" t="s">
        <v>213</v>
      </c>
      <c r="O1752" t="s">
        <v>318</v>
      </c>
      <c r="P1752">
        <v>4.0965573216065564E-6</v>
      </c>
      <c r="Q1752" t="s">
        <v>161</v>
      </c>
    </row>
    <row r="1753" spans="9:17" x14ac:dyDescent="0.45">
      <c r="I1753" t="s">
        <v>190</v>
      </c>
      <c r="J1753" t="s">
        <v>319</v>
      </c>
      <c r="K1753">
        <v>3.3059634736441524E-5</v>
      </c>
      <c r="L1753" t="s">
        <v>161</v>
      </c>
      <c r="N1753" t="s">
        <v>213</v>
      </c>
      <c r="O1753" t="s">
        <v>319</v>
      </c>
      <c r="P1753">
        <v>8.0769351293063244E-7</v>
      </c>
      <c r="Q1753" t="s">
        <v>161</v>
      </c>
    </row>
    <row r="1754" spans="9:17" x14ac:dyDescent="0.45">
      <c r="I1754" t="s">
        <v>190</v>
      </c>
      <c r="J1754" t="s">
        <v>320</v>
      </c>
      <c r="K1754">
        <v>6.6496722321767051E-5</v>
      </c>
      <c r="L1754" t="s">
        <v>161</v>
      </c>
      <c r="N1754" t="s">
        <v>213</v>
      </c>
      <c r="O1754" t="s">
        <v>320</v>
      </c>
      <c r="P1754">
        <v>1.1242214087429287E-7</v>
      </c>
      <c r="Q1754" t="s">
        <v>161</v>
      </c>
    </row>
    <row r="1755" spans="9:17" x14ac:dyDescent="0.45">
      <c r="I1755" t="s">
        <v>190</v>
      </c>
      <c r="J1755" t="s">
        <v>321</v>
      </c>
      <c r="K1755">
        <v>1.2248825649243281E-4</v>
      </c>
      <c r="L1755" t="s">
        <v>161</v>
      </c>
      <c r="N1755" t="s">
        <v>213</v>
      </c>
      <c r="O1755" t="s">
        <v>321</v>
      </c>
      <c r="P1755">
        <v>2.324138645852854E-6</v>
      </c>
      <c r="Q1755" t="s">
        <v>161</v>
      </c>
    </row>
    <row r="1756" spans="9:17" x14ac:dyDescent="0.45">
      <c r="I1756" t="s">
        <v>190</v>
      </c>
      <c r="J1756" t="s">
        <v>322</v>
      </c>
      <c r="K1756">
        <v>1.5455816768229487E-4</v>
      </c>
      <c r="L1756" t="s">
        <v>161</v>
      </c>
      <c r="N1756" t="s">
        <v>213</v>
      </c>
      <c r="O1756" t="s">
        <v>322</v>
      </c>
      <c r="P1756">
        <v>1.1363603139949429E-5</v>
      </c>
      <c r="Q1756" t="s">
        <v>161</v>
      </c>
    </row>
    <row r="1757" spans="9:17" x14ac:dyDescent="0.45">
      <c r="I1757" t="s">
        <v>190</v>
      </c>
      <c r="J1757" t="s">
        <v>323</v>
      </c>
      <c r="K1757">
        <v>1.7375997996028951E-4</v>
      </c>
      <c r="L1757" t="s">
        <v>161</v>
      </c>
      <c r="N1757" t="s">
        <v>213</v>
      </c>
      <c r="O1757" t="s">
        <v>323</v>
      </c>
      <c r="P1757">
        <v>2.0148942297240701E-5</v>
      </c>
      <c r="Q1757" t="s">
        <v>161</v>
      </c>
    </row>
    <row r="1758" spans="9:17" x14ac:dyDescent="0.45">
      <c r="I1758" t="s">
        <v>190</v>
      </c>
      <c r="J1758" t="s">
        <v>324</v>
      </c>
      <c r="K1758">
        <v>1.5807408211231401E-4</v>
      </c>
      <c r="L1758" t="s">
        <v>161</v>
      </c>
      <c r="N1758" t="s">
        <v>213</v>
      </c>
      <c r="O1758" t="s">
        <v>324</v>
      </c>
      <c r="P1758">
        <v>2.7325039039009303E-5</v>
      </c>
      <c r="Q1758" t="s">
        <v>161</v>
      </c>
    </row>
    <row r="1759" spans="9:17" x14ac:dyDescent="0.45">
      <c r="I1759" t="s">
        <v>190</v>
      </c>
      <c r="J1759" t="s">
        <v>325</v>
      </c>
      <c r="K1759">
        <v>1.1871050812568147E-4</v>
      </c>
      <c r="L1759" t="s">
        <v>161</v>
      </c>
      <c r="N1759" t="s">
        <v>213</v>
      </c>
      <c r="O1759" t="s">
        <v>325</v>
      </c>
      <c r="P1759">
        <v>3.7949259421284942E-5</v>
      </c>
      <c r="Q1759" t="s">
        <v>161</v>
      </c>
    </row>
    <row r="1760" spans="9:17" x14ac:dyDescent="0.45">
      <c r="I1760" t="s">
        <v>190</v>
      </c>
      <c r="J1760" t="s">
        <v>326</v>
      </c>
      <c r="K1760">
        <v>1.284058429518621E-4</v>
      </c>
      <c r="L1760" t="s">
        <v>161</v>
      </c>
      <c r="N1760" t="s">
        <v>213</v>
      </c>
      <c r="O1760" t="s">
        <v>326</v>
      </c>
      <c r="P1760">
        <v>3.9011307048265546E-5</v>
      </c>
      <c r="Q1760" t="s">
        <v>161</v>
      </c>
    </row>
    <row r="1761" spans="9:17" x14ac:dyDescent="0.45">
      <c r="I1761" t="s">
        <v>190</v>
      </c>
      <c r="J1761" t="s">
        <v>327</v>
      </c>
      <c r="K1761">
        <v>4.0012193813310171E-5</v>
      </c>
      <c r="L1761" t="s">
        <v>161</v>
      </c>
      <c r="N1761" t="s">
        <v>213</v>
      </c>
      <c r="O1761" t="s">
        <v>327</v>
      </c>
      <c r="P1761">
        <v>4.7921660617207894E-5</v>
      </c>
      <c r="Q1761" t="s">
        <v>161</v>
      </c>
    </row>
    <row r="1762" spans="9:17" x14ac:dyDescent="0.45">
      <c r="I1762" t="s">
        <v>190</v>
      </c>
      <c r="J1762" t="s">
        <v>328</v>
      </c>
      <c r="K1762">
        <v>0</v>
      </c>
      <c r="L1762" t="s">
        <v>161</v>
      </c>
      <c r="N1762" t="s">
        <v>213</v>
      </c>
      <c r="O1762" t="s">
        <v>328</v>
      </c>
      <c r="P1762">
        <v>7.7177793699453054E-5</v>
      </c>
      <c r="Q1762" t="s">
        <v>161</v>
      </c>
    </row>
    <row r="1763" spans="9:17" x14ac:dyDescent="0.45">
      <c r="I1763" t="s">
        <v>190</v>
      </c>
      <c r="J1763" t="s">
        <v>329</v>
      </c>
      <c r="K1763">
        <v>0</v>
      </c>
      <c r="L1763" t="s">
        <v>161</v>
      </c>
      <c r="N1763" t="s">
        <v>213</v>
      </c>
      <c r="O1763" t="s">
        <v>329</v>
      </c>
      <c r="P1763">
        <v>9.8783191812714101E-5</v>
      </c>
      <c r="Q1763" t="s">
        <v>161</v>
      </c>
    </row>
    <row r="1764" spans="9:17" x14ac:dyDescent="0.45">
      <c r="I1764" t="s">
        <v>190</v>
      </c>
      <c r="J1764" t="s">
        <v>330</v>
      </c>
      <c r="K1764">
        <v>0</v>
      </c>
      <c r="L1764" t="s">
        <v>161</v>
      </c>
      <c r="N1764" t="s">
        <v>213</v>
      </c>
      <c r="O1764" t="s">
        <v>330</v>
      </c>
      <c r="P1764">
        <v>9.7907592099943005E-5</v>
      </c>
      <c r="Q1764" t="s">
        <v>161</v>
      </c>
    </row>
    <row r="1765" spans="9:17" x14ac:dyDescent="0.45">
      <c r="I1765" t="s">
        <v>190</v>
      </c>
      <c r="J1765" t="s">
        <v>331</v>
      </c>
      <c r="K1765">
        <v>0</v>
      </c>
      <c r="L1765" t="s">
        <v>161</v>
      </c>
      <c r="N1765" t="s">
        <v>213</v>
      </c>
      <c r="O1765" t="s">
        <v>331</v>
      </c>
      <c r="P1765">
        <v>9.4970797013225336E-5</v>
      </c>
      <c r="Q1765" t="s">
        <v>161</v>
      </c>
    </row>
    <row r="1766" spans="9:17" x14ac:dyDescent="0.45">
      <c r="I1766" t="s">
        <v>190</v>
      </c>
      <c r="J1766" t="s">
        <v>332</v>
      </c>
      <c r="K1766">
        <v>0</v>
      </c>
      <c r="L1766" t="s">
        <v>161</v>
      </c>
      <c r="N1766" t="s">
        <v>213</v>
      </c>
      <c r="O1766" t="s">
        <v>332</v>
      </c>
      <c r="P1766">
        <v>9.3698856648036913E-5</v>
      </c>
      <c r="Q1766" t="s">
        <v>161</v>
      </c>
    </row>
    <row r="1767" spans="9:17" x14ac:dyDescent="0.45">
      <c r="I1767" t="s">
        <v>190</v>
      </c>
      <c r="J1767" t="s">
        <v>333</v>
      </c>
      <c r="K1767">
        <v>0</v>
      </c>
      <c r="L1767" t="s">
        <v>161</v>
      </c>
      <c r="N1767" t="s">
        <v>213</v>
      </c>
      <c r="O1767" t="s">
        <v>333</v>
      </c>
      <c r="P1767">
        <v>6.5781960673224401E-5</v>
      </c>
      <c r="Q1767" t="s">
        <v>161</v>
      </c>
    </row>
    <row r="1768" spans="9:17" x14ac:dyDescent="0.45">
      <c r="I1768" t="s">
        <v>190</v>
      </c>
      <c r="J1768" t="s">
        <v>334</v>
      </c>
      <c r="K1768">
        <v>0</v>
      </c>
      <c r="L1768" t="s">
        <v>161</v>
      </c>
      <c r="N1768" t="s">
        <v>213</v>
      </c>
      <c r="O1768" t="s">
        <v>334</v>
      </c>
      <c r="P1768">
        <v>6.220988716998228E-5</v>
      </c>
      <c r="Q1768" t="s">
        <v>161</v>
      </c>
    </row>
    <row r="1769" spans="9:17" x14ac:dyDescent="0.45">
      <c r="I1769" t="s">
        <v>190</v>
      </c>
      <c r="J1769" t="s">
        <v>164</v>
      </c>
      <c r="K1769">
        <v>1.2229398450832209E-2</v>
      </c>
      <c r="L1769" t="s">
        <v>161</v>
      </c>
      <c r="N1769" t="s">
        <v>213</v>
      </c>
      <c r="O1769" t="s">
        <v>164</v>
      </c>
      <c r="P1769">
        <v>4.7886138842331089E-2</v>
      </c>
      <c r="Q1769" t="s">
        <v>161</v>
      </c>
    </row>
    <row r="1770" spans="9:17" x14ac:dyDescent="0.45">
      <c r="I1770" t="s">
        <v>190</v>
      </c>
      <c r="J1770" t="s">
        <v>165</v>
      </c>
      <c r="K1770">
        <v>1.0860455588429718E-2</v>
      </c>
      <c r="L1770" t="s">
        <v>161</v>
      </c>
      <c r="N1770" t="s">
        <v>213</v>
      </c>
      <c r="O1770" t="s">
        <v>165</v>
      </c>
      <c r="P1770">
        <v>5.4506109943970107E-3</v>
      </c>
      <c r="Q1770" t="s">
        <v>161</v>
      </c>
    </row>
    <row r="1771" spans="9:17" x14ac:dyDescent="0.45">
      <c r="I1771" t="s">
        <v>190</v>
      </c>
      <c r="J1771" t="s">
        <v>166</v>
      </c>
      <c r="K1771">
        <v>9.3623515478623021E-2</v>
      </c>
      <c r="L1771" t="s">
        <v>161</v>
      </c>
      <c r="N1771" t="s">
        <v>213</v>
      </c>
      <c r="O1771" t="s">
        <v>166</v>
      </c>
      <c r="P1771">
        <v>2.9572735390654692E-2</v>
      </c>
      <c r="Q1771" t="s">
        <v>161</v>
      </c>
    </row>
    <row r="1772" spans="9:17" x14ac:dyDescent="0.45">
      <c r="I1772" t="s">
        <v>190</v>
      </c>
      <c r="J1772" t="s">
        <v>244</v>
      </c>
      <c r="K1772">
        <v>8.5975675602384394E-3</v>
      </c>
      <c r="L1772" t="s">
        <v>161</v>
      </c>
      <c r="N1772" t="s">
        <v>213</v>
      </c>
      <c r="O1772" t="s">
        <v>244</v>
      </c>
      <c r="P1772">
        <v>4.3277890356144023E-3</v>
      </c>
      <c r="Q1772" t="s">
        <v>161</v>
      </c>
    </row>
    <row r="1773" spans="9:17" x14ac:dyDescent="0.45">
      <c r="I1773" t="s">
        <v>190</v>
      </c>
      <c r="J1773" t="s">
        <v>245</v>
      </c>
      <c r="K1773">
        <v>5.3820627774921045E-3</v>
      </c>
      <c r="L1773" t="s">
        <v>161</v>
      </c>
      <c r="N1773" t="s">
        <v>213</v>
      </c>
      <c r="O1773" t="s">
        <v>245</v>
      </c>
      <c r="P1773">
        <v>4.738077743422448E-3</v>
      </c>
      <c r="Q1773" t="s">
        <v>161</v>
      </c>
    </row>
    <row r="1774" spans="9:17" x14ac:dyDescent="0.45">
      <c r="I1774" t="s">
        <v>190</v>
      </c>
      <c r="J1774" t="s">
        <v>267</v>
      </c>
      <c r="K1774">
        <v>2.2778369789741445E-3</v>
      </c>
      <c r="L1774" t="s">
        <v>161</v>
      </c>
      <c r="N1774" t="s">
        <v>213</v>
      </c>
      <c r="O1774" t="s">
        <v>267</v>
      </c>
      <c r="P1774">
        <v>3.5249778821105804E-2</v>
      </c>
      <c r="Q1774" t="s">
        <v>161</v>
      </c>
    </row>
    <row r="1775" spans="9:17" x14ac:dyDescent="0.45">
      <c r="I1775" t="s">
        <v>190</v>
      </c>
      <c r="J1775" t="s">
        <v>167</v>
      </c>
      <c r="K1775">
        <v>6.6197705539267626E-2</v>
      </c>
      <c r="L1775" t="s">
        <v>161</v>
      </c>
      <c r="N1775" t="s">
        <v>213</v>
      </c>
      <c r="O1775" t="s">
        <v>167</v>
      </c>
      <c r="P1775">
        <v>6.3012543882967925E-2</v>
      </c>
      <c r="Q1775" t="s">
        <v>161</v>
      </c>
    </row>
    <row r="1776" spans="9:17" x14ac:dyDescent="0.45">
      <c r="I1776" t="s">
        <v>190</v>
      </c>
      <c r="J1776" t="s">
        <v>168</v>
      </c>
      <c r="K1776">
        <v>3.4562638126357986E-2</v>
      </c>
      <c r="L1776" t="s">
        <v>161</v>
      </c>
      <c r="N1776" t="s">
        <v>213</v>
      </c>
      <c r="O1776" t="s">
        <v>168</v>
      </c>
      <c r="P1776">
        <v>6.0668398854821365E-3</v>
      </c>
      <c r="Q1776" t="s">
        <v>161</v>
      </c>
    </row>
    <row r="1777" spans="9:17" x14ac:dyDescent="0.45">
      <c r="I1777" t="s">
        <v>190</v>
      </c>
      <c r="J1777" t="s">
        <v>169</v>
      </c>
      <c r="K1777">
        <v>0.26940577366064478</v>
      </c>
      <c r="L1777" t="s">
        <v>161</v>
      </c>
      <c r="N1777" t="s">
        <v>213</v>
      </c>
      <c r="O1777" t="s">
        <v>169</v>
      </c>
      <c r="P1777">
        <v>4.6868413059596957E-2</v>
      </c>
      <c r="Q1777" t="s">
        <v>161</v>
      </c>
    </row>
    <row r="1778" spans="9:17" x14ac:dyDescent="0.45">
      <c r="I1778" t="s">
        <v>190</v>
      </c>
      <c r="J1778" t="s">
        <v>246</v>
      </c>
      <c r="K1778">
        <v>2.7812777713126836E-2</v>
      </c>
      <c r="L1778" t="s">
        <v>161</v>
      </c>
      <c r="N1778" t="s">
        <v>213</v>
      </c>
      <c r="O1778" t="s">
        <v>246</v>
      </c>
      <c r="P1778">
        <v>7.6951615831642711E-3</v>
      </c>
      <c r="Q1778" t="s">
        <v>161</v>
      </c>
    </row>
    <row r="1779" spans="9:17" x14ac:dyDescent="0.45">
      <c r="I1779" t="s">
        <v>190</v>
      </c>
      <c r="J1779" t="s">
        <v>247</v>
      </c>
      <c r="K1779">
        <v>2.1820617190539359E-2</v>
      </c>
      <c r="L1779" t="s">
        <v>161</v>
      </c>
      <c r="N1779" t="s">
        <v>213</v>
      </c>
      <c r="O1779" t="s">
        <v>247</v>
      </c>
      <c r="P1779">
        <v>7.8826260820468712E-3</v>
      </c>
      <c r="Q1779" t="s">
        <v>161</v>
      </c>
    </row>
    <row r="1780" spans="9:17" x14ac:dyDescent="0.45">
      <c r="I1780" t="s">
        <v>190</v>
      </c>
      <c r="J1780" t="s">
        <v>268</v>
      </c>
      <c r="K1780">
        <v>2.2468961820208442E-2</v>
      </c>
      <c r="L1780" t="s">
        <v>161</v>
      </c>
      <c r="N1780" t="s">
        <v>213</v>
      </c>
      <c r="O1780" t="s">
        <v>268</v>
      </c>
      <c r="P1780">
        <v>5.9609688550579916E-2</v>
      </c>
      <c r="Q1780" t="s">
        <v>161</v>
      </c>
    </row>
    <row r="1781" spans="9:17" x14ac:dyDescent="0.45">
      <c r="I1781" t="s">
        <v>190</v>
      </c>
      <c r="J1781" t="s">
        <v>170</v>
      </c>
      <c r="K1781">
        <v>2.1990524248814654E-2</v>
      </c>
      <c r="L1781" t="s">
        <v>161</v>
      </c>
      <c r="N1781" t="s">
        <v>213</v>
      </c>
      <c r="O1781" t="s">
        <v>170</v>
      </c>
      <c r="P1781">
        <v>3.2066511390829659E-2</v>
      </c>
      <c r="Q1781" t="s">
        <v>161</v>
      </c>
    </row>
    <row r="1782" spans="9:17" x14ac:dyDescent="0.45">
      <c r="I1782" t="s">
        <v>190</v>
      </c>
      <c r="J1782" t="s">
        <v>171</v>
      </c>
      <c r="K1782">
        <v>1.4819952047278234E-2</v>
      </c>
      <c r="L1782" t="s">
        <v>161</v>
      </c>
      <c r="N1782" t="s">
        <v>213</v>
      </c>
      <c r="O1782" t="s">
        <v>171</v>
      </c>
      <c r="P1782">
        <v>3.417241521702895E-3</v>
      </c>
      <c r="Q1782" t="s">
        <v>161</v>
      </c>
    </row>
    <row r="1783" spans="9:17" x14ac:dyDescent="0.45">
      <c r="I1783" t="s">
        <v>190</v>
      </c>
      <c r="J1783" t="s">
        <v>172</v>
      </c>
      <c r="K1783">
        <v>0.12001796543754105</v>
      </c>
      <c r="L1783" t="s">
        <v>161</v>
      </c>
      <c r="N1783" t="s">
        <v>213</v>
      </c>
      <c r="O1783" t="s">
        <v>172</v>
      </c>
      <c r="P1783">
        <v>1.9581428776659252E-2</v>
      </c>
      <c r="Q1783" t="s">
        <v>161</v>
      </c>
    </row>
    <row r="1784" spans="9:17" x14ac:dyDescent="0.45">
      <c r="I1784" t="s">
        <v>190</v>
      </c>
      <c r="J1784" t="s">
        <v>248</v>
      </c>
      <c r="K1784">
        <v>1.2376844727142814E-2</v>
      </c>
      <c r="L1784" t="s">
        <v>161</v>
      </c>
      <c r="N1784" t="s">
        <v>213</v>
      </c>
      <c r="O1784" t="s">
        <v>248</v>
      </c>
      <c r="P1784">
        <v>3.1174776080292728E-3</v>
      </c>
      <c r="Q1784" t="s">
        <v>161</v>
      </c>
    </row>
    <row r="1785" spans="9:17" x14ac:dyDescent="0.45">
      <c r="I1785" t="s">
        <v>190</v>
      </c>
      <c r="J1785" t="s">
        <v>249</v>
      </c>
      <c r="K1785">
        <v>8.9715982849214171E-3</v>
      </c>
      <c r="L1785" t="s">
        <v>161</v>
      </c>
      <c r="N1785" t="s">
        <v>213</v>
      </c>
      <c r="O1785" t="s">
        <v>249</v>
      </c>
      <c r="P1785">
        <v>3.0299023121959463E-3</v>
      </c>
      <c r="Q1785" t="s">
        <v>161</v>
      </c>
    </row>
    <row r="1786" spans="9:17" x14ac:dyDescent="0.45">
      <c r="I1786" t="s">
        <v>190</v>
      </c>
      <c r="J1786" t="s">
        <v>269</v>
      </c>
      <c r="K1786">
        <v>6.457789815556266E-3</v>
      </c>
      <c r="L1786" t="s">
        <v>161</v>
      </c>
      <c r="N1786" t="s">
        <v>213</v>
      </c>
      <c r="O1786" t="s">
        <v>269</v>
      </c>
      <c r="P1786">
        <v>2.3275874199225277E-2</v>
      </c>
      <c r="Q1786" t="s">
        <v>161</v>
      </c>
    </row>
    <row r="1787" spans="9:17" x14ac:dyDescent="0.45">
      <c r="I1787" t="s">
        <v>190</v>
      </c>
      <c r="J1787" t="s">
        <v>362</v>
      </c>
      <c r="K1787">
        <v>0</v>
      </c>
      <c r="L1787" t="s">
        <v>161</v>
      </c>
      <c r="N1787" t="s">
        <v>213</v>
      </c>
      <c r="O1787" t="s">
        <v>362</v>
      </c>
      <c r="P1787">
        <v>1.2058061166768982E-5</v>
      </c>
      <c r="Q1787" t="s">
        <v>161</v>
      </c>
    </row>
    <row r="1788" spans="9:17" x14ac:dyDescent="0.45">
      <c r="I1788" t="s">
        <v>190</v>
      </c>
      <c r="J1788" t="s">
        <v>363</v>
      </c>
      <c r="K1788">
        <v>0</v>
      </c>
      <c r="L1788" t="s">
        <v>161</v>
      </c>
      <c r="N1788" t="s">
        <v>213</v>
      </c>
      <c r="O1788" t="s">
        <v>363</v>
      </c>
      <c r="P1788">
        <v>2.3993740568489242E-5</v>
      </c>
      <c r="Q1788" t="s">
        <v>161</v>
      </c>
    </row>
    <row r="1789" spans="9:17" x14ac:dyDescent="0.45">
      <c r="I1789" t="s">
        <v>190</v>
      </c>
      <c r="J1789" t="s">
        <v>364</v>
      </c>
      <c r="K1789">
        <v>0</v>
      </c>
      <c r="L1789" t="s">
        <v>161</v>
      </c>
      <c r="N1789" t="s">
        <v>213</v>
      </c>
      <c r="O1789" t="s">
        <v>364</v>
      </c>
      <c r="P1789">
        <v>3.2498435387131187E-5</v>
      </c>
      <c r="Q1789" t="s">
        <v>161</v>
      </c>
    </row>
    <row r="1790" spans="9:17" x14ac:dyDescent="0.45">
      <c r="I1790" t="s">
        <v>190</v>
      </c>
      <c r="J1790" t="s">
        <v>365</v>
      </c>
      <c r="K1790">
        <v>0</v>
      </c>
      <c r="L1790" t="s">
        <v>161</v>
      </c>
      <c r="N1790" t="s">
        <v>213</v>
      </c>
      <c r="O1790" t="s">
        <v>365</v>
      </c>
      <c r="P1790">
        <v>3.4885911026955889E-5</v>
      </c>
      <c r="Q1790" t="s">
        <v>161</v>
      </c>
    </row>
    <row r="1791" spans="9:17" x14ac:dyDescent="0.45">
      <c r="I1791" t="s">
        <v>190</v>
      </c>
      <c r="J1791" t="s">
        <v>366</v>
      </c>
      <c r="K1791">
        <v>0</v>
      </c>
      <c r="L1791" t="s">
        <v>161</v>
      </c>
      <c r="N1791" t="s">
        <v>213</v>
      </c>
      <c r="O1791" t="s">
        <v>366</v>
      </c>
      <c r="P1791">
        <v>4.7033803671038507E-5</v>
      </c>
      <c r="Q1791" t="s">
        <v>161</v>
      </c>
    </row>
    <row r="1792" spans="9:17" x14ac:dyDescent="0.45">
      <c r="I1792" t="s">
        <v>190</v>
      </c>
      <c r="J1792" t="s">
        <v>367</v>
      </c>
      <c r="K1792">
        <v>1.1621282826852969E-4</v>
      </c>
      <c r="L1792" t="s">
        <v>161</v>
      </c>
      <c r="N1792" t="s">
        <v>213</v>
      </c>
      <c r="O1792" t="s">
        <v>367</v>
      </c>
      <c r="P1792">
        <v>6.4537387459641542E-5</v>
      </c>
      <c r="Q1792" t="s">
        <v>161</v>
      </c>
    </row>
    <row r="1793" spans="9:17" x14ac:dyDescent="0.45">
      <c r="I1793" t="s">
        <v>190</v>
      </c>
      <c r="J1793" t="s">
        <v>368</v>
      </c>
      <c r="K1793">
        <v>2.1385928075045535E-4</v>
      </c>
      <c r="L1793" t="s">
        <v>161</v>
      </c>
      <c r="N1793" t="s">
        <v>213</v>
      </c>
      <c r="O1793" t="s">
        <v>368</v>
      </c>
      <c r="P1793">
        <v>5.0653016600010833E-5</v>
      </c>
      <c r="Q1793" t="s">
        <v>161</v>
      </c>
    </row>
    <row r="1794" spans="9:17" x14ac:dyDescent="0.45">
      <c r="I1794" t="s">
        <v>190</v>
      </c>
      <c r="J1794" t="s">
        <v>369</v>
      </c>
      <c r="K1794">
        <v>3.3254673879804501E-4</v>
      </c>
      <c r="L1794" t="s">
        <v>161</v>
      </c>
      <c r="N1794" t="s">
        <v>213</v>
      </c>
      <c r="O1794" t="s">
        <v>369</v>
      </c>
      <c r="P1794">
        <v>3.1669229887335409E-5</v>
      </c>
      <c r="Q1794" t="s">
        <v>161</v>
      </c>
    </row>
    <row r="1795" spans="9:17" x14ac:dyDescent="0.45">
      <c r="I1795" t="s">
        <v>190</v>
      </c>
      <c r="J1795" t="s">
        <v>370</v>
      </c>
      <c r="K1795">
        <v>4.3785820351356902E-4</v>
      </c>
      <c r="L1795" t="s">
        <v>161</v>
      </c>
      <c r="N1795" t="s">
        <v>213</v>
      </c>
      <c r="O1795" t="s">
        <v>370</v>
      </c>
      <c r="P1795">
        <v>3.4227673435104945E-5</v>
      </c>
      <c r="Q1795" t="s">
        <v>161</v>
      </c>
    </row>
    <row r="1796" spans="9:17" x14ac:dyDescent="0.45">
      <c r="I1796" t="s">
        <v>190</v>
      </c>
      <c r="J1796" t="s">
        <v>371</v>
      </c>
      <c r="K1796">
        <v>5.3812194121239006E-4</v>
      </c>
      <c r="L1796" t="s">
        <v>161</v>
      </c>
      <c r="N1796" t="s">
        <v>213</v>
      </c>
      <c r="O1796" t="s">
        <v>371</v>
      </c>
      <c r="P1796">
        <v>8.2161534186050322E-5</v>
      </c>
      <c r="Q1796" t="s">
        <v>161</v>
      </c>
    </row>
    <row r="1797" spans="9:17" x14ac:dyDescent="0.45">
      <c r="I1797" t="s">
        <v>190</v>
      </c>
      <c r="J1797" t="s">
        <v>372</v>
      </c>
      <c r="K1797">
        <v>5.3232332333602648E-4</v>
      </c>
      <c r="L1797" t="s">
        <v>161</v>
      </c>
      <c r="N1797" t="s">
        <v>213</v>
      </c>
      <c r="O1797" t="s">
        <v>372</v>
      </c>
      <c r="P1797">
        <v>1.3863051570070904E-4</v>
      </c>
      <c r="Q1797" t="s">
        <v>161</v>
      </c>
    </row>
    <row r="1798" spans="9:17" x14ac:dyDescent="0.45">
      <c r="I1798" t="s">
        <v>190</v>
      </c>
      <c r="J1798" t="s">
        <v>373</v>
      </c>
      <c r="K1798">
        <v>4.497886414349502E-4</v>
      </c>
      <c r="L1798" t="s">
        <v>161</v>
      </c>
      <c r="N1798" t="s">
        <v>213</v>
      </c>
      <c r="O1798" t="s">
        <v>373</v>
      </c>
      <c r="P1798">
        <v>1.1885373193711059E-4</v>
      </c>
      <c r="Q1798" t="s">
        <v>161</v>
      </c>
    </row>
    <row r="1799" spans="9:17" x14ac:dyDescent="0.45">
      <c r="I1799" t="s">
        <v>190</v>
      </c>
      <c r="J1799" t="s">
        <v>374</v>
      </c>
      <c r="K1799">
        <v>3.6982343158790547E-4</v>
      </c>
      <c r="L1799" t="s">
        <v>161</v>
      </c>
      <c r="N1799" t="s">
        <v>213</v>
      </c>
      <c r="O1799" t="s">
        <v>374</v>
      </c>
      <c r="P1799">
        <v>8.0163275274531859E-5</v>
      </c>
      <c r="Q1799" t="s">
        <v>161</v>
      </c>
    </row>
    <row r="1800" spans="9:17" x14ac:dyDescent="0.45">
      <c r="I1800" t="s">
        <v>190</v>
      </c>
      <c r="J1800" t="s">
        <v>375</v>
      </c>
      <c r="K1800">
        <v>3.5725612552912201E-4</v>
      </c>
      <c r="L1800" t="s">
        <v>161</v>
      </c>
      <c r="N1800" t="s">
        <v>213</v>
      </c>
      <c r="O1800" t="s">
        <v>375</v>
      </c>
      <c r="P1800">
        <v>6.2508519062608195E-5</v>
      </c>
      <c r="Q1800" t="s">
        <v>161</v>
      </c>
    </row>
    <row r="1801" spans="9:17" x14ac:dyDescent="0.45">
      <c r="I1801" t="s">
        <v>190</v>
      </c>
      <c r="J1801" t="s">
        <v>376</v>
      </c>
      <c r="K1801">
        <v>3.4201742785247867E-4</v>
      </c>
      <c r="L1801" t="s">
        <v>161</v>
      </c>
      <c r="N1801" t="s">
        <v>213</v>
      </c>
      <c r="O1801" t="s">
        <v>376</v>
      </c>
      <c r="P1801">
        <v>5.7319782449004132E-5</v>
      </c>
      <c r="Q1801" t="s">
        <v>161</v>
      </c>
    </row>
    <row r="1802" spans="9:17" x14ac:dyDescent="0.45">
      <c r="I1802" t="s">
        <v>190</v>
      </c>
      <c r="J1802" t="s">
        <v>377</v>
      </c>
      <c r="K1802">
        <v>2.3942784167666371E-4</v>
      </c>
      <c r="L1802" t="s">
        <v>161</v>
      </c>
      <c r="N1802" t="s">
        <v>213</v>
      </c>
      <c r="O1802" t="s">
        <v>377</v>
      </c>
      <c r="P1802">
        <v>5.2009390476155888E-5</v>
      </c>
      <c r="Q1802" t="s">
        <v>161</v>
      </c>
    </row>
    <row r="1803" spans="9:17" x14ac:dyDescent="0.45">
      <c r="I1803" t="s">
        <v>190</v>
      </c>
      <c r="J1803" t="s">
        <v>378</v>
      </c>
      <c r="K1803">
        <v>1.5986248978855038E-4</v>
      </c>
      <c r="L1803" t="s">
        <v>161</v>
      </c>
      <c r="N1803" t="s">
        <v>213</v>
      </c>
      <c r="O1803" t="s">
        <v>378</v>
      </c>
      <c r="P1803">
        <v>5.1776242627641699E-5</v>
      </c>
      <c r="Q1803" t="s">
        <v>161</v>
      </c>
    </row>
    <row r="1804" spans="9:17" x14ac:dyDescent="0.45">
      <c r="I1804" t="s">
        <v>190</v>
      </c>
      <c r="J1804" t="s">
        <v>379</v>
      </c>
      <c r="K1804">
        <v>1.0406529914817818E-4</v>
      </c>
      <c r="L1804" t="s">
        <v>161</v>
      </c>
      <c r="N1804" t="s">
        <v>213</v>
      </c>
      <c r="O1804" t="s">
        <v>379</v>
      </c>
      <c r="P1804">
        <v>4.4377751940997205E-5</v>
      </c>
      <c r="Q1804" t="s">
        <v>161</v>
      </c>
    </row>
    <row r="1805" spans="9:17" x14ac:dyDescent="0.45">
      <c r="I1805" t="s">
        <v>190</v>
      </c>
      <c r="J1805" t="s">
        <v>380</v>
      </c>
      <c r="K1805">
        <v>6.2268784541748496E-5</v>
      </c>
      <c r="L1805" t="s">
        <v>161</v>
      </c>
      <c r="N1805" t="s">
        <v>213</v>
      </c>
      <c r="O1805" t="s">
        <v>380</v>
      </c>
      <c r="P1805">
        <v>5.1998244746164307E-5</v>
      </c>
      <c r="Q1805" t="s">
        <v>161</v>
      </c>
    </row>
    <row r="1806" spans="9:17" x14ac:dyDescent="0.45">
      <c r="I1806" t="s">
        <v>190</v>
      </c>
      <c r="J1806" t="s">
        <v>381</v>
      </c>
      <c r="K1806">
        <v>0</v>
      </c>
      <c r="L1806" t="s">
        <v>161</v>
      </c>
      <c r="N1806" t="s">
        <v>213</v>
      </c>
      <c r="O1806" t="s">
        <v>381</v>
      </c>
      <c r="P1806">
        <v>6.8033155947528712E-5</v>
      </c>
      <c r="Q1806" t="s">
        <v>161</v>
      </c>
    </row>
    <row r="1807" spans="9:17" x14ac:dyDescent="0.45">
      <c r="I1807" t="s">
        <v>190</v>
      </c>
      <c r="J1807" t="s">
        <v>382</v>
      </c>
      <c r="K1807">
        <v>0</v>
      </c>
      <c r="L1807" t="s">
        <v>161</v>
      </c>
      <c r="N1807" t="s">
        <v>213</v>
      </c>
      <c r="O1807" t="s">
        <v>382</v>
      </c>
      <c r="P1807">
        <v>6.9935081184017164E-5</v>
      </c>
      <c r="Q1807" t="s">
        <v>161</v>
      </c>
    </row>
    <row r="1808" spans="9:17" x14ac:dyDescent="0.45">
      <c r="I1808" t="s">
        <v>190</v>
      </c>
      <c r="J1808" t="s">
        <v>383</v>
      </c>
      <c r="K1808">
        <v>0</v>
      </c>
      <c r="L1808" t="s">
        <v>161</v>
      </c>
      <c r="N1808" t="s">
        <v>213</v>
      </c>
      <c r="O1808" t="s">
        <v>383</v>
      </c>
      <c r="P1808">
        <v>6.6740980187056902E-5</v>
      </c>
      <c r="Q1808" t="s">
        <v>161</v>
      </c>
    </row>
    <row r="1809" spans="9:17" x14ac:dyDescent="0.45">
      <c r="I1809" t="s">
        <v>190</v>
      </c>
      <c r="J1809" t="s">
        <v>384</v>
      </c>
      <c r="K1809">
        <v>0</v>
      </c>
      <c r="L1809" t="s">
        <v>161</v>
      </c>
      <c r="N1809" t="s">
        <v>213</v>
      </c>
      <c r="O1809" t="s">
        <v>384</v>
      </c>
      <c r="P1809">
        <v>6.437380107401443E-5</v>
      </c>
      <c r="Q1809" t="s">
        <v>161</v>
      </c>
    </row>
    <row r="1810" spans="9:17" x14ac:dyDescent="0.45">
      <c r="I1810" t="s">
        <v>190</v>
      </c>
      <c r="J1810" t="s">
        <v>385</v>
      </c>
      <c r="K1810">
        <v>0</v>
      </c>
      <c r="L1810" t="s">
        <v>161</v>
      </c>
      <c r="N1810" t="s">
        <v>213</v>
      </c>
      <c r="O1810" t="s">
        <v>385</v>
      </c>
      <c r="P1810">
        <v>5.2118705679392957E-5</v>
      </c>
      <c r="Q1810" t="s">
        <v>161</v>
      </c>
    </row>
    <row r="1811" spans="9:17" x14ac:dyDescent="0.45">
      <c r="I1811" t="s">
        <v>190</v>
      </c>
      <c r="J1811" t="s">
        <v>250</v>
      </c>
      <c r="K1811">
        <v>5.136276512724843E-3</v>
      </c>
      <c r="L1811" t="s">
        <v>161</v>
      </c>
      <c r="N1811" t="s">
        <v>213</v>
      </c>
      <c r="O1811" t="s">
        <v>250</v>
      </c>
      <c r="P1811">
        <v>5.3060339437507577E-2</v>
      </c>
      <c r="Q1811" t="s">
        <v>161</v>
      </c>
    </row>
    <row r="1812" spans="9:17" x14ac:dyDescent="0.45">
      <c r="I1812" t="s">
        <v>190</v>
      </c>
      <c r="J1812" t="s">
        <v>251</v>
      </c>
      <c r="K1812">
        <v>7.4093631654898427E-3</v>
      </c>
      <c r="L1812" t="s">
        <v>161</v>
      </c>
      <c r="N1812" t="s">
        <v>213</v>
      </c>
      <c r="O1812" t="s">
        <v>251</v>
      </c>
      <c r="P1812">
        <v>6.089240611332025E-3</v>
      </c>
      <c r="Q1812" t="s">
        <v>161</v>
      </c>
    </row>
    <row r="1813" spans="9:17" x14ac:dyDescent="0.45">
      <c r="I1813" t="s">
        <v>190</v>
      </c>
      <c r="J1813" t="s">
        <v>252</v>
      </c>
      <c r="K1813">
        <v>7.333932324151704E-2</v>
      </c>
      <c r="L1813" t="s">
        <v>161</v>
      </c>
      <c r="N1813" t="s">
        <v>213</v>
      </c>
      <c r="O1813" t="s">
        <v>252</v>
      </c>
      <c r="P1813">
        <v>3.3609242692967216E-2</v>
      </c>
      <c r="Q1813" t="s">
        <v>161</v>
      </c>
    </row>
    <row r="1814" spans="9:17" x14ac:dyDescent="0.45">
      <c r="I1814" t="s">
        <v>190</v>
      </c>
      <c r="J1814" t="s">
        <v>253</v>
      </c>
      <c r="K1814">
        <v>5.0477997634476007E-3</v>
      </c>
      <c r="L1814" t="s">
        <v>161</v>
      </c>
      <c r="N1814" t="s">
        <v>213</v>
      </c>
      <c r="O1814" t="s">
        <v>253</v>
      </c>
      <c r="P1814">
        <v>5.2314328358812725E-3</v>
      </c>
      <c r="Q1814" t="s">
        <v>161</v>
      </c>
    </row>
    <row r="1815" spans="9:17" x14ac:dyDescent="0.45">
      <c r="I1815" t="s">
        <v>190</v>
      </c>
      <c r="J1815" t="s">
        <v>254</v>
      </c>
      <c r="K1815">
        <v>1.5444067464391881E-3</v>
      </c>
      <c r="L1815" t="s">
        <v>161</v>
      </c>
      <c r="N1815" t="s">
        <v>213</v>
      </c>
      <c r="O1815" t="s">
        <v>254</v>
      </c>
      <c r="P1815">
        <v>5.6670085856644044E-3</v>
      </c>
      <c r="Q1815" t="s">
        <v>161</v>
      </c>
    </row>
    <row r="1816" spans="9:17" x14ac:dyDescent="0.45">
      <c r="I1816" t="s">
        <v>190</v>
      </c>
      <c r="J1816" t="s">
        <v>270</v>
      </c>
      <c r="K1816">
        <v>0</v>
      </c>
      <c r="L1816" t="s">
        <v>161</v>
      </c>
      <c r="N1816" t="s">
        <v>213</v>
      </c>
      <c r="O1816" t="s">
        <v>270</v>
      </c>
      <c r="P1816">
        <v>3.7916855877360663E-2</v>
      </c>
      <c r="Q1816" t="s">
        <v>161</v>
      </c>
    </row>
    <row r="1817" spans="9:17" x14ac:dyDescent="0.45">
      <c r="I1817" t="s">
        <v>190</v>
      </c>
      <c r="J1817" t="s">
        <v>255</v>
      </c>
      <c r="K1817">
        <v>3.912015407843669E-6</v>
      </c>
      <c r="L1817" t="s">
        <v>161</v>
      </c>
      <c r="N1817" t="s">
        <v>213</v>
      </c>
      <c r="O1817" t="s">
        <v>255</v>
      </c>
      <c r="P1817">
        <v>5.929391274236806E-2</v>
      </c>
      <c r="Q1817" t="s">
        <v>161</v>
      </c>
    </row>
    <row r="1818" spans="9:17" x14ac:dyDescent="0.45">
      <c r="I1818" t="s">
        <v>190</v>
      </c>
      <c r="J1818" t="s">
        <v>256</v>
      </c>
      <c r="K1818">
        <v>1.8716677774813107E-3</v>
      </c>
      <c r="L1818" t="s">
        <v>161</v>
      </c>
      <c r="N1818" t="s">
        <v>213</v>
      </c>
      <c r="O1818" t="s">
        <v>256</v>
      </c>
      <c r="P1818">
        <v>6.7740972570897355E-3</v>
      </c>
      <c r="Q1818" t="s">
        <v>161</v>
      </c>
    </row>
    <row r="1819" spans="9:17" x14ac:dyDescent="0.45">
      <c r="I1819" t="s">
        <v>190</v>
      </c>
      <c r="J1819" t="s">
        <v>257</v>
      </c>
      <c r="K1819">
        <v>3.2748772530013751E-2</v>
      </c>
      <c r="L1819" t="s">
        <v>161</v>
      </c>
      <c r="N1819" t="s">
        <v>213</v>
      </c>
      <c r="O1819" t="s">
        <v>257</v>
      </c>
      <c r="P1819">
        <v>4.0494688536901066E-2</v>
      </c>
      <c r="Q1819" t="s">
        <v>161</v>
      </c>
    </row>
    <row r="1820" spans="9:17" x14ac:dyDescent="0.45">
      <c r="I1820" t="s">
        <v>190</v>
      </c>
      <c r="J1820" t="s">
        <v>258</v>
      </c>
      <c r="K1820">
        <v>1.5005857531796089E-4</v>
      </c>
      <c r="L1820" t="s">
        <v>161</v>
      </c>
      <c r="N1820" t="s">
        <v>213</v>
      </c>
      <c r="O1820" t="s">
        <v>258</v>
      </c>
      <c r="P1820">
        <v>6.9194863743501306E-3</v>
      </c>
      <c r="Q1820" t="s">
        <v>161</v>
      </c>
    </row>
    <row r="1821" spans="9:17" x14ac:dyDescent="0.45">
      <c r="I1821" t="s">
        <v>190</v>
      </c>
      <c r="J1821" t="s">
        <v>259</v>
      </c>
      <c r="K1821">
        <v>0</v>
      </c>
      <c r="L1821" t="s">
        <v>161</v>
      </c>
      <c r="N1821" t="s">
        <v>213</v>
      </c>
      <c r="O1821" t="s">
        <v>259</v>
      </c>
      <c r="P1821">
        <v>7.3858584273655044E-3</v>
      </c>
      <c r="Q1821" t="s">
        <v>161</v>
      </c>
    </row>
    <row r="1822" spans="9:17" x14ac:dyDescent="0.45">
      <c r="I1822" t="s">
        <v>190</v>
      </c>
      <c r="J1822" t="s">
        <v>271</v>
      </c>
      <c r="K1822">
        <v>0</v>
      </c>
      <c r="L1822" t="s">
        <v>161</v>
      </c>
      <c r="N1822" t="s">
        <v>213</v>
      </c>
      <c r="O1822" t="s">
        <v>271</v>
      </c>
      <c r="P1822">
        <v>4.6618287697711022E-2</v>
      </c>
      <c r="Q1822" t="s">
        <v>161</v>
      </c>
    </row>
    <row r="1823" spans="9:17" x14ac:dyDescent="0.45">
      <c r="I1823" t="s">
        <v>190</v>
      </c>
      <c r="J1823" t="s">
        <v>272</v>
      </c>
      <c r="K1823">
        <v>0</v>
      </c>
      <c r="L1823" t="s">
        <v>161</v>
      </c>
      <c r="N1823" t="s">
        <v>213</v>
      </c>
      <c r="O1823" t="s">
        <v>272</v>
      </c>
      <c r="P1823">
        <v>1.5288058352767666E-2</v>
      </c>
      <c r="Q1823" t="s">
        <v>161</v>
      </c>
    </row>
    <row r="1824" spans="9:17" x14ac:dyDescent="0.45">
      <c r="I1824" t="s">
        <v>190</v>
      </c>
      <c r="J1824" t="s">
        <v>273</v>
      </c>
      <c r="K1824">
        <v>0</v>
      </c>
      <c r="L1824" t="s">
        <v>161</v>
      </c>
      <c r="N1824" t="s">
        <v>213</v>
      </c>
      <c r="O1824" t="s">
        <v>273</v>
      </c>
      <c r="P1824">
        <v>1.6555520781137776E-3</v>
      </c>
      <c r="Q1824" t="s">
        <v>161</v>
      </c>
    </row>
    <row r="1825" spans="9:17" x14ac:dyDescent="0.45">
      <c r="I1825" t="s">
        <v>190</v>
      </c>
      <c r="J1825" t="s">
        <v>274</v>
      </c>
      <c r="K1825">
        <v>4.7342241262128418E-3</v>
      </c>
      <c r="L1825" t="s">
        <v>161</v>
      </c>
      <c r="N1825" t="s">
        <v>213</v>
      </c>
      <c r="O1825" t="s">
        <v>274</v>
      </c>
      <c r="P1825">
        <v>1.0594043445372996E-2</v>
      </c>
      <c r="Q1825" t="s">
        <v>161</v>
      </c>
    </row>
    <row r="1826" spans="9:17" x14ac:dyDescent="0.45">
      <c r="I1826" t="s">
        <v>190</v>
      </c>
      <c r="J1826" t="s">
        <v>275</v>
      </c>
      <c r="K1826">
        <v>0</v>
      </c>
      <c r="L1826" t="s">
        <v>161</v>
      </c>
      <c r="N1826" t="s">
        <v>213</v>
      </c>
      <c r="O1826" t="s">
        <v>275</v>
      </c>
      <c r="P1826">
        <v>1.9584677437668725E-3</v>
      </c>
      <c r="Q1826" t="s">
        <v>161</v>
      </c>
    </row>
    <row r="1827" spans="9:17" x14ac:dyDescent="0.45">
      <c r="I1827" t="s">
        <v>190</v>
      </c>
      <c r="J1827" t="s">
        <v>276</v>
      </c>
      <c r="K1827">
        <v>0</v>
      </c>
      <c r="L1827" t="s">
        <v>161</v>
      </c>
      <c r="N1827" t="s">
        <v>213</v>
      </c>
      <c r="O1827" t="s">
        <v>276</v>
      </c>
      <c r="P1827">
        <v>2.1263591974150509E-3</v>
      </c>
      <c r="Q1827" t="s">
        <v>161</v>
      </c>
    </row>
    <row r="1828" spans="9:17" x14ac:dyDescent="0.45">
      <c r="I1828" t="s">
        <v>190</v>
      </c>
      <c r="J1828" t="s">
        <v>277</v>
      </c>
      <c r="K1828">
        <v>0</v>
      </c>
      <c r="L1828" t="s">
        <v>161</v>
      </c>
      <c r="N1828" t="s">
        <v>213</v>
      </c>
      <c r="O1828" t="s">
        <v>277</v>
      </c>
      <c r="P1828">
        <v>1.211713959174412E-2</v>
      </c>
      <c r="Q1828" t="s">
        <v>161</v>
      </c>
    </row>
    <row r="1829" spans="9:17" x14ac:dyDescent="0.45">
      <c r="I1829" t="s">
        <v>190</v>
      </c>
      <c r="J1829" t="s">
        <v>278</v>
      </c>
      <c r="K1829">
        <v>0</v>
      </c>
      <c r="L1829" t="s">
        <v>161</v>
      </c>
      <c r="N1829" t="s">
        <v>213</v>
      </c>
      <c r="O1829" t="s">
        <v>278</v>
      </c>
      <c r="P1829">
        <v>6.8462660240192624E-3</v>
      </c>
      <c r="Q1829" t="s">
        <v>161</v>
      </c>
    </row>
    <row r="1830" spans="9:17" x14ac:dyDescent="0.45">
      <c r="I1830" t="s">
        <v>190</v>
      </c>
      <c r="J1830" t="s">
        <v>279</v>
      </c>
      <c r="K1830">
        <v>0</v>
      </c>
      <c r="L1830" t="s">
        <v>161</v>
      </c>
      <c r="N1830" t="s">
        <v>213</v>
      </c>
      <c r="O1830" t="s">
        <v>279</v>
      </c>
      <c r="P1830">
        <v>6.2970484276735875E-4</v>
      </c>
      <c r="Q1830" t="s">
        <v>161</v>
      </c>
    </row>
    <row r="1831" spans="9:17" x14ac:dyDescent="0.45">
      <c r="I1831" t="s">
        <v>190</v>
      </c>
      <c r="J1831" t="s">
        <v>280</v>
      </c>
      <c r="K1831">
        <v>5.0124082553892084E-3</v>
      </c>
      <c r="L1831" t="s">
        <v>161</v>
      </c>
      <c r="N1831" t="s">
        <v>213</v>
      </c>
      <c r="O1831" t="s">
        <v>280</v>
      </c>
      <c r="P1831">
        <v>2.7580994865645872E-3</v>
      </c>
      <c r="Q1831" t="s">
        <v>161</v>
      </c>
    </row>
    <row r="1832" spans="9:17" x14ac:dyDescent="0.45">
      <c r="I1832" t="s">
        <v>190</v>
      </c>
      <c r="J1832" t="s">
        <v>281</v>
      </c>
      <c r="K1832">
        <v>0</v>
      </c>
      <c r="L1832" t="s">
        <v>161</v>
      </c>
      <c r="N1832" t="s">
        <v>213</v>
      </c>
      <c r="O1832" t="s">
        <v>281</v>
      </c>
      <c r="P1832">
        <v>6.5909939717924296E-4</v>
      </c>
      <c r="Q1832" t="s">
        <v>161</v>
      </c>
    </row>
    <row r="1833" spans="9:17" x14ac:dyDescent="0.45">
      <c r="I1833" t="s">
        <v>190</v>
      </c>
      <c r="J1833" t="s">
        <v>282</v>
      </c>
      <c r="K1833">
        <v>0</v>
      </c>
      <c r="L1833" t="s">
        <v>161</v>
      </c>
      <c r="N1833" t="s">
        <v>213</v>
      </c>
      <c r="O1833" t="s">
        <v>282</v>
      </c>
      <c r="P1833">
        <v>7.6712281005269286E-4</v>
      </c>
      <c r="Q1833" t="s">
        <v>161</v>
      </c>
    </row>
    <row r="1834" spans="9:17" x14ac:dyDescent="0.45">
      <c r="I1834" t="s">
        <v>190</v>
      </c>
      <c r="J1834" t="s">
        <v>283</v>
      </c>
      <c r="K1834">
        <v>0</v>
      </c>
      <c r="L1834" t="s">
        <v>161</v>
      </c>
      <c r="N1834" t="s">
        <v>213</v>
      </c>
      <c r="O1834" t="s">
        <v>283</v>
      </c>
      <c r="P1834">
        <v>5.5357463236628181E-3</v>
      </c>
      <c r="Q1834" t="s">
        <v>161</v>
      </c>
    </row>
    <row r="1835" spans="9:17" x14ac:dyDescent="0.45">
      <c r="I1835" t="s">
        <v>191</v>
      </c>
      <c r="J1835" t="s">
        <v>160</v>
      </c>
      <c r="K1835">
        <v>1.5128402644778282E-3</v>
      </c>
      <c r="L1835" t="s">
        <v>161</v>
      </c>
      <c r="N1835" t="s">
        <v>214</v>
      </c>
      <c r="O1835" t="s">
        <v>160</v>
      </c>
      <c r="P1835">
        <v>7.5489448971152534E-2</v>
      </c>
      <c r="Q1835" t="s">
        <v>161</v>
      </c>
    </row>
    <row r="1836" spans="9:17" x14ac:dyDescent="0.45">
      <c r="I1836" t="s">
        <v>191</v>
      </c>
      <c r="J1836" t="s">
        <v>162</v>
      </c>
      <c r="K1836">
        <v>5.5954811887482412E-3</v>
      </c>
      <c r="L1836" t="s">
        <v>161</v>
      </c>
      <c r="N1836" t="s">
        <v>214</v>
      </c>
      <c r="O1836" t="s">
        <v>162</v>
      </c>
      <c r="P1836">
        <v>9.4042886213511583E-3</v>
      </c>
      <c r="Q1836" t="s">
        <v>161</v>
      </c>
    </row>
    <row r="1837" spans="9:17" x14ac:dyDescent="0.45">
      <c r="I1837" t="s">
        <v>191</v>
      </c>
      <c r="J1837" t="s">
        <v>163</v>
      </c>
      <c r="K1837">
        <v>8.7523835856502863E-2</v>
      </c>
      <c r="L1837" t="s">
        <v>161</v>
      </c>
      <c r="N1837" t="s">
        <v>214</v>
      </c>
      <c r="O1837" t="s">
        <v>163</v>
      </c>
      <c r="P1837">
        <v>6.5198029489263676E-2</v>
      </c>
      <c r="Q1837" t="s">
        <v>161</v>
      </c>
    </row>
    <row r="1838" spans="9:17" x14ac:dyDescent="0.45">
      <c r="I1838" t="s">
        <v>191</v>
      </c>
      <c r="J1838" t="s">
        <v>242</v>
      </c>
      <c r="K1838">
        <v>6.658816061495044E-3</v>
      </c>
      <c r="L1838" t="s">
        <v>161</v>
      </c>
      <c r="N1838" t="s">
        <v>214</v>
      </c>
      <c r="O1838" t="s">
        <v>242</v>
      </c>
      <c r="P1838">
        <v>1.0719309182810296E-2</v>
      </c>
      <c r="Q1838" t="s">
        <v>161</v>
      </c>
    </row>
    <row r="1839" spans="9:17" x14ac:dyDescent="0.45">
      <c r="I1839" t="s">
        <v>191</v>
      </c>
      <c r="J1839" t="s">
        <v>243</v>
      </c>
      <c r="K1839">
        <v>2.641163838474517E-3</v>
      </c>
      <c r="L1839" t="s">
        <v>161</v>
      </c>
      <c r="N1839" t="s">
        <v>214</v>
      </c>
      <c r="O1839" t="s">
        <v>243</v>
      </c>
      <c r="P1839">
        <v>1.1075550218584343E-2</v>
      </c>
      <c r="Q1839" t="s">
        <v>161</v>
      </c>
    </row>
    <row r="1840" spans="9:17" x14ac:dyDescent="0.45">
      <c r="I1840" t="s">
        <v>191</v>
      </c>
      <c r="J1840" t="s">
        <v>266</v>
      </c>
      <c r="K1840">
        <v>0</v>
      </c>
      <c r="L1840" t="s">
        <v>161</v>
      </c>
      <c r="N1840" t="s">
        <v>214</v>
      </c>
      <c r="O1840" t="s">
        <v>266</v>
      </c>
      <c r="P1840">
        <v>7.008868906252208E-2</v>
      </c>
      <c r="Q1840" t="s">
        <v>161</v>
      </c>
    </row>
    <row r="1841" spans="9:17" x14ac:dyDescent="0.45">
      <c r="I1841" t="s">
        <v>191</v>
      </c>
      <c r="J1841" t="s">
        <v>311</v>
      </c>
      <c r="K1841">
        <v>0</v>
      </c>
      <c r="L1841" t="s">
        <v>161</v>
      </c>
      <c r="N1841" t="s">
        <v>214</v>
      </c>
      <c r="O1841" t="s">
        <v>311</v>
      </c>
      <c r="P1841">
        <v>9.6293601490810712E-5</v>
      </c>
      <c r="Q1841" t="s">
        <v>161</v>
      </c>
    </row>
    <row r="1842" spans="9:17" x14ac:dyDescent="0.45">
      <c r="I1842" t="s">
        <v>191</v>
      </c>
      <c r="J1842" t="s">
        <v>312</v>
      </c>
      <c r="K1842">
        <v>0</v>
      </c>
      <c r="L1842" t="s">
        <v>161</v>
      </c>
      <c r="N1842" t="s">
        <v>214</v>
      </c>
      <c r="O1842" t="s">
        <v>312</v>
      </c>
      <c r="P1842">
        <v>8.5207003409069223E-5</v>
      </c>
      <c r="Q1842" t="s">
        <v>161</v>
      </c>
    </row>
    <row r="1843" spans="9:17" x14ac:dyDescent="0.45">
      <c r="I1843" t="s">
        <v>191</v>
      </c>
      <c r="J1843" t="s">
        <v>313</v>
      </c>
      <c r="K1843">
        <v>0</v>
      </c>
      <c r="L1843" t="s">
        <v>161</v>
      </c>
      <c r="N1843" t="s">
        <v>214</v>
      </c>
      <c r="O1843" t="s">
        <v>313</v>
      </c>
      <c r="P1843">
        <v>9.0029169768262167E-5</v>
      </c>
      <c r="Q1843" t="s">
        <v>161</v>
      </c>
    </row>
    <row r="1844" spans="9:17" x14ac:dyDescent="0.45">
      <c r="I1844" t="s">
        <v>191</v>
      </c>
      <c r="J1844" t="s">
        <v>314</v>
      </c>
      <c r="K1844">
        <v>0</v>
      </c>
      <c r="L1844" t="s">
        <v>161</v>
      </c>
      <c r="N1844" t="s">
        <v>214</v>
      </c>
      <c r="O1844" t="s">
        <v>314</v>
      </c>
      <c r="P1844">
        <v>1.0084380431646976E-4</v>
      </c>
      <c r="Q1844" t="s">
        <v>161</v>
      </c>
    </row>
    <row r="1845" spans="9:17" x14ac:dyDescent="0.45">
      <c r="I1845" t="s">
        <v>191</v>
      </c>
      <c r="J1845" t="s">
        <v>315</v>
      </c>
      <c r="K1845">
        <v>0</v>
      </c>
      <c r="L1845" t="s">
        <v>161</v>
      </c>
      <c r="N1845" t="s">
        <v>214</v>
      </c>
      <c r="O1845" t="s">
        <v>315</v>
      </c>
      <c r="P1845">
        <v>9.5779201395439773E-5</v>
      </c>
      <c r="Q1845" t="s">
        <v>161</v>
      </c>
    </row>
    <row r="1846" spans="9:17" x14ac:dyDescent="0.45">
      <c r="I1846" t="s">
        <v>191</v>
      </c>
      <c r="J1846" t="s">
        <v>316</v>
      </c>
      <c r="K1846">
        <v>0</v>
      </c>
      <c r="L1846" t="s">
        <v>161</v>
      </c>
      <c r="N1846" t="s">
        <v>214</v>
      </c>
      <c r="O1846" t="s">
        <v>316</v>
      </c>
      <c r="P1846">
        <v>8.5314927656392718E-5</v>
      </c>
      <c r="Q1846" t="s">
        <v>161</v>
      </c>
    </row>
    <row r="1847" spans="9:17" x14ac:dyDescent="0.45">
      <c r="I1847" t="s">
        <v>191</v>
      </c>
      <c r="J1847" t="s">
        <v>317</v>
      </c>
      <c r="K1847">
        <v>0</v>
      </c>
      <c r="L1847" t="s">
        <v>161</v>
      </c>
      <c r="N1847" t="s">
        <v>214</v>
      </c>
      <c r="O1847" t="s">
        <v>317</v>
      </c>
      <c r="P1847">
        <v>9.1573000029767013E-5</v>
      </c>
      <c r="Q1847" t="s">
        <v>161</v>
      </c>
    </row>
    <row r="1848" spans="9:17" x14ac:dyDescent="0.45">
      <c r="I1848" t="s">
        <v>191</v>
      </c>
      <c r="J1848" t="s">
        <v>318</v>
      </c>
      <c r="K1848">
        <v>0</v>
      </c>
      <c r="L1848" t="s">
        <v>161</v>
      </c>
      <c r="N1848" t="s">
        <v>214</v>
      </c>
      <c r="O1848" t="s">
        <v>318</v>
      </c>
      <c r="P1848">
        <v>8.8313778906139504E-5</v>
      </c>
      <c r="Q1848" t="s">
        <v>161</v>
      </c>
    </row>
    <row r="1849" spans="9:17" x14ac:dyDescent="0.45">
      <c r="I1849" t="s">
        <v>191</v>
      </c>
      <c r="J1849" t="s">
        <v>319</v>
      </c>
      <c r="K1849">
        <v>2.3667782638253395E-5</v>
      </c>
      <c r="L1849" t="s">
        <v>161</v>
      </c>
      <c r="N1849" t="s">
        <v>214</v>
      </c>
      <c r="O1849" t="s">
        <v>319</v>
      </c>
      <c r="P1849">
        <v>6.4879822864190388E-5</v>
      </c>
      <c r="Q1849" t="s">
        <v>161</v>
      </c>
    </row>
    <row r="1850" spans="9:17" x14ac:dyDescent="0.45">
      <c r="I1850" t="s">
        <v>191</v>
      </c>
      <c r="J1850" t="s">
        <v>320</v>
      </c>
      <c r="K1850">
        <v>7.0554811398646611E-5</v>
      </c>
      <c r="L1850" t="s">
        <v>161</v>
      </c>
      <c r="N1850" t="s">
        <v>214</v>
      </c>
      <c r="O1850" t="s">
        <v>320</v>
      </c>
      <c r="P1850">
        <v>8.1436343249472856E-5</v>
      </c>
      <c r="Q1850" t="s">
        <v>161</v>
      </c>
    </row>
    <row r="1851" spans="9:17" x14ac:dyDescent="0.45">
      <c r="I1851" t="s">
        <v>191</v>
      </c>
      <c r="J1851" t="s">
        <v>321</v>
      </c>
      <c r="K1851">
        <v>1.2380208948377708E-4</v>
      </c>
      <c r="L1851" t="s">
        <v>161</v>
      </c>
      <c r="N1851" t="s">
        <v>214</v>
      </c>
      <c r="O1851" t="s">
        <v>321</v>
      </c>
      <c r="P1851">
        <v>8.1215545747258231E-5</v>
      </c>
      <c r="Q1851" t="s">
        <v>161</v>
      </c>
    </row>
    <row r="1852" spans="9:17" x14ac:dyDescent="0.45">
      <c r="I1852" t="s">
        <v>191</v>
      </c>
      <c r="J1852" t="s">
        <v>322</v>
      </c>
      <c r="K1852">
        <v>1.9947629612196546E-4</v>
      </c>
      <c r="L1852" t="s">
        <v>161</v>
      </c>
      <c r="N1852" t="s">
        <v>214</v>
      </c>
      <c r="O1852" t="s">
        <v>322</v>
      </c>
      <c r="P1852">
        <v>9.0221482291700245E-5</v>
      </c>
      <c r="Q1852" t="s">
        <v>161</v>
      </c>
    </row>
    <row r="1853" spans="9:17" x14ac:dyDescent="0.45">
      <c r="I1853" t="s">
        <v>191</v>
      </c>
      <c r="J1853" t="s">
        <v>323</v>
      </c>
      <c r="K1853">
        <v>1.7009694373572626E-4</v>
      </c>
      <c r="L1853" t="s">
        <v>161</v>
      </c>
      <c r="N1853" t="s">
        <v>214</v>
      </c>
      <c r="O1853" t="s">
        <v>323</v>
      </c>
      <c r="P1853">
        <v>1.1977108148416412E-4</v>
      </c>
      <c r="Q1853" t="s">
        <v>161</v>
      </c>
    </row>
    <row r="1854" spans="9:17" x14ac:dyDescent="0.45">
      <c r="I1854" t="s">
        <v>191</v>
      </c>
      <c r="J1854" t="s">
        <v>324</v>
      </c>
      <c r="K1854">
        <v>1.3805368194370711E-4</v>
      </c>
      <c r="L1854" t="s">
        <v>161</v>
      </c>
      <c r="N1854" t="s">
        <v>214</v>
      </c>
      <c r="O1854" t="s">
        <v>324</v>
      </c>
      <c r="P1854">
        <v>1.5034365190704752E-4</v>
      </c>
      <c r="Q1854" t="s">
        <v>161</v>
      </c>
    </row>
    <row r="1855" spans="9:17" x14ac:dyDescent="0.45">
      <c r="I1855" t="s">
        <v>191</v>
      </c>
      <c r="J1855" t="s">
        <v>325</v>
      </c>
      <c r="K1855">
        <v>1.3049039344494414E-4</v>
      </c>
      <c r="L1855" t="s">
        <v>161</v>
      </c>
      <c r="N1855" t="s">
        <v>214</v>
      </c>
      <c r="O1855" t="s">
        <v>325</v>
      </c>
      <c r="P1855">
        <v>1.575061482305091E-4</v>
      </c>
      <c r="Q1855" t="s">
        <v>161</v>
      </c>
    </row>
    <row r="1856" spans="9:17" x14ac:dyDescent="0.45">
      <c r="I1856" t="s">
        <v>191</v>
      </c>
      <c r="J1856" t="s">
        <v>326</v>
      </c>
      <c r="K1856">
        <v>1.0679493702947236E-4</v>
      </c>
      <c r="L1856" t="s">
        <v>161</v>
      </c>
      <c r="N1856" t="s">
        <v>214</v>
      </c>
      <c r="O1856" t="s">
        <v>326</v>
      </c>
      <c r="P1856">
        <v>1.1181103502194135E-4</v>
      </c>
      <c r="Q1856" t="s">
        <v>161</v>
      </c>
    </row>
    <row r="1857" spans="9:17" x14ac:dyDescent="0.45">
      <c r="I1857" t="s">
        <v>191</v>
      </c>
      <c r="J1857" t="s">
        <v>327</v>
      </c>
      <c r="K1857">
        <v>7.3924787514230414E-5</v>
      </c>
      <c r="L1857" t="s">
        <v>161</v>
      </c>
      <c r="N1857" t="s">
        <v>214</v>
      </c>
      <c r="O1857" t="s">
        <v>327</v>
      </c>
      <c r="P1857">
        <v>9.523262526264377E-5</v>
      </c>
      <c r="Q1857" t="s">
        <v>161</v>
      </c>
    </row>
    <row r="1858" spans="9:17" x14ac:dyDescent="0.45">
      <c r="I1858" t="s">
        <v>191</v>
      </c>
      <c r="J1858" t="s">
        <v>328</v>
      </c>
      <c r="K1858">
        <v>2.343171426350804E-5</v>
      </c>
      <c r="L1858" t="s">
        <v>161</v>
      </c>
      <c r="N1858" t="s">
        <v>214</v>
      </c>
      <c r="O1858" t="s">
        <v>328</v>
      </c>
      <c r="P1858">
        <v>1.266745128632998E-4</v>
      </c>
      <c r="Q1858" t="s">
        <v>161</v>
      </c>
    </row>
    <row r="1859" spans="9:17" x14ac:dyDescent="0.45">
      <c r="I1859" t="s">
        <v>191</v>
      </c>
      <c r="J1859" t="s">
        <v>329</v>
      </c>
      <c r="K1859">
        <v>0</v>
      </c>
      <c r="L1859" t="s">
        <v>161</v>
      </c>
      <c r="N1859" t="s">
        <v>214</v>
      </c>
      <c r="O1859" t="s">
        <v>329</v>
      </c>
      <c r="P1859">
        <v>1.9180190534667219E-4</v>
      </c>
      <c r="Q1859" t="s">
        <v>161</v>
      </c>
    </row>
    <row r="1860" spans="9:17" x14ac:dyDescent="0.45">
      <c r="I1860" t="s">
        <v>191</v>
      </c>
      <c r="J1860" t="s">
        <v>330</v>
      </c>
      <c r="K1860">
        <v>0</v>
      </c>
      <c r="L1860" t="s">
        <v>161</v>
      </c>
      <c r="N1860" t="s">
        <v>214</v>
      </c>
      <c r="O1860" t="s">
        <v>330</v>
      </c>
      <c r="P1860">
        <v>2.4115022406737173E-4</v>
      </c>
      <c r="Q1860" t="s">
        <v>161</v>
      </c>
    </row>
    <row r="1861" spans="9:17" x14ac:dyDescent="0.45">
      <c r="I1861" t="s">
        <v>191</v>
      </c>
      <c r="J1861" t="s">
        <v>331</v>
      </c>
      <c r="K1861">
        <v>0</v>
      </c>
      <c r="L1861" t="s">
        <v>161</v>
      </c>
      <c r="N1861" t="s">
        <v>214</v>
      </c>
      <c r="O1861" t="s">
        <v>331</v>
      </c>
      <c r="P1861">
        <v>2.612981728623222E-4</v>
      </c>
      <c r="Q1861" t="s">
        <v>161</v>
      </c>
    </row>
    <row r="1862" spans="9:17" x14ac:dyDescent="0.45">
      <c r="I1862" t="s">
        <v>191</v>
      </c>
      <c r="J1862" t="s">
        <v>332</v>
      </c>
      <c r="K1862">
        <v>0</v>
      </c>
      <c r="L1862" t="s">
        <v>161</v>
      </c>
      <c r="N1862" t="s">
        <v>214</v>
      </c>
      <c r="O1862" t="s">
        <v>332</v>
      </c>
      <c r="P1862">
        <v>2.4547399149629355E-4</v>
      </c>
      <c r="Q1862" t="s">
        <v>161</v>
      </c>
    </row>
    <row r="1863" spans="9:17" x14ac:dyDescent="0.45">
      <c r="I1863" t="s">
        <v>191</v>
      </c>
      <c r="J1863" t="s">
        <v>333</v>
      </c>
      <c r="K1863">
        <v>0</v>
      </c>
      <c r="L1863" t="s">
        <v>161</v>
      </c>
      <c r="N1863" t="s">
        <v>214</v>
      </c>
      <c r="O1863" t="s">
        <v>333</v>
      </c>
      <c r="P1863">
        <v>2.1894536218948355E-4</v>
      </c>
      <c r="Q1863" t="s">
        <v>161</v>
      </c>
    </row>
    <row r="1864" spans="9:17" x14ac:dyDescent="0.45">
      <c r="I1864" t="s">
        <v>191</v>
      </c>
      <c r="J1864" t="s">
        <v>334</v>
      </c>
      <c r="K1864">
        <v>0</v>
      </c>
      <c r="L1864" t="s">
        <v>161</v>
      </c>
      <c r="N1864" t="s">
        <v>214</v>
      </c>
      <c r="O1864" t="s">
        <v>334</v>
      </c>
      <c r="P1864">
        <v>2.2604659890279561E-4</v>
      </c>
      <c r="Q1864" t="s">
        <v>161</v>
      </c>
    </row>
    <row r="1865" spans="9:17" x14ac:dyDescent="0.45">
      <c r="I1865" t="s">
        <v>191</v>
      </c>
      <c r="J1865" t="s">
        <v>164</v>
      </c>
      <c r="K1865">
        <v>1.0294626805536252E-2</v>
      </c>
      <c r="L1865" t="s">
        <v>161</v>
      </c>
      <c r="N1865" t="s">
        <v>214</v>
      </c>
      <c r="O1865" t="s">
        <v>164</v>
      </c>
      <c r="P1865">
        <v>4.3071299964610614E-2</v>
      </c>
      <c r="Q1865" t="s">
        <v>161</v>
      </c>
    </row>
    <row r="1866" spans="9:17" x14ac:dyDescent="0.45">
      <c r="I1866" t="s">
        <v>191</v>
      </c>
      <c r="J1866" t="s">
        <v>165</v>
      </c>
      <c r="K1866">
        <v>9.908183247640992E-3</v>
      </c>
      <c r="L1866" t="s">
        <v>161</v>
      </c>
      <c r="N1866" t="s">
        <v>214</v>
      </c>
      <c r="O1866" t="s">
        <v>165</v>
      </c>
      <c r="P1866">
        <v>4.0645879697023294E-3</v>
      </c>
      <c r="Q1866" t="s">
        <v>161</v>
      </c>
    </row>
    <row r="1867" spans="9:17" x14ac:dyDescent="0.45">
      <c r="I1867" t="s">
        <v>191</v>
      </c>
      <c r="J1867" t="s">
        <v>166</v>
      </c>
      <c r="K1867">
        <v>9.2676155186937489E-2</v>
      </c>
      <c r="L1867" t="s">
        <v>161</v>
      </c>
      <c r="N1867" t="s">
        <v>214</v>
      </c>
      <c r="O1867" t="s">
        <v>166</v>
      </c>
      <c r="P1867">
        <v>2.7906849122714024E-2</v>
      </c>
      <c r="Q1867" t="s">
        <v>161</v>
      </c>
    </row>
    <row r="1868" spans="9:17" x14ac:dyDescent="0.45">
      <c r="I1868" t="s">
        <v>191</v>
      </c>
      <c r="J1868" t="s">
        <v>244</v>
      </c>
      <c r="K1868">
        <v>8.2899376605943941E-3</v>
      </c>
      <c r="L1868" t="s">
        <v>161</v>
      </c>
      <c r="N1868" t="s">
        <v>214</v>
      </c>
      <c r="O1868" t="s">
        <v>244</v>
      </c>
      <c r="P1868">
        <v>4.7930940829681917E-3</v>
      </c>
      <c r="Q1868" t="s">
        <v>161</v>
      </c>
    </row>
    <row r="1869" spans="9:17" x14ac:dyDescent="0.45">
      <c r="I1869" t="s">
        <v>191</v>
      </c>
      <c r="J1869" t="s">
        <v>245</v>
      </c>
      <c r="K1869">
        <v>5.5165702311935679E-3</v>
      </c>
      <c r="L1869" t="s">
        <v>161</v>
      </c>
      <c r="N1869" t="s">
        <v>214</v>
      </c>
      <c r="O1869" t="s">
        <v>245</v>
      </c>
      <c r="P1869">
        <v>5.1485586789700843E-3</v>
      </c>
      <c r="Q1869" t="s">
        <v>161</v>
      </c>
    </row>
    <row r="1870" spans="9:17" x14ac:dyDescent="0.45">
      <c r="I1870" t="s">
        <v>191</v>
      </c>
      <c r="J1870" t="s">
        <v>267</v>
      </c>
      <c r="K1870">
        <v>2.3585566583304834E-3</v>
      </c>
      <c r="L1870" t="s">
        <v>161</v>
      </c>
      <c r="N1870" t="s">
        <v>214</v>
      </c>
      <c r="O1870" t="s">
        <v>267</v>
      </c>
      <c r="P1870">
        <v>3.5067707308272592E-2</v>
      </c>
      <c r="Q1870" t="s">
        <v>161</v>
      </c>
    </row>
    <row r="1871" spans="9:17" x14ac:dyDescent="0.45">
      <c r="I1871" t="s">
        <v>191</v>
      </c>
      <c r="J1871" t="s">
        <v>167</v>
      </c>
      <c r="K1871">
        <v>6.2256422552615008E-2</v>
      </c>
      <c r="L1871" t="s">
        <v>161</v>
      </c>
      <c r="N1871" t="s">
        <v>214</v>
      </c>
      <c r="O1871" t="s">
        <v>167</v>
      </c>
      <c r="P1871">
        <v>5.6364490111553721E-2</v>
      </c>
      <c r="Q1871" t="s">
        <v>161</v>
      </c>
    </row>
    <row r="1872" spans="9:17" x14ac:dyDescent="0.45">
      <c r="I1872" t="s">
        <v>191</v>
      </c>
      <c r="J1872" t="s">
        <v>168</v>
      </c>
      <c r="K1872">
        <v>3.4007586758655423E-2</v>
      </c>
      <c r="L1872" t="s">
        <v>161</v>
      </c>
      <c r="N1872" t="s">
        <v>214</v>
      </c>
      <c r="O1872" t="s">
        <v>168</v>
      </c>
      <c r="P1872">
        <v>7.5160529455845348E-3</v>
      </c>
      <c r="Q1872" t="s">
        <v>161</v>
      </c>
    </row>
    <row r="1873" spans="9:17" x14ac:dyDescent="0.45">
      <c r="I1873" t="s">
        <v>191</v>
      </c>
      <c r="J1873" t="s">
        <v>169</v>
      </c>
      <c r="K1873">
        <v>0.26668932815191349</v>
      </c>
      <c r="L1873" t="s">
        <v>161</v>
      </c>
      <c r="N1873" t="s">
        <v>214</v>
      </c>
      <c r="O1873" t="s">
        <v>169</v>
      </c>
      <c r="P1873">
        <v>7.3295426103387434E-2</v>
      </c>
      <c r="Q1873" t="s">
        <v>161</v>
      </c>
    </row>
    <row r="1874" spans="9:17" x14ac:dyDescent="0.45">
      <c r="I1874" t="s">
        <v>191</v>
      </c>
      <c r="J1874" t="s">
        <v>246</v>
      </c>
      <c r="K1874">
        <v>2.7587058731544815E-2</v>
      </c>
      <c r="L1874" t="s">
        <v>161</v>
      </c>
      <c r="N1874" t="s">
        <v>214</v>
      </c>
      <c r="O1874" t="s">
        <v>246</v>
      </c>
      <c r="P1874">
        <v>1.1421991555685386E-2</v>
      </c>
      <c r="Q1874" t="s">
        <v>161</v>
      </c>
    </row>
    <row r="1875" spans="9:17" x14ac:dyDescent="0.45">
      <c r="I1875" t="s">
        <v>191</v>
      </c>
      <c r="J1875" t="s">
        <v>247</v>
      </c>
      <c r="K1875">
        <v>2.1536345023465152E-2</v>
      </c>
      <c r="L1875" t="s">
        <v>161</v>
      </c>
      <c r="N1875" t="s">
        <v>214</v>
      </c>
      <c r="O1875" t="s">
        <v>247</v>
      </c>
      <c r="P1875">
        <v>9.787561172243834E-3</v>
      </c>
      <c r="Q1875" t="s">
        <v>161</v>
      </c>
    </row>
    <row r="1876" spans="9:17" x14ac:dyDescent="0.45">
      <c r="I1876" t="s">
        <v>191</v>
      </c>
      <c r="J1876" t="s">
        <v>268</v>
      </c>
      <c r="K1876">
        <v>2.2917977321152673E-2</v>
      </c>
      <c r="L1876" t="s">
        <v>161</v>
      </c>
      <c r="N1876" t="s">
        <v>214</v>
      </c>
      <c r="O1876" t="s">
        <v>268</v>
      </c>
      <c r="P1876">
        <v>5.8043171401042405E-2</v>
      </c>
      <c r="Q1876" t="s">
        <v>161</v>
      </c>
    </row>
    <row r="1877" spans="9:17" x14ac:dyDescent="0.45">
      <c r="I1877" t="s">
        <v>191</v>
      </c>
      <c r="J1877" t="s">
        <v>170</v>
      </c>
      <c r="K1877">
        <v>2.1931555445955965E-2</v>
      </c>
      <c r="L1877" t="s">
        <v>161</v>
      </c>
      <c r="N1877" t="s">
        <v>214</v>
      </c>
      <c r="O1877" t="s">
        <v>170</v>
      </c>
      <c r="P1877">
        <v>2.5872981049789415E-2</v>
      </c>
      <c r="Q1877" t="s">
        <v>161</v>
      </c>
    </row>
    <row r="1878" spans="9:17" x14ac:dyDescent="0.45">
      <c r="I1878" t="s">
        <v>191</v>
      </c>
      <c r="J1878" t="s">
        <v>171</v>
      </c>
      <c r="K1878">
        <v>1.4793206711691032E-2</v>
      </c>
      <c r="L1878" t="s">
        <v>161</v>
      </c>
      <c r="N1878" t="s">
        <v>214</v>
      </c>
      <c r="O1878" t="s">
        <v>171</v>
      </c>
      <c r="P1878">
        <v>2.5954463403743771E-3</v>
      </c>
      <c r="Q1878" t="s">
        <v>161</v>
      </c>
    </row>
    <row r="1879" spans="9:17" x14ac:dyDescent="0.45">
      <c r="I1879" t="s">
        <v>191</v>
      </c>
      <c r="J1879" t="s">
        <v>172</v>
      </c>
      <c r="K1879">
        <v>0.1209904812966183</v>
      </c>
      <c r="L1879" t="s">
        <v>161</v>
      </c>
      <c r="N1879" t="s">
        <v>214</v>
      </c>
      <c r="O1879" t="s">
        <v>172</v>
      </c>
      <c r="P1879">
        <v>1.9466227319775029E-2</v>
      </c>
      <c r="Q1879" t="s">
        <v>161</v>
      </c>
    </row>
    <row r="1880" spans="9:17" x14ac:dyDescent="0.45">
      <c r="I1880" t="s">
        <v>191</v>
      </c>
      <c r="J1880" t="s">
        <v>248</v>
      </c>
      <c r="K1880">
        <v>1.2272612066068063E-2</v>
      </c>
      <c r="L1880" t="s">
        <v>161</v>
      </c>
      <c r="N1880" t="s">
        <v>214</v>
      </c>
      <c r="O1880" t="s">
        <v>248</v>
      </c>
      <c r="P1880">
        <v>3.6622787514719859E-3</v>
      </c>
      <c r="Q1880" t="s">
        <v>161</v>
      </c>
    </row>
    <row r="1881" spans="9:17" x14ac:dyDescent="0.45">
      <c r="I1881" t="s">
        <v>191</v>
      </c>
      <c r="J1881" t="s">
        <v>249</v>
      </c>
      <c r="K1881">
        <v>8.8686503971014893E-3</v>
      </c>
      <c r="L1881" t="s">
        <v>161</v>
      </c>
      <c r="N1881" t="s">
        <v>214</v>
      </c>
      <c r="O1881" t="s">
        <v>249</v>
      </c>
      <c r="P1881">
        <v>3.256191027971526E-3</v>
      </c>
      <c r="Q1881" t="s">
        <v>161</v>
      </c>
    </row>
    <row r="1882" spans="9:17" x14ac:dyDescent="0.45">
      <c r="I1882" t="s">
        <v>191</v>
      </c>
      <c r="J1882" t="s">
        <v>269</v>
      </c>
      <c r="K1882">
        <v>6.4980833546953581E-3</v>
      </c>
      <c r="L1882" t="s">
        <v>161</v>
      </c>
      <c r="N1882" t="s">
        <v>214</v>
      </c>
      <c r="O1882" t="s">
        <v>269</v>
      </c>
      <c r="P1882">
        <v>2.1477754732020994E-2</v>
      </c>
      <c r="Q1882" t="s">
        <v>161</v>
      </c>
    </row>
    <row r="1883" spans="9:17" x14ac:dyDescent="0.45">
      <c r="I1883" t="s">
        <v>191</v>
      </c>
      <c r="J1883" t="s">
        <v>362</v>
      </c>
      <c r="K1883">
        <v>0</v>
      </c>
      <c r="L1883" t="s">
        <v>161</v>
      </c>
      <c r="N1883" t="s">
        <v>214</v>
      </c>
      <c r="O1883" t="s">
        <v>362</v>
      </c>
      <c r="P1883">
        <v>2.1678568141939611E-4</v>
      </c>
      <c r="Q1883" t="s">
        <v>161</v>
      </c>
    </row>
    <row r="1884" spans="9:17" x14ac:dyDescent="0.45">
      <c r="I1884" t="s">
        <v>191</v>
      </c>
      <c r="J1884" t="s">
        <v>363</v>
      </c>
      <c r="K1884">
        <v>0</v>
      </c>
      <c r="L1884" t="s">
        <v>161</v>
      </c>
      <c r="N1884" t="s">
        <v>214</v>
      </c>
      <c r="O1884" t="s">
        <v>363</v>
      </c>
      <c r="P1884">
        <v>1.8101912505489806E-4</v>
      </c>
      <c r="Q1884" t="s">
        <v>161</v>
      </c>
    </row>
    <row r="1885" spans="9:17" x14ac:dyDescent="0.45">
      <c r="I1885" t="s">
        <v>191</v>
      </c>
      <c r="J1885" t="s">
        <v>364</v>
      </c>
      <c r="K1885">
        <v>0</v>
      </c>
      <c r="L1885" t="s">
        <v>161</v>
      </c>
      <c r="N1885" t="s">
        <v>214</v>
      </c>
      <c r="O1885" t="s">
        <v>364</v>
      </c>
      <c r="P1885">
        <v>1.6804155064619096E-4</v>
      </c>
      <c r="Q1885" t="s">
        <v>161</v>
      </c>
    </row>
    <row r="1886" spans="9:17" x14ac:dyDescent="0.45">
      <c r="I1886" t="s">
        <v>191</v>
      </c>
      <c r="J1886" t="s">
        <v>365</v>
      </c>
      <c r="K1886">
        <v>0</v>
      </c>
      <c r="L1886" t="s">
        <v>161</v>
      </c>
      <c r="N1886" t="s">
        <v>214</v>
      </c>
      <c r="O1886" t="s">
        <v>365</v>
      </c>
      <c r="P1886">
        <v>1.682269326378161E-4</v>
      </c>
      <c r="Q1886" t="s">
        <v>161</v>
      </c>
    </row>
    <row r="1887" spans="9:17" x14ac:dyDescent="0.45">
      <c r="I1887" t="s">
        <v>191</v>
      </c>
      <c r="J1887" t="s">
        <v>366</v>
      </c>
      <c r="K1887">
        <v>0</v>
      </c>
      <c r="L1887" t="s">
        <v>161</v>
      </c>
      <c r="N1887" t="s">
        <v>214</v>
      </c>
      <c r="O1887" t="s">
        <v>366</v>
      </c>
      <c r="P1887">
        <v>1.7199906824693598E-4</v>
      </c>
      <c r="Q1887" t="s">
        <v>161</v>
      </c>
    </row>
    <row r="1888" spans="9:17" x14ac:dyDescent="0.45">
      <c r="I1888" t="s">
        <v>191</v>
      </c>
      <c r="J1888" t="s">
        <v>367</v>
      </c>
      <c r="K1888">
        <v>1.0076585166714541E-4</v>
      </c>
      <c r="L1888" t="s">
        <v>161</v>
      </c>
      <c r="N1888" t="s">
        <v>214</v>
      </c>
      <c r="O1888" t="s">
        <v>367</v>
      </c>
      <c r="P1888">
        <v>1.7439779866514123E-4</v>
      </c>
      <c r="Q1888" t="s">
        <v>161</v>
      </c>
    </row>
    <row r="1889" spans="9:17" x14ac:dyDescent="0.45">
      <c r="I1889" t="s">
        <v>191</v>
      </c>
      <c r="J1889" t="s">
        <v>368</v>
      </c>
      <c r="K1889">
        <v>2.5758919521072748E-4</v>
      </c>
      <c r="L1889" t="s">
        <v>161</v>
      </c>
      <c r="N1889" t="s">
        <v>214</v>
      </c>
      <c r="O1889" t="s">
        <v>368</v>
      </c>
      <c r="P1889">
        <v>1.4737885609508006E-4</v>
      </c>
      <c r="Q1889" t="s">
        <v>161</v>
      </c>
    </row>
    <row r="1890" spans="9:17" x14ac:dyDescent="0.45">
      <c r="I1890" t="s">
        <v>191</v>
      </c>
      <c r="J1890" t="s">
        <v>369</v>
      </c>
      <c r="K1890">
        <v>3.7769505523693714E-4</v>
      </c>
      <c r="L1890" t="s">
        <v>161</v>
      </c>
      <c r="N1890" t="s">
        <v>214</v>
      </c>
      <c r="O1890" t="s">
        <v>369</v>
      </c>
      <c r="P1890">
        <v>9.5061792925444247E-5</v>
      </c>
      <c r="Q1890" t="s">
        <v>161</v>
      </c>
    </row>
    <row r="1891" spans="9:17" x14ac:dyDescent="0.45">
      <c r="I1891" t="s">
        <v>191</v>
      </c>
      <c r="J1891" t="s">
        <v>370</v>
      </c>
      <c r="K1891">
        <v>4.4774657120600058E-4</v>
      </c>
      <c r="L1891" t="s">
        <v>161</v>
      </c>
      <c r="N1891" t="s">
        <v>214</v>
      </c>
      <c r="O1891" t="s">
        <v>370</v>
      </c>
      <c r="P1891">
        <v>1.0294328082734382E-4</v>
      </c>
      <c r="Q1891" t="s">
        <v>161</v>
      </c>
    </row>
    <row r="1892" spans="9:17" x14ac:dyDescent="0.45">
      <c r="I1892" t="s">
        <v>191</v>
      </c>
      <c r="J1892" t="s">
        <v>371</v>
      </c>
      <c r="K1892">
        <v>5.1163006336541524E-4</v>
      </c>
      <c r="L1892" t="s">
        <v>161</v>
      </c>
      <c r="N1892" t="s">
        <v>214</v>
      </c>
      <c r="O1892" t="s">
        <v>371</v>
      </c>
      <c r="P1892">
        <v>1.0278200433922304E-4</v>
      </c>
      <c r="Q1892" t="s">
        <v>161</v>
      </c>
    </row>
    <row r="1893" spans="9:17" x14ac:dyDescent="0.45">
      <c r="I1893" t="s">
        <v>191</v>
      </c>
      <c r="J1893" t="s">
        <v>372</v>
      </c>
      <c r="K1893">
        <v>5.0965527554240034E-4</v>
      </c>
      <c r="L1893" t="s">
        <v>161</v>
      </c>
      <c r="N1893" t="s">
        <v>214</v>
      </c>
      <c r="O1893" t="s">
        <v>372</v>
      </c>
      <c r="P1893">
        <v>7.8095182319462564E-5</v>
      </c>
      <c r="Q1893" t="s">
        <v>161</v>
      </c>
    </row>
    <row r="1894" spans="9:17" x14ac:dyDescent="0.45">
      <c r="I1894" t="s">
        <v>191</v>
      </c>
      <c r="J1894" t="s">
        <v>373</v>
      </c>
      <c r="K1894">
        <v>4.0983017201931326E-4</v>
      </c>
      <c r="L1894" t="s">
        <v>161</v>
      </c>
      <c r="N1894" t="s">
        <v>214</v>
      </c>
      <c r="O1894" t="s">
        <v>373</v>
      </c>
      <c r="P1894">
        <v>1.0209158193139087E-4</v>
      </c>
      <c r="Q1894" t="s">
        <v>161</v>
      </c>
    </row>
    <row r="1895" spans="9:17" x14ac:dyDescent="0.45">
      <c r="I1895" t="s">
        <v>191</v>
      </c>
      <c r="J1895" t="s">
        <v>374</v>
      </c>
      <c r="K1895">
        <v>3.0403767979968042E-4</v>
      </c>
      <c r="L1895" t="s">
        <v>161</v>
      </c>
      <c r="N1895" t="s">
        <v>214</v>
      </c>
      <c r="O1895" t="s">
        <v>374</v>
      </c>
      <c r="P1895">
        <v>1.2271136675299807E-4</v>
      </c>
      <c r="Q1895" t="s">
        <v>161</v>
      </c>
    </row>
    <row r="1896" spans="9:17" x14ac:dyDescent="0.45">
      <c r="I1896" t="s">
        <v>191</v>
      </c>
      <c r="J1896" t="s">
        <v>375</v>
      </c>
      <c r="K1896">
        <v>2.786669956053898E-4</v>
      </c>
      <c r="L1896" t="s">
        <v>161</v>
      </c>
      <c r="N1896" t="s">
        <v>214</v>
      </c>
      <c r="O1896" t="s">
        <v>375</v>
      </c>
      <c r="P1896">
        <v>1.2059954707816082E-4</v>
      </c>
      <c r="Q1896" t="s">
        <v>161</v>
      </c>
    </row>
    <row r="1897" spans="9:17" x14ac:dyDescent="0.45">
      <c r="I1897" t="s">
        <v>191</v>
      </c>
      <c r="J1897" t="s">
        <v>376</v>
      </c>
      <c r="K1897">
        <v>2.590668568865852E-4</v>
      </c>
      <c r="L1897" t="s">
        <v>161</v>
      </c>
      <c r="N1897" t="s">
        <v>214</v>
      </c>
      <c r="O1897" t="s">
        <v>376</v>
      </c>
      <c r="P1897">
        <v>1.0919112772871566E-4</v>
      </c>
      <c r="Q1897" t="s">
        <v>161</v>
      </c>
    </row>
    <row r="1898" spans="9:17" x14ac:dyDescent="0.45">
      <c r="I1898" t="s">
        <v>191</v>
      </c>
      <c r="J1898" t="s">
        <v>377</v>
      </c>
      <c r="K1898">
        <v>2.2732517251484045E-4</v>
      </c>
      <c r="L1898" t="s">
        <v>161</v>
      </c>
      <c r="N1898" t="s">
        <v>214</v>
      </c>
      <c r="O1898" t="s">
        <v>377</v>
      </c>
      <c r="P1898">
        <v>9.7208654147876514E-5</v>
      </c>
      <c r="Q1898" t="s">
        <v>161</v>
      </c>
    </row>
    <row r="1899" spans="9:17" x14ac:dyDescent="0.45">
      <c r="I1899" t="s">
        <v>191</v>
      </c>
      <c r="J1899" t="s">
        <v>378</v>
      </c>
      <c r="K1899">
        <v>1.4628942349261066E-4</v>
      </c>
      <c r="L1899" t="s">
        <v>161</v>
      </c>
      <c r="N1899" t="s">
        <v>214</v>
      </c>
      <c r="O1899" t="s">
        <v>378</v>
      </c>
      <c r="P1899">
        <v>1.0002152308977496E-4</v>
      </c>
      <c r="Q1899" t="s">
        <v>161</v>
      </c>
    </row>
    <row r="1900" spans="9:17" x14ac:dyDescent="0.45">
      <c r="I1900" t="s">
        <v>191</v>
      </c>
      <c r="J1900" t="s">
        <v>379</v>
      </c>
      <c r="K1900">
        <v>1.0606192114629187E-4</v>
      </c>
      <c r="L1900" t="s">
        <v>161</v>
      </c>
      <c r="N1900" t="s">
        <v>214</v>
      </c>
      <c r="O1900" t="s">
        <v>379</v>
      </c>
      <c r="P1900">
        <v>1.1205093360228858E-4</v>
      </c>
      <c r="Q1900" t="s">
        <v>161</v>
      </c>
    </row>
    <row r="1901" spans="9:17" x14ac:dyDescent="0.45">
      <c r="I1901" t="s">
        <v>191</v>
      </c>
      <c r="J1901" t="s">
        <v>380</v>
      </c>
      <c r="K1901">
        <v>4.2965210685319742E-5</v>
      </c>
      <c r="L1901" t="s">
        <v>161</v>
      </c>
      <c r="N1901" t="s">
        <v>214</v>
      </c>
      <c r="O1901" t="s">
        <v>380</v>
      </c>
      <c r="P1901">
        <v>1.2721430554197828E-4</v>
      </c>
      <c r="Q1901" t="s">
        <v>161</v>
      </c>
    </row>
    <row r="1902" spans="9:17" x14ac:dyDescent="0.45">
      <c r="I1902" t="s">
        <v>191</v>
      </c>
      <c r="J1902" t="s">
        <v>381</v>
      </c>
      <c r="K1902">
        <v>0</v>
      </c>
      <c r="L1902" t="s">
        <v>161</v>
      </c>
      <c r="N1902" t="s">
        <v>214</v>
      </c>
      <c r="O1902" t="s">
        <v>381</v>
      </c>
      <c r="P1902">
        <v>1.382535640793654E-4</v>
      </c>
      <c r="Q1902" t="s">
        <v>161</v>
      </c>
    </row>
    <row r="1903" spans="9:17" x14ac:dyDescent="0.45">
      <c r="I1903" t="s">
        <v>191</v>
      </c>
      <c r="J1903" t="s">
        <v>382</v>
      </c>
      <c r="K1903">
        <v>0</v>
      </c>
      <c r="L1903" t="s">
        <v>161</v>
      </c>
      <c r="N1903" t="s">
        <v>214</v>
      </c>
      <c r="O1903" t="s">
        <v>382</v>
      </c>
      <c r="P1903">
        <v>1.46275374284666E-4</v>
      </c>
      <c r="Q1903" t="s">
        <v>161</v>
      </c>
    </row>
    <row r="1904" spans="9:17" x14ac:dyDescent="0.45">
      <c r="I1904" t="s">
        <v>191</v>
      </c>
      <c r="J1904" t="s">
        <v>383</v>
      </c>
      <c r="K1904">
        <v>0</v>
      </c>
      <c r="L1904" t="s">
        <v>161</v>
      </c>
      <c r="N1904" t="s">
        <v>214</v>
      </c>
      <c r="O1904" t="s">
        <v>383</v>
      </c>
      <c r="P1904">
        <v>1.4332998992814974E-4</v>
      </c>
      <c r="Q1904" t="s">
        <v>161</v>
      </c>
    </row>
    <row r="1905" spans="9:17" x14ac:dyDescent="0.45">
      <c r="I1905" t="s">
        <v>191</v>
      </c>
      <c r="J1905" t="s">
        <v>384</v>
      </c>
      <c r="K1905">
        <v>0</v>
      </c>
      <c r="L1905" t="s">
        <v>161</v>
      </c>
      <c r="N1905" t="s">
        <v>214</v>
      </c>
      <c r="O1905" t="s">
        <v>384</v>
      </c>
      <c r="P1905">
        <v>1.0730725283584431E-4</v>
      </c>
      <c r="Q1905" t="s">
        <v>161</v>
      </c>
    </row>
    <row r="1906" spans="9:17" x14ac:dyDescent="0.45">
      <c r="I1906" t="s">
        <v>191</v>
      </c>
      <c r="J1906" t="s">
        <v>385</v>
      </c>
      <c r="K1906">
        <v>0</v>
      </c>
      <c r="L1906" t="s">
        <v>161</v>
      </c>
      <c r="N1906" t="s">
        <v>214</v>
      </c>
      <c r="O1906" t="s">
        <v>385</v>
      </c>
      <c r="P1906">
        <v>1.3056207774378144E-4</v>
      </c>
      <c r="Q1906" t="s">
        <v>161</v>
      </c>
    </row>
    <row r="1907" spans="9:17" x14ac:dyDescent="0.45">
      <c r="I1907" t="s">
        <v>191</v>
      </c>
      <c r="J1907" t="s">
        <v>250</v>
      </c>
      <c r="K1907">
        <v>5.2857927775597302E-3</v>
      </c>
      <c r="L1907" t="s">
        <v>161</v>
      </c>
      <c r="N1907" t="s">
        <v>214</v>
      </c>
      <c r="O1907" t="s">
        <v>250</v>
      </c>
      <c r="P1907">
        <v>3.5444395308806179E-2</v>
      </c>
      <c r="Q1907" t="s">
        <v>161</v>
      </c>
    </row>
    <row r="1908" spans="9:17" x14ac:dyDescent="0.45">
      <c r="I1908" t="s">
        <v>191</v>
      </c>
      <c r="J1908" t="s">
        <v>251</v>
      </c>
      <c r="K1908">
        <v>7.4474263351533366E-3</v>
      </c>
      <c r="L1908" t="s">
        <v>161</v>
      </c>
      <c r="N1908" t="s">
        <v>214</v>
      </c>
      <c r="O1908" t="s">
        <v>251</v>
      </c>
      <c r="P1908">
        <v>4.1953330147347714E-3</v>
      </c>
      <c r="Q1908" t="s">
        <v>161</v>
      </c>
    </row>
    <row r="1909" spans="9:17" x14ac:dyDescent="0.45">
      <c r="I1909" t="s">
        <v>191</v>
      </c>
      <c r="J1909" t="s">
        <v>252</v>
      </c>
      <c r="K1909">
        <v>7.4512085293211017E-2</v>
      </c>
      <c r="L1909" t="s">
        <v>161</v>
      </c>
      <c r="N1909" t="s">
        <v>214</v>
      </c>
      <c r="O1909" t="s">
        <v>252</v>
      </c>
      <c r="P1909">
        <v>3.2934737155401676E-2</v>
      </c>
      <c r="Q1909" t="s">
        <v>161</v>
      </c>
    </row>
    <row r="1910" spans="9:17" x14ac:dyDescent="0.45">
      <c r="I1910" t="s">
        <v>191</v>
      </c>
      <c r="J1910" t="s">
        <v>253</v>
      </c>
      <c r="K1910">
        <v>5.7641998555014676E-3</v>
      </c>
      <c r="L1910" t="s">
        <v>161</v>
      </c>
      <c r="N1910" t="s">
        <v>214</v>
      </c>
      <c r="O1910" t="s">
        <v>253</v>
      </c>
      <c r="P1910">
        <v>5.8784315700170075E-3</v>
      </c>
      <c r="Q1910" t="s">
        <v>161</v>
      </c>
    </row>
    <row r="1911" spans="9:17" x14ac:dyDescent="0.45">
      <c r="I1911" t="s">
        <v>191</v>
      </c>
      <c r="J1911" t="s">
        <v>254</v>
      </c>
      <c r="K1911">
        <v>2.0147691559137342E-3</v>
      </c>
      <c r="L1911" t="s">
        <v>161</v>
      </c>
      <c r="N1911" t="s">
        <v>214</v>
      </c>
      <c r="O1911" t="s">
        <v>254</v>
      </c>
      <c r="P1911">
        <v>5.8540171096460739E-3</v>
      </c>
      <c r="Q1911" t="s">
        <v>161</v>
      </c>
    </row>
    <row r="1912" spans="9:17" x14ac:dyDescent="0.45">
      <c r="I1912" t="s">
        <v>191</v>
      </c>
      <c r="J1912" t="s">
        <v>270</v>
      </c>
      <c r="K1912">
        <v>0</v>
      </c>
      <c r="L1912" t="s">
        <v>161</v>
      </c>
      <c r="N1912" t="s">
        <v>214</v>
      </c>
      <c r="O1912" t="s">
        <v>270</v>
      </c>
      <c r="P1912">
        <v>2.7835946898674531E-2</v>
      </c>
      <c r="Q1912" t="s">
        <v>161</v>
      </c>
    </row>
    <row r="1913" spans="9:17" x14ac:dyDescent="0.45">
      <c r="I1913" t="s">
        <v>191</v>
      </c>
      <c r="J1913" t="s">
        <v>255</v>
      </c>
      <c r="K1913">
        <v>1.5822344212179259E-5</v>
      </c>
      <c r="L1913" t="s">
        <v>161</v>
      </c>
      <c r="N1913" t="s">
        <v>214</v>
      </c>
      <c r="O1913" t="s">
        <v>255</v>
      </c>
      <c r="P1913">
        <v>6.4157546959932824E-2</v>
      </c>
      <c r="Q1913" t="s">
        <v>161</v>
      </c>
    </row>
    <row r="1914" spans="9:17" x14ac:dyDescent="0.45">
      <c r="I1914" t="s">
        <v>191</v>
      </c>
      <c r="J1914" t="s">
        <v>256</v>
      </c>
      <c r="K1914">
        <v>1.8692604642135643E-3</v>
      </c>
      <c r="L1914" t="s">
        <v>161</v>
      </c>
      <c r="N1914" t="s">
        <v>214</v>
      </c>
      <c r="O1914" t="s">
        <v>256</v>
      </c>
      <c r="P1914">
        <v>7.4385446641945544E-3</v>
      </c>
      <c r="Q1914" t="s">
        <v>161</v>
      </c>
    </row>
    <row r="1915" spans="9:17" x14ac:dyDescent="0.45">
      <c r="I1915" t="s">
        <v>191</v>
      </c>
      <c r="J1915" t="s">
        <v>257</v>
      </c>
      <c r="K1915">
        <v>3.3998910877783214E-2</v>
      </c>
      <c r="L1915" t="s">
        <v>161</v>
      </c>
      <c r="N1915" t="s">
        <v>214</v>
      </c>
      <c r="O1915" t="s">
        <v>257</v>
      </c>
      <c r="P1915">
        <v>5.7026042176977203E-2</v>
      </c>
      <c r="Q1915" t="s">
        <v>161</v>
      </c>
    </row>
    <row r="1916" spans="9:17" x14ac:dyDescent="0.45">
      <c r="I1916" t="s">
        <v>191</v>
      </c>
      <c r="J1916" t="s">
        <v>258</v>
      </c>
      <c r="K1916">
        <v>2.4023010820179618E-4</v>
      </c>
      <c r="L1916" t="s">
        <v>161</v>
      </c>
      <c r="N1916" t="s">
        <v>214</v>
      </c>
      <c r="O1916" t="s">
        <v>258</v>
      </c>
      <c r="P1916">
        <v>8.1059982536302658E-3</v>
      </c>
      <c r="Q1916" t="s">
        <v>161</v>
      </c>
    </row>
    <row r="1917" spans="9:17" x14ac:dyDescent="0.45">
      <c r="I1917" t="s">
        <v>191</v>
      </c>
      <c r="J1917" t="s">
        <v>259</v>
      </c>
      <c r="K1917">
        <v>0</v>
      </c>
      <c r="L1917" t="s">
        <v>161</v>
      </c>
      <c r="N1917" t="s">
        <v>214</v>
      </c>
      <c r="O1917" t="s">
        <v>259</v>
      </c>
      <c r="P1917">
        <v>8.5326837621574232E-3</v>
      </c>
      <c r="Q1917" t="s">
        <v>161</v>
      </c>
    </row>
    <row r="1918" spans="9:17" x14ac:dyDescent="0.45">
      <c r="I1918" t="s">
        <v>191</v>
      </c>
      <c r="J1918" t="s">
        <v>271</v>
      </c>
      <c r="K1918">
        <v>0</v>
      </c>
      <c r="L1918" t="s">
        <v>161</v>
      </c>
      <c r="N1918" t="s">
        <v>214</v>
      </c>
      <c r="O1918" t="s">
        <v>271</v>
      </c>
      <c r="P1918">
        <v>5.0052606734689753E-2</v>
      </c>
      <c r="Q1918" t="s">
        <v>161</v>
      </c>
    </row>
    <row r="1919" spans="9:17" x14ac:dyDescent="0.45">
      <c r="I1919" t="s">
        <v>191</v>
      </c>
      <c r="J1919" t="s">
        <v>272</v>
      </c>
      <c r="K1919">
        <v>0</v>
      </c>
      <c r="L1919" t="s">
        <v>161</v>
      </c>
      <c r="N1919" t="s">
        <v>214</v>
      </c>
      <c r="O1919" t="s">
        <v>272</v>
      </c>
      <c r="P1919">
        <v>6.2673847607385242E-3</v>
      </c>
      <c r="Q1919" t="s">
        <v>161</v>
      </c>
    </row>
    <row r="1920" spans="9:17" x14ac:dyDescent="0.45">
      <c r="I1920" t="s">
        <v>191</v>
      </c>
      <c r="J1920" t="s">
        <v>273</v>
      </c>
      <c r="K1920">
        <v>2.2289347944954332E-5</v>
      </c>
      <c r="L1920" t="s">
        <v>161</v>
      </c>
      <c r="N1920" t="s">
        <v>214</v>
      </c>
      <c r="O1920" t="s">
        <v>273</v>
      </c>
      <c r="P1920">
        <v>7.1421526651316671E-4</v>
      </c>
      <c r="Q1920" t="s">
        <v>161</v>
      </c>
    </row>
    <row r="1921" spans="9:17" x14ac:dyDescent="0.45">
      <c r="I1921" t="s">
        <v>191</v>
      </c>
      <c r="J1921" t="s">
        <v>274</v>
      </c>
      <c r="K1921">
        <v>5.4939316939167588E-3</v>
      </c>
      <c r="L1921" t="s">
        <v>161</v>
      </c>
      <c r="N1921" t="s">
        <v>214</v>
      </c>
      <c r="O1921" t="s">
        <v>274</v>
      </c>
      <c r="P1921">
        <v>6.0560323415822671E-3</v>
      </c>
      <c r="Q1921" t="s">
        <v>161</v>
      </c>
    </row>
    <row r="1922" spans="9:17" x14ac:dyDescent="0.45">
      <c r="I1922" t="s">
        <v>191</v>
      </c>
      <c r="J1922" t="s">
        <v>275</v>
      </c>
      <c r="K1922">
        <v>0</v>
      </c>
      <c r="L1922" t="s">
        <v>161</v>
      </c>
      <c r="N1922" t="s">
        <v>214</v>
      </c>
      <c r="O1922" t="s">
        <v>275</v>
      </c>
      <c r="P1922">
        <v>1.0237144911535735E-3</v>
      </c>
      <c r="Q1922" t="s">
        <v>161</v>
      </c>
    </row>
    <row r="1923" spans="9:17" x14ac:dyDescent="0.45">
      <c r="I1923" t="s">
        <v>191</v>
      </c>
      <c r="J1923" t="s">
        <v>276</v>
      </c>
      <c r="K1923">
        <v>0</v>
      </c>
      <c r="L1923" t="s">
        <v>161</v>
      </c>
      <c r="N1923" t="s">
        <v>214</v>
      </c>
      <c r="O1923" t="s">
        <v>276</v>
      </c>
      <c r="P1923">
        <v>9.8123887630113403E-4</v>
      </c>
      <c r="Q1923" t="s">
        <v>161</v>
      </c>
    </row>
    <row r="1924" spans="9:17" x14ac:dyDescent="0.45">
      <c r="I1924" t="s">
        <v>191</v>
      </c>
      <c r="J1924" t="s">
        <v>277</v>
      </c>
      <c r="K1924">
        <v>0</v>
      </c>
      <c r="L1924" t="s">
        <v>161</v>
      </c>
      <c r="N1924" t="s">
        <v>214</v>
      </c>
      <c r="O1924" t="s">
        <v>277</v>
      </c>
      <c r="P1924">
        <v>6.4867817474029933E-3</v>
      </c>
      <c r="Q1924" t="s">
        <v>161</v>
      </c>
    </row>
    <row r="1925" spans="9:17" x14ac:dyDescent="0.45">
      <c r="I1925" t="s">
        <v>191</v>
      </c>
      <c r="J1925" t="s">
        <v>278</v>
      </c>
      <c r="K1925">
        <v>0</v>
      </c>
      <c r="L1925" t="s">
        <v>161</v>
      </c>
      <c r="N1925" t="s">
        <v>214</v>
      </c>
      <c r="O1925" t="s">
        <v>278</v>
      </c>
      <c r="P1925">
        <v>3.1368127767810732E-3</v>
      </c>
      <c r="Q1925" t="s">
        <v>161</v>
      </c>
    </row>
    <row r="1926" spans="9:17" x14ac:dyDescent="0.45">
      <c r="I1926" t="s">
        <v>191</v>
      </c>
      <c r="J1926" t="s">
        <v>279</v>
      </c>
      <c r="K1926">
        <v>3.3920347480313798E-6</v>
      </c>
      <c r="L1926" t="s">
        <v>161</v>
      </c>
      <c r="N1926" t="s">
        <v>214</v>
      </c>
      <c r="O1926" t="s">
        <v>279</v>
      </c>
      <c r="P1926">
        <v>2.3720010001595262E-4</v>
      </c>
      <c r="Q1926" t="s">
        <v>161</v>
      </c>
    </row>
    <row r="1927" spans="9:17" x14ac:dyDescent="0.45">
      <c r="I1927" t="s">
        <v>191</v>
      </c>
      <c r="J1927" t="s">
        <v>280</v>
      </c>
      <c r="K1927">
        <v>4.9667960182807258E-3</v>
      </c>
      <c r="L1927" t="s">
        <v>161</v>
      </c>
      <c r="N1927" t="s">
        <v>214</v>
      </c>
      <c r="O1927" t="s">
        <v>280</v>
      </c>
      <c r="P1927">
        <v>1.1088775251647542E-3</v>
      </c>
      <c r="Q1927" t="s">
        <v>161</v>
      </c>
    </row>
    <row r="1928" spans="9:17" x14ac:dyDescent="0.45">
      <c r="I1928" t="s">
        <v>191</v>
      </c>
      <c r="J1928" t="s">
        <v>281</v>
      </c>
      <c r="K1928">
        <v>0</v>
      </c>
      <c r="L1928" t="s">
        <v>161</v>
      </c>
      <c r="N1928" t="s">
        <v>214</v>
      </c>
      <c r="O1928" t="s">
        <v>281</v>
      </c>
      <c r="P1928">
        <v>2.8806249541621614E-4</v>
      </c>
      <c r="Q1928" t="s">
        <v>161</v>
      </c>
    </row>
    <row r="1929" spans="9:17" x14ac:dyDescent="0.45">
      <c r="I1929" t="s">
        <v>191</v>
      </c>
      <c r="J1929" t="s">
        <v>282</v>
      </c>
      <c r="K1929">
        <v>0</v>
      </c>
      <c r="L1929" t="s">
        <v>161</v>
      </c>
      <c r="N1929" t="s">
        <v>214</v>
      </c>
      <c r="O1929" t="s">
        <v>282</v>
      </c>
      <c r="P1929">
        <v>4.3769744990877074E-4</v>
      </c>
      <c r="Q1929" t="s">
        <v>161</v>
      </c>
    </row>
    <row r="1930" spans="9:17" x14ac:dyDescent="0.45">
      <c r="I1930" t="s">
        <v>191</v>
      </c>
      <c r="J1930" t="s">
        <v>283</v>
      </c>
      <c r="K1930">
        <v>0</v>
      </c>
      <c r="L1930" t="s">
        <v>161</v>
      </c>
      <c r="N1930" t="s">
        <v>214</v>
      </c>
      <c r="O1930" t="s">
        <v>283</v>
      </c>
      <c r="P1930">
        <v>4.6580018136561738E-3</v>
      </c>
      <c r="Q1930" t="s">
        <v>161</v>
      </c>
    </row>
    <row r="1931" spans="9:17" x14ac:dyDescent="0.45">
      <c r="I1931" t="s">
        <v>192</v>
      </c>
      <c r="J1931" t="s">
        <v>160</v>
      </c>
      <c r="K1931">
        <v>1.8779718669404682E-3</v>
      </c>
      <c r="L1931" t="s">
        <v>161</v>
      </c>
      <c r="N1931" t="s">
        <v>215</v>
      </c>
      <c r="O1931" t="s">
        <v>160</v>
      </c>
      <c r="P1931">
        <v>7.5881362746750294E-2</v>
      </c>
      <c r="Q1931" t="s">
        <v>161</v>
      </c>
    </row>
    <row r="1932" spans="9:17" x14ac:dyDescent="0.45">
      <c r="I1932" t="s">
        <v>192</v>
      </c>
      <c r="J1932" t="s">
        <v>162</v>
      </c>
      <c r="K1932">
        <v>5.7021345233769002E-3</v>
      </c>
      <c r="L1932" t="s">
        <v>161</v>
      </c>
      <c r="N1932" t="s">
        <v>215</v>
      </c>
      <c r="O1932" t="s">
        <v>162</v>
      </c>
      <c r="P1932">
        <v>8.4478469601212674E-3</v>
      </c>
      <c r="Q1932" t="s">
        <v>161</v>
      </c>
    </row>
    <row r="1933" spans="9:17" x14ac:dyDescent="0.45">
      <c r="I1933" t="s">
        <v>192</v>
      </c>
      <c r="J1933" t="s">
        <v>163</v>
      </c>
      <c r="K1933">
        <v>8.5717454397767304E-2</v>
      </c>
      <c r="L1933" t="s">
        <v>161</v>
      </c>
      <c r="N1933" t="s">
        <v>215</v>
      </c>
      <c r="O1933" t="s">
        <v>163</v>
      </c>
      <c r="P1933">
        <v>5.253145564120687E-2</v>
      </c>
      <c r="Q1933" t="s">
        <v>161</v>
      </c>
    </row>
    <row r="1934" spans="9:17" x14ac:dyDescent="0.45">
      <c r="I1934" t="s">
        <v>192</v>
      </c>
      <c r="J1934" t="s">
        <v>242</v>
      </c>
      <c r="K1934">
        <v>6.7705913659770129E-3</v>
      </c>
      <c r="L1934" t="s">
        <v>161</v>
      </c>
      <c r="N1934" t="s">
        <v>215</v>
      </c>
      <c r="O1934" t="s">
        <v>242</v>
      </c>
      <c r="P1934">
        <v>8.5701234224519231E-3</v>
      </c>
      <c r="Q1934" t="s">
        <v>161</v>
      </c>
    </row>
    <row r="1935" spans="9:17" x14ac:dyDescent="0.45">
      <c r="I1935" t="s">
        <v>192</v>
      </c>
      <c r="J1935" t="s">
        <v>243</v>
      </c>
      <c r="K1935">
        <v>2.6159947350288884E-3</v>
      </c>
      <c r="L1935" t="s">
        <v>161</v>
      </c>
      <c r="N1935" t="s">
        <v>215</v>
      </c>
      <c r="O1935" t="s">
        <v>243</v>
      </c>
      <c r="P1935">
        <v>9.4956616622464685E-3</v>
      </c>
      <c r="Q1935" t="s">
        <v>161</v>
      </c>
    </row>
    <row r="1936" spans="9:17" x14ac:dyDescent="0.45">
      <c r="I1936" t="s">
        <v>192</v>
      </c>
      <c r="J1936" t="s">
        <v>266</v>
      </c>
      <c r="K1936">
        <v>0</v>
      </c>
      <c r="L1936" t="s">
        <v>161</v>
      </c>
      <c r="N1936" t="s">
        <v>215</v>
      </c>
      <c r="O1936" t="s">
        <v>266</v>
      </c>
      <c r="P1936">
        <v>6.3131998537907102E-2</v>
      </c>
      <c r="Q1936" t="s">
        <v>161</v>
      </c>
    </row>
    <row r="1937" spans="9:17" x14ac:dyDescent="0.45">
      <c r="I1937" t="s">
        <v>192</v>
      </c>
      <c r="J1937" t="s">
        <v>311</v>
      </c>
      <c r="K1937">
        <v>0</v>
      </c>
      <c r="L1937" t="s">
        <v>161</v>
      </c>
      <c r="N1937" t="s">
        <v>215</v>
      </c>
      <c r="O1937" t="s">
        <v>311</v>
      </c>
      <c r="P1937">
        <v>9.5600675152267135E-5</v>
      </c>
      <c r="Q1937" t="s">
        <v>161</v>
      </c>
    </row>
    <row r="1938" spans="9:17" x14ac:dyDescent="0.45">
      <c r="I1938" t="s">
        <v>192</v>
      </c>
      <c r="J1938" t="s">
        <v>312</v>
      </c>
      <c r="K1938">
        <v>0</v>
      </c>
      <c r="L1938" t="s">
        <v>161</v>
      </c>
      <c r="N1938" t="s">
        <v>215</v>
      </c>
      <c r="O1938" t="s">
        <v>312</v>
      </c>
      <c r="P1938">
        <v>7.777445544611808E-5</v>
      </c>
      <c r="Q1938" t="s">
        <v>161</v>
      </c>
    </row>
    <row r="1939" spans="9:17" x14ac:dyDescent="0.45">
      <c r="I1939" t="s">
        <v>192</v>
      </c>
      <c r="J1939" t="s">
        <v>313</v>
      </c>
      <c r="K1939">
        <v>0</v>
      </c>
      <c r="L1939" t="s">
        <v>161</v>
      </c>
      <c r="N1939" t="s">
        <v>215</v>
      </c>
      <c r="O1939" t="s">
        <v>313</v>
      </c>
      <c r="P1939">
        <v>5.63445829928227E-5</v>
      </c>
      <c r="Q1939" t="s">
        <v>161</v>
      </c>
    </row>
    <row r="1940" spans="9:17" x14ac:dyDescent="0.45">
      <c r="I1940" t="s">
        <v>192</v>
      </c>
      <c r="J1940" t="s">
        <v>314</v>
      </c>
      <c r="K1940">
        <v>0</v>
      </c>
      <c r="L1940" t="s">
        <v>161</v>
      </c>
      <c r="N1940" t="s">
        <v>215</v>
      </c>
      <c r="O1940" t="s">
        <v>314</v>
      </c>
      <c r="P1940">
        <v>4.4226488435661755E-5</v>
      </c>
      <c r="Q1940" t="s">
        <v>161</v>
      </c>
    </row>
    <row r="1941" spans="9:17" x14ac:dyDescent="0.45">
      <c r="I1941" t="s">
        <v>192</v>
      </c>
      <c r="J1941" t="s">
        <v>315</v>
      </c>
      <c r="K1941">
        <v>0</v>
      </c>
      <c r="L1941" t="s">
        <v>161</v>
      </c>
      <c r="N1941" t="s">
        <v>215</v>
      </c>
      <c r="O1941" t="s">
        <v>315</v>
      </c>
      <c r="P1941">
        <v>4.2390654929394055E-5</v>
      </c>
      <c r="Q1941" t="s">
        <v>161</v>
      </c>
    </row>
    <row r="1942" spans="9:17" x14ac:dyDescent="0.45">
      <c r="I1942" t="s">
        <v>192</v>
      </c>
      <c r="J1942" t="s">
        <v>316</v>
      </c>
      <c r="K1942">
        <v>0</v>
      </c>
      <c r="L1942" t="s">
        <v>161</v>
      </c>
      <c r="N1942" t="s">
        <v>215</v>
      </c>
      <c r="O1942" t="s">
        <v>316</v>
      </c>
      <c r="P1942">
        <v>4.2655424007553214E-5</v>
      </c>
      <c r="Q1942" t="s">
        <v>161</v>
      </c>
    </row>
    <row r="1943" spans="9:17" x14ac:dyDescent="0.45">
      <c r="I1943" t="s">
        <v>192</v>
      </c>
      <c r="J1943" t="s">
        <v>317</v>
      </c>
      <c r="K1943">
        <v>0</v>
      </c>
      <c r="L1943" t="s">
        <v>161</v>
      </c>
      <c r="N1943" t="s">
        <v>215</v>
      </c>
      <c r="O1943" t="s">
        <v>317</v>
      </c>
      <c r="P1943">
        <v>4.6067710183666877E-5</v>
      </c>
      <c r="Q1943" t="s">
        <v>161</v>
      </c>
    </row>
    <row r="1944" spans="9:17" x14ac:dyDescent="0.45">
      <c r="I1944" t="s">
        <v>192</v>
      </c>
      <c r="J1944" t="s">
        <v>318</v>
      </c>
      <c r="K1944">
        <v>0</v>
      </c>
      <c r="L1944" t="s">
        <v>161</v>
      </c>
      <c r="N1944" t="s">
        <v>215</v>
      </c>
      <c r="O1944" t="s">
        <v>318</v>
      </c>
      <c r="P1944">
        <v>3.7706246326645362E-5</v>
      </c>
      <c r="Q1944" t="s">
        <v>161</v>
      </c>
    </row>
    <row r="1945" spans="9:17" x14ac:dyDescent="0.45">
      <c r="I1945" t="s">
        <v>192</v>
      </c>
      <c r="J1945" t="s">
        <v>319</v>
      </c>
      <c r="K1945">
        <v>1.3113405746144414E-5</v>
      </c>
      <c r="L1945" t="s">
        <v>161</v>
      </c>
      <c r="N1945" t="s">
        <v>215</v>
      </c>
      <c r="O1945" t="s">
        <v>319</v>
      </c>
      <c r="P1945">
        <v>1.6356207423974485E-5</v>
      </c>
      <c r="Q1945" t="s">
        <v>161</v>
      </c>
    </row>
    <row r="1946" spans="9:17" x14ac:dyDescent="0.45">
      <c r="I1946" t="s">
        <v>192</v>
      </c>
      <c r="J1946" t="s">
        <v>320</v>
      </c>
      <c r="K1946">
        <v>3.5405262536800111E-5</v>
      </c>
      <c r="L1946" t="s">
        <v>161</v>
      </c>
      <c r="N1946" t="s">
        <v>215</v>
      </c>
      <c r="O1946" t="s">
        <v>320</v>
      </c>
      <c r="P1946">
        <v>3.1007154701096195E-5</v>
      </c>
      <c r="Q1946" t="s">
        <v>161</v>
      </c>
    </row>
    <row r="1947" spans="9:17" x14ac:dyDescent="0.45">
      <c r="I1947" t="s">
        <v>192</v>
      </c>
      <c r="J1947" t="s">
        <v>321</v>
      </c>
      <c r="K1947">
        <v>8.3711902461137204E-5</v>
      </c>
      <c r="L1947" t="s">
        <v>161</v>
      </c>
      <c r="N1947" t="s">
        <v>215</v>
      </c>
      <c r="O1947" t="s">
        <v>321</v>
      </c>
      <c r="P1947">
        <v>6.1047376548237388E-5</v>
      </c>
      <c r="Q1947" t="s">
        <v>161</v>
      </c>
    </row>
    <row r="1948" spans="9:17" x14ac:dyDescent="0.45">
      <c r="I1948" t="s">
        <v>192</v>
      </c>
      <c r="J1948" t="s">
        <v>322</v>
      </c>
      <c r="K1948">
        <v>1.431631185247179E-4</v>
      </c>
      <c r="L1948" t="s">
        <v>161</v>
      </c>
      <c r="N1948" t="s">
        <v>215</v>
      </c>
      <c r="O1948" t="s">
        <v>322</v>
      </c>
      <c r="P1948">
        <v>5.3383458763288046E-5</v>
      </c>
      <c r="Q1948" t="s">
        <v>161</v>
      </c>
    </row>
    <row r="1949" spans="9:17" x14ac:dyDescent="0.45">
      <c r="I1949" t="s">
        <v>192</v>
      </c>
      <c r="J1949" t="s">
        <v>323</v>
      </c>
      <c r="K1949">
        <v>1.3141137416235844E-4</v>
      </c>
      <c r="L1949" t="s">
        <v>161</v>
      </c>
      <c r="N1949" t="s">
        <v>215</v>
      </c>
      <c r="O1949" t="s">
        <v>323</v>
      </c>
      <c r="P1949">
        <v>5.9099439266239015E-5</v>
      </c>
      <c r="Q1949" t="s">
        <v>161</v>
      </c>
    </row>
    <row r="1950" spans="9:17" x14ac:dyDescent="0.45">
      <c r="I1950" t="s">
        <v>192</v>
      </c>
      <c r="J1950" t="s">
        <v>324</v>
      </c>
      <c r="K1950">
        <v>9.2821406393661518E-5</v>
      </c>
      <c r="L1950" t="s">
        <v>161</v>
      </c>
      <c r="N1950" t="s">
        <v>215</v>
      </c>
      <c r="O1950" t="s">
        <v>324</v>
      </c>
      <c r="P1950">
        <v>7.4415768038754094E-5</v>
      </c>
      <c r="Q1950" t="s">
        <v>161</v>
      </c>
    </row>
    <row r="1951" spans="9:17" x14ac:dyDescent="0.45">
      <c r="I1951" t="s">
        <v>192</v>
      </c>
      <c r="J1951" t="s">
        <v>325</v>
      </c>
      <c r="K1951">
        <v>8.7817123836398983E-5</v>
      </c>
      <c r="L1951" t="s">
        <v>161</v>
      </c>
      <c r="N1951" t="s">
        <v>215</v>
      </c>
      <c r="O1951" t="s">
        <v>325</v>
      </c>
      <c r="P1951">
        <v>1.0128477728253948E-4</v>
      </c>
      <c r="Q1951" t="s">
        <v>161</v>
      </c>
    </row>
    <row r="1952" spans="9:17" x14ac:dyDescent="0.45">
      <c r="I1952" t="s">
        <v>192</v>
      </c>
      <c r="J1952" t="s">
        <v>326</v>
      </c>
      <c r="K1952">
        <v>8.423055743183875E-5</v>
      </c>
      <c r="L1952" t="s">
        <v>161</v>
      </c>
      <c r="N1952" t="s">
        <v>215</v>
      </c>
      <c r="O1952" t="s">
        <v>326</v>
      </c>
      <c r="P1952">
        <v>9.8725187361456185E-5</v>
      </c>
      <c r="Q1952" t="s">
        <v>161</v>
      </c>
    </row>
    <row r="1953" spans="9:17" x14ac:dyDescent="0.45">
      <c r="I1953" t="s">
        <v>192</v>
      </c>
      <c r="J1953" t="s">
        <v>327</v>
      </c>
      <c r="K1953">
        <v>6.0470233713855366E-5</v>
      </c>
      <c r="L1953" t="s">
        <v>161</v>
      </c>
      <c r="N1953" t="s">
        <v>215</v>
      </c>
      <c r="O1953" t="s">
        <v>327</v>
      </c>
      <c r="P1953">
        <v>1.1179212853009929E-4</v>
      </c>
      <c r="Q1953" t="s">
        <v>161</v>
      </c>
    </row>
    <row r="1954" spans="9:17" x14ac:dyDescent="0.45">
      <c r="I1954" t="s">
        <v>192</v>
      </c>
      <c r="J1954" t="s">
        <v>328</v>
      </c>
      <c r="K1954">
        <v>1.1952376542324801E-5</v>
      </c>
      <c r="L1954" t="s">
        <v>161</v>
      </c>
      <c r="N1954" t="s">
        <v>215</v>
      </c>
      <c r="O1954" t="s">
        <v>328</v>
      </c>
      <c r="P1954">
        <v>1.6281212053477254E-4</v>
      </c>
      <c r="Q1954" t="s">
        <v>161</v>
      </c>
    </row>
    <row r="1955" spans="9:17" x14ac:dyDescent="0.45">
      <c r="I1955" t="s">
        <v>192</v>
      </c>
      <c r="J1955" t="s">
        <v>329</v>
      </c>
      <c r="K1955">
        <v>0</v>
      </c>
      <c r="L1955" t="s">
        <v>161</v>
      </c>
      <c r="N1955" t="s">
        <v>215</v>
      </c>
      <c r="O1955" t="s">
        <v>329</v>
      </c>
      <c r="P1955">
        <v>2.2742107386423694E-4</v>
      </c>
      <c r="Q1955" t="s">
        <v>161</v>
      </c>
    </row>
    <row r="1956" spans="9:17" x14ac:dyDescent="0.45">
      <c r="I1956" t="s">
        <v>192</v>
      </c>
      <c r="J1956" t="s">
        <v>330</v>
      </c>
      <c r="K1956">
        <v>0</v>
      </c>
      <c r="L1956" t="s">
        <v>161</v>
      </c>
      <c r="N1956" t="s">
        <v>215</v>
      </c>
      <c r="O1956" t="s">
        <v>330</v>
      </c>
      <c r="P1956">
        <v>2.4479517739278678E-4</v>
      </c>
      <c r="Q1956" t="s">
        <v>161</v>
      </c>
    </row>
    <row r="1957" spans="9:17" x14ac:dyDescent="0.45">
      <c r="I1957" t="s">
        <v>192</v>
      </c>
      <c r="J1957" t="s">
        <v>331</v>
      </c>
      <c r="K1957">
        <v>0</v>
      </c>
      <c r="L1957" t="s">
        <v>161</v>
      </c>
      <c r="N1957" t="s">
        <v>215</v>
      </c>
      <c r="O1957" t="s">
        <v>331</v>
      </c>
      <c r="P1957">
        <v>2.5287051971655916E-4</v>
      </c>
      <c r="Q1957" t="s">
        <v>161</v>
      </c>
    </row>
    <row r="1958" spans="9:17" x14ac:dyDescent="0.45">
      <c r="I1958" t="s">
        <v>192</v>
      </c>
      <c r="J1958" t="s">
        <v>332</v>
      </c>
      <c r="K1958">
        <v>0</v>
      </c>
      <c r="L1958" t="s">
        <v>161</v>
      </c>
      <c r="N1958" t="s">
        <v>215</v>
      </c>
      <c r="O1958" t="s">
        <v>332</v>
      </c>
      <c r="P1958">
        <v>2.5332474673799975E-4</v>
      </c>
      <c r="Q1958" t="s">
        <v>161</v>
      </c>
    </row>
    <row r="1959" spans="9:17" x14ac:dyDescent="0.45">
      <c r="I1959" t="s">
        <v>192</v>
      </c>
      <c r="J1959" t="s">
        <v>333</v>
      </c>
      <c r="K1959">
        <v>0</v>
      </c>
      <c r="L1959" t="s">
        <v>161</v>
      </c>
      <c r="N1959" t="s">
        <v>215</v>
      </c>
      <c r="O1959" t="s">
        <v>333</v>
      </c>
      <c r="P1959">
        <v>2.3691954561427101E-4</v>
      </c>
      <c r="Q1959" t="s">
        <v>161</v>
      </c>
    </row>
    <row r="1960" spans="9:17" x14ac:dyDescent="0.45">
      <c r="I1960" t="s">
        <v>192</v>
      </c>
      <c r="J1960" t="s">
        <v>334</v>
      </c>
      <c r="K1960">
        <v>0</v>
      </c>
      <c r="L1960" t="s">
        <v>161</v>
      </c>
      <c r="N1960" t="s">
        <v>215</v>
      </c>
      <c r="O1960" t="s">
        <v>334</v>
      </c>
      <c r="P1960">
        <v>2.3291490381156151E-4</v>
      </c>
      <c r="Q1960" t="s">
        <v>161</v>
      </c>
    </row>
    <row r="1961" spans="9:17" x14ac:dyDescent="0.45">
      <c r="I1961" t="s">
        <v>192</v>
      </c>
      <c r="J1961" t="s">
        <v>164</v>
      </c>
      <c r="K1961">
        <v>1.1944220438229895E-2</v>
      </c>
      <c r="L1961" t="s">
        <v>161</v>
      </c>
      <c r="N1961" t="s">
        <v>215</v>
      </c>
      <c r="O1961" t="s">
        <v>164</v>
      </c>
      <c r="P1961">
        <v>5.1740134052412796E-2</v>
      </c>
      <c r="Q1961" t="s">
        <v>161</v>
      </c>
    </row>
    <row r="1962" spans="9:17" x14ac:dyDescent="0.45">
      <c r="I1962" t="s">
        <v>192</v>
      </c>
      <c r="J1962" t="s">
        <v>165</v>
      </c>
      <c r="K1962">
        <v>1.0634846348840401E-2</v>
      </c>
      <c r="L1962" t="s">
        <v>161</v>
      </c>
      <c r="N1962" t="s">
        <v>215</v>
      </c>
      <c r="O1962" t="s">
        <v>165</v>
      </c>
      <c r="P1962">
        <v>5.0351886986604788E-3</v>
      </c>
      <c r="Q1962" t="s">
        <v>161</v>
      </c>
    </row>
    <row r="1963" spans="9:17" x14ac:dyDescent="0.45">
      <c r="I1963" t="s">
        <v>192</v>
      </c>
      <c r="J1963" t="s">
        <v>166</v>
      </c>
      <c r="K1963">
        <v>9.7427407493258317E-2</v>
      </c>
      <c r="L1963" t="s">
        <v>161</v>
      </c>
      <c r="N1963" t="s">
        <v>215</v>
      </c>
      <c r="O1963" t="s">
        <v>166</v>
      </c>
      <c r="P1963">
        <v>3.0593184834292651E-2</v>
      </c>
      <c r="Q1963" t="s">
        <v>161</v>
      </c>
    </row>
    <row r="1964" spans="9:17" x14ac:dyDescent="0.45">
      <c r="I1964" t="s">
        <v>192</v>
      </c>
      <c r="J1964" t="s">
        <v>244</v>
      </c>
      <c r="K1964">
        <v>9.1567903745131754E-3</v>
      </c>
      <c r="L1964" t="s">
        <v>161</v>
      </c>
      <c r="N1964" t="s">
        <v>215</v>
      </c>
      <c r="O1964" t="s">
        <v>244</v>
      </c>
      <c r="P1964">
        <v>4.8566584568733662E-3</v>
      </c>
      <c r="Q1964" t="s">
        <v>161</v>
      </c>
    </row>
    <row r="1965" spans="9:17" x14ac:dyDescent="0.45">
      <c r="I1965" t="s">
        <v>192</v>
      </c>
      <c r="J1965" t="s">
        <v>245</v>
      </c>
      <c r="K1965">
        <v>6.2863616078722481E-3</v>
      </c>
      <c r="L1965" t="s">
        <v>161</v>
      </c>
      <c r="N1965" t="s">
        <v>215</v>
      </c>
      <c r="O1965" t="s">
        <v>245</v>
      </c>
      <c r="P1965">
        <v>5.0728655524761284E-3</v>
      </c>
      <c r="Q1965" t="s">
        <v>161</v>
      </c>
    </row>
    <row r="1966" spans="9:17" x14ac:dyDescent="0.45">
      <c r="I1966" t="s">
        <v>192</v>
      </c>
      <c r="J1966" t="s">
        <v>267</v>
      </c>
      <c r="K1966">
        <v>3.1621521916951668E-3</v>
      </c>
      <c r="L1966" t="s">
        <v>161</v>
      </c>
      <c r="N1966" t="s">
        <v>215</v>
      </c>
      <c r="O1966" t="s">
        <v>267</v>
      </c>
      <c r="P1966">
        <v>3.9779409171725975E-2</v>
      </c>
      <c r="Q1966" t="s">
        <v>161</v>
      </c>
    </row>
    <row r="1967" spans="9:17" x14ac:dyDescent="0.45">
      <c r="I1967" t="s">
        <v>192</v>
      </c>
      <c r="J1967" t="s">
        <v>167</v>
      </c>
      <c r="K1967">
        <v>5.9218770561737466E-2</v>
      </c>
      <c r="L1967" t="s">
        <v>161</v>
      </c>
      <c r="N1967" t="s">
        <v>215</v>
      </c>
      <c r="O1967" t="s">
        <v>167</v>
      </c>
      <c r="P1967">
        <v>7.032292122505035E-2</v>
      </c>
      <c r="Q1967" t="s">
        <v>161</v>
      </c>
    </row>
    <row r="1968" spans="9:17" x14ac:dyDescent="0.45">
      <c r="I1968" t="s">
        <v>192</v>
      </c>
      <c r="J1968" t="s">
        <v>168</v>
      </c>
      <c r="K1968">
        <v>3.2328229909841431E-2</v>
      </c>
      <c r="L1968" t="s">
        <v>161</v>
      </c>
      <c r="N1968" t="s">
        <v>215</v>
      </c>
      <c r="O1968" t="s">
        <v>168</v>
      </c>
      <c r="P1968">
        <v>7.7205149551658582E-3</v>
      </c>
      <c r="Q1968" t="s">
        <v>161</v>
      </c>
    </row>
    <row r="1969" spans="9:17" x14ac:dyDescent="0.45">
      <c r="I1969" t="s">
        <v>192</v>
      </c>
      <c r="J1969" t="s">
        <v>169</v>
      </c>
      <c r="K1969">
        <v>0.26314439442047466</v>
      </c>
      <c r="L1969" t="s">
        <v>161</v>
      </c>
      <c r="N1969" t="s">
        <v>215</v>
      </c>
      <c r="O1969" t="s">
        <v>169</v>
      </c>
      <c r="P1969">
        <v>5.8923265126363915E-2</v>
      </c>
      <c r="Q1969" t="s">
        <v>161</v>
      </c>
    </row>
    <row r="1970" spans="9:17" x14ac:dyDescent="0.45">
      <c r="I1970" t="s">
        <v>192</v>
      </c>
      <c r="J1970" t="s">
        <v>246</v>
      </c>
      <c r="K1970">
        <v>2.8335164772061633E-2</v>
      </c>
      <c r="L1970" t="s">
        <v>161</v>
      </c>
      <c r="N1970" t="s">
        <v>215</v>
      </c>
      <c r="O1970" t="s">
        <v>246</v>
      </c>
      <c r="P1970">
        <v>8.7496894381862041E-3</v>
      </c>
      <c r="Q1970" t="s">
        <v>161</v>
      </c>
    </row>
    <row r="1971" spans="9:17" x14ac:dyDescent="0.45">
      <c r="I1971" t="s">
        <v>192</v>
      </c>
      <c r="J1971" t="s">
        <v>247</v>
      </c>
      <c r="K1971">
        <v>2.262340956130296E-2</v>
      </c>
      <c r="L1971" t="s">
        <v>161</v>
      </c>
      <c r="N1971" t="s">
        <v>215</v>
      </c>
      <c r="O1971" t="s">
        <v>247</v>
      </c>
      <c r="P1971">
        <v>8.4789151861679526E-3</v>
      </c>
      <c r="Q1971" t="s">
        <v>161</v>
      </c>
    </row>
    <row r="1972" spans="9:17" x14ac:dyDescent="0.45">
      <c r="I1972" t="s">
        <v>192</v>
      </c>
      <c r="J1972" t="s">
        <v>268</v>
      </c>
      <c r="K1972">
        <v>2.5935595525098405E-2</v>
      </c>
      <c r="L1972" t="s">
        <v>161</v>
      </c>
      <c r="N1972" t="s">
        <v>215</v>
      </c>
      <c r="O1972" t="s">
        <v>268</v>
      </c>
      <c r="P1972">
        <v>6.1638889880009692E-2</v>
      </c>
      <c r="Q1972" t="s">
        <v>161</v>
      </c>
    </row>
    <row r="1973" spans="9:17" x14ac:dyDescent="0.45">
      <c r="I1973" t="s">
        <v>192</v>
      </c>
      <c r="J1973" t="s">
        <v>170</v>
      </c>
      <c r="K1973">
        <v>1.9854367953725898E-2</v>
      </c>
      <c r="L1973" t="s">
        <v>161</v>
      </c>
      <c r="N1973" t="s">
        <v>215</v>
      </c>
      <c r="O1973" t="s">
        <v>170</v>
      </c>
      <c r="P1973">
        <v>3.0256551510284998E-2</v>
      </c>
      <c r="Q1973" t="s">
        <v>161</v>
      </c>
    </row>
    <row r="1974" spans="9:17" x14ac:dyDescent="0.45">
      <c r="I1974" t="s">
        <v>192</v>
      </c>
      <c r="J1974" t="s">
        <v>171</v>
      </c>
      <c r="K1974">
        <v>1.4183127439058873E-2</v>
      </c>
      <c r="L1974" t="s">
        <v>161</v>
      </c>
      <c r="N1974" t="s">
        <v>215</v>
      </c>
      <c r="O1974" t="s">
        <v>171</v>
      </c>
      <c r="P1974">
        <v>3.1694665075880121E-3</v>
      </c>
      <c r="Q1974" t="s">
        <v>161</v>
      </c>
    </row>
    <row r="1975" spans="9:17" x14ac:dyDescent="0.45">
      <c r="I1975" t="s">
        <v>192</v>
      </c>
      <c r="J1975" t="s">
        <v>172</v>
      </c>
      <c r="K1975">
        <v>0.11526433471804184</v>
      </c>
      <c r="L1975" t="s">
        <v>161</v>
      </c>
      <c r="N1975" t="s">
        <v>215</v>
      </c>
      <c r="O1975" t="s">
        <v>172</v>
      </c>
      <c r="P1975">
        <v>1.9140384777053647E-2</v>
      </c>
      <c r="Q1975" t="s">
        <v>161</v>
      </c>
    </row>
    <row r="1976" spans="9:17" x14ac:dyDescent="0.45">
      <c r="I1976" t="s">
        <v>192</v>
      </c>
      <c r="J1976" t="s">
        <v>248</v>
      </c>
      <c r="K1976">
        <v>1.2415673195180256E-2</v>
      </c>
      <c r="L1976" t="s">
        <v>161</v>
      </c>
      <c r="N1976" t="s">
        <v>215</v>
      </c>
      <c r="O1976" t="s">
        <v>248</v>
      </c>
      <c r="P1976">
        <v>3.2276199455030128E-3</v>
      </c>
      <c r="Q1976" t="s">
        <v>161</v>
      </c>
    </row>
    <row r="1977" spans="9:17" x14ac:dyDescent="0.45">
      <c r="I1977" t="s">
        <v>192</v>
      </c>
      <c r="J1977" t="s">
        <v>249</v>
      </c>
      <c r="K1977">
        <v>8.9829277708907331E-3</v>
      </c>
      <c r="L1977" t="s">
        <v>161</v>
      </c>
      <c r="N1977" t="s">
        <v>215</v>
      </c>
      <c r="O1977" t="s">
        <v>249</v>
      </c>
      <c r="P1977">
        <v>3.1765177400657012E-3</v>
      </c>
      <c r="Q1977" t="s">
        <v>161</v>
      </c>
    </row>
    <row r="1978" spans="9:17" x14ac:dyDescent="0.45">
      <c r="I1978" t="s">
        <v>192</v>
      </c>
      <c r="J1978" t="s">
        <v>269</v>
      </c>
      <c r="K1978">
        <v>7.6473764337368529E-3</v>
      </c>
      <c r="L1978" t="s">
        <v>161</v>
      </c>
      <c r="N1978" t="s">
        <v>215</v>
      </c>
      <c r="O1978" t="s">
        <v>269</v>
      </c>
      <c r="P1978">
        <v>2.3390446513841569E-2</v>
      </c>
      <c r="Q1978" t="s">
        <v>161</v>
      </c>
    </row>
    <row r="1979" spans="9:17" x14ac:dyDescent="0.45">
      <c r="I1979" t="s">
        <v>192</v>
      </c>
      <c r="J1979" t="s">
        <v>362</v>
      </c>
      <c r="K1979">
        <v>0</v>
      </c>
      <c r="L1979" t="s">
        <v>161</v>
      </c>
      <c r="N1979" t="s">
        <v>215</v>
      </c>
      <c r="O1979" t="s">
        <v>362</v>
      </c>
      <c r="P1979">
        <v>1.6661496704716494E-4</v>
      </c>
      <c r="Q1979" t="s">
        <v>161</v>
      </c>
    </row>
    <row r="1980" spans="9:17" x14ac:dyDescent="0.45">
      <c r="I1980" t="s">
        <v>192</v>
      </c>
      <c r="J1980" t="s">
        <v>363</v>
      </c>
      <c r="K1980">
        <v>0</v>
      </c>
      <c r="L1980" t="s">
        <v>161</v>
      </c>
      <c r="N1980" t="s">
        <v>215</v>
      </c>
      <c r="O1980" t="s">
        <v>363</v>
      </c>
      <c r="P1980">
        <v>2.0030665653633477E-4</v>
      </c>
      <c r="Q1980" t="s">
        <v>161</v>
      </c>
    </row>
    <row r="1981" spans="9:17" x14ac:dyDescent="0.45">
      <c r="I1981" t="s">
        <v>192</v>
      </c>
      <c r="J1981" t="s">
        <v>364</v>
      </c>
      <c r="K1981">
        <v>0</v>
      </c>
      <c r="L1981" t="s">
        <v>161</v>
      </c>
      <c r="N1981" t="s">
        <v>215</v>
      </c>
      <c r="O1981" t="s">
        <v>364</v>
      </c>
      <c r="P1981">
        <v>2.2274787722248476E-4</v>
      </c>
      <c r="Q1981" t="s">
        <v>161</v>
      </c>
    </row>
    <row r="1982" spans="9:17" x14ac:dyDescent="0.45">
      <c r="I1982" t="s">
        <v>192</v>
      </c>
      <c r="J1982" t="s">
        <v>365</v>
      </c>
      <c r="K1982">
        <v>0</v>
      </c>
      <c r="L1982" t="s">
        <v>161</v>
      </c>
      <c r="N1982" t="s">
        <v>215</v>
      </c>
      <c r="O1982" t="s">
        <v>365</v>
      </c>
      <c r="P1982">
        <v>2.0694207329766402E-4</v>
      </c>
      <c r="Q1982" t="s">
        <v>161</v>
      </c>
    </row>
    <row r="1983" spans="9:17" x14ac:dyDescent="0.45">
      <c r="I1983" t="s">
        <v>192</v>
      </c>
      <c r="J1983" t="s">
        <v>366</v>
      </c>
      <c r="K1983">
        <v>0</v>
      </c>
      <c r="L1983" t="s">
        <v>161</v>
      </c>
      <c r="N1983" t="s">
        <v>215</v>
      </c>
      <c r="O1983" t="s">
        <v>366</v>
      </c>
      <c r="P1983">
        <v>1.938562310869698E-4</v>
      </c>
      <c r="Q1983" t="s">
        <v>161</v>
      </c>
    </row>
    <row r="1984" spans="9:17" x14ac:dyDescent="0.45">
      <c r="I1984" t="s">
        <v>192</v>
      </c>
      <c r="J1984" t="s">
        <v>367</v>
      </c>
      <c r="K1984">
        <v>4.7448539718535262E-5</v>
      </c>
      <c r="L1984" t="s">
        <v>161</v>
      </c>
      <c r="N1984" t="s">
        <v>215</v>
      </c>
      <c r="O1984" t="s">
        <v>367</v>
      </c>
      <c r="P1984">
        <v>2.1421440601713545E-4</v>
      </c>
      <c r="Q1984" t="s">
        <v>161</v>
      </c>
    </row>
    <row r="1985" spans="9:17" x14ac:dyDescent="0.45">
      <c r="I1985" t="s">
        <v>192</v>
      </c>
      <c r="J1985" t="s">
        <v>368</v>
      </c>
      <c r="K1985">
        <v>2.1658196159502909E-4</v>
      </c>
      <c r="L1985" t="s">
        <v>161</v>
      </c>
      <c r="N1985" t="s">
        <v>215</v>
      </c>
      <c r="O1985" t="s">
        <v>368</v>
      </c>
      <c r="P1985">
        <v>1.9605944020765481E-4</v>
      </c>
      <c r="Q1985" t="s">
        <v>161</v>
      </c>
    </row>
    <row r="1986" spans="9:17" x14ac:dyDescent="0.45">
      <c r="I1986" t="s">
        <v>192</v>
      </c>
      <c r="J1986" t="s">
        <v>369</v>
      </c>
      <c r="K1986">
        <v>4.272575019000705E-4</v>
      </c>
      <c r="L1986" t="s">
        <v>161</v>
      </c>
      <c r="N1986" t="s">
        <v>215</v>
      </c>
      <c r="O1986" t="s">
        <v>369</v>
      </c>
      <c r="P1986">
        <v>1.3919429663591213E-4</v>
      </c>
      <c r="Q1986" t="s">
        <v>161</v>
      </c>
    </row>
    <row r="1987" spans="9:17" x14ac:dyDescent="0.45">
      <c r="I1987" t="s">
        <v>192</v>
      </c>
      <c r="J1987" t="s">
        <v>370</v>
      </c>
      <c r="K1987">
        <v>5.0607186378974814E-4</v>
      </c>
      <c r="L1987" t="s">
        <v>161</v>
      </c>
      <c r="N1987" t="s">
        <v>215</v>
      </c>
      <c r="O1987" t="s">
        <v>370</v>
      </c>
      <c r="P1987">
        <v>1.6746567736434739E-4</v>
      </c>
      <c r="Q1987" t="s">
        <v>161</v>
      </c>
    </row>
    <row r="1988" spans="9:17" x14ac:dyDescent="0.45">
      <c r="I1988" t="s">
        <v>192</v>
      </c>
      <c r="J1988" t="s">
        <v>371</v>
      </c>
      <c r="K1988">
        <v>5.232788100512037E-4</v>
      </c>
      <c r="L1988" t="s">
        <v>161</v>
      </c>
      <c r="N1988" t="s">
        <v>215</v>
      </c>
      <c r="O1988" t="s">
        <v>371</v>
      </c>
      <c r="P1988">
        <v>2.0558297299838322E-4</v>
      </c>
      <c r="Q1988" t="s">
        <v>161</v>
      </c>
    </row>
    <row r="1989" spans="9:17" x14ac:dyDescent="0.45">
      <c r="I1989" t="s">
        <v>192</v>
      </c>
      <c r="J1989" t="s">
        <v>372</v>
      </c>
      <c r="K1989">
        <v>5.1241041246939602E-4</v>
      </c>
      <c r="L1989" t="s">
        <v>161</v>
      </c>
      <c r="N1989" t="s">
        <v>215</v>
      </c>
      <c r="O1989" t="s">
        <v>372</v>
      </c>
      <c r="P1989">
        <v>2.4421213123366385E-4</v>
      </c>
      <c r="Q1989" t="s">
        <v>161</v>
      </c>
    </row>
    <row r="1990" spans="9:17" x14ac:dyDescent="0.45">
      <c r="I1990" t="s">
        <v>192</v>
      </c>
      <c r="J1990" t="s">
        <v>373</v>
      </c>
      <c r="K1990">
        <v>4.1882383385693605E-4</v>
      </c>
      <c r="L1990" t="s">
        <v>161</v>
      </c>
      <c r="N1990" t="s">
        <v>215</v>
      </c>
      <c r="O1990" t="s">
        <v>373</v>
      </c>
      <c r="P1990">
        <v>2.3948026985797026E-4</v>
      </c>
      <c r="Q1990" t="s">
        <v>161</v>
      </c>
    </row>
    <row r="1991" spans="9:17" x14ac:dyDescent="0.45">
      <c r="I1991" t="s">
        <v>192</v>
      </c>
      <c r="J1991" t="s">
        <v>374</v>
      </c>
      <c r="K1991">
        <v>3.8315328065216037E-4</v>
      </c>
      <c r="L1991" t="s">
        <v>161</v>
      </c>
      <c r="N1991" t="s">
        <v>215</v>
      </c>
      <c r="O1991" t="s">
        <v>374</v>
      </c>
      <c r="P1991">
        <v>1.9901263234019744E-4</v>
      </c>
      <c r="Q1991" t="s">
        <v>161</v>
      </c>
    </row>
    <row r="1992" spans="9:17" x14ac:dyDescent="0.45">
      <c r="I1992" t="s">
        <v>192</v>
      </c>
      <c r="J1992" t="s">
        <v>375</v>
      </c>
      <c r="K1992">
        <v>3.7696579242918856E-4</v>
      </c>
      <c r="L1992" t="s">
        <v>161</v>
      </c>
      <c r="N1992" t="s">
        <v>215</v>
      </c>
      <c r="O1992" t="s">
        <v>375</v>
      </c>
      <c r="P1992">
        <v>1.6073750450572232E-4</v>
      </c>
      <c r="Q1992" t="s">
        <v>161</v>
      </c>
    </row>
    <row r="1993" spans="9:17" x14ac:dyDescent="0.45">
      <c r="I1993" t="s">
        <v>192</v>
      </c>
      <c r="J1993" t="s">
        <v>376</v>
      </c>
      <c r="K1993">
        <v>4.2583484732340528E-4</v>
      </c>
      <c r="L1993" t="s">
        <v>161</v>
      </c>
      <c r="N1993" t="s">
        <v>215</v>
      </c>
      <c r="O1993" t="s">
        <v>376</v>
      </c>
      <c r="P1993">
        <v>1.3984298020135392E-4</v>
      </c>
      <c r="Q1993" t="s">
        <v>161</v>
      </c>
    </row>
    <row r="1994" spans="9:17" x14ac:dyDescent="0.45">
      <c r="I1994" t="s">
        <v>192</v>
      </c>
      <c r="J1994" t="s">
        <v>377</v>
      </c>
      <c r="K1994">
        <v>3.2970551430736808E-4</v>
      </c>
      <c r="L1994" t="s">
        <v>161</v>
      </c>
      <c r="N1994" t="s">
        <v>215</v>
      </c>
      <c r="O1994" t="s">
        <v>377</v>
      </c>
      <c r="P1994">
        <v>1.2035813427429859E-4</v>
      </c>
      <c r="Q1994" t="s">
        <v>161</v>
      </c>
    </row>
    <row r="1995" spans="9:17" x14ac:dyDescent="0.45">
      <c r="I1995" t="s">
        <v>192</v>
      </c>
      <c r="J1995" t="s">
        <v>378</v>
      </c>
      <c r="K1995">
        <v>2.6624233560012969E-4</v>
      </c>
      <c r="L1995" t="s">
        <v>161</v>
      </c>
      <c r="N1995" t="s">
        <v>215</v>
      </c>
      <c r="O1995" t="s">
        <v>378</v>
      </c>
      <c r="P1995">
        <v>1.2624291205458685E-4</v>
      </c>
      <c r="Q1995" t="s">
        <v>161</v>
      </c>
    </row>
    <row r="1996" spans="9:17" x14ac:dyDescent="0.45">
      <c r="I1996" t="s">
        <v>192</v>
      </c>
      <c r="J1996" t="s">
        <v>379</v>
      </c>
      <c r="K1996">
        <v>2.0964779685981265E-4</v>
      </c>
      <c r="L1996" t="s">
        <v>161</v>
      </c>
      <c r="N1996" t="s">
        <v>215</v>
      </c>
      <c r="O1996" t="s">
        <v>379</v>
      </c>
      <c r="P1996">
        <v>1.3534246557947156E-4</v>
      </c>
      <c r="Q1996" t="s">
        <v>161</v>
      </c>
    </row>
    <row r="1997" spans="9:17" x14ac:dyDescent="0.45">
      <c r="I1997" t="s">
        <v>192</v>
      </c>
      <c r="J1997" t="s">
        <v>380</v>
      </c>
      <c r="K1997">
        <v>7.5692274999746546E-5</v>
      </c>
      <c r="L1997" t="s">
        <v>161</v>
      </c>
      <c r="N1997" t="s">
        <v>215</v>
      </c>
      <c r="O1997" t="s">
        <v>380</v>
      </c>
      <c r="P1997">
        <v>1.5804635288250947E-4</v>
      </c>
      <c r="Q1997" t="s">
        <v>161</v>
      </c>
    </row>
    <row r="1998" spans="9:17" x14ac:dyDescent="0.45">
      <c r="I1998" t="s">
        <v>192</v>
      </c>
      <c r="J1998" t="s">
        <v>381</v>
      </c>
      <c r="K1998">
        <v>0</v>
      </c>
      <c r="L1998" t="s">
        <v>161</v>
      </c>
      <c r="N1998" t="s">
        <v>215</v>
      </c>
      <c r="O1998" t="s">
        <v>381</v>
      </c>
      <c r="P1998">
        <v>1.9019911455215549E-4</v>
      </c>
      <c r="Q1998" t="s">
        <v>161</v>
      </c>
    </row>
    <row r="1999" spans="9:17" x14ac:dyDescent="0.45">
      <c r="I1999" t="s">
        <v>192</v>
      </c>
      <c r="J1999" t="s">
        <v>382</v>
      </c>
      <c r="K1999">
        <v>0</v>
      </c>
      <c r="L1999" t="s">
        <v>161</v>
      </c>
      <c r="N1999" t="s">
        <v>215</v>
      </c>
      <c r="O1999" t="s">
        <v>382</v>
      </c>
      <c r="P1999">
        <v>1.950332981626541E-4</v>
      </c>
      <c r="Q1999" t="s">
        <v>161</v>
      </c>
    </row>
    <row r="2000" spans="9:17" x14ac:dyDescent="0.45">
      <c r="I2000" t="s">
        <v>192</v>
      </c>
      <c r="J2000" t="s">
        <v>383</v>
      </c>
      <c r="K2000">
        <v>0</v>
      </c>
      <c r="L2000" t="s">
        <v>161</v>
      </c>
      <c r="N2000" t="s">
        <v>215</v>
      </c>
      <c r="O2000" t="s">
        <v>383</v>
      </c>
      <c r="P2000">
        <v>1.837662637325627E-4</v>
      </c>
      <c r="Q2000" t="s">
        <v>161</v>
      </c>
    </row>
    <row r="2001" spans="9:17" x14ac:dyDescent="0.45">
      <c r="I2001" t="s">
        <v>192</v>
      </c>
      <c r="J2001" t="s">
        <v>384</v>
      </c>
      <c r="K2001">
        <v>0</v>
      </c>
      <c r="L2001" t="s">
        <v>161</v>
      </c>
      <c r="N2001" t="s">
        <v>215</v>
      </c>
      <c r="O2001" t="s">
        <v>384</v>
      </c>
      <c r="P2001">
        <v>1.6457454294570656E-4</v>
      </c>
      <c r="Q2001" t="s">
        <v>161</v>
      </c>
    </row>
    <row r="2002" spans="9:17" x14ac:dyDescent="0.45">
      <c r="I2002" t="s">
        <v>192</v>
      </c>
      <c r="J2002" t="s">
        <v>385</v>
      </c>
      <c r="K2002">
        <v>0</v>
      </c>
      <c r="L2002" t="s">
        <v>161</v>
      </c>
      <c r="N2002" t="s">
        <v>215</v>
      </c>
      <c r="O2002" t="s">
        <v>385</v>
      </c>
      <c r="P2002">
        <v>1.4405336188076968E-4</v>
      </c>
      <c r="Q2002" t="s">
        <v>161</v>
      </c>
    </row>
    <row r="2003" spans="9:17" x14ac:dyDescent="0.45">
      <c r="I2003" t="s">
        <v>192</v>
      </c>
      <c r="J2003" t="s">
        <v>250</v>
      </c>
      <c r="K2003">
        <v>4.9442995021952837E-3</v>
      </c>
      <c r="L2003" t="s">
        <v>161</v>
      </c>
      <c r="N2003" t="s">
        <v>215</v>
      </c>
      <c r="O2003" t="s">
        <v>250</v>
      </c>
      <c r="P2003">
        <v>4.109504587232414E-2</v>
      </c>
      <c r="Q2003" t="s">
        <v>161</v>
      </c>
    </row>
    <row r="2004" spans="9:17" x14ac:dyDescent="0.45">
      <c r="I2004" t="s">
        <v>192</v>
      </c>
      <c r="J2004" t="s">
        <v>251</v>
      </c>
      <c r="K2004">
        <v>8.3054346877787823E-3</v>
      </c>
      <c r="L2004" t="s">
        <v>161</v>
      </c>
      <c r="N2004" t="s">
        <v>215</v>
      </c>
      <c r="O2004" t="s">
        <v>251</v>
      </c>
      <c r="P2004">
        <v>4.435806452662297E-3</v>
      </c>
      <c r="Q2004" t="s">
        <v>161</v>
      </c>
    </row>
    <row r="2005" spans="9:17" x14ac:dyDescent="0.45">
      <c r="I2005" t="s">
        <v>192</v>
      </c>
      <c r="J2005" t="s">
        <v>252</v>
      </c>
      <c r="K2005">
        <v>7.7298323812923161E-2</v>
      </c>
      <c r="L2005" t="s">
        <v>161</v>
      </c>
      <c r="N2005" t="s">
        <v>215</v>
      </c>
      <c r="O2005" t="s">
        <v>252</v>
      </c>
      <c r="P2005">
        <v>2.8213825885510049E-2</v>
      </c>
      <c r="Q2005" t="s">
        <v>161</v>
      </c>
    </row>
    <row r="2006" spans="9:17" x14ac:dyDescent="0.45">
      <c r="I2006" t="s">
        <v>192</v>
      </c>
      <c r="J2006" t="s">
        <v>253</v>
      </c>
      <c r="K2006">
        <v>6.1873517160254366E-3</v>
      </c>
      <c r="L2006" t="s">
        <v>161</v>
      </c>
      <c r="N2006" t="s">
        <v>215</v>
      </c>
      <c r="O2006" t="s">
        <v>253</v>
      </c>
      <c r="P2006">
        <v>5.1467584193998286E-3</v>
      </c>
      <c r="Q2006" t="s">
        <v>161</v>
      </c>
    </row>
    <row r="2007" spans="9:17" x14ac:dyDescent="0.45">
      <c r="I2007" t="s">
        <v>192</v>
      </c>
      <c r="J2007" t="s">
        <v>254</v>
      </c>
      <c r="K2007">
        <v>2.1331455829744074E-3</v>
      </c>
      <c r="L2007" t="s">
        <v>161</v>
      </c>
      <c r="N2007" t="s">
        <v>215</v>
      </c>
      <c r="O2007" t="s">
        <v>254</v>
      </c>
      <c r="P2007">
        <v>5.492881316363751E-3</v>
      </c>
      <c r="Q2007" t="s">
        <v>161</v>
      </c>
    </row>
    <row r="2008" spans="9:17" x14ac:dyDescent="0.45">
      <c r="I2008" t="s">
        <v>192</v>
      </c>
      <c r="J2008" t="s">
        <v>270</v>
      </c>
      <c r="K2008">
        <v>0</v>
      </c>
      <c r="L2008" t="s">
        <v>161</v>
      </c>
      <c r="N2008" t="s">
        <v>215</v>
      </c>
      <c r="O2008" t="s">
        <v>270</v>
      </c>
      <c r="P2008">
        <v>3.3112788270988291E-2</v>
      </c>
      <c r="Q2008" t="s">
        <v>161</v>
      </c>
    </row>
    <row r="2009" spans="9:17" x14ac:dyDescent="0.45">
      <c r="I2009" t="s">
        <v>192</v>
      </c>
      <c r="J2009" t="s">
        <v>255</v>
      </c>
      <c r="K2009">
        <v>0</v>
      </c>
      <c r="L2009" t="s">
        <v>161</v>
      </c>
      <c r="N2009" t="s">
        <v>215</v>
      </c>
      <c r="O2009" t="s">
        <v>255</v>
      </c>
      <c r="P2009">
        <v>6.07879732271372E-2</v>
      </c>
      <c r="Q2009" t="s">
        <v>161</v>
      </c>
    </row>
    <row r="2010" spans="9:17" x14ac:dyDescent="0.45">
      <c r="I2010" t="s">
        <v>192</v>
      </c>
      <c r="J2010" t="s">
        <v>256</v>
      </c>
      <c r="K2010">
        <v>1.7958985181040282E-3</v>
      </c>
      <c r="L2010" t="s">
        <v>161</v>
      </c>
      <c r="N2010" t="s">
        <v>215</v>
      </c>
      <c r="O2010" t="s">
        <v>256</v>
      </c>
      <c r="P2010">
        <v>6.9822114309083527E-3</v>
      </c>
      <c r="Q2010" t="s">
        <v>161</v>
      </c>
    </row>
    <row r="2011" spans="9:17" x14ac:dyDescent="0.45">
      <c r="I2011" t="s">
        <v>192</v>
      </c>
      <c r="J2011" t="s">
        <v>257</v>
      </c>
      <c r="K2011">
        <v>3.4843133612874923E-2</v>
      </c>
      <c r="L2011" t="s">
        <v>161</v>
      </c>
      <c r="N2011" t="s">
        <v>215</v>
      </c>
      <c r="O2011" t="s">
        <v>257</v>
      </c>
      <c r="P2011">
        <v>4.5240923700561646E-2</v>
      </c>
      <c r="Q2011" t="s">
        <v>161</v>
      </c>
    </row>
    <row r="2012" spans="9:17" x14ac:dyDescent="0.45">
      <c r="I2012" t="s">
        <v>192</v>
      </c>
      <c r="J2012" t="s">
        <v>258</v>
      </c>
      <c r="K2012">
        <v>1.8668962015216565E-4</v>
      </c>
      <c r="L2012" t="s">
        <v>161</v>
      </c>
      <c r="N2012" t="s">
        <v>215</v>
      </c>
      <c r="O2012" t="s">
        <v>258</v>
      </c>
      <c r="P2012">
        <v>7.9630930793321373E-3</v>
      </c>
      <c r="Q2012" t="s">
        <v>161</v>
      </c>
    </row>
    <row r="2013" spans="9:17" x14ac:dyDescent="0.45">
      <c r="I2013" t="s">
        <v>192</v>
      </c>
      <c r="J2013" t="s">
        <v>259</v>
      </c>
      <c r="K2013">
        <v>0</v>
      </c>
      <c r="L2013" t="s">
        <v>161</v>
      </c>
      <c r="N2013" t="s">
        <v>215</v>
      </c>
      <c r="O2013" t="s">
        <v>259</v>
      </c>
      <c r="P2013">
        <v>8.0859858160952508E-3</v>
      </c>
      <c r="Q2013" t="s">
        <v>161</v>
      </c>
    </row>
    <row r="2014" spans="9:17" x14ac:dyDescent="0.45">
      <c r="I2014" t="s">
        <v>192</v>
      </c>
      <c r="J2014" t="s">
        <v>271</v>
      </c>
      <c r="K2014">
        <v>0</v>
      </c>
      <c r="L2014" t="s">
        <v>161</v>
      </c>
      <c r="N2014" t="s">
        <v>215</v>
      </c>
      <c r="O2014" t="s">
        <v>271</v>
      </c>
      <c r="P2014">
        <v>4.8525906092541163E-2</v>
      </c>
      <c r="Q2014" t="s">
        <v>161</v>
      </c>
    </row>
    <row r="2015" spans="9:17" x14ac:dyDescent="0.45">
      <c r="I2015" t="s">
        <v>192</v>
      </c>
      <c r="J2015" t="s">
        <v>272</v>
      </c>
      <c r="K2015">
        <v>0</v>
      </c>
      <c r="L2015" t="s">
        <v>161</v>
      </c>
      <c r="N2015" t="s">
        <v>215</v>
      </c>
      <c r="O2015" t="s">
        <v>272</v>
      </c>
      <c r="P2015">
        <v>1.2381259355243538E-2</v>
      </c>
      <c r="Q2015" t="s">
        <v>161</v>
      </c>
    </row>
    <row r="2016" spans="9:17" x14ac:dyDescent="0.45">
      <c r="I2016" t="s">
        <v>192</v>
      </c>
      <c r="J2016" t="s">
        <v>273</v>
      </c>
      <c r="K2016">
        <v>0</v>
      </c>
      <c r="L2016" t="s">
        <v>161</v>
      </c>
      <c r="N2016" t="s">
        <v>215</v>
      </c>
      <c r="O2016" t="s">
        <v>273</v>
      </c>
      <c r="P2016">
        <v>1.0709909552267226E-3</v>
      </c>
      <c r="Q2016" t="s">
        <v>161</v>
      </c>
    </row>
    <row r="2017" spans="9:17" x14ac:dyDescent="0.45">
      <c r="I2017" t="s">
        <v>192</v>
      </c>
      <c r="J2017" t="s">
        <v>274</v>
      </c>
      <c r="K2017">
        <v>4.0687992407646058E-3</v>
      </c>
      <c r="L2017" t="s">
        <v>161</v>
      </c>
      <c r="N2017" t="s">
        <v>215</v>
      </c>
      <c r="O2017" t="s">
        <v>274</v>
      </c>
      <c r="P2017">
        <v>8.3290730923504131E-3</v>
      </c>
      <c r="Q2017" t="s">
        <v>161</v>
      </c>
    </row>
    <row r="2018" spans="9:17" x14ac:dyDescent="0.45">
      <c r="I2018" t="s">
        <v>192</v>
      </c>
      <c r="J2018" t="s">
        <v>275</v>
      </c>
      <c r="K2018">
        <v>0</v>
      </c>
      <c r="L2018" t="s">
        <v>161</v>
      </c>
      <c r="N2018" t="s">
        <v>215</v>
      </c>
      <c r="O2018" t="s">
        <v>275</v>
      </c>
      <c r="P2018">
        <v>1.3951349229283927E-3</v>
      </c>
      <c r="Q2018" t="s">
        <v>161</v>
      </c>
    </row>
    <row r="2019" spans="9:17" x14ac:dyDescent="0.45">
      <c r="I2019" t="s">
        <v>192</v>
      </c>
      <c r="J2019" t="s">
        <v>276</v>
      </c>
      <c r="K2019">
        <v>0</v>
      </c>
      <c r="L2019" t="s">
        <v>161</v>
      </c>
      <c r="N2019" t="s">
        <v>215</v>
      </c>
      <c r="O2019" t="s">
        <v>276</v>
      </c>
      <c r="P2019">
        <v>1.4067064501648693E-3</v>
      </c>
      <c r="Q2019" t="s">
        <v>161</v>
      </c>
    </row>
    <row r="2020" spans="9:17" x14ac:dyDescent="0.45">
      <c r="I2020" t="s">
        <v>192</v>
      </c>
      <c r="J2020" t="s">
        <v>277</v>
      </c>
      <c r="K2020">
        <v>0</v>
      </c>
      <c r="L2020" t="s">
        <v>161</v>
      </c>
      <c r="N2020" t="s">
        <v>215</v>
      </c>
      <c r="O2020" t="s">
        <v>277</v>
      </c>
      <c r="P2020">
        <v>9.0248934110137274E-3</v>
      </c>
      <c r="Q2020" t="s">
        <v>161</v>
      </c>
    </row>
    <row r="2021" spans="9:17" x14ac:dyDescent="0.45">
      <c r="I2021" t="s">
        <v>192</v>
      </c>
      <c r="J2021" t="s">
        <v>278</v>
      </c>
      <c r="K2021">
        <v>0</v>
      </c>
      <c r="L2021" t="s">
        <v>161</v>
      </c>
      <c r="N2021" t="s">
        <v>215</v>
      </c>
      <c r="O2021" t="s">
        <v>278</v>
      </c>
      <c r="P2021">
        <v>4.0515347187067997E-3</v>
      </c>
      <c r="Q2021" t="s">
        <v>161</v>
      </c>
    </row>
    <row r="2022" spans="9:17" x14ac:dyDescent="0.45">
      <c r="I2022" t="s">
        <v>192</v>
      </c>
      <c r="J2022" t="s">
        <v>279</v>
      </c>
      <c r="K2022">
        <v>0</v>
      </c>
      <c r="L2022" t="s">
        <v>161</v>
      </c>
      <c r="N2022" t="s">
        <v>215</v>
      </c>
      <c r="O2022" t="s">
        <v>279</v>
      </c>
      <c r="P2022">
        <v>4.2827228405981066E-4</v>
      </c>
      <c r="Q2022" t="s">
        <v>161</v>
      </c>
    </row>
    <row r="2023" spans="9:17" x14ac:dyDescent="0.45">
      <c r="I2023" t="s">
        <v>192</v>
      </c>
      <c r="J2023" t="s">
        <v>280</v>
      </c>
      <c r="K2023">
        <v>3.5444145746558004E-3</v>
      </c>
      <c r="L2023" t="s">
        <v>161</v>
      </c>
      <c r="N2023" t="s">
        <v>215</v>
      </c>
      <c r="O2023" t="s">
        <v>280</v>
      </c>
      <c r="P2023">
        <v>1.5670548987052515E-3</v>
      </c>
      <c r="Q2023" t="s">
        <v>161</v>
      </c>
    </row>
    <row r="2024" spans="9:17" x14ac:dyDescent="0.45">
      <c r="I2024" t="s">
        <v>192</v>
      </c>
      <c r="J2024" t="s">
        <v>281</v>
      </c>
      <c r="K2024">
        <v>0</v>
      </c>
      <c r="L2024" t="s">
        <v>161</v>
      </c>
      <c r="N2024" t="s">
        <v>215</v>
      </c>
      <c r="O2024" t="s">
        <v>281</v>
      </c>
      <c r="P2024">
        <v>3.0126523527416771E-4</v>
      </c>
      <c r="Q2024" t="s">
        <v>161</v>
      </c>
    </row>
    <row r="2025" spans="9:17" x14ac:dyDescent="0.45">
      <c r="I2025" t="s">
        <v>192</v>
      </c>
      <c r="J2025" t="s">
        <v>282</v>
      </c>
      <c r="K2025">
        <v>0</v>
      </c>
      <c r="L2025" t="s">
        <v>161</v>
      </c>
      <c r="N2025" t="s">
        <v>215</v>
      </c>
      <c r="O2025" t="s">
        <v>282</v>
      </c>
      <c r="P2025">
        <v>3.436877731025695E-4</v>
      </c>
      <c r="Q2025" t="s">
        <v>161</v>
      </c>
    </row>
    <row r="2026" spans="9:17" x14ac:dyDescent="0.45">
      <c r="I2026" t="s">
        <v>192</v>
      </c>
      <c r="J2026" t="s">
        <v>283</v>
      </c>
      <c r="K2026">
        <v>0</v>
      </c>
      <c r="L2026" t="s">
        <v>161</v>
      </c>
      <c r="N2026" t="s">
        <v>215</v>
      </c>
      <c r="O2026" t="s">
        <v>283</v>
      </c>
      <c r="P2026">
        <v>4.3110324113147481E-3</v>
      </c>
      <c r="Q2026" t="s">
        <v>161</v>
      </c>
    </row>
    <row r="2027" spans="9:17" x14ac:dyDescent="0.45">
      <c r="I2027" t="s">
        <v>193</v>
      </c>
      <c r="J2027" t="s">
        <v>160</v>
      </c>
      <c r="K2027">
        <v>1.6174779525053905E-3</v>
      </c>
      <c r="L2027" t="s">
        <v>161</v>
      </c>
      <c r="N2027" t="s">
        <v>216</v>
      </c>
      <c r="O2027" t="s">
        <v>160</v>
      </c>
      <c r="P2027">
        <v>7.0655877885457324E-2</v>
      </c>
      <c r="Q2027" t="s">
        <v>161</v>
      </c>
    </row>
    <row r="2028" spans="9:17" x14ac:dyDescent="0.45">
      <c r="I2028" t="s">
        <v>193</v>
      </c>
      <c r="J2028" t="s">
        <v>162</v>
      </c>
      <c r="K2028">
        <v>5.4386420786256074E-3</v>
      </c>
      <c r="L2028" t="s">
        <v>161</v>
      </c>
      <c r="N2028" t="s">
        <v>216</v>
      </c>
      <c r="O2028" t="s">
        <v>162</v>
      </c>
      <c r="P2028">
        <v>8.8402570153723759E-3</v>
      </c>
      <c r="Q2028" t="s">
        <v>161</v>
      </c>
    </row>
    <row r="2029" spans="9:17" x14ac:dyDescent="0.45">
      <c r="I2029" t="s">
        <v>193</v>
      </c>
      <c r="J2029" t="s">
        <v>163</v>
      </c>
      <c r="K2029">
        <v>9.0203372341938426E-2</v>
      </c>
      <c r="L2029" t="s">
        <v>161</v>
      </c>
      <c r="N2029" t="s">
        <v>216</v>
      </c>
      <c r="O2029" t="s">
        <v>163</v>
      </c>
      <c r="P2029">
        <v>5.5524498174523367E-2</v>
      </c>
      <c r="Q2029" t="s">
        <v>161</v>
      </c>
    </row>
    <row r="2030" spans="9:17" x14ac:dyDescent="0.45">
      <c r="I2030" t="s">
        <v>193</v>
      </c>
      <c r="J2030" t="s">
        <v>242</v>
      </c>
      <c r="K2030">
        <v>6.9690414193154327E-3</v>
      </c>
      <c r="L2030" t="s">
        <v>161</v>
      </c>
      <c r="N2030" t="s">
        <v>216</v>
      </c>
      <c r="O2030" t="s">
        <v>242</v>
      </c>
      <c r="P2030">
        <v>8.5855032409323517E-3</v>
      </c>
      <c r="Q2030" t="s">
        <v>161</v>
      </c>
    </row>
    <row r="2031" spans="9:17" x14ac:dyDescent="0.45">
      <c r="I2031" t="s">
        <v>193</v>
      </c>
      <c r="J2031" t="s">
        <v>243</v>
      </c>
      <c r="K2031">
        <v>2.3182026231537132E-3</v>
      </c>
      <c r="L2031" t="s">
        <v>161</v>
      </c>
      <c r="N2031" t="s">
        <v>216</v>
      </c>
      <c r="O2031" t="s">
        <v>243</v>
      </c>
      <c r="P2031">
        <v>8.9396279492166067E-3</v>
      </c>
      <c r="Q2031" t="s">
        <v>161</v>
      </c>
    </row>
    <row r="2032" spans="9:17" x14ac:dyDescent="0.45">
      <c r="I2032" t="s">
        <v>193</v>
      </c>
      <c r="J2032" t="s">
        <v>266</v>
      </c>
      <c r="K2032">
        <v>0</v>
      </c>
      <c r="L2032" t="s">
        <v>161</v>
      </c>
      <c r="N2032" t="s">
        <v>216</v>
      </c>
      <c r="O2032" t="s">
        <v>266</v>
      </c>
      <c r="P2032">
        <v>5.5703359216478725E-2</v>
      </c>
      <c r="Q2032" t="s">
        <v>161</v>
      </c>
    </row>
    <row r="2033" spans="9:17" x14ac:dyDescent="0.45">
      <c r="I2033" t="s">
        <v>193</v>
      </c>
      <c r="J2033" t="s">
        <v>311</v>
      </c>
      <c r="K2033">
        <v>0</v>
      </c>
      <c r="L2033" t="s">
        <v>161</v>
      </c>
      <c r="N2033" t="s">
        <v>216</v>
      </c>
      <c r="O2033" t="s">
        <v>311</v>
      </c>
      <c r="P2033">
        <v>2.5294172839330629E-5</v>
      </c>
      <c r="Q2033" t="s">
        <v>161</v>
      </c>
    </row>
    <row r="2034" spans="9:17" x14ac:dyDescent="0.45">
      <c r="I2034" t="s">
        <v>193</v>
      </c>
      <c r="J2034" t="s">
        <v>312</v>
      </c>
      <c r="K2034">
        <v>0</v>
      </c>
      <c r="L2034" t="s">
        <v>161</v>
      </c>
      <c r="N2034" t="s">
        <v>216</v>
      </c>
      <c r="O2034" t="s">
        <v>312</v>
      </c>
      <c r="P2034">
        <v>2.181556024407053E-5</v>
      </c>
      <c r="Q2034" t="s">
        <v>161</v>
      </c>
    </row>
    <row r="2035" spans="9:17" x14ac:dyDescent="0.45">
      <c r="I2035" t="s">
        <v>193</v>
      </c>
      <c r="J2035" t="s">
        <v>313</v>
      </c>
      <c r="K2035">
        <v>0</v>
      </c>
      <c r="L2035" t="s">
        <v>161</v>
      </c>
      <c r="N2035" t="s">
        <v>216</v>
      </c>
      <c r="O2035" t="s">
        <v>313</v>
      </c>
      <c r="P2035">
        <v>1.8073407294605792E-5</v>
      </c>
      <c r="Q2035" t="s">
        <v>161</v>
      </c>
    </row>
    <row r="2036" spans="9:17" x14ac:dyDescent="0.45">
      <c r="I2036" t="s">
        <v>193</v>
      </c>
      <c r="J2036" t="s">
        <v>314</v>
      </c>
      <c r="K2036">
        <v>0</v>
      </c>
      <c r="L2036" t="s">
        <v>161</v>
      </c>
      <c r="N2036" t="s">
        <v>216</v>
      </c>
      <c r="O2036" t="s">
        <v>314</v>
      </c>
      <c r="P2036">
        <v>1.43726160930512E-5</v>
      </c>
      <c r="Q2036" t="s">
        <v>161</v>
      </c>
    </row>
    <row r="2037" spans="9:17" x14ac:dyDescent="0.45">
      <c r="I2037" t="s">
        <v>193</v>
      </c>
      <c r="J2037" t="s">
        <v>315</v>
      </c>
      <c r="K2037">
        <v>0</v>
      </c>
      <c r="L2037" t="s">
        <v>161</v>
      </c>
      <c r="N2037" t="s">
        <v>216</v>
      </c>
      <c r="O2037" t="s">
        <v>315</v>
      </c>
      <c r="P2037">
        <v>1.3816323081351683E-5</v>
      </c>
      <c r="Q2037" t="s">
        <v>161</v>
      </c>
    </row>
    <row r="2038" spans="9:17" x14ac:dyDescent="0.45">
      <c r="I2038" t="s">
        <v>193</v>
      </c>
      <c r="J2038" t="s">
        <v>316</v>
      </c>
      <c r="K2038">
        <v>0</v>
      </c>
      <c r="L2038" t="s">
        <v>161</v>
      </c>
      <c r="N2038" t="s">
        <v>216</v>
      </c>
      <c r="O2038" t="s">
        <v>316</v>
      </c>
      <c r="P2038">
        <v>1.477257786003843E-5</v>
      </c>
      <c r="Q2038" t="s">
        <v>161</v>
      </c>
    </row>
    <row r="2039" spans="9:17" x14ac:dyDescent="0.45">
      <c r="I2039" t="s">
        <v>193</v>
      </c>
      <c r="J2039" t="s">
        <v>317</v>
      </c>
      <c r="K2039">
        <v>0</v>
      </c>
      <c r="L2039" t="s">
        <v>161</v>
      </c>
      <c r="N2039" t="s">
        <v>216</v>
      </c>
      <c r="O2039" t="s">
        <v>317</v>
      </c>
      <c r="P2039">
        <v>1.3539181758423605E-5</v>
      </c>
      <c r="Q2039" t="s">
        <v>161</v>
      </c>
    </row>
    <row r="2040" spans="9:17" x14ac:dyDescent="0.45">
      <c r="I2040" t="s">
        <v>193</v>
      </c>
      <c r="J2040" t="s">
        <v>318</v>
      </c>
      <c r="K2040">
        <v>0</v>
      </c>
      <c r="L2040" t="s">
        <v>161</v>
      </c>
      <c r="N2040" t="s">
        <v>216</v>
      </c>
      <c r="O2040" t="s">
        <v>318</v>
      </c>
      <c r="P2040">
        <v>1.3724182665933086E-5</v>
      </c>
      <c r="Q2040" t="s">
        <v>161</v>
      </c>
    </row>
    <row r="2041" spans="9:17" x14ac:dyDescent="0.45">
      <c r="I2041" t="s">
        <v>193</v>
      </c>
      <c r="J2041" t="s">
        <v>319</v>
      </c>
      <c r="K2041">
        <v>1.0418596193098722E-4</v>
      </c>
      <c r="L2041" t="s">
        <v>161</v>
      </c>
      <c r="N2041" t="s">
        <v>216</v>
      </c>
      <c r="O2041" t="s">
        <v>319</v>
      </c>
      <c r="P2041">
        <v>1.1636221496872245E-5</v>
      </c>
      <c r="Q2041" t="s">
        <v>161</v>
      </c>
    </row>
    <row r="2042" spans="9:17" x14ac:dyDescent="0.45">
      <c r="I2042" t="s">
        <v>193</v>
      </c>
      <c r="J2042" t="s">
        <v>320</v>
      </c>
      <c r="K2042">
        <v>1.7281530791489041E-4</v>
      </c>
      <c r="L2042" t="s">
        <v>161</v>
      </c>
      <c r="N2042" t="s">
        <v>216</v>
      </c>
      <c r="O2042" t="s">
        <v>320</v>
      </c>
      <c r="P2042">
        <v>1.1829771825835711E-5</v>
      </c>
      <c r="Q2042" t="s">
        <v>161</v>
      </c>
    </row>
    <row r="2043" spans="9:17" x14ac:dyDescent="0.45">
      <c r="I2043" t="s">
        <v>193</v>
      </c>
      <c r="J2043" t="s">
        <v>321</v>
      </c>
      <c r="K2043">
        <v>2.525392863419646E-4</v>
      </c>
      <c r="L2043" t="s">
        <v>161</v>
      </c>
      <c r="N2043" t="s">
        <v>216</v>
      </c>
      <c r="O2043" t="s">
        <v>321</v>
      </c>
      <c r="P2043">
        <v>1.5784841340437938E-5</v>
      </c>
      <c r="Q2043" t="s">
        <v>161</v>
      </c>
    </row>
    <row r="2044" spans="9:17" x14ac:dyDescent="0.45">
      <c r="I2044" t="s">
        <v>193</v>
      </c>
      <c r="J2044" t="s">
        <v>322</v>
      </c>
      <c r="K2044">
        <v>2.5845659152268192E-4</v>
      </c>
      <c r="L2044" t="s">
        <v>161</v>
      </c>
      <c r="N2044" t="s">
        <v>216</v>
      </c>
      <c r="O2044" t="s">
        <v>322</v>
      </c>
      <c r="P2044">
        <v>3.1039083023313314E-5</v>
      </c>
      <c r="Q2044" t="s">
        <v>161</v>
      </c>
    </row>
    <row r="2045" spans="9:17" x14ac:dyDescent="0.45">
      <c r="I2045" t="s">
        <v>193</v>
      </c>
      <c r="J2045" t="s">
        <v>323</v>
      </c>
      <c r="K2045">
        <v>1.463252285808344E-4</v>
      </c>
      <c r="L2045" t="s">
        <v>161</v>
      </c>
      <c r="N2045" t="s">
        <v>216</v>
      </c>
      <c r="O2045" t="s">
        <v>323</v>
      </c>
      <c r="P2045">
        <v>5.5970659358847267E-5</v>
      </c>
      <c r="Q2045" t="s">
        <v>161</v>
      </c>
    </row>
    <row r="2046" spans="9:17" x14ac:dyDescent="0.45">
      <c r="I2046" t="s">
        <v>193</v>
      </c>
      <c r="J2046" t="s">
        <v>324</v>
      </c>
      <c r="K2046">
        <v>1.212648984901879E-4</v>
      </c>
      <c r="L2046" t="s">
        <v>161</v>
      </c>
      <c r="N2046" t="s">
        <v>216</v>
      </c>
      <c r="O2046" t="s">
        <v>324</v>
      </c>
      <c r="P2046">
        <v>6.0037724614412047E-5</v>
      </c>
      <c r="Q2046" t="s">
        <v>161</v>
      </c>
    </row>
    <row r="2047" spans="9:17" x14ac:dyDescent="0.45">
      <c r="I2047" t="s">
        <v>193</v>
      </c>
      <c r="J2047" t="s">
        <v>325</v>
      </c>
      <c r="K2047">
        <v>7.3503275634470507E-5</v>
      </c>
      <c r="L2047" t="s">
        <v>161</v>
      </c>
      <c r="N2047" t="s">
        <v>216</v>
      </c>
      <c r="O2047" t="s">
        <v>325</v>
      </c>
      <c r="P2047">
        <v>7.311031983028393E-5</v>
      </c>
      <c r="Q2047" t="s">
        <v>161</v>
      </c>
    </row>
    <row r="2048" spans="9:17" x14ac:dyDescent="0.45">
      <c r="I2048" t="s">
        <v>193</v>
      </c>
      <c r="J2048" t="s">
        <v>326</v>
      </c>
      <c r="K2048">
        <v>5.0703146385762391E-5</v>
      </c>
      <c r="L2048" t="s">
        <v>161</v>
      </c>
      <c r="N2048" t="s">
        <v>216</v>
      </c>
      <c r="O2048" t="s">
        <v>326</v>
      </c>
      <c r="P2048">
        <v>5.8403776336859195E-5</v>
      </c>
      <c r="Q2048" t="s">
        <v>161</v>
      </c>
    </row>
    <row r="2049" spans="9:17" x14ac:dyDescent="0.45">
      <c r="I2049" t="s">
        <v>193</v>
      </c>
      <c r="J2049" t="s">
        <v>327</v>
      </c>
      <c r="K2049">
        <v>2.5275165656864028E-5</v>
      </c>
      <c r="L2049" t="s">
        <v>161</v>
      </c>
      <c r="N2049" t="s">
        <v>216</v>
      </c>
      <c r="O2049" t="s">
        <v>327</v>
      </c>
      <c r="P2049">
        <v>6.4791135414058896E-5</v>
      </c>
      <c r="Q2049" t="s">
        <v>161</v>
      </c>
    </row>
    <row r="2050" spans="9:17" x14ac:dyDescent="0.45">
      <c r="I2050" t="s">
        <v>193</v>
      </c>
      <c r="J2050" t="s">
        <v>328</v>
      </c>
      <c r="K2050">
        <v>7.415327757172498E-6</v>
      </c>
      <c r="L2050" t="s">
        <v>161</v>
      </c>
      <c r="N2050" t="s">
        <v>216</v>
      </c>
      <c r="O2050" t="s">
        <v>328</v>
      </c>
      <c r="P2050">
        <v>9.4715902711584157E-5</v>
      </c>
      <c r="Q2050" t="s">
        <v>161</v>
      </c>
    </row>
    <row r="2051" spans="9:17" x14ac:dyDescent="0.45">
      <c r="I2051" t="s">
        <v>193</v>
      </c>
      <c r="J2051" t="s">
        <v>329</v>
      </c>
      <c r="K2051">
        <v>0</v>
      </c>
      <c r="L2051" t="s">
        <v>161</v>
      </c>
      <c r="N2051" t="s">
        <v>216</v>
      </c>
      <c r="O2051" t="s">
        <v>329</v>
      </c>
      <c r="P2051">
        <v>1.2777167787847204E-4</v>
      </c>
      <c r="Q2051" t="s">
        <v>161</v>
      </c>
    </row>
    <row r="2052" spans="9:17" x14ac:dyDescent="0.45">
      <c r="I2052" t="s">
        <v>193</v>
      </c>
      <c r="J2052" t="s">
        <v>330</v>
      </c>
      <c r="K2052">
        <v>0</v>
      </c>
      <c r="L2052" t="s">
        <v>161</v>
      </c>
      <c r="N2052" t="s">
        <v>216</v>
      </c>
      <c r="O2052" t="s">
        <v>330</v>
      </c>
      <c r="P2052">
        <v>1.4277164943013069E-4</v>
      </c>
      <c r="Q2052" t="s">
        <v>161</v>
      </c>
    </row>
    <row r="2053" spans="9:17" x14ac:dyDescent="0.45">
      <c r="I2053" t="s">
        <v>193</v>
      </c>
      <c r="J2053" t="s">
        <v>331</v>
      </c>
      <c r="K2053">
        <v>0</v>
      </c>
      <c r="L2053" t="s">
        <v>161</v>
      </c>
      <c r="N2053" t="s">
        <v>216</v>
      </c>
      <c r="O2053" t="s">
        <v>331</v>
      </c>
      <c r="P2053">
        <v>1.4612995184786046E-4</v>
      </c>
      <c r="Q2053" t="s">
        <v>161</v>
      </c>
    </row>
    <row r="2054" spans="9:17" x14ac:dyDescent="0.45">
      <c r="I2054" t="s">
        <v>193</v>
      </c>
      <c r="J2054" t="s">
        <v>332</v>
      </c>
      <c r="K2054">
        <v>0</v>
      </c>
      <c r="L2054" t="s">
        <v>161</v>
      </c>
      <c r="N2054" t="s">
        <v>216</v>
      </c>
      <c r="O2054" t="s">
        <v>332</v>
      </c>
      <c r="P2054">
        <v>1.2972889178698263E-4</v>
      </c>
      <c r="Q2054" t="s">
        <v>161</v>
      </c>
    </row>
    <row r="2055" spans="9:17" x14ac:dyDescent="0.45">
      <c r="I2055" t="s">
        <v>193</v>
      </c>
      <c r="J2055" t="s">
        <v>333</v>
      </c>
      <c r="K2055">
        <v>0</v>
      </c>
      <c r="L2055" t="s">
        <v>161</v>
      </c>
      <c r="N2055" t="s">
        <v>216</v>
      </c>
      <c r="O2055" t="s">
        <v>333</v>
      </c>
      <c r="P2055">
        <v>9.1826904680806463E-5</v>
      </c>
      <c r="Q2055" t="s">
        <v>161</v>
      </c>
    </row>
    <row r="2056" spans="9:17" x14ac:dyDescent="0.45">
      <c r="I2056" t="s">
        <v>193</v>
      </c>
      <c r="J2056" t="s">
        <v>334</v>
      </c>
      <c r="K2056">
        <v>0</v>
      </c>
      <c r="L2056" t="s">
        <v>161</v>
      </c>
      <c r="N2056" t="s">
        <v>216</v>
      </c>
      <c r="O2056" t="s">
        <v>334</v>
      </c>
      <c r="P2056">
        <v>1.0498044634279252E-4</v>
      </c>
      <c r="Q2056" t="s">
        <v>161</v>
      </c>
    </row>
    <row r="2057" spans="9:17" x14ac:dyDescent="0.45">
      <c r="I2057" t="s">
        <v>193</v>
      </c>
      <c r="J2057" t="s">
        <v>164</v>
      </c>
      <c r="K2057">
        <v>1.1538656255640357E-2</v>
      </c>
      <c r="L2057" t="s">
        <v>161</v>
      </c>
      <c r="N2057" t="s">
        <v>216</v>
      </c>
      <c r="O2057" t="s">
        <v>164</v>
      </c>
      <c r="P2057">
        <v>4.6321599433520641E-2</v>
      </c>
      <c r="Q2057" t="s">
        <v>161</v>
      </c>
    </row>
    <row r="2058" spans="9:17" x14ac:dyDescent="0.45">
      <c r="I2058" t="s">
        <v>193</v>
      </c>
      <c r="J2058" t="s">
        <v>165</v>
      </c>
      <c r="K2058">
        <v>1.1944832317216162E-2</v>
      </c>
      <c r="L2058" t="s">
        <v>161</v>
      </c>
      <c r="N2058" t="s">
        <v>216</v>
      </c>
      <c r="O2058" t="s">
        <v>165</v>
      </c>
      <c r="P2058">
        <v>5.3591794534537827E-3</v>
      </c>
      <c r="Q2058" t="s">
        <v>161</v>
      </c>
    </row>
    <row r="2059" spans="9:17" x14ac:dyDescent="0.45">
      <c r="I2059" t="s">
        <v>193</v>
      </c>
      <c r="J2059" t="s">
        <v>166</v>
      </c>
      <c r="K2059">
        <v>9.6690744120903893E-2</v>
      </c>
      <c r="L2059" t="s">
        <v>161</v>
      </c>
      <c r="N2059" t="s">
        <v>216</v>
      </c>
      <c r="O2059" t="s">
        <v>166</v>
      </c>
      <c r="P2059">
        <v>3.1454510183535303E-2</v>
      </c>
      <c r="Q2059" t="s">
        <v>161</v>
      </c>
    </row>
    <row r="2060" spans="9:17" x14ac:dyDescent="0.45">
      <c r="I2060" t="s">
        <v>193</v>
      </c>
      <c r="J2060" t="s">
        <v>244</v>
      </c>
      <c r="K2060">
        <v>9.1488277296477207E-3</v>
      </c>
      <c r="L2060" t="s">
        <v>161</v>
      </c>
      <c r="N2060" t="s">
        <v>216</v>
      </c>
      <c r="O2060" t="s">
        <v>244</v>
      </c>
      <c r="P2060">
        <v>5.0424838649366531E-3</v>
      </c>
      <c r="Q2060" t="s">
        <v>161</v>
      </c>
    </row>
    <row r="2061" spans="9:17" x14ac:dyDescent="0.45">
      <c r="I2061" t="s">
        <v>193</v>
      </c>
      <c r="J2061" t="s">
        <v>245</v>
      </c>
      <c r="K2061">
        <v>6.5244824740323826E-3</v>
      </c>
      <c r="L2061" t="s">
        <v>161</v>
      </c>
      <c r="N2061" t="s">
        <v>216</v>
      </c>
      <c r="O2061" t="s">
        <v>245</v>
      </c>
      <c r="P2061">
        <v>4.9949372262591959E-3</v>
      </c>
      <c r="Q2061" t="s">
        <v>161</v>
      </c>
    </row>
    <row r="2062" spans="9:17" x14ac:dyDescent="0.45">
      <c r="I2062" t="s">
        <v>193</v>
      </c>
      <c r="J2062" t="s">
        <v>267</v>
      </c>
      <c r="K2062">
        <v>3.7725649111585084E-3</v>
      </c>
      <c r="L2062" t="s">
        <v>161</v>
      </c>
      <c r="N2062" t="s">
        <v>216</v>
      </c>
      <c r="O2062" t="s">
        <v>267</v>
      </c>
      <c r="P2062">
        <v>3.489597690987533E-2</v>
      </c>
      <c r="Q2062" t="s">
        <v>161</v>
      </c>
    </row>
    <row r="2063" spans="9:17" x14ac:dyDescent="0.45">
      <c r="I2063" t="s">
        <v>193</v>
      </c>
      <c r="J2063" t="s">
        <v>167</v>
      </c>
      <c r="K2063">
        <v>5.1735609083762513E-2</v>
      </c>
      <c r="L2063" t="s">
        <v>161</v>
      </c>
      <c r="N2063" t="s">
        <v>216</v>
      </c>
      <c r="O2063" t="s">
        <v>167</v>
      </c>
      <c r="P2063">
        <v>5.6590685610410113E-2</v>
      </c>
      <c r="Q2063" t="s">
        <v>161</v>
      </c>
    </row>
    <row r="2064" spans="9:17" x14ac:dyDescent="0.45">
      <c r="I2064" t="s">
        <v>193</v>
      </c>
      <c r="J2064" t="s">
        <v>168</v>
      </c>
      <c r="K2064">
        <v>3.0093776493677789E-2</v>
      </c>
      <c r="L2064" t="s">
        <v>161</v>
      </c>
      <c r="N2064" t="s">
        <v>216</v>
      </c>
      <c r="O2064" t="s">
        <v>168</v>
      </c>
      <c r="P2064">
        <v>7.3245007524018633E-3</v>
      </c>
      <c r="Q2064" t="s">
        <v>161</v>
      </c>
    </row>
    <row r="2065" spans="9:17" x14ac:dyDescent="0.45">
      <c r="I2065" t="s">
        <v>193</v>
      </c>
      <c r="J2065" t="s">
        <v>169</v>
      </c>
      <c r="K2065">
        <v>0.25757478600523043</v>
      </c>
      <c r="L2065" t="s">
        <v>161</v>
      </c>
      <c r="N2065" t="s">
        <v>216</v>
      </c>
      <c r="O2065" t="s">
        <v>169</v>
      </c>
      <c r="P2065">
        <v>5.0051045046757343E-2</v>
      </c>
      <c r="Q2065" t="s">
        <v>161</v>
      </c>
    </row>
    <row r="2066" spans="9:17" x14ac:dyDescent="0.45">
      <c r="I2066" t="s">
        <v>193</v>
      </c>
      <c r="J2066" t="s">
        <v>246</v>
      </c>
      <c r="K2066">
        <v>3.0123665603965139E-2</v>
      </c>
      <c r="L2066" t="s">
        <v>161</v>
      </c>
      <c r="N2066" t="s">
        <v>216</v>
      </c>
      <c r="O2066" t="s">
        <v>246</v>
      </c>
      <c r="P2066">
        <v>8.5591305763017683E-3</v>
      </c>
      <c r="Q2066" t="s">
        <v>161</v>
      </c>
    </row>
    <row r="2067" spans="9:17" x14ac:dyDescent="0.45">
      <c r="I2067" t="s">
        <v>193</v>
      </c>
      <c r="J2067" t="s">
        <v>247</v>
      </c>
      <c r="K2067">
        <v>2.4153502175946282E-2</v>
      </c>
      <c r="L2067" t="s">
        <v>161</v>
      </c>
      <c r="N2067" t="s">
        <v>216</v>
      </c>
      <c r="O2067" t="s">
        <v>247</v>
      </c>
      <c r="P2067">
        <v>8.0681970856880478E-3</v>
      </c>
      <c r="Q2067" t="s">
        <v>161</v>
      </c>
    </row>
    <row r="2068" spans="9:17" x14ac:dyDescent="0.45">
      <c r="I2068" t="s">
        <v>193</v>
      </c>
      <c r="J2068" t="s">
        <v>268</v>
      </c>
      <c r="K2068">
        <v>3.013792094318192E-2</v>
      </c>
      <c r="L2068" t="s">
        <v>161</v>
      </c>
      <c r="N2068" t="s">
        <v>216</v>
      </c>
      <c r="O2068" t="s">
        <v>268</v>
      </c>
      <c r="P2068">
        <v>5.3204564034639766E-2</v>
      </c>
      <c r="Q2068" t="s">
        <v>161</v>
      </c>
    </row>
    <row r="2069" spans="9:17" x14ac:dyDescent="0.45">
      <c r="I2069" t="s">
        <v>193</v>
      </c>
      <c r="J2069" t="s">
        <v>170</v>
      </c>
      <c r="K2069">
        <v>1.870637654882467E-2</v>
      </c>
      <c r="L2069" t="s">
        <v>161</v>
      </c>
      <c r="N2069" t="s">
        <v>216</v>
      </c>
      <c r="O2069" t="s">
        <v>170</v>
      </c>
      <c r="P2069">
        <v>2.683913038673812E-2</v>
      </c>
      <c r="Q2069" t="s">
        <v>161</v>
      </c>
    </row>
    <row r="2070" spans="9:17" x14ac:dyDescent="0.45">
      <c r="I2070" t="s">
        <v>193</v>
      </c>
      <c r="J2070" t="s">
        <v>171</v>
      </c>
      <c r="K2070">
        <v>1.4014297516396186E-2</v>
      </c>
      <c r="L2070" t="s">
        <v>161</v>
      </c>
      <c r="N2070" t="s">
        <v>216</v>
      </c>
      <c r="O2070" t="s">
        <v>171</v>
      </c>
      <c r="P2070">
        <v>3.199035825611588E-3</v>
      </c>
      <c r="Q2070" t="s">
        <v>161</v>
      </c>
    </row>
    <row r="2071" spans="9:17" x14ac:dyDescent="0.45">
      <c r="I2071" t="s">
        <v>193</v>
      </c>
      <c r="J2071" t="s">
        <v>172</v>
      </c>
      <c r="K2071">
        <v>0.11541073311472967</v>
      </c>
      <c r="L2071" t="s">
        <v>161</v>
      </c>
      <c r="N2071" t="s">
        <v>216</v>
      </c>
      <c r="O2071" t="s">
        <v>172</v>
      </c>
      <c r="P2071">
        <v>1.9748212781347682E-2</v>
      </c>
      <c r="Q2071" t="s">
        <v>161</v>
      </c>
    </row>
    <row r="2072" spans="9:17" x14ac:dyDescent="0.45">
      <c r="I2072" t="s">
        <v>193</v>
      </c>
      <c r="J2072" t="s">
        <v>248</v>
      </c>
      <c r="K2072">
        <v>1.2800453873347032E-2</v>
      </c>
      <c r="L2072" t="s">
        <v>161</v>
      </c>
      <c r="N2072" t="s">
        <v>216</v>
      </c>
      <c r="O2072" t="s">
        <v>248</v>
      </c>
      <c r="P2072">
        <v>3.3146830058476576E-3</v>
      </c>
      <c r="Q2072" t="s">
        <v>161</v>
      </c>
    </row>
    <row r="2073" spans="9:17" x14ac:dyDescent="0.45">
      <c r="I2073" t="s">
        <v>193</v>
      </c>
      <c r="J2073" t="s">
        <v>249</v>
      </c>
      <c r="K2073">
        <v>9.7671841815019332E-3</v>
      </c>
      <c r="L2073" t="s">
        <v>161</v>
      </c>
      <c r="N2073" t="s">
        <v>216</v>
      </c>
      <c r="O2073" t="s">
        <v>249</v>
      </c>
      <c r="P2073">
        <v>3.0872045901376545E-3</v>
      </c>
      <c r="Q2073" t="s">
        <v>161</v>
      </c>
    </row>
    <row r="2074" spans="9:17" x14ac:dyDescent="0.45">
      <c r="I2074" t="s">
        <v>193</v>
      </c>
      <c r="J2074" t="s">
        <v>269</v>
      </c>
      <c r="K2074">
        <v>8.621091898762194E-3</v>
      </c>
      <c r="L2074" t="s">
        <v>161</v>
      </c>
      <c r="N2074" t="s">
        <v>216</v>
      </c>
      <c r="O2074" t="s">
        <v>269</v>
      </c>
      <c r="P2074">
        <v>1.9558843414485858E-2</v>
      </c>
      <c r="Q2074" t="s">
        <v>161</v>
      </c>
    </row>
    <row r="2075" spans="9:17" x14ac:dyDescent="0.45">
      <c r="I2075" t="s">
        <v>193</v>
      </c>
      <c r="J2075" t="s">
        <v>362</v>
      </c>
      <c r="K2075">
        <v>0</v>
      </c>
      <c r="L2075" t="s">
        <v>161</v>
      </c>
      <c r="N2075" t="s">
        <v>216</v>
      </c>
      <c r="O2075" t="s">
        <v>362</v>
      </c>
      <c r="P2075">
        <v>5.0704442380085737E-5</v>
      </c>
      <c r="Q2075" t="s">
        <v>161</v>
      </c>
    </row>
    <row r="2076" spans="9:17" x14ac:dyDescent="0.45">
      <c r="I2076" t="s">
        <v>193</v>
      </c>
      <c r="J2076" t="s">
        <v>363</v>
      </c>
      <c r="K2076">
        <v>0</v>
      </c>
      <c r="L2076" t="s">
        <v>161</v>
      </c>
      <c r="N2076" t="s">
        <v>216</v>
      </c>
      <c r="O2076" t="s">
        <v>363</v>
      </c>
      <c r="P2076">
        <v>6.3149762351557764E-5</v>
      </c>
      <c r="Q2076" t="s">
        <v>161</v>
      </c>
    </row>
    <row r="2077" spans="9:17" x14ac:dyDescent="0.45">
      <c r="I2077" t="s">
        <v>193</v>
      </c>
      <c r="J2077" t="s">
        <v>364</v>
      </c>
      <c r="K2077">
        <v>0</v>
      </c>
      <c r="L2077" t="s">
        <v>161</v>
      </c>
      <c r="N2077" t="s">
        <v>216</v>
      </c>
      <c r="O2077" t="s">
        <v>364</v>
      </c>
      <c r="P2077">
        <v>7.1822294157964809E-5</v>
      </c>
      <c r="Q2077" t="s">
        <v>161</v>
      </c>
    </row>
    <row r="2078" spans="9:17" x14ac:dyDescent="0.45">
      <c r="I2078" t="s">
        <v>193</v>
      </c>
      <c r="J2078" t="s">
        <v>365</v>
      </c>
      <c r="K2078">
        <v>0</v>
      </c>
      <c r="L2078" t="s">
        <v>161</v>
      </c>
      <c r="N2078" t="s">
        <v>216</v>
      </c>
      <c r="O2078" t="s">
        <v>365</v>
      </c>
      <c r="P2078">
        <v>6.901856179804211E-5</v>
      </c>
      <c r="Q2078" t="s">
        <v>161</v>
      </c>
    </row>
    <row r="2079" spans="9:17" x14ac:dyDescent="0.45">
      <c r="I2079" t="s">
        <v>193</v>
      </c>
      <c r="J2079" t="s">
        <v>366</v>
      </c>
      <c r="K2079">
        <v>0</v>
      </c>
      <c r="L2079" t="s">
        <v>161</v>
      </c>
      <c r="N2079" t="s">
        <v>216</v>
      </c>
      <c r="O2079" t="s">
        <v>366</v>
      </c>
      <c r="P2079">
        <v>6.755192308340159E-5</v>
      </c>
      <c r="Q2079" t="s">
        <v>161</v>
      </c>
    </row>
    <row r="2080" spans="9:17" x14ac:dyDescent="0.45">
      <c r="I2080" t="s">
        <v>193</v>
      </c>
      <c r="J2080" t="s">
        <v>367</v>
      </c>
      <c r="K2080">
        <v>0</v>
      </c>
      <c r="L2080" t="s">
        <v>161</v>
      </c>
      <c r="N2080" t="s">
        <v>216</v>
      </c>
      <c r="O2080" t="s">
        <v>367</v>
      </c>
      <c r="P2080">
        <v>7.4750878960699161E-5</v>
      </c>
      <c r="Q2080" t="s">
        <v>161</v>
      </c>
    </row>
    <row r="2081" spans="9:17" x14ac:dyDescent="0.45">
      <c r="I2081" t="s">
        <v>193</v>
      </c>
      <c r="J2081" t="s">
        <v>368</v>
      </c>
      <c r="K2081">
        <v>1.6792218664431934E-4</v>
      </c>
      <c r="L2081" t="s">
        <v>161</v>
      </c>
      <c r="N2081" t="s">
        <v>216</v>
      </c>
      <c r="O2081" t="s">
        <v>368</v>
      </c>
      <c r="P2081">
        <v>6.9069494598596277E-5</v>
      </c>
      <c r="Q2081" t="s">
        <v>161</v>
      </c>
    </row>
    <row r="2082" spans="9:17" x14ac:dyDescent="0.45">
      <c r="I2082" t="s">
        <v>193</v>
      </c>
      <c r="J2082" t="s">
        <v>369</v>
      </c>
      <c r="K2082">
        <v>3.3273000677778032E-4</v>
      </c>
      <c r="L2082" t="s">
        <v>161</v>
      </c>
      <c r="N2082" t="s">
        <v>216</v>
      </c>
      <c r="O2082" t="s">
        <v>369</v>
      </c>
      <c r="P2082">
        <v>3.8545281903452511E-5</v>
      </c>
      <c r="Q2082" t="s">
        <v>161</v>
      </c>
    </row>
    <row r="2083" spans="9:17" x14ac:dyDescent="0.45">
      <c r="I2083" t="s">
        <v>193</v>
      </c>
      <c r="J2083" t="s">
        <v>370</v>
      </c>
      <c r="K2083">
        <v>3.6630137172085188E-4</v>
      </c>
      <c r="L2083" t="s">
        <v>161</v>
      </c>
      <c r="N2083" t="s">
        <v>216</v>
      </c>
      <c r="O2083" t="s">
        <v>370</v>
      </c>
      <c r="P2083">
        <v>6.3636687268400974E-5</v>
      </c>
      <c r="Q2083" t="s">
        <v>161</v>
      </c>
    </row>
    <row r="2084" spans="9:17" x14ac:dyDescent="0.45">
      <c r="I2084" t="s">
        <v>193</v>
      </c>
      <c r="J2084" t="s">
        <v>371</v>
      </c>
      <c r="K2084">
        <v>3.814082319774646E-4</v>
      </c>
      <c r="L2084" t="s">
        <v>161</v>
      </c>
      <c r="N2084" t="s">
        <v>216</v>
      </c>
      <c r="O2084" t="s">
        <v>371</v>
      </c>
      <c r="P2084">
        <v>8.5630923317446458E-5</v>
      </c>
      <c r="Q2084" t="s">
        <v>161</v>
      </c>
    </row>
    <row r="2085" spans="9:17" x14ac:dyDescent="0.45">
      <c r="I2085" t="s">
        <v>193</v>
      </c>
      <c r="J2085" t="s">
        <v>372</v>
      </c>
      <c r="K2085">
        <v>4.5189996293813322E-4</v>
      </c>
      <c r="L2085" t="s">
        <v>161</v>
      </c>
      <c r="N2085" t="s">
        <v>216</v>
      </c>
      <c r="O2085" t="s">
        <v>372</v>
      </c>
      <c r="P2085">
        <v>8.4943835373750876E-5</v>
      </c>
      <c r="Q2085" t="s">
        <v>161</v>
      </c>
    </row>
    <row r="2086" spans="9:17" x14ac:dyDescent="0.45">
      <c r="I2086" t="s">
        <v>193</v>
      </c>
      <c r="J2086" t="s">
        <v>373</v>
      </c>
      <c r="K2086">
        <v>4.5526392252204489E-4</v>
      </c>
      <c r="L2086" t="s">
        <v>161</v>
      </c>
      <c r="N2086" t="s">
        <v>216</v>
      </c>
      <c r="O2086" t="s">
        <v>373</v>
      </c>
      <c r="P2086">
        <v>9.1535808659363373E-5</v>
      </c>
      <c r="Q2086" t="s">
        <v>161</v>
      </c>
    </row>
    <row r="2087" spans="9:17" x14ac:dyDescent="0.45">
      <c r="I2087" t="s">
        <v>193</v>
      </c>
      <c r="J2087" t="s">
        <v>374</v>
      </c>
      <c r="K2087">
        <v>4.1522936005543553E-4</v>
      </c>
      <c r="L2087" t="s">
        <v>161</v>
      </c>
      <c r="N2087" t="s">
        <v>216</v>
      </c>
      <c r="O2087" t="s">
        <v>374</v>
      </c>
      <c r="P2087">
        <v>8.7804129978053265E-5</v>
      </c>
      <c r="Q2087" t="s">
        <v>161</v>
      </c>
    </row>
    <row r="2088" spans="9:17" x14ac:dyDescent="0.45">
      <c r="I2088" t="s">
        <v>193</v>
      </c>
      <c r="J2088" t="s">
        <v>375</v>
      </c>
      <c r="K2088">
        <v>4.0698836690460685E-4</v>
      </c>
      <c r="L2088" t="s">
        <v>161</v>
      </c>
      <c r="N2088" t="s">
        <v>216</v>
      </c>
      <c r="O2088" t="s">
        <v>375</v>
      </c>
      <c r="P2088">
        <v>7.9225744835311363E-5</v>
      </c>
      <c r="Q2088" t="s">
        <v>161</v>
      </c>
    </row>
    <row r="2089" spans="9:17" x14ac:dyDescent="0.45">
      <c r="I2089" t="s">
        <v>193</v>
      </c>
      <c r="J2089" t="s">
        <v>376</v>
      </c>
      <c r="K2089">
        <v>4.0167584617169781E-4</v>
      </c>
      <c r="L2089" t="s">
        <v>161</v>
      </c>
      <c r="N2089" t="s">
        <v>216</v>
      </c>
      <c r="O2089" t="s">
        <v>376</v>
      </c>
      <c r="P2089">
        <v>7.2064838447048179E-5</v>
      </c>
      <c r="Q2089" t="s">
        <v>161</v>
      </c>
    </row>
    <row r="2090" spans="9:17" x14ac:dyDescent="0.45">
      <c r="I2090" t="s">
        <v>193</v>
      </c>
      <c r="J2090" t="s">
        <v>377</v>
      </c>
      <c r="K2090">
        <v>3.422360819085985E-4</v>
      </c>
      <c r="L2090" t="s">
        <v>161</v>
      </c>
      <c r="N2090" t="s">
        <v>216</v>
      </c>
      <c r="O2090" t="s">
        <v>377</v>
      </c>
      <c r="P2090">
        <v>6.5816421989567172E-5</v>
      </c>
      <c r="Q2090" t="s">
        <v>161</v>
      </c>
    </row>
    <row r="2091" spans="9:17" x14ac:dyDescent="0.45">
      <c r="I2091" t="s">
        <v>193</v>
      </c>
      <c r="J2091" t="s">
        <v>378</v>
      </c>
      <c r="K2091">
        <v>2.6490419667333132E-4</v>
      </c>
      <c r="L2091" t="s">
        <v>161</v>
      </c>
      <c r="N2091" t="s">
        <v>216</v>
      </c>
      <c r="O2091" t="s">
        <v>378</v>
      </c>
      <c r="P2091">
        <v>6.7264227285037211E-5</v>
      </c>
      <c r="Q2091" t="s">
        <v>161</v>
      </c>
    </row>
    <row r="2092" spans="9:17" x14ac:dyDescent="0.45">
      <c r="I2092" t="s">
        <v>193</v>
      </c>
      <c r="J2092" t="s">
        <v>379</v>
      </c>
      <c r="K2092">
        <v>1.9790199148928174E-4</v>
      </c>
      <c r="L2092" t="s">
        <v>161</v>
      </c>
      <c r="N2092" t="s">
        <v>216</v>
      </c>
      <c r="O2092" t="s">
        <v>379</v>
      </c>
      <c r="P2092">
        <v>7.0071922338127166E-5</v>
      </c>
      <c r="Q2092" t="s">
        <v>161</v>
      </c>
    </row>
    <row r="2093" spans="9:17" x14ac:dyDescent="0.45">
      <c r="I2093" t="s">
        <v>193</v>
      </c>
      <c r="J2093" t="s">
        <v>380</v>
      </c>
      <c r="K2093">
        <v>9.4587323360678682E-5</v>
      </c>
      <c r="L2093" t="s">
        <v>161</v>
      </c>
      <c r="N2093" t="s">
        <v>216</v>
      </c>
      <c r="O2093" t="s">
        <v>380</v>
      </c>
      <c r="P2093">
        <v>7.5131362330797686E-5</v>
      </c>
      <c r="Q2093" t="s">
        <v>161</v>
      </c>
    </row>
    <row r="2094" spans="9:17" x14ac:dyDescent="0.45">
      <c r="I2094" t="s">
        <v>193</v>
      </c>
      <c r="J2094" t="s">
        <v>381</v>
      </c>
      <c r="K2094">
        <v>6.2638167667300609E-5</v>
      </c>
      <c r="L2094" t="s">
        <v>161</v>
      </c>
      <c r="N2094" t="s">
        <v>216</v>
      </c>
      <c r="O2094" t="s">
        <v>381</v>
      </c>
      <c r="P2094">
        <v>8.8262618384836314E-5</v>
      </c>
      <c r="Q2094" t="s">
        <v>161</v>
      </c>
    </row>
    <row r="2095" spans="9:17" x14ac:dyDescent="0.45">
      <c r="I2095" t="s">
        <v>193</v>
      </c>
      <c r="J2095" t="s">
        <v>382</v>
      </c>
      <c r="K2095">
        <v>0</v>
      </c>
      <c r="L2095" t="s">
        <v>161</v>
      </c>
      <c r="N2095" t="s">
        <v>216</v>
      </c>
      <c r="O2095" t="s">
        <v>382</v>
      </c>
      <c r="P2095">
        <v>9.2770468584282305E-5</v>
      </c>
      <c r="Q2095" t="s">
        <v>161</v>
      </c>
    </row>
    <row r="2096" spans="9:17" x14ac:dyDescent="0.45">
      <c r="I2096" t="s">
        <v>193</v>
      </c>
      <c r="J2096" t="s">
        <v>383</v>
      </c>
      <c r="K2096">
        <v>0</v>
      </c>
      <c r="L2096" t="s">
        <v>161</v>
      </c>
      <c r="N2096" t="s">
        <v>216</v>
      </c>
      <c r="O2096" t="s">
        <v>383</v>
      </c>
      <c r="P2096">
        <v>8.5774340855728783E-5</v>
      </c>
      <c r="Q2096" t="s">
        <v>161</v>
      </c>
    </row>
    <row r="2097" spans="9:17" x14ac:dyDescent="0.45">
      <c r="I2097" t="s">
        <v>193</v>
      </c>
      <c r="J2097" t="s">
        <v>384</v>
      </c>
      <c r="K2097">
        <v>0</v>
      </c>
      <c r="L2097" t="s">
        <v>161</v>
      </c>
      <c r="N2097" t="s">
        <v>216</v>
      </c>
      <c r="O2097" t="s">
        <v>384</v>
      </c>
      <c r="P2097">
        <v>7.7439042025754352E-5</v>
      </c>
      <c r="Q2097" t="s">
        <v>161</v>
      </c>
    </row>
    <row r="2098" spans="9:17" x14ac:dyDescent="0.45">
      <c r="I2098" t="s">
        <v>193</v>
      </c>
      <c r="J2098" t="s">
        <v>385</v>
      </c>
      <c r="K2098">
        <v>0</v>
      </c>
      <c r="L2098" t="s">
        <v>161</v>
      </c>
      <c r="N2098" t="s">
        <v>216</v>
      </c>
      <c r="O2098" t="s">
        <v>385</v>
      </c>
      <c r="P2098">
        <v>7.014998873666544E-5</v>
      </c>
      <c r="Q2098" t="s">
        <v>161</v>
      </c>
    </row>
    <row r="2099" spans="9:17" x14ac:dyDescent="0.45">
      <c r="I2099" t="s">
        <v>193</v>
      </c>
      <c r="J2099" t="s">
        <v>250</v>
      </c>
      <c r="K2099">
        <v>4.7460863928769324E-3</v>
      </c>
      <c r="L2099" t="s">
        <v>161</v>
      </c>
      <c r="N2099" t="s">
        <v>216</v>
      </c>
      <c r="O2099" t="s">
        <v>250</v>
      </c>
      <c r="P2099">
        <v>5.3861078588372767E-2</v>
      </c>
      <c r="Q2099" t="s">
        <v>161</v>
      </c>
    </row>
    <row r="2100" spans="9:17" x14ac:dyDescent="0.45">
      <c r="I2100" t="s">
        <v>193</v>
      </c>
      <c r="J2100" t="s">
        <v>251</v>
      </c>
      <c r="K2100">
        <v>8.5301542732464739E-3</v>
      </c>
      <c r="L2100" t="s">
        <v>161</v>
      </c>
      <c r="N2100" t="s">
        <v>216</v>
      </c>
      <c r="O2100" t="s">
        <v>251</v>
      </c>
      <c r="P2100">
        <v>6.0362090284002655E-3</v>
      </c>
      <c r="Q2100" t="s">
        <v>161</v>
      </c>
    </row>
    <row r="2101" spans="9:17" x14ac:dyDescent="0.45">
      <c r="I2101" t="s">
        <v>193</v>
      </c>
      <c r="J2101" t="s">
        <v>252</v>
      </c>
      <c r="K2101">
        <v>7.8057497753301577E-2</v>
      </c>
      <c r="L2101" t="s">
        <v>161</v>
      </c>
      <c r="N2101" t="s">
        <v>216</v>
      </c>
      <c r="O2101" t="s">
        <v>252</v>
      </c>
      <c r="P2101">
        <v>3.7509152514041161E-2</v>
      </c>
      <c r="Q2101" t="s">
        <v>161</v>
      </c>
    </row>
    <row r="2102" spans="9:17" x14ac:dyDescent="0.45">
      <c r="I2102" t="s">
        <v>193</v>
      </c>
      <c r="J2102" t="s">
        <v>253</v>
      </c>
      <c r="K2102">
        <v>6.4236242302497127E-3</v>
      </c>
      <c r="L2102" t="s">
        <v>161</v>
      </c>
      <c r="N2102" t="s">
        <v>216</v>
      </c>
      <c r="O2102" t="s">
        <v>253</v>
      </c>
      <c r="P2102">
        <v>5.9292841996500352E-3</v>
      </c>
      <c r="Q2102" t="s">
        <v>161</v>
      </c>
    </row>
    <row r="2103" spans="9:17" x14ac:dyDescent="0.45">
      <c r="I2103" t="s">
        <v>193</v>
      </c>
      <c r="J2103" t="s">
        <v>254</v>
      </c>
      <c r="K2103">
        <v>2.3831841841873281E-3</v>
      </c>
      <c r="L2103" t="s">
        <v>161</v>
      </c>
      <c r="N2103" t="s">
        <v>216</v>
      </c>
      <c r="O2103" t="s">
        <v>254</v>
      </c>
      <c r="P2103">
        <v>6.1584178245772756E-3</v>
      </c>
      <c r="Q2103" t="s">
        <v>161</v>
      </c>
    </row>
    <row r="2104" spans="9:17" x14ac:dyDescent="0.45">
      <c r="I2104" t="s">
        <v>193</v>
      </c>
      <c r="J2104" t="s">
        <v>270</v>
      </c>
      <c r="K2104">
        <v>5.1308867683572037E-6</v>
      </c>
      <c r="L2104" t="s">
        <v>161</v>
      </c>
      <c r="N2104" t="s">
        <v>216</v>
      </c>
      <c r="O2104" t="s">
        <v>270</v>
      </c>
      <c r="P2104">
        <v>3.6238983900675349E-2</v>
      </c>
      <c r="Q2104" t="s">
        <v>161</v>
      </c>
    </row>
    <row r="2105" spans="9:17" x14ac:dyDescent="0.45">
      <c r="I2105" t="s">
        <v>193</v>
      </c>
      <c r="J2105" t="s">
        <v>255</v>
      </c>
      <c r="K2105">
        <v>0</v>
      </c>
      <c r="L2105" t="s">
        <v>161</v>
      </c>
      <c r="N2105" t="s">
        <v>216</v>
      </c>
      <c r="O2105" t="s">
        <v>255</v>
      </c>
      <c r="P2105">
        <v>6.0083504008620295E-2</v>
      </c>
      <c r="Q2105" t="s">
        <v>161</v>
      </c>
    </row>
    <row r="2106" spans="9:17" x14ac:dyDescent="0.45">
      <c r="I2106" t="s">
        <v>193</v>
      </c>
      <c r="J2106" t="s">
        <v>256</v>
      </c>
      <c r="K2106">
        <v>1.6737719084035513E-3</v>
      </c>
      <c r="L2106" t="s">
        <v>161</v>
      </c>
      <c r="N2106" t="s">
        <v>216</v>
      </c>
      <c r="O2106" t="s">
        <v>256</v>
      </c>
      <c r="P2106">
        <v>6.504318157080774E-3</v>
      </c>
      <c r="Q2106" t="s">
        <v>161</v>
      </c>
    </row>
    <row r="2107" spans="9:17" x14ac:dyDescent="0.45">
      <c r="I2107" t="s">
        <v>193</v>
      </c>
      <c r="J2107" t="s">
        <v>257</v>
      </c>
      <c r="K2107">
        <v>3.5472197930478643E-2</v>
      </c>
      <c r="L2107" t="s">
        <v>161</v>
      </c>
      <c r="N2107" t="s">
        <v>216</v>
      </c>
      <c r="O2107" t="s">
        <v>257</v>
      </c>
      <c r="P2107">
        <v>4.5126834799425128E-2</v>
      </c>
      <c r="Q2107" t="s">
        <v>161</v>
      </c>
    </row>
    <row r="2108" spans="9:17" x14ac:dyDescent="0.45">
      <c r="I2108" t="s">
        <v>193</v>
      </c>
      <c r="J2108" t="s">
        <v>258</v>
      </c>
      <c r="K2108">
        <v>3.7524215029345495E-4</v>
      </c>
      <c r="L2108" t="s">
        <v>161</v>
      </c>
      <c r="N2108" t="s">
        <v>216</v>
      </c>
      <c r="O2108" t="s">
        <v>258</v>
      </c>
      <c r="P2108">
        <v>7.5213430945361009E-3</v>
      </c>
      <c r="Q2108" t="s">
        <v>161</v>
      </c>
    </row>
    <row r="2109" spans="9:17" x14ac:dyDescent="0.45">
      <c r="I2109" t="s">
        <v>193</v>
      </c>
      <c r="J2109" t="s">
        <v>259</v>
      </c>
      <c r="K2109">
        <v>0</v>
      </c>
      <c r="L2109" t="s">
        <v>161</v>
      </c>
      <c r="N2109" t="s">
        <v>216</v>
      </c>
      <c r="O2109" t="s">
        <v>259</v>
      </c>
      <c r="P2109">
        <v>7.8873168481209694E-3</v>
      </c>
      <c r="Q2109" t="s">
        <v>161</v>
      </c>
    </row>
    <row r="2110" spans="9:17" x14ac:dyDescent="0.45">
      <c r="I2110" t="s">
        <v>193</v>
      </c>
      <c r="J2110" t="s">
        <v>271</v>
      </c>
      <c r="K2110">
        <v>0</v>
      </c>
      <c r="L2110" t="s">
        <v>161</v>
      </c>
      <c r="N2110" t="s">
        <v>216</v>
      </c>
      <c r="O2110" t="s">
        <v>271</v>
      </c>
      <c r="P2110">
        <v>4.7339466408280517E-2</v>
      </c>
      <c r="Q2110" t="s">
        <v>161</v>
      </c>
    </row>
    <row r="2111" spans="9:17" x14ac:dyDescent="0.45">
      <c r="I2111" t="s">
        <v>193</v>
      </c>
      <c r="J2111" t="s">
        <v>272</v>
      </c>
      <c r="K2111">
        <v>0</v>
      </c>
      <c r="L2111" t="s">
        <v>161</v>
      </c>
      <c r="N2111" t="s">
        <v>216</v>
      </c>
      <c r="O2111" t="s">
        <v>272</v>
      </c>
      <c r="P2111">
        <v>1.9264677030714189E-2</v>
      </c>
      <c r="Q2111" t="s">
        <v>161</v>
      </c>
    </row>
    <row r="2112" spans="9:17" x14ac:dyDescent="0.45">
      <c r="I2112" t="s">
        <v>193</v>
      </c>
      <c r="J2112" t="s">
        <v>273</v>
      </c>
      <c r="K2112">
        <v>0</v>
      </c>
      <c r="L2112" t="s">
        <v>161</v>
      </c>
      <c r="N2112" t="s">
        <v>216</v>
      </c>
      <c r="O2112" t="s">
        <v>273</v>
      </c>
      <c r="P2112">
        <v>2.4429957902487778E-3</v>
      </c>
      <c r="Q2112" t="s">
        <v>161</v>
      </c>
    </row>
    <row r="2113" spans="9:17" x14ac:dyDescent="0.45">
      <c r="I2113" t="s">
        <v>193</v>
      </c>
      <c r="J2113" t="s">
        <v>274</v>
      </c>
      <c r="K2113">
        <v>4.482335171834567E-3</v>
      </c>
      <c r="L2113" t="s">
        <v>161</v>
      </c>
      <c r="N2113" t="s">
        <v>216</v>
      </c>
      <c r="O2113" t="s">
        <v>274</v>
      </c>
      <c r="P2113">
        <v>1.5582603638832746E-2</v>
      </c>
      <c r="Q2113" t="s">
        <v>161</v>
      </c>
    </row>
    <row r="2114" spans="9:17" x14ac:dyDescent="0.45">
      <c r="I2114" t="s">
        <v>193</v>
      </c>
      <c r="J2114" t="s">
        <v>275</v>
      </c>
      <c r="K2114">
        <v>0</v>
      </c>
      <c r="L2114" t="s">
        <v>161</v>
      </c>
      <c r="N2114" t="s">
        <v>216</v>
      </c>
      <c r="O2114" t="s">
        <v>275</v>
      </c>
      <c r="P2114">
        <v>2.5239267843485988E-3</v>
      </c>
      <c r="Q2114" t="s">
        <v>161</v>
      </c>
    </row>
    <row r="2115" spans="9:17" x14ac:dyDescent="0.45">
      <c r="I2115" t="s">
        <v>193</v>
      </c>
      <c r="J2115" t="s">
        <v>276</v>
      </c>
      <c r="K2115">
        <v>0</v>
      </c>
      <c r="L2115" t="s">
        <v>161</v>
      </c>
      <c r="N2115" t="s">
        <v>216</v>
      </c>
      <c r="O2115" t="s">
        <v>276</v>
      </c>
      <c r="P2115">
        <v>2.532939329422188E-3</v>
      </c>
      <c r="Q2115" t="s">
        <v>161</v>
      </c>
    </row>
    <row r="2116" spans="9:17" x14ac:dyDescent="0.45">
      <c r="I2116" t="s">
        <v>193</v>
      </c>
      <c r="J2116" t="s">
        <v>277</v>
      </c>
      <c r="K2116">
        <v>0</v>
      </c>
      <c r="L2116" t="s">
        <v>161</v>
      </c>
      <c r="N2116" t="s">
        <v>216</v>
      </c>
      <c r="O2116" t="s">
        <v>277</v>
      </c>
      <c r="P2116">
        <v>1.5053446970042707E-2</v>
      </c>
      <c r="Q2116" t="s">
        <v>161</v>
      </c>
    </row>
    <row r="2117" spans="9:17" x14ac:dyDescent="0.45">
      <c r="I2117" t="s">
        <v>193</v>
      </c>
      <c r="J2117" t="s">
        <v>278</v>
      </c>
      <c r="K2117">
        <v>0</v>
      </c>
      <c r="L2117" t="s">
        <v>161</v>
      </c>
      <c r="N2117" t="s">
        <v>216</v>
      </c>
      <c r="O2117" t="s">
        <v>278</v>
      </c>
      <c r="P2117">
        <v>7.8892746966681155E-3</v>
      </c>
      <c r="Q2117" t="s">
        <v>161</v>
      </c>
    </row>
    <row r="2118" spans="9:17" x14ac:dyDescent="0.45">
      <c r="I2118" t="s">
        <v>193</v>
      </c>
      <c r="J2118" t="s">
        <v>279</v>
      </c>
      <c r="K2118">
        <v>0</v>
      </c>
      <c r="L2118" t="s">
        <v>161</v>
      </c>
      <c r="N2118" t="s">
        <v>216</v>
      </c>
      <c r="O2118" t="s">
        <v>279</v>
      </c>
      <c r="P2118">
        <v>9.6915222995748224E-4</v>
      </c>
      <c r="Q2118" t="s">
        <v>161</v>
      </c>
    </row>
    <row r="2119" spans="9:17" x14ac:dyDescent="0.45">
      <c r="I2119" t="s">
        <v>193</v>
      </c>
      <c r="J2119" t="s">
        <v>280</v>
      </c>
      <c r="K2119">
        <v>2.9903622478700165E-3</v>
      </c>
      <c r="L2119" t="s">
        <v>161</v>
      </c>
      <c r="N2119" t="s">
        <v>216</v>
      </c>
      <c r="O2119" t="s">
        <v>280</v>
      </c>
      <c r="P2119">
        <v>4.4535709947066439E-3</v>
      </c>
      <c r="Q2119" t="s">
        <v>161</v>
      </c>
    </row>
    <row r="2120" spans="9:17" x14ac:dyDescent="0.45">
      <c r="I2120" t="s">
        <v>193</v>
      </c>
      <c r="J2120" t="s">
        <v>281</v>
      </c>
      <c r="K2120">
        <v>0</v>
      </c>
      <c r="L2120" t="s">
        <v>161</v>
      </c>
      <c r="N2120" t="s">
        <v>216</v>
      </c>
      <c r="O2120" t="s">
        <v>281</v>
      </c>
      <c r="P2120">
        <v>9.078372343746243E-4</v>
      </c>
      <c r="Q2120" t="s">
        <v>161</v>
      </c>
    </row>
    <row r="2121" spans="9:17" x14ac:dyDescent="0.45">
      <c r="I2121" t="s">
        <v>193</v>
      </c>
      <c r="J2121" t="s">
        <v>282</v>
      </c>
      <c r="K2121">
        <v>0</v>
      </c>
      <c r="L2121" t="s">
        <v>161</v>
      </c>
      <c r="N2121" t="s">
        <v>216</v>
      </c>
      <c r="O2121" t="s">
        <v>282</v>
      </c>
      <c r="P2121">
        <v>9.992781543651367E-4</v>
      </c>
      <c r="Q2121" t="s">
        <v>161</v>
      </c>
    </row>
    <row r="2122" spans="9:17" x14ac:dyDescent="0.45">
      <c r="I2122" t="s">
        <v>193</v>
      </c>
      <c r="J2122" t="s">
        <v>283</v>
      </c>
      <c r="K2122">
        <v>0</v>
      </c>
      <c r="L2122" t="s">
        <v>161</v>
      </c>
      <c r="N2122" t="s">
        <v>216</v>
      </c>
      <c r="O2122" t="s">
        <v>283</v>
      </c>
      <c r="P2122">
        <v>8.2032721312094714E-3</v>
      </c>
      <c r="Q2122" t="s">
        <v>161</v>
      </c>
    </row>
    <row r="2123" spans="9:17" x14ac:dyDescent="0.45">
      <c r="I2123" t="s">
        <v>194</v>
      </c>
      <c r="J2123" t="s">
        <v>160</v>
      </c>
      <c r="K2123">
        <v>1.650048059998655E-3</v>
      </c>
      <c r="L2123" t="s">
        <v>161</v>
      </c>
    </row>
    <row r="2124" spans="9:17" x14ac:dyDescent="0.45">
      <c r="I2124" t="s">
        <v>194</v>
      </c>
      <c r="J2124" t="s">
        <v>162</v>
      </c>
      <c r="K2124">
        <v>5.3453170379738311E-3</v>
      </c>
      <c r="L2124" t="s">
        <v>161</v>
      </c>
    </row>
    <row r="2125" spans="9:17" x14ac:dyDescent="0.45">
      <c r="I2125" t="s">
        <v>194</v>
      </c>
      <c r="J2125" t="s">
        <v>163</v>
      </c>
      <c r="K2125">
        <v>8.9998827699892023E-2</v>
      </c>
      <c r="L2125" t="s">
        <v>161</v>
      </c>
    </row>
    <row r="2126" spans="9:17" x14ac:dyDescent="0.45">
      <c r="I2126" t="s">
        <v>194</v>
      </c>
      <c r="J2126" t="s">
        <v>242</v>
      </c>
      <c r="K2126">
        <v>7.0713029930751931E-3</v>
      </c>
      <c r="L2126" t="s">
        <v>161</v>
      </c>
    </row>
    <row r="2127" spans="9:17" x14ac:dyDescent="0.45">
      <c r="I2127" t="s">
        <v>194</v>
      </c>
      <c r="J2127" t="s">
        <v>243</v>
      </c>
      <c r="K2127">
        <v>2.3586911913616383E-3</v>
      </c>
      <c r="L2127" t="s">
        <v>161</v>
      </c>
    </row>
    <row r="2128" spans="9:17" x14ac:dyDescent="0.45">
      <c r="I2128" t="s">
        <v>194</v>
      </c>
      <c r="J2128" t="s">
        <v>266</v>
      </c>
      <c r="K2128">
        <v>0</v>
      </c>
      <c r="L2128" t="s">
        <v>161</v>
      </c>
    </row>
    <row r="2129" spans="9:12" x14ac:dyDescent="0.45">
      <c r="I2129" t="s">
        <v>194</v>
      </c>
      <c r="J2129" t="s">
        <v>311</v>
      </c>
      <c r="K2129">
        <v>0</v>
      </c>
      <c r="L2129" t="s">
        <v>161</v>
      </c>
    </row>
    <row r="2130" spans="9:12" x14ac:dyDescent="0.45">
      <c r="I2130" t="s">
        <v>194</v>
      </c>
      <c r="J2130" t="s">
        <v>312</v>
      </c>
      <c r="K2130">
        <v>0</v>
      </c>
      <c r="L2130" t="s">
        <v>161</v>
      </c>
    </row>
    <row r="2131" spans="9:12" x14ac:dyDescent="0.45">
      <c r="I2131" t="s">
        <v>194</v>
      </c>
      <c r="J2131" t="s">
        <v>313</v>
      </c>
      <c r="K2131">
        <v>0</v>
      </c>
      <c r="L2131" t="s">
        <v>161</v>
      </c>
    </row>
    <row r="2132" spans="9:12" x14ac:dyDescent="0.45">
      <c r="I2132" t="s">
        <v>194</v>
      </c>
      <c r="J2132" t="s">
        <v>314</v>
      </c>
      <c r="K2132">
        <v>0</v>
      </c>
      <c r="L2132" t="s">
        <v>161</v>
      </c>
    </row>
    <row r="2133" spans="9:12" x14ac:dyDescent="0.45">
      <c r="I2133" t="s">
        <v>194</v>
      </c>
      <c r="J2133" t="s">
        <v>315</v>
      </c>
      <c r="K2133">
        <v>0</v>
      </c>
      <c r="L2133" t="s">
        <v>161</v>
      </c>
    </row>
    <row r="2134" spans="9:12" x14ac:dyDescent="0.45">
      <c r="I2134" t="s">
        <v>194</v>
      </c>
      <c r="J2134" t="s">
        <v>316</v>
      </c>
      <c r="K2134">
        <v>0</v>
      </c>
      <c r="L2134" t="s">
        <v>161</v>
      </c>
    </row>
    <row r="2135" spans="9:12" x14ac:dyDescent="0.45">
      <c r="I2135" t="s">
        <v>194</v>
      </c>
      <c r="J2135" t="s">
        <v>317</v>
      </c>
      <c r="K2135">
        <v>0</v>
      </c>
      <c r="L2135" t="s">
        <v>161</v>
      </c>
    </row>
    <row r="2136" spans="9:12" x14ac:dyDescent="0.45">
      <c r="I2136" t="s">
        <v>194</v>
      </c>
      <c r="J2136" t="s">
        <v>318</v>
      </c>
      <c r="K2136">
        <v>0</v>
      </c>
      <c r="L2136" t="s">
        <v>161</v>
      </c>
    </row>
    <row r="2137" spans="9:12" x14ac:dyDescent="0.45">
      <c r="I2137" t="s">
        <v>194</v>
      </c>
      <c r="J2137" t="s">
        <v>319</v>
      </c>
      <c r="K2137">
        <v>2.0041965150330594E-5</v>
      </c>
      <c r="L2137" t="s">
        <v>161</v>
      </c>
    </row>
    <row r="2138" spans="9:12" x14ac:dyDescent="0.45">
      <c r="I2138" t="s">
        <v>194</v>
      </c>
      <c r="J2138" t="s">
        <v>320</v>
      </c>
      <c r="K2138">
        <v>4.5709840001827677E-5</v>
      </c>
      <c r="L2138" t="s">
        <v>161</v>
      </c>
    </row>
    <row r="2139" spans="9:12" x14ac:dyDescent="0.45">
      <c r="I2139" t="s">
        <v>194</v>
      </c>
      <c r="J2139" t="s">
        <v>321</v>
      </c>
      <c r="K2139">
        <v>1.0056332324184959E-4</v>
      </c>
      <c r="L2139" t="s">
        <v>161</v>
      </c>
    </row>
    <row r="2140" spans="9:12" x14ac:dyDescent="0.45">
      <c r="I2140" t="s">
        <v>194</v>
      </c>
      <c r="J2140" t="s">
        <v>322</v>
      </c>
      <c r="K2140">
        <v>1.6714273326608225E-4</v>
      </c>
      <c r="L2140" t="s">
        <v>161</v>
      </c>
    </row>
    <row r="2141" spans="9:12" x14ac:dyDescent="0.45">
      <c r="I2141" t="s">
        <v>194</v>
      </c>
      <c r="J2141" t="s">
        <v>323</v>
      </c>
      <c r="K2141">
        <v>1.8050192728015447E-4</v>
      </c>
      <c r="L2141" t="s">
        <v>161</v>
      </c>
    </row>
    <row r="2142" spans="9:12" x14ac:dyDescent="0.45">
      <c r="I2142" t="s">
        <v>194</v>
      </c>
      <c r="J2142" t="s">
        <v>324</v>
      </c>
      <c r="K2142">
        <v>1.8071499166052467E-4</v>
      </c>
      <c r="L2142" t="s">
        <v>161</v>
      </c>
    </row>
    <row r="2143" spans="9:12" x14ac:dyDescent="0.45">
      <c r="I2143" t="s">
        <v>194</v>
      </c>
      <c r="J2143" t="s">
        <v>325</v>
      </c>
      <c r="K2143">
        <v>1.3280423538066151E-4</v>
      </c>
      <c r="L2143" t="s">
        <v>161</v>
      </c>
    </row>
    <row r="2144" spans="9:12" x14ac:dyDescent="0.45">
      <c r="I2144" t="s">
        <v>194</v>
      </c>
      <c r="J2144" t="s">
        <v>326</v>
      </c>
      <c r="K2144">
        <v>7.0326620089283148E-5</v>
      </c>
      <c r="L2144" t="s">
        <v>161</v>
      </c>
    </row>
    <row r="2145" spans="9:12" x14ac:dyDescent="0.45">
      <c r="I2145" t="s">
        <v>194</v>
      </c>
      <c r="J2145" t="s">
        <v>327</v>
      </c>
      <c r="K2145">
        <v>1.0382097802266658E-4</v>
      </c>
      <c r="L2145" t="s">
        <v>161</v>
      </c>
    </row>
    <row r="2146" spans="9:12" x14ac:dyDescent="0.45">
      <c r="I2146" t="s">
        <v>194</v>
      </c>
      <c r="J2146" t="s">
        <v>328</v>
      </c>
      <c r="K2146">
        <v>4.6112562568806049E-5</v>
      </c>
      <c r="L2146" t="s">
        <v>161</v>
      </c>
    </row>
    <row r="2147" spans="9:12" x14ac:dyDescent="0.45">
      <c r="I2147" t="s">
        <v>194</v>
      </c>
      <c r="J2147" t="s">
        <v>329</v>
      </c>
      <c r="K2147">
        <v>0</v>
      </c>
      <c r="L2147" t="s">
        <v>161</v>
      </c>
    </row>
    <row r="2148" spans="9:12" x14ac:dyDescent="0.45">
      <c r="I2148" t="s">
        <v>194</v>
      </c>
      <c r="J2148" t="s">
        <v>330</v>
      </c>
      <c r="K2148">
        <v>0</v>
      </c>
      <c r="L2148" t="s">
        <v>161</v>
      </c>
    </row>
    <row r="2149" spans="9:12" x14ac:dyDescent="0.45">
      <c r="I2149" t="s">
        <v>194</v>
      </c>
      <c r="J2149" t="s">
        <v>331</v>
      </c>
      <c r="K2149">
        <v>0</v>
      </c>
      <c r="L2149" t="s">
        <v>161</v>
      </c>
    </row>
    <row r="2150" spans="9:12" x14ac:dyDescent="0.45">
      <c r="I2150" t="s">
        <v>194</v>
      </c>
      <c r="J2150" t="s">
        <v>332</v>
      </c>
      <c r="K2150">
        <v>0</v>
      </c>
      <c r="L2150" t="s">
        <v>161</v>
      </c>
    </row>
    <row r="2151" spans="9:12" x14ac:dyDescent="0.45">
      <c r="I2151" t="s">
        <v>194</v>
      </c>
      <c r="J2151" t="s">
        <v>333</v>
      </c>
      <c r="K2151">
        <v>0</v>
      </c>
      <c r="L2151" t="s">
        <v>161</v>
      </c>
    </row>
    <row r="2152" spans="9:12" x14ac:dyDescent="0.45">
      <c r="I2152" t="s">
        <v>194</v>
      </c>
      <c r="J2152" t="s">
        <v>334</v>
      </c>
      <c r="K2152">
        <v>0</v>
      </c>
      <c r="L2152" t="s">
        <v>161</v>
      </c>
    </row>
    <row r="2153" spans="9:12" x14ac:dyDescent="0.45">
      <c r="I2153" t="s">
        <v>194</v>
      </c>
      <c r="J2153" t="s">
        <v>164</v>
      </c>
      <c r="K2153">
        <v>1.1363860847464291E-2</v>
      </c>
      <c r="L2153" t="s">
        <v>161</v>
      </c>
    </row>
    <row r="2154" spans="9:12" x14ac:dyDescent="0.45">
      <c r="I2154" t="s">
        <v>194</v>
      </c>
      <c r="J2154" t="s">
        <v>165</v>
      </c>
      <c r="K2154">
        <v>1.1635920668994292E-2</v>
      </c>
      <c r="L2154" t="s">
        <v>161</v>
      </c>
    </row>
    <row r="2155" spans="9:12" x14ac:dyDescent="0.45">
      <c r="I2155" t="s">
        <v>194</v>
      </c>
      <c r="J2155" t="s">
        <v>166</v>
      </c>
      <c r="K2155">
        <v>9.9403946543732746E-2</v>
      </c>
      <c r="L2155" t="s">
        <v>161</v>
      </c>
    </row>
    <row r="2156" spans="9:12" x14ac:dyDescent="0.45">
      <c r="I2156" t="s">
        <v>194</v>
      </c>
      <c r="J2156" t="s">
        <v>244</v>
      </c>
      <c r="K2156">
        <v>9.2446259146857449E-3</v>
      </c>
      <c r="L2156" t="s">
        <v>161</v>
      </c>
    </row>
    <row r="2157" spans="9:12" x14ac:dyDescent="0.45">
      <c r="I2157" t="s">
        <v>194</v>
      </c>
      <c r="J2157" t="s">
        <v>245</v>
      </c>
      <c r="K2157">
        <v>6.2235182501500664E-3</v>
      </c>
      <c r="L2157" t="s">
        <v>161</v>
      </c>
    </row>
    <row r="2158" spans="9:12" x14ac:dyDescent="0.45">
      <c r="I2158" t="s">
        <v>194</v>
      </c>
      <c r="J2158" t="s">
        <v>267</v>
      </c>
      <c r="K2158">
        <v>3.524014182636231E-3</v>
      </c>
      <c r="L2158" t="s">
        <v>161</v>
      </c>
    </row>
    <row r="2159" spans="9:12" x14ac:dyDescent="0.45">
      <c r="I2159" t="s">
        <v>194</v>
      </c>
      <c r="J2159" t="s">
        <v>167</v>
      </c>
      <c r="K2159">
        <v>5.2476301422582729E-2</v>
      </c>
      <c r="L2159" t="s">
        <v>161</v>
      </c>
    </row>
    <row r="2160" spans="9:12" x14ac:dyDescent="0.45">
      <c r="I2160" t="s">
        <v>194</v>
      </c>
      <c r="J2160" t="s">
        <v>168</v>
      </c>
      <c r="K2160">
        <v>3.1604919626916007E-2</v>
      </c>
      <c r="L2160" t="s">
        <v>161</v>
      </c>
    </row>
    <row r="2161" spans="9:12" x14ac:dyDescent="0.45">
      <c r="I2161" t="s">
        <v>194</v>
      </c>
      <c r="J2161" t="s">
        <v>169</v>
      </c>
      <c r="K2161">
        <v>0.25709454805301707</v>
      </c>
      <c r="L2161" t="s">
        <v>161</v>
      </c>
    </row>
    <row r="2162" spans="9:12" x14ac:dyDescent="0.45">
      <c r="I2162" t="s">
        <v>194</v>
      </c>
      <c r="J2162" t="s">
        <v>246</v>
      </c>
      <c r="K2162">
        <v>2.8932383869390371E-2</v>
      </c>
      <c r="L2162" t="s">
        <v>161</v>
      </c>
    </row>
    <row r="2163" spans="9:12" x14ac:dyDescent="0.45">
      <c r="I2163" t="s">
        <v>194</v>
      </c>
      <c r="J2163" t="s">
        <v>247</v>
      </c>
      <c r="K2163">
        <v>2.3269010220481747E-2</v>
      </c>
      <c r="L2163" t="s">
        <v>161</v>
      </c>
    </row>
    <row r="2164" spans="9:12" x14ac:dyDescent="0.45">
      <c r="I2164" t="s">
        <v>194</v>
      </c>
      <c r="J2164" t="s">
        <v>268</v>
      </c>
      <c r="K2164">
        <v>2.748076776195893E-2</v>
      </c>
      <c r="L2164" t="s">
        <v>161</v>
      </c>
    </row>
    <row r="2165" spans="9:12" x14ac:dyDescent="0.45">
      <c r="I2165" t="s">
        <v>194</v>
      </c>
      <c r="J2165" t="s">
        <v>170</v>
      </c>
      <c r="K2165">
        <v>1.9023393503600772E-2</v>
      </c>
      <c r="L2165" t="s">
        <v>161</v>
      </c>
    </row>
    <row r="2166" spans="9:12" x14ac:dyDescent="0.45">
      <c r="I2166" t="s">
        <v>194</v>
      </c>
      <c r="J2166" t="s">
        <v>171</v>
      </c>
      <c r="K2166">
        <v>1.4115255110980787E-2</v>
      </c>
      <c r="L2166" t="s">
        <v>161</v>
      </c>
    </row>
    <row r="2167" spans="9:12" x14ac:dyDescent="0.45">
      <c r="I2167" t="s">
        <v>194</v>
      </c>
      <c r="J2167" t="s">
        <v>172</v>
      </c>
      <c r="K2167">
        <v>0.11735587988409854</v>
      </c>
      <c r="L2167" t="s">
        <v>161</v>
      </c>
    </row>
    <row r="2168" spans="9:12" x14ac:dyDescent="0.45">
      <c r="I2168" t="s">
        <v>194</v>
      </c>
      <c r="J2168" t="s">
        <v>248</v>
      </c>
      <c r="K2168">
        <v>1.179308638985381E-2</v>
      </c>
      <c r="L2168" t="s">
        <v>161</v>
      </c>
    </row>
    <row r="2169" spans="9:12" x14ac:dyDescent="0.45">
      <c r="I2169" t="s">
        <v>194</v>
      </c>
      <c r="J2169" t="s">
        <v>249</v>
      </c>
      <c r="K2169">
        <v>9.0368899787492338E-3</v>
      </c>
      <c r="L2169" t="s">
        <v>161</v>
      </c>
    </row>
    <row r="2170" spans="9:12" x14ac:dyDescent="0.45">
      <c r="I2170" t="s">
        <v>194</v>
      </c>
      <c r="J2170" t="s">
        <v>269</v>
      </c>
      <c r="K2170">
        <v>8.2383413727443525E-3</v>
      </c>
      <c r="L2170" t="s">
        <v>161</v>
      </c>
    </row>
    <row r="2171" spans="9:12" x14ac:dyDescent="0.45">
      <c r="I2171" t="s">
        <v>194</v>
      </c>
      <c r="J2171" t="s">
        <v>362</v>
      </c>
      <c r="K2171">
        <v>0</v>
      </c>
      <c r="L2171" t="s">
        <v>161</v>
      </c>
    </row>
    <row r="2172" spans="9:12" x14ac:dyDescent="0.45">
      <c r="I2172" t="s">
        <v>194</v>
      </c>
      <c r="J2172" t="s">
        <v>363</v>
      </c>
      <c r="K2172">
        <v>0</v>
      </c>
      <c r="L2172" t="s">
        <v>161</v>
      </c>
    </row>
    <row r="2173" spans="9:12" x14ac:dyDescent="0.45">
      <c r="I2173" t="s">
        <v>194</v>
      </c>
      <c r="J2173" t="s">
        <v>364</v>
      </c>
      <c r="K2173">
        <v>0</v>
      </c>
      <c r="L2173" t="s">
        <v>161</v>
      </c>
    </row>
    <row r="2174" spans="9:12" x14ac:dyDescent="0.45">
      <c r="I2174" t="s">
        <v>194</v>
      </c>
      <c r="J2174" t="s">
        <v>365</v>
      </c>
      <c r="K2174">
        <v>0</v>
      </c>
      <c r="L2174" t="s">
        <v>161</v>
      </c>
    </row>
    <row r="2175" spans="9:12" x14ac:dyDescent="0.45">
      <c r="I2175" t="s">
        <v>194</v>
      </c>
      <c r="J2175" t="s">
        <v>366</v>
      </c>
      <c r="K2175">
        <v>0</v>
      </c>
      <c r="L2175" t="s">
        <v>161</v>
      </c>
    </row>
    <row r="2176" spans="9:12" x14ac:dyDescent="0.45">
      <c r="I2176" t="s">
        <v>194</v>
      </c>
      <c r="J2176" t="s">
        <v>367</v>
      </c>
      <c r="K2176">
        <v>0</v>
      </c>
      <c r="L2176" t="s">
        <v>161</v>
      </c>
    </row>
    <row r="2177" spans="9:12" x14ac:dyDescent="0.45">
      <c r="I2177" t="s">
        <v>194</v>
      </c>
      <c r="J2177" t="s">
        <v>368</v>
      </c>
      <c r="K2177">
        <v>2.4928682481302765E-4</v>
      </c>
      <c r="L2177" t="s">
        <v>161</v>
      </c>
    </row>
    <row r="2178" spans="9:12" x14ac:dyDescent="0.45">
      <c r="I2178" t="s">
        <v>194</v>
      </c>
      <c r="J2178" t="s">
        <v>369</v>
      </c>
      <c r="K2178">
        <v>3.8916239484970819E-4</v>
      </c>
      <c r="L2178" t="s">
        <v>161</v>
      </c>
    </row>
    <row r="2179" spans="9:12" x14ac:dyDescent="0.45">
      <c r="I2179" t="s">
        <v>194</v>
      </c>
      <c r="J2179" t="s">
        <v>370</v>
      </c>
      <c r="K2179">
        <v>4.7789540068793524E-4</v>
      </c>
      <c r="L2179" t="s">
        <v>161</v>
      </c>
    </row>
    <row r="2180" spans="9:12" x14ac:dyDescent="0.45">
      <c r="I2180" t="s">
        <v>194</v>
      </c>
      <c r="J2180" t="s">
        <v>371</v>
      </c>
      <c r="K2180">
        <v>5.2086624959755295E-4</v>
      </c>
      <c r="L2180" t="s">
        <v>161</v>
      </c>
    </row>
    <row r="2181" spans="9:12" x14ac:dyDescent="0.45">
      <c r="I2181" t="s">
        <v>194</v>
      </c>
      <c r="J2181" t="s">
        <v>372</v>
      </c>
      <c r="K2181">
        <v>5.3531887184003464E-4</v>
      </c>
      <c r="L2181" t="s">
        <v>161</v>
      </c>
    </row>
    <row r="2182" spans="9:12" x14ac:dyDescent="0.45">
      <c r="I2182" t="s">
        <v>194</v>
      </c>
      <c r="J2182" t="s">
        <v>373</v>
      </c>
      <c r="K2182">
        <v>4.8937130535553562E-4</v>
      </c>
      <c r="L2182" t="s">
        <v>161</v>
      </c>
    </row>
    <row r="2183" spans="9:12" x14ac:dyDescent="0.45">
      <c r="I2183" t="s">
        <v>194</v>
      </c>
      <c r="J2183" t="s">
        <v>374</v>
      </c>
      <c r="K2183">
        <v>4.2571139523301716E-4</v>
      </c>
      <c r="L2183" t="s">
        <v>161</v>
      </c>
    </row>
    <row r="2184" spans="9:12" x14ac:dyDescent="0.45">
      <c r="I2184" t="s">
        <v>194</v>
      </c>
      <c r="J2184" t="s">
        <v>375</v>
      </c>
      <c r="K2184">
        <v>4.6168984470985994E-4</v>
      </c>
      <c r="L2184" t="s">
        <v>161</v>
      </c>
    </row>
    <row r="2185" spans="9:12" x14ac:dyDescent="0.45">
      <c r="I2185" t="s">
        <v>194</v>
      </c>
      <c r="J2185" t="s">
        <v>376</v>
      </c>
      <c r="K2185">
        <v>4.7129876838751398E-4</v>
      </c>
      <c r="L2185" t="s">
        <v>161</v>
      </c>
    </row>
    <row r="2186" spans="9:12" x14ac:dyDescent="0.45">
      <c r="I2186" t="s">
        <v>194</v>
      </c>
      <c r="J2186" t="s">
        <v>377</v>
      </c>
      <c r="K2186">
        <v>4.384722566536594E-4</v>
      </c>
      <c r="L2186" t="s">
        <v>161</v>
      </c>
    </row>
    <row r="2187" spans="9:12" x14ac:dyDescent="0.45">
      <c r="I2187" t="s">
        <v>194</v>
      </c>
      <c r="J2187" t="s">
        <v>378</v>
      </c>
      <c r="K2187">
        <v>3.7434587527718677E-4</v>
      </c>
      <c r="L2187" t="s">
        <v>161</v>
      </c>
    </row>
    <row r="2188" spans="9:12" x14ac:dyDescent="0.45">
      <c r="I2188" t="s">
        <v>194</v>
      </c>
      <c r="J2188" t="s">
        <v>379</v>
      </c>
      <c r="K2188">
        <v>2.878491933003149E-4</v>
      </c>
      <c r="L2188" t="s">
        <v>161</v>
      </c>
    </row>
    <row r="2189" spans="9:12" x14ac:dyDescent="0.45">
      <c r="I2189" t="s">
        <v>194</v>
      </c>
      <c r="J2189" t="s">
        <v>380</v>
      </c>
      <c r="K2189">
        <v>1.5731252416166321E-4</v>
      </c>
      <c r="L2189" t="s">
        <v>161</v>
      </c>
    </row>
    <row r="2190" spans="9:12" x14ac:dyDescent="0.45">
      <c r="I2190" t="s">
        <v>194</v>
      </c>
      <c r="J2190" t="s">
        <v>381</v>
      </c>
      <c r="K2190">
        <v>5.4134882019319527E-5</v>
      </c>
      <c r="L2190" t="s">
        <v>161</v>
      </c>
    </row>
    <row r="2191" spans="9:12" x14ac:dyDescent="0.45">
      <c r="I2191" t="s">
        <v>194</v>
      </c>
      <c r="J2191" t="s">
        <v>382</v>
      </c>
      <c r="K2191">
        <v>0</v>
      </c>
      <c r="L2191" t="s">
        <v>161</v>
      </c>
    </row>
    <row r="2192" spans="9:12" x14ac:dyDescent="0.45">
      <c r="I2192" t="s">
        <v>194</v>
      </c>
      <c r="J2192" t="s">
        <v>383</v>
      </c>
      <c r="K2192">
        <v>0</v>
      </c>
      <c r="L2192" t="s">
        <v>161</v>
      </c>
    </row>
    <row r="2193" spans="9:12" x14ac:dyDescent="0.45">
      <c r="I2193" t="s">
        <v>194</v>
      </c>
      <c r="J2193" t="s">
        <v>384</v>
      </c>
      <c r="K2193">
        <v>0</v>
      </c>
      <c r="L2193" t="s">
        <v>161</v>
      </c>
    </row>
    <row r="2194" spans="9:12" x14ac:dyDescent="0.45">
      <c r="I2194" t="s">
        <v>194</v>
      </c>
      <c r="J2194" t="s">
        <v>385</v>
      </c>
      <c r="K2194">
        <v>0</v>
      </c>
      <c r="L2194" t="s">
        <v>161</v>
      </c>
    </row>
    <row r="2195" spans="9:12" x14ac:dyDescent="0.45">
      <c r="I2195" t="s">
        <v>194</v>
      </c>
      <c r="J2195" t="s">
        <v>250</v>
      </c>
      <c r="K2195">
        <v>4.3827188164030336E-3</v>
      </c>
      <c r="L2195" t="s">
        <v>161</v>
      </c>
    </row>
    <row r="2196" spans="9:12" x14ac:dyDescent="0.45">
      <c r="I2196" t="s">
        <v>194</v>
      </c>
      <c r="J2196" t="s">
        <v>251</v>
      </c>
      <c r="K2196">
        <v>8.0027425084771512E-3</v>
      </c>
      <c r="L2196" t="s">
        <v>161</v>
      </c>
    </row>
    <row r="2197" spans="9:12" x14ac:dyDescent="0.45">
      <c r="I2197" t="s">
        <v>194</v>
      </c>
      <c r="J2197" t="s">
        <v>252</v>
      </c>
      <c r="K2197">
        <v>7.7793568035924826E-2</v>
      </c>
      <c r="L2197" t="s">
        <v>161</v>
      </c>
    </row>
    <row r="2198" spans="9:12" x14ac:dyDescent="0.45">
      <c r="I2198" t="s">
        <v>194</v>
      </c>
      <c r="J2198" t="s">
        <v>253</v>
      </c>
      <c r="K2198">
        <v>6.02613668670303E-3</v>
      </c>
      <c r="L2198" t="s">
        <v>161</v>
      </c>
    </row>
    <row r="2199" spans="9:12" x14ac:dyDescent="0.45">
      <c r="I2199" t="s">
        <v>194</v>
      </c>
      <c r="J2199" t="s">
        <v>254</v>
      </c>
      <c r="K2199">
        <v>2.028196647472608E-3</v>
      </c>
      <c r="L2199" t="s">
        <v>161</v>
      </c>
    </row>
    <row r="2200" spans="9:12" x14ac:dyDescent="0.45">
      <c r="I2200" t="s">
        <v>194</v>
      </c>
      <c r="J2200" t="s">
        <v>270</v>
      </c>
      <c r="K2200">
        <v>1.0810703614124469E-6</v>
      </c>
      <c r="L2200" t="s">
        <v>161</v>
      </c>
    </row>
    <row r="2201" spans="9:12" x14ac:dyDescent="0.45">
      <c r="I2201" t="s">
        <v>194</v>
      </c>
      <c r="J2201" t="s">
        <v>255</v>
      </c>
      <c r="K2201">
        <v>0</v>
      </c>
      <c r="L2201" t="s">
        <v>161</v>
      </c>
    </row>
    <row r="2202" spans="9:12" x14ac:dyDescent="0.45">
      <c r="I2202" t="s">
        <v>194</v>
      </c>
      <c r="J2202" t="s">
        <v>256</v>
      </c>
      <c r="K2202">
        <v>1.7000009299708509E-3</v>
      </c>
      <c r="L2202" t="s">
        <v>161</v>
      </c>
    </row>
    <row r="2203" spans="9:12" x14ac:dyDescent="0.45">
      <c r="I2203" t="s">
        <v>194</v>
      </c>
      <c r="J2203" t="s">
        <v>257</v>
      </c>
      <c r="K2203">
        <v>3.6011703708679087E-2</v>
      </c>
      <c r="L2203" t="s">
        <v>161</v>
      </c>
    </row>
    <row r="2204" spans="9:12" x14ac:dyDescent="0.45">
      <c r="I2204" t="s">
        <v>194</v>
      </c>
      <c r="J2204" t="s">
        <v>258</v>
      </c>
      <c r="K2204">
        <v>4.1960103551149877E-4</v>
      </c>
      <c r="L2204" t="s">
        <v>161</v>
      </c>
    </row>
    <row r="2205" spans="9:12" x14ac:dyDescent="0.45">
      <c r="I2205" t="s">
        <v>194</v>
      </c>
      <c r="J2205" t="s">
        <v>259</v>
      </c>
      <c r="K2205">
        <v>0</v>
      </c>
      <c r="L2205" t="s">
        <v>161</v>
      </c>
    </row>
    <row r="2206" spans="9:12" x14ac:dyDescent="0.45">
      <c r="I2206" t="s">
        <v>194</v>
      </c>
      <c r="J2206" t="s">
        <v>271</v>
      </c>
      <c r="K2206">
        <v>0</v>
      </c>
      <c r="L2206" t="s">
        <v>161</v>
      </c>
    </row>
    <row r="2207" spans="9:12" x14ac:dyDescent="0.45">
      <c r="I2207" t="s">
        <v>194</v>
      </c>
      <c r="J2207" t="s">
        <v>272</v>
      </c>
      <c r="K2207">
        <v>0</v>
      </c>
      <c r="L2207" t="s">
        <v>161</v>
      </c>
    </row>
    <row r="2208" spans="9:12" x14ac:dyDescent="0.45">
      <c r="I2208" t="s">
        <v>194</v>
      </c>
      <c r="J2208" t="s">
        <v>273</v>
      </c>
      <c r="K2208">
        <v>0</v>
      </c>
      <c r="L2208" t="s">
        <v>161</v>
      </c>
    </row>
    <row r="2209" spans="9:12" x14ac:dyDescent="0.45">
      <c r="I2209" t="s">
        <v>194</v>
      </c>
      <c r="J2209" t="s">
        <v>274</v>
      </c>
      <c r="K2209">
        <v>5.5781874929892138E-3</v>
      </c>
      <c r="L2209" t="s">
        <v>161</v>
      </c>
    </row>
    <row r="2210" spans="9:12" x14ac:dyDescent="0.45">
      <c r="I2210" t="s">
        <v>194</v>
      </c>
      <c r="J2210" t="s">
        <v>275</v>
      </c>
      <c r="K2210">
        <v>0</v>
      </c>
      <c r="L2210" t="s">
        <v>161</v>
      </c>
    </row>
    <row r="2211" spans="9:12" x14ac:dyDescent="0.45">
      <c r="I2211" t="s">
        <v>194</v>
      </c>
      <c r="J2211" t="s">
        <v>276</v>
      </c>
      <c r="K2211">
        <v>0</v>
      </c>
      <c r="L2211" t="s">
        <v>161</v>
      </c>
    </row>
    <row r="2212" spans="9:12" x14ac:dyDescent="0.45">
      <c r="I2212" t="s">
        <v>194</v>
      </c>
      <c r="J2212" t="s">
        <v>277</v>
      </c>
      <c r="K2212">
        <v>0</v>
      </c>
      <c r="L2212" t="s">
        <v>161</v>
      </c>
    </row>
    <row r="2213" spans="9:12" x14ac:dyDescent="0.45">
      <c r="I2213" t="s">
        <v>194</v>
      </c>
      <c r="J2213" t="s">
        <v>278</v>
      </c>
      <c r="K2213">
        <v>0</v>
      </c>
      <c r="L2213" t="s">
        <v>161</v>
      </c>
    </row>
    <row r="2214" spans="9:12" x14ac:dyDescent="0.45">
      <c r="I2214" t="s">
        <v>194</v>
      </c>
      <c r="J2214" t="s">
        <v>279</v>
      </c>
      <c r="K2214">
        <v>0</v>
      </c>
      <c r="L2214" t="s">
        <v>161</v>
      </c>
    </row>
    <row r="2215" spans="9:12" x14ac:dyDescent="0.45">
      <c r="I2215" t="s">
        <v>194</v>
      </c>
      <c r="J2215" t="s">
        <v>280</v>
      </c>
      <c r="K2215">
        <v>3.434757519620918E-3</v>
      </c>
      <c r="L2215" t="s">
        <v>161</v>
      </c>
    </row>
    <row r="2216" spans="9:12" x14ac:dyDescent="0.45">
      <c r="I2216" t="s">
        <v>194</v>
      </c>
      <c r="J2216" t="s">
        <v>281</v>
      </c>
      <c r="K2216">
        <v>0</v>
      </c>
      <c r="L2216" t="s">
        <v>161</v>
      </c>
    </row>
    <row r="2217" spans="9:12" x14ac:dyDescent="0.45">
      <c r="I2217" t="s">
        <v>194</v>
      </c>
      <c r="J2217" t="s">
        <v>282</v>
      </c>
      <c r="K2217">
        <v>0</v>
      </c>
      <c r="L2217" t="s">
        <v>161</v>
      </c>
    </row>
    <row r="2218" spans="9:12" x14ac:dyDescent="0.45">
      <c r="I2218" t="s">
        <v>194</v>
      </c>
      <c r="J2218" t="s">
        <v>283</v>
      </c>
      <c r="K2218">
        <v>0</v>
      </c>
      <c r="L2218" t="s">
        <v>161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1EE6D-68D2-429B-86D7-C12E27049615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144</v>
      </c>
      <c r="D10" t="s">
        <v>145</v>
      </c>
      <c r="E10" t="s">
        <v>146</v>
      </c>
      <c r="F10" t="s">
        <v>147</v>
      </c>
      <c r="G10" t="s">
        <v>148</v>
      </c>
      <c r="I10" t="s">
        <v>13</v>
      </c>
      <c r="J10" t="s">
        <v>120</v>
      </c>
      <c r="K10" t="s">
        <v>158</v>
      </c>
      <c r="L10" t="s">
        <v>30</v>
      </c>
      <c r="N10" t="s">
        <v>13</v>
      </c>
      <c r="O10" t="s">
        <v>120</v>
      </c>
      <c r="P10" t="s">
        <v>158</v>
      </c>
      <c r="Q10" t="s">
        <v>30</v>
      </c>
      <c r="S10" t="s">
        <v>13</v>
      </c>
      <c r="T10" t="s">
        <v>120</v>
      </c>
      <c r="U10" t="s">
        <v>158</v>
      </c>
      <c r="V10" t="s">
        <v>30</v>
      </c>
      <c r="X10" t="s">
        <v>227</v>
      </c>
      <c r="Y10" t="s">
        <v>158</v>
      </c>
      <c r="Z10" t="s">
        <v>120</v>
      </c>
      <c r="AA10" t="s">
        <v>13</v>
      </c>
      <c r="AC10" t="s">
        <v>13</v>
      </c>
      <c r="AD10" t="s">
        <v>120</v>
      </c>
      <c r="AE10" t="s">
        <v>158</v>
      </c>
      <c r="AG10" t="s">
        <v>13</v>
      </c>
      <c r="AH10" t="s">
        <v>120</v>
      </c>
      <c r="AI10" t="s">
        <v>233</v>
      </c>
      <c r="AK10" t="s">
        <v>47</v>
      </c>
      <c r="AL10" t="s">
        <v>120</v>
      </c>
      <c r="AM10" t="s">
        <v>234</v>
      </c>
      <c r="AN10" t="s">
        <v>235</v>
      </c>
    </row>
    <row r="11" spans="1:40" x14ac:dyDescent="0.45">
      <c r="A11" t="str">
        <f>IFERROR(IF(Veda!D5=A10,"ok","x"),"")</f>
        <v>ok</v>
      </c>
      <c r="C11" t="s">
        <v>388</v>
      </c>
      <c r="D11" t="s">
        <v>150</v>
      </c>
      <c r="E11" t="s">
        <v>389</v>
      </c>
      <c r="F11" t="s">
        <v>388</v>
      </c>
      <c r="G11" t="s">
        <v>150</v>
      </c>
      <c r="I11" t="s">
        <v>159</v>
      </c>
      <c r="J11" t="s">
        <v>390</v>
      </c>
      <c r="K11">
        <v>0.99999999999999933</v>
      </c>
      <c r="L11" t="s">
        <v>161</v>
      </c>
      <c r="N11" t="s">
        <v>195</v>
      </c>
      <c r="O11" t="s">
        <v>390</v>
      </c>
      <c r="P11">
        <v>1.0000000000000007</v>
      </c>
      <c r="Q11" t="s">
        <v>161</v>
      </c>
      <c r="S11" t="s">
        <v>217</v>
      </c>
      <c r="T11" t="s">
        <v>390</v>
      </c>
      <c r="U11">
        <v>0.99999999999999989</v>
      </c>
      <c r="V11" t="s">
        <v>161</v>
      </c>
      <c r="X11">
        <v>1</v>
      </c>
      <c r="Y11">
        <v>1.0000000000000002</v>
      </c>
      <c r="Z11" t="s">
        <v>390</v>
      </c>
      <c r="AA11" t="s">
        <v>25</v>
      </c>
      <c r="AC11" t="s">
        <v>22</v>
      </c>
      <c r="AD11" t="s">
        <v>390</v>
      </c>
      <c r="AE11">
        <v>1</v>
      </c>
      <c r="AG11" t="s">
        <v>100</v>
      </c>
      <c r="AH11" t="s">
        <v>390</v>
      </c>
      <c r="AI11">
        <v>0.34111765552101359</v>
      </c>
      <c r="AK11">
        <v>2020</v>
      </c>
      <c r="AL11" t="s">
        <v>388</v>
      </c>
      <c r="AM11">
        <v>0.38802670653427357</v>
      </c>
      <c r="AN11" t="s">
        <v>236</v>
      </c>
    </row>
    <row r="12" spans="1:40" x14ac:dyDescent="0.45">
      <c r="I12" t="s">
        <v>173</v>
      </c>
      <c r="J12" t="s">
        <v>390</v>
      </c>
      <c r="K12">
        <v>1.0000000000000024</v>
      </c>
      <c r="L12" t="s">
        <v>161</v>
      </c>
      <c r="N12" t="s">
        <v>196</v>
      </c>
      <c r="O12" t="s">
        <v>390</v>
      </c>
      <c r="P12">
        <v>1.0000000000000007</v>
      </c>
      <c r="Q12" t="s">
        <v>161</v>
      </c>
      <c r="S12" t="s">
        <v>218</v>
      </c>
      <c r="T12" t="s">
        <v>390</v>
      </c>
      <c r="U12">
        <v>1.000000000000004</v>
      </c>
      <c r="V12" t="s">
        <v>161</v>
      </c>
      <c r="AC12" t="s">
        <v>19</v>
      </c>
      <c r="AD12" t="s">
        <v>390</v>
      </c>
      <c r="AE12">
        <v>1</v>
      </c>
      <c r="AK12">
        <v>2021</v>
      </c>
      <c r="AL12" t="s">
        <v>388</v>
      </c>
      <c r="AM12">
        <v>0.40472438444925074</v>
      </c>
      <c r="AN12" t="s">
        <v>236</v>
      </c>
    </row>
    <row r="13" spans="1:40" x14ac:dyDescent="0.45">
      <c r="I13" t="s">
        <v>174</v>
      </c>
      <c r="J13" t="s">
        <v>390</v>
      </c>
      <c r="K13">
        <v>0.99999999999999933</v>
      </c>
      <c r="L13" t="s">
        <v>161</v>
      </c>
      <c r="N13" t="s">
        <v>197</v>
      </c>
      <c r="O13" t="s">
        <v>390</v>
      </c>
      <c r="P13">
        <v>1.0000000000000018</v>
      </c>
      <c r="Q13" t="s">
        <v>161</v>
      </c>
      <c r="S13" t="s">
        <v>219</v>
      </c>
      <c r="T13" t="s">
        <v>390</v>
      </c>
      <c r="U13">
        <v>1.0000000000000004</v>
      </c>
      <c r="V13" t="s">
        <v>161</v>
      </c>
      <c r="AK13">
        <v>2022</v>
      </c>
      <c r="AL13" t="s">
        <v>388</v>
      </c>
      <c r="AM13">
        <v>0.35558100154946093</v>
      </c>
      <c r="AN13" t="s">
        <v>236</v>
      </c>
    </row>
    <row r="14" spans="1:40" x14ac:dyDescent="0.45">
      <c r="I14" t="s">
        <v>175</v>
      </c>
      <c r="J14" t="s">
        <v>390</v>
      </c>
      <c r="K14">
        <v>1.0000000000000038</v>
      </c>
      <c r="L14" t="s">
        <v>161</v>
      </c>
      <c r="N14" t="s">
        <v>198</v>
      </c>
      <c r="O14" t="s">
        <v>390</v>
      </c>
      <c r="P14">
        <v>0.99999999999999634</v>
      </c>
      <c r="Q14" t="s">
        <v>161</v>
      </c>
      <c r="S14" t="s">
        <v>220</v>
      </c>
      <c r="T14" t="s">
        <v>390</v>
      </c>
      <c r="U14">
        <v>1.0000000000000031</v>
      </c>
      <c r="V14" t="s">
        <v>161</v>
      </c>
      <c r="AK14">
        <v>2025</v>
      </c>
      <c r="AL14" t="s">
        <v>388</v>
      </c>
      <c r="AM14">
        <v>0.40299166666666664</v>
      </c>
      <c r="AN14" t="s">
        <v>236</v>
      </c>
    </row>
    <row r="15" spans="1:40" x14ac:dyDescent="0.45">
      <c r="I15" t="s">
        <v>176</v>
      </c>
      <c r="J15" t="s">
        <v>390</v>
      </c>
      <c r="K15">
        <v>1.0000000000000027</v>
      </c>
      <c r="L15" t="s">
        <v>161</v>
      </c>
      <c r="N15" t="s">
        <v>199</v>
      </c>
      <c r="O15" t="s">
        <v>390</v>
      </c>
      <c r="P15">
        <v>1.0000000000000051</v>
      </c>
      <c r="Q15" t="s">
        <v>161</v>
      </c>
      <c r="S15" t="s">
        <v>221</v>
      </c>
      <c r="T15" t="s">
        <v>390</v>
      </c>
      <c r="U15">
        <v>1.0000000000000027</v>
      </c>
      <c r="V15" t="s">
        <v>161</v>
      </c>
      <c r="AK15">
        <v>2026</v>
      </c>
      <c r="AL15" t="s">
        <v>388</v>
      </c>
      <c r="AM15">
        <v>0.32482499999999997</v>
      </c>
      <c r="AN15" t="s">
        <v>236</v>
      </c>
    </row>
    <row r="16" spans="1:40" x14ac:dyDescent="0.45">
      <c r="I16" t="s">
        <v>177</v>
      </c>
      <c r="J16" t="s">
        <v>390</v>
      </c>
      <c r="K16">
        <v>1.0000000000000004</v>
      </c>
      <c r="L16" t="s">
        <v>161</v>
      </c>
      <c r="N16" t="s">
        <v>200</v>
      </c>
      <c r="O16" t="s">
        <v>390</v>
      </c>
      <c r="P16">
        <v>0.99999999999999711</v>
      </c>
      <c r="Q16" t="s">
        <v>161</v>
      </c>
      <c r="S16" t="s">
        <v>222</v>
      </c>
      <c r="T16" t="s">
        <v>390</v>
      </c>
      <c r="U16">
        <v>0.99999999999999767</v>
      </c>
      <c r="V16" t="s">
        <v>161</v>
      </c>
      <c r="AK16">
        <v>2027</v>
      </c>
      <c r="AL16" t="s">
        <v>388</v>
      </c>
      <c r="AM16">
        <v>0.32494166666666668</v>
      </c>
      <c r="AN16" t="s">
        <v>236</v>
      </c>
    </row>
    <row r="17" spans="9:40" x14ac:dyDescent="0.45">
      <c r="I17" t="s">
        <v>178</v>
      </c>
      <c r="J17" t="s">
        <v>390</v>
      </c>
      <c r="K17">
        <v>0.99999999999999989</v>
      </c>
      <c r="L17" t="s">
        <v>161</v>
      </c>
      <c r="N17" t="s">
        <v>201</v>
      </c>
      <c r="O17" t="s">
        <v>390</v>
      </c>
      <c r="P17">
        <v>0.99999999999999656</v>
      </c>
      <c r="Q17" t="s">
        <v>161</v>
      </c>
      <c r="S17" t="s">
        <v>223</v>
      </c>
      <c r="T17" t="s">
        <v>390</v>
      </c>
      <c r="U17">
        <v>1.0000000000000033</v>
      </c>
      <c r="V17" t="s">
        <v>161</v>
      </c>
      <c r="AK17">
        <v>2028</v>
      </c>
      <c r="AL17" t="s">
        <v>388</v>
      </c>
      <c r="AM17">
        <v>0.32603333333333334</v>
      </c>
      <c r="AN17" t="s">
        <v>236</v>
      </c>
    </row>
    <row r="18" spans="9:40" x14ac:dyDescent="0.45">
      <c r="I18" t="s">
        <v>179</v>
      </c>
      <c r="J18" t="s">
        <v>390</v>
      </c>
      <c r="K18">
        <v>0.99999999999999889</v>
      </c>
      <c r="L18" t="s">
        <v>161</v>
      </c>
      <c r="N18" t="s">
        <v>202</v>
      </c>
      <c r="O18" t="s">
        <v>390</v>
      </c>
      <c r="P18">
        <v>0.99999999999999856</v>
      </c>
      <c r="Q18" t="s">
        <v>161</v>
      </c>
      <c r="S18" t="s">
        <v>224</v>
      </c>
      <c r="T18" t="s">
        <v>390</v>
      </c>
      <c r="U18">
        <v>1.000000000000002</v>
      </c>
      <c r="V18" t="s">
        <v>161</v>
      </c>
      <c r="AK18">
        <v>2029</v>
      </c>
      <c r="AL18" t="s">
        <v>388</v>
      </c>
      <c r="AM18">
        <v>0.33296666666666669</v>
      </c>
      <c r="AN18" t="s">
        <v>236</v>
      </c>
    </row>
    <row r="19" spans="9:40" x14ac:dyDescent="0.45">
      <c r="I19" t="s">
        <v>180</v>
      </c>
      <c r="J19" t="s">
        <v>390</v>
      </c>
      <c r="K19">
        <v>0.99999999999999678</v>
      </c>
      <c r="L19" t="s">
        <v>161</v>
      </c>
      <c r="N19" t="s">
        <v>203</v>
      </c>
      <c r="O19" t="s">
        <v>390</v>
      </c>
      <c r="P19">
        <v>1.0000000000000038</v>
      </c>
      <c r="Q19" t="s">
        <v>161</v>
      </c>
      <c r="S19" t="s">
        <v>225</v>
      </c>
      <c r="T19" t="s">
        <v>390</v>
      </c>
      <c r="U19">
        <v>1.0000000000000009</v>
      </c>
      <c r="V19" t="s">
        <v>161</v>
      </c>
      <c r="AK19">
        <v>2030</v>
      </c>
      <c r="AL19" t="s">
        <v>388</v>
      </c>
      <c r="AM19">
        <v>0.33005000000000001</v>
      </c>
      <c r="AN19" t="s">
        <v>236</v>
      </c>
    </row>
    <row r="20" spans="9:40" x14ac:dyDescent="0.45">
      <c r="I20" t="s">
        <v>181</v>
      </c>
      <c r="J20" t="s">
        <v>390</v>
      </c>
      <c r="K20">
        <v>0.99999999999999767</v>
      </c>
      <c r="L20" t="s">
        <v>161</v>
      </c>
      <c r="N20" t="s">
        <v>204</v>
      </c>
      <c r="O20" t="s">
        <v>390</v>
      </c>
      <c r="P20">
        <v>1.0000000000000016</v>
      </c>
      <c r="Q20" t="s">
        <v>161</v>
      </c>
      <c r="S20" t="s">
        <v>226</v>
      </c>
      <c r="T20" t="s">
        <v>390</v>
      </c>
      <c r="U20">
        <v>1.0000000000000024</v>
      </c>
      <c r="V20" t="s">
        <v>161</v>
      </c>
      <c r="AK20">
        <v>2031</v>
      </c>
      <c r="AL20" t="s">
        <v>388</v>
      </c>
      <c r="AM20">
        <v>0.33071666666666671</v>
      </c>
      <c r="AN20" t="s">
        <v>236</v>
      </c>
    </row>
    <row r="21" spans="9:40" x14ac:dyDescent="0.45">
      <c r="I21" t="s">
        <v>182</v>
      </c>
      <c r="J21" t="s">
        <v>390</v>
      </c>
      <c r="K21">
        <v>0.99999999999999656</v>
      </c>
      <c r="L21" t="s">
        <v>161</v>
      </c>
      <c r="N21" t="s">
        <v>205</v>
      </c>
      <c r="O21" t="s">
        <v>390</v>
      </c>
      <c r="P21">
        <v>0.99999999999999667</v>
      </c>
      <c r="Q21" t="s">
        <v>161</v>
      </c>
      <c r="AK21">
        <v>2032</v>
      </c>
      <c r="AL21" t="s">
        <v>388</v>
      </c>
      <c r="AM21">
        <v>0.38834166666666664</v>
      </c>
      <c r="AN21" t="s">
        <v>236</v>
      </c>
    </row>
    <row r="22" spans="9:40" x14ac:dyDescent="0.45">
      <c r="I22" t="s">
        <v>183</v>
      </c>
      <c r="J22" t="s">
        <v>390</v>
      </c>
      <c r="K22">
        <v>0.99999999999999933</v>
      </c>
      <c r="L22" t="s">
        <v>161</v>
      </c>
      <c r="N22" t="s">
        <v>206</v>
      </c>
      <c r="O22" t="s">
        <v>390</v>
      </c>
      <c r="P22">
        <v>1.0000000000000004</v>
      </c>
      <c r="Q22" t="s">
        <v>161</v>
      </c>
      <c r="AK22">
        <v>2033</v>
      </c>
      <c r="AL22" t="s">
        <v>388</v>
      </c>
      <c r="AM22">
        <v>0.39006666666666662</v>
      </c>
      <c r="AN22" t="s">
        <v>236</v>
      </c>
    </row>
    <row r="23" spans="9:40" x14ac:dyDescent="0.45">
      <c r="I23" t="s">
        <v>184</v>
      </c>
      <c r="J23" t="s">
        <v>390</v>
      </c>
      <c r="K23">
        <v>0.99999999999999722</v>
      </c>
      <c r="L23" t="s">
        <v>161</v>
      </c>
      <c r="N23" t="s">
        <v>207</v>
      </c>
      <c r="O23" t="s">
        <v>390</v>
      </c>
      <c r="P23">
        <v>0.99999999999999867</v>
      </c>
      <c r="Q23" t="s">
        <v>161</v>
      </c>
      <c r="AK23">
        <v>2034</v>
      </c>
      <c r="AL23" t="s">
        <v>388</v>
      </c>
      <c r="AM23">
        <v>0.38800833333333334</v>
      </c>
      <c r="AN23" t="s">
        <v>236</v>
      </c>
    </row>
    <row r="24" spans="9:40" x14ac:dyDescent="0.45">
      <c r="I24" t="s">
        <v>185</v>
      </c>
      <c r="J24" t="s">
        <v>390</v>
      </c>
      <c r="K24">
        <v>1.0000000000000029</v>
      </c>
      <c r="L24" t="s">
        <v>161</v>
      </c>
      <c r="N24" t="s">
        <v>208</v>
      </c>
      <c r="O24" t="s">
        <v>390</v>
      </c>
      <c r="P24">
        <v>0.99999999999999856</v>
      </c>
      <c r="Q24" t="s">
        <v>161</v>
      </c>
      <c r="AK24">
        <v>2035</v>
      </c>
      <c r="AL24" t="s">
        <v>388</v>
      </c>
      <c r="AM24">
        <v>0.38197499999999995</v>
      </c>
      <c r="AN24" t="s">
        <v>236</v>
      </c>
    </row>
    <row r="25" spans="9:40" x14ac:dyDescent="0.45">
      <c r="I25" t="s">
        <v>186</v>
      </c>
      <c r="J25" t="s">
        <v>390</v>
      </c>
      <c r="K25">
        <v>0.99999999999999889</v>
      </c>
      <c r="L25" t="s">
        <v>161</v>
      </c>
      <c r="N25" t="s">
        <v>209</v>
      </c>
      <c r="O25" t="s">
        <v>390</v>
      </c>
      <c r="P25">
        <v>0.99999999999999878</v>
      </c>
      <c r="Q25" t="s">
        <v>161</v>
      </c>
      <c r="AK25">
        <v>2036</v>
      </c>
      <c r="AL25" t="s">
        <v>388</v>
      </c>
      <c r="AM25">
        <v>0.3893416666666667</v>
      </c>
      <c r="AN25" t="s">
        <v>236</v>
      </c>
    </row>
    <row r="26" spans="9:40" x14ac:dyDescent="0.45">
      <c r="I26" t="s">
        <v>187</v>
      </c>
      <c r="J26" t="s">
        <v>390</v>
      </c>
      <c r="K26">
        <v>1.0000000000000036</v>
      </c>
      <c r="L26" t="s">
        <v>161</v>
      </c>
      <c r="N26" t="s">
        <v>210</v>
      </c>
      <c r="O26" t="s">
        <v>390</v>
      </c>
      <c r="P26">
        <v>0.99999999999999956</v>
      </c>
      <c r="Q26" t="s">
        <v>161</v>
      </c>
      <c r="AK26">
        <v>2037</v>
      </c>
      <c r="AL26" t="s">
        <v>388</v>
      </c>
      <c r="AM26">
        <v>0.37802500000000006</v>
      </c>
      <c r="AN26" t="s">
        <v>236</v>
      </c>
    </row>
    <row r="27" spans="9:40" x14ac:dyDescent="0.45">
      <c r="I27" t="s">
        <v>188</v>
      </c>
      <c r="J27" t="s">
        <v>390</v>
      </c>
      <c r="K27">
        <v>0.99999999999999889</v>
      </c>
      <c r="L27" t="s">
        <v>161</v>
      </c>
      <c r="N27" t="s">
        <v>211</v>
      </c>
      <c r="O27" t="s">
        <v>390</v>
      </c>
      <c r="P27">
        <v>1.0000000000000011</v>
      </c>
      <c r="Q27" t="s">
        <v>161</v>
      </c>
      <c r="AK27">
        <v>2038</v>
      </c>
      <c r="AL27" t="s">
        <v>388</v>
      </c>
      <c r="AM27">
        <v>0.37600000000000006</v>
      </c>
      <c r="AN27" t="s">
        <v>236</v>
      </c>
    </row>
    <row r="28" spans="9:40" x14ac:dyDescent="0.45">
      <c r="I28" t="s">
        <v>189</v>
      </c>
      <c r="J28" t="s">
        <v>390</v>
      </c>
      <c r="K28">
        <v>1.0000000000000002</v>
      </c>
      <c r="L28" t="s">
        <v>161</v>
      </c>
      <c r="N28" t="s">
        <v>212</v>
      </c>
      <c r="O28" t="s">
        <v>390</v>
      </c>
      <c r="P28">
        <v>0.999999999999998</v>
      </c>
      <c r="Q28" t="s">
        <v>161</v>
      </c>
      <c r="AK28">
        <v>2039</v>
      </c>
      <c r="AL28" t="s">
        <v>388</v>
      </c>
      <c r="AM28">
        <v>0.38769999999999999</v>
      </c>
      <c r="AN28" t="s">
        <v>236</v>
      </c>
    </row>
    <row r="29" spans="9:40" x14ac:dyDescent="0.45">
      <c r="I29" t="s">
        <v>190</v>
      </c>
      <c r="J29" t="s">
        <v>390</v>
      </c>
      <c r="K29">
        <v>1.0000000000000013</v>
      </c>
      <c r="L29" t="s">
        <v>161</v>
      </c>
      <c r="N29" t="s">
        <v>213</v>
      </c>
      <c r="O29" t="s">
        <v>390</v>
      </c>
      <c r="P29">
        <v>1.0000000000000049</v>
      </c>
      <c r="Q29" t="s">
        <v>161</v>
      </c>
      <c r="AK29">
        <v>2040</v>
      </c>
      <c r="AL29" t="s">
        <v>388</v>
      </c>
      <c r="AM29">
        <v>0.38516666666666666</v>
      </c>
      <c r="AN29" t="s">
        <v>236</v>
      </c>
    </row>
    <row r="30" spans="9:40" x14ac:dyDescent="0.45">
      <c r="I30" t="s">
        <v>191</v>
      </c>
      <c r="J30" t="s">
        <v>390</v>
      </c>
      <c r="K30">
        <v>1.0000000000000018</v>
      </c>
      <c r="L30" t="s">
        <v>161</v>
      </c>
      <c r="N30" t="s">
        <v>214</v>
      </c>
      <c r="O30" t="s">
        <v>390</v>
      </c>
      <c r="P30">
        <v>1.0000000000000009</v>
      </c>
      <c r="Q30" t="s">
        <v>161</v>
      </c>
      <c r="AK30">
        <v>2041</v>
      </c>
      <c r="AL30" t="s">
        <v>388</v>
      </c>
      <c r="AM30">
        <v>0.38166666666666665</v>
      </c>
      <c r="AN30" t="s">
        <v>236</v>
      </c>
    </row>
    <row r="31" spans="9:40" x14ac:dyDescent="0.45">
      <c r="I31" t="s">
        <v>192</v>
      </c>
      <c r="J31" t="s">
        <v>390</v>
      </c>
      <c r="K31">
        <v>1.0000000000000013</v>
      </c>
      <c r="L31" t="s">
        <v>161</v>
      </c>
      <c r="N31" t="s">
        <v>215</v>
      </c>
      <c r="O31" t="s">
        <v>390</v>
      </c>
      <c r="P31">
        <v>1.0000000000000011</v>
      </c>
      <c r="Q31" t="s">
        <v>161</v>
      </c>
      <c r="AK31">
        <v>2042</v>
      </c>
      <c r="AL31" t="s">
        <v>388</v>
      </c>
      <c r="AM31">
        <v>0.38801666666666668</v>
      </c>
      <c r="AN31" t="s">
        <v>236</v>
      </c>
    </row>
    <row r="32" spans="9:40" x14ac:dyDescent="0.45">
      <c r="I32" t="s">
        <v>193</v>
      </c>
      <c r="J32" t="s">
        <v>390</v>
      </c>
      <c r="K32">
        <v>1.0000000000000013</v>
      </c>
      <c r="L32" t="s">
        <v>161</v>
      </c>
      <c r="N32" t="s">
        <v>216</v>
      </c>
      <c r="O32" t="s">
        <v>390</v>
      </c>
      <c r="P32">
        <v>1.0000000000000007</v>
      </c>
      <c r="Q32" t="s">
        <v>161</v>
      </c>
      <c r="AK32">
        <v>2043</v>
      </c>
      <c r="AL32" t="s">
        <v>388</v>
      </c>
      <c r="AM32">
        <v>0.3847666666666667</v>
      </c>
      <c r="AN32" t="s">
        <v>236</v>
      </c>
    </row>
    <row r="33" spans="9:40" x14ac:dyDescent="0.45">
      <c r="I33" t="s">
        <v>194</v>
      </c>
      <c r="J33" t="s">
        <v>390</v>
      </c>
      <c r="K33">
        <v>1.0000000000000011</v>
      </c>
      <c r="L33" t="s">
        <v>161</v>
      </c>
      <c r="AK33">
        <v>2044</v>
      </c>
      <c r="AL33" t="s">
        <v>388</v>
      </c>
      <c r="AM33">
        <v>0.39074999999999999</v>
      </c>
      <c r="AN33" t="s">
        <v>236</v>
      </c>
    </row>
    <row r="34" spans="9:40" x14ac:dyDescent="0.45">
      <c r="AK34">
        <v>2045</v>
      </c>
      <c r="AL34" t="s">
        <v>388</v>
      </c>
      <c r="AM34">
        <v>0.38233333333333325</v>
      </c>
      <c r="AN34" t="s">
        <v>236</v>
      </c>
    </row>
    <row r="35" spans="9:40" x14ac:dyDescent="0.45">
      <c r="AK35">
        <v>2046</v>
      </c>
      <c r="AL35" t="s">
        <v>388</v>
      </c>
      <c r="AM35">
        <v>0.3848833333333333</v>
      </c>
      <c r="AN35" t="s">
        <v>236</v>
      </c>
    </row>
    <row r="36" spans="9:40" x14ac:dyDescent="0.45">
      <c r="AK36">
        <v>2047</v>
      </c>
      <c r="AL36" t="s">
        <v>388</v>
      </c>
      <c r="AM36">
        <v>0.38367499999999993</v>
      </c>
      <c r="AN36" t="s">
        <v>236</v>
      </c>
    </row>
    <row r="37" spans="9:40" x14ac:dyDescent="0.45">
      <c r="AK37">
        <v>2048</v>
      </c>
      <c r="AL37" t="s">
        <v>388</v>
      </c>
      <c r="AM37">
        <v>0.38875833333333337</v>
      </c>
      <c r="AN37" t="s">
        <v>236</v>
      </c>
    </row>
    <row r="38" spans="9:40" x14ac:dyDescent="0.45">
      <c r="AK38">
        <v>2049</v>
      </c>
      <c r="AL38" t="s">
        <v>388</v>
      </c>
      <c r="AM38">
        <v>0.38937499999999997</v>
      </c>
      <c r="AN38" t="s">
        <v>236</v>
      </c>
    </row>
    <row r="39" spans="9:40" x14ac:dyDescent="0.45">
      <c r="AK39">
        <v>2050</v>
      </c>
      <c r="AL39" t="s">
        <v>388</v>
      </c>
      <c r="AM39">
        <v>0.37451666666666661</v>
      </c>
      <c r="AN39" t="s">
        <v>236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7A842-CBB8-47D1-9231-BBE0440805C9}">
  <dimension ref="A9:AN28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144</v>
      </c>
      <c r="D10" t="s">
        <v>145</v>
      </c>
      <c r="E10" t="s">
        <v>146</v>
      </c>
      <c r="F10" t="s">
        <v>147</v>
      </c>
      <c r="G10" t="s">
        <v>148</v>
      </c>
      <c r="I10" t="s">
        <v>13</v>
      </c>
      <c r="J10" t="s">
        <v>120</v>
      </c>
      <c r="K10" t="s">
        <v>158</v>
      </c>
      <c r="L10" t="s">
        <v>30</v>
      </c>
      <c r="N10" t="s">
        <v>13</v>
      </c>
      <c r="O10" t="s">
        <v>120</v>
      </c>
      <c r="P10" t="s">
        <v>158</v>
      </c>
      <c r="Q10" t="s">
        <v>30</v>
      </c>
      <c r="S10" t="s">
        <v>13</v>
      </c>
      <c r="T10" t="s">
        <v>120</v>
      </c>
      <c r="U10" t="s">
        <v>158</v>
      </c>
      <c r="V10" t="s">
        <v>30</v>
      </c>
      <c r="X10" t="s">
        <v>227</v>
      </c>
      <c r="Y10" t="s">
        <v>158</v>
      </c>
      <c r="Z10" t="s">
        <v>120</v>
      </c>
      <c r="AA10" t="s">
        <v>13</v>
      </c>
      <c r="AC10" t="s">
        <v>13</v>
      </c>
      <c r="AD10" t="s">
        <v>120</v>
      </c>
      <c r="AE10" t="s">
        <v>158</v>
      </c>
      <c r="AG10" t="s">
        <v>13</v>
      </c>
      <c r="AH10" t="s">
        <v>120</v>
      </c>
      <c r="AI10" t="s">
        <v>233</v>
      </c>
      <c r="AK10" t="s">
        <v>47</v>
      </c>
      <c r="AL10" t="s">
        <v>120</v>
      </c>
      <c r="AM10" t="s">
        <v>234</v>
      </c>
      <c r="AN10" t="s">
        <v>235</v>
      </c>
    </row>
    <row r="11" spans="1:40" x14ac:dyDescent="0.45">
      <c r="A11" t="str">
        <f>IFERROR(IF(Veda!D5=A10,"ok","x"),"")</f>
        <v>x</v>
      </c>
      <c r="C11" t="s">
        <v>391</v>
      </c>
      <c r="D11" t="s">
        <v>150</v>
      </c>
      <c r="E11" t="s">
        <v>229</v>
      </c>
      <c r="F11" t="s">
        <v>392</v>
      </c>
      <c r="G11" t="s">
        <v>150</v>
      </c>
      <c r="I11" t="s">
        <v>159</v>
      </c>
      <c r="J11" t="s">
        <v>397</v>
      </c>
      <c r="K11">
        <v>0.16522877643502987</v>
      </c>
      <c r="L11" t="s">
        <v>161</v>
      </c>
      <c r="N11" t="s">
        <v>195</v>
      </c>
      <c r="O11" t="s">
        <v>397</v>
      </c>
      <c r="P11">
        <v>0.12880471451559405</v>
      </c>
      <c r="Q11" t="s">
        <v>161</v>
      </c>
      <c r="S11" t="s">
        <v>217</v>
      </c>
      <c r="T11" t="s">
        <v>397</v>
      </c>
      <c r="U11">
        <v>0.12500847588754072</v>
      </c>
      <c r="V11" t="s">
        <v>161</v>
      </c>
      <c r="X11">
        <v>0.11426940639269406</v>
      </c>
      <c r="Y11">
        <v>0.16087081189037786</v>
      </c>
      <c r="Z11" t="s">
        <v>397</v>
      </c>
      <c r="AA11" t="s">
        <v>25</v>
      </c>
      <c r="AC11" t="s">
        <v>22</v>
      </c>
      <c r="AD11" t="s">
        <v>397</v>
      </c>
      <c r="AE11">
        <v>0.12154185877629864</v>
      </c>
      <c r="AG11" t="s">
        <v>100</v>
      </c>
      <c r="AH11" t="s">
        <v>397</v>
      </c>
      <c r="AI11">
        <v>0.17884372713897179</v>
      </c>
      <c r="AK11">
        <v>2020</v>
      </c>
      <c r="AL11" t="s">
        <v>391</v>
      </c>
      <c r="AM11">
        <v>0.37689213332894894</v>
      </c>
      <c r="AN11" t="s">
        <v>236</v>
      </c>
    </row>
    <row r="12" spans="1:40" x14ac:dyDescent="0.45">
      <c r="C12" t="s">
        <v>393</v>
      </c>
      <c r="E12" t="s">
        <v>231</v>
      </c>
      <c r="G12" t="s">
        <v>150</v>
      </c>
      <c r="I12" t="s">
        <v>159</v>
      </c>
      <c r="J12" t="s">
        <v>398</v>
      </c>
      <c r="K12">
        <v>5.2770788319204888E-4</v>
      </c>
      <c r="L12" t="s">
        <v>161</v>
      </c>
      <c r="N12" t="s">
        <v>195</v>
      </c>
      <c r="O12" t="s">
        <v>398</v>
      </c>
      <c r="P12">
        <v>0.13471796915909587</v>
      </c>
      <c r="Q12" t="s">
        <v>161</v>
      </c>
      <c r="S12" t="s">
        <v>217</v>
      </c>
      <c r="T12" t="s">
        <v>398</v>
      </c>
      <c r="U12">
        <v>0.12852783367348927</v>
      </c>
      <c r="V12" t="s">
        <v>161</v>
      </c>
      <c r="X12">
        <v>0.11426940639269406</v>
      </c>
      <c r="Y12">
        <v>5.2547713165767528E-2</v>
      </c>
      <c r="Z12" t="s">
        <v>398</v>
      </c>
      <c r="AA12" t="s">
        <v>25</v>
      </c>
      <c r="AC12" t="s">
        <v>22</v>
      </c>
      <c r="AD12" t="s">
        <v>398</v>
      </c>
      <c r="AE12">
        <v>8.8527190099622954E-2</v>
      </c>
      <c r="AG12" t="s">
        <v>100</v>
      </c>
      <c r="AH12" t="s">
        <v>398</v>
      </c>
      <c r="AI12">
        <v>0.36727282398527206</v>
      </c>
      <c r="AK12">
        <v>2020</v>
      </c>
      <c r="AL12" t="s">
        <v>393</v>
      </c>
      <c r="AM12">
        <v>0.39410081878267728</v>
      </c>
      <c r="AN12" t="s">
        <v>236</v>
      </c>
    </row>
    <row r="13" spans="1:40" x14ac:dyDescent="0.45">
      <c r="C13" t="s">
        <v>394</v>
      </c>
      <c r="E13" t="s">
        <v>395</v>
      </c>
      <c r="G13" t="s">
        <v>150</v>
      </c>
      <c r="I13" t="s">
        <v>159</v>
      </c>
      <c r="J13" t="s">
        <v>399</v>
      </c>
      <c r="K13">
        <v>1.3443180747641139E-2</v>
      </c>
      <c r="L13" t="s">
        <v>161</v>
      </c>
      <c r="N13" t="s">
        <v>195</v>
      </c>
      <c r="O13" t="s">
        <v>399</v>
      </c>
      <c r="P13">
        <v>2.3956085124162071E-2</v>
      </c>
      <c r="Q13" t="s">
        <v>161</v>
      </c>
      <c r="S13" t="s">
        <v>217</v>
      </c>
      <c r="T13" t="s">
        <v>399</v>
      </c>
      <c r="U13">
        <v>2.3305932850328823E-2</v>
      </c>
      <c r="V13" t="s">
        <v>161</v>
      </c>
      <c r="X13">
        <v>2.0776255707762557E-2</v>
      </c>
      <c r="Y13">
        <v>3.5896543437005365E-2</v>
      </c>
      <c r="Z13" t="s">
        <v>399</v>
      </c>
      <c r="AA13" t="s">
        <v>25</v>
      </c>
      <c r="AC13" t="s">
        <v>22</v>
      </c>
      <c r="AD13" t="s">
        <v>399</v>
      </c>
      <c r="AE13">
        <v>2.2637574024520383E-2</v>
      </c>
      <c r="AG13" t="s">
        <v>100</v>
      </c>
      <c r="AH13" t="s">
        <v>399</v>
      </c>
      <c r="AI13">
        <v>0.16609836701710967</v>
      </c>
      <c r="AK13">
        <v>2020</v>
      </c>
      <c r="AL13" t="s">
        <v>394</v>
      </c>
      <c r="AM13">
        <v>0.40925432683349222</v>
      </c>
      <c r="AN13" t="s">
        <v>236</v>
      </c>
    </row>
    <row r="14" spans="1:40" x14ac:dyDescent="0.45">
      <c r="C14" t="s">
        <v>396</v>
      </c>
      <c r="I14" t="s">
        <v>159</v>
      </c>
      <c r="J14" t="s">
        <v>400</v>
      </c>
      <c r="K14">
        <v>0.2714938699544131</v>
      </c>
      <c r="L14" t="s">
        <v>161</v>
      </c>
      <c r="N14" t="s">
        <v>195</v>
      </c>
      <c r="O14" t="s">
        <v>400</v>
      </c>
      <c r="P14">
        <v>9.6105357876757933E-2</v>
      </c>
      <c r="Q14" t="s">
        <v>161</v>
      </c>
      <c r="S14" t="s">
        <v>217</v>
      </c>
      <c r="T14" t="s">
        <v>400</v>
      </c>
      <c r="U14">
        <v>0.11201533271947958</v>
      </c>
      <c r="V14" t="s">
        <v>161</v>
      </c>
      <c r="X14">
        <v>0.11552511415525114</v>
      </c>
      <c r="Y14">
        <v>0.16263862301005233</v>
      </c>
      <c r="Z14" t="s">
        <v>400</v>
      </c>
      <c r="AA14" t="s">
        <v>25</v>
      </c>
      <c r="AC14" t="s">
        <v>22</v>
      </c>
      <c r="AD14" t="s">
        <v>400</v>
      </c>
      <c r="AE14">
        <v>0.13551107552473518</v>
      </c>
      <c r="AG14" t="s">
        <v>100</v>
      </c>
      <c r="AH14" t="s">
        <v>400</v>
      </c>
      <c r="AI14">
        <v>0.22024800426650004</v>
      </c>
      <c r="AK14">
        <v>2020</v>
      </c>
      <c r="AL14" t="s">
        <v>396</v>
      </c>
      <c r="AM14">
        <v>0.37185954719197567</v>
      </c>
      <c r="AN14" t="s">
        <v>236</v>
      </c>
    </row>
    <row r="15" spans="1:40" x14ac:dyDescent="0.45">
      <c r="I15" t="s">
        <v>159</v>
      </c>
      <c r="J15" t="s">
        <v>401</v>
      </c>
      <c r="K15">
        <v>5.6600165542617289E-3</v>
      </c>
      <c r="L15" t="s">
        <v>161</v>
      </c>
      <c r="N15" t="s">
        <v>195</v>
      </c>
      <c r="O15" t="s">
        <v>401</v>
      </c>
      <c r="P15">
        <v>0.11704404217373182</v>
      </c>
      <c r="Q15" t="s">
        <v>161</v>
      </c>
      <c r="S15" t="s">
        <v>217</v>
      </c>
      <c r="T15" t="s">
        <v>401</v>
      </c>
      <c r="U15">
        <v>0.11597502507655288</v>
      </c>
      <c r="V15" t="s">
        <v>161</v>
      </c>
      <c r="X15">
        <v>0.11552511415525114</v>
      </c>
      <c r="Y15">
        <v>5.3125160563193538E-2</v>
      </c>
      <c r="Z15" t="s">
        <v>401</v>
      </c>
      <c r="AA15" t="s">
        <v>25</v>
      </c>
      <c r="AC15" t="s">
        <v>22</v>
      </c>
      <c r="AD15" t="s">
        <v>401</v>
      </c>
      <c r="AE15">
        <v>0.10048263795391252</v>
      </c>
      <c r="AG15" t="s">
        <v>100</v>
      </c>
      <c r="AH15" t="s">
        <v>401</v>
      </c>
      <c r="AI15">
        <v>0.41879867138276894</v>
      </c>
      <c r="AK15">
        <v>2021</v>
      </c>
      <c r="AL15" t="s">
        <v>391</v>
      </c>
      <c r="AM15">
        <v>0.32311381832505287</v>
      </c>
      <c r="AN15" t="s">
        <v>236</v>
      </c>
    </row>
    <row r="16" spans="1:40" x14ac:dyDescent="0.45">
      <c r="I16" t="s">
        <v>159</v>
      </c>
      <c r="J16" t="s">
        <v>402</v>
      </c>
      <c r="K16">
        <v>3.2458705428062846E-2</v>
      </c>
      <c r="L16" t="s">
        <v>161</v>
      </c>
      <c r="N16" t="s">
        <v>195</v>
      </c>
      <c r="O16" t="s">
        <v>402</v>
      </c>
      <c r="P16">
        <v>1.852295703494708E-2</v>
      </c>
      <c r="Q16" t="s">
        <v>161</v>
      </c>
      <c r="S16" t="s">
        <v>217</v>
      </c>
      <c r="T16" t="s">
        <v>402</v>
      </c>
      <c r="U16">
        <v>2.1411250141016767E-2</v>
      </c>
      <c r="V16" t="s">
        <v>161</v>
      </c>
      <c r="X16">
        <v>2.1004566210045664E-2</v>
      </c>
      <c r="Y16">
        <v>3.6291010947302131E-2</v>
      </c>
      <c r="Z16" t="s">
        <v>402</v>
      </c>
      <c r="AA16" t="s">
        <v>25</v>
      </c>
      <c r="AC16" t="s">
        <v>22</v>
      </c>
      <c r="AD16" t="s">
        <v>402</v>
      </c>
      <c r="AE16">
        <v>2.5034684908137404E-2</v>
      </c>
      <c r="AG16" t="s">
        <v>100</v>
      </c>
      <c r="AH16" t="s">
        <v>402</v>
      </c>
      <c r="AI16">
        <v>0.21176347115901417</v>
      </c>
      <c r="AK16">
        <v>2021</v>
      </c>
      <c r="AL16" t="s">
        <v>393</v>
      </c>
      <c r="AM16">
        <v>0.40189287354220665</v>
      </c>
      <c r="AN16" t="s">
        <v>236</v>
      </c>
    </row>
    <row r="17" spans="9:40" x14ac:dyDescent="0.45">
      <c r="I17" t="s">
        <v>159</v>
      </c>
      <c r="J17" t="s">
        <v>403</v>
      </c>
      <c r="K17">
        <v>0.32422588561189669</v>
      </c>
      <c r="L17" t="s">
        <v>161</v>
      </c>
      <c r="N17" t="s">
        <v>195</v>
      </c>
      <c r="O17" t="s">
        <v>403</v>
      </c>
      <c r="P17">
        <v>7.297466430976747E-2</v>
      </c>
      <c r="Q17" t="s">
        <v>161</v>
      </c>
      <c r="S17" t="s">
        <v>217</v>
      </c>
      <c r="T17" t="s">
        <v>403</v>
      </c>
      <c r="U17">
        <v>9.0225225196428963E-2</v>
      </c>
      <c r="V17" t="s">
        <v>161</v>
      </c>
      <c r="X17">
        <v>0.11552511415525114</v>
      </c>
      <c r="Y17">
        <v>0.16263862301005233</v>
      </c>
      <c r="Z17" t="s">
        <v>403</v>
      </c>
      <c r="AA17" t="s">
        <v>25</v>
      </c>
      <c r="AC17" t="s">
        <v>22</v>
      </c>
      <c r="AD17" t="s">
        <v>403</v>
      </c>
      <c r="AE17">
        <v>0.11376739849528658</v>
      </c>
      <c r="AG17" t="s">
        <v>100</v>
      </c>
      <c r="AH17" t="s">
        <v>403</v>
      </c>
      <c r="AI17">
        <v>0.11652662920397838</v>
      </c>
      <c r="AK17">
        <v>2021</v>
      </c>
      <c r="AL17" t="s">
        <v>394</v>
      </c>
      <c r="AM17">
        <v>0.51385923793233268</v>
      </c>
      <c r="AN17" t="s">
        <v>236</v>
      </c>
    </row>
    <row r="18" spans="9:40" x14ac:dyDescent="0.45">
      <c r="I18" t="s">
        <v>159</v>
      </c>
      <c r="J18" t="s">
        <v>404</v>
      </c>
      <c r="K18">
        <v>1.7179417585396015E-2</v>
      </c>
      <c r="L18" t="s">
        <v>161</v>
      </c>
      <c r="N18" t="s">
        <v>195</v>
      </c>
      <c r="O18" t="s">
        <v>404</v>
      </c>
      <c r="P18">
        <v>8.132243068048077E-2</v>
      </c>
      <c r="Q18" t="s">
        <v>161</v>
      </c>
      <c r="S18" t="s">
        <v>217</v>
      </c>
      <c r="T18" t="s">
        <v>404</v>
      </c>
      <c r="U18">
        <v>8.5639785674861163E-2</v>
      </c>
      <c r="V18" t="s">
        <v>161</v>
      </c>
      <c r="X18">
        <v>0.11552511415525114</v>
      </c>
      <c r="Y18">
        <v>5.3125160563193538E-2</v>
      </c>
      <c r="Z18" t="s">
        <v>404</v>
      </c>
      <c r="AA18" t="s">
        <v>25</v>
      </c>
      <c r="AC18" t="s">
        <v>22</v>
      </c>
      <c r="AD18" t="s">
        <v>404</v>
      </c>
      <c r="AE18">
        <v>8.1319196279968115E-2</v>
      </c>
      <c r="AG18" t="s">
        <v>100</v>
      </c>
      <c r="AH18" t="s">
        <v>404</v>
      </c>
      <c r="AI18">
        <v>0.26664324648860149</v>
      </c>
      <c r="AK18">
        <v>2021</v>
      </c>
      <c r="AL18" t="s">
        <v>396</v>
      </c>
      <c r="AM18">
        <v>0.38003160799741093</v>
      </c>
      <c r="AN18" t="s">
        <v>236</v>
      </c>
    </row>
    <row r="19" spans="9:40" x14ac:dyDescent="0.45">
      <c r="I19" t="s">
        <v>159</v>
      </c>
      <c r="J19" t="s">
        <v>405</v>
      </c>
      <c r="K19">
        <v>4.3694937351144159E-2</v>
      </c>
      <c r="L19" t="s">
        <v>161</v>
      </c>
      <c r="N19" t="s">
        <v>195</v>
      </c>
      <c r="O19" t="s">
        <v>405</v>
      </c>
      <c r="P19">
        <v>1.2919346983558995E-2</v>
      </c>
      <c r="Q19" t="s">
        <v>161</v>
      </c>
      <c r="S19" t="s">
        <v>217</v>
      </c>
      <c r="T19" t="s">
        <v>405</v>
      </c>
      <c r="U19">
        <v>1.6538980154536777E-2</v>
      </c>
      <c r="V19" t="s">
        <v>161</v>
      </c>
      <c r="X19">
        <v>2.1004566210045664E-2</v>
      </c>
      <c r="Y19">
        <v>3.6291010947302131E-2</v>
      </c>
      <c r="Z19" t="s">
        <v>405</v>
      </c>
      <c r="AA19" t="s">
        <v>25</v>
      </c>
      <c r="AC19" t="s">
        <v>22</v>
      </c>
      <c r="AD19" t="s">
        <v>405</v>
      </c>
      <c r="AE19">
        <v>2.0819513785419224E-2</v>
      </c>
      <c r="AG19" t="s">
        <v>100</v>
      </c>
      <c r="AH19" t="s">
        <v>405</v>
      </c>
      <c r="AI19">
        <v>8.2939888326658107E-2</v>
      </c>
      <c r="AK19">
        <v>2022</v>
      </c>
      <c r="AL19" t="s">
        <v>391</v>
      </c>
      <c r="AM19">
        <v>0.34502991109580478</v>
      </c>
      <c r="AN19" t="s">
        <v>236</v>
      </c>
    </row>
    <row r="20" spans="9:40" x14ac:dyDescent="0.45">
      <c r="I20" t="s">
        <v>159</v>
      </c>
      <c r="J20" t="s">
        <v>406</v>
      </c>
      <c r="K20">
        <v>0.12094020696372751</v>
      </c>
      <c r="L20" t="s">
        <v>161</v>
      </c>
      <c r="N20" t="s">
        <v>195</v>
      </c>
      <c r="O20" t="s">
        <v>406</v>
      </c>
      <c r="P20">
        <v>0.14463985436097929</v>
      </c>
      <c r="Q20" t="s">
        <v>161</v>
      </c>
      <c r="S20" t="s">
        <v>217</v>
      </c>
      <c r="T20" t="s">
        <v>406</v>
      </c>
      <c r="U20">
        <v>0.12832827211046174</v>
      </c>
      <c r="V20" t="s">
        <v>161</v>
      </c>
      <c r="X20">
        <v>0.11301369863013698</v>
      </c>
      <c r="Y20">
        <v>0.15910300077070333</v>
      </c>
      <c r="Z20" t="s">
        <v>406</v>
      </c>
      <c r="AA20" t="s">
        <v>25</v>
      </c>
      <c r="AC20" t="s">
        <v>22</v>
      </c>
      <c r="AD20" t="s">
        <v>406</v>
      </c>
      <c r="AE20">
        <v>0.15008049673136389</v>
      </c>
      <c r="AG20" t="s">
        <v>100</v>
      </c>
      <c r="AH20" t="s">
        <v>406</v>
      </c>
      <c r="AI20">
        <v>0.13042023902363176</v>
      </c>
      <c r="AK20">
        <v>2022</v>
      </c>
      <c r="AL20" t="s">
        <v>393</v>
      </c>
      <c r="AM20">
        <v>0.37165652623120193</v>
      </c>
      <c r="AN20" t="s">
        <v>236</v>
      </c>
    </row>
    <row r="21" spans="9:40" x14ac:dyDescent="0.45">
      <c r="I21" t="s">
        <v>159</v>
      </c>
      <c r="J21" t="s">
        <v>407</v>
      </c>
      <c r="K21">
        <v>0</v>
      </c>
      <c r="L21" t="s">
        <v>161</v>
      </c>
      <c r="N21" t="s">
        <v>195</v>
      </c>
      <c r="O21" t="s">
        <v>407</v>
      </c>
      <c r="P21">
        <v>0.14261113337875747</v>
      </c>
      <c r="Q21" t="s">
        <v>161</v>
      </c>
      <c r="S21" t="s">
        <v>217</v>
      </c>
      <c r="T21" t="s">
        <v>407</v>
      </c>
      <c r="U21">
        <v>0.12933170625946011</v>
      </c>
      <c r="V21" t="s">
        <v>161</v>
      </c>
      <c r="X21">
        <v>0.11301369863013698</v>
      </c>
      <c r="Y21">
        <v>5.197026576834151E-2</v>
      </c>
      <c r="Z21" t="s">
        <v>407</v>
      </c>
      <c r="AA21" t="s">
        <v>25</v>
      </c>
      <c r="AC21" t="s">
        <v>22</v>
      </c>
      <c r="AD21" t="s">
        <v>407</v>
      </c>
      <c r="AE21">
        <v>0.11194412076470171</v>
      </c>
      <c r="AG21" t="s">
        <v>100</v>
      </c>
      <c r="AH21" t="s">
        <v>407</v>
      </c>
      <c r="AI21">
        <v>0.32342907502345386</v>
      </c>
      <c r="AK21">
        <v>2022</v>
      </c>
      <c r="AL21" t="s">
        <v>394</v>
      </c>
      <c r="AM21">
        <v>0.33206205861469318</v>
      </c>
      <c r="AN21" t="s">
        <v>236</v>
      </c>
    </row>
    <row r="22" spans="9:40" x14ac:dyDescent="0.45">
      <c r="I22" t="s">
        <v>159</v>
      </c>
      <c r="J22" t="s">
        <v>408</v>
      </c>
      <c r="K22">
        <v>5.1472954852342431E-3</v>
      </c>
      <c r="L22" t="s">
        <v>161</v>
      </c>
      <c r="N22" t="s">
        <v>195</v>
      </c>
      <c r="O22" t="s">
        <v>408</v>
      </c>
      <c r="P22">
        <v>2.6381444402167893E-2</v>
      </c>
      <c r="Q22" t="s">
        <v>161</v>
      </c>
      <c r="S22" t="s">
        <v>217</v>
      </c>
      <c r="T22" t="s">
        <v>408</v>
      </c>
      <c r="U22">
        <v>2.3692180255843118E-2</v>
      </c>
      <c r="V22" t="s">
        <v>161</v>
      </c>
      <c r="X22">
        <v>2.0547945205479451E-2</v>
      </c>
      <c r="Y22">
        <v>3.5502075926708607E-2</v>
      </c>
      <c r="Z22" t="s">
        <v>408</v>
      </c>
      <c r="AA22" t="s">
        <v>25</v>
      </c>
      <c r="AC22" t="s">
        <v>22</v>
      </c>
      <c r="AD22" t="s">
        <v>408</v>
      </c>
      <c r="AE22">
        <v>2.8334252656033367E-2</v>
      </c>
      <c r="AG22" t="s">
        <v>100</v>
      </c>
      <c r="AH22" t="s">
        <v>408</v>
      </c>
      <c r="AI22">
        <v>0.10802714049505879</v>
      </c>
      <c r="AK22">
        <v>2022</v>
      </c>
      <c r="AL22" t="s">
        <v>396</v>
      </c>
      <c r="AM22">
        <v>0.37357551025614394</v>
      </c>
      <c r="AN22" t="s">
        <v>236</v>
      </c>
    </row>
    <row r="23" spans="9:40" x14ac:dyDescent="0.45">
      <c r="I23" t="s">
        <v>173</v>
      </c>
      <c r="J23" t="s">
        <v>397</v>
      </c>
      <c r="K23">
        <v>0.16012574221105533</v>
      </c>
      <c r="L23" t="s">
        <v>161</v>
      </c>
      <c r="N23" t="s">
        <v>196</v>
      </c>
      <c r="O23" t="s">
        <v>397</v>
      </c>
      <c r="P23">
        <v>0.13277960400418765</v>
      </c>
      <c r="Q23" t="s">
        <v>161</v>
      </c>
      <c r="S23" t="s">
        <v>218</v>
      </c>
      <c r="T23" t="s">
        <v>397</v>
      </c>
      <c r="U23">
        <v>0.12193754663677867</v>
      </c>
      <c r="V23" t="s">
        <v>161</v>
      </c>
      <c r="AC23" t="s">
        <v>19</v>
      </c>
      <c r="AD23" t="s">
        <v>397</v>
      </c>
      <c r="AE23">
        <v>0.11506316199164349</v>
      </c>
      <c r="AK23">
        <v>2025</v>
      </c>
      <c r="AL23" t="s">
        <v>391</v>
      </c>
      <c r="AM23">
        <v>0.35933333333333334</v>
      </c>
      <c r="AN23" t="s">
        <v>236</v>
      </c>
    </row>
    <row r="24" spans="9:40" x14ac:dyDescent="0.45">
      <c r="I24" t="s">
        <v>173</v>
      </c>
      <c r="J24" t="s">
        <v>398</v>
      </c>
      <c r="K24">
        <v>6.7378536396109194E-4</v>
      </c>
      <c r="L24" t="s">
        <v>161</v>
      </c>
      <c r="N24" t="s">
        <v>196</v>
      </c>
      <c r="O24" t="s">
        <v>398</v>
      </c>
      <c r="P24">
        <v>0.14488089063015885</v>
      </c>
      <c r="Q24" t="s">
        <v>161</v>
      </c>
      <c r="S24" t="s">
        <v>218</v>
      </c>
      <c r="T24" t="s">
        <v>398</v>
      </c>
      <c r="U24">
        <v>0.12792094062214071</v>
      </c>
      <c r="V24" t="s">
        <v>161</v>
      </c>
      <c r="AC24" t="s">
        <v>19</v>
      </c>
      <c r="AD24" t="s">
        <v>398</v>
      </c>
      <c r="AE24">
        <v>0.11321189286390412</v>
      </c>
      <c r="AK24">
        <v>2025</v>
      </c>
      <c r="AL24" t="s">
        <v>393</v>
      </c>
      <c r="AM24">
        <v>0.44729999999999998</v>
      </c>
      <c r="AN24" t="s">
        <v>236</v>
      </c>
    </row>
    <row r="25" spans="9:40" x14ac:dyDescent="0.45">
      <c r="I25" t="s">
        <v>173</v>
      </c>
      <c r="J25" t="s">
        <v>399</v>
      </c>
      <c r="K25">
        <v>1.4074877889819029E-2</v>
      </c>
      <c r="L25" t="s">
        <v>161</v>
      </c>
      <c r="N25" t="s">
        <v>196</v>
      </c>
      <c r="O25" t="s">
        <v>399</v>
      </c>
      <c r="P25">
        <v>2.2915573140126631E-2</v>
      </c>
      <c r="Q25" t="s">
        <v>161</v>
      </c>
      <c r="S25" t="s">
        <v>218</v>
      </c>
      <c r="T25" t="s">
        <v>399</v>
      </c>
      <c r="U25">
        <v>2.2588912097773334E-2</v>
      </c>
      <c r="V25" t="s">
        <v>161</v>
      </c>
      <c r="AC25" t="s">
        <v>19</v>
      </c>
      <c r="AD25" t="s">
        <v>399</v>
      </c>
      <c r="AE25">
        <v>2.0950801910466603E-2</v>
      </c>
      <c r="AK25">
        <v>2025</v>
      </c>
      <c r="AL25" t="s">
        <v>394</v>
      </c>
      <c r="AM25">
        <v>0.44846666666666674</v>
      </c>
      <c r="AN25" t="s">
        <v>236</v>
      </c>
    </row>
    <row r="26" spans="9:40" x14ac:dyDescent="0.45">
      <c r="I26" t="s">
        <v>173</v>
      </c>
      <c r="J26" t="s">
        <v>400</v>
      </c>
      <c r="K26">
        <v>0.26447460884457979</v>
      </c>
      <c r="L26" t="s">
        <v>161</v>
      </c>
      <c r="N26" t="s">
        <v>196</v>
      </c>
      <c r="O26" t="s">
        <v>400</v>
      </c>
      <c r="P26">
        <v>9.2683818084168867E-2</v>
      </c>
      <c r="Q26" t="s">
        <v>161</v>
      </c>
      <c r="S26" t="s">
        <v>218</v>
      </c>
      <c r="T26" t="s">
        <v>400</v>
      </c>
      <c r="U26">
        <v>0.1055306264627932</v>
      </c>
      <c r="V26" t="s">
        <v>161</v>
      </c>
      <c r="AC26" t="s">
        <v>19</v>
      </c>
      <c r="AD26" t="s">
        <v>400</v>
      </c>
      <c r="AE26">
        <v>0.11643727462754408</v>
      </c>
      <c r="AK26">
        <v>2025</v>
      </c>
      <c r="AL26" t="s">
        <v>396</v>
      </c>
      <c r="AM26">
        <v>0.35686666666666667</v>
      </c>
      <c r="AN26" t="s">
        <v>236</v>
      </c>
    </row>
    <row r="27" spans="9:40" x14ac:dyDescent="0.45">
      <c r="I27" t="s">
        <v>173</v>
      </c>
      <c r="J27" t="s">
        <v>401</v>
      </c>
      <c r="K27">
        <v>6.4153342126915874E-3</v>
      </c>
      <c r="L27" t="s">
        <v>161</v>
      </c>
      <c r="N27" t="s">
        <v>196</v>
      </c>
      <c r="O27" t="s">
        <v>401</v>
      </c>
      <c r="P27">
        <v>0.10087431970344159</v>
      </c>
      <c r="Q27" t="s">
        <v>161</v>
      </c>
      <c r="S27" t="s">
        <v>218</v>
      </c>
      <c r="T27" t="s">
        <v>401</v>
      </c>
      <c r="U27">
        <v>0.11281685656412012</v>
      </c>
      <c r="V27" t="s">
        <v>161</v>
      </c>
      <c r="AC27" t="s">
        <v>19</v>
      </c>
      <c r="AD27" t="s">
        <v>401</v>
      </c>
      <c r="AE27">
        <v>0.11447308514247369</v>
      </c>
      <c r="AK27">
        <v>2026</v>
      </c>
      <c r="AL27" t="s">
        <v>391</v>
      </c>
      <c r="AM27">
        <v>0.28350000000000003</v>
      </c>
      <c r="AN27" t="s">
        <v>236</v>
      </c>
    </row>
    <row r="28" spans="9:40" x14ac:dyDescent="0.45">
      <c r="I28" t="s">
        <v>173</v>
      </c>
      <c r="J28" t="s">
        <v>402</v>
      </c>
      <c r="K28">
        <v>3.078687480447146E-2</v>
      </c>
      <c r="L28" t="s">
        <v>161</v>
      </c>
      <c r="N28" t="s">
        <v>196</v>
      </c>
      <c r="O28" t="s">
        <v>402</v>
      </c>
      <c r="P28">
        <v>1.6665117449813974E-2</v>
      </c>
      <c r="Q28" t="s">
        <v>161</v>
      </c>
      <c r="S28" t="s">
        <v>218</v>
      </c>
      <c r="T28" t="s">
        <v>402</v>
      </c>
      <c r="U28">
        <v>2.0178983799157175E-2</v>
      </c>
      <c r="V28" t="s">
        <v>161</v>
      </c>
      <c r="AC28" t="s">
        <v>19</v>
      </c>
      <c r="AD28" t="s">
        <v>402</v>
      </c>
      <c r="AE28">
        <v>2.119263617281722E-2</v>
      </c>
      <c r="AK28">
        <v>2026</v>
      </c>
      <c r="AL28" t="s">
        <v>393</v>
      </c>
      <c r="AM28">
        <v>0.36903333333333332</v>
      </c>
      <c r="AN28" t="s">
        <v>236</v>
      </c>
    </row>
    <row r="29" spans="9:40" x14ac:dyDescent="0.45">
      <c r="I29" t="s">
        <v>173</v>
      </c>
      <c r="J29" t="s">
        <v>403</v>
      </c>
      <c r="K29">
        <v>0.36026263052282476</v>
      </c>
      <c r="L29" t="s">
        <v>161</v>
      </c>
      <c r="N29" t="s">
        <v>196</v>
      </c>
      <c r="O29" t="s">
        <v>403</v>
      </c>
      <c r="P29">
        <v>5.8896898336151311E-2</v>
      </c>
      <c r="Q29" t="s">
        <v>161</v>
      </c>
      <c r="S29" t="s">
        <v>218</v>
      </c>
      <c r="T29" t="s">
        <v>403</v>
      </c>
      <c r="U29">
        <v>9.1887657887675736E-2</v>
      </c>
      <c r="V29" t="s">
        <v>161</v>
      </c>
      <c r="AC29" t="s">
        <v>19</v>
      </c>
      <c r="AD29" t="s">
        <v>403</v>
      </c>
      <c r="AE29">
        <v>0.11626660111669057</v>
      </c>
      <c r="AK29">
        <v>2026</v>
      </c>
      <c r="AL29" t="s">
        <v>394</v>
      </c>
      <c r="AM29">
        <v>0.35473333333333334</v>
      </c>
      <c r="AN29" t="s">
        <v>236</v>
      </c>
    </row>
    <row r="30" spans="9:40" x14ac:dyDescent="0.45">
      <c r="I30" t="s">
        <v>173</v>
      </c>
      <c r="J30" t="s">
        <v>404</v>
      </c>
      <c r="K30">
        <v>2.1073687973338782E-2</v>
      </c>
      <c r="L30" t="s">
        <v>161</v>
      </c>
      <c r="N30" t="s">
        <v>196</v>
      </c>
      <c r="O30" t="s">
        <v>404</v>
      </c>
      <c r="P30">
        <v>7.2390688401594294E-2</v>
      </c>
      <c r="Q30" t="s">
        <v>161</v>
      </c>
      <c r="S30" t="s">
        <v>218</v>
      </c>
      <c r="T30" t="s">
        <v>404</v>
      </c>
      <c r="U30">
        <v>9.0012446371886462E-2</v>
      </c>
      <c r="V30" t="s">
        <v>161</v>
      </c>
      <c r="AC30" t="s">
        <v>19</v>
      </c>
      <c r="AD30" t="s">
        <v>404</v>
      </c>
      <c r="AE30">
        <v>0.11444709610816986</v>
      </c>
      <c r="AK30">
        <v>2026</v>
      </c>
      <c r="AL30" t="s">
        <v>396</v>
      </c>
      <c r="AM30">
        <v>0.29203333333333331</v>
      </c>
      <c r="AN30" t="s">
        <v>236</v>
      </c>
    </row>
    <row r="31" spans="9:40" x14ac:dyDescent="0.45">
      <c r="I31" t="s">
        <v>173</v>
      </c>
      <c r="J31" t="s">
        <v>405</v>
      </c>
      <c r="K31">
        <v>4.7643662840268629E-2</v>
      </c>
      <c r="L31" t="s">
        <v>161</v>
      </c>
      <c r="N31" t="s">
        <v>196</v>
      </c>
      <c r="O31" t="s">
        <v>405</v>
      </c>
      <c r="P31">
        <v>1.0687098120066492E-2</v>
      </c>
      <c r="Q31" t="s">
        <v>161</v>
      </c>
      <c r="S31" t="s">
        <v>218</v>
      </c>
      <c r="T31" t="s">
        <v>405</v>
      </c>
      <c r="U31">
        <v>1.6906214243209847E-2</v>
      </c>
      <c r="V31" t="s">
        <v>161</v>
      </c>
      <c r="AC31" t="s">
        <v>19</v>
      </c>
      <c r="AD31" t="s">
        <v>405</v>
      </c>
      <c r="AE31">
        <v>2.1146925800818128E-2</v>
      </c>
      <c r="AK31">
        <v>2027</v>
      </c>
      <c r="AL31" t="s">
        <v>391</v>
      </c>
      <c r="AM31">
        <v>0.2959</v>
      </c>
      <c r="AN31" t="s">
        <v>236</v>
      </c>
    </row>
    <row r="32" spans="9:40" x14ac:dyDescent="0.45">
      <c r="I32" t="s">
        <v>173</v>
      </c>
      <c r="J32" t="s">
        <v>406</v>
      </c>
      <c r="K32">
        <v>9.1326227325230949E-2</v>
      </c>
      <c r="L32" t="s">
        <v>161</v>
      </c>
      <c r="N32" t="s">
        <v>196</v>
      </c>
      <c r="O32" t="s">
        <v>406</v>
      </c>
      <c r="P32">
        <v>0.15874271456000683</v>
      </c>
      <c r="Q32" t="s">
        <v>161</v>
      </c>
      <c r="S32" t="s">
        <v>218</v>
      </c>
      <c r="T32" t="s">
        <v>406</v>
      </c>
      <c r="U32">
        <v>0.13266865860502988</v>
      </c>
      <c r="V32" t="s">
        <v>161</v>
      </c>
      <c r="AC32" t="s">
        <v>19</v>
      </c>
      <c r="AD32" t="s">
        <v>406</v>
      </c>
      <c r="AE32">
        <v>0.11407471408982019</v>
      </c>
      <c r="AK32">
        <v>2027</v>
      </c>
      <c r="AL32" t="s">
        <v>393</v>
      </c>
      <c r="AM32">
        <v>0.35346666666666665</v>
      </c>
      <c r="AN32" t="s">
        <v>236</v>
      </c>
    </row>
    <row r="33" spans="9:40" x14ac:dyDescent="0.45">
      <c r="I33" t="s">
        <v>173</v>
      </c>
      <c r="J33" t="s">
        <v>407</v>
      </c>
      <c r="K33">
        <v>0</v>
      </c>
      <c r="L33" t="s">
        <v>161</v>
      </c>
      <c r="N33" t="s">
        <v>196</v>
      </c>
      <c r="O33" t="s">
        <v>407</v>
      </c>
      <c r="P33">
        <v>0.15955475464806732</v>
      </c>
      <c r="Q33" t="s">
        <v>161</v>
      </c>
      <c r="S33" t="s">
        <v>218</v>
      </c>
      <c r="T33" t="s">
        <v>407</v>
      </c>
      <c r="U33">
        <v>0.13292839090629349</v>
      </c>
      <c r="V33" t="s">
        <v>161</v>
      </c>
      <c r="AC33" t="s">
        <v>19</v>
      </c>
      <c r="AD33" t="s">
        <v>407</v>
      </c>
      <c r="AE33">
        <v>0.11193624963444851</v>
      </c>
      <c r="AK33">
        <v>2027</v>
      </c>
      <c r="AL33" t="s">
        <v>394</v>
      </c>
      <c r="AM33">
        <v>0.3565666666666667</v>
      </c>
      <c r="AN33" t="s">
        <v>236</v>
      </c>
    </row>
    <row r="34" spans="9:40" x14ac:dyDescent="0.45">
      <c r="I34" t="s">
        <v>173</v>
      </c>
      <c r="J34" t="s">
        <v>408</v>
      </c>
      <c r="K34">
        <v>3.1425680117609421E-3</v>
      </c>
      <c r="L34" t="s">
        <v>161</v>
      </c>
      <c r="N34" t="s">
        <v>196</v>
      </c>
      <c r="O34" t="s">
        <v>408</v>
      </c>
      <c r="P34">
        <v>2.8928522922216895E-2</v>
      </c>
      <c r="Q34" t="s">
        <v>161</v>
      </c>
      <c r="S34" t="s">
        <v>218</v>
      </c>
      <c r="T34" t="s">
        <v>408</v>
      </c>
      <c r="U34">
        <v>2.4622765803145361E-2</v>
      </c>
      <c r="V34" t="s">
        <v>161</v>
      </c>
      <c r="AC34" t="s">
        <v>19</v>
      </c>
      <c r="AD34" t="s">
        <v>408</v>
      </c>
      <c r="AE34">
        <v>2.0799560541203545E-2</v>
      </c>
      <c r="AK34">
        <v>2027</v>
      </c>
      <c r="AL34" t="s">
        <v>396</v>
      </c>
      <c r="AM34">
        <v>0.29383333333333334</v>
      </c>
      <c r="AN34" t="s">
        <v>236</v>
      </c>
    </row>
    <row r="35" spans="9:40" x14ac:dyDescent="0.45">
      <c r="I35" t="s">
        <v>174</v>
      </c>
      <c r="J35" t="s">
        <v>397</v>
      </c>
      <c r="K35">
        <v>0.16643013701084594</v>
      </c>
      <c r="L35" t="s">
        <v>161</v>
      </c>
      <c r="N35" t="s">
        <v>197</v>
      </c>
      <c r="O35" t="s">
        <v>397</v>
      </c>
      <c r="P35">
        <v>0.12980548817746682</v>
      </c>
      <c r="Q35" t="s">
        <v>161</v>
      </c>
      <c r="S35" t="s">
        <v>219</v>
      </c>
      <c r="T35" t="s">
        <v>397</v>
      </c>
      <c r="U35">
        <v>0.1246627492810751</v>
      </c>
      <c r="V35" t="s">
        <v>161</v>
      </c>
      <c r="AK35">
        <v>2028</v>
      </c>
      <c r="AL35" t="s">
        <v>391</v>
      </c>
      <c r="AM35">
        <v>0.29223333333333334</v>
      </c>
      <c r="AN35" t="s">
        <v>236</v>
      </c>
    </row>
    <row r="36" spans="9:40" x14ac:dyDescent="0.45">
      <c r="I36" t="s">
        <v>174</v>
      </c>
      <c r="J36" t="s">
        <v>398</v>
      </c>
      <c r="K36">
        <v>5.8788620475535994E-4</v>
      </c>
      <c r="L36" t="s">
        <v>161</v>
      </c>
      <c r="N36" t="s">
        <v>197</v>
      </c>
      <c r="O36" t="s">
        <v>398</v>
      </c>
      <c r="P36">
        <v>0.13970821686567353</v>
      </c>
      <c r="Q36" t="s">
        <v>161</v>
      </c>
      <c r="S36" t="s">
        <v>219</v>
      </c>
      <c r="T36" t="s">
        <v>398</v>
      </c>
      <c r="U36">
        <v>0.12953619616353051</v>
      </c>
      <c r="V36" t="s">
        <v>161</v>
      </c>
      <c r="AK36">
        <v>2028</v>
      </c>
      <c r="AL36" t="s">
        <v>393</v>
      </c>
      <c r="AM36">
        <v>0.33969999999999995</v>
      </c>
      <c r="AN36" t="s">
        <v>236</v>
      </c>
    </row>
    <row r="37" spans="9:40" x14ac:dyDescent="0.45">
      <c r="I37" t="s">
        <v>174</v>
      </c>
      <c r="J37" t="s">
        <v>399</v>
      </c>
      <c r="K37">
        <v>1.3078435860408541E-2</v>
      </c>
      <c r="L37" t="s">
        <v>161</v>
      </c>
      <c r="N37" t="s">
        <v>197</v>
      </c>
      <c r="O37" t="s">
        <v>399</v>
      </c>
      <c r="P37">
        <v>2.370931067715791E-2</v>
      </c>
      <c r="Q37" t="s">
        <v>161</v>
      </c>
      <c r="S37" t="s">
        <v>219</v>
      </c>
      <c r="T37" t="s">
        <v>399</v>
      </c>
      <c r="U37">
        <v>2.3070171986024887E-2</v>
      </c>
      <c r="V37" t="s">
        <v>161</v>
      </c>
      <c r="AK37">
        <v>2028</v>
      </c>
      <c r="AL37" t="s">
        <v>394</v>
      </c>
      <c r="AM37">
        <v>0.39169999999999999</v>
      </c>
      <c r="AN37" t="s">
        <v>236</v>
      </c>
    </row>
    <row r="38" spans="9:40" x14ac:dyDescent="0.45">
      <c r="I38" t="s">
        <v>174</v>
      </c>
      <c r="J38" t="s">
        <v>400</v>
      </c>
      <c r="K38">
        <v>0.27204470114544976</v>
      </c>
      <c r="L38" t="s">
        <v>161</v>
      </c>
      <c r="N38" t="s">
        <v>197</v>
      </c>
      <c r="O38" t="s">
        <v>400</v>
      </c>
      <c r="P38">
        <v>9.2174690321648975E-2</v>
      </c>
      <c r="Q38" t="s">
        <v>161</v>
      </c>
      <c r="S38" t="s">
        <v>219</v>
      </c>
      <c r="T38" t="s">
        <v>400</v>
      </c>
      <c r="U38">
        <v>0.10753425873502129</v>
      </c>
      <c r="V38" t="s">
        <v>161</v>
      </c>
      <c r="AK38">
        <v>2028</v>
      </c>
      <c r="AL38" t="s">
        <v>396</v>
      </c>
      <c r="AM38">
        <v>0.28049999999999997</v>
      </c>
      <c r="AN38" t="s">
        <v>236</v>
      </c>
    </row>
    <row r="39" spans="9:40" x14ac:dyDescent="0.45">
      <c r="I39" t="s">
        <v>174</v>
      </c>
      <c r="J39" t="s">
        <v>401</v>
      </c>
      <c r="K39">
        <v>5.6233886735372381E-3</v>
      </c>
      <c r="L39" t="s">
        <v>161</v>
      </c>
      <c r="N39" t="s">
        <v>197</v>
      </c>
      <c r="O39" t="s">
        <v>401</v>
      </c>
      <c r="P39">
        <v>0.10935589382657672</v>
      </c>
      <c r="Q39" t="s">
        <v>161</v>
      </c>
      <c r="S39" t="s">
        <v>219</v>
      </c>
      <c r="T39" t="s">
        <v>401</v>
      </c>
      <c r="U39">
        <v>0.1157425049608017</v>
      </c>
      <c r="V39" t="s">
        <v>161</v>
      </c>
      <c r="AK39">
        <v>2029</v>
      </c>
      <c r="AL39" t="s">
        <v>391</v>
      </c>
      <c r="AM39">
        <v>0.28889999999999999</v>
      </c>
      <c r="AN39" t="s">
        <v>236</v>
      </c>
    </row>
    <row r="40" spans="9:40" x14ac:dyDescent="0.45">
      <c r="I40" t="s">
        <v>174</v>
      </c>
      <c r="J40" t="s">
        <v>402</v>
      </c>
      <c r="K40">
        <v>3.1659271962510116E-2</v>
      </c>
      <c r="L40" t="s">
        <v>161</v>
      </c>
      <c r="N40" t="s">
        <v>197</v>
      </c>
      <c r="O40" t="s">
        <v>402</v>
      </c>
      <c r="P40">
        <v>1.7304435017218352E-2</v>
      </c>
      <c r="Q40" t="s">
        <v>161</v>
      </c>
      <c r="S40" t="s">
        <v>219</v>
      </c>
      <c r="T40" t="s">
        <v>402</v>
      </c>
      <c r="U40">
        <v>2.1024054788292716E-2</v>
      </c>
      <c r="V40" t="s">
        <v>161</v>
      </c>
      <c r="AK40">
        <v>2029</v>
      </c>
      <c r="AL40" t="s">
        <v>393</v>
      </c>
      <c r="AM40">
        <v>0.35093333333333332</v>
      </c>
      <c r="AN40" t="s">
        <v>236</v>
      </c>
    </row>
    <row r="41" spans="9:40" x14ac:dyDescent="0.45">
      <c r="I41" t="s">
        <v>174</v>
      </c>
      <c r="J41" t="s">
        <v>403</v>
      </c>
      <c r="K41">
        <v>0.34126010078487679</v>
      </c>
      <c r="L41" t="s">
        <v>161</v>
      </c>
      <c r="N41" t="s">
        <v>197</v>
      </c>
      <c r="O41" t="s">
        <v>403</v>
      </c>
      <c r="P41">
        <v>6.3681399987242843E-2</v>
      </c>
      <c r="Q41" t="s">
        <v>161</v>
      </c>
      <c r="S41" t="s">
        <v>219</v>
      </c>
      <c r="T41" t="s">
        <v>403</v>
      </c>
      <c r="U41">
        <v>8.7870629673849163E-2</v>
      </c>
      <c r="V41" t="s">
        <v>161</v>
      </c>
      <c r="AK41">
        <v>2029</v>
      </c>
      <c r="AL41" t="s">
        <v>394</v>
      </c>
      <c r="AM41">
        <v>0.37940000000000002</v>
      </c>
      <c r="AN41" t="s">
        <v>236</v>
      </c>
    </row>
    <row r="42" spans="9:40" x14ac:dyDescent="0.45">
      <c r="I42" t="s">
        <v>174</v>
      </c>
      <c r="J42" t="s">
        <v>404</v>
      </c>
      <c r="K42">
        <v>1.8778519139154983E-2</v>
      </c>
      <c r="L42" t="s">
        <v>161</v>
      </c>
      <c r="N42" t="s">
        <v>197</v>
      </c>
      <c r="O42" t="s">
        <v>404</v>
      </c>
      <c r="P42">
        <v>7.7988183576344877E-2</v>
      </c>
      <c r="Q42" t="s">
        <v>161</v>
      </c>
      <c r="S42" t="s">
        <v>219</v>
      </c>
      <c r="T42" t="s">
        <v>404</v>
      </c>
      <c r="U42">
        <v>8.5675551110927339E-2</v>
      </c>
      <c r="V42" t="s">
        <v>161</v>
      </c>
      <c r="AK42">
        <v>2029</v>
      </c>
      <c r="AL42" t="s">
        <v>396</v>
      </c>
      <c r="AM42">
        <v>0.31263333333333337</v>
      </c>
      <c r="AN42" t="s">
        <v>236</v>
      </c>
    </row>
    <row r="43" spans="9:40" x14ac:dyDescent="0.45">
      <c r="I43" t="s">
        <v>174</v>
      </c>
      <c r="J43" t="s">
        <v>405</v>
      </c>
      <c r="K43">
        <v>4.5722822024042514E-2</v>
      </c>
      <c r="L43" t="s">
        <v>161</v>
      </c>
      <c r="N43" t="s">
        <v>197</v>
      </c>
      <c r="O43" t="s">
        <v>405</v>
      </c>
      <c r="P43">
        <v>1.0773295222305829E-2</v>
      </c>
      <c r="Q43" t="s">
        <v>161</v>
      </c>
      <c r="S43" t="s">
        <v>219</v>
      </c>
      <c r="T43" t="s">
        <v>405</v>
      </c>
      <c r="U43">
        <v>1.617034370350947E-2</v>
      </c>
      <c r="V43" t="s">
        <v>161</v>
      </c>
      <c r="AK43">
        <v>2030</v>
      </c>
      <c r="AL43" t="s">
        <v>391</v>
      </c>
      <c r="AM43">
        <v>0.29210000000000003</v>
      </c>
      <c r="AN43" t="s">
        <v>236</v>
      </c>
    </row>
    <row r="44" spans="9:40" x14ac:dyDescent="0.45">
      <c r="I44" t="s">
        <v>174</v>
      </c>
      <c r="J44" t="s">
        <v>406</v>
      </c>
      <c r="K44">
        <v>0.10099238193106165</v>
      </c>
      <c r="L44" t="s">
        <v>161</v>
      </c>
      <c r="N44" t="s">
        <v>197</v>
      </c>
      <c r="O44" t="s">
        <v>406</v>
      </c>
      <c r="P44">
        <v>0.15416471312321717</v>
      </c>
      <c r="Q44" t="s">
        <v>161</v>
      </c>
      <c r="S44" t="s">
        <v>219</v>
      </c>
      <c r="T44" t="s">
        <v>406</v>
      </c>
      <c r="U44">
        <v>0.13182370689697018</v>
      </c>
      <c r="V44" t="s">
        <v>161</v>
      </c>
      <c r="AK44">
        <v>2030</v>
      </c>
      <c r="AL44" t="s">
        <v>393</v>
      </c>
      <c r="AM44">
        <v>0.35943333333333333</v>
      </c>
      <c r="AN44" t="s">
        <v>236</v>
      </c>
    </row>
    <row r="45" spans="9:40" x14ac:dyDescent="0.45">
      <c r="I45" t="s">
        <v>174</v>
      </c>
      <c r="J45" t="s">
        <v>407</v>
      </c>
      <c r="K45">
        <v>0</v>
      </c>
      <c r="L45" t="s">
        <v>161</v>
      </c>
      <c r="N45" t="s">
        <v>197</v>
      </c>
      <c r="O45" t="s">
        <v>407</v>
      </c>
      <c r="P45">
        <v>0.15234668739681001</v>
      </c>
      <c r="Q45" t="s">
        <v>161</v>
      </c>
      <c r="S45" t="s">
        <v>219</v>
      </c>
      <c r="T45" t="s">
        <v>407</v>
      </c>
      <c r="U45">
        <v>0.13279603568742529</v>
      </c>
      <c r="V45" t="s">
        <v>161</v>
      </c>
      <c r="AK45">
        <v>2030</v>
      </c>
      <c r="AL45" t="s">
        <v>394</v>
      </c>
      <c r="AM45">
        <v>0.37683333333333335</v>
      </c>
      <c r="AN45" t="s">
        <v>236</v>
      </c>
    </row>
    <row r="46" spans="9:40" x14ac:dyDescent="0.45">
      <c r="I46" t="s">
        <v>174</v>
      </c>
      <c r="J46" t="s">
        <v>408</v>
      </c>
      <c r="K46">
        <v>3.8223552633564438E-3</v>
      </c>
      <c r="L46" t="s">
        <v>161</v>
      </c>
      <c r="N46" t="s">
        <v>197</v>
      </c>
      <c r="O46" t="s">
        <v>408</v>
      </c>
      <c r="P46">
        <v>2.8987685808338732E-2</v>
      </c>
      <c r="Q46" t="s">
        <v>161</v>
      </c>
      <c r="S46" t="s">
        <v>219</v>
      </c>
      <c r="T46" t="s">
        <v>408</v>
      </c>
      <c r="U46">
        <v>2.4093797012572811E-2</v>
      </c>
      <c r="V46" t="s">
        <v>161</v>
      </c>
      <c r="AK46">
        <v>2030</v>
      </c>
      <c r="AL46" t="s">
        <v>396</v>
      </c>
      <c r="AM46">
        <v>0.29183333333333333</v>
      </c>
      <c r="AN46" t="s">
        <v>236</v>
      </c>
    </row>
    <row r="47" spans="9:40" x14ac:dyDescent="0.45">
      <c r="I47" t="s">
        <v>175</v>
      </c>
      <c r="J47" t="s">
        <v>397</v>
      </c>
      <c r="K47">
        <v>0.16443349900700832</v>
      </c>
      <c r="L47" t="s">
        <v>161</v>
      </c>
      <c r="N47" t="s">
        <v>198</v>
      </c>
      <c r="O47" t="s">
        <v>397</v>
      </c>
      <c r="P47">
        <v>0.12172364897974787</v>
      </c>
      <c r="Q47" t="s">
        <v>161</v>
      </c>
      <c r="S47" t="s">
        <v>220</v>
      </c>
      <c r="T47" t="s">
        <v>397</v>
      </c>
      <c r="U47">
        <v>0.12396414158273074</v>
      </c>
      <c r="V47" t="s">
        <v>161</v>
      </c>
      <c r="AK47">
        <v>2031</v>
      </c>
      <c r="AL47" t="s">
        <v>391</v>
      </c>
      <c r="AM47">
        <v>0.28259999999999996</v>
      </c>
      <c r="AN47" t="s">
        <v>236</v>
      </c>
    </row>
    <row r="48" spans="9:40" x14ac:dyDescent="0.45">
      <c r="I48" t="s">
        <v>175</v>
      </c>
      <c r="J48" t="s">
        <v>398</v>
      </c>
      <c r="K48">
        <v>0</v>
      </c>
      <c r="L48" t="s">
        <v>161</v>
      </c>
      <c r="N48" t="s">
        <v>198</v>
      </c>
      <c r="O48" t="s">
        <v>398</v>
      </c>
      <c r="P48">
        <v>0.12862510171431943</v>
      </c>
      <c r="Q48" t="s">
        <v>161</v>
      </c>
      <c r="S48" t="s">
        <v>220</v>
      </c>
      <c r="T48" t="s">
        <v>398</v>
      </c>
      <c r="U48">
        <v>0.1266736893450037</v>
      </c>
      <c r="V48" t="s">
        <v>161</v>
      </c>
      <c r="AK48">
        <v>2031</v>
      </c>
      <c r="AL48" t="s">
        <v>393</v>
      </c>
      <c r="AM48">
        <v>0.36216666666666669</v>
      </c>
      <c r="AN48" t="s">
        <v>236</v>
      </c>
    </row>
    <row r="49" spans="9:40" x14ac:dyDescent="0.45">
      <c r="I49" t="s">
        <v>175</v>
      </c>
      <c r="J49" t="s">
        <v>399</v>
      </c>
      <c r="K49">
        <v>5.744489427070858E-3</v>
      </c>
      <c r="L49" t="s">
        <v>161</v>
      </c>
      <c r="N49" t="s">
        <v>198</v>
      </c>
      <c r="O49" t="s">
        <v>399</v>
      </c>
      <c r="P49">
        <v>2.2406964821718483E-2</v>
      </c>
      <c r="Q49" t="s">
        <v>161</v>
      </c>
      <c r="S49" t="s">
        <v>220</v>
      </c>
      <c r="T49" t="s">
        <v>399</v>
      </c>
      <c r="U49">
        <v>2.2438095835174081E-2</v>
      </c>
      <c r="V49" t="s">
        <v>161</v>
      </c>
      <c r="AK49">
        <v>2031</v>
      </c>
      <c r="AL49" t="s">
        <v>394</v>
      </c>
      <c r="AM49">
        <v>0.37503333333333333</v>
      </c>
      <c r="AN49" t="s">
        <v>236</v>
      </c>
    </row>
    <row r="50" spans="9:40" x14ac:dyDescent="0.45">
      <c r="I50" t="s">
        <v>175</v>
      </c>
      <c r="J50" t="s">
        <v>400</v>
      </c>
      <c r="K50">
        <v>0.28349094699122362</v>
      </c>
      <c r="L50" t="s">
        <v>161</v>
      </c>
      <c r="N50" t="s">
        <v>198</v>
      </c>
      <c r="O50" t="s">
        <v>400</v>
      </c>
      <c r="P50">
        <v>0.1048494301638203</v>
      </c>
      <c r="Q50" t="s">
        <v>161</v>
      </c>
      <c r="S50" t="s">
        <v>220</v>
      </c>
      <c r="T50" t="s">
        <v>400</v>
      </c>
      <c r="U50">
        <v>0.10379158314524511</v>
      </c>
      <c r="V50" t="s">
        <v>161</v>
      </c>
      <c r="AK50">
        <v>2031</v>
      </c>
      <c r="AL50" t="s">
        <v>396</v>
      </c>
      <c r="AM50">
        <v>0.30306666666666665</v>
      </c>
      <c r="AN50" t="s">
        <v>236</v>
      </c>
    </row>
    <row r="51" spans="9:40" x14ac:dyDescent="0.45">
      <c r="I51" t="s">
        <v>175</v>
      </c>
      <c r="J51" t="s">
        <v>401</v>
      </c>
      <c r="K51">
        <v>4.3356969097281964E-3</v>
      </c>
      <c r="L51" t="s">
        <v>161</v>
      </c>
      <c r="N51" t="s">
        <v>198</v>
      </c>
      <c r="O51" t="s">
        <v>401</v>
      </c>
      <c r="P51">
        <v>0.11422832620001666</v>
      </c>
      <c r="Q51" t="s">
        <v>161</v>
      </c>
      <c r="S51" t="s">
        <v>220</v>
      </c>
      <c r="T51" t="s">
        <v>401</v>
      </c>
      <c r="U51">
        <v>0.11352211125173775</v>
      </c>
      <c r="V51" t="s">
        <v>161</v>
      </c>
      <c r="AK51">
        <v>2032</v>
      </c>
      <c r="AL51" t="s">
        <v>391</v>
      </c>
      <c r="AM51">
        <v>0.36769999999999997</v>
      </c>
      <c r="AN51" t="s">
        <v>236</v>
      </c>
    </row>
    <row r="52" spans="9:40" x14ac:dyDescent="0.45">
      <c r="I52" t="s">
        <v>175</v>
      </c>
      <c r="J52" t="s">
        <v>402</v>
      </c>
      <c r="K52">
        <v>2.0271767989367546E-2</v>
      </c>
      <c r="L52" t="s">
        <v>161</v>
      </c>
      <c r="N52" t="s">
        <v>198</v>
      </c>
      <c r="O52" t="s">
        <v>402</v>
      </c>
      <c r="P52">
        <v>1.9782317214142312E-2</v>
      </c>
      <c r="Q52" t="s">
        <v>161</v>
      </c>
      <c r="S52" t="s">
        <v>220</v>
      </c>
      <c r="T52" t="s">
        <v>402</v>
      </c>
      <c r="U52">
        <v>1.9823491414922283E-2</v>
      </c>
      <c r="V52" t="s">
        <v>161</v>
      </c>
      <c r="AK52">
        <v>2032</v>
      </c>
      <c r="AL52" t="s">
        <v>393</v>
      </c>
      <c r="AM52">
        <v>0.40673333333333334</v>
      </c>
      <c r="AN52" t="s">
        <v>236</v>
      </c>
    </row>
    <row r="53" spans="9:40" x14ac:dyDescent="0.45">
      <c r="I53" t="s">
        <v>175</v>
      </c>
      <c r="J53" t="s">
        <v>403</v>
      </c>
      <c r="K53">
        <v>0.36972166627535152</v>
      </c>
      <c r="L53" t="s">
        <v>161</v>
      </c>
      <c r="N53" t="s">
        <v>198</v>
      </c>
      <c r="O53" t="s">
        <v>403</v>
      </c>
      <c r="P53">
        <v>8.1114071338008534E-2</v>
      </c>
      <c r="Q53" t="s">
        <v>161</v>
      </c>
      <c r="S53" t="s">
        <v>220</v>
      </c>
      <c r="T53" t="s">
        <v>403</v>
      </c>
      <c r="U53">
        <v>8.3231605687553376E-2</v>
      </c>
      <c r="V53" t="s">
        <v>161</v>
      </c>
      <c r="AK53">
        <v>2032</v>
      </c>
      <c r="AL53" t="s">
        <v>394</v>
      </c>
      <c r="AM53">
        <v>0.41726666666666667</v>
      </c>
      <c r="AN53" t="s">
        <v>236</v>
      </c>
    </row>
    <row r="54" spans="9:40" x14ac:dyDescent="0.45">
      <c r="I54" t="s">
        <v>175</v>
      </c>
      <c r="J54" t="s">
        <v>404</v>
      </c>
      <c r="K54">
        <v>1.8279755634847721E-2</v>
      </c>
      <c r="L54" t="s">
        <v>161</v>
      </c>
      <c r="N54" t="s">
        <v>198</v>
      </c>
      <c r="O54" t="s">
        <v>404</v>
      </c>
      <c r="P54">
        <v>8.4333563158484059E-2</v>
      </c>
      <c r="Q54" t="s">
        <v>161</v>
      </c>
      <c r="S54" t="s">
        <v>220</v>
      </c>
      <c r="T54" t="s">
        <v>404</v>
      </c>
      <c r="U54">
        <v>8.4418371662706659E-2</v>
      </c>
      <c r="V54" t="s">
        <v>161</v>
      </c>
      <c r="AK54">
        <v>2032</v>
      </c>
      <c r="AL54" t="s">
        <v>396</v>
      </c>
      <c r="AM54">
        <v>0.36166666666666664</v>
      </c>
      <c r="AN54" t="s">
        <v>236</v>
      </c>
    </row>
    <row r="55" spans="9:40" x14ac:dyDescent="0.45">
      <c r="I55" t="s">
        <v>175</v>
      </c>
      <c r="J55" t="s">
        <v>405</v>
      </c>
      <c r="K55">
        <v>3.6961476273458235E-2</v>
      </c>
      <c r="L55" t="s">
        <v>161</v>
      </c>
      <c r="N55" t="s">
        <v>198</v>
      </c>
      <c r="O55" t="s">
        <v>405</v>
      </c>
      <c r="P55">
        <v>1.489874004268074E-2</v>
      </c>
      <c r="Q55" t="s">
        <v>161</v>
      </c>
      <c r="S55" t="s">
        <v>220</v>
      </c>
      <c r="T55" t="s">
        <v>405</v>
      </c>
      <c r="U55">
        <v>1.5544773392073904E-2</v>
      </c>
      <c r="V55" t="s">
        <v>161</v>
      </c>
      <c r="AK55">
        <v>2033</v>
      </c>
      <c r="AL55" t="s">
        <v>391</v>
      </c>
      <c r="AM55">
        <v>0.35426666666666667</v>
      </c>
      <c r="AN55" t="s">
        <v>236</v>
      </c>
    </row>
    <row r="56" spans="9:40" x14ac:dyDescent="0.45">
      <c r="I56" t="s">
        <v>175</v>
      </c>
      <c r="J56" t="s">
        <v>406</v>
      </c>
      <c r="K56">
        <v>9.6221244001120435E-2</v>
      </c>
      <c r="L56" t="s">
        <v>161</v>
      </c>
      <c r="N56" t="s">
        <v>198</v>
      </c>
      <c r="O56" t="s">
        <v>406</v>
      </c>
      <c r="P56">
        <v>0.14075946674563961</v>
      </c>
      <c r="Q56" t="s">
        <v>161</v>
      </c>
      <c r="S56" t="s">
        <v>220</v>
      </c>
      <c r="T56" t="s">
        <v>406</v>
      </c>
      <c r="U56">
        <v>0.14062680902885627</v>
      </c>
      <c r="V56" t="s">
        <v>161</v>
      </c>
      <c r="AK56">
        <v>2033</v>
      </c>
      <c r="AL56" t="s">
        <v>393</v>
      </c>
      <c r="AM56">
        <v>0.4032</v>
      </c>
      <c r="AN56" t="s">
        <v>236</v>
      </c>
    </row>
    <row r="57" spans="9:40" x14ac:dyDescent="0.45">
      <c r="I57" t="s">
        <v>175</v>
      </c>
      <c r="J57" t="s">
        <v>407</v>
      </c>
      <c r="K57">
        <v>0</v>
      </c>
      <c r="L57" t="s">
        <v>161</v>
      </c>
      <c r="N57" t="s">
        <v>198</v>
      </c>
      <c r="O57" t="s">
        <v>407</v>
      </c>
      <c r="P57">
        <v>0.14146022403103783</v>
      </c>
      <c r="Q57" t="s">
        <v>161</v>
      </c>
      <c r="S57" t="s">
        <v>220</v>
      </c>
      <c r="T57" t="s">
        <v>407</v>
      </c>
      <c r="U57">
        <v>0.14010991990218019</v>
      </c>
      <c r="V57" t="s">
        <v>161</v>
      </c>
      <c r="AK57">
        <v>2033</v>
      </c>
      <c r="AL57" t="s">
        <v>394</v>
      </c>
      <c r="AM57">
        <v>0.4551</v>
      </c>
      <c r="AN57" t="s">
        <v>236</v>
      </c>
    </row>
    <row r="58" spans="9:40" x14ac:dyDescent="0.45">
      <c r="I58" t="s">
        <v>175</v>
      </c>
      <c r="J58" t="s">
        <v>408</v>
      </c>
      <c r="K58">
        <v>5.3945749082730905E-4</v>
      </c>
      <c r="L58" t="s">
        <v>161</v>
      </c>
      <c r="N58" t="s">
        <v>198</v>
      </c>
      <c r="O58" t="s">
        <v>408</v>
      </c>
      <c r="P58">
        <v>2.5818145590380526E-2</v>
      </c>
      <c r="Q58" t="s">
        <v>161</v>
      </c>
      <c r="S58" t="s">
        <v>220</v>
      </c>
      <c r="T58" t="s">
        <v>408</v>
      </c>
      <c r="U58">
        <v>2.58554077518191E-2</v>
      </c>
      <c r="V58" t="s">
        <v>161</v>
      </c>
      <c r="AK58">
        <v>2033</v>
      </c>
      <c r="AL58" t="s">
        <v>396</v>
      </c>
      <c r="AM58">
        <v>0.34769999999999995</v>
      </c>
      <c r="AN58" t="s">
        <v>236</v>
      </c>
    </row>
    <row r="59" spans="9:40" x14ac:dyDescent="0.45">
      <c r="I59" t="s">
        <v>176</v>
      </c>
      <c r="J59" t="s">
        <v>397</v>
      </c>
      <c r="K59">
        <v>0.17232474234596706</v>
      </c>
      <c r="L59" t="s">
        <v>161</v>
      </c>
      <c r="N59" t="s">
        <v>199</v>
      </c>
      <c r="O59" t="s">
        <v>397</v>
      </c>
      <c r="P59">
        <v>0.12267495147077995</v>
      </c>
      <c r="Q59" t="s">
        <v>161</v>
      </c>
      <c r="S59" t="s">
        <v>221</v>
      </c>
      <c r="T59" t="s">
        <v>397</v>
      </c>
      <c r="U59">
        <v>0.11937168566327923</v>
      </c>
      <c r="V59" t="s">
        <v>161</v>
      </c>
      <c r="AK59">
        <v>2034</v>
      </c>
      <c r="AL59" t="s">
        <v>391</v>
      </c>
      <c r="AM59">
        <v>0.36840000000000001</v>
      </c>
      <c r="AN59" t="s">
        <v>236</v>
      </c>
    </row>
    <row r="60" spans="9:40" x14ac:dyDescent="0.45">
      <c r="I60" t="s">
        <v>176</v>
      </c>
      <c r="J60" t="s">
        <v>398</v>
      </c>
      <c r="K60">
        <v>0</v>
      </c>
      <c r="L60" t="s">
        <v>161</v>
      </c>
      <c r="N60" t="s">
        <v>199</v>
      </c>
      <c r="O60" t="s">
        <v>398</v>
      </c>
      <c r="P60">
        <v>0.12653097514702316</v>
      </c>
      <c r="Q60" t="s">
        <v>161</v>
      </c>
      <c r="S60" t="s">
        <v>221</v>
      </c>
      <c r="T60" t="s">
        <v>398</v>
      </c>
      <c r="U60">
        <v>0.12291424537402224</v>
      </c>
      <c r="V60" t="s">
        <v>161</v>
      </c>
      <c r="AK60">
        <v>2034</v>
      </c>
      <c r="AL60" t="s">
        <v>393</v>
      </c>
      <c r="AM60">
        <v>0.40096666666666664</v>
      </c>
      <c r="AN60" t="s">
        <v>236</v>
      </c>
    </row>
    <row r="61" spans="9:40" x14ac:dyDescent="0.45">
      <c r="I61" t="s">
        <v>176</v>
      </c>
      <c r="J61" t="s">
        <v>399</v>
      </c>
      <c r="K61">
        <v>5.5536478003105341E-3</v>
      </c>
      <c r="L61" t="s">
        <v>161</v>
      </c>
      <c r="N61" t="s">
        <v>199</v>
      </c>
      <c r="O61" t="s">
        <v>399</v>
      </c>
      <c r="P61">
        <v>2.3152017664541003E-2</v>
      </c>
      <c r="Q61" t="s">
        <v>161</v>
      </c>
      <c r="S61" t="s">
        <v>221</v>
      </c>
      <c r="T61" t="s">
        <v>399</v>
      </c>
      <c r="U61">
        <v>2.3045111553416486E-2</v>
      </c>
      <c r="V61" t="s">
        <v>161</v>
      </c>
      <c r="AK61">
        <v>2034</v>
      </c>
      <c r="AL61" t="s">
        <v>394</v>
      </c>
      <c r="AM61">
        <v>0.44573333333333331</v>
      </c>
      <c r="AN61" t="s">
        <v>236</v>
      </c>
    </row>
    <row r="62" spans="9:40" x14ac:dyDescent="0.45">
      <c r="I62" t="s">
        <v>176</v>
      </c>
      <c r="J62" t="s">
        <v>400</v>
      </c>
      <c r="K62">
        <v>0.27665534205666298</v>
      </c>
      <c r="L62" t="s">
        <v>161</v>
      </c>
      <c r="N62" t="s">
        <v>199</v>
      </c>
      <c r="O62" t="s">
        <v>400</v>
      </c>
      <c r="P62">
        <v>0.10865087840993967</v>
      </c>
      <c r="Q62" t="s">
        <v>161</v>
      </c>
      <c r="S62" t="s">
        <v>221</v>
      </c>
      <c r="T62" t="s">
        <v>400</v>
      </c>
      <c r="U62">
        <v>0.11229316255726605</v>
      </c>
      <c r="V62" t="s">
        <v>161</v>
      </c>
      <c r="AK62">
        <v>2034</v>
      </c>
      <c r="AL62" t="s">
        <v>396</v>
      </c>
      <c r="AM62">
        <v>0.33693333333333336</v>
      </c>
      <c r="AN62" t="s">
        <v>236</v>
      </c>
    </row>
    <row r="63" spans="9:40" x14ac:dyDescent="0.45">
      <c r="I63" t="s">
        <v>176</v>
      </c>
      <c r="J63" t="s">
        <v>401</v>
      </c>
      <c r="K63">
        <v>3.7901971343274063E-3</v>
      </c>
      <c r="L63" t="s">
        <v>161</v>
      </c>
      <c r="N63" t="s">
        <v>199</v>
      </c>
      <c r="O63" t="s">
        <v>401</v>
      </c>
      <c r="P63">
        <v>0.12126114721660529</v>
      </c>
      <c r="Q63" t="s">
        <v>161</v>
      </c>
      <c r="S63" t="s">
        <v>221</v>
      </c>
      <c r="T63" t="s">
        <v>401</v>
      </c>
      <c r="U63">
        <v>0.12289779969674379</v>
      </c>
      <c r="V63" t="s">
        <v>161</v>
      </c>
      <c r="AK63">
        <v>2035</v>
      </c>
      <c r="AL63" t="s">
        <v>391</v>
      </c>
      <c r="AM63">
        <v>0.33176666666666665</v>
      </c>
      <c r="AN63" t="s">
        <v>236</v>
      </c>
    </row>
    <row r="64" spans="9:40" x14ac:dyDescent="0.45">
      <c r="I64" t="s">
        <v>176</v>
      </c>
      <c r="J64" t="s">
        <v>402</v>
      </c>
      <c r="K64">
        <v>1.9133671205149971E-2</v>
      </c>
      <c r="L64" t="s">
        <v>161</v>
      </c>
      <c r="N64" t="s">
        <v>199</v>
      </c>
      <c r="O64" t="s">
        <v>402</v>
      </c>
      <c r="P64">
        <v>2.1552432544541322E-2</v>
      </c>
      <c r="Q64" t="s">
        <v>161</v>
      </c>
      <c r="S64" t="s">
        <v>221</v>
      </c>
      <c r="T64" t="s">
        <v>402</v>
      </c>
      <c r="U64">
        <v>2.2578719197632536E-2</v>
      </c>
      <c r="V64" t="s">
        <v>161</v>
      </c>
      <c r="AK64">
        <v>2035</v>
      </c>
      <c r="AL64" t="s">
        <v>393</v>
      </c>
      <c r="AM64">
        <v>0.38693333333333335</v>
      </c>
      <c r="AN64" t="s">
        <v>236</v>
      </c>
    </row>
    <row r="65" spans="9:40" x14ac:dyDescent="0.45">
      <c r="I65" t="s">
        <v>176</v>
      </c>
      <c r="J65" t="s">
        <v>403</v>
      </c>
      <c r="K65">
        <v>0.34079434889935434</v>
      </c>
      <c r="L65" t="s">
        <v>161</v>
      </c>
      <c r="N65" t="s">
        <v>199</v>
      </c>
      <c r="O65" t="s">
        <v>403</v>
      </c>
      <c r="P65">
        <v>7.7971679900371335E-2</v>
      </c>
      <c r="Q65" t="s">
        <v>161</v>
      </c>
      <c r="S65" t="s">
        <v>221</v>
      </c>
      <c r="T65" t="s">
        <v>403</v>
      </c>
      <c r="U65">
        <v>7.6098007915237117E-2</v>
      </c>
      <c r="V65" t="s">
        <v>161</v>
      </c>
      <c r="AK65">
        <v>2035</v>
      </c>
      <c r="AL65" t="s">
        <v>394</v>
      </c>
      <c r="AM65">
        <v>0.45103333333333334</v>
      </c>
      <c r="AN65" t="s">
        <v>236</v>
      </c>
    </row>
    <row r="66" spans="9:40" x14ac:dyDescent="0.45">
      <c r="I66" t="s">
        <v>176</v>
      </c>
      <c r="J66" t="s">
        <v>404</v>
      </c>
      <c r="K66">
        <v>1.4803475922552364E-2</v>
      </c>
      <c r="L66" t="s">
        <v>161</v>
      </c>
      <c r="N66" t="s">
        <v>199</v>
      </c>
      <c r="O66" t="s">
        <v>404</v>
      </c>
      <c r="P66">
        <v>8.5698985130709185E-2</v>
      </c>
      <c r="Q66" t="s">
        <v>161</v>
      </c>
      <c r="S66" t="s">
        <v>221</v>
      </c>
      <c r="T66" t="s">
        <v>404</v>
      </c>
      <c r="U66">
        <v>8.7589764448512616E-2</v>
      </c>
      <c r="V66" t="s">
        <v>161</v>
      </c>
      <c r="AK66">
        <v>2035</v>
      </c>
      <c r="AL66" t="s">
        <v>396</v>
      </c>
      <c r="AM66">
        <v>0.35816666666666669</v>
      </c>
      <c r="AN66" t="s">
        <v>236</v>
      </c>
    </row>
    <row r="67" spans="9:40" x14ac:dyDescent="0.45">
      <c r="I67" t="s">
        <v>176</v>
      </c>
      <c r="J67" t="s">
        <v>405</v>
      </c>
      <c r="K67">
        <v>3.3816751843183966E-2</v>
      </c>
      <c r="L67" t="s">
        <v>161</v>
      </c>
      <c r="N67" t="s">
        <v>199</v>
      </c>
      <c r="O67" t="s">
        <v>405</v>
      </c>
      <c r="P67">
        <v>1.5459966944634265E-2</v>
      </c>
      <c r="Q67" t="s">
        <v>161</v>
      </c>
      <c r="S67" t="s">
        <v>221</v>
      </c>
      <c r="T67" t="s">
        <v>405</v>
      </c>
      <c r="U67">
        <v>1.6232797632229679E-2</v>
      </c>
      <c r="V67" t="s">
        <v>161</v>
      </c>
      <c r="AK67">
        <v>2036</v>
      </c>
      <c r="AL67" t="s">
        <v>391</v>
      </c>
      <c r="AM67">
        <v>0.36313333333333331</v>
      </c>
      <c r="AN67" t="s">
        <v>236</v>
      </c>
    </row>
    <row r="68" spans="9:40" x14ac:dyDescent="0.45">
      <c r="I68" t="s">
        <v>176</v>
      </c>
      <c r="J68" t="s">
        <v>406</v>
      </c>
      <c r="K68">
        <v>0.13203389282126202</v>
      </c>
      <c r="L68" t="s">
        <v>161</v>
      </c>
      <c r="N68" t="s">
        <v>199</v>
      </c>
      <c r="O68" t="s">
        <v>406</v>
      </c>
      <c r="P68">
        <v>0.13634603888431421</v>
      </c>
      <c r="Q68" t="s">
        <v>161</v>
      </c>
      <c r="S68" t="s">
        <v>221</v>
      </c>
      <c r="T68" t="s">
        <v>406</v>
      </c>
      <c r="U68">
        <v>0.13573373627835106</v>
      </c>
      <c r="V68" t="s">
        <v>161</v>
      </c>
      <c r="AK68">
        <v>2036</v>
      </c>
      <c r="AL68" t="s">
        <v>393</v>
      </c>
      <c r="AM68">
        <v>0.40736666666666665</v>
      </c>
      <c r="AN68" t="s">
        <v>236</v>
      </c>
    </row>
    <row r="69" spans="9:40" x14ac:dyDescent="0.45">
      <c r="I69" t="s">
        <v>176</v>
      </c>
      <c r="J69" t="s">
        <v>407</v>
      </c>
      <c r="K69">
        <v>0</v>
      </c>
      <c r="L69" t="s">
        <v>161</v>
      </c>
      <c r="N69" t="s">
        <v>199</v>
      </c>
      <c r="O69" t="s">
        <v>407</v>
      </c>
      <c r="P69">
        <v>0.13517935489862709</v>
      </c>
      <c r="Q69" t="s">
        <v>161</v>
      </c>
      <c r="S69" t="s">
        <v>221</v>
      </c>
      <c r="T69" t="s">
        <v>407</v>
      </c>
      <c r="U69">
        <v>0.13531589532992258</v>
      </c>
      <c r="V69" t="s">
        <v>161</v>
      </c>
      <c r="AK69">
        <v>2036</v>
      </c>
      <c r="AL69" t="s">
        <v>394</v>
      </c>
      <c r="AM69">
        <v>0.41649999999999993</v>
      </c>
      <c r="AN69" t="s">
        <v>236</v>
      </c>
    </row>
    <row r="70" spans="9:40" x14ac:dyDescent="0.45">
      <c r="I70" t="s">
        <v>176</v>
      </c>
      <c r="J70" t="s">
        <v>408</v>
      </c>
      <c r="K70">
        <v>1.0939299712320861E-3</v>
      </c>
      <c r="L70" t="s">
        <v>161</v>
      </c>
      <c r="N70" t="s">
        <v>199</v>
      </c>
      <c r="O70" t="s">
        <v>408</v>
      </c>
      <c r="P70">
        <v>2.5521571787918654E-2</v>
      </c>
      <c r="Q70" t="s">
        <v>161</v>
      </c>
      <c r="S70" t="s">
        <v>221</v>
      </c>
      <c r="T70" t="s">
        <v>408</v>
      </c>
      <c r="U70">
        <v>2.5929074353389283E-2</v>
      </c>
      <c r="V70" t="s">
        <v>161</v>
      </c>
      <c r="AK70">
        <v>2036</v>
      </c>
      <c r="AL70" t="s">
        <v>396</v>
      </c>
      <c r="AM70">
        <v>0.37036666666666668</v>
      </c>
      <c r="AN70" t="s">
        <v>236</v>
      </c>
    </row>
    <row r="71" spans="9:40" x14ac:dyDescent="0.45">
      <c r="I71" t="s">
        <v>177</v>
      </c>
      <c r="J71" t="s">
        <v>397</v>
      </c>
      <c r="K71">
        <v>0.16813535055099371</v>
      </c>
      <c r="L71" t="s">
        <v>161</v>
      </c>
      <c r="N71" t="s">
        <v>200</v>
      </c>
      <c r="O71" t="s">
        <v>397</v>
      </c>
      <c r="P71">
        <v>0.12367996473555717</v>
      </c>
      <c r="Q71" t="s">
        <v>161</v>
      </c>
      <c r="S71" t="s">
        <v>222</v>
      </c>
      <c r="T71" t="s">
        <v>397</v>
      </c>
      <c r="U71">
        <v>0.12958949491482075</v>
      </c>
      <c r="V71" t="s">
        <v>161</v>
      </c>
      <c r="AK71">
        <v>2037</v>
      </c>
      <c r="AL71" t="s">
        <v>391</v>
      </c>
      <c r="AM71">
        <v>0.33513333333333328</v>
      </c>
      <c r="AN71" t="s">
        <v>236</v>
      </c>
    </row>
    <row r="72" spans="9:40" x14ac:dyDescent="0.45">
      <c r="I72" t="s">
        <v>177</v>
      </c>
      <c r="J72" t="s">
        <v>398</v>
      </c>
      <c r="K72">
        <v>0</v>
      </c>
      <c r="L72" t="s">
        <v>161</v>
      </c>
      <c r="N72" t="s">
        <v>200</v>
      </c>
      <c r="O72" t="s">
        <v>398</v>
      </c>
      <c r="P72">
        <v>0.12727508420059364</v>
      </c>
      <c r="Q72" t="s">
        <v>161</v>
      </c>
      <c r="S72" t="s">
        <v>222</v>
      </c>
      <c r="T72" t="s">
        <v>398</v>
      </c>
      <c r="U72">
        <v>0.13511654283764915</v>
      </c>
      <c r="V72" t="s">
        <v>161</v>
      </c>
      <c r="AK72">
        <v>2037</v>
      </c>
      <c r="AL72" t="s">
        <v>393</v>
      </c>
      <c r="AM72">
        <v>0.42766666666666664</v>
      </c>
      <c r="AN72" t="s">
        <v>236</v>
      </c>
    </row>
    <row r="73" spans="9:40" x14ac:dyDescent="0.45">
      <c r="I73" t="s">
        <v>177</v>
      </c>
      <c r="J73" t="s">
        <v>399</v>
      </c>
      <c r="K73">
        <v>6.3821731425127452E-3</v>
      </c>
      <c r="L73" t="s">
        <v>161</v>
      </c>
      <c r="N73" t="s">
        <v>200</v>
      </c>
      <c r="O73" t="s">
        <v>399</v>
      </c>
      <c r="P73">
        <v>2.2811158800369234E-2</v>
      </c>
      <c r="Q73" t="s">
        <v>161</v>
      </c>
      <c r="S73" t="s">
        <v>222</v>
      </c>
      <c r="T73" t="s">
        <v>399</v>
      </c>
      <c r="U73">
        <v>2.5452014853965879E-2</v>
      </c>
      <c r="V73" t="s">
        <v>161</v>
      </c>
      <c r="AK73">
        <v>2037</v>
      </c>
      <c r="AL73" t="s">
        <v>394</v>
      </c>
      <c r="AM73">
        <v>0.4012</v>
      </c>
      <c r="AN73" t="s">
        <v>236</v>
      </c>
    </row>
    <row r="74" spans="9:40" x14ac:dyDescent="0.45">
      <c r="I74" t="s">
        <v>177</v>
      </c>
      <c r="J74" t="s">
        <v>400</v>
      </c>
      <c r="K74">
        <v>0.27319338851506036</v>
      </c>
      <c r="L74" t="s">
        <v>161</v>
      </c>
      <c r="N74" t="s">
        <v>200</v>
      </c>
      <c r="O74" t="s">
        <v>400</v>
      </c>
      <c r="P74">
        <v>0.1080444776061289</v>
      </c>
      <c r="Q74" t="s">
        <v>161</v>
      </c>
      <c r="S74" t="s">
        <v>222</v>
      </c>
      <c r="T74" t="s">
        <v>400</v>
      </c>
      <c r="U74">
        <v>8.9828016159660171E-2</v>
      </c>
      <c r="V74" t="s">
        <v>161</v>
      </c>
      <c r="AK74">
        <v>2037</v>
      </c>
      <c r="AL74" t="s">
        <v>396</v>
      </c>
      <c r="AM74">
        <v>0.34810000000000002</v>
      </c>
      <c r="AN74" t="s">
        <v>236</v>
      </c>
    </row>
    <row r="75" spans="9:40" x14ac:dyDescent="0.45">
      <c r="I75" t="s">
        <v>177</v>
      </c>
      <c r="J75" t="s">
        <v>401</v>
      </c>
      <c r="K75">
        <v>3.7580281929657611E-3</v>
      </c>
      <c r="L75" t="s">
        <v>161</v>
      </c>
      <c r="N75" t="s">
        <v>200</v>
      </c>
      <c r="O75" t="s">
        <v>401</v>
      </c>
      <c r="P75">
        <v>0.11441367879824649</v>
      </c>
      <c r="Q75" t="s">
        <v>161</v>
      </c>
      <c r="S75" t="s">
        <v>222</v>
      </c>
      <c r="T75" t="s">
        <v>401</v>
      </c>
      <c r="U75">
        <v>0.11442078786974164</v>
      </c>
      <c r="V75" t="s">
        <v>161</v>
      </c>
      <c r="AK75">
        <v>2038</v>
      </c>
      <c r="AL75" t="s">
        <v>391</v>
      </c>
      <c r="AM75">
        <v>0.3439666666666667</v>
      </c>
      <c r="AN75" t="s">
        <v>236</v>
      </c>
    </row>
    <row r="76" spans="9:40" x14ac:dyDescent="0.45">
      <c r="I76" t="s">
        <v>177</v>
      </c>
      <c r="J76" t="s">
        <v>402</v>
      </c>
      <c r="K76">
        <v>2.0288855640824839E-2</v>
      </c>
      <c r="L76" t="s">
        <v>161</v>
      </c>
      <c r="N76" t="s">
        <v>200</v>
      </c>
      <c r="O76" t="s">
        <v>402</v>
      </c>
      <c r="P76">
        <v>1.9823615145375246E-2</v>
      </c>
      <c r="Q76" t="s">
        <v>161</v>
      </c>
      <c r="S76" t="s">
        <v>222</v>
      </c>
      <c r="T76" t="s">
        <v>402</v>
      </c>
      <c r="U76">
        <v>1.8636274234941394E-2</v>
      </c>
      <c r="V76" t="s">
        <v>161</v>
      </c>
      <c r="AK76">
        <v>2038</v>
      </c>
      <c r="AL76" t="s">
        <v>393</v>
      </c>
      <c r="AM76">
        <v>0.40579999999999999</v>
      </c>
      <c r="AN76" t="s">
        <v>236</v>
      </c>
    </row>
    <row r="77" spans="9:40" x14ac:dyDescent="0.45">
      <c r="I77" t="s">
        <v>177</v>
      </c>
      <c r="J77" t="s">
        <v>403</v>
      </c>
      <c r="K77">
        <v>0.35695266300793888</v>
      </c>
      <c r="L77" t="s">
        <v>161</v>
      </c>
      <c r="N77" t="s">
        <v>200</v>
      </c>
      <c r="O77" t="s">
        <v>403</v>
      </c>
      <c r="P77">
        <v>7.9807489297355233E-2</v>
      </c>
      <c r="Q77" t="s">
        <v>161</v>
      </c>
      <c r="S77" t="s">
        <v>222</v>
      </c>
      <c r="T77" t="s">
        <v>403</v>
      </c>
      <c r="U77">
        <v>7.4061753739048206E-2</v>
      </c>
      <c r="V77" t="s">
        <v>161</v>
      </c>
      <c r="AK77">
        <v>2038</v>
      </c>
      <c r="AL77" t="s">
        <v>394</v>
      </c>
      <c r="AM77">
        <v>0.41596666666666665</v>
      </c>
      <c r="AN77" t="s">
        <v>236</v>
      </c>
    </row>
    <row r="78" spans="9:40" x14ac:dyDescent="0.45">
      <c r="I78" t="s">
        <v>177</v>
      </c>
      <c r="J78" t="s">
        <v>404</v>
      </c>
      <c r="K78">
        <v>1.5449233649317426E-2</v>
      </c>
      <c r="L78" t="s">
        <v>161</v>
      </c>
      <c r="N78" t="s">
        <v>200</v>
      </c>
      <c r="O78" t="s">
        <v>404</v>
      </c>
      <c r="P78">
        <v>8.3834192613749525E-2</v>
      </c>
      <c r="Q78" t="s">
        <v>161</v>
      </c>
      <c r="S78" t="s">
        <v>222</v>
      </c>
      <c r="T78" t="s">
        <v>404</v>
      </c>
      <c r="U78">
        <v>7.5055470460035023E-2</v>
      </c>
      <c r="V78" t="s">
        <v>161</v>
      </c>
      <c r="AK78">
        <v>2038</v>
      </c>
      <c r="AL78" t="s">
        <v>396</v>
      </c>
      <c r="AM78">
        <v>0.33826666666666666</v>
      </c>
      <c r="AN78" t="s">
        <v>236</v>
      </c>
    </row>
    <row r="79" spans="9:40" x14ac:dyDescent="0.45">
      <c r="I79" t="s">
        <v>177</v>
      </c>
      <c r="J79" t="s">
        <v>405</v>
      </c>
      <c r="K79">
        <v>3.9590857231475318E-2</v>
      </c>
      <c r="L79" t="s">
        <v>161</v>
      </c>
      <c r="N79" t="s">
        <v>200</v>
      </c>
      <c r="O79" t="s">
        <v>405</v>
      </c>
      <c r="P79">
        <v>1.4633805431166847E-2</v>
      </c>
      <c r="Q79" t="s">
        <v>161</v>
      </c>
      <c r="S79" t="s">
        <v>222</v>
      </c>
      <c r="T79" t="s">
        <v>405</v>
      </c>
      <c r="U79">
        <v>1.2194419875969337E-2</v>
      </c>
      <c r="V79" t="s">
        <v>161</v>
      </c>
      <c r="AK79">
        <v>2039</v>
      </c>
      <c r="AL79" t="s">
        <v>391</v>
      </c>
      <c r="AM79">
        <v>0.34176666666666661</v>
      </c>
      <c r="AN79" t="s">
        <v>236</v>
      </c>
    </row>
    <row r="80" spans="9:40" x14ac:dyDescent="0.45">
      <c r="I80" t="s">
        <v>177</v>
      </c>
      <c r="J80" t="s">
        <v>406</v>
      </c>
      <c r="K80">
        <v>0.11497961551367797</v>
      </c>
      <c r="L80" t="s">
        <v>161</v>
      </c>
      <c r="N80" t="s">
        <v>200</v>
      </c>
      <c r="O80" t="s">
        <v>406</v>
      </c>
      <c r="P80">
        <v>0.13988905257996934</v>
      </c>
      <c r="Q80" t="s">
        <v>161</v>
      </c>
      <c r="S80" t="s">
        <v>222</v>
      </c>
      <c r="T80" t="s">
        <v>406</v>
      </c>
      <c r="U80">
        <v>0.14935870335860174</v>
      </c>
      <c r="V80" t="s">
        <v>161</v>
      </c>
      <c r="AK80">
        <v>2039</v>
      </c>
      <c r="AL80" t="s">
        <v>393</v>
      </c>
      <c r="AM80">
        <v>0.43246666666666661</v>
      </c>
      <c r="AN80" t="s">
        <v>236</v>
      </c>
    </row>
    <row r="81" spans="9:40" x14ac:dyDescent="0.45">
      <c r="I81" t="s">
        <v>177</v>
      </c>
      <c r="J81" t="s">
        <v>407</v>
      </c>
      <c r="K81">
        <v>0</v>
      </c>
      <c r="L81" t="s">
        <v>161</v>
      </c>
      <c r="N81" t="s">
        <v>200</v>
      </c>
      <c r="O81" t="s">
        <v>407</v>
      </c>
      <c r="P81">
        <v>0.14009224080843924</v>
      </c>
      <c r="Q81" t="s">
        <v>161</v>
      </c>
      <c r="S81" t="s">
        <v>222</v>
      </c>
      <c r="T81" t="s">
        <v>407</v>
      </c>
      <c r="U81">
        <v>0.14840442687526303</v>
      </c>
      <c r="V81" t="s">
        <v>161</v>
      </c>
      <c r="AK81">
        <v>2039</v>
      </c>
      <c r="AL81" t="s">
        <v>394</v>
      </c>
      <c r="AM81">
        <v>0.42463333333333336</v>
      </c>
      <c r="AN81" t="s">
        <v>236</v>
      </c>
    </row>
    <row r="82" spans="9:40" x14ac:dyDescent="0.45">
      <c r="I82" t="s">
        <v>177</v>
      </c>
      <c r="J82" t="s">
        <v>408</v>
      </c>
      <c r="K82">
        <v>1.2698345552335153E-3</v>
      </c>
      <c r="L82" t="s">
        <v>161</v>
      </c>
      <c r="N82" t="s">
        <v>200</v>
      </c>
      <c r="O82" t="s">
        <v>408</v>
      </c>
      <c r="P82">
        <v>2.5695239983046222E-2</v>
      </c>
      <c r="Q82" t="s">
        <v>161</v>
      </c>
      <c r="S82" t="s">
        <v>222</v>
      </c>
      <c r="T82" t="s">
        <v>408</v>
      </c>
      <c r="U82">
        <v>2.7882094820301406E-2</v>
      </c>
      <c r="V82" t="s">
        <v>161</v>
      </c>
      <c r="AK82">
        <v>2039</v>
      </c>
      <c r="AL82" t="s">
        <v>396</v>
      </c>
      <c r="AM82">
        <v>0.35193333333333326</v>
      </c>
      <c r="AN82" t="s">
        <v>236</v>
      </c>
    </row>
    <row r="83" spans="9:40" x14ac:dyDescent="0.45">
      <c r="I83" t="s">
        <v>178</v>
      </c>
      <c r="J83" t="s">
        <v>397</v>
      </c>
      <c r="K83">
        <v>0.14565441874254254</v>
      </c>
      <c r="L83" t="s">
        <v>161</v>
      </c>
      <c r="N83" t="s">
        <v>201</v>
      </c>
      <c r="O83" t="s">
        <v>397</v>
      </c>
      <c r="P83">
        <v>0.11991111377014618</v>
      </c>
      <c r="Q83" t="s">
        <v>161</v>
      </c>
      <c r="S83" t="s">
        <v>223</v>
      </c>
      <c r="T83" t="s">
        <v>397</v>
      </c>
      <c r="U83">
        <v>0.12600558523087874</v>
      </c>
      <c r="V83" t="s">
        <v>161</v>
      </c>
      <c r="AK83">
        <v>2040</v>
      </c>
      <c r="AL83" t="s">
        <v>391</v>
      </c>
      <c r="AM83">
        <v>0.33960000000000007</v>
      </c>
      <c r="AN83" t="s">
        <v>236</v>
      </c>
    </row>
    <row r="84" spans="9:40" x14ac:dyDescent="0.45">
      <c r="I84" t="s">
        <v>178</v>
      </c>
      <c r="J84" t="s">
        <v>398</v>
      </c>
      <c r="K84">
        <v>5.5727356037237595E-4</v>
      </c>
      <c r="L84" t="s">
        <v>161</v>
      </c>
      <c r="N84" t="s">
        <v>201</v>
      </c>
      <c r="O84" t="s">
        <v>398</v>
      </c>
      <c r="P84">
        <v>0.13334734921333741</v>
      </c>
      <c r="Q84" t="s">
        <v>161</v>
      </c>
      <c r="S84" t="s">
        <v>223</v>
      </c>
      <c r="T84" t="s">
        <v>398</v>
      </c>
      <c r="U84">
        <v>0.12511942294986134</v>
      </c>
      <c r="V84" t="s">
        <v>161</v>
      </c>
      <c r="AK84">
        <v>2040</v>
      </c>
      <c r="AL84" t="s">
        <v>393</v>
      </c>
      <c r="AM84">
        <v>0.41549999999999998</v>
      </c>
      <c r="AN84" t="s">
        <v>236</v>
      </c>
    </row>
    <row r="85" spans="9:40" x14ac:dyDescent="0.45">
      <c r="I85" t="s">
        <v>178</v>
      </c>
      <c r="J85" t="s">
        <v>399</v>
      </c>
      <c r="K85">
        <v>1.1763495156873128E-2</v>
      </c>
      <c r="L85" t="s">
        <v>161</v>
      </c>
      <c r="N85" t="s">
        <v>201</v>
      </c>
      <c r="O85" t="s">
        <v>399</v>
      </c>
      <c r="P85">
        <v>2.2529374339139114E-2</v>
      </c>
      <c r="Q85" t="s">
        <v>161</v>
      </c>
      <c r="S85" t="s">
        <v>223</v>
      </c>
      <c r="T85" t="s">
        <v>399</v>
      </c>
      <c r="U85">
        <v>2.3431859173279789E-2</v>
      </c>
      <c r="V85" t="s">
        <v>161</v>
      </c>
      <c r="AK85">
        <v>2040</v>
      </c>
      <c r="AL85" t="s">
        <v>394</v>
      </c>
      <c r="AM85">
        <v>0.4277333333333333</v>
      </c>
      <c r="AN85" t="s">
        <v>236</v>
      </c>
    </row>
    <row r="86" spans="9:40" x14ac:dyDescent="0.45">
      <c r="I86" t="s">
        <v>178</v>
      </c>
      <c r="J86" t="s">
        <v>400</v>
      </c>
      <c r="K86">
        <v>0.29312661798838163</v>
      </c>
      <c r="L86" t="s">
        <v>161</v>
      </c>
      <c r="N86" t="s">
        <v>201</v>
      </c>
      <c r="O86" t="s">
        <v>400</v>
      </c>
      <c r="P86">
        <v>0.10179482298547</v>
      </c>
      <c r="Q86" t="s">
        <v>161</v>
      </c>
      <c r="S86" t="s">
        <v>223</v>
      </c>
      <c r="T86" t="s">
        <v>400</v>
      </c>
      <c r="U86">
        <v>0.10376675984260775</v>
      </c>
      <c r="V86" t="s">
        <v>161</v>
      </c>
      <c r="AK86">
        <v>2040</v>
      </c>
      <c r="AL86" t="s">
        <v>396</v>
      </c>
      <c r="AM86">
        <v>0.35783333333333339</v>
      </c>
      <c r="AN86" t="s">
        <v>236</v>
      </c>
    </row>
    <row r="87" spans="9:40" x14ac:dyDescent="0.45">
      <c r="I87" t="s">
        <v>178</v>
      </c>
      <c r="J87" t="s">
        <v>401</v>
      </c>
      <c r="K87">
        <v>8.6630343908245862E-3</v>
      </c>
      <c r="L87" t="s">
        <v>161</v>
      </c>
      <c r="N87" t="s">
        <v>201</v>
      </c>
      <c r="O87" t="s">
        <v>401</v>
      </c>
      <c r="P87">
        <v>0.11269242100069683</v>
      </c>
      <c r="Q87" t="s">
        <v>161</v>
      </c>
      <c r="S87" t="s">
        <v>223</v>
      </c>
      <c r="T87" t="s">
        <v>401</v>
      </c>
      <c r="U87">
        <v>0.10872467575214112</v>
      </c>
      <c r="V87" t="s">
        <v>161</v>
      </c>
      <c r="AK87">
        <v>2041</v>
      </c>
      <c r="AL87" t="s">
        <v>391</v>
      </c>
      <c r="AM87">
        <v>0.33723333333333327</v>
      </c>
      <c r="AN87" t="s">
        <v>236</v>
      </c>
    </row>
    <row r="88" spans="9:40" x14ac:dyDescent="0.45">
      <c r="I88" t="s">
        <v>178</v>
      </c>
      <c r="J88" t="s">
        <v>402</v>
      </c>
      <c r="K88">
        <v>3.4366853568373018E-2</v>
      </c>
      <c r="L88" t="s">
        <v>161</v>
      </c>
      <c r="N88" t="s">
        <v>201</v>
      </c>
      <c r="O88" t="s">
        <v>402</v>
      </c>
      <c r="P88">
        <v>1.8587629955695243E-2</v>
      </c>
      <c r="Q88" t="s">
        <v>161</v>
      </c>
      <c r="S88" t="s">
        <v>223</v>
      </c>
      <c r="T88" t="s">
        <v>402</v>
      </c>
      <c r="U88">
        <v>1.8556383112888097E-2</v>
      </c>
      <c r="V88" t="s">
        <v>161</v>
      </c>
      <c r="AK88">
        <v>2041</v>
      </c>
      <c r="AL88" t="s">
        <v>393</v>
      </c>
      <c r="AM88">
        <v>0.4165666666666667</v>
      </c>
      <c r="AN88" t="s">
        <v>236</v>
      </c>
    </row>
    <row r="89" spans="9:40" x14ac:dyDescent="0.45">
      <c r="I89" t="s">
        <v>178</v>
      </c>
      <c r="J89" t="s">
        <v>403</v>
      </c>
      <c r="K89">
        <v>0.36063027259941161</v>
      </c>
      <c r="L89" t="s">
        <v>161</v>
      </c>
      <c r="N89" t="s">
        <v>201</v>
      </c>
      <c r="O89" t="s">
        <v>403</v>
      </c>
      <c r="P89">
        <v>7.1297281490087863E-2</v>
      </c>
      <c r="Q89" t="s">
        <v>161</v>
      </c>
      <c r="S89" t="s">
        <v>223</v>
      </c>
      <c r="T89" t="s">
        <v>403</v>
      </c>
      <c r="U89">
        <v>7.4634901814130711E-2</v>
      </c>
      <c r="V89" t="s">
        <v>161</v>
      </c>
      <c r="AK89">
        <v>2041</v>
      </c>
      <c r="AL89" t="s">
        <v>394</v>
      </c>
      <c r="AM89">
        <v>0.42246666666666671</v>
      </c>
      <c r="AN89" t="s">
        <v>236</v>
      </c>
    </row>
    <row r="90" spans="9:40" x14ac:dyDescent="0.45">
      <c r="I90" t="s">
        <v>178</v>
      </c>
      <c r="J90" t="s">
        <v>404</v>
      </c>
      <c r="K90">
        <v>2.5611782340575241E-2</v>
      </c>
      <c r="L90" t="s">
        <v>161</v>
      </c>
      <c r="N90" t="s">
        <v>201</v>
      </c>
      <c r="O90" t="s">
        <v>404</v>
      </c>
      <c r="P90">
        <v>7.9399305783292892E-2</v>
      </c>
      <c r="Q90" t="s">
        <v>161</v>
      </c>
      <c r="S90" t="s">
        <v>223</v>
      </c>
      <c r="T90" t="s">
        <v>404</v>
      </c>
      <c r="U90">
        <v>7.4802561872245932E-2</v>
      </c>
      <c r="V90" t="s">
        <v>161</v>
      </c>
      <c r="AK90">
        <v>2041</v>
      </c>
      <c r="AL90" t="s">
        <v>396</v>
      </c>
      <c r="AM90">
        <v>0.35039999999999999</v>
      </c>
      <c r="AN90" t="s">
        <v>236</v>
      </c>
    </row>
    <row r="91" spans="9:40" x14ac:dyDescent="0.45">
      <c r="I91" t="s">
        <v>178</v>
      </c>
      <c r="J91" t="s">
        <v>405</v>
      </c>
      <c r="K91">
        <v>4.8556156739816371E-2</v>
      </c>
      <c r="L91" t="s">
        <v>161</v>
      </c>
      <c r="N91" t="s">
        <v>201</v>
      </c>
      <c r="O91" t="s">
        <v>405</v>
      </c>
      <c r="P91">
        <v>1.2691521217260056E-2</v>
      </c>
      <c r="Q91" t="s">
        <v>161</v>
      </c>
      <c r="S91" t="s">
        <v>223</v>
      </c>
      <c r="T91" t="s">
        <v>405</v>
      </c>
      <c r="U91">
        <v>1.3166088284312682E-2</v>
      </c>
      <c r="V91" t="s">
        <v>161</v>
      </c>
      <c r="AK91">
        <v>2042</v>
      </c>
      <c r="AL91" t="s">
        <v>391</v>
      </c>
      <c r="AM91">
        <v>0.33936666666666665</v>
      </c>
      <c r="AN91" t="s">
        <v>236</v>
      </c>
    </row>
    <row r="92" spans="9:40" x14ac:dyDescent="0.45">
      <c r="I92" t="s">
        <v>178</v>
      </c>
      <c r="J92" t="s">
        <v>406</v>
      </c>
      <c r="K92">
        <v>6.8433706483648923E-2</v>
      </c>
      <c r="L92" t="s">
        <v>161</v>
      </c>
      <c r="N92" t="s">
        <v>201</v>
      </c>
      <c r="O92" t="s">
        <v>406</v>
      </c>
      <c r="P92">
        <v>0.14680680981144806</v>
      </c>
      <c r="Q92" t="s">
        <v>161</v>
      </c>
      <c r="S92" t="s">
        <v>223</v>
      </c>
      <c r="T92" t="s">
        <v>406</v>
      </c>
      <c r="U92">
        <v>0.15040444774791717</v>
      </c>
      <c r="V92" t="s">
        <v>161</v>
      </c>
      <c r="AK92">
        <v>2042</v>
      </c>
      <c r="AL92" t="s">
        <v>393</v>
      </c>
      <c r="AM92">
        <v>0.41229999999999994</v>
      </c>
      <c r="AN92" t="s">
        <v>236</v>
      </c>
    </row>
    <row r="93" spans="9:40" x14ac:dyDescent="0.45">
      <c r="I93" t="s">
        <v>178</v>
      </c>
      <c r="J93" t="s">
        <v>407</v>
      </c>
      <c r="K93">
        <v>0</v>
      </c>
      <c r="L93" t="s">
        <v>161</v>
      </c>
      <c r="N93" t="s">
        <v>201</v>
      </c>
      <c r="O93" t="s">
        <v>407</v>
      </c>
      <c r="P93">
        <v>0.15394849236653513</v>
      </c>
      <c r="Q93" t="s">
        <v>161</v>
      </c>
      <c r="S93" t="s">
        <v>223</v>
      </c>
      <c r="T93" t="s">
        <v>407</v>
      </c>
      <c r="U93">
        <v>0.15291074896988746</v>
      </c>
      <c r="V93" t="s">
        <v>161</v>
      </c>
      <c r="AK93">
        <v>2042</v>
      </c>
      <c r="AL93" t="s">
        <v>394</v>
      </c>
      <c r="AM93">
        <v>0.43520000000000003</v>
      </c>
      <c r="AN93" t="s">
        <v>236</v>
      </c>
    </row>
    <row r="94" spans="9:40" x14ac:dyDescent="0.45">
      <c r="I94" t="s">
        <v>178</v>
      </c>
      <c r="J94" t="s">
        <v>408</v>
      </c>
      <c r="K94">
        <v>2.6363884291804233E-3</v>
      </c>
      <c r="L94" t="s">
        <v>161</v>
      </c>
      <c r="N94" t="s">
        <v>201</v>
      </c>
      <c r="O94" t="s">
        <v>408</v>
      </c>
      <c r="P94">
        <v>2.6993878066887737E-2</v>
      </c>
      <c r="Q94" t="s">
        <v>161</v>
      </c>
      <c r="S94" t="s">
        <v>223</v>
      </c>
      <c r="T94" t="s">
        <v>408</v>
      </c>
      <c r="U94">
        <v>2.8476565249852558E-2</v>
      </c>
      <c r="V94" t="s">
        <v>161</v>
      </c>
      <c r="AK94">
        <v>2042</v>
      </c>
      <c r="AL94" t="s">
        <v>396</v>
      </c>
      <c r="AM94">
        <v>0.36519999999999997</v>
      </c>
      <c r="AN94" t="s">
        <v>236</v>
      </c>
    </row>
    <row r="95" spans="9:40" x14ac:dyDescent="0.45">
      <c r="I95" t="s">
        <v>179</v>
      </c>
      <c r="J95" t="s">
        <v>397</v>
      </c>
      <c r="K95">
        <v>0.14614321647176165</v>
      </c>
      <c r="L95" t="s">
        <v>161</v>
      </c>
      <c r="N95" t="s">
        <v>202</v>
      </c>
      <c r="O95" t="s">
        <v>397</v>
      </c>
      <c r="P95">
        <v>0.12301269089267811</v>
      </c>
      <c r="Q95" t="s">
        <v>161</v>
      </c>
      <c r="S95" t="s">
        <v>224</v>
      </c>
      <c r="T95" t="s">
        <v>397</v>
      </c>
      <c r="U95">
        <v>0.12548214339894506</v>
      </c>
      <c r="V95" t="s">
        <v>161</v>
      </c>
      <c r="AK95">
        <v>2043</v>
      </c>
      <c r="AL95" t="s">
        <v>391</v>
      </c>
      <c r="AM95">
        <v>0.33693333333333331</v>
      </c>
      <c r="AN95" t="s">
        <v>236</v>
      </c>
    </row>
    <row r="96" spans="9:40" x14ac:dyDescent="0.45">
      <c r="I96" t="s">
        <v>179</v>
      </c>
      <c r="J96" t="s">
        <v>398</v>
      </c>
      <c r="K96">
        <v>3.4799466023957066E-4</v>
      </c>
      <c r="L96" t="s">
        <v>161</v>
      </c>
      <c r="N96" t="s">
        <v>202</v>
      </c>
      <c r="O96" t="s">
        <v>398</v>
      </c>
      <c r="P96">
        <v>0.14232212219862633</v>
      </c>
      <c r="Q96" t="s">
        <v>161</v>
      </c>
      <c r="S96" t="s">
        <v>224</v>
      </c>
      <c r="T96" t="s">
        <v>398</v>
      </c>
      <c r="U96">
        <v>0.12563761992052686</v>
      </c>
      <c r="V96" t="s">
        <v>161</v>
      </c>
      <c r="AK96">
        <v>2043</v>
      </c>
      <c r="AL96" t="s">
        <v>393</v>
      </c>
      <c r="AM96">
        <v>0.40823333333333339</v>
      </c>
      <c r="AN96" t="s">
        <v>236</v>
      </c>
    </row>
    <row r="97" spans="9:40" x14ac:dyDescent="0.45">
      <c r="I97" t="s">
        <v>179</v>
      </c>
      <c r="J97" t="s">
        <v>399</v>
      </c>
      <c r="K97">
        <v>9.6239940471148609E-3</v>
      </c>
      <c r="L97" t="s">
        <v>161</v>
      </c>
      <c r="N97" t="s">
        <v>202</v>
      </c>
      <c r="O97" t="s">
        <v>399</v>
      </c>
      <c r="P97">
        <v>2.3824940795302028E-2</v>
      </c>
      <c r="Q97" t="s">
        <v>161</v>
      </c>
      <c r="S97" t="s">
        <v>224</v>
      </c>
      <c r="T97" t="s">
        <v>399</v>
      </c>
      <c r="U97">
        <v>2.2940245244025294E-2</v>
      </c>
      <c r="V97" t="s">
        <v>161</v>
      </c>
      <c r="AK97">
        <v>2043</v>
      </c>
      <c r="AL97" t="s">
        <v>394</v>
      </c>
      <c r="AM97">
        <v>0.44470000000000004</v>
      </c>
      <c r="AN97" t="s">
        <v>236</v>
      </c>
    </row>
    <row r="98" spans="9:40" x14ac:dyDescent="0.45">
      <c r="I98" t="s">
        <v>179</v>
      </c>
      <c r="J98" t="s">
        <v>400</v>
      </c>
      <c r="K98">
        <v>0.30986314014783273</v>
      </c>
      <c r="L98" t="s">
        <v>161</v>
      </c>
      <c r="N98" t="s">
        <v>202</v>
      </c>
      <c r="O98" t="s">
        <v>400</v>
      </c>
      <c r="P98">
        <v>9.9981493147667841E-2</v>
      </c>
      <c r="Q98" t="s">
        <v>161</v>
      </c>
      <c r="S98" t="s">
        <v>224</v>
      </c>
      <c r="T98" t="s">
        <v>400</v>
      </c>
      <c r="U98">
        <v>0.10728810025410808</v>
      </c>
      <c r="V98" t="s">
        <v>161</v>
      </c>
      <c r="AK98">
        <v>2043</v>
      </c>
      <c r="AL98" t="s">
        <v>396</v>
      </c>
      <c r="AM98">
        <v>0.34919999999999995</v>
      </c>
      <c r="AN98" t="s">
        <v>236</v>
      </c>
    </row>
    <row r="99" spans="9:40" x14ac:dyDescent="0.45">
      <c r="I99" t="s">
        <v>179</v>
      </c>
      <c r="J99" t="s">
        <v>401</v>
      </c>
      <c r="K99">
        <v>8.2337258446231239E-3</v>
      </c>
      <c r="L99" t="s">
        <v>161</v>
      </c>
      <c r="N99" t="s">
        <v>202</v>
      </c>
      <c r="O99" t="s">
        <v>401</v>
      </c>
      <c r="P99">
        <v>0.11103943040871808</v>
      </c>
      <c r="Q99" t="s">
        <v>161</v>
      </c>
      <c r="S99" t="s">
        <v>224</v>
      </c>
      <c r="T99" t="s">
        <v>401</v>
      </c>
      <c r="U99">
        <v>0.11329401392413747</v>
      </c>
      <c r="V99" t="s">
        <v>161</v>
      </c>
      <c r="AK99">
        <v>2044</v>
      </c>
      <c r="AL99" t="s">
        <v>391</v>
      </c>
      <c r="AM99">
        <v>0.35416666666666669</v>
      </c>
      <c r="AN99" t="s">
        <v>236</v>
      </c>
    </row>
    <row r="100" spans="9:40" x14ac:dyDescent="0.45">
      <c r="I100" t="s">
        <v>179</v>
      </c>
      <c r="J100" t="s">
        <v>402</v>
      </c>
      <c r="K100">
        <v>3.5858760789666606E-2</v>
      </c>
      <c r="L100" t="s">
        <v>161</v>
      </c>
      <c r="N100" t="s">
        <v>202</v>
      </c>
      <c r="O100" t="s">
        <v>402</v>
      </c>
      <c r="P100">
        <v>1.9220692157766145E-2</v>
      </c>
      <c r="Q100" t="s">
        <v>161</v>
      </c>
      <c r="S100" t="s">
        <v>224</v>
      </c>
      <c r="T100" t="s">
        <v>402</v>
      </c>
      <c r="U100">
        <v>2.0633248256769807E-2</v>
      </c>
      <c r="V100" t="s">
        <v>161</v>
      </c>
      <c r="AK100">
        <v>2044</v>
      </c>
      <c r="AL100" t="s">
        <v>393</v>
      </c>
      <c r="AM100">
        <v>0.41673333333333334</v>
      </c>
      <c r="AN100" t="s">
        <v>236</v>
      </c>
    </row>
    <row r="101" spans="9:40" x14ac:dyDescent="0.45">
      <c r="I101" t="s">
        <v>179</v>
      </c>
      <c r="J101" t="s">
        <v>403</v>
      </c>
      <c r="K101">
        <v>0.34857806975618671</v>
      </c>
      <c r="L101" t="s">
        <v>161</v>
      </c>
      <c r="N101" t="s">
        <v>202</v>
      </c>
      <c r="O101" t="s">
        <v>403</v>
      </c>
      <c r="P101">
        <v>6.4017834190452483E-2</v>
      </c>
      <c r="Q101" t="s">
        <v>161</v>
      </c>
      <c r="S101" t="s">
        <v>224</v>
      </c>
      <c r="T101" t="s">
        <v>403</v>
      </c>
      <c r="U101">
        <v>7.1827707407693189E-2</v>
      </c>
      <c r="V101" t="s">
        <v>161</v>
      </c>
      <c r="AK101">
        <v>2044</v>
      </c>
      <c r="AL101" t="s">
        <v>394</v>
      </c>
      <c r="AM101">
        <v>0.42836666666666673</v>
      </c>
      <c r="AN101" t="s">
        <v>236</v>
      </c>
    </row>
    <row r="102" spans="9:40" x14ac:dyDescent="0.45">
      <c r="I102" t="s">
        <v>179</v>
      </c>
      <c r="J102" t="s">
        <v>404</v>
      </c>
      <c r="K102">
        <v>2.4302176430287412E-2</v>
      </c>
      <c r="L102" t="s">
        <v>161</v>
      </c>
      <c r="N102" t="s">
        <v>202</v>
      </c>
      <c r="O102" t="s">
        <v>404</v>
      </c>
      <c r="P102">
        <v>7.4842364217392446E-2</v>
      </c>
      <c r="Q102" t="s">
        <v>161</v>
      </c>
      <c r="S102" t="s">
        <v>224</v>
      </c>
      <c r="T102" t="s">
        <v>404</v>
      </c>
      <c r="U102">
        <v>8.2965368883933369E-2</v>
      </c>
      <c r="V102" t="s">
        <v>161</v>
      </c>
      <c r="AK102">
        <v>2044</v>
      </c>
      <c r="AL102" t="s">
        <v>396</v>
      </c>
      <c r="AM102">
        <v>0.3637333333333333</v>
      </c>
      <c r="AN102" t="s">
        <v>236</v>
      </c>
    </row>
    <row r="103" spans="9:40" x14ac:dyDescent="0.45">
      <c r="I103" t="s">
        <v>179</v>
      </c>
      <c r="J103" t="s">
        <v>405</v>
      </c>
      <c r="K103">
        <v>4.8678685200595387E-2</v>
      </c>
      <c r="L103" t="s">
        <v>161</v>
      </c>
      <c r="N103" t="s">
        <v>202</v>
      </c>
      <c r="O103" t="s">
        <v>405</v>
      </c>
      <c r="P103">
        <v>1.1461341694524214E-2</v>
      </c>
      <c r="Q103" t="s">
        <v>161</v>
      </c>
      <c r="S103" t="s">
        <v>224</v>
      </c>
      <c r="T103" t="s">
        <v>405</v>
      </c>
      <c r="U103">
        <v>1.4033018893182123E-2</v>
      </c>
      <c r="V103" t="s">
        <v>161</v>
      </c>
      <c r="AK103">
        <v>2045</v>
      </c>
      <c r="AL103" t="s">
        <v>391</v>
      </c>
      <c r="AM103">
        <v>0.33239999999999997</v>
      </c>
      <c r="AN103" t="s">
        <v>236</v>
      </c>
    </row>
    <row r="104" spans="9:40" x14ac:dyDescent="0.45">
      <c r="I104" t="s">
        <v>179</v>
      </c>
      <c r="J104" t="s">
        <v>406</v>
      </c>
      <c r="K104">
        <v>6.6316058964982244E-2</v>
      </c>
      <c r="L104" t="s">
        <v>161</v>
      </c>
      <c r="N104" t="s">
        <v>202</v>
      </c>
      <c r="O104" t="s">
        <v>406</v>
      </c>
      <c r="P104">
        <v>0.14468073934844333</v>
      </c>
      <c r="Q104" t="s">
        <v>161</v>
      </c>
      <c r="S104" t="s">
        <v>224</v>
      </c>
      <c r="T104" t="s">
        <v>406</v>
      </c>
      <c r="U104">
        <v>0.14468353120954702</v>
      </c>
      <c r="V104" t="s">
        <v>161</v>
      </c>
      <c r="AK104">
        <v>2045</v>
      </c>
      <c r="AL104" t="s">
        <v>393</v>
      </c>
      <c r="AM104">
        <v>0.38896666666666668</v>
      </c>
      <c r="AN104" t="s">
        <v>236</v>
      </c>
    </row>
    <row r="105" spans="9:40" x14ac:dyDescent="0.45">
      <c r="I105" t="s">
        <v>179</v>
      </c>
      <c r="J105" t="s">
        <v>407</v>
      </c>
      <c r="K105">
        <v>0</v>
      </c>
      <c r="L105" t="s">
        <v>161</v>
      </c>
      <c r="N105" t="s">
        <v>202</v>
      </c>
      <c r="O105" t="s">
        <v>407</v>
      </c>
      <c r="P105">
        <v>0.15784898757909963</v>
      </c>
      <c r="Q105" t="s">
        <v>161</v>
      </c>
      <c r="S105" t="s">
        <v>224</v>
      </c>
      <c r="T105" t="s">
        <v>407</v>
      </c>
      <c r="U105">
        <v>0.14472197907020101</v>
      </c>
      <c r="V105" t="s">
        <v>161</v>
      </c>
      <c r="AK105">
        <v>2045</v>
      </c>
      <c r="AL105" t="s">
        <v>394</v>
      </c>
      <c r="AM105">
        <v>0.44080000000000003</v>
      </c>
      <c r="AN105" t="s">
        <v>236</v>
      </c>
    </row>
    <row r="106" spans="9:40" x14ac:dyDescent="0.45">
      <c r="I106" t="s">
        <v>179</v>
      </c>
      <c r="J106" t="s">
        <v>408</v>
      </c>
      <c r="K106">
        <v>2.0541776867085736E-3</v>
      </c>
      <c r="L106" t="s">
        <v>161</v>
      </c>
      <c r="N106" t="s">
        <v>202</v>
      </c>
      <c r="O106" t="s">
        <v>408</v>
      </c>
      <c r="P106">
        <v>2.7747363369327944E-2</v>
      </c>
      <c r="Q106" t="s">
        <v>161</v>
      </c>
      <c r="S106" t="s">
        <v>224</v>
      </c>
      <c r="T106" t="s">
        <v>408</v>
      </c>
      <c r="U106">
        <v>2.6493023536932732E-2</v>
      </c>
      <c r="V106" t="s">
        <v>161</v>
      </c>
      <c r="AK106">
        <v>2045</v>
      </c>
      <c r="AL106" t="s">
        <v>396</v>
      </c>
      <c r="AM106">
        <v>0.36716666666666664</v>
      </c>
      <c r="AN106" t="s">
        <v>236</v>
      </c>
    </row>
    <row r="107" spans="9:40" x14ac:dyDescent="0.45">
      <c r="I107" t="s">
        <v>180</v>
      </c>
      <c r="J107" t="s">
        <v>397</v>
      </c>
      <c r="K107">
        <v>0.14563961259363911</v>
      </c>
      <c r="L107" t="s">
        <v>161</v>
      </c>
      <c r="N107" t="s">
        <v>203</v>
      </c>
      <c r="O107" t="s">
        <v>397</v>
      </c>
      <c r="P107">
        <v>0.12487320041596012</v>
      </c>
      <c r="Q107" t="s">
        <v>161</v>
      </c>
      <c r="S107" t="s">
        <v>225</v>
      </c>
      <c r="T107" t="s">
        <v>397</v>
      </c>
      <c r="U107">
        <v>0.1285285839059368</v>
      </c>
      <c r="V107" t="s">
        <v>161</v>
      </c>
      <c r="AK107">
        <v>2046</v>
      </c>
      <c r="AL107" t="s">
        <v>391</v>
      </c>
      <c r="AM107">
        <v>0.35180000000000006</v>
      </c>
      <c r="AN107" t="s">
        <v>236</v>
      </c>
    </row>
    <row r="108" spans="9:40" x14ac:dyDescent="0.45">
      <c r="I108" t="s">
        <v>180</v>
      </c>
      <c r="J108" t="s">
        <v>398</v>
      </c>
      <c r="K108">
        <v>5.5520138117213505E-4</v>
      </c>
      <c r="L108" t="s">
        <v>161</v>
      </c>
      <c r="N108" t="s">
        <v>203</v>
      </c>
      <c r="O108" t="s">
        <v>398</v>
      </c>
      <c r="P108">
        <v>0.13373388638920139</v>
      </c>
      <c r="Q108" t="s">
        <v>161</v>
      </c>
      <c r="S108" t="s">
        <v>225</v>
      </c>
      <c r="T108" t="s">
        <v>398</v>
      </c>
      <c r="U108">
        <v>0.12711690822291791</v>
      </c>
      <c r="V108" t="s">
        <v>161</v>
      </c>
      <c r="AK108">
        <v>2046</v>
      </c>
      <c r="AL108" t="s">
        <v>393</v>
      </c>
      <c r="AM108">
        <v>0.39473333333333338</v>
      </c>
      <c r="AN108" t="s">
        <v>236</v>
      </c>
    </row>
    <row r="109" spans="9:40" x14ac:dyDescent="0.45">
      <c r="I109" t="s">
        <v>180</v>
      </c>
      <c r="J109" t="s">
        <v>399</v>
      </c>
      <c r="K109">
        <v>1.1358593665354527E-2</v>
      </c>
      <c r="L109" t="s">
        <v>161</v>
      </c>
      <c r="N109" t="s">
        <v>203</v>
      </c>
      <c r="O109" t="s">
        <v>399</v>
      </c>
      <c r="P109">
        <v>2.2957953246261494E-2</v>
      </c>
      <c r="Q109" t="s">
        <v>161</v>
      </c>
      <c r="S109" t="s">
        <v>225</v>
      </c>
      <c r="T109" t="s">
        <v>399</v>
      </c>
      <c r="U109">
        <v>2.2947519435812452E-2</v>
      </c>
      <c r="V109" t="s">
        <v>161</v>
      </c>
      <c r="AK109">
        <v>2046</v>
      </c>
      <c r="AL109" t="s">
        <v>394</v>
      </c>
      <c r="AM109">
        <v>0.43573333333333331</v>
      </c>
      <c r="AN109" t="s">
        <v>236</v>
      </c>
    </row>
    <row r="110" spans="9:40" x14ac:dyDescent="0.45">
      <c r="I110" t="s">
        <v>180</v>
      </c>
      <c r="J110" t="s">
        <v>400</v>
      </c>
      <c r="K110">
        <v>0.30106141479684478</v>
      </c>
      <c r="L110" t="s">
        <v>161</v>
      </c>
      <c r="N110" t="s">
        <v>203</v>
      </c>
      <c r="O110" t="s">
        <v>400</v>
      </c>
      <c r="P110">
        <v>9.8851523217477158E-2</v>
      </c>
      <c r="Q110" t="s">
        <v>161</v>
      </c>
      <c r="S110" t="s">
        <v>225</v>
      </c>
      <c r="T110" t="s">
        <v>400</v>
      </c>
      <c r="U110">
        <v>0.1043530694839828</v>
      </c>
      <c r="V110" t="s">
        <v>161</v>
      </c>
      <c r="AK110">
        <v>2046</v>
      </c>
      <c r="AL110" t="s">
        <v>396</v>
      </c>
      <c r="AM110">
        <v>0.35726666666666668</v>
      </c>
      <c r="AN110" t="s">
        <v>236</v>
      </c>
    </row>
    <row r="111" spans="9:40" x14ac:dyDescent="0.45">
      <c r="I111" t="s">
        <v>180</v>
      </c>
      <c r="J111" t="s">
        <v>401</v>
      </c>
      <c r="K111">
        <v>1.023521504664744E-2</v>
      </c>
      <c r="L111" t="s">
        <v>161</v>
      </c>
      <c r="N111" t="s">
        <v>203</v>
      </c>
      <c r="O111" t="s">
        <v>401</v>
      </c>
      <c r="P111">
        <v>0.11016957418210074</v>
      </c>
      <c r="Q111" t="s">
        <v>161</v>
      </c>
      <c r="S111" t="s">
        <v>225</v>
      </c>
      <c r="T111" t="s">
        <v>401</v>
      </c>
      <c r="U111">
        <v>0.11352328394755082</v>
      </c>
      <c r="V111" t="s">
        <v>161</v>
      </c>
      <c r="AK111">
        <v>2047</v>
      </c>
      <c r="AL111" t="s">
        <v>391</v>
      </c>
      <c r="AM111">
        <v>0.33673333333333333</v>
      </c>
      <c r="AN111" t="s">
        <v>236</v>
      </c>
    </row>
    <row r="112" spans="9:40" x14ac:dyDescent="0.45">
      <c r="I112" t="s">
        <v>180</v>
      </c>
      <c r="J112" t="s">
        <v>402</v>
      </c>
      <c r="K112">
        <v>3.9341699698403086E-2</v>
      </c>
      <c r="L112" t="s">
        <v>161</v>
      </c>
      <c r="N112" t="s">
        <v>203</v>
      </c>
      <c r="O112" t="s">
        <v>402</v>
      </c>
      <c r="P112">
        <v>1.8343007360385986E-2</v>
      </c>
      <c r="Q112" t="s">
        <v>161</v>
      </c>
      <c r="S112" t="s">
        <v>225</v>
      </c>
      <c r="T112" t="s">
        <v>402</v>
      </c>
      <c r="U112">
        <v>1.9730111628910967E-2</v>
      </c>
      <c r="V112" t="s">
        <v>161</v>
      </c>
      <c r="AK112">
        <v>2047</v>
      </c>
      <c r="AL112" t="s">
        <v>393</v>
      </c>
      <c r="AM112">
        <v>0.40166666666666667</v>
      </c>
      <c r="AN112" t="s">
        <v>236</v>
      </c>
    </row>
    <row r="113" spans="9:40" x14ac:dyDescent="0.45">
      <c r="I113" t="s">
        <v>180</v>
      </c>
      <c r="J113" t="s">
        <v>403</v>
      </c>
      <c r="K113">
        <v>0.34597279857361229</v>
      </c>
      <c r="L113" t="s">
        <v>161</v>
      </c>
      <c r="N113" t="s">
        <v>203</v>
      </c>
      <c r="O113" t="s">
        <v>403</v>
      </c>
      <c r="P113">
        <v>7.5271168055101756E-2</v>
      </c>
      <c r="Q113" t="s">
        <v>161</v>
      </c>
      <c r="S113" t="s">
        <v>225</v>
      </c>
      <c r="T113" t="s">
        <v>403</v>
      </c>
      <c r="U113">
        <v>7.3459769646717313E-2</v>
      </c>
      <c r="V113" t="s">
        <v>161</v>
      </c>
      <c r="AK113">
        <v>2047</v>
      </c>
      <c r="AL113" t="s">
        <v>394</v>
      </c>
      <c r="AM113">
        <v>0.46426666666666666</v>
      </c>
      <c r="AN113" t="s">
        <v>236</v>
      </c>
    </row>
    <row r="114" spans="9:40" x14ac:dyDescent="0.45">
      <c r="I114" t="s">
        <v>180</v>
      </c>
      <c r="J114" t="s">
        <v>404</v>
      </c>
      <c r="K114">
        <v>2.6566861470329505E-2</v>
      </c>
      <c r="L114" t="s">
        <v>161</v>
      </c>
      <c r="N114" t="s">
        <v>203</v>
      </c>
      <c r="O114" t="s">
        <v>404</v>
      </c>
      <c r="P114">
        <v>8.080263472240512E-2</v>
      </c>
      <c r="Q114" t="s">
        <v>161</v>
      </c>
      <c r="S114" t="s">
        <v>225</v>
      </c>
      <c r="T114" t="s">
        <v>404</v>
      </c>
      <c r="U114">
        <v>8.2793102164953017E-2</v>
      </c>
      <c r="V114" t="s">
        <v>161</v>
      </c>
      <c r="AK114">
        <v>2047</v>
      </c>
      <c r="AL114" t="s">
        <v>396</v>
      </c>
      <c r="AM114">
        <v>0.33203333333333335</v>
      </c>
      <c r="AN114" t="s">
        <v>236</v>
      </c>
    </row>
    <row r="115" spans="9:40" x14ac:dyDescent="0.45">
      <c r="I115" t="s">
        <v>180</v>
      </c>
      <c r="J115" t="s">
        <v>405</v>
      </c>
      <c r="K115">
        <v>5.1386660138808285E-2</v>
      </c>
      <c r="L115" t="s">
        <v>161</v>
      </c>
      <c r="N115" t="s">
        <v>203</v>
      </c>
      <c r="O115" t="s">
        <v>405</v>
      </c>
      <c r="P115">
        <v>1.2613564207665186E-2</v>
      </c>
      <c r="Q115" t="s">
        <v>161</v>
      </c>
      <c r="S115" t="s">
        <v>225</v>
      </c>
      <c r="T115" t="s">
        <v>405</v>
      </c>
      <c r="U115">
        <v>1.388346425284843E-2</v>
      </c>
      <c r="V115" t="s">
        <v>161</v>
      </c>
      <c r="AK115">
        <v>2048</v>
      </c>
      <c r="AL115" t="s">
        <v>391</v>
      </c>
      <c r="AM115">
        <v>0.34603333333333336</v>
      </c>
      <c r="AN115" t="s">
        <v>236</v>
      </c>
    </row>
    <row r="116" spans="9:40" x14ac:dyDescent="0.45">
      <c r="I116" t="s">
        <v>180</v>
      </c>
      <c r="J116" t="s">
        <v>406</v>
      </c>
      <c r="K116">
        <v>6.5340403340578043E-2</v>
      </c>
      <c r="L116" t="s">
        <v>161</v>
      </c>
      <c r="N116" t="s">
        <v>203</v>
      </c>
      <c r="O116" t="s">
        <v>406</v>
      </c>
      <c r="P116">
        <v>0.14768328469243561</v>
      </c>
      <c r="Q116" t="s">
        <v>161</v>
      </c>
      <c r="S116" t="s">
        <v>225</v>
      </c>
      <c r="T116" t="s">
        <v>406</v>
      </c>
      <c r="U116">
        <v>0.14485675980064469</v>
      </c>
      <c r="V116" t="s">
        <v>161</v>
      </c>
      <c r="AK116">
        <v>2048</v>
      </c>
      <c r="AL116" t="s">
        <v>393</v>
      </c>
      <c r="AM116">
        <v>0.42516666666666669</v>
      </c>
      <c r="AN116" t="s">
        <v>236</v>
      </c>
    </row>
    <row r="117" spans="9:40" x14ac:dyDescent="0.45">
      <c r="I117" t="s">
        <v>180</v>
      </c>
      <c r="J117" t="s">
        <v>407</v>
      </c>
      <c r="K117">
        <v>0</v>
      </c>
      <c r="L117" t="s">
        <v>161</v>
      </c>
      <c r="N117" t="s">
        <v>203</v>
      </c>
      <c r="O117" t="s">
        <v>407</v>
      </c>
      <c r="P117">
        <v>0.1482840954450681</v>
      </c>
      <c r="Q117" t="s">
        <v>161</v>
      </c>
      <c r="S117" t="s">
        <v>225</v>
      </c>
      <c r="T117" t="s">
        <v>407</v>
      </c>
      <c r="U117">
        <v>0.14258240570148567</v>
      </c>
      <c r="V117" t="s">
        <v>161</v>
      </c>
      <c r="AK117">
        <v>2048</v>
      </c>
      <c r="AL117" t="s">
        <v>394</v>
      </c>
      <c r="AM117">
        <v>0.43490000000000001</v>
      </c>
      <c r="AN117" t="s">
        <v>236</v>
      </c>
    </row>
    <row r="118" spans="9:40" x14ac:dyDescent="0.45">
      <c r="I118" t="s">
        <v>180</v>
      </c>
      <c r="J118" t="s">
        <v>408</v>
      </c>
      <c r="K118">
        <v>2.5415392946075339E-3</v>
      </c>
      <c r="L118" t="s">
        <v>161</v>
      </c>
      <c r="N118" t="s">
        <v>203</v>
      </c>
      <c r="O118" t="s">
        <v>408</v>
      </c>
      <c r="P118">
        <v>2.6416108065941076E-2</v>
      </c>
      <c r="Q118" t="s">
        <v>161</v>
      </c>
      <c r="S118" t="s">
        <v>225</v>
      </c>
      <c r="T118" t="s">
        <v>408</v>
      </c>
      <c r="U118">
        <v>2.6225021808240004E-2</v>
      </c>
      <c r="V118" t="s">
        <v>161</v>
      </c>
      <c r="AK118">
        <v>2048</v>
      </c>
      <c r="AL118" t="s">
        <v>396</v>
      </c>
      <c r="AM118">
        <v>0.34893333333333332</v>
      </c>
      <c r="AN118" t="s">
        <v>236</v>
      </c>
    </row>
    <row r="119" spans="9:40" x14ac:dyDescent="0.45">
      <c r="I119" t="s">
        <v>181</v>
      </c>
      <c r="J119" t="s">
        <v>397</v>
      </c>
      <c r="K119">
        <v>0.16034220496418414</v>
      </c>
      <c r="L119" t="s">
        <v>161</v>
      </c>
      <c r="N119" t="s">
        <v>204</v>
      </c>
      <c r="O119" t="s">
        <v>397</v>
      </c>
      <c r="P119">
        <v>0.12729377851990381</v>
      </c>
      <c r="Q119" t="s">
        <v>161</v>
      </c>
      <c r="S119" t="s">
        <v>226</v>
      </c>
      <c r="T119" t="s">
        <v>397</v>
      </c>
      <c r="U119">
        <v>0.12829287544656878</v>
      </c>
      <c r="V119" t="s">
        <v>161</v>
      </c>
      <c r="AK119">
        <v>2049</v>
      </c>
      <c r="AL119" t="s">
        <v>391</v>
      </c>
      <c r="AM119">
        <v>0.35843333333333333</v>
      </c>
      <c r="AN119" t="s">
        <v>236</v>
      </c>
    </row>
    <row r="120" spans="9:40" x14ac:dyDescent="0.45">
      <c r="I120" t="s">
        <v>181</v>
      </c>
      <c r="J120" t="s">
        <v>398</v>
      </c>
      <c r="K120">
        <v>4.4065135646298003E-4</v>
      </c>
      <c r="L120" t="s">
        <v>161</v>
      </c>
      <c r="N120" t="s">
        <v>204</v>
      </c>
      <c r="O120" t="s">
        <v>398</v>
      </c>
      <c r="P120">
        <v>0.13915994422565145</v>
      </c>
      <c r="Q120" t="s">
        <v>161</v>
      </c>
      <c r="S120" t="s">
        <v>226</v>
      </c>
      <c r="T120" t="s">
        <v>398</v>
      </c>
      <c r="U120">
        <v>0.12861486328467547</v>
      </c>
      <c r="V120" t="s">
        <v>161</v>
      </c>
      <c r="AK120">
        <v>2049</v>
      </c>
      <c r="AL120" t="s">
        <v>393</v>
      </c>
      <c r="AM120">
        <v>0.42696666666666666</v>
      </c>
      <c r="AN120" t="s">
        <v>236</v>
      </c>
    </row>
    <row r="121" spans="9:40" x14ac:dyDescent="0.45">
      <c r="I121" t="s">
        <v>181</v>
      </c>
      <c r="J121" t="s">
        <v>399</v>
      </c>
      <c r="K121">
        <v>1.1691592177913027E-2</v>
      </c>
      <c r="L121" t="s">
        <v>161</v>
      </c>
      <c r="N121" t="s">
        <v>204</v>
      </c>
      <c r="O121" t="s">
        <v>399</v>
      </c>
      <c r="P121">
        <v>2.3418710116358644E-2</v>
      </c>
      <c r="Q121" t="s">
        <v>161</v>
      </c>
      <c r="S121" t="s">
        <v>226</v>
      </c>
      <c r="T121" t="s">
        <v>399</v>
      </c>
      <c r="U121">
        <v>2.3696878318162775E-2</v>
      </c>
      <c r="V121" t="s">
        <v>161</v>
      </c>
      <c r="AK121">
        <v>2049</v>
      </c>
      <c r="AL121" t="s">
        <v>394</v>
      </c>
      <c r="AM121">
        <v>0.40700000000000003</v>
      </c>
      <c r="AN121" t="s">
        <v>236</v>
      </c>
    </row>
    <row r="122" spans="9:40" x14ac:dyDescent="0.45">
      <c r="I122" t="s">
        <v>181</v>
      </c>
      <c r="J122" t="s">
        <v>400</v>
      </c>
      <c r="K122">
        <v>0.26820685875754596</v>
      </c>
      <c r="L122" t="s">
        <v>161</v>
      </c>
      <c r="N122" t="s">
        <v>204</v>
      </c>
      <c r="O122" t="s">
        <v>400</v>
      </c>
      <c r="P122">
        <v>9.2286273439179292E-2</v>
      </c>
      <c r="Q122" t="s">
        <v>161</v>
      </c>
      <c r="S122" t="s">
        <v>226</v>
      </c>
      <c r="T122" t="s">
        <v>400</v>
      </c>
      <c r="U122">
        <v>0.10416735715591979</v>
      </c>
      <c r="V122" t="s">
        <v>161</v>
      </c>
      <c r="AK122">
        <v>2049</v>
      </c>
      <c r="AL122" t="s">
        <v>396</v>
      </c>
      <c r="AM122">
        <v>0.36509999999999998</v>
      </c>
      <c r="AN122" t="s">
        <v>236</v>
      </c>
    </row>
    <row r="123" spans="9:40" x14ac:dyDescent="0.45">
      <c r="I123" t="s">
        <v>181</v>
      </c>
      <c r="J123" t="s">
        <v>401</v>
      </c>
      <c r="K123">
        <v>6.2043153108155887E-3</v>
      </c>
      <c r="L123" t="s">
        <v>161</v>
      </c>
      <c r="N123" t="s">
        <v>204</v>
      </c>
      <c r="O123" t="s">
        <v>401</v>
      </c>
      <c r="P123">
        <v>9.8334591539343222E-2</v>
      </c>
      <c r="Q123" t="s">
        <v>161</v>
      </c>
      <c r="S123" t="s">
        <v>226</v>
      </c>
      <c r="T123" t="s">
        <v>401</v>
      </c>
      <c r="U123">
        <v>0.11153027899890869</v>
      </c>
      <c r="V123" t="s">
        <v>161</v>
      </c>
      <c r="AK123">
        <v>2050</v>
      </c>
      <c r="AL123" t="s">
        <v>391</v>
      </c>
      <c r="AM123">
        <v>0.3344333333333333</v>
      </c>
      <c r="AN123" t="s">
        <v>236</v>
      </c>
    </row>
    <row r="124" spans="9:40" x14ac:dyDescent="0.45">
      <c r="I124" t="s">
        <v>181</v>
      </c>
      <c r="J124" t="s">
        <v>402</v>
      </c>
      <c r="K124">
        <v>2.9703623624755773E-2</v>
      </c>
      <c r="L124" t="s">
        <v>161</v>
      </c>
      <c r="N124" t="s">
        <v>204</v>
      </c>
      <c r="O124" t="s">
        <v>402</v>
      </c>
      <c r="P124">
        <v>1.7167978392781849E-2</v>
      </c>
      <c r="Q124" t="s">
        <v>161</v>
      </c>
      <c r="S124" t="s">
        <v>226</v>
      </c>
      <c r="T124" t="s">
        <v>402</v>
      </c>
      <c r="U124">
        <v>1.9489887254354289E-2</v>
      </c>
      <c r="V124" t="s">
        <v>161</v>
      </c>
      <c r="AK124">
        <v>2050</v>
      </c>
      <c r="AL124" t="s">
        <v>393</v>
      </c>
      <c r="AM124">
        <v>0.41426666666666662</v>
      </c>
      <c r="AN124" t="s">
        <v>236</v>
      </c>
    </row>
    <row r="125" spans="9:40" x14ac:dyDescent="0.45">
      <c r="I125" t="s">
        <v>181</v>
      </c>
      <c r="J125" t="s">
        <v>403</v>
      </c>
      <c r="K125">
        <v>0.36375027477778893</v>
      </c>
      <c r="L125" t="s">
        <v>161</v>
      </c>
      <c r="N125" t="s">
        <v>204</v>
      </c>
      <c r="O125" t="s">
        <v>403</v>
      </c>
      <c r="P125">
        <v>7.2684839185612138E-2</v>
      </c>
      <c r="Q125" t="s">
        <v>161</v>
      </c>
      <c r="S125" t="s">
        <v>226</v>
      </c>
      <c r="T125" t="s">
        <v>403</v>
      </c>
      <c r="U125">
        <v>6.8832541292850782E-2</v>
      </c>
      <c r="V125" t="s">
        <v>161</v>
      </c>
      <c r="AK125">
        <v>2050</v>
      </c>
      <c r="AL125" t="s">
        <v>394</v>
      </c>
      <c r="AM125">
        <v>0.40493333333333331</v>
      </c>
      <c r="AN125" t="s">
        <v>236</v>
      </c>
    </row>
    <row r="126" spans="9:40" x14ac:dyDescent="0.45">
      <c r="I126" t="s">
        <v>181</v>
      </c>
      <c r="J126" t="s">
        <v>404</v>
      </c>
      <c r="K126">
        <v>2.2284379935827252E-2</v>
      </c>
      <c r="L126" t="s">
        <v>161</v>
      </c>
      <c r="N126" t="s">
        <v>204</v>
      </c>
      <c r="O126" t="s">
        <v>404</v>
      </c>
      <c r="P126">
        <v>7.18156472821979E-2</v>
      </c>
      <c r="Q126" t="s">
        <v>161</v>
      </c>
      <c r="S126" t="s">
        <v>226</v>
      </c>
      <c r="T126" t="s">
        <v>404</v>
      </c>
      <c r="U126">
        <v>7.6155213117952883E-2</v>
      </c>
      <c r="V126" t="s">
        <v>161</v>
      </c>
      <c r="AK126">
        <v>2050</v>
      </c>
      <c r="AL126" t="s">
        <v>396</v>
      </c>
      <c r="AM126">
        <v>0.34443333333333337</v>
      </c>
      <c r="AN126" t="s">
        <v>236</v>
      </c>
    </row>
    <row r="127" spans="9:40" x14ac:dyDescent="0.45">
      <c r="I127" t="s">
        <v>181</v>
      </c>
      <c r="J127" t="s">
        <v>405</v>
      </c>
      <c r="K127">
        <v>4.7690273760947942E-2</v>
      </c>
      <c r="L127" t="s">
        <v>161</v>
      </c>
      <c r="N127" t="s">
        <v>204</v>
      </c>
      <c r="O127" t="s">
        <v>405</v>
      </c>
      <c r="P127">
        <v>1.2145771280615255E-2</v>
      </c>
      <c r="Q127" t="s">
        <v>161</v>
      </c>
      <c r="S127" t="s">
        <v>226</v>
      </c>
      <c r="T127" t="s">
        <v>405</v>
      </c>
      <c r="U127">
        <v>1.2084170933987714E-2</v>
      </c>
      <c r="V127" t="s">
        <v>161</v>
      </c>
    </row>
    <row r="128" spans="9:40" x14ac:dyDescent="0.45">
      <c r="I128" t="s">
        <v>181</v>
      </c>
      <c r="J128" t="s">
        <v>406</v>
      </c>
      <c r="K128">
        <v>8.7200386390131307E-2</v>
      </c>
      <c r="L128" t="s">
        <v>161</v>
      </c>
      <c r="N128" t="s">
        <v>204</v>
      </c>
      <c r="O128" t="s">
        <v>406</v>
      </c>
      <c r="P128">
        <v>0.15932781987531106</v>
      </c>
      <c r="Q128" t="s">
        <v>161</v>
      </c>
      <c r="S128" t="s">
        <v>226</v>
      </c>
      <c r="T128" t="s">
        <v>406</v>
      </c>
      <c r="U128">
        <v>0.14874811716727662</v>
      </c>
      <c r="V128" t="s">
        <v>161</v>
      </c>
    </row>
    <row r="129" spans="9:22" x14ac:dyDescent="0.45">
      <c r="I129" t="s">
        <v>181</v>
      </c>
      <c r="J129" t="s">
        <v>407</v>
      </c>
      <c r="K129">
        <v>0</v>
      </c>
      <c r="L129" t="s">
        <v>161</v>
      </c>
      <c r="N129" t="s">
        <v>204</v>
      </c>
      <c r="O129" t="s">
        <v>407</v>
      </c>
      <c r="P129">
        <v>0.15808354144185088</v>
      </c>
      <c r="Q129" t="s">
        <v>161</v>
      </c>
      <c r="S129" t="s">
        <v>226</v>
      </c>
      <c r="T129" t="s">
        <v>407</v>
      </c>
      <c r="U129">
        <v>0.151149507398431</v>
      </c>
      <c r="V129" t="s">
        <v>161</v>
      </c>
    </row>
    <row r="130" spans="9:22" x14ac:dyDescent="0.45">
      <c r="I130" t="s">
        <v>181</v>
      </c>
      <c r="J130" t="s">
        <v>408</v>
      </c>
      <c r="K130">
        <v>2.4854389436247074E-3</v>
      </c>
      <c r="L130" t="s">
        <v>161</v>
      </c>
      <c r="N130" t="s">
        <v>204</v>
      </c>
      <c r="O130" t="s">
        <v>408</v>
      </c>
      <c r="P130">
        <v>2.828110470119595E-2</v>
      </c>
      <c r="Q130" t="s">
        <v>161</v>
      </c>
      <c r="S130" t="s">
        <v>226</v>
      </c>
      <c r="T130" t="s">
        <v>408</v>
      </c>
      <c r="U130">
        <v>2.7238309630913723E-2</v>
      </c>
      <c r="V130" t="s">
        <v>161</v>
      </c>
    </row>
    <row r="131" spans="9:22" x14ac:dyDescent="0.45">
      <c r="I131" t="s">
        <v>182</v>
      </c>
      <c r="J131" t="s">
        <v>397</v>
      </c>
      <c r="K131">
        <v>0.15084453331438308</v>
      </c>
      <c r="L131" t="s">
        <v>161</v>
      </c>
      <c r="N131" t="s">
        <v>205</v>
      </c>
      <c r="O131" t="s">
        <v>397</v>
      </c>
      <c r="P131">
        <v>0.10413334226278526</v>
      </c>
      <c r="Q131" t="s">
        <v>161</v>
      </c>
    </row>
    <row r="132" spans="9:22" x14ac:dyDescent="0.45">
      <c r="I132" t="s">
        <v>182</v>
      </c>
      <c r="J132" t="s">
        <v>398</v>
      </c>
      <c r="K132">
        <v>5.4925175973800119E-4</v>
      </c>
      <c r="L132" t="s">
        <v>161</v>
      </c>
      <c r="N132" t="s">
        <v>205</v>
      </c>
      <c r="O132" t="s">
        <v>398</v>
      </c>
      <c r="P132">
        <v>0.1205951467749482</v>
      </c>
      <c r="Q132" t="s">
        <v>161</v>
      </c>
    </row>
    <row r="133" spans="9:22" x14ac:dyDescent="0.45">
      <c r="I133" t="s">
        <v>182</v>
      </c>
      <c r="J133" t="s">
        <v>399</v>
      </c>
      <c r="K133">
        <v>1.1837970784058422E-2</v>
      </c>
      <c r="L133" t="s">
        <v>161</v>
      </c>
      <c r="N133" t="s">
        <v>205</v>
      </c>
      <c r="O133" t="s">
        <v>399</v>
      </c>
      <c r="P133">
        <v>1.9542021355458419E-2</v>
      </c>
      <c r="Q133" t="s">
        <v>161</v>
      </c>
    </row>
    <row r="134" spans="9:22" x14ac:dyDescent="0.45">
      <c r="I134" t="s">
        <v>182</v>
      </c>
      <c r="J134" t="s">
        <v>400</v>
      </c>
      <c r="K134">
        <v>0.27848678564321344</v>
      </c>
      <c r="L134" t="s">
        <v>161</v>
      </c>
      <c r="N134" t="s">
        <v>205</v>
      </c>
      <c r="O134" t="s">
        <v>400</v>
      </c>
      <c r="P134">
        <v>0.1080818038714294</v>
      </c>
      <c r="Q134" t="s">
        <v>161</v>
      </c>
    </row>
    <row r="135" spans="9:22" x14ac:dyDescent="0.45">
      <c r="I135" t="s">
        <v>182</v>
      </c>
      <c r="J135" t="s">
        <v>401</v>
      </c>
      <c r="K135">
        <v>6.7531912342385378E-3</v>
      </c>
      <c r="L135" t="s">
        <v>161</v>
      </c>
      <c r="N135" t="s">
        <v>205</v>
      </c>
      <c r="O135" t="s">
        <v>401</v>
      </c>
      <c r="P135">
        <v>0.11735355842075917</v>
      </c>
      <c r="Q135" t="s">
        <v>161</v>
      </c>
    </row>
    <row r="136" spans="9:22" x14ac:dyDescent="0.45">
      <c r="I136" t="s">
        <v>182</v>
      </c>
      <c r="J136" t="s">
        <v>402</v>
      </c>
      <c r="K136">
        <v>3.1668086507240317E-2</v>
      </c>
      <c r="L136" t="s">
        <v>161</v>
      </c>
      <c r="N136" t="s">
        <v>205</v>
      </c>
      <c r="O136" t="s">
        <v>402</v>
      </c>
      <c r="P136">
        <v>2.2601156044497177E-2</v>
      </c>
      <c r="Q136" t="s">
        <v>161</v>
      </c>
    </row>
    <row r="137" spans="9:22" x14ac:dyDescent="0.45">
      <c r="I137" t="s">
        <v>182</v>
      </c>
      <c r="J137" t="s">
        <v>403</v>
      </c>
      <c r="K137">
        <v>0.36968689928601328</v>
      </c>
      <c r="L137" t="s">
        <v>161</v>
      </c>
      <c r="N137" t="s">
        <v>205</v>
      </c>
      <c r="O137" t="s">
        <v>403</v>
      </c>
      <c r="P137">
        <v>5.8592273025030221E-2</v>
      </c>
      <c r="Q137" t="s">
        <v>161</v>
      </c>
    </row>
    <row r="138" spans="9:22" x14ac:dyDescent="0.45">
      <c r="I138" t="s">
        <v>182</v>
      </c>
      <c r="J138" t="s">
        <v>404</v>
      </c>
      <c r="K138">
        <v>2.4217566119773621E-2</v>
      </c>
      <c r="L138" t="s">
        <v>161</v>
      </c>
      <c r="N138" t="s">
        <v>205</v>
      </c>
      <c r="O138" t="s">
        <v>404</v>
      </c>
      <c r="P138">
        <v>8.600041155116761E-2</v>
      </c>
      <c r="Q138" t="s">
        <v>161</v>
      </c>
    </row>
    <row r="139" spans="9:22" x14ac:dyDescent="0.45">
      <c r="I139" t="s">
        <v>182</v>
      </c>
      <c r="J139" t="s">
        <v>405</v>
      </c>
      <c r="K139">
        <v>4.9432661763015216E-2</v>
      </c>
      <c r="L139" t="s">
        <v>161</v>
      </c>
      <c r="N139" t="s">
        <v>205</v>
      </c>
      <c r="O139" t="s">
        <v>405</v>
      </c>
      <c r="P139">
        <v>1.4671898685561785E-2</v>
      </c>
      <c r="Q139" t="s">
        <v>161</v>
      </c>
    </row>
    <row r="140" spans="9:22" x14ac:dyDescent="0.45">
      <c r="I140" t="s">
        <v>182</v>
      </c>
      <c r="J140" t="s">
        <v>406</v>
      </c>
      <c r="K140">
        <v>7.4004022878092449E-2</v>
      </c>
      <c r="L140" t="s">
        <v>161</v>
      </c>
      <c r="N140" t="s">
        <v>205</v>
      </c>
      <c r="O140" t="s">
        <v>406</v>
      </c>
      <c r="P140">
        <v>0.14418916420696143</v>
      </c>
      <c r="Q140" t="s">
        <v>161</v>
      </c>
    </row>
    <row r="141" spans="9:22" x14ac:dyDescent="0.45">
      <c r="I141" t="s">
        <v>182</v>
      </c>
      <c r="J141" t="s">
        <v>407</v>
      </c>
      <c r="K141">
        <v>0</v>
      </c>
      <c r="L141" t="s">
        <v>161</v>
      </c>
      <c r="N141" t="s">
        <v>205</v>
      </c>
      <c r="O141" t="s">
        <v>407</v>
      </c>
      <c r="P141">
        <v>0.17304820097118251</v>
      </c>
      <c r="Q141" t="s">
        <v>161</v>
      </c>
    </row>
    <row r="142" spans="9:22" x14ac:dyDescent="0.45">
      <c r="I142" t="s">
        <v>182</v>
      </c>
      <c r="J142" t="s">
        <v>408</v>
      </c>
      <c r="K142">
        <v>2.5190307102302086E-3</v>
      </c>
      <c r="L142" t="s">
        <v>161</v>
      </c>
      <c r="N142" t="s">
        <v>205</v>
      </c>
      <c r="O142" t="s">
        <v>408</v>
      </c>
      <c r="P142">
        <v>3.1191022830215437E-2</v>
      </c>
      <c r="Q142" t="s">
        <v>161</v>
      </c>
    </row>
    <row r="143" spans="9:22" x14ac:dyDescent="0.45">
      <c r="I143" t="s">
        <v>183</v>
      </c>
      <c r="J143" t="s">
        <v>397</v>
      </c>
      <c r="K143">
        <v>0.14796810768177676</v>
      </c>
      <c r="L143" t="s">
        <v>161</v>
      </c>
      <c r="N143" t="s">
        <v>206</v>
      </c>
      <c r="O143" t="s">
        <v>397</v>
      </c>
      <c r="P143">
        <v>0.13794130198890298</v>
      </c>
      <c r="Q143" t="s">
        <v>161</v>
      </c>
    </row>
    <row r="144" spans="9:22" x14ac:dyDescent="0.45">
      <c r="I144" t="s">
        <v>183</v>
      </c>
      <c r="J144" t="s">
        <v>398</v>
      </c>
      <c r="K144">
        <v>2.0372415732674255E-4</v>
      </c>
      <c r="L144" t="s">
        <v>161</v>
      </c>
      <c r="N144" t="s">
        <v>206</v>
      </c>
      <c r="O144" t="s">
        <v>398</v>
      </c>
      <c r="P144">
        <v>0.13903094803503474</v>
      </c>
      <c r="Q144" t="s">
        <v>161</v>
      </c>
    </row>
    <row r="145" spans="9:17" x14ac:dyDescent="0.45">
      <c r="I145" t="s">
        <v>183</v>
      </c>
      <c r="J145" t="s">
        <v>399</v>
      </c>
      <c r="K145">
        <v>1.0227020530071806E-2</v>
      </c>
      <c r="L145" t="s">
        <v>161</v>
      </c>
      <c r="N145" t="s">
        <v>206</v>
      </c>
      <c r="O145" t="s">
        <v>399</v>
      </c>
      <c r="P145">
        <v>2.2793822005813567E-2</v>
      </c>
      <c r="Q145" t="s">
        <v>161</v>
      </c>
    </row>
    <row r="146" spans="9:17" x14ac:dyDescent="0.45">
      <c r="I146" t="s">
        <v>183</v>
      </c>
      <c r="J146" t="s">
        <v>400</v>
      </c>
      <c r="K146">
        <v>0.29712651735339274</v>
      </c>
      <c r="L146" t="s">
        <v>161</v>
      </c>
      <c r="N146" t="s">
        <v>206</v>
      </c>
      <c r="O146" t="s">
        <v>400</v>
      </c>
      <c r="P146">
        <v>0.10494455487547183</v>
      </c>
      <c r="Q146" t="s">
        <v>161</v>
      </c>
    </row>
    <row r="147" spans="9:17" x14ac:dyDescent="0.45">
      <c r="I147" t="s">
        <v>183</v>
      </c>
      <c r="J147" t="s">
        <v>401</v>
      </c>
      <c r="K147">
        <v>6.7428796461836095E-3</v>
      </c>
      <c r="L147" t="s">
        <v>161</v>
      </c>
      <c r="N147" t="s">
        <v>206</v>
      </c>
      <c r="O147" t="s">
        <v>401</v>
      </c>
      <c r="P147">
        <v>0.11299298685577598</v>
      </c>
      <c r="Q147" t="s">
        <v>161</v>
      </c>
    </row>
    <row r="148" spans="9:17" x14ac:dyDescent="0.45">
      <c r="I148" t="s">
        <v>183</v>
      </c>
      <c r="J148" t="s">
        <v>402</v>
      </c>
      <c r="K148">
        <v>3.2073002742424944E-2</v>
      </c>
      <c r="L148" t="s">
        <v>161</v>
      </c>
      <c r="N148" t="s">
        <v>206</v>
      </c>
      <c r="O148" t="s">
        <v>402</v>
      </c>
      <c r="P148">
        <v>2.0436546022303728E-2</v>
      </c>
      <c r="Q148" t="s">
        <v>161</v>
      </c>
    </row>
    <row r="149" spans="9:17" x14ac:dyDescent="0.45">
      <c r="I149" t="s">
        <v>183</v>
      </c>
      <c r="J149" t="s">
        <v>403</v>
      </c>
      <c r="K149">
        <v>0.36116257522017592</v>
      </c>
      <c r="L149" t="s">
        <v>161</v>
      </c>
      <c r="N149" t="s">
        <v>206</v>
      </c>
      <c r="O149" t="s">
        <v>403</v>
      </c>
      <c r="P149">
        <v>5.0762222547671917E-2</v>
      </c>
      <c r="Q149" t="s">
        <v>161</v>
      </c>
    </row>
    <row r="150" spans="9:17" x14ac:dyDescent="0.45">
      <c r="I150" t="s">
        <v>183</v>
      </c>
      <c r="J150" t="s">
        <v>404</v>
      </c>
      <c r="K150">
        <v>2.2853823223648789E-2</v>
      </c>
      <c r="L150" t="s">
        <v>161</v>
      </c>
      <c r="N150" t="s">
        <v>206</v>
      </c>
      <c r="O150" t="s">
        <v>404</v>
      </c>
      <c r="P150">
        <v>7.3330141448387065E-2</v>
      </c>
      <c r="Q150" t="s">
        <v>161</v>
      </c>
    </row>
    <row r="151" spans="9:17" x14ac:dyDescent="0.45">
      <c r="I151" t="s">
        <v>183</v>
      </c>
      <c r="J151" t="s">
        <v>405</v>
      </c>
      <c r="K151">
        <v>4.8267664516050031E-2</v>
      </c>
      <c r="L151" t="s">
        <v>161</v>
      </c>
      <c r="N151" t="s">
        <v>206</v>
      </c>
      <c r="O151" t="s">
        <v>405</v>
      </c>
      <c r="P151">
        <v>1.1738311720979807E-2</v>
      </c>
      <c r="Q151" t="s">
        <v>161</v>
      </c>
    </row>
    <row r="152" spans="9:17" x14ac:dyDescent="0.45">
      <c r="I152" t="s">
        <v>183</v>
      </c>
      <c r="J152" t="s">
        <v>406</v>
      </c>
      <c r="K152">
        <v>7.1723291106127934E-2</v>
      </c>
      <c r="L152" t="s">
        <v>161</v>
      </c>
      <c r="N152" t="s">
        <v>206</v>
      </c>
      <c r="O152" t="s">
        <v>406</v>
      </c>
      <c r="P152">
        <v>0.14440203282526926</v>
      </c>
      <c r="Q152" t="s">
        <v>161</v>
      </c>
    </row>
    <row r="153" spans="9:17" x14ac:dyDescent="0.45">
      <c r="I153" t="s">
        <v>183</v>
      </c>
      <c r="J153" t="s">
        <v>407</v>
      </c>
      <c r="K153">
        <v>0</v>
      </c>
      <c r="L153" t="s">
        <v>161</v>
      </c>
      <c r="N153" t="s">
        <v>206</v>
      </c>
      <c r="O153" t="s">
        <v>407</v>
      </c>
      <c r="P153">
        <v>0.15435823671364862</v>
      </c>
      <c r="Q153" t="s">
        <v>161</v>
      </c>
    </row>
    <row r="154" spans="9:17" x14ac:dyDescent="0.45">
      <c r="I154" t="s">
        <v>183</v>
      </c>
      <c r="J154" t="s">
        <v>408</v>
      </c>
      <c r="K154">
        <v>1.6513938228200215E-3</v>
      </c>
      <c r="L154" t="s">
        <v>161</v>
      </c>
      <c r="N154" t="s">
        <v>206</v>
      </c>
      <c r="O154" t="s">
        <v>408</v>
      </c>
      <c r="P154">
        <v>2.7268894960740902E-2</v>
      </c>
      <c r="Q154" t="s">
        <v>161</v>
      </c>
    </row>
    <row r="155" spans="9:17" x14ac:dyDescent="0.45">
      <c r="I155" t="s">
        <v>184</v>
      </c>
      <c r="J155" t="s">
        <v>397</v>
      </c>
      <c r="K155">
        <v>0.15683446863216682</v>
      </c>
      <c r="L155" t="s">
        <v>161</v>
      </c>
      <c r="N155" t="s">
        <v>207</v>
      </c>
      <c r="O155" t="s">
        <v>397</v>
      </c>
      <c r="P155">
        <v>0.11600606391457029</v>
      </c>
      <c r="Q155" t="s">
        <v>161</v>
      </c>
    </row>
    <row r="156" spans="9:17" x14ac:dyDescent="0.45">
      <c r="I156" t="s">
        <v>184</v>
      </c>
      <c r="J156" t="s">
        <v>398</v>
      </c>
      <c r="K156">
        <v>0</v>
      </c>
      <c r="L156" t="s">
        <v>161</v>
      </c>
      <c r="N156" t="s">
        <v>207</v>
      </c>
      <c r="O156" t="s">
        <v>398</v>
      </c>
      <c r="P156">
        <v>0.14495656663639031</v>
      </c>
      <c r="Q156" t="s">
        <v>161</v>
      </c>
    </row>
    <row r="157" spans="9:17" x14ac:dyDescent="0.45">
      <c r="I157" t="s">
        <v>184</v>
      </c>
      <c r="J157" t="s">
        <v>399</v>
      </c>
      <c r="K157">
        <v>6.0521192042328146E-3</v>
      </c>
      <c r="L157" t="s">
        <v>161</v>
      </c>
      <c r="N157" t="s">
        <v>207</v>
      </c>
      <c r="O157" t="s">
        <v>399</v>
      </c>
      <c r="P157">
        <v>2.059852802592332E-2</v>
      </c>
      <c r="Q157" t="s">
        <v>161</v>
      </c>
    </row>
    <row r="158" spans="9:17" x14ac:dyDescent="0.45">
      <c r="I158" t="s">
        <v>184</v>
      </c>
      <c r="J158" t="s">
        <v>400</v>
      </c>
      <c r="K158">
        <v>0.30754618426508828</v>
      </c>
      <c r="L158" t="s">
        <v>161</v>
      </c>
      <c r="N158" t="s">
        <v>207</v>
      </c>
      <c r="O158" t="s">
        <v>400</v>
      </c>
      <c r="P158">
        <v>0.10070189037453509</v>
      </c>
      <c r="Q158" t="s">
        <v>161</v>
      </c>
    </row>
    <row r="159" spans="9:17" x14ac:dyDescent="0.45">
      <c r="I159" t="s">
        <v>184</v>
      </c>
      <c r="J159" t="s">
        <v>401</v>
      </c>
      <c r="K159">
        <v>6.6317380905367576E-3</v>
      </c>
      <c r="L159" t="s">
        <v>161</v>
      </c>
      <c r="N159" t="s">
        <v>207</v>
      </c>
      <c r="O159" t="s">
        <v>401</v>
      </c>
      <c r="P159">
        <v>0.12634640738994535</v>
      </c>
      <c r="Q159" t="s">
        <v>161</v>
      </c>
    </row>
    <row r="160" spans="9:17" x14ac:dyDescent="0.45">
      <c r="I160" t="s">
        <v>184</v>
      </c>
      <c r="J160" t="s">
        <v>402</v>
      </c>
      <c r="K160">
        <v>3.0029919266874823E-2</v>
      </c>
      <c r="L160" t="s">
        <v>161</v>
      </c>
      <c r="N160" t="s">
        <v>207</v>
      </c>
      <c r="O160" t="s">
        <v>402</v>
      </c>
      <c r="P160">
        <v>1.9937604578107049E-2</v>
      </c>
      <c r="Q160" t="s">
        <v>161</v>
      </c>
    </row>
    <row r="161" spans="9:17" x14ac:dyDescent="0.45">
      <c r="I161" t="s">
        <v>184</v>
      </c>
      <c r="J161" t="s">
        <v>403</v>
      </c>
      <c r="K161">
        <v>0.3484561612610485</v>
      </c>
      <c r="L161" t="s">
        <v>161</v>
      </c>
      <c r="N161" t="s">
        <v>207</v>
      </c>
      <c r="O161" t="s">
        <v>403</v>
      </c>
      <c r="P161">
        <v>4.498439645137782E-2</v>
      </c>
      <c r="Q161" t="s">
        <v>161</v>
      </c>
    </row>
    <row r="162" spans="9:17" x14ac:dyDescent="0.45">
      <c r="I162" t="s">
        <v>184</v>
      </c>
      <c r="J162" t="s">
        <v>404</v>
      </c>
      <c r="K162">
        <v>2.0617430888456332E-2</v>
      </c>
      <c r="L162" t="s">
        <v>161</v>
      </c>
      <c r="N162" t="s">
        <v>207</v>
      </c>
      <c r="O162" t="s">
        <v>404</v>
      </c>
      <c r="P162">
        <v>8.9631974207593362E-2</v>
      </c>
      <c r="Q162" t="s">
        <v>161</v>
      </c>
    </row>
    <row r="163" spans="9:17" x14ac:dyDescent="0.45">
      <c r="I163" t="s">
        <v>184</v>
      </c>
      <c r="J163" t="s">
        <v>405</v>
      </c>
      <c r="K163">
        <v>4.505814020951146E-2</v>
      </c>
      <c r="L163" t="s">
        <v>161</v>
      </c>
      <c r="N163" t="s">
        <v>207</v>
      </c>
      <c r="O163" t="s">
        <v>405</v>
      </c>
      <c r="P163">
        <v>1.0957034600717943E-2</v>
      </c>
      <c r="Q163" t="s">
        <v>161</v>
      </c>
    </row>
    <row r="164" spans="9:17" x14ac:dyDescent="0.45">
      <c r="I164" t="s">
        <v>184</v>
      </c>
      <c r="J164" t="s">
        <v>406</v>
      </c>
      <c r="K164">
        <v>7.8293441526179466E-2</v>
      </c>
      <c r="L164" t="s">
        <v>161</v>
      </c>
      <c r="N164" t="s">
        <v>207</v>
      </c>
      <c r="O164" t="s">
        <v>406</v>
      </c>
      <c r="P164">
        <v>0.13375733448508378</v>
      </c>
      <c r="Q164" t="s">
        <v>161</v>
      </c>
    </row>
    <row r="165" spans="9:17" x14ac:dyDescent="0.45">
      <c r="I165" t="s">
        <v>184</v>
      </c>
      <c r="J165" t="s">
        <v>407</v>
      </c>
      <c r="K165">
        <v>0</v>
      </c>
      <c r="L165" t="s">
        <v>161</v>
      </c>
      <c r="N165" t="s">
        <v>207</v>
      </c>
      <c r="O165" t="s">
        <v>407</v>
      </c>
      <c r="P165">
        <v>0.16488940403504415</v>
      </c>
      <c r="Q165" t="s">
        <v>161</v>
      </c>
    </row>
    <row r="166" spans="9:17" x14ac:dyDescent="0.45">
      <c r="I166" t="s">
        <v>184</v>
      </c>
      <c r="J166" t="s">
        <v>408</v>
      </c>
      <c r="K166">
        <v>4.8039665590198373E-4</v>
      </c>
      <c r="L166" t="s">
        <v>161</v>
      </c>
      <c r="N166" t="s">
        <v>207</v>
      </c>
      <c r="O166" t="s">
        <v>408</v>
      </c>
      <c r="P166">
        <v>2.7232795300710169E-2</v>
      </c>
      <c r="Q166" t="s">
        <v>161</v>
      </c>
    </row>
    <row r="167" spans="9:17" x14ac:dyDescent="0.45">
      <c r="I167" t="s">
        <v>185</v>
      </c>
      <c r="J167" t="s">
        <v>397</v>
      </c>
      <c r="K167">
        <v>0.16110450603141166</v>
      </c>
      <c r="L167" t="s">
        <v>161</v>
      </c>
      <c r="N167" t="s">
        <v>208</v>
      </c>
      <c r="O167" t="s">
        <v>397</v>
      </c>
      <c r="P167">
        <v>0.1319600105991563</v>
      </c>
      <c r="Q167" t="s">
        <v>161</v>
      </c>
    </row>
    <row r="168" spans="9:17" x14ac:dyDescent="0.45">
      <c r="I168" t="s">
        <v>185</v>
      </c>
      <c r="J168" t="s">
        <v>398</v>
      </c>
      <c r="K168">
        <v>0</v>
      </c>
      <c r="L168" t="s">
        <v>161</v>
      </c>
      <c r="N168" t="s">
        <v>208</v>
      </c>
      <c r="O168" t="s">
        <v>398</v>
      </c>
      <c r="P168">
        <v>0.13480781060100949</v>
      </c>
      <c r="Q168" t="s">
        <v>161</v>
      </c>
    </row>
    <row r="169" spans="9:17" x14ac:dyDescent="0.45">
      <c r="I169" t="s">
        <v>185</v>
      </c>
      <c r="J169" t="s">
        <v>399</v>
      </c>
      <c r="K169">
        <v>5.145064476992354E-3</v>
      </c>
      <c r="L169" t="s">
        <v>161</v>
      </c>
      <c r="N169" t="s">
        <v>208</v>
      </c>
      <c r="O169" t="s">
        <v>399</v>
      </c>
      <c r="P169">
        <v>2.2147742423076992E-2</v>
      </c>
      <c r="Q169" t="s">
        <v>161</v>
      </c>
    </row>
    <row r="170" spans="9:17" x14ac:dyDescent="0.45">
      <c r="I170" t="s">
        <v>185</v>
      </c>
      <c r="J170" t="s">
        <v>400</v>
      </c>
      <c r="K170">
        <v>0.29897622594768475</v>
      </c>
      <c r="L170" t="s">
        <v>161</v>
      </c>
      <c r="N170" t="s">
        <v>208</v>
      </c>
      <c r="O170" t="s">
        <v>400</v>
      </c>
      <c r="P170">
        <v>0.11501564126418033</v>
      </c>
      <c r="Q170" t="s">
        <v>161</v>
      </c>
    </row>
    <row r="171" spans="9:17" x14ac:dyDescent="0.45">
      <c r="I171" t="s">
        <v>185</v>
      </c>
      <c r="J171" t="s">
        <v>401</v>
      </c>
      <c r="K171">
        <v>6.0829901977392485E-3</v>
      </c>
      <c r="L171" t="s">
        <v>161</v>
      </c>
      <c r="N171" t="s">
        <v>208</v>
      </c>
      <c r="O171" t="s">
        <v>401</v>
      </c>
      <c r="P171">
        <v>0.11865655044750772</v>
      </c>
      <c r="Q171" t="s">
        <v>161</v>
      </c>
    </row>
    <row r="172" spans="9:17" x14ac:dyDescent="0.45">
      <c r="I172" t="s">
        <v>185</v>
      </c>
      <c r="J172" t="s">
        <v>402</v>
      </c>
      <c r="K172">
        <v>2.5624944341374179E-2</v>
      </c>
      <c r="L172" t="s">
        <v>161</v>
      </c>
      <c r="N172" t="s">
        <v>208</v>
      </c>
      <c r="O172" t="s">
        <v>402</v>
      </c>
      <c r="P172">
        <v>2.196756294328979E-2</v>
      </c>
      <c r="Q172" t="s">
        <v>161</v>
      </c>
    </row>
    <row r="173" spans="9:17" x14ac:dyDescent="0.45">
      <c r="I173" t="s">
        <v>185</v>
      </c>
      <c r="J173" t="s">
        <v>403</v>
      </c>
      <c r="K173">
        <v>0.36216741751947562</v>
      </c>
      <c r="L173" t="s">
        <v>161</v>
      </c>
      <c r="N173" t="s">
        <v>208</v>
      </c>
      <c r="O173" t="s">
        <v>403</v>
      </c>
      <c r="P173">
        <v>5.0349850200158253E-2</v>
      </c>
      <c r="Q173" t="s">
        <v>161</v>
      </c>
    </row>
    <row r="174" spans="9:17" x14ac:dyDescent="0.45">
      <c r="I174" t="s">
        <v>185</v>
      </c>
      <c r="J174" t="s">
        <v>404</v>
      </c>
      <c r="K174">
        <v>2.1949476981320944E-2</v>
      </c>
      <c r="L174" t="s">
        <v>161</v>
      </c>
      <c r="N174" t="s">
        <v>208</v>
      </c>
      <c r="O174" t="s">
        <v>404</v>
      </c>
      <c r="P174">
        <v>7.3909934391780285E-2</v>
      </c>
      <c r="Q174" t="s">
        <v>161</v>
      </c>
    </row>
    <row r="175" spans="9:17" x14ac:dyDescent="0.45">
      <c r="I175" t="s">
        <v>185</v>
      </c>
      <c r="J175" t="s">
        <v>405</v>
      </c>
      <c r="K175">
        <v>4.2400748054910932E-2</v>
      </c>
      <c r="L175" t="s">
        <v>161</v>
      </c>
      <c r="N175" t="s">
        <v>208</v>
      </c>
      <c r="O175" t="s">
        <v>405</v>
      </c>
      <c r="P175">
        <v>1.2413088074781939E-2</v>
      </c>
      <c r="Q175" t="s">
        <v>161</v>
      </c>
    </row>
    <row r="176" spans="9:17" x14ac:dyDescent="0.45">
      <c r="I176" t="s">
        <v>185</v>
      </c>
      <c r="J176" t="s">
        <v>406</v>
      </c>
      <c r="K176">
        <v>7.6059239713948679E-2</v>
      </c>
      <c r="L176" t="s">
        <v>161</v>
      </c>
      <c r="N176" t="s">
        <v>208</v>
      </c>
      <c r="O176" t="s">
        <v>406</v>
      </c>
      <c r="P176">
        <v>0.13843121042970993</v>
      </c>
      <c r="Q176" t="s">
        <v>161</v>
      </c>
    </row>
    <row r="177" spans="9:17" x14ac:dyDescent="0.45">
      <c r="I177" t="s">
        <v>185</v>
      </c>
      <c r="J177" t="s">
        <v>407</v>
      </c>
      <c r="K177">
        <v>0</v>
      </c>
      <c r="L177" t="s">
        <v>161</v>
      </c>
      <c r="N177" t="s">
        <v>208</v>
      </c>
      <c r="O177" t="s">
        <v>407</v>
      </c>
      <c r="P177">
        <v>0.15274994950968895</v>
      </c>
      <c r="Q177" t="s">
        <v>161</v>
      </c>
    </row>
    <row r="178" spans="9:17" x14ac:dyDescent="0.45">
      <c r="I178" t="s">
        <v>185</v>
      </c>
      <c r="J178" t="s">
        <v>408</v>
      </c>
      <c r="K178">
        <v>4.8938673514442512E-4</v>
      </c>
      <c r="L178" t="s">
        <v>161</v>
      </c>
      <c r="N178" t="s">
        <v>208</v>
      </c>
      <c r="O178" t="s">
        <v>408</v>
      </c>
      <c r="P178">
        <v>2.7590649115658551E-2</v>
      </c>
      <c r="Q178" t="s">
        <v>161</v>
      </c>
    </row>
    <row r="179" spans="9:17" x14ac:dyDescent="0.45">
      <c r="I179" t="s">
        <v>186</v>
      </c>
      <c r="J179" t="s">
        <v>397</v>
      </c>
      <c r="K179">
        <v>0.15780120981282342</v>
      </c>
      <c r="L179" t="s">
        <v>161</v>
      </c>
      <c r="N179" t="s">
        <v>209</v>
      </c>
      <c r="O179" t="s">
        <v>397</v>
      </c>
      <c r="P179">
        <v>0.12127222341773777</v>
      </c>
      <c r="Q179" t="s">
        <v>161</v>
      </c>
    </row>
    <row r="180" spans="9:17" x14ac:dyDescent="0.45">
      <c r="I180" t="s">
        <v>186</v>
      </c>
      <c r="J180" t="s">
        <v>398</v>
      </c>
      <c r="K180">
        <v>0</v>
      </c>
      <c r="L180" t="s">
        <v>161</v>
      </c>
      <c r="N180" t="s">
        <v>209</v>
      </c>
      <c r="O180" t="s">
        <v>398</v>
      </c>
      <c r="P180">
        <v>0.14345816686584714</v>
      </c>
      <c r="Q180" t="s">
        <v>161</v>
      </c>
    </row>
    <row r="181" spans="9:17" x14ac:dyDescent="0.45">
      <c r="I181" t="s">
        <v>186</v>
      </c>
      <c r="J181" t="s">
        <v>399</v>
      </c>
      <c r="K181">
        <v>4.9634579745628264E-3</v>
      </c>
      <c r="L181" t="s">
        <v>161</v>
      </c>
      <c r="N181" t="s">
        <v>209</v>
      </c>
      <c r="O181" t="s">
        <v>399</v>
      </c>
      <c r="P181">
        <v>2.5063769445941526E-2</v>
      </c>
      <c r="Q181" t="s">
        <v>161</v>
      </c>
    </row>
    <row r="182" spans="9:17" x14ac:dyDescent="0.45">
      <c r="I182" t="s">
        <v>186</v>
      </c>
      <c r="J182" t="s">
        <v>400</v>
      </c>
      <c r="K182">
        <v>0.30074341009856326</v>
      </c>
      <c r="L182" t="s">
        <v>161</v>
      </c>
      <c r="N182" t="s">
        <v>209</v>
      </c>
      <c r="O182" t="s">
        <v>400</v>
      </c>
      <c r="P182">
        <v>0.10720365966866501</v>
      </c>
      <c r="Q182" t="s">
        <v>161</v>
      </c>
    </row>
    <row r="183" spans="9:17" x14ac:dyDescent="0.45">
      <c r="I183" t="s">
        <v>186</v>
      </c>
      <c r="J183" t="s">
        <v>401</v>
      </c>
      <c r="K183">
        <v>6.6471787270060544E-3</v>
      </c>
      <c r="L183" t="s">
        <v>161</v>
      </c>
      <c r="N183" t="s">
        <v>209</v>
      </c>
      <c r="O183" t="s">
        <v>401</v>
      </c>
      <c r="P183">
        <v>0.11901631747074465</v>
      </c>
      <c r="Q183" t="s">
        <v>161</v>
      </c>
    </row>
    <row r="184" spans="9:17" x14ac:dyDescent="0.45">
      <c r="I184" t="s">
        <v>186</v>
      </c>
      <c r="J184" t="s">
        <v>402</v>
      </c>
      <c r="K184">
        <v>2.413032077143985E-2</v>
      </c>
      <c r="L184" t="s">
        <v>161</v>
      </c>
      <c r="N184" t="s">
        <v>209</v>
      </c>
      <c r="O184" t="s">
        <v>402</v>
      </c>
      <c r="P184">
        <v>1.9772849705883014E-2</v>
      </c>
      <c r="Q184" t="s">
        <v>161</v>
      </c>
    </row>
    <row r="185" spans="9:17" x14ac:dyDescent="0.45">
      <c r="I185" t="s">
        <v>186</v>
      </c>
      <c r="J185" t="s">
        <v>403</v>
      </c>
      <c r="K185">
        <v>0.37103466800475121</v>
      </c>
      <c r="L185" t="s">
        <v>161</v>
      </c>
      <c r="N185" t="s">
        <v>209</v>
      </c>
      <c r="O185" t="s">
        <v>403</v>
      </c>
      <c r="P185">
        <v>5.7988598353198299E-2</v>
      </c>
      <c r="Q185" t="s">
        <v>161</v>
      </c>
    </row>
    <row r="186" spans="9:17" x14ac:dyDescent="0.45">
      <c r="I186" t="s">
        <v>186</v>
      </c>
      <c r="J186" t="s">
        <v>404</v>
      </c>
      <c r="K186">
        <v>2.3671378386674047E-2</v>
      </c>
      <c r="L186" t="s">
        <v>161</v>
      </c>
      <c r="N186" t="s">
        <v>209</v>
      </c>
      <c r="O186" t="s">
        <v>404</v>
      </c>
      <c r="P186">
        <v>8.1724674783055451E-2</v>
      </c>
      <c r="Q186" t="s">
        <v>161</v>
      </c>
    </row>
    <row r="187" spans="9:17" x14ac:dyDescent="0.45">
      <c r="I187" t="s">
        <v>186</v>
      </c>
      <c r="J187" t="s">
        <v>405</v>
      </c>
      <c r="K187">
        <v>3.9957027118041152E-2</v>
      </c>
      <c r="L187" t="s">
        <v>161</v>
      </c>
      <c r="N187" t="s">
        <v>209</v>
      </c>
      <c r="O187" t="s">
        <v>405</v>
      </c>
      <c r="P187">
        <v>1.1479059295341574E-2</v>
      </c>
      <c r="Q187" t="s">
        <v>161</v>
      </c>
    </row>
    <row r="188" spans="9:17" x14ac:dyDescent="0.45">
      <c r="I188" t="s">
        <v>186</v>
      </c>
      <c r="J188" t="s">
        <v>406</v>
      </c>
      <c r="K188">
        <v>7.0782280693161656E-2</v>
      </c>
      <c r="L188" t="s">
        <v>161</v>
      </c>
      <c r="N188" t="s">
        <v>209</v>
      </c>
      <c r="O188" t="s">
        <v>406</v>
      </c>
      <c r="P188">
        <v>0.13472838570860887</v>
      </c>
      <c r="Q188" t="s">
        <v>161</v>
      </c>
    </row>
    <row r="189" spans="9:17" x14ac:dyDescent="0.45">
      <c r="I189" t="s">
        <v>186</v>
      </c>
      <c r="J189" t="s">
        <v>407</v>
      </c>
      <c r="K189">
        <v>0</v>
      </c>
      <c r="L189" t="s">
        <v>161</v>
      </c>
      <c r="N189" t="s">
        <v>209</v>
      </c>
      <c r="O189" t="s">
        <v>407</v>
      </c>
      <c r="P189">
        <v>0.15115135129099413</v>
      </c>
      <c r="Q189" t="s">
        <v>161</v>
      </c>
    </row>
    <row r="190" spans="9:17" x14ac:dyDescent="0.45">
      <c r="I190" t="s">
        <v>186</v>
      </c>
      <c r="J190" t="s">
        <v>408</v>
      </c>
      <c r="K190">
        <v>2.6906841297541723E-4</v>
      </c>
      <c r="L190" t="s">
        <v>161</v>
      </c>
      <c r="N190" t="s">
        <v>209</v>
      </c>
      <c r="O190" t="s">
        <v>408</v>
      </c>
      <c r="P190">
        <v>2.7140943993981349E-2</v>
      </c>
      <c r="Q190" t="s">
        <v>161</v>
      </c>
    </row>
    <row r="191" spans="9:17" x14ac:dyDescent="0.45">
      <c r="I191" t="s">
        <v>187</v>
      </c>
      <c r="J191" t="s">
        <v>397</v>
      </c>
      <c r="K191">
        <v>0.15101126968093012</v>
      </c>
      <c r="L191" t="s">
        <v>161</v>
      </c>
      <c r="N191" t="s">
        <v>210</v>
      </c>
      <c r="O191" t="s">
        <v>397</v>
      </c>
      <c r="P191">
        <v>0.12357261730162186</v>
      </c>
      <c r="Q191" t="s">
        <v>161</v>
      </c>
    </row>
    <row r="192" spans="9:17" x14ac:dyDescent="0.45">
      <c r="I192" t="s">
        <v>187</v>
      </c>
      <c r="J192" t="s">
        <v>398</v>
      </c>
      <c r="K192">
        <v>0</v>
      </c>
      <c r="L192" t="s">
        <v>161</v>
      </c>
      <c r="N192" t="s">
        <v>210</v>
      </c>
      <c r="O192" t="s">
        <v>398</v>
      </c>
      <c r="P192">
        <v>0.14799698803922134</v>
      </c>
      <c r="Q192" t="s">
        <v>161</v>
      </c>
    </row>
    <row r="193" spans="9:17" x14ac:dyDescent="0.45">
      <c r="I193" t="s">
        <v>187</v>
      </c>
      <c r="J193" t="s">
        <v>399</v>
      </c>
      <c r="K193">
        <v>4.8553253083116043E-3</v>
      </c>
      <c r="L193" t="s">
        <v>161</v>
      </c>
      <c r="N193" t="s">
        <v>210</v>
      </c>
      <c r="O193" t="s">
        <v>399</v>
      </c>
      <c r="P193">
        <v>2.389553674803831E-2</v>
      </c>
      <c r="Q193" t="s">
        <v>161</v>
      </c>
    </row>
    <row r="194" spans="9:17" x14ac:dyDescent="0.45">
      <c r="I194" t="s">
        <v>187</v>
      </c>
      <c r="J194" t="s">
        <v>400</v>
      </c>
      <c r="K194">
        <v>0.31006898785156234</v>
      </c>
      <c r="L194" t="s">
        <v>161</v>
      </c>
      <c r="N194" t="s">
        <v>210</v>
      </c>
      <c r="O194" t="s">
        <v>400</v>
      </c>
      <c r="P194">
        <v>0.10227027608924706</v>
      </c>
      <c r="Q194" t="s">
        <v>161</v>
      </c>
    </row>
    <row r="195" spans="9:17" x14ac:dyDescent="0.45">
      <c r="I195" t="s">
        <v>187</v>
      </c>
      <c r="J195" t="s">
        <v>401</v>
      </c>
      <c r="K195">
        <v>7.5089401340742937E-3</v>
      </c>
      <c r="L195" t="s">
        <v>161</v>
      </c>
      <c r="N195" t="s">
        <v>210</v>
      </c>
      <c r="O195" t="s">
        <v>401</v>
      </c>
      <c r="P195">
        <v>0.11550757518819127</v>
      </c>
      <c r="Q195" t="s">
        <v>161</v>
      </c>
    </row>
    <row r="196" spans="9:17" x14ac:dyDescent="0.45">
      <c r="I196" t="s">
        <v>187</v>
      </c>
      <c r="J196" t="s">
        <v>402</v>
      </c>
      <c r="K196">
        <v>2.9535361759240621E-2</v>
      </c>
      <c r="L196" t="s">
        <v>161</v>
      </c>
      <c r="N196" t="s">
        <v>210</v>
      </c>
      <c r="O196" t="s">
        <v>402</v>
      </c>
      <c r="P196">
        <v>2.0952123633501775E-2</v>
      </c>
      <c r="Q196" t="s">
        <v>161</v>
      </c>
    </row>
    <row r="197" spans="9:17" x14ac:dyDescent="0.45">
      <c r="I197" t="s">
        <v>187</v>
      </c>
      <c r="J197" t="s">
        <v>403</v>
      </c>
      <c r="K197">
        <v>0.35808671910412987</v>
      </c>
      <c r="L197" t="s">
        <v>161</v>
      </c>
      <c r="N197" t="s">
        <v>210</v>
      </c>
      <c r="O197" t="s">
        <v>403</v>
      </c>
      <c r="P197">
        <v>4.969496585212177E-2</v>
      </c>
      <c r="Q197" t="s">
        <v>161</v>
      </c>
    </row>
    <row r="198" spans="9:17" x14ac:dyDescent="0.45">
      <c r="I198" t="s">
        <v>187</v>
      </c>
      <c r="J198" t="s">
        <v>404</v>
      </c>
      <c r="K198">
        <v>2.542492891018646E-2</v>
      </c>
      <c r="L198" t="s">
        <v>161</v>
      </c>
      <c r="N198" t="s">
        <v>210</v>
      </c>
      <c r="O198" t="s">
        <v>404</v>
      </c>
      <c r="P198">
        <v>7.4579548011592098E-2</v>
      </c>
      <c r="Q198" t="s">
        <v>161</v>
      </c>
    </row>
    <row r="199" spans="9:17" x14ac:dyDescent="0.45">
      <c r="I199" t="s">
        <v>187</v>
      </c>
      <c r="J199" t="s">
        <v>405</v>
      </c>
      <c r="K199">
        <v>4.3810894504405722E-2</v>
      </c>
      <c r="L199" t="s">
        <v>161</v>
      </c>
      <c r="N199" t="s">
        <v>210</v>
      </c>
      <c r="O199" t="s">
        <v>405</v>
      </c>
      <c r="P199">
        <v>1.0832702968704859E-2</v>
      </c>
      <c r="Q199" t="s">
        <v>161</v>
      </c>
    </row>
    <row r="200" spans="9:17" x14ac:dyDescent="0.45">
      <c r="I200" t="s">
        <v>187</v>
      </c>
      <c r="J200" t="s">
        <v>406</v>
      </c>
      <c r="K200">
        <v>6.9383083155114308E-2</v>
      </c>
      <c r="L200" t="s">
        <v>161</v>
      </c>
      <c r="N200" t="s">
        <v>210</v>
      </c>
      <c r="O200" t="s">
        <v>406</v>
      </c>
      <c r="P200">
        <v>0.14397311901230184</v>
      </c>
      <c r="Q200" t="s">
        <v>161</v>
      </c>
    </row>
    <row r="201" spans="9:17" x14ac:dyDescent="0.45">
      <c r="I201" t="s">
        <v>187</v>
      </c>
      <c r="J201" t="s">
        <v>407</v>
      </c>
      <c r="K201">
        <v>0</v>
      </c>
      <c r="L201" t="s">
        <v>161</v>
      </c>
      <c r="N201" t="s">
        <v>210</v>
      </c>
      <c r="O201" t="s">
        <v>407</v>
      </c>
      <c r="P201">
        <v>0.15763685786105536</v>
      </c>
      <c r="Q201" t="s">
        <v>161</v>
      </c>
    </row>
    <row r="202" spans="9:17" x14ac:dyDescent="0.45">
      <c r="I202" t="s">
        <v>187</v>
      </c>
      <c r="J202" t="s">
        <v>408</v>
      </c>
      <c r="K202">
        <v>3.1448959204826658E-4</v>
      </c>
      <c r="L202" t="s">
        <v>161</v>
      </c>
      <c r="N202" t="s">
        <v>210</v>
      </c>
      <c r="O202" t="s">
        <v>408</v>
      </c>
      <c r="P202">
        <v>2.9087689294402013E-2</v>
      </c>
      <c r="Q202" t="s">
        <v>161</v>
      </c>
    </row>
    <row r="203" spans="9:17" x14ac:dyDescent="0.45">
      <c r="I203" t="s">
        <v>188</v>
      </c>
      <c r="J203" t="s">
        <v>397</v>
      </c>
      <c r="K203">
        <v>0.16210181698720907</v>
      </c>
      <c r="L203" t="s">
        <v>161</v>
      </c>
      <c r="N203" t="s">
        <v>211</v>
      </c>
      <c r="O203" t="s">
        <v>397</v>
      </c>
      <c r="P203">
        <v>0.12563099101534023</v>
      </c>
      <c r="Q203" t="s">
        <v>161</v>
      </c>
    </row>
    <row r="204" spans="9:17" x14ac:dyDescent="0.45">
      <c r="I204" t="s">
        <v>188</v>
      </c>
      <c r="J204" t="s">
        <v>398</v>
      </c>
      <c r="K204">
        <v>0</v>
      </c>
      <c r="L204" t="s">
        <v>161</v>
      </c>
      <c r="N204" t="s">
        <v>211</v>
      </c>
      <c r="O204" t="s">
        <v>398</v>
      </c>
      <c r="P204">
        <v>0.1395498381616071</v>
      </c>
      <c r="Q204" t="s">
        <v>161</v>
      </c>
    </row>
    <row r="205" spans="9:17" x14ac:dyDescent="0.45">
      <c r="I205" t="s">
        <v>188</v>
      </c>
      <c r="J205" t="s">
        <v>399</v>
      </c>
      <c r="K205">
        <v>5.7069510057327962E-3</v>
      </c>
      <c r="L205" t="s">
        <v>161</v>
      </c>
      <c r="N205" t="s">
        <v>211</v>
      </c>
      <c r="O205" t="s">
        <v>399</v>
      </c>
      <c r="P205">
        <v>2.4293110390845168E-2</v>
      </c>
      <c r="Q205" t="s">
        <v>161</v>
      </c>
    </row>
    <row r="206" spans="9:17" x14ac:dyDescent="0.45">
      <c r="I206" t="s">
        <v>188</v>
      </c>
      <c r="J206" t="s">
        <v>400</v>
      </c>
      <c r="K206">
        <v>0.29085014212372429</v>
      </c>
      <c r="L206" t="s">
        <v>161</v>
      </c>
      <c r="N206" t="s">
        <v>211</v>
      </c>
      <c r="O206" t="s">
        <v>400</v>
      </c>
      <c r="P206">
        <v>0.10175012656655634</v>
      </c>
      <c r="Q206" t="s">
        <v>161</v>
      </c>
    </row>
    <row r="207" spans="9:17" x14ac:dyDescent="0.45">
      <c r="I207" t="s">
        <v>188</v>
      </c>
      <c r="J207" t="s">
        <v>401</v>
      </c>
      <c r="K207">
        <v>4.593285777666955E-3</v>
      </c>
      <c r="L207" t="s">
        <v>161</v>
      </c>
      <c r="N207" t="s">
        <v>211</v>
      </c>
      <c r="O207" t="s">
        <v>401</v>
      </c>
      <c r="P207">
        <v>0.10511013846615055</v>
      </c>
      <c r="Q207" t="s">
        <v>161</v>
      </c>
    </row>
    <row r="208" spans="9:17" x14ac:dyDescent="0.45">
      <c r="I208" t="s">
        <v>188</v>
      </c>
      <c r="J208" t="s">
        <v>402</v>
      </c>
      <c r="K208">
        <v>2.3782029091260152E-2</v>
      </c>
      <c r="L208" t="s">
        <v>161</v>
      </c>
      <c r="N208" t="s">
        <v>211</v>
      </c>
      <c r="O208" t="s">
        <v>402</v>
      </c>
      <c r="P208">
        <v>1.9548715836022336E-2</v>
      </c>
      <c r="Q208" t="s">
        <v>161</v>
      </c>
    </row>
    <row r="209" spans="9:17" x14ac:dyDescent="0.45">
      <c r="I209" t="s">
        <v>188</v>
      </c>
      <c r="J209" t="s">
        <v>403</v>
      </c>
      <c r="K209">
        <v>0.36434559277397671</v>
      </c>
      <c r="L209" t="s">
        <v>161</v>
      </c>
      <c r="N209" t="s">
        <v>211</v>
      </c>
      <c r="O209" t="s">
        <v>403</v>
      </c>
      <c r="P209">
        <v>6.5345590505289652E-2</v>
      </c>
      <c r="Q209" t="s">
        <v>161</v>
      </c>
    </row>
    <row r="210" spans="9:17" x14ac:dyDescent="0.45">
      <c r="I210" t="s">
        <v>188</v>
      </c>
      <c r="J210" t="s">
        <v>404</v>
      </c>
      <c r="K210">
        <v>1.7850733594939248E-2</v>
      </c>
      <c r="L210" t="s">
        <v>161</v>
      </c>
      <c r="N210" t="s">
        <v>211</v>
      </c>
      <c r="O210" t="s">
        <v>404</v>
      </c>
      <c r="P210">
        <v>6.8545143316198945E-2</v>
      </c>
      <c r="Q210" t="s">
        <v>161</v>
      </c>
    </row>
    <row r="211" spans="9:17" x14ac:dyDescent="0.45">
      <c r="I211" t="s">
        <v>188</v>
      </c>
      <c r="J211" t="s">
        <v>405</v>
      </c>
      <c r="K211">
        <v>3.9896267559622431E-2</v>
      </c>
      <c r="L211" t="s">
        <v>161</v>
      </c>
      <c r="N211" t="s">
        <v>211</v>
      </c>
      <c r="O211" t="s">
        <v>405</v>
      </c>
      <c r="P211">
        <v>1.2296630948424127E-2</v>
      </c>
      <c r="Q211" t="s">
        <v>161</v>
      </c>
    </row>
    <row r="212" spans="9:17" x14ac:dyDescent="0.45">
      <c r="I212" t="s">
        <v>188</v>
      </c>
      <c r="J212" t="s">
        <v>406</v>
      </c>
      <c r="K212">
        <v>9.0013032277986085E-2</v>
      </c>
      <c r="L212" t="s">
        <v>161</v>
      </c>
      <c r="N212" t="s">
        <v>211</v>
      </c>
      <c r="O212" t="s">
        <v>406</v>
      </c>
      <c r="P212">
        <v>0.15379238686719343</v>
      </c>
      <c r="Q212" t="s">
        <v>161</v>
      </c>
    </row>
    <row r="213" spans="9:17" x14ac:dyDescent="0.45">
      <c r="I213" t="s">
        <v>188</v>
      </c>
      <c r="J213" t="s">
        <v>407</v>
      </c>
      <c r="K213">
        <v>0</v>
      </c>
      <c r="L213" t="s">
        <v>161</v>
      </c>
      <c r="N213" t="s">
        <v>211</v>
      </c>
      <c r="O213" t="s">
        <v>407</v>
      </c>
      <c r="P213">
        <v>0.15558284310931428</v>
      </c>
      <c r="Q213" t="s">
        <v>161</v>
      </c>
    </row>
    <row r="214" spans="9:17" x14ac:dyDescent="0.45">
      <c r="I214" t="s">
        <v>188</v>
      </c>
      <c r="J214" t="s">
        <v>408</v>
      </c>
      <c r="K214">
        <v>8.601488078811754E-4</v>
      </c>
      <c r="L214" t="s">
        <v>161</v>
      </c>
      <c r="N214" t="s">
        <v>211</v>
      </c>
      <c r="O214" t="s">
        <v>408</v>
      </c>
      <c r="P214">
        <v>2.8554484817058974E-2</v>
      </c>
      <c r="Q214" t="s">
        <v>161</v>
      </c>
    </row>
    <row r="215" spans="9:17" x14ac:dyDescent="0.45">
      <c r="I215" t="s">
        <v>189</v>
      </c>
      <c r="J215" t="s">
        <v>397</v>
      </c>
      <c r="K215">
        <v>0.16448859045659081</v>
      </c>
      <c r="L215" t="s">
        <v>161</v>
      </c>
      <c r="N215" t="s">
        <v>212</v>
      </c>
      <c r="O215" t="s">
        <v>397</v>
      </c>
      <c r="P215">
        <v>0.11162239393693581</v>
      </c>
      <c r="Q215" t="s">
        <v>161</v>
      </c>
    </row>
    <row r="216" spans="9:17" x14ac:dyDescent="0.45">
      <c r="I216" t="s">
        <v>189</v>
      </c>
      <c r="J216" t="s">
        <v>398</v>
      </c>
      <c r="K216">
        <v>0</v>
      </c>
      <c r="L216" t="s">
        <v>161</v>
      </c>
      <c r="N216" t="s">
        <v>212</v>
      </c>
      <c r="O216" t="s">
        <v>398</v>
      </c>
      <c r="P216">
        <v>0.14181216396419044</v>
      </c>
      <c r="Q216" t="s">
        <v>161</v>
      </c>
    </row>
    <row r="217" spans="9:17" x14ac:dyDescent="0.45">
      <c r="I217" t="s">
        <v>189</v>
      </c>
      <c r="J217" t="s">
        <v>399</v>
      </c>
      <c r="K217">
        <v>6.278490720673797E-3</v>
      </c>
      <c r="L217" t="s">
        <v>161</v>
      </c>
      <c r="N217" t="s">
        <v>212</v>
      </c>
      <c r="O217" t="s">
        <v>399</v>
      </c>
      <c r="P217">
        <v>2.4239871847485869E-2</v>
      </c>
      <c r="Q217" t="s">
        <v>161</v>
      </c>
    </row>
    <row r="218" spans="9:17" x14ac:dyDescent="0.45">
      <c r="I218" t="s">
        <v>189</v>
      </c>
      <c r="J218" t="s">
        <v>400</v>
      </c>
      <c r="K218">
        <v>0.28181091548067921</v>
      </c>
      <c r="L218" t="s">
        <v>161</v>
      </c>
      <c r="N218" t="s">
        <v>212</v>
      </c>
      <c r="O218" t="s">
        <v>400</v>
      </c>
      <c r="P218">
        <v>0.1026994652722482</v>
      </c>
      <c r="Q218" t="s">
        <v>161</v>
      </c>
    </row>
    <row r="219" spans="9:17" x14ac:dyDescent="0.45">
      <c r="I219" t="s">
        <v>189</v>
      </c>
      <c r="J219" t="s">
        <v>401</v>
      </c>
      <c r="K219">
        <v>3.9861795884676829E-3</v>
      </c>
      <c r="L219" t="s">
        <v>161</v>
      </c>
      <c r="N219" t="s">
        <v>212</v>
      </c>
      <c r="O219" t="s">
        <v>401</v>
      </c>
      <c r="P219">
        <v>0.11854747981721625</v>
      </c>
      <c r="Q219" t="s">
        <v>161</v>
      </c>
    </row>
    <row r="220" spans="9:17" x14ac:dyDescent="0.45">
      <c r="I220" t="s">
        <v>189</v>
      </c>
      <c r="J220" t="s">
        <v>402</v>
      </c>
      <c r="K220">
        <v>2.2383192979690162E-2</v>
      </c>
      <c r="L220" t="s">
        <v>161</v>
      </c>
      <c r="N220" t="s">
        <v>212</v>
      </c>
      <c r="O220" t="s">
        <v>402</v>
      </c>
      <c r="P220">
        <v>1.8144913929953817E-2</v>
      </c>
      <c r="Q220" t="s">
        <v>161</v>
      </c>
    </row>
    <row r="221" spans="9:17" x14ac:dyDescent="0.45">
      <c r="I221" t="s">
        <v>189</v>
      </c>
      <c r="J221" t="s">
        <v>403</v>
      </c>
      <c r="K221">
        <v>0.36881503138400368</v>
      </c>
      <c r="L221" t="s">
        <v>161</v>
      </c>
      <c r="N221" t="s">
        <v>212</v>
      </c>
      <c r="O221" t="s">
        <v>403</v>
      </c>
      <c r="P221">
        <v>5.6715211221743091E-2</v>
      </c>
      <c r="Q221" t="s">
        <v>161</v>
      </c>
    </row>
    <row r="222" spans="9:17" x14ac:dyDescent="0.45">
      <c r="I222" t="s">
        <v>189</v>
      </c>
      <c r="J222" t="s">
        <v>404</v>
      </c>
      <c r="K222">
        <v>1.744268050820124E-2</v>
      </c>
      <c r="L222" t="s">
        <v>161</v>
      </c>
      <c r="N222" t="s">
        <v>212</v>
      </c>
      <c r="O222" t="s">
        <v>404</v>
      </c>
      <c r="P222">
        <v>7.4431296603561486E-2</v>
      </c>
      <c r="Q222" t="s">
        <v>161</v>
      </c>
    </row>
    <row r="223" spans="9:17" x14ac:dyDescent="0.45">
      <c r="I223" t="s">
        <v>189</v>
      </c>
      <c r="J223" t="s">
        <v>405</v>
      </c>
      <c r="K223">
        <v>4.1355270053475127E-2</v>
      </c>
      <c r="L223" t="s">
        <v>161</v>
      </c>
      <c r="N223" t="s">
        <v>212</v>
      </c>
      <c r="O223" t="s">
        <v>405</v>
      </c>
      <c r="P223">
        <v>1.2836327364622299E-2</v>
      </c>
      <c r="Q223" t="s">
        <v>161</v>
      </c>
    </row>
    <row r="224" spans="9:17" x14ac:dyDescent="0.45">
      <c r="I224" t="s">
        <v>189</v>
      </c>
      <c r="J224" t="s">
        <v>406</v>
      </c>
      <c r="K224">
        <v>9.2371955401216704E-2</v>
      </c>
      <c r="L224" t="s">
        <v>161</v>
      </c>
      <c r="N224" t="s">
        <v>212</v>
      </c>
      <c r="O224" t="s">
        <v>406</v>
      </c>
      <c r="P224">
        <v>0.14077720764199056</v>
      </c>
      <c r="Q224" t="s">
        <v>161</v>
      </c>
    </row>
    <row r="225" spans="9:17" x14ac:dyDescent="0.45">
      <c r="I225" t="s">
        <v>189</v>
      </c>
      <c r="J225" t="s">
        <v>407</v>
      </c>
      <c r="K225">
        <v>0</v>
      </c>
      <c r="L225" t="s">
        <v>161</v>
      </c>
      <c r="N225" t="s">
        <v>212</v>
      </c>
      <c r="O225" t="s">
        <v>407</v>
      </c>
      <c r="P225">
        <v>0.16865392781369928</v>
      </c>
      <c r="Q225" t="s">
        <v>161</v>
      </c>
    </row>
    <row r="226" spans="9:17" x14ac:dyDescent="0.45">
      <c r="I226" t="s">
        <v>189</v>
      </c>
      <c r="J226" t="s">
        <v>408</v>
      </c>
      <c r="K226">
        <v>1.0676934270018796E-3</v>
      </c>
      <c r="L226" t="s">
        <v>161</v>
      </c>
      <c r="N226" t="s">
        <v>212</v>
      </c>
      <c r="O226" t="s">
        <v>408</v>
      </c>
      <c r="P226">
        <v>2.9519740586350856E-2</v>
      </c>
      <c r="Q226" t="s">
        <v>161</v>
      </c>
    </row>
    <row r="227" spans="9:17" x14ac:dyDescent="0.45">
      <c r="I227" t="s">
        <v>190</v>
      </c>
      <c r="J227" t="s">
        <v>397</v>
      </c>
      <c r="K227">
        <v>0.16065144084668453</v>
      </c>
      <c r="L227" t="s">
        <v>161</v>
      </c>
      <c r="N227" t="s">
        <v>213</v>
      </c>
      <c r="O227" t="s">
        <v>397</v>
      </c>
      <c r="P227">
        <v>0.12047942812754832</v>
      </c>
      <c r="Q227" t="s">
        <v>161</v>
      </c>
    </row>
    <row r="228" spans="9:17" x14ac:dyDescent="0.45">
      <c r="I228" t="s">
        <v>190</v>
      </c>
      <c r="J228" t="s">
        <v>398</v>
      </c>
      <c r="K228">
        <v>0</v>
      </c>
      <c r="L228" t="s">
        <v>161</v>
      </c>
      <c r="N228" t="s">
        <v>213</v>
      </c>
      <c r="O228" t="s">
        <v>398</v>
      </c>
      <c r="P228">
        <v>0.14946465985023302</v>
      </c>
      <c r="Q228" t="s">
        <v>161</v>
      </c>
    </row>
    <row r="229" spans="9:17" x14ac:dyDescent="0.45">
      <c r="I229" t="s">
        <v>190</v>
      </c>
      <c r="J229" t="s">
        <v>399</v>
      </c>
      <c r="K229">
        <v>4.6775655535542899E-3</v>
      </c>
      <c r="L229" t="s">
        <v>161</v>
      </c>
      <c r="N229" t="s">
        <v>213</v>
      </c>
      <c r="O229" t="s">
        <v>399</v>
      </c>
      <c r="P229">
        <v>2.4186359951529183E-2</v>
      </c>
      <c r="Q229" t="s">
        <v>161</v>
      </c>
    </row>
    <row r="230" spans="9:17" x14ac:dyDescent="0.45">
      <c r="I230" t="s">
        <v>190</v>
      </c>
      <c r="J230" t="s">
        <v>400</v>
      </c>
      <c r="K230">
        <v>0.28961989250040648</v>
      </c>
      <c r="L230" t="s">
        <v>161</v>
      </c>
      <c r="N230" t="s">
        <v>213</v>
      </c>
      <c r="O230" t="s">
        <v>400</v>
      </c>
      <c r="P230">
        <v>9.5815558878812698E-2</v>
      </c>
      <c r="Q230" t="s">
        <v>161</v>
      </c>
    </row>
    <row r="231" spans="9:17" x14ac:dyDescent="0.45">
      <c r="I231" t="s">
        <v>190</v>
      </c>
      <c r="J231" t="s">
        <v>401</v>
      </c>
      <c r="K231">
        <v>5.5636702678484879E-3</v>
      </c>
      <c r="L231" t="s">
        <v>161</v>
      </c>
      <c r="N231" t="s">
        <v>213</v>
      </c>
      <c r="O231" t="s">
        <v>401</v>
      </c>
      <c r="P231">
        <v>0.11918905938424966</v>
      </c>
      <c r="Q231" t="s">
        <v>161</v>
      </c>
    </row>
    <row r="232" spans="9:17" x14ac:dyDescent="0.45">
      <c r="I232" t="s">
        <v>190</v>
      </c>
      <c r="J232" t="s">
        <v>402</v>
      </c>
      <c r="K232">
        <v>1.9293366735172564E-2</v>
      </c>
      <c r="L232" t="s">
        <v>161</v>
      </c>
      <c r="N232" t="s">
        <v>213</v>
      </c>
      <c r="O232" t="s">
        <v>402</v>
      </c>
      <c r="P232">
        <v>1.9691576879032186E-2</v>
      </c>
      <c r="Q232" t="s">
        <v>161</v>
      </c>
    </row>
    <row r="233" spans="9:17" x14ac:dyDescent="0.45">
      <c r="I233" t="s">
        <v>190</v>
      </c>
      <c r="J233" t="s">
        <v>403</v>
      </c>
      <c r="K233">
        <v>0.38354872924313116</v>
      </c>
      <c r="L233" t="s">
        <v>161</v>
      </c>
      <c r="N233" t="s">
        <v>213</v>
      </c>
      <c r="O233" t="s">
        <v>403</v>
      </c>
      <c r="P233">
        <v>4.6770379934341355E-2</v>
      </c>
      <c r="Q233" t="s">
        <v>161</v>
      </c>
    </row>
    <row r="234" spans="9:17" x14ac:dyDescent="0.45">
      <c r="I234" t="s">
        <v>190</v>
      </c>
      <c r="J234" t="s">
        <v>404</v>
      </c>
      <c r="K234">
        <v>2.1525232949898911E-2</v>
      </c>
      <c r="L234" t="s">
        <v>161</v>
      </c>
      <c r="N234" t="s">
        <v>213</v>
      </c>
      <c r="O234" t="s">
        <v>404</v>
      </c>
      <c r="P234">
        <v>7.8254238900431428E-2</v>
      </c>
      <c r="Q234" t="s">
        <v>161</v>
      </c>
    </row>
    <row r="235" spans="9:17" x14ac:dyDescent="0.45">
      <c r="I235" t="s">
        <v>190</v>
      </c>
      <c r="J235" t="s">
        <v>405</v>
      </c>
      <c r="K235">
        <v>3.8317165244035861E-2</v>
      </c>
      <c r="L235" t="s">
        <v>161</v>
      </c>
      <c r="N235" t="s">
        <v>213</v>
      </c>
      <c r="O235" t="s">
        <v>405</v>
      </c>
      <c r="P235">
        <v>1.128136600985416E-2</v>
      </c>
      <c r="Q235" t="s">
        <v>161</v>
      </c>
    </row>
    <row r="236" spans="9:17" x14ac:dyDescent="0.45">
      <c r="I236" t="s">
        <v>190</v>
      </c>
      <c r="J236" t="s">
        <v>406</v>
      </c>
      <c r="K236">
        <v>7.6420885557021423E-2</v>
      </c>
      <c r="L236" t="s">
        <v>161</v>
      </c>
      <c r="N236" t="s">
        <v>213</v>
      </c>
      <c r="O236" t="s">
        <v>406</v>
      </c>
      <c r="P236">
        <v>0.13864127695384448</v>
      </c>
      <c r="Q236" t="s">
        <v>161</v>
      </c>
    </row>
    <row r="237" spans="9:17" x14ac:dyDescent="0.45">
      <c r="I237" t="s">
        <v>190</v>
      </c>
      <c r="J237" t="s">
        <v>407</v>
      </c>
      <c r="K237">
        <v>0</v>
      </c>
      <c r="L237" t="s">
        <v>161</v>
      </c>
      <c r="N237" t="s">
        <v>213</v>
      </c>
      <c r="O237" t="s">
        <v>407</v>
      </c>
      <c r="P237">
        <v>0.16633463061710388</v>
      </c>
      <c r="Q237" t="s">
        <v>161</v>
      </c>
    </row>
    <row r="238" spans="9:17" x14ac:dyDescent="0.45">
      <c r="I238" t="s">
        <v>190</v>
      </c>
      <c r="J238" t="s">
        <v>408</v>
      </c>
      <c r="K238">
        <v>3.8205110224768011E-4</v>
      </c>
      <c r="L238" t="s">
        <v>161</v>
      </c>
      <c r="N238" t="s">
        <v>213</v>
      </c>
      <c r="O238" t="s">
        <v>408</v>
      </c>
      <c r="P238">
        <v>2.9891464513024456E-2</v>
      </c>
      <c r="Q238" t="s">
        <v>161</v>
      </c>
    </row>
    <row r="239" spans="9:17" x14ac:dyDescent="0.45">
      <c r="I239" t="s">
        <v>191</v>
      </c>
      <c r="J239" t="s">
        <v>397</v>
      </c>
      <c r="K239">
        <v>0.16074909003018673</v>
      </c>
      <c r="L239" t="s">
        <v>161</v>
      </c>
      <c r="N239" t="s">
        <v>214</v>
      </c>
      <c r="O239" t="s">
        <v>397</v>
      </c>
      <c r="P239">
        <v>0.13962519889114045</v>
      </c>
      <c r="Q239" t="s">
        <v>161</v>
      </c>
    </row>
    <row r="240" spans="9:17" x14ac:dyDescent="0.45">
      <c r="I240" t="s">
        <v>191</v>
      </c>
      <c r="J240" t="s">
        <v>398</v>
      </c>
      <c r="K240">
        <v>0</v>
      </c>
      <c r="L240" t="s">
        <v>161</v>
      </c>
      <c r="N240" t="s">
        <v>214</v>
      </c>
      <c r="O240" t="s">
        <v>398</v>
      </c>
      <c r="P240">
        <v>0.13678456803891764</v>
      </c>
      <c r="Q240" t="s">
        <v>161</v>
      </c>
    </row>
    <row r="241" spans="9:17" x14ac:dyDescent="0.45">
      <c r="I241" t="s">
        <v>191</v>
      </c>
      <c r="J241" t="s">
        <v>399</v>
      </c>
      <c r="K241">
        <v>5.2635833846051625E-3</v>
      </c>
      <c r="L241" t="s">
        <v>161</v>
      </c>
      <c r="N241" t="s">
        <v>214</v>
      </c>
      <c r="O241" t="s">
        <v>399</v>
      </c>
      <c r="P241">
        <v>2.870738162783544E-2</v>
      </c>
      <c r="Q241" t="s">
        <v>161</v>
      </c>
    </row>
    <row r="242" spans="9:17" x14ac:dyDescent="0.45">
      <c r="I242" t="s">
        <v>191</v>
      </c>
      <c r="J242" t="s">
        <v>400</v>
      </c>
      <c r="K242">
        <v>0.2842232365126261</v>
      </c>
      <c r="L242" t="s">
        <v>161</v>
      </c>
      <c r="N242" t="s">
        <v>214</v>
      </c>
      <c r="O242" t="s">
        <v>400</v>
      </c>
      <c r="P242">
        <v>0.10338893447952392</v>
      </c>
      <c r="Q242" t="s">
        <v>161</v>
      </c>
    </row>
    <row r="243" spans="9:17" x14ac:dyDescent="0.45">
      <c r="I243" t="s">
        <v>191</v>
      </c>
      <c r="J243" t="s">
        <v>401</v>
      </c>
      <c r="K243">
        <v>4.8465090878466047E-3</v>
      </c>
      <c r="L243" t="s">
        <v>161</v>
      </c>
      <c r="N243" t="s">
        <v>214</v>
      </c>
      <c r="O243" t="s">
        <v>401</v>
      </c>
      <c r="P243">
        <v>0.10929741576620691</v>
      </c>
      <c r="Q243" t="s">
        <v>161</v>
      </c>
    </row>
    <row r="244" spans="9:17" x14ac:dyDescent="0.45">
      <c r="I244" t="s">
        <v>191</v>
      </c>
      <c r="J244" t="s">
        <v>402</v>
      </c>
      <c r="K244">
        <v>2.0158943603029847E-2</v>
      </c>
      <c r="L244" t="s">
        <v>161</v>
      </c>
      <c r="N244" t="s">
        <v>214</v>
      </c>
      <c r="O244" t="s">
        <v>402</v>
      </c>
      <c r="P244">
        <v>2.1981192574453183E-2</v>
      </c>
      <c r="Q244" t="s">
        <v>161</v>
      </c>
    </row>
    <row r="245" spans="9:17" x14ac:dyDescent="0.45">
      <c r="I245" t="s">
        <v>191</v>
      </c>
      <c r="J245" t="s">
        <v>403</v>
      </c>
      <c r="K245">
        <v>0.3815531876178096</v>
      </c>
      <c r="L245" t="s">
        <v>161</v>
      </c>
      <c r="N245" t="s">
        <v>214</v>
      </c>
      <c r="O245" t="s">
        <v>403</v>
      </c>
      <c r="P245">
        <v>6.0506769410758637E-2</v>
      </c>
      <c r="Q245" t="s">
        <v>161</v>
      </c>
    </row>
    <row r="246" spans="9:17" x14ac:dyDescent="0.45">
      <c r="I246" t="s">
        <v>191</v>
      </c>
      <c r="J246" t="s">
        <v>404</v>
      </c>
      <c r="K246">
        <v>2.0236284393508143E-2</v>
      </c>
      <c r="L246" t="s">
        <v>161</v>
      </c>
      <c r="N246" t="s">
        <v>214</v>
      </c>
      <c r="O246" t="s">
        <v>404</v>
      </c>
      <c r="P246">
        <v>7.063730991184862E-2</v>
      </c>
      <c r="Q246" t="s">
        <v>161</v>
      </c>
    </row>
    <row r="247" spans="9:17" x14ac:dyDescent="0.45">
      <c r="I247" t="s">
        <v>191</v>
      </c>
      <c r="J247" t="s">
        <v>405</v>
      </c>
      <c r="K247">
        <v>3.7753620984293745E-2</v>
      </c>
      <c r="L247" t="s">
        <v>161</v>
      </c>
      <c r="N247" t="s">
        <v>214</v>
      </c>
      <c r="O247" t="s">
        <v>405</v>
      </c>
      <c r="P247">
        <v>1.2156667251536054E-2</v>
      </c>
      <c r="Q247" t="s">
        <v>161</v>
      </c>
    </row>
    <row r="248" spans="9:17" x14ac:dyDescent="0.45">
      <c r="I248" t="s">
        <v>191</v>
      </c>
      <c r="J248" t="s">
        <v>406</v>
      </c>
      <c r="K248">
        <v>8.4742997378904034E-2</v>
      </c>
      <c r="L248" t="s">
        <v>161</v>
      </c>
      <c r="N248" t="s">
        <v>214</v>
      </c>
      <c r="O248" t="s">
        <v>406</v>
      </c>
      <c r="P248">
        <v>0.13397213992716603</v>
      </c>
      <c r="Q248" t="s">
        <v>161</v>
      </c>
    </row>
    <row r="249" spans="9:17" x14ac:dyDescent="0.45">
      <c r="I249" t="s">
        <v>191</v>
      </c>
      <c r="J249" t="s">
        <v>407</v>
      </c>
      <c r="K249">
        <v>0</v>
      </c>
      <c r="L249" t="s">
        <v>161</v>
      </c>
      <c r="N249" t="s">
        <v>214</v>
      </c>
      <c r="O249" t="s">
        <v>407</v>
      </c>
      <c r="P249">
        <v>0.15441433813239766</v>
      </c>
      <c r="Q249" t="s">
        <v>161</v>
      </c>
    </row>
    <row r="250" spans="9:17" x14ac:dyDescent="0.45">
      <c r="I250" t="s">
        <v>191</v>
      </c>
      <c r="J250" t="s">
        <v>408</v>
      </c>
      <c r="K250">
        <v>4.7254700719188557E-4</v>
      </c>
      <c r="L250" t="s">
        <v>161</v>
      </c>
      <c r="N250" t="s">
        <v>214</v>
      </c>
      <c r="O250" t="s">
        <v>408</v>
      </c>
      <c r="P250">
        <v>2.852808398821631E-2</v>
      </c>
      <c r="Q250" t="s">
        <v>161</v>
      </c>
    </row>
    <row r="251" spans="9:17" x14ac:dyDescent="0.45">
      <c r="I251" t="s">
        <v>192</v>
      </c>
      <c r="J251" t="s">
        <v>397</v>
      </c>
      <c r="K251">
        <v>0.1647571469776053</v>
      </c>
      <c r="L251" t="s">
        <v>161</v>
      </c>
      <c r="N251" t="s">
        <v>215</v>
      </c>
      <c r="O251" t="s">
        <v>397</v>
      </c>
      <c r="P251">
        <v>0.11702571668182853</v>
      </c>
      <c r="Q251" t="s">
        <v>161</v>
      </c>
    </row>
    <row r="252" spans="9:17" x14ac:dyDescent="0.45">
      <c r="I252" t="s">
        <v>192</v>
      </c>
      <c r="J252" t="s">
        <v>398</v>
      </c>
      <c r="K252">
        <v>0</v>
      </c>
      <c r="L252" t="s">
        <v>161</v>
      </c>
      <c r="N252" t="s">
        <v>215</v>
      </c>
      <c r="O252" t="s">
        <v>398</v>
      </c>
      <c r="P252">
        <v>0.14199603697953186</v>
      </c>
      <c r="Q252" t="s">
        <v>161</v>
      </c>
    </row>
    <row r="253" spans="9:17" x14ac:dyDescent="0.45">
      <c r="I253" t="s">
        <v>192</v>
      </c>
      <c r="J253" t="s">
        <v>399</v>
      </c>
      <c r="K253">
        <v>4.9690311285898528E-3</v>
      </c>
      <c r="L253" t="s">
        <v>161</v>
      </c>
      <c r="N253" t="s">
        <v>215</v>
      </c>
      <c r="O253" t="s">
        <v>399</v>
      </c>
      <c r="P253">
        <v>2.6891010384681287E-2</v>
      </c>
      <c r="Q253" t="s">
        <v>161</v>
      </c>
    </row>
    <row r="254" spans="9:17" x14ac:dyDescent="0.45">
      <c r="I254" t="s">
        <v>192</v>
      </c>
      <c r="J254" t="s">
        <v>400</v>
      </c>
      <c r="K254">
        <v>0.29845341052070262</v>
      </c>
      <c r="L254" t="s">
        <v>161</v>
      </c>
      <c r="N254" t="s">
        <v>215</v>
      </c>
      <c r="O254" t="s">
        <v>400</v>
      </c>
      <c r="P254">
        <v>9.9359953454791483E-2</v>
      </c>
      <c r="Q254" t="s">
        <v>161</v>
      </c>
    </row>
    <row r="255" spans="9:17" x14ac:dyDescent="0.45">
      <c r="I255" t="s">
        <v>192</v>
      </c>
      <c r="J255" t="s">
        <v>401</v>
      </c>
      <c r="K255">
        <v>5.630714296954659E-3</v>
      </c>
      <c r="L255" t="s">
        <v>161</v>
      </c>
      <c r="N255" t="s">
        <v>215</v>
      </c>
      <c r="O255" t="s">
        <v>401</v>
      </c>
      <c r="P255">
        <v>0.12714649365622935</v>
      </c>
      <c r="Q255" t="s">
        <v>161</v>
      </c>
    </row>
    <row r="256" spans="9:17" x14ac:dyDescent="0.45">
      <c r="I256" t="s">
        <v>192</v>
      </c>
      <c r="J256" t="s">
        <v>402</v>
      </c>
      <c r="K256">
        <v>2.2934007169777181E-2</v>
      </c>
      <c r="L256" t="s">
        <v>161</v>
      </c>
      <c r="N256" t="s">
        <v>215</v>
      </c>
      <c r="O256" t="s">
        <v>402</v>
      </c>
      <c r="P256">
        <v>2.0372167042361257E-2</v>
      </c>
      <c r="Q256" t="s">
        <v>161</v>
      </c>
    </row>
    <row r="257" spans="9:17" x14ac:dyDescent="0.45">
      <c r="I257" t="s">
        <v>192</v>
      </c>
      <c r="J257" t="s">
        <v>403</v>
      </c>
      <c r="K257">
        <v>0.36425448328602289</v>
      </c>
      <c r="L257" t="s">
        <v>161</v>
      </c>
      <c r="N257" t="s">
        <v>215</v>
      </c>
      <c r="O257" t="s">
        <v>403</v>
      </c>
      <c r="P257">
        <v>5.9369001356465882E-2</v>
      </c>
      <c r="Q257" t="s">
        <v>161</v>
      </c>
    </row>
    <row r="258" spans="9:17" x14ac:dyDescent="0.45">
      <c r="I258" t="s">
        <v>192</v>
      </c>
      <c r="J258" t="s">
        <v>404</v>
      </c>
      <c r="K258">
        <v>2.0667070060089103E-2</v>
      </c>
      <c r="L258" t="s">
        <v>161</v>
      </c>
      <c r="N258" t="s">
        <v>215</v>
      </c>
      <c r="O258" t="s">
        <v>404</v>
      </c>
      <c r="P258">
        <v>8.6940381239576259E-2</v>
      </c>
      <c r="Q258" t="s">
        <v>161</v>
      </c>
    </row>
    <row r="259" spans="9:17" x14ac:dyDescent="0.45">
      <c r="I259" t="s">
        <v>192</v>
      </c>
      <c r="J259" t="s">
        <v>405</v>
      </c>
      <c r="K259">
        <v>3.993147799607618E-2</v>
      </c>
      <c r="L259" t="s">
        <v>161</v>
      </c>
      <c r="N259" t="s">
        <v>215</v>
      </c>
      <c r="O259" t="s">
        <v>405</v>
      </c>
      <c r="P259">
        <v>1.221416882214575E-2</v>
      </c>
      <c r="Q259" t="s">
        <v>161</v>
      </c>
    </row>
    <row r="260" spans="9:17" x14ac:dyDescent="0.45">
      <c r="I260" t="s">
        <v>192</v>
      </c>
      <c r="J260" t="s">
        <v>406</v>
      </c>
      <c r="K260">
        <v>7.7852161731009076E-2</v>
      </c>
      <c r="L260" t="s">
        <v>161</v>
      </c>
      <c r="N260" t="s">
        <v>215</v>
      </c>
      <c r="O260" t="s">
        <v>406</v>
      </c>
      <c r="P260">
        <v>0.12656689217967013</v>
      </c>
      <c r="Q260" t="s">
        <v>161</v>
      </c>
    </row>
    <row r="261" spans="9:17" x14ac:dyDescent="0.45">
      <c r="I261" t="s">
        <v>192</v>
      </c>
      <c r="J261" t="s">
        <v>407</v>
      </c>
      <c r="K261">
        <v>0</v>
      </c>
      <c r="L261" t="s">
        <v>161</v>
      </c>
      <c r="N261" t="s">
        <v>215</v>
      </c>
      <c r="O261" t="s">
        <v>407</v>
      </c>
      <c r="P261">
        <v>0.15515316312145361</v>
      </c>
      <c r="Q261" t="s">
        <v>161</v>
      </c>
    </row>
    <row r="262" spans="9:17" x14ac:dyDescent="0.45">
      <c r="I262" t="s">
        <v>192</v>
      </c>
      <c r="J262" t="s">
        <v>408</v>
      </c>
      <c r="K262">
        <v>5.504968331744572E-4</v>
      </c>
      <c r="L262" t="s">
        <v>161</v>
      </c>
      <c r="N262" t="s">
        <v>215</v>
      </c>
      <c r="O262" t="s">
        <v>408</v>
      </c>
      <c r="P262">
        <v>2.6965015081265642E-2</v>
      </c>
      <c r="Q262" t="s">
        <v>161</v>
      </c>
    </row>
    <row r="263" spans="9:17" x14ac:dyDescent="0.45">
      <c r="I263" t="s">
        <v>193</v>
      </c>
      <c r="J263" t="s">
        <v>397</v>
      </c>
      <c r="K263">
        <v>0.16622769630012019</v>
      </c>
      <c r="L263" t="s">
        <v>161</v>
      </c>
      <c r="N263" t="s">
        <v>216</v>
      </c>
      <c r="O263" t="s">
        <v>397</v>
      </c>
      <c r="P263">
        <v>0.13447851202972708</v>
      </c>
      <c r="Q263" t="s">
        <v>161</v>
      </c>
    </row>
    <row r="264" spans="9:17" x14ac:dyDescent="0.45">
      <c r="I264" t="s">
        <v>193</v>
      </c>
      <c r="J264" t="s">
        <v>398</v>
      </c>
      <c r="K264">
        <v>0</v>
      </c>
      <c r="L264" t="s">
        <v>161</v>
      </c>
      <c r="N264" t="s">
        <v>216</v>
      </c>
      <c r="O264" t="s">
        <v>398</v>
      </c>
      <c r="P264">
        <v>0.1533322982026819</v>
      </c>
      <c r="Q264" t="s">
        <v>161</v>
      </c>
    </row>
    <row r="265" spans="9:17" x14ac:dyDescent="0.45">
      <c r="I265" t="s">
        <v>193</v>
      </c>
      <c r="J265" t="s">
        <v>399</v>
      </c>
      <c r="K265">
        <v>5.1681163323437718E-3</v>
      </c>
      <c r="L265" t="s">
        <v>161</v>
      </c>
      <c r="N265" t="s">
        <v>216</v>
      </c>
      <c r="O265" t="s">
        <v>399</v>
      </c>
      <c r="P265">
        <v>2.6972933912317969E-2</v>
      </c>
      <c r="Q265" t="s">
        <v>161</v>
      </c>
    </row>
    <row r="266" spans="9:17" x14ac:dyDescent="0.45">
      <c r="I266" t="s">
        <v>193</v>
      </c>
      <c r="J266" t="s">
        <v>400</v>
      </c>
      <c r="K266">
        <v>0.29750207731853179</v>
      </c>
      <c r="L266" t="s">
        <v>161</v>
      </c>
      <c r="N266" t="s">
        <v>216</v>
      </c>
      <c r="O266" t="s">
        <v>400</v>
      </c>
      <c r="P266">
        <v>9.6814937588854733E-2</v>
      </c>
      <c r="Q266" t="s">
        <v>161</v>
      </c>
    </row>
    <row r="267" spans="9:17" x14ac:dyDescent="0.45">
      <c r="I267" t="s">
        <v>193</v>
      </c>
      <c r="J267" t="s">
        <v>401</v>
      </c>
      <c r="K267">
        <v>5.8913169964833201E-3</v>
      </c>
      <c r="L267" t="s">
        <v>161</v>
      </c>
      <c r="N267" t="s">
        <v>216</v>
      </c>
      <c r="O267" t="s">
        <v>401</v>
      </c>
      <c r="P267">
        <v>0.10855128453001604</v>
      </c>
      <c r="Q267" t="s">
        <v>161</v>
      </c>
    </row>
    <row r="268" spans="9:17" x14ac:dyDescent="0.45">
      <c r="I268" t="s">
        <v>193</v>
      </c>
      <c r="J268" t="s">
        <v>402</v>
      </c>
      <c r="K268">
        <v>2.5390169889629121E-2</v>
      </c>
      <c r="L268" t="s">
        <v>161</v>
      </c>
      <c r="N268" t="s">
        <v>216</v>
      </c>
      <c r="O268" t="s">
        <v>402</v>
      </c>
      <c r="P268">
        <v>1.8753123499102103E-2</v>
      </c>
      <c r="Q268" t="s">
        <v>161</v>
      </c>
    </row>
    <row r="269" spans="9:17" x14ac:dyDescent="0.45">
      <c r="I269" t="s">
        <v>193</v>
      </c>
      <c r="J269" t="s">
        <v>403</v>
      </c>
      <c r="K269">
        <v>0.34921160536307128</v>
      </c>
      <c r="L269" t="s">
        <v>161</v>
      </c>
      <c r="N269" t="s">
        <v>216</v>
      </c>
      <c r="O269" t="s">
        <v>403</v>
      </c>
      <c r="P269">
        <v>5.0330850812698259E-2</v>
      </c>
      <c r="Q269" t="s">
        <v>161</v>
      </c>
    </row>
    <row r="270" spans="9:17" x14ac:dyDescent="0.45">
      <c r="I270" t="s">
        <v>193</v>
      </c>
      <c r="J270" t="s">
        <v>404</v>
      </c>
      <c r="K270">
        <v>2.0125847752844157E-2</v>
      </c>
      <c r="L270" t="s">
        <v>161</v>
      </c>
      <c r="N270" t="s">
        <v>216</v>
      </c>
      <c r="O270" t="s">
        <v>404</v>
      </c>
      <c r="P270">
        <v>6.6931358914697925E-2</v>
      </c>
      <c r="Q270" t="s">
        <v>161</v>
      </c>
    </row>
    <row r="271" spans="9:17" x14ac:dyDescent="0.45">
      <c r="I271" t="s">
        <v>193</v>
      </c>
      <c r="J271" t="s">
        <v>405</v>
      </c>
      <c r="K271">
        <v>4.2732210029201891E-2</v>
      </c>
      <c r="L271" t="s">
        <v>161</v>
      </c>
      <c r="N271" t="s">
        <v>216</v>
      </c>
      <c r="O271" t="s">
        <v>405</v>
      </c>
      <c r="P271">
        <v>1.1814010067039344E-2</v>
      </c>
      <c r="Q271" t="s">
        <v>161</v>
      </c>
    </row>
    <row r="272" spans="9:17" x14ac:dyDescent="0.45">
      <c r="I272" t="s">
        <v>193</v>
      </c>
      <c r="J272" t="s">
        <v>406</v>
      </c>
      <c r="K272">
        <v>8.7130827310649805E-2</v>
      </c>
      <c r="L272" t="s">
        <v>161</v>
      </c>
      <c r="N272" t="s">
        <v>216</v>
      </c>
      <c r="O272" t="s">
        <v>406</v>
      </c>
      <c r="P272">
        <v>0.14400947301887088</v>
      </c>
      <c r="Q272" t="s">
        <v>161</v>
      </c>
    </row>
    <row r="273" spans="9:17" x14ac:dyDescent="0.45">
      <c r="I273" t="s">
        <v>193</v>
      </c>
      <c r="J273" t="s">
        <v>407</v>
      </c>
      <c r="K273">
        <v>0</v>
      </c>
      <c r="L273" t="s">
        <v>161</v>
      </c>
      <c r="N273" t="s">
        <v>216</v>
      </c>
      <c r="O273" t="s">
        <v>407</v>
      </c>
      <c r="P273">
        <v>0.15865708593514757</v>
      </c>
      <c r="Q273" t="s">
        <v>161</v>
      </c>
    </row>
    <row r="274" spans="9:17" x14ac:dyDescent="0.45">
      <c r="I274" t="s">
        <v>193</v>
      </c>
      <c r="J274" t="s">
        <v>408</v>
      </c>
      <c r="K274">
        <v>6.2013270712599601E-4</v>
      </c>
      <c r="L274" t="s">
        <v>161</v>
      </c>
      <c r="N274" t="s">
        <v>216</v>
      </c>
      <c r="O274" t="s">
        <v>408</v>
      </c>
      <c r="P274">
        <v>2.9354131488846927E-2</v>
      </c>
      <c r="Q274" t="s">
        <v>161</v>
      </c>
    </row>
    <row r="275" spans="9:17" x14ac:dyDescent="0.45">
      <c r="I275" t="s">
        <v>194</v>
      </c>
      <c r="J275" t="s">
        <v>397</v>
      </c>
      <c r="K275">
        <v>0.16494551625208673</v>
      </c>
      <c r="L275" t="s">
        <v>161</v>
      </c>
    </row>
    <row r="276" spans="9:17" x14ac:dyDescent="0.45">
      <c r="I276" t="s">
        <v>194</v>
      </c>
      <c r="J276" t="s">
        <v>398</v>
      </c>
      <c r="K276">
        <v>0</v>
      </c>
      <c r="L276" t="s">
        <v>161</v>
      </c>
    </row>
    <row r="277" spans="9:17" x14ac:dyDescent="0.45">
      <c r="I277" t="s">
        <v>194</v>
      </c>
      <c r="J277" t="s">
        <v>399</v>
      </c>
      <c r="K277">
        <v>5.0951082027027922E-3</v>
      </c>
      <c r="L277" t="s">
        <v>161</v>
      </c>
    </row>
    <row r="278" spans="9:17" x14ac:dyDescent="0.45">
      <c r="I278" t="s">
        <v>194</v>
      </c>
      <c r="J278" t="s">
        <v>400</v>
      </c>
      <c r="K278">
        <v>0.29893013766037352</v>
      </c>
      <c r="L278" t="s">
        <v>161</v>
      </c>
    </row>
    <row r="279" spans="9:17" x14ac:dyDescent="0.45">
      <c r="I279" t="s">
        <v>194</v>
      </c>
      <c r="J279" t="s">
        <v>401</v>
      </c>
      <c r="K279">
        <v>5.4308487129241323E-3</v>
      </c>
      <c r="L279" t="s">
        <v>161</v>
      </c>
    </row>
    <row r="280" spans="9:17" x14ac:dyDescent="0.45">
      <c r="I280" t="s">
        <v>194</v>
      </c>
      <c r="J280" t="s">
        <v>402</v>
      </c>
      <c r="K280">
        <v>2.3919881930283118E-2</v>
      </c>
      <c r="L280" t="s">
        <v>161</v>
      </c>
    </row>
    <row r="281" spans="9:17" x14ac:dyDescent="0.45">
      <c r="I281" t="s">
        <v>194</v>
      </c>
      <c r="J281" t="s">
        <v>403</v>
      </c>
      <c r="K281">
        <v>0.35287899995647126</v>
      </c>
      <c r="L281" t="s">
        <v>161</v>
      </c>
    </row>
    <row r="282" spans="9:17" x14ac:dyDescent="0.45">
      <c r="I282" t="s">
        <v>194</v>
      </c>
      <c r="J282" t="s">
        <v>404</v>
      </c>
      <c r="K282">
        <v>1.8387118241967107E-2</v>
      </c>
      <c r="L282" t="s">
        <v>161</v>
      </c>
    </row>
    <row r="283" spans="9:17" x14ac:dyDescent="0.45">
      <c r="I283" t="s">
        <v>194</v>
      </c>
      <c r="J283" t="s">
        <v>405</v>
      </c>
      <c r="K283">
        <v>4.0400480651971583E-2</v>
      </c>
      <c r="L283" t="s">
        <v>161</v>
      </c>
    </row>
    <row r="284" spans="9:17" x14ac:dyDescent="0.45">
      <c r="I284" t="s">
        <v>194</v>
      </c>
      <c r="J284" t="s">
        <v>406</v>
      </c>
      <c r="K284">
        <v>8.944583893861166E-2</v>
      </c>
      <c r="L284" t="s">
        <v>161</v>
      </c>
    </row>
    <row r="285" spans="9:17" x14ac:dyDescent="0.45">
      <c r="I285" t="s">
        <v>194</v>
      </c>
      <c r="J285" t="s">
        <v>407</v>
      </c>
      <c r="K285">
        <v>0</v>
      </c>
      <c r="L285" t="s">
        <v>161</v>
      </c>
    </row>
    <row r="286" spans="9:17" x14ac:dyDescent="0.45">
      <c r="I286" t="s">
        <v>194</v>
      </c>
      <c r="J286" t="s">
        <v>408</v>
      </c>
      <c r="K286">
        <v>5.6606945260928164E-4</v>
      </c>
      <c r="L286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s1_d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2026-02-19T15:23:28Z</dcterms:modified>
</cp:coreProperties>
</file>