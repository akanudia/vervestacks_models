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ppXLS\"/>
    </mc:Choice>
  </mc:AlternateContent>
  <xr:revisionPtr revIDLastSave="0" documentId="13_ncr:1_{9F2038DF-7127-40C4-9E58-AF4E9AFA905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I15" i="1"/>
  <c r="O24" i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O15" i="1" l="1"/>
  <c r="Z23" i="1" s="1"/>
  <c r="K15" i="1"/>
  <c r="V23" i="1" s="1"/>
  <c r="M15" i="1"/>
  <c r="X23" i="1" s="1"/>
  <c r="N15" i="1"/>
  <c r="Y23" i="1" s="1"/>
  <c r="J15" i="1"/>
  <c r="U23" i="1" s="1"/>
  <c r="L15" i="1"/>
  <c r="W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Z22" i="1" s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<sst xmlns="http://schemas.openxmlformats.org/spreadsheetml/2006/main" count="1727" uniqueCount="126">
  <si>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</si>
  <si>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</si>
  <si>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</si>
  <si>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</si>
  <si>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</si>
  <si>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</si>
  <si>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</si>
  <si>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</si>
  <si>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</si>
  <si>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</si>
  <si>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</si>
  <si>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</si>
  <si>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</si>
  <si>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</si>
  <si>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</si>
  <si>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</si>
  <si>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</si>
  <si>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</si>
  <si>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</si>
  <si>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</si>
  <si>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</si>
  <si>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</si>
  <si>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</si>
  <si>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</si>
  <si>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</si>
  <si>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</si>
  <si>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</si>
  <si>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</si>
  <si>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</si>
  <si>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</si>
  <si>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</si>
  <si>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</si>
  <si>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</si>
  <si>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</si>
  <si>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</si>
  <si>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</si>
  <si>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</si>
  <si>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</si>
  <si>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</si>
  <si>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</si>
  <si>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</si>
  <si>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</si>
  <si>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</si>
  <si>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</si>
  <si>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</si>
  <si>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</si>
  <si>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</si>
  <si>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</si>
  <si>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</si>
  <si>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</si>
  <si>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</si>
  <si>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</si>
  <si>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</si>
  <si>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</si>
  <si>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</si>
  <si>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</si>
  <si>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</si>
  <si>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</si>
  <si>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</si>
  <si>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</si>
  <si>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</si>
  <si>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</si>
  <si>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</si>
  <si>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</si>
  <si>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</si>
  <si>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</si>
  <si>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</si>
  <si>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</si>
  <si>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</si>
  <si>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</si>
  <si>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</si>
  <si>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</si>
  <si>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</si>
  <si>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</si>
  <si>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</si>
  <si>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</si>
  <si>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</si>
  <si>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</si>
  <si>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</si>
  <si>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</si>
  <si>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</si>
  <si>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</si>
  <si>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</si>
  <si>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</si>
  <si>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</si>
  <si>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</si>
  <si>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</si>
  <si>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</si>
  <si>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</si>
  <si>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</si>
  <si>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</si>
  <si>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</si>
  <si>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</si>
  <si>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</si>
  <si>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</si>
  <si>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</si>
  <si>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</si>
  <si>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</si>
  <si>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</si>
  <si>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</si>
  <si>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</si>
  <si>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</si>
  <si>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</si>
  <si>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</si>
  <si>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</si>
  <si>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</si>
  <si>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</si>
  <si>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</si>
  <si>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</si>
  <si>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</si>
  <si>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</si>
  <si>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</si>
  <si>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</si>
  <si>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</si>
  <si>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</si>
  <si>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</si>
  <si>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</si>
  <si>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</si>
  <si>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</si>
  <si>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</si>
  <si>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</si>
  <si>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</si>
  <si>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</si>
  <si>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</si>
  <si>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DEU</t>
  </si>
  <si>
    <t>TTF gas hub, imported coal via 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</si>
</sst>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547.04999999999995</c:v>
                </c:pt>
                <c:pt idx="1">
                  <c:v>574.40250000000003</c:v>
                </c:pt>
                <c:pt idx="2">
                  <c:v>640.04849999999988</c:v>
                </c:pt>
                <c:pt idx="3">
                  <c:v>705.69449999999995</c:v>
                </c:pt>
                <c:pt idx="4">
                  <c:v>776.81099999999992</c:v>
                </c:pt>
                <c:pt idx="5">
                  <c:v>869.80949999999996</c:v>
                </c:pt>
                <c:pt idx="6">
                  <c:v>946.39649999999995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547.04999999999995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88.564999999999998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547.04999999999995</v>
      </c>
      <c r="U14" s="8">
        <f t="shared" ref="U14:Z14" si="4">$S$11*J14</f>
        <v>574.40250000000003</v>
      </c>
      <c r="V14" s="8">
        <f t="shared" si="4"/>
        <v>640.04849999999988</v>
      </c>
      <c r="W14" s="8">
        <f t="shared" si="4"/>
        <v>705.69449999999995</v>
      </c>
      <c r="X14" s="8">
        <f t="shared" si="4"/>
        <v>776.81099999999992</v>
      </c>
      <c r="Y14" s="8">
        <f t="shared" si="4"/>
        <v>869.80949999999996</v>
      </c>
      <c r="Z14" s="8">
        <f t="shared" si="4"/>
        <v>946.39649999999995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202.40849999999998</v>
      </c>
      <c r="U19" s="6">
        <f t="shared" si="7"/>
        <v>201.040875</v>
      </c>
      <c r="V19" s="6">
        <f t="shared" si="7"/>
        <v>217.61648999999997</v>
      </c>
      <c r="W19" s="6">
        <f t="shared" si="7"/>
        <v>232.87918500000001</v>
      </c>
      <c r="X19" s="6">
        <f t="shared" si="7"/>
        <v>233.04329999999996</v>
      </c>
      <c r="Y19" s="6">
        <f t="shared" si="7"/>
        <v>252.24475499999997</v>
      </c>
      <c r="Z19" s="6">
        <f t="shared" si="7"/>
        <v>283.91895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322.75949999999995</v>
      </c>
      <c r="U20" s="6">
        <f t="shared" si="7"/>
        <v>338.89747499999999</v>
      </c>
      <c r="V20" s="6">
        <f t="shared" si="7"/>
        <v>377.62861499999991</v>
      </c>
      <c r="W20" s="6">
        <f t="shared" si="7"/>
        <v>409.30280999999997</v>
      </c>
      <c r="X20" s="6">
        <f t="shared" si="7"/>
        <v>450.5503799999999</v>
      </c>
      <c r="Y20" s="6">
        <f t="shared" si="7"/>
        <v>487.09332000000001</v>
      </c>
      <c r="Z20" s="6">
        <f t="shared" si="7"/>
        <v>511.05410999999998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16.411499999999997</v>
      </c>
      <c r="U21" s="6">
        <f t="shared" ref="U21:Z21" si="8">T21</f>
        <v>16.411499999999997</v>
      </c>
      <c r="V21" s="6">
        <f t="shared" si="8"/>
        <v>16.411499999999997</v>
      </c>
      <c r="W21" s="6">
        <f t="shared" si="8"/>
        <v>16.411499999999997</v>
      </c>
      <c r="X21" s="6">
        <f t="shared" si="8"/>
        <v>16.411499999999997</v>
      </c>
      <c r="Y21" s="6">
        <f t="shared" si="8"/>
        <v>16.411499999999997</v>
      </c>
      <c r="Z21" s="6">
        <f t="shared" si="8"/>
        <v>16.411499999999997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5.4705000000000155</v>
      </c>
      <c r="U22" s="6">
        <f t="shared" si="9"/>
        <v>18.052649999999971</v>
      </c>
      <c r="V22" s="6">
        <f t="shared" si="9"/>
        <v>28.391894999999977</v>
      </c>
      <c r="W22" s="6">
        <f t="shared" si="9"/>
        <v>47.101004999999986</v>
      </c>
      <c r="X22" s="6">
        <f t="shared" si="9"/>
        <v>76.80582000000004</v>
      </c>
      <c r="Y22" s="6">
        <f t="shared" si="9"/>
        <v>114.05992499999991</v>
      </c>
      <c r="Z22" s="6">
        <f t="shared" si="9"/>
        <v>135.01193999999987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88.564999999999998</v>
      </c>
      <c r="U23" s="25">
        <f>$S$12*J15</f>
        <v>86.793700000000001</v>
      </c>
      <c r="V23" s="25">
        <f>$S$12*K15</f>
        <v>85.02239999999999</v>
      </c>
      <c r="W23" s="25">
        <f t="shared" ref="W23:Z23" si="10">$S$12*L15</f>
        <v>81.479799999999997</v>
      </c>
      <c r="X23" s="25">
        <f t="shared" si="10"/>
        <v>74.394599999999997</v>
      </c>
      <c r="Y23" s="25">
        <f t="shared" si="10"/>
        <v>73.508949999999999</v>
      </c>
      <c r="Z23" s="25">
        <f t="shared" si="10"/>
        <v>70.852000000000004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49.33</v>
      </c>
      <c r="S28" t="s">
        <v>31</v>
      </c>
      <c r="T28" s="3">
        <f>Q28</f>
        <v>49.33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-76.59</v>
      </c>
      <c r="S29" t="s">
        <v>34</v>
      </c>
      <c r="T29" s="3">
        <f>-1*Q29</f>
        <v>76.59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35.1</v>
      </c>
      <c r="J45">
        <f t="shared" si="13"/>
        <v>37.557000000000002</v>
      </c>
      <c r="K45">
        <f t="shared" si="13"/>
        <v>43.524000000000001</v>
      </c>
      <c r="L45">
        <f t="shared" si="13"/>
        <v>40.365000000000002</v>
      </c>
      <c r="M45">
        <f t="shared" si="13"/>
        <v>43.875</v>
      </c>
      <c r="N45">
        <f t="shared" si="13"/>
        <v>41.067</v>
      </c>
      <c r="O45">
        <f t="shared" si="13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15.2</v>
      </c>
      <c r="J46">
        <f t="shared" si="13"/>
        <v>15.504</v>
      </c>
      <c r="K46">
        <f t="shared" si="13"/>
        <v>16.111999999999998</v>
      </c>
      <c r="L46">
        <f t="shared" si="13"/>
        <v>16.263999999999999</v>
      </c>
      <c r="M46">
        <f t="shared" si="13"/>
        <v>16.416</v>
      </c>
      <c r="N46">
        <f t="shared" si="13"/>
        <v>16.72</v>
      </c>
      <c r="O46">
        <f t="shared" si="13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28</v>
      </c>
      <c r="O48">
        <f>VLOOKUP($H$14,$AK$9:$AM$15,3,FALSE)*I48</f>
        <v>84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  <row r="89" spans="1:6" x14ac:dyDescent="0.45">
      <c r="A89" t="s">
        <v>118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119</v>
      </c>
      <c r="C91">
        <v>15.265000000000001</v>
      </c>
      <c r="D91">
        <v>26.114999999999998</v>
      </c>
      <c r="E91">
        <v>28.215</v>
      </c>
      <c r="F91" t="s">
        <v>120</v>
      </c>
    </row>
    <row r="92" spans="1:6" x14ac:dyDescent="0.45">
      <c r="A92" t="s">
        <v>31</v>
      </c>
      <c r="B92" t="s">
        <v>119</v>
      </c>
      <c r="C92">
        <v>12.7</v>
      </c>
      <c r="D92">
        <v>15.3</v>
      </c>
      <c r="E92">
        <v>15.6</v>
      </c>
      <c r="F92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124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24</v>
      </c>
      <c r="I11">
        <v>32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296.72000000000003</v>
      </c>
      <c r="D11">
        <v>255.95</v>
      </c>
      <c r="E11">
        <v>15.91</v>
      </c>
      <c r="F11">
        <v>0</v>
      </c>
      <c r="G11">
        <v>45.13</v>
      </c>
      <c r="H11">
        <v>-42.08</v>
      </c>
      <c r="I11">
        <v>572.30999999999995</v>
      </c>
      <c r="J11">
        <v>75.366</v>
      </c>
      <c r="K11">
        <v>79.117999999999995</v>
      </c>
    </row>
    <row r="12" spans="1:11" x14ac:dyDescent="0.45">
      <c r="A12" t="s">
        <v>124</v>
      </c>
      <c r="B12">
        <v>2001</v>
      </c>
      <c r="C12">
        <v>302.91000000000003</v>
      </c>
      <c r="D12">
        <v>259.64</v>
      </c>
      <c r="E12">
        <v>16.399999999999999</v>
      </c>
      <c r="F12">
        <v>0</v>
      </c>
      <c r="G12">
        <v>45.78</v>
      </c>
      <c r="H12">
        <v>-42.12</v>
      </c>
      <c r="I12">
        <v>581.89</v>
      </c>
      <c r="J12">
        <v>76.742000000000004</v>
      </c>
      <c r="K12">
        <v>80.394999999999996</v>
      </c>
    </row>
    <row r="13" spans="1:11" x14ac:dyDescent="0.45">
      <c r="A13" t="s">
        <v>124</v>
      </c>
      <c r="B13">
        <v>2002</v>
      </c>
      <c r="C13">
        <v>297.20999999999998</v>
      </c>
      <c r="D13">
        <v>271.74</v>
      </c>
      <c r="E13">
        <v>16.190000000000001</v>
      </c>
      <c r="F13">
        <v>0</v>
      </c>
      <c r="G13">
        <v>48.37</v>
      </c>
      <c r="H13">
        <v>-38.369999999999997</v>
      </c>
      <c r="I13">
        <v>581.95000000000005</v>
      </c>
      <c r="J13">
        <v>75.400999999999996</v>
      </c>
      <c r="K13">
        <v>79.191999999999993</v>
      </c>
    </row>
    <row r="14" spans="1:11" x14ac:dyDescent="0.45">
      <c r="A14" t="s">
        <v>124</v>
      </c>
      <c r="B14">
        <v>2003</v>
      </c>
      <c r="C14">
        <v>299.02999999999997</v>
      </c>
      <c r="D14">
        <v>281.33</v>
      </c>
      <c r="E14">
        <v>13.04</v>
      </c>
      <c r="F14">
        <v>0.02</v>
      </c>
      <c r="G14">
        <v>49.11</v>
      </c>
      <c r="H14">
        <v>-52.38</v>
      </c>
      <c r="I14">
        <v>604.67999999999995</v>
      </c>
      <c r="J14">
        <v>93.97</v>
      </c>
      <c r="K14">
        <v>118.992</v>
      </c>
    </row>
    <row r="15" spans="1:11" x14ac:dyDescent="0.45">
      <c r="A15" t="s">
        <v>124</v>
      </c>
      <c r="B15">
        <v>2004</v>
      </c>
      <c r="C15">
        <v>306.79000000000002</v>
      </c>
      <c r="D15">
        <v>281.62</v>
      </c>
      <c r="E15">
        <v>12.88</v>
      </c>
      <c r="F15">
        <v>0.02</v>
      </c>
      <c r="G15">
        <v>48.19</v>
      </c>
      <c r="H15">
        <v>-50.81</v>
      </c>
      <c r="I15">
        <v>612.36</v>
      </c>
      <c r="J15">
        <v>100.17700000000001</v>
      </c>
      <c r="K15">
        <v>124.63500000000001</v>
      </c>
    </row>
    <row r="16" spans="1:11" x14ac:dyDescent="0.45">
      <c r="A16" t="s">
        <v>124</v>
      </c>
      <c r="B16">
        <v>2005</v>
      </c>
      <c r="C16">
        <v>312.43</v>
      </c>
      <c r="D16">
        <v>278.70999999999998</v>
      </c>
      <c r="E16">
        <v>13.12</v>
      </c>
      <c r="F16">
        <v>0.02</v>
      </c>
      <c r="G16">
        <v>56.86</v>
      </c>
      <c r="H16">
        <v>-61.43</v>
      </c>
      <c r="I16">
        <v>616.34</v>
      </c>
      <c r="J16">
        <v>100.23399999999999</v>
      </c>
      <c r="K16">
        <v>123.89</v>
      </c>
    </row>
    <row r="17" spans="1:11" x14ac:dyDescent="0.45">
      <c r="A17" t="s">
        <v>124</v>
      </c>
      <c r="B17">
        <v>2006</v>
      </c>
      <c r="C17">
        <v>312.93</v>
      </c>
      <c r="D17">
        <v>283.64999999999998</v>
      </c>
      <c r="E17">
        <v>12.67</v>
      </c>
      <c r="F17">
        <v>0.02</v>
      </c>
      <c r="G17">
        <v>48.46</v>
      </c>
      <c r="H17">
        <v>-65.44</v>
      </c>
      <c r="I17">
        <v>633.35</v>
      </c>
      <c r="J17">
        <v>101.498</v>
      </c>
      <c r="K17">
        <v>123.61799999999999</v>
      </c>
    </row>
    <row r="18" spans="1:11" x14ac:dyDescent="0.45">
      <c r="A18" t="s">
        <v>124</v>
      </c>
      <c r="B18">
        <v>2007</v>
      </c>
      <c r="C18">
        <v>320.33</v>
      </c>
      <c r="D18">
        <v>277.98</v>
      </c>
      <c r="E18">
        <v>12.22</v>
      </c>
      <c r="F18">
        <v>0.02</v>
      </c>
      <c r="G18">
        <v>45.95</v>
      </c>
      <c r="H18">
        <v>-62.51</v>
      </c>
      <c r="I18">
        <v>634.44000000000005</v>
      </c>
      <c r="J18">
        <v>96.784000000000006</v>
      </c>
      <c r="K18">
        <v>118.619</v>
      </c>
    </row>
    <row r="19" spans="1:11" x14ac:dyDescent="0.45">
      <c r="A19" t="s">
        <v>124</v>
      </c>
      <c r="B19">
        <v>2008</v>
      </c>
      <c r="C19">
        <v>315.16000000000003</v>
      </c>
      <c r="D19">
        <v>281.69</v>
      </c>
      <c r="E19">
        <v>11.09</v>
      </c>
      <c r="F19">
        <v>0.02</v>
      </c>
      <c r="G19">
        <v>41.67</v>
      </c>
      <c r="H19">
        <v>-61.77</v>
      </c>
      <c r="I19">
        <v>635.20000000000005</v>
      </c>
      <c r="J19">
        <v>98.784999999999997</v>
      </c>
      <c r="K19">
        <v>121.093</v>
      </c>
    </row>
    <row r="20" spans="1:11" x14ac:dyDescent="0.45">
      <c r="A20" t="s">
        <v>124</v>
      </c>
      <c r="B20">
        <v>2009</v>
      </c>
      <c r="C20">
        <v>276.39</v>
      </c>
      <c r="D20">
        <v>283.85000000000002</v>
      </c>
      <c r="E20">
        <v>11.58</v>
      </c>
      <c r="F20">
        <v>0.02</v>
      </c>
      <c r="G20">
        <v>41.86</v>
      </c>
      <c r="H20">
        <v>-54.13</v>
      </c>
      <c r="I20">
        <v>590.82000000000005</v>
      </c>
      <c r="J20">
        <v>95.54</v>
      </c>
      <c r="K20">
        <v>118.78100000000001</v>
      </c>
    </row>
    <row r="21" spans="1:11" x14ac:dyDescent="0.45">
      <c r="A21" t="s">
        <v>124</v>
      </c>
      <c r="B21">
        <v>2010</v>
      </c>
      <c r="C21">
        <v>301.16000000000003</v>
      </c>
      <c r="D21">
        <v>291.42</v>
      </c>
      <c r="E21">
        <v>12.06</v>
      </c>
      <c r="F21">
        <v>0.02</v>
      </c>
      <c r="G21">
        <v>42.96</v>
      </c>
      <c r="H21">
        <v>-57.92</v>
      </c>
      <c r="I21">
        <v>626.72</v>
      </c>
      <c r="J21">
        <v>101.03100000000001</v>
      </c>
      <c r="K21">
        <v>131.04599999999999</v>
      </c>
    </row>
    <row r="22" spans="1:11" x14ac:dyDescent="0.45">
      <c r="A22" t="s">
        <v>124</v>
      </c>
      <c r="B22">
        <v>2011</v>
      </c>
      <c r="C22">
        <v>306.11</v>
      </c>
      <c r="D22">
        <v>278.54000000000002</v>
      </c>
      <c r="E22">
        <v>12.08</v>
      </c>
      <c r="F22">
        <v>0.02</v>
      </c>
      <c r="G22">
        <v>51</v>
      </c>
      <c r="H22">
        <v>-54.77</v>
      </c>
      <c r="I22">
        <v>607.28</v>
      </c>
      <c r="J22">
        <v>93.352000000000004</v>
      </c>
      <c r="K22">
        <v>116.718</v>
      </c>
    </row>
    <row r="23" spans="1:11" x14ac:dyDescent="0.45">
      <c r="A23" t="s">
        <v>124</v>
      </c>
      <c r="B23">
        <v>2012</v>
      </c>
      <c r="C23">
        <v>300.92</v>
      </c>
      <c r="D23">
        <v>281.91000000000003</v>
      </c>
      <c r="E23">
        <v>12</v>
      </c>
      <c r="F23">
        <v>0.03</v>
      </c>
      <c r="G23">
        <v>46.27</v>
      </c>
      <c r="H23">
        <v>-66.81</v>
      </c>
      <c r="I23">
        <v>622.22</v>
      </c>
      <c r="J23">
        <v>96.275999999999996</v>
      </c>
      <c r="K23">
        <v>119.206</v>
      </c>
    </row>
    <row r="24" spans="1:11" x14ac:dyDescent="0.45">
      <c r="A24" t="s">
        <v>124</v>
      </c>
      <c r="B24">
        <v>2013</v>
      </c>
      <c r="C24">
        <v>299.36</v>
      </c>
      <c r="D24">
        <v>282.54000000000002</v>
      </c>
      <c r="E24">
        <v>11.89</v>
      </c>
      <c r="F24">
        <v>0.04</v>
      </c>
      <c r="G24">
        <v>39.22</v>
      </c>
      <c r="H24">
        <v>-71.42</v>
      </c>
      <c r="I24">
        <v>632.91999999999996</v>
      </c>
      <c r="J24">
        <v>97.384</v>
      </c>
      <c r="K24">
        <v>120.782</v>
      </c>
    </row>
    <row r="25" spans="1:11" x14ac:dyDescent="0.45">
      <c r="A25" t="s">
        <v>124</v>
      </c>
      <c r="B25">
        <v>2014</v>
      </c>
      <c r="C25">
        <v>302.14</v>
      </c>
      <c r="D25">
        <v>267.37</v>
      </c>
      <c r="E25">
        <v>11.47</v>
      </c>
      <c r="F25">
        <v>0.05</v>
      </c>
      <c r="G25">
        <v>40.44</v>
      </c>
      <c r="H25">
        <v>-74.319999999999993</v>
      </c>
      <c r="I25">
        <v>621.95000000000005</v>
      </c>
      <c r="J25">
        <v>89.031999999999996</v>
      </c>
      <c r="K25">
        <v>106.401</v>
      </c>
    </row>
    <row r="26" spans="1:11" x14ac:dyDescent="0.45">
      <c r="A26" t="s">
        <v>124</v>
      </c>
      <c r="B26">
        <v>2015</v>
      </c>
      <c r="C26">
        <v>300.43</v>
      </c>
      <c r="D26">
        <v>274.98</v>
      </c>
      <c r="E26">
        <v>11.07</v>
      </c>
      <c r="F26">
        <v>0.08</v>
      </c>
      <c r="G26">
        <v>37.01</v>
      </c>
      <c r="H26">
        <v>-85.29</v>
      </c>
      <c r="I26">
        <v>642.39</v>
      </c>
      <c r="J26">
        <v>91.739000000000004</v>
      </c>
      <c r="K26">
        <v>111.577</v>
      </c>
    </row>
    <row r="27" spans="1:11" x14ac:dyDescent="0.45">
      <c r="A27" t="s">
        <v>124</v>
      </c>
      <c r="B27">
        <v>2016</v>
      </c>
      <c r="C27">
        <v>300.37</v>
      </c>
      <c r="D27">
        <v>275.24</v>
      </c>
      <c r="E27">
        <v>11.63</v>
      </c>
      <c r="F27">
        <v>0.11</v>
      </c>
      <c r="G27">
        <v>28.34</v>
      </c>
      <c r="H27">
        <v>-78.86</v>
      </c>
      <c r="I27">
        <v>644.86</v>
      </c>
      <c r="J27">
        <v>95.225999999999999</v>
      </c>
      <c r="K27">
        <v>113.752</v>
      </c>
    </row>
    <row r="28" spans="1:11" x14ac:dyDescent="0.45">
      <c r="A28" t="s">
        <v>124</v>
      </c>
      <c r="B28">
        <v>2017</v>
      </c>
      <c r="C28">
        <v>301.43</v>
      </c>
      <c r="D28">
        <v>274.77</v>
      </c>
      <c r="E28">
        <v>11.8</v>
      </c>
      <c r="F28">
        <v>0.16</v>
      </c>
      <c r="G28">
        <v>27.84</v>
      </c>
      <c r="H28">
        <v>-80.3</v>
      </c>
      <c r="I28">
        <v>647.72</v>
      </c>
      <c r="J28">
        <v>95.143000000000001</v>
      </c>
      <c r="K28">
        <v>114.04600000000001</v>
      </c>
    </row>
    <row r="29" spans="1:11" x14ac:dyDescent="0.45">
      <c r="A29" t="s">
        <v>124</v>
      </c>
      <c r="B29">
        <v>2018</v>
      </c>
      <c r="C29">
        <v>299.7</v>
      </c>
      <c r="D29">
        <v>266.49</v>
      </c>
      <c r="E29">
        <v>11.86</v>
      </c>
      <c r="F29">
        <v>0.23</v>
      </c>
      <c r="G29">
        <v>31.73</v>
      </c>
      <c r="H29">
        <v>-80.459999999999994</v>
      </c>
      <c r="I29">
        <v>634.29999999999995</v>
      </c>
      <c r="J29">
        <v>98.507999999999996</v>
      </c>
      <c r="K29">
        <v>110.97799999999999</v>
      </c>
    </row>
    <row r="30" spans="1:11" x14ac:dyDescent="0.45">
      <c r="A30" t="s">
        <v>124</v>
      </c>
      <c r="B30">
        <v>2019</v>
      </c>
      <c r="C30">
        <v>288.64999999999998</v>
      </c>
      <c r="D30">
        <v>261.57</v>
      </c>
      <c r="E30">
        <v>11.27</v>
      </c>
      <c r="F30">
        <v>0.34</v>
      </c>
      <c r="G30">
        <v>40.130000000000003</v>
      </c>
      <c r="H30">
        <v>-72.790000000000006</v>
      </c>
      <c r="I30">
        <v>600.98</v>
      </c>
      <c r="J30">
        <v>97.305999999999997</v>
      </c>
      <c r="K30">
        <v>111.782</v>
      </c>
    </row>
    <row r="31" spans="1:11" x14ac:dyDescent="0.45">
      <c r="A31" t="s">
        <v>124</v>
      </c>
      <c r="B31">
        <v>2020</v>
      </c>
      <c r="C31">
        <v>273.14999999999998</v>
      </c>
      <c r="D31">
        <v>259.02</v>
      </c>
      <c r="E31">
        <v>10.87</v>
      </c>
      <c r="F31">
        <v>0.66</v>
      </c>
      <c r="G31">
        <v>47.85</v>
      </c>
      <c r="H31">
        <v>-66.88</v>
      </c>
      <c r="I31">
        <v>568.91</v>
      </c>
      <c r="J31">
        <v>89.994</v>
      </c>
      <c r="K31">
        <v>103.568</v>
      </c>
    </row>
    <row r="32" spans="1:11" x14ac:dyDescent="0.45">
      <c r="A32" t="s">
        <v>124</v>
      </c>
      <c r="B32">
        <v>2021</v>
      </c>
      <c r="C32">
        <v>282</v>
      </c>
      <c r="D32">
        <v>269.08999999999997</v>
      </c>
      <c r="E32">
        <v>10.69</v>
      </c>
      <c r="F32">
        <v>0.55000000000000004</v>
      </c>
      <c r="G32">
        <v>51.73</v>
      </c>
      <c r="H32">
        <v>-70.31</v>
      </c>
      <c r="I32">
        <v>587.48</v>
      </c>
      <c r="J32">
        <v>97.787000000000006</v>
      </c>
      <c r="K32">
        <v>113.82899999999999</v>
      </c>
    </row>
    <row r="33" spans="1:11" x14ac:dyDescent="0.45">
      <c r="A33" t="s">
        <v>124</v>
      </c>
      <c r="B33">
        <v>2022</v>
      </c>
      <c r="C33">
        <v>269.70999999999998</v>
      </c>
      <c r="D33">
        <v>256.95999999999998</v>
      </c>
      <c r="E33">
        <v>10.69</v>
      </c>
      <c r="F33">
        <v>2.4500000000000002</v>
      </c>
      <c r="G33">
        <v>49.33</v>
      </c>
      <c r="H33">
        <v>-76.59</v>
      </c>
      <c r="I33">
        <v>574.30999999999995</v>
      </c>
      <c r="J33">
        <v>88.564999999999998</v>
      </c>
      <c r="K33">
        <v>103.169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 t="e">
        <v>#NUM!</v>
      </c>
      <c r="F257">
        <v>2.42</v>
      </c>
      <c r="H257">
        <v>1.18</v>
      </c>
      <c r="I257" t="e">
        <v>#NUM!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 t="e">
        <v>#NUM!</v>
      </c>
      <c r="F258">
        <v>3.1</v>
      </c>
      <c r="H258">
        <v>1.71</v>
      </c>
      <c r="I258" t="e">
        <v>#NUM!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 t="e">
        <v>#NUM!</v>
      </c>
      <c r="F259">
        <v>3.54</v>
      </c>
      <c r="H259">
        <v>1.91</v>
      </c>
      <c r="I259" t="e">
        <v>#NUM!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 t="e">
        <v>#NUM!</v>
      </c>
      <c r="F260">
        <v>4.0999999999999996</v>
      </c>
      <c r="H260">
        <v>2.27</v>
      </c>
      <c r="I260" t="e">
        <v>#NUM!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 t="e">
        <v>#NUM!</v>
      </c>
      <c r="F261">
        <v>3.86</v>
      </c>
      <c r="H261">
        <v>2.54</v>
      </c>
      <c r="I261" t="e">
        <v>#NUM!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 t="e">
        <v>#NUM!</v>
      </c>
      <c r="F262">
        <v>3.59</v>
      </c>
      <c r="H262">
        <v>2.73</v>
      </c>
      <c r="I262" t="e">
        <v>#NUM!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 t="e">
        <v>#NUM!</v>
      </c>
      <c r="F264">
        <v>1.22</v>
      </c>
      <c r="H264">
        <v>0</v>
      </c>
      <c r="I264" t="e">
        <v>#NUM!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 t="e">
        <v>#NUM!</v>
      </c>
      <c r="F265">
        <v>1.5</v>
      </c>
      <c r="H265">
        <v>0</v>
      </c>
      <c r="I265" t="e">
        <v>#NUM!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 t="e">
        <v>#NUM!</v>
      </c>
      <c r="F266">
        <v>2.12</v>
      </c>
      <c r="H266">
        <v>0</v>
      </c>
      <c r="I266" t="e">
        <v>#NUM!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 t="e">
        <v>#NUM!</v>
      </c>
      <c r="F267">
        <v>2.5</v>
      </c>
      <c r="H267">
        <v>0</v>
      </c>
      <c r="I267" t="e">
        <v>#NUM!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 t="e">
        <v>#NUM!</v>
      </c>
      <c r="F268">
        <v>2.79</v>
      </c>
      <c r="H268">
        <v>0</v>
      </c>
      <c r="I268" t="e">
        <v>#NUM!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 t="e">
        <v>#NUM!</v>
      </c>
      <c r="F269">
        <v>2.95</v>
      </c>
      <c r="H269">
        <v>0</v>
      </c>
      <c r="I269" t="e">
        <v>#NUM!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 t="e">
        <v>#NUM!</v>
      </c>
      <c r="F271">
        <v>1.41</v>
      </c>
      <c r="H271">
        <v>0.98</v>
      </c>
      <c r="I271" t="e">
        <v>#NUM!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 t="e">
        <v>#NUM!</v>
      </c>
      <c r="F272">
        <v>2.04</v>
      </c>
      <c r="H272">
        <v>1.05</v>
      </c>
      <c r="I272" t="e">
        <v>#NUM!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 t="e">
        <v>#NUM!</v>
      </c>
      <c r="F273">
        <v>2.4</v>
      </c>
      <c r="H273">
        <v>1.05</v>
      </c>
      <c r="I273" t="e">
        <v>#NUM!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 t="e">
        <v>#NUM!</v>
      </c>
      <c r="F274">
        <v>2.6</v>
      </c>
      <c r="H274">
        <v>1.06</v>
      </c>
      <c r="I274" t="e">
        <v>#NUM!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 t="e">
        <v>#NUM!</v>
      </c>
      <c r="F275">
        <v>2.85</v>
      </c>
      <c r="H275">
        <v>1.08</v>
      </c>
      <c r="I275" t="e">
        <v>#NUM!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 t="e">
        <v>#NUM!</v>
      </c>
      <c r="F276">
        <v>2.97</v>
      </c>
      <c r="H276">
        <v>0</v>
      </c>
      <c r="I276" t="e">
        <v>#NUM!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 t="e">
        <v>#NUM!</v>
      </c>
      <c r="F292">
        <v>1.1000000000000001</v>
      </c>
      <c r="H292">
        <v>-4.33</v>
      </c>
      <c r="I292" t="e">
        <v>#NUM!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 t="e">
        <v>#NUM!</v>
      </c>
      <c r="F293">
        <v>1.77</v>
      </c>
      <c r="H293">
        <v>-6.1</v>
      </c>
      <c r="I293" t="e">
        <v>#NUM!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 t="e">
        <v>#NUM!</v>
      </c>
      <c r="F294">
        <v>1.87</v>
      </c>
      <c r="H294">
        <v>-6.86</v>
      </c>
      <c r="I294" t="e">
        <v>#NUM!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 t="e">
        <v>#NUM!</v>
      </c>
      <c r="F295">
        <v>1.96</v>
      </c>
      <c r="H295">
        <v>-9.2100000000000009</v>
      </c>
      <c r="I295" t="e">
        <v>#NUM!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 t="e">
        <v>#NUM!</v>
      </c>
      <c r="F296">
        <v>2.13</v>
      </c>
      <c r="H296">
        <v>-6.95</v>
      </c>
      <c r="I296" t="e">
        <v>#NUM!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 t="e">
        <v>#NUM!</v>
      </c>
      <c r="F297">
        <v>2</v>
      </c>
      <c r="H297">
        <v>-10.07</v>
      </c>
      <c r="I297" t="e">
        <v>#NUM!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 t="e">
        <v>#NUM!</v>
      </c>
      <c r="F299">
        <v>0.61</v>
      </c>
      <c r="H299">
        <v>0</v>
      </c>
      <c r="I299" t="e">
        <v>#NUM!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 t="e">
        <v>#NUM!</v>
      </c>
      <c r="F300">
        <v>1.07</v>
      </c>
      <c r="H300">
        <v>0</v>
      </c>
      <c r="I300" t="e">
        <v>#NUM!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 t="e">
        <v>#NUM!</v>
      </c>
      <c r="F301">
        <v>1.0900000000000001</v>
      </c>
      <c r="H301">
        <v>0</v>
      </c>
      <c r="I301" t="e">
        <v>#NUM!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 t="e">
        <v>#NUM!</v>
      </c>
      <c r="F302">
        <v>1.25</v>
      </c>
      <c r="H302">
        <v>0</v>
      </c>
      <c r="I302" t="e">
        <v>#NUM!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 t="e">
        <v>#NUM!</v>
      </c>
      <c r="F303">
        <v>1.35</v>
      </c>
      <c r="H303">
        <v>0</v>
      </c>
      <c r="I303" t="e">
        <v>#NUM!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 t="e">
        <v>#NUM!</v>
      </c>
      <c r="F304">
        <v>1.62</v>
      </c>
      <c r="H304">
        <v>-2.31</v>
      </c>
      <c r="I304" t="e">
        <v>#NUM!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 t="e">
        <v>#NUM!</v>
      </c>
      <c r="F306">
        <v>0.75</v>
      </c>
      <c r="H306">
        <v>0.46</v>
      </c>
      <c r="I306" t="e">
        <v>#NUM!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 t="e">
        <v>#NUM!</v>
      </c>
      <c r="F307">
        <v>1.1499999999999999</v>
      </c>
      <c r="H307">
        <v>0.51</v>
      </c>
      <c r="I307" t="e">
        <v>#NUM!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 t="e">
        <v>#NUM!</v>
      </c>
      <c r="F308">
        <v>1.21</v>
      </c>
      <c r="H308">
        <v>-0.95</v>
      </c>
      <c r="I308" t="e">
        <v>#NUM!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 t="e">
        <v>#NUM!</v>
      </c>
      <c r="F309">
        <v>1.28</v>
      </c>
      <c r="H309">
        <v>-1.8</v>
      </c>
      <c r="I309" t="e">
        <v>#NUM!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 t="e">
        <v>#NUM!</v>
      </c>
      <c r="F310">
        <v>1.48</v>
      </c>
      <c r="H310">
        <v>-5.93</v>
      </c>
      <c r="I310" t="e">
        <v>#NUM!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 t="e">
        <v>#NUM!</v>
      </c>
      <c r="F311">
        <v>1.59</v>
      </c>
      <c r="H311">
        <v>-5.35</v>
      </c>
      <c r="I311" t="e">
        <v>#NUM!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2026-07-09T07:52:02Z</dcterms:modified>
</cp:coreProperties>
</file>