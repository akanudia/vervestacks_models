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8CF34307-6161-49F0-A9C5-AF581045AB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<sst xmlns="http://schemas.openxmlformats.org/spreadsheetml/2006/main" count="1939" uniqueCount="217">
  <si>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</si>
  <si>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</si>
  <si>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</si>
  <si>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</si>
  <si>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</si>
  <si>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</si>
  <si>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</si>
  <si>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</si>
  <si>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</si>
  <si>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</si>
  <si>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</si>
  <si>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</si>
  <si>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</si>
  <si>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</si>
  <si>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</si>
  <si>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</si>
  <si>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</si>
  <si>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</si>
  <si>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</si>
  <si>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</si>
  <si>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</si>
  <si>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</si>
  <si>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</si>
  <si>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</si>
  <si>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</si>
  <si>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</si>
  <si>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</si>
  <si>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</si>
  <si>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</si>
  <si>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</si>
  <si>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</si>
  <si>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</si>
  <si>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</si>
  <si>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</si>
  <si>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</si>
  <si>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</si>
  <si>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</si>
  <si>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</si>
  <si>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</si>
  <si>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</si>
  <si>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</si>
  <si>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</si>
  <si>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</si>
  <si>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</si>
  <si>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</si>
  <si>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</si>
  <si>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</si>
  <si>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</si>
  <si>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</si>
  <si>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</si>
  <si>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</si>
  <si>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</si>
  <si>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</si>
  <si>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</si>
  <si>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</si>
  <si>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</si>
  <si>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</si>
  <si>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</si>
  <si>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</si>
  <si>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</si>
  <si>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</si>
  <si>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</si>
  <si>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</si>
  <si>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</si>
  <si>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</si>
  <si>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</si>
  <si>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</si>
  <si>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</si>
  <si>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</si>
  <si>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ISO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</si>
  <si>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</si>
  <si>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</si>
  <si>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</si>
  <si>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</si>
  <si>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</si>
  <si>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</si>
  <si>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</si>
  <si>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</si>
  <si>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</si>
  <si>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</si>
  <si>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</si>
  <si>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</si>
  <si>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</si>
  <si>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</si>
  <si>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</si>
  <si>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</si>
  <si>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</si>
  <si>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</si>
  <si>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</si>
  <si>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</si>
  <si>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</si>
  <si>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pasti</t>
  </si>
  <si>
    <t>ncap_cost</t>
  </si>
  <si>
    <t>efficiency</t>
  </si>
  <si>
    <t>g_TJ20-500-TJ10-500</t>
  </si>
  <si>
    <t>g_TJ29-500-w488077624-500</t>
  </si>
  <si>
    <t>g_TJ30-500-w242159365-500</t>
  </si>
  <si>
    <t>g_TJ30-500-w799346816-500</t>
  </si>
  <si>
    <t>g_TJ46-500-w488077624-500</t>
  </si>
  <si>
    <t>g_TJ6-500-TJ4-500</t>
  </si>
  <si>
    <t>g_w242159365-500-TJ26-500</t>
  </si>
  <si>
    <t>g_w488077624-500-TJ30-500</t>
  </si>
  <si>
    <t>g_w488077624-500-w1016951696-500</t>
  </si>
  <si>
    <t>g_w488077624-500-w1373384046-500</t>
  </si>
  <si>
    <t>g_w799346816-500-TJ30-500</t>
  </si>
  <si>
    <t>~tfm_ins-at</t>
  </si>
  <si>
    <t>commodity</t>
  </si>
  <si>
    <t>flo_mark</t>
  </si>
  <si>
    <t>lim_type</t>
  </si>
  <si>
    <t>e_demand_w242159365-500</t>
  </si>
  <si>
    <t>elc_buildings,elc_transport,elc_industry,elc_roadtransport</t>
  </si>
  <si>
    <t>lo</t>
  </si>
  <si>
    <t>e_demand_w488077624-500</t>
  </si>
  <si>
    <t>e_demand_w1016951696-500</t>
  </si>
  <si>
    <t>e_demand_TJ6-500</t>
  </si>
  <si>
    <t>e_demand_TJ20-500</t>
  </si>
  <si>
    <t>e_demand_TJ30-500</t>
  </si>
  <si>
    <t>e_demand_TJ26-500</t>
  </si>
  <si>
    <t>ev_battery_w242159365-500</t>
  </si>
  <si>
    <t>ev_battery_w488077624-500</t>
  </si>
  <si>
    <t>ev_battery_w1016951696-500</t>
  </si>
  <si>
    <t>ev_battery_TJ6-500</t>
  </si>
  <si>
    <t>ev_battery_TJ20-500</t>
  </si>
  <si>
    <t>ev_battery_TJ30-500</t>
  </si>
  <si>
    <t>ev_battery_TJ26-500</t>
  </si>
  <si>
    <t>H2prd_Elc_PEM_w242159365-500</t>
  </si>
  <si>
    <t>H2prd_Elc_PEM_w488077624-500</t>
  </si>
  <si>
    <t>H2prd_Elc_PEM_w1016951696-500</t>
  </si>
  <si>
    <t>H2prd_Elc_PEM_TJ6-500</t>
  </si>
  <si>
    <t>H2prd_Elc_PEM_TJ20-500</t>
  </si>
  <si>
    <t>H2prd_Elc_PEM_TJ30-500</t>
  </si>
  <si>
    <t>H2prd_Elc_PEM_TJ26-500</t>
  </si>
  <si>
    <t>H2prd_Elc_ALK_w242159365-500</t>
  </si>
  <si>
    <t>H2prd_Elc_ALK_w488077624-500</t>
  </si>
  <si>
    <t>H2prd_Elc_ALK_w1016951696-500</t>
  </si>
  <si>
    <t>H2prd_Elc_ALK_TJ6-500</t>
  </si>
  <si>
    <t>H2prd_Elc_ALK_TJ20-500</t>
  </si>
  <si>
    <t>H2prd_Elc_ALK_TJ30-500</t>
  </si>
  <si>
    <t>H2prd_Elc_ALK_TJ26-500</t>
  </si>
  <si>
    <t>~tfm_topins</t>
  </si>
  <si>
    <t>io</t>
  </si>
  <si>
    <t>e_w242159365-500</t>
  </si>
  <si>
    <t>IN</t>
  </si>
  <si>
    <t>e_w488077624-500</t>
  </si>
  <si>
    <t>e_w1016951696-500</t>
  </si>
  <si>
    <t>e_TJ6-500</t>
  </si>
  <si>
    <t>e_TJ20-500</t>
  </si>
  <si>
    <t>e_TJ30-500</t>
  </si>
  <si>
    <t>e_TJ26-500</t>
  </si>
  <si>
    <t>region</t>
  </si>
  <si>
    <t>TJK</t>
  </si>
  <si>
    <t>Bioenergy + CCUS_TJ30-500</t>
  </si>
  <si>
    <t>OUT</t>
  </si>
  <si>
    <t>Bioenergy - Large scale unit_TJ30-500</t>
  </si>
  <si>
    <t>CCGT_TJ30-500</t>
  </si>
  <si>
    <t>CCGT + CCS_TJ30-500</t>
  </si>
  <si>
    <t>Coal + CCS_TJ30-500</t>
  </si>
  <si>
    <t>Gas turbine_TJ30-500</t>
  </si>
  <si>
    <t>IGCC_TJ30-500</t>
  </si>
  <si>
    <t>IGCC + CCS_TJ30-500</t>
  </si>
  <si>
    <t>Nuclear large_TJ30-500</t>
  </si>
  <si>
    <t>Oxyfuel + CCS_TJ30-500</t>
  </si>
  <si>
    <t>Steam Coal - SUBCRITICAL_TJ30-500</t>
  </si>
  <si>
    <t>Steam Coal - SUPERCRITICAL_TJ30-500</t>
  </si>
  <si>
    <t>Steam Coal - ULTRASUPERCRITICAL_TJ30-500</t>
  </si>
  <si>
    <t>Bioenergy + CCUS_w1016951696-500</t>
  </si>
  <si>
    <t>Bioenergy - Large scale unit_w1016951696-500</t>
  </si>
  <si>
    <t>CCGT_w1016951696-500</t>
  </si>
  <si>
    <t>CCGT + CCS_w1016951696-500</t>
  </si>
  <si>
    <t>Coal + CCS_w1016951696-500</t>
  </si>
  <si>
    <t>Gas turbine_w1016951696-500</t>
  </si>
  <si>
    <t>IGCC_w1016951696-500</t>
  </si>
  <si>
    <t>IGCC + CCS_w1016951696-500</t>
  </si>
  <si>
    <t>Nuclear large_w1016951696-500</t>
  </si>
  <si>
    <t>Oxyfuel + CCS_w1016951696-500</t>
  </si>
  <si>
    <t>Steam Coal - SUBCRITICAL_w1016951696-500</t>
  </si>
  <si>
    <t>Steam Coal - SUPERCRITICAL_w1016951696-500</t>
  </si>
  <si>
    <t>Steam Coal - ULTRASUPERCRITICAL_w1016951696-500</t>
  </si>
  <si>
    <t>EN_Hydro_TJK-1_w242159365-500</t>
  </si>
  <si>
    <t>EN_Hydro_TJK-2_w242159365-500</t>
  </si>
  <si>
    <t>EN_Hydro_TJK-3_w242159365-500</t>
  </si>
  <si>
    <t>EN_Hydro_TJK-1_w1016951696-500</t>
  </si>
  <si>
    <t>EN_Hydro_TJK-2_w1016951696-500</t>
  </si>
  <si>
    <t>EN_Hydro_TJK-3_w1016951696-500</t>
  </si>
  <si>
    <t>EN_Hydro_TJK-1_TJ30-500</t>
  </si>
  <si>
    <t>EN_Hydro_TJK-2_TJ30-500</t>
  </si>
  <si>
    <t>EN_Hydro_TJK-3_TJ30-500</t>
  </si>
  <si>
    <t>EN_Hydro_TJK-1_TJ26-500</t>
  </si>
  <si>
    <t>EN_Hydro_TJK-2_TJ26-500</t>
  </si>
  <si>
    <t>EN_Hydro_TJK-3_TJ26-500</t>
  </si>
  <si>
    <t>EN_Hydro_TJK-1_w799346816-500</t>
  </si>
  <si>
    <t>e_w799346816-500</t>
  </si>
  <si>
    <t>EN_Hydro_TJK-2_w799346816-500</t>
  </si>
  <si>
    <t>EN_Hydro_TJK-3_w799346816-500</t>
  </si>
  <si>
    <t>EN_Hydro_TJK-1_w1373384046-500</t>
  </si>
  <si>
    <t>e_w1373384046-500</t>
  </si>
  <si>
    <t>EN_Hydro_TJK-2_w1373384046-500</t>
  </si>
  <si>
    <t>EN_Hydro_TJK-3_w1373384046-500</t>
  </si>
  <si>
    <t>EN_STG8hbNREL_TJ30-500</t>
  </si>
  <si>
    <t>EN_STG4hbNREL_TJ30-500</t>
  </si>
  <si>
    <t>EN_STG8hbNREL_w1016951696-500</t>
  </si>
  <si>
    <t>EN_STG4hbNREL_w1016951696-500</t>
  </si>
  <si>
    <t>EN_STG8hbNREL_w242159365-500</t>
  </si>
  <si>
    <t>EN_STG4hbNREL_w242159365-500</t>
  </si>
  <si>
    <t>EN_STG8hbNREL_TJ26-500</t>
  </si>
  <si>
    <t>EN_STG4hbNREL_TJ26-500</t>
  </si>
  <si>
    <t>EN_STG8hbNREL_w799346816-500</t>
  </si>
  <si>
    <t>EN_STG4hbNREL_w799346816-500</t>
  </si>
  <si>
    <t>EN_STG8hbNREL_w1373384046-500</t>
  </si>
  <si>
    <t>EN_STG4hbNREL_w1373384046-500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</si>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</sst>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759B-ACE2-4725-85FC-5F715BCA06AA}">
  <dimension ref="B2:AE5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105</v>
      </c>
      <c r="P2" t="s">
        <v>139</v>
      </c>
      <c r="U2" t="s">
        <v>139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106</v>
      </c>
      <c r="J3" t="s">
        <v>107</v>
      </c>
      <c r="K3" t="s">
        <v>108</v>
      </c>
      <c r="L3" t="s">
        <v>14</v>
      </c>
      <c r="P3" t="s">
        <v>3</v>
      </c>
      <c r="Q3" t="s">
        <v>106</v>
      </c>
      <c r="R3" t="s">
        <v>140</v>
      </c>
      <c r="U3" t="s">
        <v>149</v>
      </c>
      <c r="V3" t="s">
        <v>3</v>
      </c>
      <c r="W3" t="s">
        <v>106</v>
      </c>
      <c r="X3" t="s">
        <v>140</v>
      </c>
      <c r="AA3" t="s">
        <v>105</v>
      </c>
    </row>
    <row r="4" spans="2:31" x14ac:dyDescent="0.45">
      <c r="B4" t="s">
        <v>94</v>
      </c>
      <c r="C4">
        <v>2.2343455417638518</v>
      </c>
      <c r="D4">
        <v>203.50000000000003</v>
      </c>
      <c r="E4">
        <v>0.9889</v>
      </c>
      <c r="H4" t="s">
        <v>109</v>
      </c>
      <c r="I4" t="s">
        <v>110</v>
      </c>
      <c r="J4">
        <v>8.5011435929817483E-2</v>
      </c>
      <c r="K4" t="s">
        <v>111</v>
      </c>
      <c r="L4" t="s">
        <v>110</v>
      </c>
      <c r="P4" t="s">
        <v>109</v>
      </c>
      <c r="Q4" t="s">
        <v>141</v>
      </c>
      <c r="R4" t="s">
        <v>142</v>
      </c>
      <c r="U4" t="s">
        <v>150</v>
      </c>
      <c r="V4" t="s">
        <v>151</v>
      </c>
      <c r="W4" t="s">
        <v>147</v>
      </c>
      <c r="X4" t="s">
        <v>152</v>
      </c>
      <c r="AA4" t="s">
        <v>106</v>
      </c>
      <c r="AB4" t="s">
        <v>211</v>
      </c>
      <c r="AC4" t="s">
        <v>213</v>
      </c>
      <c r="AD4" t="s">
        <v>214</v>
      </c>
      <c r="AE4" t="s">
        <v>215</v>
      </c>
    </row>
    <row r="5" spans="2:31" x14ac:dyDescent="0.45">
      <c r="B5" t="s">
        <v>95</v>
      </c>
      <c r="C5">
        <v>2.2343455417638518</v>
      </c>
      <c r="D5">
        <v>272.8</v>
      </c>
      <c r="E5">
        <v>0.98512</v>
      </c>
      <c r="H5" t="s">
        <v>112</v>
      </c>
      <c r="I5" t="s">
        <v>110</v>
      </c>
      <c r="J5">
        <v>0.15033299290212207</v>
      </c>
      <c r="K5" t="s">
        <v>111</v>
      </c>
      <c r="L5" t="s">
        <v>110</v>
      </c>
      <c r="P5" t="s">
        <v>112</v>
      </c>
      <c r="Q5" t="s">
        <v>143</v>
      </c>
      <c r="R5" t="s">
        <v>142</v>
      </c>
      <c r="U5" t="s">
        <v>150</v>
      </c>
      <c r="V5" t="s">
        <v>153</v>
      </c>
      <c r="W5" t="s">
        <v>147</v>
      </c>
      <c r="X5" t="s">
        <v>152</v>
      </c>
      <c r="AA5" t="s">
        <v>210</v>
      </c>
      <c r="AB5" t="s">
        <v>212</v>
      </c>
      <c r="AC5">
        <v>2</v>
      </c>
      <c r="AD5">
        <v>0</v>
      </c>
      <c r="AE5" t="s">
        <v>216</v>
      </c>
    </row>
    <row r="6" spans="2:31" x14ac:dyDescent="0.45">
      <c r="B6" t="s">
        <v>96</v>
      </c>
      <c r="C6">
        <v>2.2343455417638518</v>
      </c>
      <c r="D6">
        <v>240.9</v>
      </c>
      <c r="E6">
        <v>0.98685999999999996</v>
      </c>
      <c r="H6" t="s">
        <v>113</v>
      </c>
      <c r="I6" t="s">
        <v>110</v>
      </c>
      <c r="J6">
        <v>7.8484590658437089E-2</v>
      </c>
      <c r="K6" t="s">
        <v>111</v>
      </c>
      <c r="L6" t="s">
        <v>110</v>
      </c>
      <c r="P6" t="s">
        <v>113</v>
      </c>
      <c r="Q6" t="s">
        <v>144</v>
      </c>
      <c r="R6" t="s">
        <v>142</v>
      </c>
      <c r="U6" t="s">
        <v>150</v>
      </c>
      <c r="V6" t="s">
        <v>154</v>
      </c>
      <c r="W6" t="s">
        <v>147</v>
      </c>
      <c r="X6" t="s">
        <v>152</v>
      </c>
    </row>
    <row r="7" spans="2:31" x14ac:dyDescent="0.45">
      <c r="B7" t="s">
        <v>97</v>
      </c>
      <c r="C7">
        <v>2.2343455417638518</v>
      </c>
      <c r="D7">
        <v>103.4</v>
      </c>
      <c r="E7">
        <v>0.99436000000000002</v>
      </c>
      <c r="H7" t="s">
        <v>114</v>
      </c>
      <c r="I7" t="s">
        <v>110</v>
      </c>
      <c r="J7">
        <v>1.6565947195280772E-2</v>
      </c>
      <c r="K7" t="s">
        <v>111</v>
      </c>
      <c r="L7" t="s">
        <v>110</v>
      </c>
      <c r="P7" t="s">
        <v>114</v>
      </c>
      <c r="Q7" t="s">
        <v>145</v>
      </c>
      <c r="R7" t="s">
        <v>142</v>
      </c>
      <c r="U7" t="s">
        <v>150</v>
      </c>
      <c r="V7" t="s">
        <v>155</v>
      </c>
      <c r="W7" t="s">
        <v>147</v>
      </c>
      <c r="X7" t="s">
        <v>152</v>
      </c>
    </row>
    <row r="8" spans="2:31" x14ac:dyDescent="0.45">
      <c r="B8" t="s">
        <v>98</v>
      </c>
      <c r="C8">
        <v>2.2343455417638518</v>
      </c>
      <c r="D8">
        <v>183.70000000000002</v>
      </c>
      <c r="E8">
        <v>0.98997999999999997</v>
      </c>
      <c r="H8" t="s">
        <v>115</v>
      </c>
      <c r="I8" t="s">
        <v>110</v>
      </c>
      <c r="J8">
        <v>1.0298722743238271E-2</v>
      </c>
      <c r="K8" t="s">
        <v>111</v>
      </c>
      <c r="L8" t="s">
        <v>110</v>
      </c>
      <c r="P8" t="s">
        <v>115</v>
      </c>
      <c r="Q8" t="s">
        <v>146</v>
      </c>
      <c r="R8" t="s">
        <v>142</v>
      </c>
      <c r="U8" t="s">
        <v>150</v>
      </c>
      <c r="V8" t="s">
        <v>156</v>
      </c>
      <c r="W8" t="s">
        <v>147</v>
      </c>
      <c r="X8" t="s">
        <v>152</v>
      </c>
    </row>
    <row r="9" spans="2:31" x14ac:dyDescent="0.45">
      <c r="B9" t="s">
        <v>99</v>
      </c>
      <c r="C9">
        <v>2.2343455417638518</v>
      </c>
      <c r="D9">
        <v>20.900000000000002</v>
      </c>
      <c r="E9">
        <v>0.99885999999999997</v>
      </c>
      <c r="H9" t="s">
        <v>116</v>
      </c>
      <c r="I9" t="s">
        <v>110</v>
      </c>
      <c r="J9">
        <v>0.47825529255132998</v>
      </c>
      <c r="K9" t="s">
        <v>111</v>
      </c>
      <c r="L9" t="s">
        <v>110</v>
      </c>
      <c r="P9" t="s">
        <v>116</v>
      </c>
      <c r="Q9" t="s">
        <v>147</v>
      </c>
      <c r="R9" t="s">
        <v>142</v>
      </c>
      <c r="U9" t="s">
        <v>150</v>
      </c>
      <c r="V9" t="s">
        <v>157</v>
      </c>
      <c r="W9" t="s">
        <v>147</v>
      </c>
      <c r="X9" t="s">
        <v>152</v>
      </c>
    </row>
    <row r="10" spans="2:31" x14ac:dyDescent="0.45">
      <c r="B10" t="s">
        <v>100</v>
      </c>
      <c r="C10">
        <v>2.2343455417638518</v>
      </c>
      <c r="D10">
        <v>48.400000000000006</v>
      </c>
      <c r="E10">
        <v>0.99736000000000002</v>
      </c>
      <c r="H10" t="s">
        <v>117</v>
      </c>
      <c r="I10" t="s">
        <v>110</v>
      </c>
      <c r="J10">
        <v>0.16105101801977409</v>
      </c>
      <c r="K10" t="s">
        <v>111</v>
      </c>
      <c r="L10" t="s">
        <v>110</v>
      </c>
      <c r="P10" t="s">
        <v>117</v>
      </c>
      <c r="Q10" t="s">
        <v>148</v>
      </c>
      <c r="R10" t="s">
        <v>142</v>
      </c>
      <c r="U10" t="s">
        <v>150</v>
      </c>
      <c r="V10" t="s">
        <v>158</v>
      </c>
      <c r="W10" t="s">
        <v>147</v>
      </c>
      <c r="X10" t="s">
        <v>152</v>
      </c>
    </row>
    <row r="11" spans="2:31" x14ac:dyDescent="0.45">
      <c r="B11" t="s">
        <v>101</v>
      </c>
      <c r="C11">
        <v>2.2343455417638518</v>
      </c>
      <c r="D11">
        <v>56.1</v>
      </c>
      <c r="E11">
        <v>0.99694000000000005</v>
      </c>
      <c r="H11" t="s">
        <v>118</v>
      </c>
      <c r="I11" t="s">
        <v>110</v>
      </c>
      <c r="J11">
        <v>8.5011435929817483E-2</v>
      </c>
      <c r="K11" t="s">
        <v>111</v>
      </c>
      <c r="L11" t="s">
        <v>110</v>
      </c>
      <c r="P11" t="s">
        <v>118</v>
      </c>
      <c r="Q11" t="s">
        <v>141</v>
      </c>
      <c r="R11" t="s">
        <v>142</v>
      </c>
      <c r="U11" t="s">
        <v>150</v>
      </c>
      <c r="V11" t="s">
        <v>159</v>
      </c>
      <c r="W11" t="s">
        <v>147</v>
      </c>
      <c r="X11" t="s">
        <v>152</v>
      </c>
    </row>
    <row r="12" spans="2:31" x14ac:dyDescent="0.45">
      <c r="B12" t="s">
        <v>102</v>
      </c>
      <c r="C12">
        <v>4.4686910835277036</v>
      </c>
      <c r="D12">
        <v>124.30000000000001</v>
      </c>
      <c r="E12">
        <v>0.99321999999999999</v>
      </c>
      <c r="H12" t="s">
        <v>119</v>
      </c>
      <c r="I12" t="s">
        <v>110</v>
      </c>
      <c r="J12">
        <v>0.15033299290212207</v>
      </c>
      <c r="K12" t="s">
        <v>111</v>
      </c>
      <c r="L12" t="s">
        <v>110</v>
      </c>
      <c r="P12" t="s">
        <v>119</v>
      </c>
      <c r="Q12" t="s">
        <v>143</v>
      </c>
      <c r="R12" t="s">
        <v>142</v>
      </c>
      <c r="U12" t="s">
        <v>150</v>
      </c>
      <c r="V12" t="s">
        <v>160</v>
      </c>
      <c r="W12" t="s">
        <v>147</v>
      </c>
      <c r="X12" t="s">
        <v>152</v>
      </c>
    </row>
    <row r="13" spans="2:31" x14ac:dyDescent="0.45">
      <c r="B13" t="s">
        <v>103</v>
      </c>
      <c r="C13">
        <v>2.2343455417638518</v>
      </c>
      <c r="D13">
        <v>119.9</v>
      </c>
      <c r="E13">
        <v>0.99346000000000001</v>
      </c>
      <c r="H13" t="s">
        <v>120</v>
      </c>
      <c r="I13" t="s">
        <v>110</v>
      </c>
      <c r="J13">
        <v>7.8484590658437089E-2</v>
      </c>
      <c r="K13" t="s">
        <v>111</v>
      </c>
      <c r="L13" t="s">
        <v>110</v>
      </c>
      <c r="P13" t="s">
        <v>120</v>
      </c>
      <c r="Q13" t="s">
        <v>144</v>
      </c>
      <c r="R13" t="s">
        <v>142</v>
      </c>
      <c r="U13" t="s">
        <v>150</v>
      </c>
      <c r="V13" t="s">
        <v>161</v>
      </c>
      <c r="W13" t="s">
        <v>147</v>
      </c>
      <c r="X13" t="s">
        <v>152</v>
      </c>
    </row>
    <row r="14" spans="2:31" x14ac:dyDescent="0.45">
      <c r="B14" t="s">
        <v>104</v>
      </c>
      <c r="C14">
        <v>2.2343455417638518</v>
      </c>
      <c r="D14">
        <v>103.4</v>
      </c>
      <c r="E14">
        <v>0.99436000000000002</v>
      </c>
      <c r="H14" t="s">
        <v>121</v>
      </c>
      <c r="I14" t="s">
        <v>110</v>
      </c>
      <c r="J14">
        <v>1.6565947195280772E-2</v>
      </c>
      <c r="K14" t="s">
        <v>111</v>
      </c>
      <c r="L14" t="s">
        <v>110</v>
      </c>
      <c r="P14" t="s">
        <v>121</v>
      </c>
      <c r="Q14" t="s">
        <v>145</v>
      </c>
      <c r="R14" t="s">
        <v>142</v>
      </c>
      <c r="U14" t="s">
        <v>150</v>
      </c>
      <c r="V14" t="s">
        <v>162</v>
      </c>
      <c r="W14" t="s">
        <v>147</v>
      </c>
      <c r="X14" t="s">
        <v>152</v>
      </c>
    </row>
    <row r="15" spans="2:31" x14ac:dyDescent="0.45">
      <c r="H15" t="s">
        <v>122</v>
      </c>
      <c r="I15" t="s">
        <v>110</v>
      </c>
      <c r="J15">
        <v>1.0298722743238271E-2</v>
      </c>
      <c r="K15" t="s">
        <v>111</v>
      </c>
      <c r="L15" t="s">
        <v>110</v>
      </c>
      <c r="P15" t="s">
        <v>122</v>
      </c>
      <c r="Q15" t="s">
        <v>146</v>
      </c>
      <c r="R15" t="s">
        <v>142</v>
      </c>
      <c r="U15" t="s">
        <v>150</v>
      </c>
      <c r="V15" t="s">
        <v>163</v>
      </c>
      <c r="W15" t="s">
        <v>147</v>
      </c>
      <c r="X15" t="s">
        <v>152</v>
      </c>
    </row>
    <row r="16" spans="2:31" x14ac:dyDescent="0.45">
      <c r="H16" t="s">
        <v>123</v>
      </c>
      <c r="I16" t="s">
        <v>110</v>
      </c>
      <c r="J16">
        <v>0.47825529255132998</v>
      </c>
      <c r="K16" t="s">
        <v>111</v>
      </c>
      <c r="L16" t="s">
        <v>110</v>
      </c>
      <c r="P16" t="s">
        <v>123</v>
      </c>
      <c r="Q16" t="s">
        <v>147</v>
      </c>
      <c r="R16" t="s">
        <v>142</v>
      </c>
      <c r="U16" t="s">
        <v>150</v>
      </c>
      <c r="V16" t="s">
        <v>164</v>
      </c>
      <c r="W16" t="s">
        <v>147</v>
      </c>
      <c r="X16" t="s">
        <v>152</v>
      </c>
    </row>
    <row r="17" spans="8:24" x14ac:dyDescent="0.45">
      <c r="H17" t="s">
        <v>124</v>
      </c>
      <c r="I17" t="s">
        <v>110</v>
      </c>
      <c r="J17">
        <v>0.16105101801977409</v>
      </c>
      <c r="K17" t="s">
        <v>111</v>
      </c>
      <c r="L17" t="s">
        <v>110</v>
      </c>
      <c r="P17" t="s">
        <v>124</v>
      </c>
      <c r="Q17" t="s">
        <v>148</v>
      </c>
      <c r="R17" t="s">
        <v>142</v>
      </c>
      <c r="U17" t="s">
        <v>150</v>
      </c>
      <c r="V17" t="s">
        <v>165</v>
      </c>
      <c r="W17" t="s">
        <v>144</v>
      </c>
      <c r="X17" t="s">
        <v>152</v>
      </c>
    </row>
    <row r="18" spans="8:24" x14ac:dyDescent="0.45">
      <c r="H18" t="s">
        <v>125</v>
      </c>
      <c r="I18" t="s">
        <v>110</v>
      </c>
      <c r="J18">
        <v>8.5011435929817483E-2</v>
      </c>
      <c r="K18" t="s">
        <v>111</v>
      </c>
      <c r="L18" t="s">
        <v>110</v>
      </c>
      <c r="P18" t="s">
        <v>125</v>
      </c>
      <c r="Q18" t="s">
        <v>141</v>
      </c>
      <c r="R18" t="s">
        <v>142</v>
      </c>
      <c r="U18" t="s">
        <v>150</v>
      </c>
      <c r="V18" t="s">
        <v>166</v>
      </c>
      <c r="W18" t="s">
        <v>144</v>
      </c>
      <c r="X18" t="s">
        <v>152</v>
      </c>
    </row>
    <row r="19" spans="8:24" x14ac:dyDescent="0.45">
      <c r="H19" t="s">
        <v>126</v>
      </c>
      <c r="I19" t="s">
        <v>110</v>
      </c>
      <c r="J19">
        <v>0.15033299290212207</v>
      </c>
      <c r="K19" t="s">
        <v>111</v>
      </c>
      <c r="L19" t="s">
        <v>110</v>
      </c>
      <c r="P19" t="s">
        <v>126</v>
      </c>
      <c r="Q19" t="s">
        <v>143</v>
      </c>
      <c r="R19" t="s">
        <v>142</v>
      </c>
      <c r="U19" t="s">
        <v>150</v>
      </c>
      <c r="V19" t="s">
        <v>167</v>
      </c>
      <c r="W19" t="s">
        <v>144</v>
      </c>
      <c r="X19" t="s">
        <v>152</v>
      </c>
    </row>
    <row r="20" spans="8:24" x14ac:dyDescent="0.45">
      <c r="H20" t="s">
        <v>127</v>
      </c>
      <c r="I20" t="s">
        <v>110</v>
      </c>
      <c r="J20">
        <v>7.8484590658437089E-2</v>
      </c>
      <c r="K20" t="s">
        <v>111</v>
      </c>
      <c r="L20" t="s">
        <v>110</v>
      </c>
      <c r="P20" t="s">
        <v>127</v>
      </c>
      <c r="Q20" t="s">
        <v>144</v>
      </c>
      <c r="R20" t="s">
        <v>142</v>
      </c>
      <c r="U20" t="s">
        <v>150</v>
      </c>
      <c r="V20" t="s">
        <v>168</v>
      </c>
      <c r="W20" t="s">
        <v>144</v>
      </c>
      <c r="X20" t="s">
        <v>152</v>
      </c>
    </row>
    <row r="21" spans="8:24" x14ac:dyDescent="0.45">
      <c r="H21" t="s">
        <v>128</v>
      </c>
      <c r="I21" t="s">
        <v>110</v>
      </c>
      <c r="J21">
        <v>1.6565947195280772E-2</v>
      </c>
      <c r="K21" t="s">
        <v>111</v>
      </c>
      <c r="L21" t="s">
        <v>110</v>
      </c>
      <c r="P21" t="s">
        <v>128</v>
      </c>
      <c r="Q21" t="s">
        <v>145</v>
      </c>
      <c r="R21" t="s">
        <v>142</v>
      </c>
      <c r="U21" t="s">
        <v>150</v>
      </c>
      <c r="V21" t="s">
        <v>169</v>
      </c>
      <c r="W21" t="s">
        <v>144</v>
      </c>
      <c r="X21" t="s">
        <v>152</v>
      </c>
    </row>
    <row r="22" spans="8:24" x14ac:dyDescent="0.45">
      <c r="H22" t="s">
        <v>129</v>
      </c>
      <c r="I22" t="s">
        <v>110</v>
      </c>
      <c r="J22">
        <v>1.0298722743238271E-2</v>
      </c>
      <c r="K22" t="s">
        <v>111</v>
      </c>
      <c r="L22" t="s">
        <v>110</v>
      </c>
      <c r="P22" t="s">
        <v>129</v>
      </c>
      <c r="Q22" t="s">
        <v>146</v>
      </c>
      <c r="R22" t="s">
        <v>142</v>
      </c>
      <c r="U22" t="s">
        <v>150</v>
      </c>
      <c r="V22" t="s">
        <v>170</v>
      </c>
      <c r="W22" t="s">
        <v>144</v>
      </c>
      <c r="X22" t="s">
        <v>152</v>
      </c>
    </row>
    <row r="23" spans="8:24" x14ac:dyDescent="0.45">
      <c r="H23" t="s">
        <v>130</v>
      </c>
      <c r="I23" t="s">
        <v>110</v>
      </c>
      <c r="J23">
        <v>0.47825529255132998</v>
      </c>
      <c r="K23" t="s">
        <v>111</v>
      </c>
      <c r="L23" t="s">
        <v>110</v>
      </c>
      <c r="P23" t="s">
        <v>130</v>
      </c>
      <c r="Q23" t="s">
        <v>147</v>
      </c>
      <c r="R23" t="s">
        <v>142</v>
      </c>
      <c r="U23" t="s">
        <v>150</v>
      </c>
      <c r="V23" t="s">
        <v>171</v>
      </c>
      <c r="W23" t="s">
        <v>144</v>
      </c>
      <c r="X23" t="s">
        <v>152</v>
      </c>
    </row>
    <row r="24" spans="8:24" x14ac:dyDescent="0.45">
      <c r="H24" t="s">
        <v>131</v>
      </c>
      <c r="I24" t="s">
        <v>110</v>
      </c>
      <c r="J24">
        <v>0.16105101801977409</v>
      </c>
      <c r="K24" t="s">
        <v>111</v>
      </c>
      <c r="L24" t="s">
        <v>110</v>
      </c>
      <c r="P24" t="s">
        <v>131</v>
      </c>
      <c r="Q24" t="s">
        <v>148</v>
      </c>
      <c r="R24" t="s">
        <v>142</v>
      </c>
      <c r="U24" t="s">
        <v>150</v>
      </c>
      <c r="V24" t="s">
        <v>172</v>
      </c>
      <c r="W24" t="s">
        <v>144</v>
      </c>
      <c r="X24" t="s">
        <v>152</v>
      </c>
    </row>
    <row r="25" spans="8:24" x14ac:dyDescent="0.45">
      <c r="H25" t="s">
        <v>132</v>
      </c>
      <c r="I25" t="s">
        <v>110</v>
      </c>
      <c r="J25">
        <v>8.5011435929817483E-2</v>
      </c>
      <c r="K25" t="s">
        <v>111</v>
      </c>
      <c r="L25" t="s">
        <v>110</v>
      </c>
      <c r="P25" t="s">
        <v>132</v>
      </c>
      <c r="Q25" t="s">
        <v>141</v>
      </c>
      <c r="R25" t="s">
        <v>142</v>
      </c>
      <c r="U25" t="s">
        <v>150</v>
      </c>
      <c r="V25" t="s">
        <v>173</v>
      </c>
      <c r="W25" t="s">
        <v>144</v>
      </c>
      <c r="X25" t="s">
        <v>152</v>
      </c>
    </row>
    <row r="26" spans="8:24" x14ac:dyDescent="0.45">
      <c r="H26" t="s">
        <v>133</v>
      </c>
      <c r="I26" t="s">
        <v>110</v>
      </c>
      <c r="J26">
        <v>0.15033299290212207</v>
      </c>
      <c r="K26" t="s">
        <v>111</v>
      </c>
      <c r="L26" t="s">
        <v>110</v>
      </c>
      <c r="P26" t="s">
        <v>133</v>
      </c>
      <c r="Q26" t="s">
        <v>143</v>
      </c>
      <c r="R26" t="s">
        <v>142</v>
      </c>
      <c r="U26" t="s">
        <v>150</v>
      </c>
      <c r="V26" t="s">
        <v>174</v>
      </c>
      <c r="W26" t="s">
        <v>144</v>
      </c>
      <c r="X26" t="s">
        <v>152</v>
      </c>
    </row>
    <row r="27" spans="8:24" x14ac:dyDescent="0.45">
      <c r="H27" t="s">
        <v>134</v>
      </c>
      <c r="I27" t="s">
        <v>110</v>
      </c>
      <c r="J27">
        <v>7.8484590658437089E-2</v>
      </c>
      <c r="K27" t="s">
        <v>111</v>
      </c>
      <c r="L27" t="s">
        <v>110</v>
      </c>
      <c r="P27" t="s">
        <v>134</v>
      </c>
      <c r="Q27" t="s">
        <v>144</v>
      </c>
      <c r="R27" t="s">
        <v>142</v>
      </c>
      <c r="U27" t="s">
        <v>150</v>
      </c>
      <c r="V27" t="s">
        <v>175</v>
      </c>
      <c r="W27" t="s">
        <v>144</v>
      </c>
      <c r="X27" t="s">
        <v>152</v>
      </c>
    </row>
    <row r="28" spans="8:24" x14ac:dyDescent="0.45">
      <c r="H28" t="s">
        <v>135</v>
      </c>
      <c r="I28" t="s">
        <v>110</v>
      </c>
      <c r="J28">
        <v>1.6565947195280772E-2</v>
      </c>
      <c r="K28" t="s">
        <v>111</v>
      </c>
      <c r="L28" t="s">
        <v>110</v>
      </c>
      <c r="P28" t="s">
        <v>135</v>
      </c>
      <c r="Q28" t="s">
        <v>145</v>
      </c>
      <c r="R28" t="s">
        <v>142</v>
      </c>
      <c r="U28" t="s">
        <v>150</v>
      </c>
      <c r="V28" t="s">
        <v>176</v>
      </c>
      <c r="W28" t="s">
        <v>144</v>
      </c>
      <c r="X28" t="s">
        <v>152</v>
      </c>
    </row>
    <row r="29" spans="8:24" x14ac:dyDescent="0.45">
      <c r="H29" t="s">
        <v>136</v>
      </c>
      <c r="I29" t="s">
        <v>110</v>
      </c>
      <c r="J29">
        <v>1.0298722743238271E-2</v>
      </c>
      <c r="K29" t="s">
        <v>111</v>
      </c>
      <c r="L29" t="s">
        <v>110</v>
      </c>
      <c r="P29" t="s">
        <v>136</v>
      </c>
      <c r="Q29" t="s">
        <v>146</v>
      </c>
      <c r="R29" t="s">
        <v>142</v>
      </c>
      <c r="U29" t="s">
        <v>150</v>
      </c>
      <c r="V29" t="s">
        <v>177</v>
      </c>
      <c r="W29" t="s">
        <v>144</v>
      </c>
      <c r="X29" t="s">
        <v>152</v>
      </c>
    </row>
    <row r="30" spans="8:24" x14ac:dyDescent="0.45">
      <c r="H30" t="s">
        <v>137</v>
      </c>
      <c r="I30" t="s">
        <v>110</v>
      </c>
      <c r="J30">
        <v>0.47825529255132998</v>
      </c>
      <c r="K30" t="s">
        <v>111</v>
      </c>
      <c r="L30" t="s">
        <v>110</v>
      </c>
      <c r="P30" t="s">
        <v>137</v>
      </c>
      <c r="Q30" t="s">
        <v>147</v>
      </c>
      <c r="R30" t="s">
        <v>142</v>
      </c>
      <c r="U30" t="s">
        <v>150</v>
      </c>
      <c r="V30" t="s">
        <v>178</v>
      </c>
      <c r="W30" t="s">
        <v>141</v>
      </c>
      <c r="X30" t="s">
        <v>152</v>
      </c>
    </row>
    <row r="31" spans="8:24" x14ac:dyDescent="0.45">
      <c r="H31" t="s">
        <v>138</v>
      </c>
      <c r="I31" t="s">
        <v>110</v>
      </c>
      <c r="J31">
        <v>0.16105101801977409</v>
      </c>
      <c r="K31" t="s">
        <v>111</v>
      </c>
      <c r="L31" t="s">
        <v>110</v>
      </c>
      <c r="P31" t="s">
        <v>138</v>
      </c>
      <c r="Q31" t="s">
        <v>148</v>
      </c>
      <c r="R31" t="s">
        <v>142</v>
      </c>
      <c r="U31" t="s">
        <v>150</v>
      </c>
      <c r="V31" t="s">
        <v>179</v>
      </c>
      <c r="W31" t="s">
        <v>141</v>
      </c>
      <c r="X31" t="s">
        <v>152</v>
      </c>
    </row>
    <row r="32" spans="8:24" x14ac:dyDescent="0.45">
      <c r="U32" t="s">
        <v>150</v>
      </c>
      <c r="V32" t="s">
        <v>180</v>
      </c>
      <c r="W32" t="s">
        <v>141</v>
      </c>
      <c r="X32" t="s">
        <v>152</v>
      </c>
    </row>
    <row r="33" spans="21:24" x14ac:dyDescent="0.45">
      <c r="U33" t="s">
        <v>150</v>
      </c>
      <c r="V33" t="s">
        <v>181</v>
      </c>
      <c r="W33" t="s">
        <v>144</v>
      </c>
      <c r="X33" t="s">
        <v>152</v>
      </c>
    </row>
    <row r="34" spans="21:24" x14ac:dyDescent="0.45">
      <c r="U34" t="s">
        <v>150</v>
      </c>
      <c r="V34" t="s">
        <v>182</v>
      </c>
      <c r="W34" t="s">
        <v>144</v>
      </c>
      <c r="X34" t="s">
        <v>152</v>
      </c>
    </row>
    <row r="35" spans="21:24" x14ac:dyDescent="0.45">
      <c r="U35" t="s">
        <v>150</v>
      </c>
      <c r="V35" t="s">
        <v>183</v>
      </c>
      <c r="W35" t="s">
        <v>144</v>
      </c>
      <c r="X35" t="s">
        <v>152</v>
      </c>
    </row>
    <row r="36" spans="21:24" x14ac:dyDescent="0.45">
      <c r="U36" t="s">
        <v>150</v>
      </c>
      <c r="V36" t="s">
        <v>184</v>
      </c>
      <c r="W36" t="s">
        <v>147</v>
      </c>
      <c r="X36" t="s">
        <v>152</v>
      </c>
    </row>
    <row r="37" spans="21:24" x14ac:dyDescent="0.45">
      <c r="U37" t="s">
        <v>150</v>
      </c>
      <c r="V37" t="s">
        <v>185</v>
      </c>
      <c r="W37" t="s">
        <v>147</v>
      </c>
      <c r="X37" t="s">
        <v>152</v>
      </c>
    </row>
    <row r="38" spans="21:24" x14ac:dyDescent="0.45">
      <c r="U38" t="s">
        <v>150</v>
      </c>
      <c r="V38" t="s">
        <v>186</v>
      </c>
      <c r="W38" t="s">
        <v>147</v>
      </c>
      <c r="X38" t="s">
        <v>152</v>
      </c>
    </row>
    <row r="39" spans="21:24" x14ac:dyDescent="0.45">
      <c r="U39" t="s">
        <v>150</v>
      </c>
      <c r="V39" t="s">
        <v>187</v>
      </c>
      <c r="W39" t="s">
        <v>148</v>
      </c>
      <c r="X39" t="s">
        <v>152</v>
      </c>
    </row>
    <row r="40" spans="21:24" x14ac:dyDescent="0.45">
      <c r="U40" t="s">
        <v>150</v>
      </c>
      <c r="V40" t="s">
        <v>188</v>
      </c>
      <c r="W40" t="s">
        <v>148</v>
      </c>
      <c r="X40" t="s">
        <v>152</v>
      </c>
    </row>
    <row r="41" spans="21:24" x14ac:dyDescent="0.45">
      <c r="U41" t="s">
        <v>150</v>
      </c>
      <c r="V41" t="s">
        <v>189</v>
      </c>
      <c r="W41" t="s">
        <v>148</v>
      </c>
      <c r="X41" t="s">
        <v>152</v>
      </c>
    </row>
    <row r="42" spans="21:24" x14ac:dyDescent="0.45">
      <c r="U42" t="s">
        <v>150</v>
      </c>
      <c r="V42" t="s">
        <v>190</v>
      </c>
      <c r="W42" t="s">
        <v>191</v>
      </c>
      <c r="X42" t="s">
        <v>152</v>
      </c>
    </row>
    <row r="43" spans="21:24" x14ac:dyDescent="0.45">
      <c r="U43" t="s">
        <v>150</v>
      </c>
      <c r="V43" t="s">
        <v>192</v>
      </c>
      <c r="W43" t="s">
        <v>191</v>
      </c>
      <c r="X43" t="s">
        <v>152</v>
      </c>
    </row>
    <row r="44" spans="21:24" x14ac:dyDescent="0.45">
      <c r="U44" t="s">
        <v>150</v>
      </c>
      <c r="V44" t="s">
        <v>193</v>
      </c>
      <c r="W44" t="s">
        <v>191</v>
      </c>
      <c r="X44" t="s">
        <v>152</v>
      </c>
    </row>
    <row r="45" spans="21:24" x14ac:dyDescent="0.45">
      <c r="U45" t="s">
        <v>150</v>
      </c>
      <c r="V45" t="s">
        <v>194</v>
      </c>
      <c r="W45" t="s">
        <v>195</v>
      </c>
      <c r="X45" t="s">
        <v>152</v>
      </c>
    </row>
    <row r="46" spans="21:24" x14ac:dyDescent="0.45">
      <c r="U46" t="s">
        <v>150</v>
      </c>
      <c r="V46" t="s">
        <v>196</v>
      </c>
      <c r="W46" t="s">
        <v>195</v>
      </c>
      <c r="X46" t="s">
        <v>152</v>
      </c>
    </row>
    <row r="47" spans="21:24" x14ac:dyDescent="0.45">
      <c r="U47" t="s">
        <v>150</v>
      </c>
      <c r="V47" t="s">
        <v>197</v>
      </c>
      <c r="W47" t="s">
        <v>195</v>
      </c>
      <c r="X47" t="s">
        <v>152</v>
      </c>
    </row>
    <row r="48" spans="21:24" x14ac:dyDescent="0.45">
      <c r="U48" t="s">
        <v>150</v>
      </c>
      <c r="V48" t="s">
        <v>198</v>
      </c>
      <c r="W48" t="s">
        <v>147</v>
      </c>
      <c r="X48" t="s">
        <v>152</v>
      </c>
    </row>
    <row r="49" spans="21:24" x14ac:dyDescent="0.45">
      <c r="U49" t="s">
        <v>150</v>
      </c>
      <c r="V49" t="s">
        <v>199</v>
      </c>
      <c r="W49" t="s">
        <v>147</v>
      </c>
      <c r="X49" t="s">
        <v>152</v>
      </c>
    </row>
    <row r="50" spans="21:24" x14ac:dyDescent="0.45">
      <c r="U50" t="s">
        <v>150</v>
      </c>
      <c r="V50" t="s">
        <v>200</v>
      </c>
      <c r="W50" t="s">
        <v>144</v>
      </c>
      <c r="X50" t="s">
        <v>152</v>
      </c>
    </row>
    <row r="51" spans="21:24" x14ac:dyDescent="0.45">
      <c r="U51" t="s">
        <v>150</v>
      </c>
      <c r="V51" t="s">
        <v>201</v>
      </c>
      <c r="W51" t="s">
        <v>144</v>
      </c>
      <c r="X51" t="s">
        <v>152</v>
      </c>
    </row>
    <row r="52" spans="21:24" x14ac:dyDescent="0.45">
      <c r="U52" t="s">
        <v>150</v>
      </c>
      <c r="V52" t="s">
        <v>202</v>
      </c>
      <c r="W52" t="s">
        <v>141</v>
      </c>
      <c r="X52" t="s">
        <v>152</v>
      </c>
    </row>
    <row r="53" spans="21:24" x14ac:dyDescent="0.45">
      <c r="U53" t="s">
        <v>150</v>
      </c>
      <c r="V53" t="s">
        <v>203</v>
      </c>
      <c r="W53" t="s">
        <v>141</v>
      </c>
      <c r="X53" t="s">
        <v>152</v>
      </c>
    </row>
    <row r="54" spans="21:24" x14ac:dyDescent="0.45">
      <c r="U54" t="s">
        <v>150</v>
      </c>
      <c r="V54" t="s">
        <v>204</v>
      </c>
      <c r="W54" t="s">
        <v>148</v>
      </c>
      <c r="X54" t="s">
        <v>152</v>
      </c>
    </row>
    <row r="55" spans="21:24" x14ac:dyDescent="0.45">
      <c r="U55" t="s">
        <v>150</v>
      </c>
      <c r="V55" t="s">
        <v>205</v>
      </c>
      <c r="W55" t="s">
        <v>148</v>
      </c>
      <c r="X55" t="s">
        <v>152</v>
      </c>
    </row>
    <row r="56" spans="21:24" x14ac:dyDescent="0.45">
      <c r="U56" t="s">
        <v>150</v>
      </c>
      <c r="V56" t="s">
        <v>206</v>
      </c>
      <c r="W56" t="s">
        <v>191</v>
      </c>
      <c r="X56" t="s">
        <v>152</v>
      </c>
    </row>
    <row r="57" spans="21:24" x14ac:dyDescent="0.45">
      <c r="U57" t="s">
        <v>150</v>
      </c>
      <c r="V57" t="s">
        <v>207</v>
      </c>
      <c r="W57" t="s">
        <v>191</v>
      </c>
      <c r="X57" t="s">
        <v>152</v>
      </c>
    </row>
    <row r="58" spans="21:24" x14ac:dyDescent="0.45">
      <c r="U58" t="s">
        <v>150</v>
      </c>
      <c r="V58" t="s">
        <v>208</v>
      </c>
      <c r="W58" t="s">
        <v>195</v>
      </c>
      <c r="X58" t="s">
        <v>152</v>
      </c>
    </row>
    <row r="59" spans="21:24" x14ac:dyDescent="0.45">
      <c r="U59" t="s">
        <v>150</v>
      </c>
      <c r="V59" t="s">
        <v>209</v>
      </c>
      <c r="W59" t="s">
        <v>195</v>
      </c>
      <c r="X59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0.17408675799086756</v>
      </c>
      <c r="H4" s="3">
        <v>65535</v>
      </c>
      <c r="I4" s="3">
        <v>0.10680993150684931</v>
      </c>
      <c r="J4" s="3">
        <v>0.25542237442922378</v>
      </c>
    </row>
    <row r="5" spans="1:38" x14ac:dyDescent="0.45">
      <c r="B5" t="s">
        <v>89</v>
      </c>
      <c r="C5" t="s">
        <v>43</v>
      </c>
      <c r="D5" s="4"/>
      <c r="F5" t="s">
        <v>8</v>
      </c>
      <c r="G5" s="3">
        <v>0</v>
      </c>
      <c r="H5" s="3">
        <v>0.20656664492280932</v>
      </c>
      <c r="I5" s="3">
        <v>1.256425720111427E-2</v>
      </c>
      <c r="J5" s="3">
        <v>0.23154131127767727</v>
      </c>
    </row>
    <row r="6" spans="1:38" x14ac:dyDescent="0.45">
      <c r="A6" s="5">
        <v>0.28000000000000003</v>
      </c>
      <c r="B6" t="s">
        <v>84</v>
      </c>
      <c r="C6" t="s">
        <v>7</v>
      </c>
      <c r="D6" s="4" t="str">
        <f>IFERROR(MIN(VLOOKUP(B6,$F$3:$J$11,5,FALSE),$A$6),"")</f>
        <v/>
      </c>
      <c r="F6" t="s">
        <v>6</v>
      </c>
      <c r="G6" s="3">
        <v>0.3601657836539226</v>
      </c>
      <c r="H6" s="3">
        <v>0.47407678326018526</v>
      </c>
      <c r="I6" s="3">
        <v>0.37568153298465395</v>
      </c>
      <c r="J6" s="3">
        <v>0.47840196332364027</v>
      </c>
      <c r="U6" t="s">
        <v>11</v>
      </c>
      <c r="AF6" t="s">
        <v>10</v>
      </c>
    </row>
    <row r="7" spans="1:38" x14ac:dyDescent="0.45">
      <c r="B7" t="s">
        <v>85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65535</v>
      </c>
      <c r="AA8" s="2">
        <f>Z8*$AB$1</f>
        <v>72088.5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0.17408675799086756</v>
      </c>
      <c r="AJ8">
        <f>AI8*$AD$1</f>
        <v>3.4817351598173514E-2</v>
      </c>
      <c r="AK8">
        <v>0</v>
      </c>
      <c r="AL8">
        <v>3</v>
      </c>
    </row>
    <row r="9" spans="1:38" x14ac:dyDescent="0.45">
      <c r="F9" t="s">
        <v>9</v>
      </c>
      <c r="G9" s="3"/>
      <c r="H9" s="3"/>
      <c r="I9" s="3"/>
      <c r="J9" s="3"/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0.20656664492280932</v>
      </c>
      <c r="AA9" s="2">
        <f>Z9*$AB$1</f>
        <v>0.22722330941509028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90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87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86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10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10" spans="2:10" ht="14.65" thickBot="1" x14ac:dyDescent="0.5">
      <c r="B10" s="8" t="s">
        <v>69</v>
      </c>
      <c r="C10" s="8" t="s">
        <v>70</v>
      </c>
      <c r="D10" s="8" t="s">
        <v>71</v>
      </c>
      <c r="E10" s="8" t="s">
        <v>72</v>
      </c>
      <c r="F10" s="8" t="s">
        <v>73</v>
      </c>
      <c r="G10" s="8" t="s">
        <v>74</v>
      </c>
      <c r="H10" s="8" t="s">
        <v>75</v>
      </c>
      <c r="I10" s="8" t="s">
        <v>76</v>
      </c>
      <c r="J10" s="8" t="s">
        <v>77</v>
      </c>
    </row>
    <row r="11" spans="2:10" x14ac:dyDescent="0.45">
      <c r="B11" t="s">
        <v>78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83</v>
      </c>
    </row>
    <row r="19" spans="1:8" ht="15" thickTop="1" thickBot="1" x14ac:dyDescent="0.5">
      <c r="A19" s="8" t="s">
        <v>48</v>
      </c>
      <c r="B19" s="8" t="s">
        <v>79</v>
      </c>
      <c r="C19" s="8" t="s">
        <v>2</v>
      </c>
      <c r="D19" s="8" t="s">
        <v>80</v>
      </c>
      <c r="E19" s="8" t="s">
        <v>81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82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82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82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82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0.22</v>
      </c>
    </row>
    <row r="5" spans="1:4" x14ac:dyDescent="0.45">
      <c r="A5" t="s">
        <v>6</v>
      </c>
      <c r="B5">
        <v>2000</v>
      </c>
      <c r="C5" t="s">
        <v>59</v>
      </c>
      <c r="D5">
        <v>14.02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0.18</v>
      </c>
    </row>
    <row r="14" spans="1:4" x14ac:dyDescent="0.45">
      <c r="A14" t="s">
        <v>6</v>
      </c>
      <c r="B14">
        <v>2001</v>
      </c>
      <c r="C14" t="s">
        <v>59</v>
      </c>
      <c r="D14">
        <v>14.21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90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0.14000000000000001</v>
      </c>
    </row>
    <row r="23" spans="1:4" x14ac:dyDescent="0.45">
      <c r="A23" t="s">
        <v>6</v>
      </c>
      <c r="B23">
        <v>2002</v>
      </c>
      <c r="C23" t="s">
        <v>59</v>
      </c>
      <c r="D23">
        <v>15.16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90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0.17</v>
      </c>
    </row>
    <row r="32" spans="1:4" x14ac:dyDescent="0.45">
      <c r="A32" t="s">
        <v>6</v>
      </c>
      <c r="B32">
        <v>2003</v>
      </c>
      <c r="C32" t="s">
        <v>59</v>
      </c>
      <c r="D32">
        <v>16.34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90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0.15</v>
      </c>
    </row>
    <row r="41" spans="1:4" x14ac:dyDescent="0.45">
      <c r="A41" t="s">
        <v>6</v>
      </c>
      <c r="B41">
        <v>2004</v>
      </c>
      <c r="C41" t="s">
        <v>59</v>
      </c>
      <c r="D41">
        <v>16.34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90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0.12</v>
      </c>
    </row>
    <row r="50" spans="1:4" x14ac:dyDescent="0.45">
      <c r="A50" t="s">
        <v>6</v>
      </c>
      <c r="B50">
        <v>2005</v>
      </c>
      <c r="C50" t="s">
        <v>59</v>
      </c>
      <c r="D50">
        <v>16.97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90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0.23</v>
      </c>
    </row>
    <row r="59" spans="1:4" x14ac:dyDescent="0.45">
      <c r="A59" t="s">
        <v>6</v>
      </c>
      <c r="B59">
        <v>2006</v>
      </c>
      <c r="C59" t="s">
        <v>59</v>
      </c>
      <c r="D59">
        <v>16.7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90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0.38</v>
      </c>
    </row>
    <row r="68" spans="1:4" x14ac:dyDescent="0.45">
      <c r="A68" t="s">
        <v>6</v>
      </c>
      <c r="B68">
        <v>2007</v>
      </c>
      <c r="C68" t="s">
        <v>59</v>
      </c>
      <c r="D68">
        <v>17.11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90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0.35</v>
      </c>
    </row>
    <row r="77" spans="1:4" x14ac:dyDescent="0.45">
      <c r="A77" t="s">
        <v>6</v>
      </c>
      <c r="B77">
        <v>2008</v>
      </c>
      <c r="C77" t="s">
        <v>59</v>
      </c>
      <c r="D77">
        <v>15.8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90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0.22</v>
      </c>
    </row>
    <row r="86" spans="1:4" x14ac:dyDescent="0.45">
      <c r="A86" t="s">
        <v>6</v>
      </c>
      <c r="B86">
        <v>2009</v>
      </c>
      <c r="C86" t="s">
        <v>59</v>
      </c>
      <c r="D86">
        <v>15.9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90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0.04</v>
      </c>
    </row>
    <row r="95" spans="1:4" x14ac:dyDescent="0.45">
      <c r="A95" t="s">
        <v>6</v>
      </c>
      <c r="B95">
        <v>2010</v>
      </c>
      <c r="C95" t="s">
        <v>59</v>
      </c>
      <c r="D95">
        <v>16.399999999999999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90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0.04</v>
      </c>
    </row>
    <row r="104" spans="1:4" x14ac:dyDescent="0.45">
      <c r="A104" t="s">
        <v>6</v>
      </c>
      <c r="B104">
        <v>2011</v>
      </c>
      <c r="C104" t="s">
        <v>59</v>
      </c>
      <c r="D104">
        <v>16.2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90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7.0000000000000007E-2</v>
      </c>
    </row>
    <row r="113" spans="1:4" x14ac:dyDescent="0.45">
      <c r="A113" t="s">
        <v>6</v>
      </c>
      <c r="B113">
        <v>2012</v>
      </c>
      <c r="C113" t="s">
        <v>59</v>
      </c>
      <c r="D113">
        <v>16.899999999999999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90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0.04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17.07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90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0.16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16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90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0.16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17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</v>
      </c>
    </row>
    <row r="145" spans="1:4" x14ac:dyDescent="0.45">
      <c r="A145" t="s">
        <v>90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0.61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16.63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</v>
      </c>
    </row>
    <row r="154" spans="1:4" x14ac:dyDescent="0.45">
      <c r="A154" t="s">
        <v>90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0.98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17.13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</v>
      </c>
    </row>
    <row r="163" spans="1:4" x14ac:dyDescent="0.45">
      <c r="A163" t="s">
        <v>90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1.35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18.39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</v>
      </c>
    </row>
    <row r="172" spans="1:4" x14ac:dyDescent="0.45">
      <c r="A172" t="s">
        <v>90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1.48</v>
      </c>
    </row>
    <row r="175" spans="1:4" x14ac:dyDescent="0.45">
      <c r="A175" t="s">
        <v>8</v>
      </c>
      <c r="B175">
        <v>2019</v>
      </c>
      <c r="C175" t="s">
        <v>59</v>
      </c>
      <c r="D175">
        <v>0.31</v>
      </c>
    </row>
    <row r="176" spans="1:4" x14ac:dyDescent="0.45">
      <c r="A176" t="s">
        <v>6</v>
      </c>
      <c r="B176">
        <v>2019</v>
      </c>
      <c r="C176" t="s">
        <v>59</v>
      </c>
      <c r="D176">
        <v>19.170000000000002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</v>
      </c>
    </row>
    <row r="181" spans="1:4" x14ac:dyDescent="0.45">
      <c r="A181" t="s">
        <v>90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1.66</v>
      </c>
    </row>
    <row r="184" spans="1:4" x14ac:dyDescent="0.45">
      <c r="A184" t="s">
        <v>8</v>
      </c>
      <c r="B184">
        <v>2020</v>
      </c>
      <c r="C184" t="s">
        <v>59</v>
      </c>
      <c r="D184">
        <v>0.33</v>
      </c>
    </row>
    <row r="185" spans="1:4" x14ac:dyDescent="0.45">
      <c r="A185" t="s">
        <v>6</v>
      </c>
      <c r="B185">
        <v>2020</v>
      </c>
      <c r="C185" t="s">
        <v>59</v>
      </c>
      <c r="D185">
        <v>18.11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</v>
      </c>
    </row>
    <row r="190" spans="1:4" x14ac:dyDescent="0.45">
      <c r="A190" t="s">
        <v>90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1.75</v>
      </c>
    </row>
    <row r="193" spans="1:4" x14ac:dyDescent="0.45">
      <c r="A193" t="s">
        <v>8</v>
      </c>
      <c r="B193">
        <v>2021</v>
      </c>
      <c r="C193" t="s">
        <v>59</v>
      </c>
      <c r="D193">
        <v>0.31</v>
      </c>
    </row>
    <row r="194" spans="1:4" x14ac:dyDescent="0.45">
      <c r="A194" t="s">
        <v>6</v>
      </c>
      <c r="B194">
        <v>2021</v>
      </c>
      <c r="C194" t="s">
        <v>59</v>
      </c>
      <c r="D194">
        <v>18.66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</v>
      </c>
    </row>
    <row r="199" spans="1:4" x14ac:dyDescent="0.45">
      <c r="A199" t="s">
        <v>90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1.89</v>
      </c>
    </row>
    <row r="202" spans="1:4" x14ac:dyDescent="0.45">
      <c r="A202" t="s">
        <v>8</v>
      </c>
      <c r="B202">
        <v>2022</v>
      </c>
      <c r="C202" t="s">
        <v>59</v>
      </c>
      <c r="D202">
        <v>0.33</v>
      </c>
    </row>
    <row r="203" spans="1:4" x14ac:dyDescent="0.45">
      <c r="A203" t="s">
        <v>6</v>
      </c>
      <c r="B203">
        <v>2022</v>
      </c>
      <c r="C203" t="s">
        <v>59</v>
      </c>
      <c r="D203">
        <v>18.66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</v>
      </c>
    </row>
    <row r="208" spans="1:4" x14ac:dyDescent="0.45">
      <c r="A208" t="s">
        <v>90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  <c r="D210">
        <v>0</v>
      </c>
    </row>
    <row r="211" spans="1:4" x14ac:dyDescent="0.45">
      <c r="A211" t="s">
        <v>8</v>
      </c>
      <c r="B211">
        <v>2000</v>
      </c>
      <c r="C211" t="s">
        <v>60</v>
      </c>
      <c r="D211">
        <v>0.21</v>
      </c>
    </row>
    <row r="212" spans="1:4" x14ac:dyDescent="0.45">
      <c r="A212" t="s">
        <v>6</v>
      </c>
      <c r="B212">
        <v>2000</v>
      </c>
      <c r="C212" t="s">
        <v>60</v>
      </c>
      <c r="D212">
        <v>4.0599999999999996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90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  <c r="D219">
        <v>0</v>
      </c>
    </row>
    <row r="220" spans="1:4" x14ac:dyDescent="0.45">
      <c r="A220" t="s">
        <v>8</v>
      </c>
      <c r="B220">
        <v>2001</v>
      </c>
      <c r="C220" t="s">
        <v>60</v>
      </c>
      <c r="D220">
        <v>0.21</v>
      </c>
    </row>
    <row r="221" spans="1:4" x14ac:dyDescent="0.45">
      <c r="A221" t="s">
        <v>6</v>
      </c>
      <c r="B221">
        <v>2001</v>
      </c>
      <c r="C221" t="s">
        <v>60</v>
      </c>
      <c r="D221">
        <v>4.0599999999999996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90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  <c r="D228">
        <v>0</v>
      </c>
    </row>
    <row r="229" spans="1:4" x14ac:dyDescent="0.45">
      <c r="A229" t="s">
        <v>8</v>
      </c>
      <c r="B229">
        <v>2002</v>
      </c>
      <c r="C229" t="s">
        <v>60</v>
      </c>
      <c r="D229">
        <v>0.21</v>
      </c>
    </row>
    <row r="230" spans="1:4" x14ac:dyDescent="0.45">
      <c r="A230" t="s">
        <v>6</v>
      </c>
      <c r="B230">
        <v>2002</v>
      </c>
      <c r="C230" t="s">
        <v>60</v>
      </c>
      <c r="D230">
        <v>4.0599999999999996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90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  <c r="D237">
        <v>0</v>
      </c>
    </row>
    <row r="238" spans="1:4" x14ac:dyDescent="0.45">
      <c r="A238" t="s">
        <v>8</v>
      </c>
      <c r="B238">
        <v>2003</v>
      </c>
      <c r="C238" t="s">
        <v>60</v>
      </c>
      <c r="D238">
        <v>0.21</v>
      </c>
    </row>
    <row r="239" spans="1:4" x14ac:dyDescent="0.45">
      <c r="A239" t="s">
        <v>6</v>
      </c>
      <c r="B239">
        <v>2003</v>
      </c>
      <c r="C239" t="s">
        <v>60</v>
      </c>
      <c r="D239">
        <v>4.0599999999999996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90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  <c r="D246">
        <v>0</v>
      </c>
    </row>
    <row r="247" spans="1:4" x14ac:dyDescent="0.45">
      <c r="A247" t="s">
        <v>8</v>
      </c>
      <c r="B247">
        <v>2004</v>
      </c>
      <c r="C247" t="s">
        <v>60</v>
      </c>
      <c r="D247">
        <v>0.21</v>
      </c>
    </row>
    <row r="248" spans="1:4" x14ac:dyDescent="0.45">
      <c r="A248" t="s">
        <v>6</v>
      </c>
      <c r="B248">
        <v>2004</v>
      </c>
      <c r="C248" t="s">
        <v>60</v>
      </c>
      <c r="D248">
        <v>4.0599999999999996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90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  <c r="D255">
        <v>0</v>
      </c>
    </row>
    <row r="256" spans="1:4" x14ac:dyDescent="0.45">
      <c r="A256" t="s">
        <v>8</v>
      </c>
      <c r="B256">
        <v>2005</v>
      </c>
      <c r="C256" t="s">
        <v>60</v>
      </c>
      <c r="D256">
        <v>0.21</v>
      </c>
    </row>
    <row r="257" spans="1:4" x14ac:dyDescent="0.45">
      <c r="A257" t="s">
        <v>6</v>
      </c>
      <c r="B257">
        <v>2005</v>
      </c>
      <c r="C257" t="s">
        <v>60</v>
      </c>
      <c r="D257">
        <v>4.12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90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  <c r="D264">
        <v>0</v>
      </c>
    </row>
    <row r="265" spans="1:4" x14ac:dyDescent="0.45">
      <c r="A265" t="s">
        <v>8</v>
      </c>
      <c r="B265">
        <v>2006</v>
      </c>
      <c r="C265" t="s">
        <v>60</v>
      </c>
      <c r="D265">
        <v>0.21</v>
      </c>
    </row>
    <row r="266" spans="1:4" x14ac:dyDescent="0.45">
      <c r="A266" t="s">
        <v>6</v>
      </c>
      <c r="B266">
        <v>2006</v>
      </c>
      <c r="C266" t="s">
        <v>60</v>
      </c>
      <c r="D266">
        <v>4.12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90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  <c r="D273">
        <v>0</v>
      </c>
    </row>
    <row r="274" spans="1:4" x14ac:dyDescent="0.45">
      <c r="A274" t="s">
        <v>8</v>
      </c>
      <c r="B274">
        <v>2007</v>
      </c>
      <c r="C274" t="s">
        <v>60</v>
      </c>
      <c r="D274">
        <v>0.21</v>
      </c>
    </row>
    <row r="275" spans="1:4" x14ac:dyDescent="0.45">
      <c r="A275" t="s">
        <v>6</v>
      </c>
      <c r="B275">
        <v>2007</v>
      </c>
      <c r="C275" t="s">
        <v>60</v>
      </c>
      <c r="D275">
        <v>4.12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90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  <c r="D282">
        <v>0</v>
      </c>
    </row>
    <row r="283" spans="1:4" x14ac:dyDescent="0.45">
      <c r="A283" t="s">
        <v>8</v>
      </c>
      <c r="B283">
        <v>2008</v>
      </c>
      <c r="C283" t="s">
        <v>60</v>
      </c>
      <c r="D283">
        <v>0.21</v>
      </c>
    </row>
    <row r="284" spans="1:4" x14ac:dyDescent="0.45">
      <c r="A284" t="s">
        <v>6</v>
      </c>
      <c r="B284">
        <v>2008</v>
      </c>
      <c r="C284" t="s">
        <v>60</v>
      </c>
      <c r="D284">
        <v>4.12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90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  <c r="D291">
        <v>0</v>
      </c>
    </row>
    <row r="292" spans="1:4" x14ac:dyDescent="0.45">
      <c r="A292" t="s">
        <v>8</v>
      </c>
      <c r="B292">
        <v>2009</v>
      </c>
      <c r="C292" t="s">
        <v>60</v>
      </c>
      <c r="D292">
        <v>0.21</v>
      </c>
    </row>
    <row r="293" spans="1:4" x14ac:dyDescent="0.45">
      <c r="A293" t="s">
        <v>6</v>
      </c>
      <c r="B293">
        <v>2009</v>
      </c>
      <c r="C293" t="s">
        <v>60</v>
      </c>
      <c r="D293">
        <v>4.8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90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  <c r="D300">
        <v>0</v>
      </c>
    </row>
    <row r="301" spans="1:4" x14ac:dyDescent="0.45">
      <c r="A301" t="s">
        <v>8</v>
      </c>
      <c r="B301">
        <v>2010</v>
      </c>
      <c r="C301" t="s">
        <v>60</v>
      </c>
      <c r="D301">
        <v>0.21</v>
      </c>
    </row>
    <row r="302" spans="1:4" x14ac:dyDescent="0.45">
      <c r="A302" t="s">
        <v>6</v>
      </c>
      <c r="B302">
        <v>2010</v>
      </c>
      <c r="C302" t="s">
        <v>60</v>
      </c>
      <c r="D302">
        <v>4.8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90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  <c r="D309">
        <v>0</v>
      </c>
    </row>
    <row r="310" spans="1:4" x14ac:dyDescent="0.45">
      <c r="A310" t="s">
        <v>8</v>
      </c>
      <c r="B310">
        <v>2011</v>
      </c>
      <c r="C310" t="s">
        <v>60</v>
      </c>
      <c r="D310">
        <v>0.21</v>
      </c>
    </row>
    <row r="311" spans="1:4" x14ac:dyDescent="0.45">
      <c r="A311" t="s">
        <v>6</v>
      </c>
      <c r="B311">
        <v>2011</v>
      </c>
      <c r="C311" t="s">
        <v>60</v>
      </c>
      <c r="D311">
        <v>4.8099999999999996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90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  <c r="D318">
        <v>0</v>
      </c>
    </row>
    <row r="319" spans="1:4" x14ac:dyDescent="0.45">
      <c r="A319" t="s">
        <v>8</v>
      </c>
      <c r="B319">
        <v>2012</v>
      </c>
      <c r="C319" t="s">
        <v>60</v>
      </c>
      <c r="D319">
        <v>0.21</v>
      </c>
    </row>
    <row r="320" spans="1:4" x14ac:dyDescent="0.45">
      <c r="A320" t="s">
        <v>6</v>
      </c>
      <c r="B320">
        <v>2012</v>
      </c>
      <c r="C320" t="s">
        <v>60</v>
      </c>
      <c r="D320">
        <v>4.87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90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  <c r="D327">
        <v>0</v>
      </c>
    </row>
    <row r="328" spans="1:4" x14ac:dyDescent="0.45">
      <c r="A328" t="s">
        <v>8</v>
      </c>
      <c r="B328">
        <v>2013</v>
      </c>
      <c r="C328" t="s">
        <v>60</v>
      </c>
      <c r="D328">
        <v>0.21</v>
      </c>
    </row>
    <row r="329" spans="1:4" x14ac:dyDescent="0.45">
      <c r="A329" t="s">
        <v>6</v>
      </c>
      <c r="B329">
        <v>2013</v>
      </c>
      <c r="C329" t="s">
        <v>60</v>
      </c>
      <c r="D329">
        <v>4.87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90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  <c r="D336">
        <v>0.1</v>
      </c>
    </row>
    <row r="337" spans="1:4" x14ac:dyDescent="0.45">
      <c r="A337" t="s">
        <v>8</v>
      </c>
      <c r="B337">
        <v>2014</v>
      </c>
      <c r="C337" t="s">
        <v>60</v>
      </c>
      <c r="D337">
        <v>0.21</v>
      </c>
    </row>
    <row r="338" spans="1:4" x14ac:dyDescent="0.45">
      <c r="A338" t="s">
        <v>6</v>
      </c>
      <c r="B338">
        <v>2014</v>
      </c>
      <c r="C338" t="s">
        <v>60</v>
      </c>
      <c r="D338">
        <v>4.9800000000000004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90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  <c r="D345">
        <v>0.1</v>
      </c>
    </row>
    <row r="346" spans="1:4" x14ac:dyDescent="0.45">
      <c r="A346" t="s">
        <v>8</v>
      </c>
      <c r="B346">
        <v>2015</v>
      </c>
      <c r="C346" t="s">
        <v>60</v>
      </c>
      <c r="D346">
        <v>0.21</v>
      </c>
    </row>
    <row r="347" spans="1:4" x14ac:dyDescent="0.45">
      <c r="A347" t="s">
        <v>6</v>
      </c>
      <c r="B347">
        <v>2015</v>
      </c>
      <c r="C347" t="s">
        <v>60</v>
      </c>
      <c r="D347">
        <v>4.9800000000000004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90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  <c r="D354">
        <v>0.4</v>
      </c>
    </row>
    <row r="355" spans="1:4" x14ac:dyDescent="0.45">
      <c r="A355" t="s">
        <v>8</v>
      </c>
      <c r="B355">
        <v>2016</v>
      </c>
      <c r="C355" t="s">
        <v>60</v>
      </c>
      <c r="D355">
        <v>0.21</v>
      </c>
    </row>
    <row r="356" spans="1:4" x14ac:dyDescent="0.45">
      <c r="A356" t="s">
        <v>6</v>
      </c>
      <c r="B356">
        <v>2016</v>
      </c>
      <c r="C356" t="s">
        <v>60</v>
      </c>
      <c r="D356">
        <v>4.9800000000000004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90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  <c r="D363">
        <v>0.4</v>
      </c>
    </row>
    <row r="364" spans="1:4" x14ac:dyDescent="0.45">
      <c r="A364" t="s">
        <v>8</v>
      </c>
      <c r="B364">
        <v>2017</v>
      </c>
      <c r="C364" t="s">
        <v>60</v>
      </c>
      <c r="D364">
        <v>0.21</v>
      </c>
    </row>
    <row r="365" spans="1:4" x14ac:dyDescent="0.45">
      <c r="A365" t="s">
        <v>6</v>
      </c>
      <c r="B365">
        <v>2017</v>
      </c>
      <c r="C365" t="s">
        <v>60</v>
      </c>
      <c r="D365">
        <v>4.9800000000000004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</v>
      </c>
    </row>
    <row r="370" spans="1:4" x14ac:dyDescent="0.45">
      <c r="A370" t="s">
        <v>90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  <c r="D372">
        <v>0.4</v>
      </c>
    </row>
    <row r="373" spans="1:4" x14ac:dyDescent="0.45">
      <c r="A373" t="s">
        <v>8</v>
      </c>
      <c r="B373">
        <v>2018</v>
      </c>
      <c r="C373" t="s">
        <v>60</v>
      </c>
      <c r="D373">
        <v>0.21</v>
      </c>
    </row>
    <row r="374" spans="1:4" x14ac:dyDescent="0.45">
      <c r="A374" t="s">
        <v>6</v>
      </c>
      <c r="B374">
        <v>2018</v>
      </c>
      <c r="C374" t="s">
        <v>60</v>
      </c>
      <c r="D374">
        <v>4.9800000000000004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</v>
      </c>
    </row>
    <row r="379" spans="1:4" x14ac:dyDescent="0.45">
      <c r="A379" t="s">
        <v>90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  <c r="D381">
        <v>0.4</v>
      </c>
    </row>
    <row r="382" spans="1:4" x14ac:dyDescent="0.45">
      <c r="A382" t="s">
        <v>8</v>
      </c>
      <c r="B382">
        <v>2019</v>
      </c>
      <c r="C382" t="s">
        <v>60</v>
      </c>
      <c r="D382">
        <v>0.21</v>
      </c>
    </row>
    <row r="383" spans="1:4" x14ac:dyDescent="0.45">
      <c r="A383" t="s">
        <v>6</v>
      </c>
      <c r="B383">
        <v>2019</v>
      </c>
      <c r="C383" t="s">
        <v>60</v>
      </c>
      <c r="D383">
        <v>5.74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</v>
      </c>
    </row>
    <row r="388" spans="1:4" x14ac:dyDescent="0.45">
      <c r="A388" t="s">
        <v>90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  <c r="D390">
        <v>0.4</v>
      </c>
    </row>
    <row r="391" spans="1:4" x14ac:dyDescent="0.45">
      <c r="A391" t="s">
        <v>8</v>
      </c>
      <c r="B391">
        <v>2020</v>
      </c>
      <c r="C391" t="s">
        <v>60</v>
      </c>
      <c r="D391">
        <v>0.21</v>
      </c>
    </row>
    <row r="392" spans="1:4" x14ac:dyDescent="0.45">
      <c r="A392" t="s">
        <v>6</v>
      </c>
      <c r="B392">
        <v>2020</v>
      </c>
      <c r="C392" t="s">
        <v>60</v>
      </c>
      <c r="D392">
        <v>5.74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</v>
      </c>
    </row>
    <row r="397" spans="1:4" x14ac:dyDescent="0.45">
      <c r="A397" t="s">
        <v>90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  <c r="D399">
        <v>0.4</v>
      </c>
    </row>
    <row r="400" spans="1:4" x14ac:dyDescent="0.45">
      <c r="A400" t="s">
        <v>8</v>
      </c>
      <c r="B400">
        <v>2021</v>
      </c>
      <c r="C400" t="s">
        <v>60</v>
      </c>
      <c r="D400">
        <v>0.21</v>
      </c>
    </row>
    <row r="401" spans="1:4" x14ac:dyDescent="0.45">
      <c r="A401" t="s">
        <v>6</v>
      </c>
      <c r="B401">
        <v>2021</v>
      </c>
      <c r="C401" t="s">
        <v>60</v>
      </c>
      <c r="D401">
        <v>5.74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</v>
      </c>
    </row>
    <row r="406" spans="1:4" x14ac:dyDescent="0.45">
      <c r="A406" t="s">
        <v>90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  <c r="D408">
        <v>0.4</v>
      </c>
    </row>
    <row r="409" spans="1:4" x14ac:dyDescent="0.45">
      <c r="A409" t="s">
        <v>8</v>
      </c>
      <c r="B409">
        <v>2022</v>
      </c>
      <c r="C409" t="s">
        <v>60</v>
      </c>
      <c r="D409">
        <v>0.21</v>
      </c>
    </row>
    <row r="410" spans="1:4" x14ac:dyDescent="0.45">
      <c r="A410" t="s">
        <v>6</v>
      </c>
      <c r="B410">
        <v>2022</v>
      </c>
      <c r="C410" t="s">
        <v>60</v>
      </c>
      <c r="D410">
        <v>5.76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</v>
      </c>
    </row>
    <row r="415" spans="1:4" x14ac:dyDescent="0.45">
      <c r="A415" t="s">
        <v>90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0.13</v>
      </c>
    </row>
    <row r="419" spans="1:4" x14ac:dyDescent="0.45">
      <c r="A419" t="s">
        <v>6</v>
      </c>
      <c r="B419">
        <v>2000</v>
      </c>
      <c r="C419" t="s">
        <v>61</v>
      </c>
      <c r="D419">
        <v>0.33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90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0.1</v>
      </c>
    </row>
    <row r="428" spans="1:4" x14ac:dyDescent="0.45">
      <c r="A428" t="s">
        <v>6</v>
      </c>
      <c r="B428">
        <v>2001</v>
      </c>
      <c r="C428" t="s">
        <v>61</v>
      </c>
      <c r="D428">
        <v>0.34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90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0.08</v>
      </c>
    </row>
    <row r="437" spans="1:4" x14ac:dyDescent="0.45">
      <c r="A437" t="s">
        <v>6</v>
      </c>
      <c r="B437">
        <v>2002</v>
      </c>
      <c r="C437" t="s">
        <v>61</v>
      </c>
      <c r="D437">
        <v>0.36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90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0.1</v>
      </c>
    </row>
    <row r="446" spans="1:4" x14ac:dyDescent="0.45">
      <c r="A446" t="s">
        <v>6</v>
      </c>
      <c r="B446">
        <v>2003</v>
      </c>
      <c r="C446" t="s">
        <v>61</v>
      </c>
      <c r="D446">
        <v>0.39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90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0.09</v>
      </c>
    </row>
    <row r="455" spans="1:4" x14ac:dyDescent="0.45">
      <c r="A455" t="s">
        <v>6</v>
      </c>
      <c r="B455">
        <v>2004</v>
      </c>
      <c r="C455" t="s">
        <v>61</v>
      </c>
      <c r="D455">
        <v>0.39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90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7.0000000000000007E-2</v>
      </c>
    </row>
    <row r="464" spans="1:4" x14ac:dyDescent="0.45">
      <c r="A464" t="s">
        <v>6</v>
      </c>
      <c r="B464">
        <v>2005</v>
      </c>
      <c r="C464" t="s">
        <v>61</v>
      </c>
      <c r="D464">
        <v>0.4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90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0.13</v>
      </c>
    </row>
    <row r="473" spans="1:4" x14ac:dyDescent="0.45">
      <c r="A473" t="s">
        <v>6</v>
      </c>
      <c r="B473">
        <v>2006</v>
      </c>
      <c r="C473" t="s">
        <v>61</v>
      </c>
      <c r="D473">
        <v>0.4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90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0.22</v>
      </c>
    </row>
    <row r="482" spans="1:4" x14ac:dyDescent="0.45">
      <c r="A482" t="s">
        <v>6</v>
      </c>
      <c r="B482">
        <v>2007</v>
      </c>
      <c r="C482" t="s">
        <v>61</v>
      </c>
      <c r="D482">
        <v>0.41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90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0.2</v>
      </c>
    </row>
    <row r="491" spans="1:4" x14ac:dyDescent="0.45">
      <c r="A491" t="s">
        <v>6</v>
      </c>
      <c r="B491">
        <v>2008</v>
      </c>
      <c r="C491" t="s">
        <v>61</v>
      </c>
      <c r="D491">
        <v>0.38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90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0.13</v>
      </c>
    </row>
    <row r="500" spans="1:4" x14ac:dyDescent="0.45">
      <c r="A500" t="s">
        <v>6</v>
      </c>
      <c r="B500">
        <v>2009</v>
      </c>
      <c r="C500" t="s">
        <v>61</v>
      </c>
      <c r="D500">
        <v>0.38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90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0.02</v>
      </c>
    </row>
    <row r="509" spans="1:4" x14ac:dyDescent="0.45">
      <c r="A509" t="s">
        <v>6</v>
      </c>
      <c r="B509">
        <v>2010</v>
      </c>
      <c r="C509" t="s">
        <v>61</v>
      </c>
      <c r="D509">
        <v>0.39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90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0.02</v>
      </c>
    </row>
    <row r="518" spans="1:4" x14ac:dyDescent="0.45">
      <c r="A518" t="s">
        <v>6</v>
      </c>
      <c r="B518">
        <v>2011</v>
      </c>
      <c r="C518" t="s">
        <v>61</v>
      </c>
      <c r="D518">
        <v>0.38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90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0.04</v>
      </c>
    </row>
    <row r="527" spans="1:4" x14ac:dyDescent="0.45">
      <c r="A527" t="s">
        <v>6</v>
      </c>
      <c r="B527">
        <v>2012</v>
      </c>
      <c r="C527" t="s">
        <v>61</v>
      </c>
      <c r="D527">
        <v>0.4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90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0.04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0.41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90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0.15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0.38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90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0.15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0.4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90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0.57999999999999996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0.4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90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0.94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0.41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90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1.29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0.44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90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1.42</v>
      </c>
    </row>
    <row r="589" spans="1:4" x14ac:dyDescent="0.45">
      <c r="A589" t="s">
        <v>8</v>
      </c>
      <c r="B589">
        <v>2019</v>
      </c>
      <c r="C589" t="s">
        <v>61</v>
      </c>
      <c r="D589">
        <v>0.18</v>
      </c>
    </row>
    <row r="590" spans="1:4" x14ac:dyDescent="0.45">
      <c r="A590" t="s">
        <v>6</v>
      </c>
      <c r="B590">
        <v>2019</v>
      </c>
      <c r="C590" t="s">
        <v>61</v>
      </c>
      <c r="D590">
        <v>0.46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90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1.59</v>
      </c>
    </row>
    <row r="598" spans="1:4" x14ac:dyDescent="0.45">
      <c r="A598" t="s">
        <v>8</v>
      </c>
      <c r="B598">
        <v>2020</v>
      </c>
      <c r="C598" t="s">
        <v>61</v>
      </c>
      <c r="D598">
        <v>0.19</v>
      </c>
    </row>
    <row r="599" spans="1:4" x14ac:dyDescent="0.45">
      <c r="A599" t="s">
        <v>6</v>
      </c>
      <c r="B599">
        <v>2020</v>
      </c>
      <c r="C599" t="s">
        <v>61</v>
      </c>
      <c r="D599">
        <v>0.43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90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1.67</v>
      </c>
    </row>
    <row r="607" spans="1:4" x14ac:dyDescent="0.45">
      <c r="A607" t="s">
        <v>8</v>
      </c>
      <c r="B607">
        <v>2021</v>
      </c>
      <c r="C607" t="s">
        <v>61</v>
      </c>
      <c r="D607">
        <v>0.18</v>
      </c>
    </row>
    <row r="608" spans="1:4" x14ac:dyDescent="0.45">
      <c r="A608" t="s">
        <v>6</v>
      </c>
      <c r="B608">
        <v>2021</v>
      </c>
      <c r="C608" t="s">
        <v>61</v>
      </c>
      <c r="D608">
        <v>0.44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90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1.81</v>
      </c>
    </row>
    <row r="616" spans="1:4" x14ac:dyDescent="0.45">
      <c r="A616" t="s">
        <v>8</v>
      </c>
      <c r="B616">
        <v>2022</v>
      </c>
      <c r="C616" t="s">
        <v>61</v>
      </c>
      <c r="D616">
        <v>0.19</v>
      </c>
    </row>
    <row r="617" spans="1:4" x14ac:dyDescent="0.45">
      <c r="A617" t="s">
        <v>6</v>
      </c>
      <c r="B617">
        <v>2022</v>
      </c>
      <c r="C617" t="s">
        <v>61</v>
      </c>
      <c r="D617">
        <v>0.44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90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3.9</v>
      </c>
    </row>
    <row r="624" spans="1:4" x14ac:dyDescent="0.45">
      <c r="A624" t="s">
        <v>63</v>
      </c>
      <c r="B624">
        <v>2000</v>
      </c>
      <c r="C624" t="s">
        <v>59</v>
      </c>
      <c r="D624">
        <v>5.2</v>
      </c>
    </row>
    <row r="625" spans="1:4" x14ac:dyDescent="0.45">
      <c r="A625" t="s">
        <v>62</v>
      </c>
      <c r="B625">
        <v>2001</v>
      </c>
      <c r="C625" t="s">
        <v>59</v>
      </c>
      <c r="D625">
        <v>4</v>
      </c>
    </row>
    <row r="626" spans="1:4" x14ac:dyDescent="0.45">
      <c r="A626" t="s">
        <v>63</v>
      </c>
      <c r="B626">
        <v>2001</v>
      </c>
      <c r="C626" t="s">
        <v>59</v>
      </c>
      <c r="D626">
        <v>5.4</v>
      </c>
    </row>
    <row r="627" spans="1:4" x14ac:dyDescent="0.45">
      <c r="A627" t="s">
        <v>62</v>
      </c>
      <c r="B627">
        <v>2002</v>
      </c>
      <c r="C627" t="s">
        <v>59</v>
      </c>
      <c r="D627">
        <v>3.9</v>
      </c>
    </row>
    <row r="628" spans="1:4" x14ac:dyDescent="0.45">
      <c r="A628" t="s">
        <v>63</v>
      </c>
      <c r="B628">
        <v>2002</v>
      </c>
      <c r="C628" t="s">
        <v>59</v>
      </c>
      <c r="D628">
        <v>4.7</v>
      </c>
    </row>
    <row r="629" spans="1:4" x14ac:dyDescent="0.45">
      <c r="A629" t="s">
        <v>62</v>
      </c>
      <c r="B629">
        <v>2003</v>
      </c>
      <c r="C629" t="s">
        <v>59</v>
      </c>
      <c r="D629">
        <v>4.5999999999999996</v>
      </c>
    </row>
    <row r="630" spans="1:4" x14ac:dyDescent="0.45">
      <c r="A630" t="s">
        <v>63</v>
      </c>
      <c r="B630">
        <v>2003</v>
      </c>
      <c r="C630" t="s">
        <v>59</v>
      </c>
      <c r="D630">
        <v>4.5999999999999996</v>
      </c>
    </row>
    <row r="631" spans="1:4" x14ac:dyDescent="0.45">
      <c r="A631" t="s">
        <v>62</v>
      </c>
      <c r="B631">
        <v>2004</v>
      </c>
      <c r="C631" t="s">
        <v>59</v>
      </c>
      <c r="D631">
        <v>4.5</v>
      </c>
    </row>
    <row r="632" spans="1:4" x14ac:dyDescent="0.45">
      <c r="A632" t="s">
        <v>63</v>
      </c>
      <c r="B632">
        <v>2004</v>
      </c>
      <c r="C632" t="s">
        <v>59</v>
      </c>
      <c r="D632">
        <v>4.8</v>
      </c>
    </row>
    <row r="633" spans="1:4" x14ac:dyDescent="0.45">
      <c r="A633" t="s">
        <v>62</v>
      </c>
      <c r="B633">
        <v>2005</v>
      </c>
      <c r="C633" t="s">
        <v>59</v>
      </c>
      <c r="D633">
        <v>4.3</v>
      </c>
    </row>
    <row r="634" spans="1:4" x14ac:dyDescent="0.45">
      <c r="A634" t="s">
        <v>63</v>
      </c>
      <c r="B634">
        <v>2005</v>
      </c>
      <c r="C634" t="s">
        <v>59</v>
      </c>
      <c r="D634">
        <v>4.5</v>
      </c>
    </row>
    <row r="635" spans="1:4" x14ac:dyDescent="0.45">
      <c r="A635" t="s">
        <v>62</v>
      </c>
      <c r="B635">
        <v>2006</v>
      </c>
      <c r="C635" t="s">
        <v>59</v>
      </c>
      <c r="D635">
        <v>4.2</v>
      </c>
    </row>
    <row r="636" spans="1:4" x14ac:dyDescent="0.45">
      <c r="A636" t="s">
        <v>63</v>
      </c>
      <c r="B636">
        <v>2006</v>
      </c>
      <c r="C636" t="s">
        <v>59</v>
      </c>
      <c r="D636">
        <v>4.8</v>
      </c>
    </row>
    <row r="637" spans="1:4" x14ac:dyDescent="0.45">
      <c r="A637" t="s">
        <v>62</v>
      </c>
      <c r="B637">
        <v>2007</v>
      </c>
      <c r="C637" t="s">
        <v>59</v>
      </c>
      <c r="D637">
        <v>4.3</v>
      </c>
    </row>
    <row r="638" spans="1:4" x14ac:dyDescent="0.45">
      <c r="A638" t="s">
        <v>63</v>
      </c>
      <c r="B638">
        <v>2007</v>
      </c>
      <c r="C638" t="s">
        <v>59</v>
      </c>
      <c r="D638">
        <v>4.4000000000000004</v>
      </c>
    </row>
    <row r="639" spans="1:4" x14ac:dyDescent="0.45">
      <c r="A639" t="s">
        <v>62</v>
      </c>
      <c r="B639">
        <v>2008</v>
      </c>
      <c r="C639" t="s">
        <v>59</v>
      </c>
      <c r="D639">
        <v>4.4000000000000004</v>
      </c>
    </row>
    <row r="640" spans="1:4" x14ac:dyDescent="0.45">
      <c r="A640" t="s">
        <v>63</v>
      </c>
      <c r="B640">
        <v>2008</v>
      </c>
      <c r="C640" t="s">
        <v>59</v>
      </c>
      <c r="D640">
        <v>5.3</v>
      </c>
    </row>
    <row r="641" spans="1:4" x14ac:dyDescent="0.45">
      <c r="A641" t="s">
        <v>62</v>
      </c>
      <c r="B641">
        <v>2009</v>
      </c>
      <c r="C641" t="s">
        <v>59</v>
      </c>
      <c r="D641">
        <v>4.2</v>
      </c>
    </row>
    <row r="642" spans="1:4" x14ac:dyDescent="0.45">
      <c r="A642" t="s">
        <v>63</v>
      </c>
      <c r="B642">
        <v>2009</v>
      </c>
      <c r="C642" t="s">
        <v>59</v>
      </c>
      <c r="D642">
        <v>4.3</v>
      </c>
    </row>
    <row r="643" spans="1:4" x14ac:dyDescent="0.45">
      <c r="A643" t="s">
        <v>62</v>
      </c>
      <c r="B643">
        <v>2010</v>
      </c>
      <c r="C643" t="s">
        <v>59</v>
      </c>
      <c r="D643">
        <v>0.3</v>
      </c>
    </row>
    <row r="644" spans="1:4" x14ac:dyDescent="0.45">
      <c r="A644" t="s">
        <v>63</v>
      </c>
      <c r="B644">
        <v>2010</v>
      </c>
      <c r="C644" t="s">
        <v>59</v>
      </c>
      <c r="D644">
        <v>0.4</v>
      </c>
    </row>
    <row r="645" spans="1:4" x14ac:dyDescent="0.45">
      <c r="A645" t="s">
        <v>62</v>
      </c>
      <c r="B645">
        <v>2011</v>
      </c>
      <c r="C645" t="s">
        <v>59</v>
      </c>
      <c r="D645">
        <v>0.2</v>
      </c>
    </row>
    <row r="646" spans="1:4" x14ac:dyDescent="0.45">
      <c r="A646" t="s">
        <v>63</v>
      </c>
      <c r="B646">
        <v>2011</v>
      </c>
      <c r="C646" t="s">
        <v>59</v>
      </c>
      <c r="D646">
        <v>0.2</v>
      </c>
    </row>
    <row r="647" spans="1:4" x14ac:dyDescent="0.45">
      <c r="A647" t="s">
        <v>62</v>
      </c>
      <c r="B647">
        <v>2012</v>
      </c>
      <c r="C647" t="s">
        <v>59</v>
      </c>
      <c r="D647">
        <v>0.8</v>
      </c>
    </row>
    <row r="648" spans="1:4" x14ac:dyDescent="0.45">
      <c r="A648" t="s">
        <v>63</v>
      </c>
      <c r="B648">
        <v>2012</v>
      </c>
      <c r="C648" t="s">
        <v>59</v>
      </c>
      <c r="D648">
        <v>0.1</v>
      </c>
    </row>
    <row r="649" spans="1:4" x14ac:dyDescent="0.45">
      <c r="A649" t="s">
        <v>62</v>
      </c>
      <c r="B649">
        <v>2013</v>
      </c>
      <c r="C649" t="s">
        <v>59</v>
      </c>
      <c r="D649">
        <v>1.1000000000000001</v>
      </c>
    </row>
    <row r="650" spans="1:4" x14ac:dyDescent="0.45">
      <c r="A650" t="s">
        <v>63</v>
      </c>
      <c r="B650">
        <v>2013</v>
      </c>
      <c r="C650" t="s">
        <v>59</v>
      </c>
      <c r="D650">
        <v>0.1</v>
      </c>
    </row>
    <row r="651" spans="1:4" x14ac:dyDescent="0.45">
      <c r="A651" t="s">
        <v>62</v>
      </c>
      <c r="B651">
        <v>2014</v>
      </c>
      <c r="C651" t="s">
        <v>59</v>
      </c>
      <c r="D651">
        <v>1.4</v>
      </c>
    </row>
    <row r="652" spans="1:4" x14ac:dyDescent="0.45">
      <c r="A652" t="s">
        <v>63</v>
      </c>
      <c r="B652">
        <v>2014</v>
      </c>
      <c r="C652" t="s">
        <v>59</v>
      </c>
      <c r="D652">
        <v>0</v>
      </c>
    </row>
    <row r="653" spans="1:4" x14ac:dyDescent="0.45">
      <c r="A653" t="s">
        <v>62</v>
      </c>
      <c r="B653">
        <v>2015</v>
      </c>
      <c r="C653" t="s">
        <v>59</v>
      </c>
      <c r="D653">
        <v>1.4</v>
      </c>
    </row>
    <row r="654" spans="1:4" x14ac:dyDescent="0.45">
      <c r="A654" t="s">
        <v>63</v>
      </c>
      <c r="B654">
        <v>2015</v>
      </c>
      <c r="C654" t="s">
        <v>59</v>
      </c>
      <c r="D654">
        <v>0.1</v>
      </c>
    </row>
    <row r="655" spans="1:4" x14ac:dyDescent="0.45">
      <c r="A655" t="s">
        <v>62</v>
      </c>
      <c r="B655">
        <v>2016</v>
      </c>
      <c r="C655" t="s">
        <v>59</v>
      </c>
      <c r="D655">
        <v>1.4</v>
      </c>
    </row>
    <row r="656" spans="1:4" x14ac:dyDescent="0.45">
      <c r="A656" t="s">
        <v>63</v>
      </c>
      <c r="B656">
        <v>2016</v>
      </c>
      <c r="C656" t="s">
        <v>59</v>
      </c>
      <c r="D656">
        <v>0.1</v>
      </c>
    </row>
    <row r="657" spans="1:4" x14ac:dyDescent="0.45">
      <c r="A657" t="s">
        <v>62</v>
      </c>
      <c r="B657">
        <v>2017</v>
      </c>
      <c r="C657" t="s">
        <v>59</v>
      </c>
      <c r="D657">
        <v>1.4</v>
      </c>
    </row>
    <row r="658" spans="1:4" x14ac:dyDescent="0.45">
      <c r="A658" t="s">
        <v>63</v>
      </c>
      <c r="B658">
        <v>2017</v>
      </c>
      <c r="C658" t="s">
        <v>59</v>
      </c>
      <c r="D658">
        <v>0.1</v>
      </c>
    </row>
    <row r="659" spans="1:4" x14ac:dyDescent="0.45">
      <c r="A659" t="s">
        <v>62</v>
      </c>
      <c r="B659">
        <v>2018</v>
      </c>
      <c r="C659" t="s">
        <v>59</v>
      </c>
      <c r="D659">
        <v>2.9</v>
      </c>
    </row>
    <row r="660" spans="1:4" x14ac:dyDescent="0.45">
      <c r="A660" t="s">
        <v>63</v>
      </c>
      <c r="B660">
        <v>2018</v>
      </c>
      <c r="C660" t="s">
        <v>59</v>
      </c>
      <c r="D660">
        <v>0.6</v>
      </c>
    </row>
    <row r="661" spans="1:4" x14ac:dyDescent="0.45">
      <c r="A661" t="s">
        <v>62</v>
      </c>
      <c r="B661">
        <v>2019</v>
      </c>
      <c r="C661" t="s">
        <v>59</v>
      </c>
      <c r="D661">
        <v>3.2</v>
      </c>
    </row>
    <row r="662" spans="1:4" x14ac:dyDescent="0.45">
      <c r="A662" t="s">
        <v>63</v>
      </c>
      <c r="B662">
        <v>2019</v>
      </c>
      <c r="C662" t="s">
        <v>59</v>
      </c>
      <c r="D662">
        <v>0.3</v>
      </c>
    </row>
    <row r="663" spans="1:4" x14ac:dyDescent="0.45">
      <c r="A663" t="s">
        <v>62</v>
      </c>
      <c r="B663">
        <v>2020</v>
      </c>
      <c r="C663" t="s">
        <v>59</v>
      </c>
      <c r="D663">
        <v>1.9</v>
      </c>
    </row>
    <row r="664" spans="1:4" x14ac:dyDescent="0.45">
      <c r="A664" t="s">
        <v>63</v>
      </c>
      <c r="B664">
        <v>2020</v>
      </c>
      <c r="C664" t="s">
        <v>59</v>
      </c>
      <c r="D664">
        <v>0.4</v>
      </c>
    </row>
    <row r="665" spans="1:4" x14ac:dyDescent="0.45">
      <c r="A665" t="s">
        <v>62</v>
      </c>
      <c r="B665">
        <v>2021</v>
      </c>
      <c r="C665" t="s">
        <v>59</v>
      </c>
      <c r="D665">
        <v>3.3</v>
      </c>
    </row>
    <row r="666" spans="1:4" x14ac:dyDescent="0.45">
      <c r="A666" t="s">
        <v>63</v>
      </c>
      <c r="B666">
        <v>2021</v>
      </c>
      <c r="C666" t="s">
        <v>59</v>
      </c>
      <c r="D666">
        <v>0.9</v>
      </c>
    </row>
    <row r="667" spans="1:4" x14ac:dyDescent="0.45">
      <c r="A667" t="s">
        <v>62</v>
      </c>
      <c r="B667">
        <v>2022</v>
      </c>
      <c r="C667" t="s">
        <v>59</v>
      </c>
      <c r="D667">
        <v>3.3</v>
      </c>
    </row>
    <row r="668" spans="1:4" x14ac:dyDescent="0.45">
      <c r="A668" t="s">
        <v>63</v>
      </c>
      <c r="B668">
        <v>2022</v>
      </c>
      <c r="C668" t="s">
        <v>59</v>
      </c>
      <c r="D668">
        <v>0.8</v>
      </c>
    </row>
    <row r="669" spans="1:4" x14ac:dyDescent="0.45">
      <c r="A669" t="s">
        <v>62</v>
      </c>
      <c r="B669">
        <v>2023</v>
      </c>
      <c r="C669" t="s">
        <v>59</v>
      </c>
      <c r="D669">
        <v>3.5</v>
      </c>
    </row>
    <row r="670" spans="1:4" x14ac:dyDescent="0.45">
      <c r="A670" t="s">
        <v>63</v>
      </c>
      <c r="B670">
        <v>2023</v>
      </c>
      <c r="C670" t="s">
        <v>59</v>
      </c>
      <c r="D670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2025-09-25T09:50:13Z</dcterms:modified>
</cp:coreProperties>
</file>