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713B9D84-7015-4B6E-8EB2-3DD560954D4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<sst xmlns="http://schemas.openxmlformats.org/spreadsheetml/2006/main" count="6116" uniqueCount="263">
  <si>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</si>
  <si>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</si>
  <si>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</si>
  <si>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</si>
  <si>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</si>
  <si>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</si>
  <si>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</si>
  <si>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</si>
  <si>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</si>
  <si>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</si>
  <si>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</si>
  <si>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</si>
  <si>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</si>
  <si>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</si>
  <si>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</si>
  <si>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</si>
  <si>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</si>
  <si>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</si>
  <si>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</si>
  <si>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</si>
  <si>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</si>
  <si>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</si>
  <si>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</si>
  <si>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</si>
  <si>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</si>
  <si>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</si>
  <si>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</si>
  <si>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</si>
  <si>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</si>
  <si>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</si>
  <si>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</si>
  <si>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</si>
  <si>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</si>
  <si>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</si>
  <si>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</si>
  <si>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</si>
  <si>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</si>
  <si>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</si>
  <si>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</si>
  <si>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</si>
  <si>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</si>
  <si>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</si>
  <si>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</si>
  <si>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</si>
  <si>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</si>
  <si>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</si>
  <si>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</si>
  <si>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</si>
  <si>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</si>
  <si>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</si>
  <si>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</si>
  <si>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</si>
  <si>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</si>
  <si>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</si>
  <si>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</si>
  <si>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</si>
  <si>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</si>
  <si>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</si>
  <si>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</si>
  <si>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</si>
  <si>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</si>
  <si>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</si>
  <si>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</si>
  <si>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</si>
  <si>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</si>
  <si>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</si>
  <si>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</si>
  <si>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</si>
  <si>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</si>
  <si>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</si>
  <si>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</si>
  <si>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</si>
  <si>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</si>
  <si>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</si>
  <si>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</si>
  <si>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</si>
  <si>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</si>
  <si>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</si>
  <si>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</si>
  <si>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</si>
  <si>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</si>
  <si>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</si>
  <si>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</si>
  <si>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</si>
  <si>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</si>
  <si>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</si>
  <si>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</si>
  <si>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</si>
  <si>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</si>
  <si>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</si>
  <si>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</si>
  <si>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</si>
  <si>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</si>
  <si>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</si>
  <si>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</si>
  <si>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</si>
  <si>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</si>
  <si>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</si>
  <si>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</si>
  <si>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</si>
  <si>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</si>
  <si>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</si>
  <si>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</si>
  <si>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</si>
  <si>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</si>
  <si>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</si>
  <si>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</si>
  <si>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</si>
  <si>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</si>
  <si>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</si>
  <si>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</si>
  <si>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</si>
  <si>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</si>
  <si>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</si>
  <si>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</si>
  <si>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</si>
  <si>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</si>
  <si>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</si>
  <si>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</si>
  <si>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</si>
  <si>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</si>
  <si>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</si>
  <si>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</si>
  <si>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</si>
  <si>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</si>
  <si>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</si>
  <si>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</si>
  <si>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</si>
  <si>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</si>
  <si>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</si>
  <si>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</si>
  <si>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</si>
  <si>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</si>
  <si>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</si>
  <si>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</si>
  <si>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</si>
  <si>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</si>
  <si>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</si>
  <si>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</si>
  <si>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</si>
  <si>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</si>
  <si>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</si>
  <si>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TJK</t>
  </si>
  <si>
    <t>R10REF_ECON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</si>
  <si>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</si>
  <si>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</si>
  <si>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</si>
  <si>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</si>
  <si>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</si>
  <si>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</si>
  <si>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</si>
  <si>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</si>
  <si>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</si>
  <si>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</si>
  <si>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</si>
  <si>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</si>
  <si>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</si>
  <si>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</si>
  <si>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</si>
  <si>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S01,S02,S03,S04,S05,S06,S07</t>
  </si>
  <si>
    <t>H04</t>
  </si>
  <si>
    <t>S05</t>
  </si>
  <si>
    <t>H05</t>
  </si>
  <si>
    <t>S06</t>
  </si>
  <si>
    <t>H06</t>
  </si>
  <si>
    <t>S07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</si>
  <si>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</si>
  <si>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</si>
  <si>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</si>
  <si>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</si>
  <si>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</si>
  <si>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</si>
  <si>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</si>
  <si>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</si>
  <si>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</si>
  <si>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</si>
  <si>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</si>
  <si>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</si>
  <si>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</si>
  <si>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</si>
  <si>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</si>
  <si>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</si>
  <si>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</si>
  <si>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</si>
  <si>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</si>
  <si>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</si>
  <si>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</si>
  <si>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</si>
  <si>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</si>
  <si>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</si>
  <si>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</si>
  <si>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</si>
  <si>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</si>
  <si>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</si>
  <si>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</si>
  <si>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</si>
  <si>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</si>
  <si>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</si>
  <si>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</si>
  <si>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</si>
  <si>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</si>
  <si>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</si>
  <si>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</si>
  <si>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</si>
  <si>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</si>
  <si>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</si>
  <si>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</si>
  <si>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</si>
  <si>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</si>
  <si>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</si>
  <si>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</si>
  <si>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</si>
  <si>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</si>
  <si>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</si>
  <si>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</si>
  <si>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</si>
  <si>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</si>
  <si>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</si>
  <si>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</si>
  <si>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</si>
  <si>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</si>
  <si>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</si>
  <si>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</si>
  <si>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</si>
  <si>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</si>
  <si>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elc_wof_001</t>
  </si>
  <si>
    <t>elc_wof_002</t>
  </si>
  <si>
    <t>elc_wof_003</t>
  </si>
  <si>
    <t>elc_wof_004</t>
  </si>
  <si>
    <t>elc_wof_005</t>
  </si>
  <si>
    <t>g_yrfr</t>
  </si>
  <si>
    <t>day_night</t>
  </si>
  <si>
    <t>D</t>
  </si>
  <si>
    <t>S04aH03,S07aH04,S02aH04,S02aH05,S03aH05,S05aH05,S06aH04,S03aH03,S04aH04,S01aH04,S01aH03,S05aH03,S04aH05,S01aH05,S06aH05,S02aH03,S07aH03,S05aH04,S06aH03,S03aH04,S07aH05</t>
  </si>
  <si>
    <t>N</t>
  </si>
  <si>
    <t>S02aH01,S05aH02,S05aH06,S02aH06,S03aH01,S02aH02,S06aH06,S03aH06,S03aH02,S01aH02,S01aH01,S04aH01,S04aH06,S06aH02,S06aH01,S01aH06,S07aH01,S05aH01,S07aH02,S07aH06,S04aH02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</si>
  <si>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</si>
  <si>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</si>
  <si>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</si>
  <si>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</si>
  <si>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</si>
  <si>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</si>
  <si>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</si>
  <si>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</si>
  <si>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</si>
  <si>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</si>
  <si>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</si>
  <si>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</si>
  <si>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</si>
  <si>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</si>
  <si>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</si>
  <si>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</si>
  <si>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</si>
  <si>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</si>
  <si>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</si>
  <si>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</si>
  <si>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</si>
  <si>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</si>
  <si>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</si>
  <si>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</si>
  <si>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</si>
  <si>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FaD,RaP,FaP,SaP,WaP,SaD,WaD,RaD</t>
  </si>
  <si>
    <t>SaN,WaN,WaP,RaP,FaN,RaN,FaP,SaP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</si>
</sst>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18.95</c:v>
                </c:pt>
                <c:pt idx="1">
                  <c:v>20.6555</c:v>
                </c:pt>
                <c:pt idx="2">
                  <c:v>22.74</c:v>
                </c:pt>
                <c:pt idx="3">
                  <c:v>24.8245</c:v>
                </c:pt>
                <c:pt idx="4">
                  <c:v>27.098499999999998</c:v>
                </c:pt>
                <c:pt idx="5">
                  <c:v>31.456999999999997</c:v>
                </c:pt>
                <c:pt idx="6">
                  <c:v>36.004999999999995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52.23</c:v>
                </c:pt>
                <c:pt idx="3">
                  <c:v>100.47</c:v>
                </c:pt>
                <c:pt idx="4">
                  <c:v>127.51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144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18.95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18.95</v>
      </c>
      <c r="U14" s="8">
        <f t="shared" ref="U14:Z14" si="3">$S$12*J15</f>
        <v>20.6555</v>
      </c>
      <c r="V14" s="8">
        <f t="shared" si="3"/>
        <v>22.74</v>
      </c>
      <c r="W14" s="8">
        <f t="shared" si="3"/>
        <v>24.8245</v>
      </c>
      <c r="X14" s="8">
        <f t="shared" si="3"/>
        <v>27.098499999999998</v>
      </c>
      <c r="Y14" s="8">
        <f t="shared" si="3"/>
        <v>31.456999999999997</v>
      </c>
      <c r="Z14" s="8">
        <f t="shared" si="3"/>
        <v>36.004999999999995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1.0900000000000001</v>
      </c>
      <c r="K15" s="11">
        <f>SUMIFS(ar6_r10!$F$2:$F$999,ar6_r10!$A$2:$A$999,Veda!$E$5,ar6_r10!$C$2:$C$999,Veda!K$17,ar6_r10!$M$2:$M$999,Veda!$G15)</f>
        <v>1.2</v>
      </c>
      <c r="L15" s="11">
        <f>SUMIFS(ar6_r10!$F$2:$F$999,ar6_r10!$A$2:$A$999,Veda!$E$5,ar6_r10!$C$2:$C$999,Veda!L$17,ar6_r10!$M$2:$M$999,Veda!$G15)</f>
        <v>1.31</v>
      </c>
      <c r="M15" s="11">
        <f>SUMIFS(ar6_r10!$F$2:$F$999,ar6_r10!$A$2:$A$999,Veda!$E$5,ar6_r10!$C$2:$C$999,Veda!M$17,ar6_r10!$M$2:$M$999,Veda!$G15)</f>
        <v>1.43</v>
      </c>
      <c r="N15" s="11">
        <f>SUMIFS(ar6_r10!$F$2:$F$999,ar6_r10!$A$2:$A$999,Veda!$E$5,ar6_r10!$C$2:$C$999,Veda!N$17,ar6_r10!$M$2:$M$999,Veda!$G15)</f>
        <v>1.66</v>
      </c>
      <c r="O15" s="11">
        <f>SUMIFS(ar6_r10!$F$2:$F$999,ar6_r10!$A$2:$A$999,Veda!$E$5,ar6_r10!$C$2:$C$999,Veda!O$17,ar6_r10!$M$2:$M$999,Veda!$G15)</f>
        <v>1.9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0.24824500000000002</v>
      </c>
      <c r="X18" s="6">
        <f t="shared" si="7"/>
        <v>0.54196999999999995</v>
      </c>
      <c r="Y18" s="6">
        <f t="shared" si="7"/>
        <v>1.2582799999999998</v>
      </c>
      <c r="Z18" s="6">
        <f t="shared" si="7"/>
        <v>1.8002499999999999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0.45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</v>
      </c>
      <c r="O19" s="11">
        <f>SUMIFS(ar6_r10!$F$2:$F$999,ar6_r10!$A$2:$A$999,Veda!$E$5,ar6_r10!$C$2:$C$999,Veda!O$17,ar6_r10!$M$2:$M$999,Veda!$G19)</f>
        <v>0.42</v>
      </c>
      <c r="S19" s="10" t="s">
        <v>19</v>
      </c>
      <c r="T19" s="6">
        <f t="shared" si="7"/>
        <v>8.7170000000000005</v>
      </c>
      <c r="U19" s="6">
        <f t="shared" si="7"/>
        <v>9.2949750000000009</v>
      </c>
      <c r="V19" s="6">
        <f t="shared" si="7"/>
        <v>10.232999999999999</v>
      </c>
      <c r="W19" s="6">
        <f t="shared" si="7"/>
        <v>10.674535000000001</v>
      </c>
      <c r="X19" s="6">
        <f t="shared" si="7"/>
        <v>11.110384999999999</v>
      </c>
      <c r="Y19" s="6">
        <f t="shared" si="7"/>
        <v>12.582799999999999</v>
      </c>
      <c r="Z19" s="6">
        <f t="shared" si="7"/>
        <v>15.122099999999998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0.46</v>
      </c>
      <c r="L20" s="11">
        <f>SUMIFS(ar6_r10!$F$2:$F$999,ar6_r10!$A$2:$A$999,Veda!$E$5,ar6_r10!$C$2:$C$999,Veda!L$17,ar6_r10!$M$2:$M$999,Veda!$G20)</f>
        <v>0.47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0.46</v>
      </c>
      <c r="S20" s="10" t="s">
        <v>22</v>
      </c>
      <c r="T20" s="6">
        <f t="shared" si="7"/>
        <v>8.7170000000000005</v>
      </c>
      <c r="U20" s="6">
        <f t="shared" si="7"/>
        <v>9.7080849999999987</v>
      </c>
      <c r="V20" s="6">
        <f t="shared" si="7"/>
        <v>10.4604</v>
      </c>
      <c r="W20" s="6">
        <f t="shared" si="7"/>
        <v>11.667515</v>
      </c>
      <c r="X20" s="6">
        <f t="shared" si="7"/>
        <v>12.736294999999998</v>
      </c>
      <c r="Y20" s="6">
        <f t="shared" si="7"/>
        <v>14.784789999999997</v>
      </c>
      <c r="Z20" s="6">
        <f t="shared" si="7"/>
        <v>16.562299999999997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0.08</v>
      </c>
      <c r="J21" s="11">
        <f>SUMIFS(ar6_r10!$F$2:$F$999,ar6_r10!$A$2:$A$999,Veda!$E$5,ar6_r10!$C$2:$C$999,Veda!J$17,ar6_r10!$M$2:$M$999,Veda!$G21)</f>
        <v>0.09</v>
      </c>
      <c r="K21" s="11">
        <f>SUMIFS(ar6_r10!$F$2:$F$999,ar6_r10!$A$2:$A$999,Veda!$E$5,ar6_r10!$C$2:$C$999,Veda!K$17,ar6_r10!$M$2:$M$999,Veda!$G21)</f>
        <v>0.09</v>
      </c>
      <c r="L21" s="11">
        <f>SUMIFS(ar6_r10!$F$2:$F$999,ar6_r10!$A$2:$A$999,Veda!$E$5,ar6_r10!$C$2:$C$999,Veda!L$17,ar6_r10!$M$2:$M$999,Veda!$G21)</f>
        <v>0.1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0.11</v>
      </c>
      <c r="S21" s="10" t="s">
        <v>24</v>
      </c>
      <c r="T21" s="6">
        <f>I21*T$14</f>
        <v>1.516</v>
      </c>
      <c r="U21" s="6">
        <f t="shared" ref="U21:Z21" si="8">T21</f>
        <v>1.516</v>
      </c>
      <c r="V21" s="6">
        <f t="shared" si="8"/>
        <v>1.516</v>
      </c>
      <c r="W21" s="6">
        <f t="shared" si="8"/>
        <v>1.516</v>
      </c>
      <c r="X21" s="6">
        <f t="shared" si="8"/>
        <v>1.516</v>
      </c>
      <c r="Y21" s="6">
        <f t="shared" si="8"/>
        <v>1.516</v>
      </c>
      <c r="Z21" s="6">
        <f t="shared" si="8"/>
        <v>1.516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0.13644000000000389</v>
      </c>
      <c r="V22" s="6">
        <f t="shared" si="9"/>
        <v>0.53060000000000329</v>
      </c>
      <c r="W22" s="6">
        <f t="shared" si="9"/>
        <v>0.96645000000000181</v>
      </c>
      <c r="X22" s="6">
        <f t="shared" si="9"/>
        <v>1.7358200000000004</v>
      </c>
      <c r="Y22" s="6">
        <f t="shared" si="9"/>
        <v>2.5734099999999991</v>
      </c>
      <c r="Z22" s="6">
        <f t="shared" si="9"/>
        <v>2.8046000000000006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52.23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127.51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5.2229999999999999E-2</v>
      </c>
      <c r="W24" s="11">
        <f>L24/1000</f>
        <v>0.10047</v>
      </c>
      <c r="X24" s="11">
        <f>M24/1000</f>
        <v>0.12751000000000001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-3.34</v>
      </c>
      <c r="S29" t="s">
        <v>35</v>
      </c>
      <c r="T29" s="3">
        <f>-1*Q29</f>
        <v>3.34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1.02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1.0900000000000001</v>
      </c>
      <c r="M37" s="11">
        <f>SUMIFS(ar6_r10!$F$2:$F$999,ar6_r10!$A$2:$A$999,Veda!$G$36,ar6_r10!$C$2:$C$999,Veda!M$17,ar6_r10!$M$2:$M$999,Veda!$G37)</f>
        <v>1.26</v>
      </c>
      <c r="N37" s="11">
        <f>SUMIFS(ar6_r10!$F$2:$F$999,ar6_r10!$A$2:$A$999,Veda!$G$36,ar6_r10!$C$2:$C$999,Veda!N$17,ar6_r10!$M$2:$M$999,Veda!$G37)</f>
        <v>1.19</v>
      </c>
      <c r="O37" s="11">
        <f>SUMIFS(ar6_r10!$F$2:$F$999,ar6_r10!$A$2:$A$999,Veda!$G$36,ar6_r10!$C$2:$C$999,Veda!O$17,ar6_r10!$M$2:$M$999,Veda!$G37)</f>
        <v>1.35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1.06</v>
      </c>
      <c r="K38" s="11">
        <f>SUMIFS(ar6_r10!$F$2:$F$999,ar6_r10!$A$2:$A$999,Veda!$G$36,ar6_r10!$C$2:$C$999,Veda!K$17,ar6_r10!$M$2:$M$999,Veda!$G38)</f>
        <v>1.1000000000000001</v>
      </c>
      <c r="L38" s="11">
        <f>SUMIFS(ar6_r10!$F$2:$F$999,ar6_r10!$A$2:$A$999,Veda!$G$36,ar6_r10!$C$2:$C$999,Veda!L$17,ar6_r10!$M$2:$M$999,Veda!$G38)</f>
        <v>1.1599999999999999</v>
      </c>
      <c r="M38" s="11">
        <f>SUMIFS(ar6_r10!$F$2:$F$999,ar6_r10!$A$2:$A$999,Veda!$G$36,ar6_r10!$C$2:$C$999,Veda!M$17,ar6_r10!$M$2:$M$999,Veda!$G38)</f>
        <v>1.31</v>
      </c>
      <c r="N38" s="11">
        <f>SUMIFS(ar6_r10!$F$2:$F$999,ar6_r10!$A$2:$A$999,Veda!$G$36,ar6_r10!$C$2:$C$999,Veda!N$17,ar6_r10!$M$2:$M$999,Veda!$G38)</f>
        <v>1.3</v>
      </c>
      <c r="O38" s="11">
        <f>SUMIFS(ar6_r10!$F$2:$F$999,ar6_r10!$A$2:$A$999,Veda!$G$36,ar6_r10!$C$2:$C$999,Veda!O$17,ar6_r10!$M$2:$M$999,Veda!$G38)</f>
        <v>1.3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1.3</v>
      </c>
      <c r="K39" s="11">
        <f>SUMIFS(ar6_r10!$F$2:$F$999,ar6_r10!$A$2:$A$999,Veda!$G$36,ar6_r10!$C$2:$C$999,Veda!K$17,ar6_r10!$M$2:$M$999,Veda!$G39)</f>
        <v>1.56</v>
      </c>
      <c r="L39" s="11">
        <f>SUMIFS(ar6_r10!$F$2:$F$999,ar6_r10!$A$2:$A$999,Veda!$G$36,ar6_r10!$C$2:$C$999,Veda!L$17,ar6_r10!$M$2:$M$999,Veda!$G39)</f>
        <v>1.77</v>
      </c>
      <c r="M39" s="11">
        <f>SUMIFS(ar6_r10!$F$2:$F$999,ar6_r10!$A$2:$A$999,Veda!$G$36,ar6_r10!$C$2:$C$999,Veda!M$17,ar6_r10!$M$2:$M$999,Veda!$G39)</f>
        <v>1.91</v>
      </c>
      <c r="N39" s="11">
        <f>SUMIFS(ar6_r10!$F$2:$F$999,ar6_r10!$A$2:$A$999,Veda!$G$36,ar6_r10!$C$2:$C$999,Veda!N$17,ar6_r10!$M$2:$M$999,Veda!$G39)</f>
        <v>2.14</v>
      </c>
      <c r="O39" s="11">
        <f>SUMIFS(ar6_r10!$F$2:$F$999,ar6_r10!$A$2:$A$999,Veda!$G$36,ar6_r10!$C$2:$C$999,Veda!O$17,ar6_r10!$M$2:$M$999,Veda!$G39)</f>
        <v>2.29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0.99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1.0900000000000001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0</v>
      </c>
      <c r="J45">
        <f t="shared" si="12"/>
        <v>0</v>
      </c>
      <c r="K45">
        <f t="shared" si="12"/>
        <v>0</v>
      </c>
      <c r="L45">
        <f t="shared" si="12"/>
        <v>0</v>
      </c>
      <c r="M45">
        <f t="shared" si="12"/>
        <v>0</v>
      </c>
      <c r="N45">
        <f t="shared" si="12"/>
        <v>0</v>
      </c>
      <c r="O45">
        <f t="shared" si="12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0</v>
      </c>
      <c r="J46">
        <f t="shared" si="12"/>
        <v>0</v>
      </c>
      <c r="K46">
        <f t="shared" si="12"/>
        <v>0</v>
      </c>
      <c r="L46">
        <f t="shared" si="12"/>
        <v>0</v>
      </c>
      <c r="M46">
        <f t="shared" si="12"/>
        <v>0</v>
      </c>
      <c r="N46">
        <f t="shared" si="12"/>
        <v>0</v>
      </c>
      <c r="O46">
        <f t="shared" si="12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0</v>
      </c>
      <c r="J47">
        <f t="shared" si="12"/>
        <v>0</v>
      </c>
      <c r="K47">
        <f t="shared" si="12"/>
        <v>0</v>
      </c>
      <c r="L47">
        <f t="shared" si="12"/>
        <v>0</v>
      </c>
      <c r="M47">
        <f t="shared" si="12"/>
        <v>0</v>
      </c>
      <c r="N47">
        <f t="shared" si="12"/>
        <v>0</v>
      </c>
      <c r="O47">
        <f t="shared" si="12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0</v>
      </c>
      <c r="J48">
        <f t="shared" si="12"/>
        <v>0</v>
      </c>
      <c r="K48">
        <f t="shared" si="12"/>
        <v>0</v>
      </c>
      <c r="L48">
        <f t="shared" si="12"/>
        <v>0</v>
      </c>
      <c r="M48">
        <f t="shared" si="12"/>
        <v>0</v>
      </c>
      <c r="N48">
        <f t="shared" si="12"/>
        <v>0</v>
      </c>
      <c r="O48">
        <f t="shared" si="12"/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7.63</v>
      </c>
      <c r="D11">
        <v>7.85</v>
      </c>
      <c r="E11">
        <v>0.03</v>
      </c>
      <c r="F11">
        <v>0</v>
      </c>
      <c r="G11">
        <v>5.24</v>
      </c>
      <c r="H11">
        <v>-3.91</v>
      </c>
      <c r="I11">
        <v>14.25</v>
      </c>
    </row>
    <row r="12" spans="1:9" x14ac:dyDescent="0.45">
      <c r="A12" t="s">
        <v>142</v>
      </c>
      <c r="B12">
        <v>2001</v>
      </c>
      <c r="C12">
        <v>7.94</v>
      </c>
      <c r="D12">
        <v>7.7</v>
      </c>
      <c r="E12">
        <v>0.02</v>
      </c>
      <c r="F12">
        <v>0</v>
      </c>
      <c r="G12">
        <v>5.4</v>
      </c>
      <c r="H12">
        <v>-4.05</v>
      </c>
      <c r="I12">
        <v>14.38</v>
      </c>
    </row>
    <row r="13" spans="1:9" x14ac:dyDescent="0.45">
      <c r="A13" t="s">
        <v>142</v>
      </c>
      <c r="B13">
        <v>2002</v>
      </c>
      <c r="C13">
        <v>8.19</v>
      </c>
      <c r="D13">
        <v>7.82</v>
      </c>
      <c r="E13">
        <v>0.02</v>
      </c>
      <c r="F13">
        <v>0</v>
      </c>
      <c r="G13">
        <v>4.66</v>
      </c>
      <c r="H13">
        <v>-3.87</v>
      </c>
      <c r="I13">
        <v>15.3</v>
      </c>
    </row>
    <row r="14" spans="1:9" x14ac:dyDescent="0.45">
      <c r="A14" t="s">
        <v>142</v>
      </c>
      <c r="B14">
        <v>2003</v>
      </c>
      <c r="C14">
        <v>8.91</v>
      </c>
      <c r="D14">
        <v>7.53</v>
      </c>
      <c r="E14">
        <v>0.02</v>
      </c>
      <c r="F14">
        <v>0</v>
      </c>
      <c r="G14">
        <v>4.6100000000000003</v>
      </c>
      <c r="H14">
        <v>-4.5999999999999996</v>
      </c>
      <c r="I14">
        <v>16.510000000000002</v>
      </c>
    </row>
    <row r="15" spans="1:9" x14ac:dyDescent="0.45">
      <c r="A15" t="s">
        <v>142</v>
      </c>
      <c r="B15">
        <v>2004</v>
      </c>
      <c r="C15">
        <v>8.9600000000000009</v>
      </c>
      <c r="D15">
        <v>7.68</v>
      </c>
      <c r="E15">
        <v>0.02</v>
      </c>
      <c r="F15">
        <v>0</v>
      </c>
      <c r="G15">
        <v>4.8099999999999996</v>
      </c>
      <c r="H15">
        <v>-4.45</v>
      </c>
      <c r="I15">
        <v>16.489999999999998</v>
      </c>
    </row>
    <row r="16" spans="1:9" x14ac:dyDescent="0.45">
      <c r="A16" t="s">
        <v>142</v>
      </c>
      <c r="B16">
        <v>2005</v>
      </c>
      <c r="C16">
        <v>9.44</v>
      </c>
      <c r="D16">
        <v>7.9</v>
      </c>
      <c r="E16">
        <v>0.02</v>
      </c>
      <c r="F16">
        <v>0</v>
      </c>
      <c r="G16">
        <v>4.51</v>
      </c>
      <c r="H16">
        <v>-4.26</v>
      </c>
      <c r="I16">
        <v>17.09</v>
      </c>
    </row>
    <row r="17" spans="1:9" x14ac:dyDescent="0.45">
      <c r="A17" t="s">
        <v>142</v>
      </c>
      <c r="B17">
        <v>2006</v>
      </c>
      <c r="C17">
        <v>9.52</v>
      </c>
      <c r="D17">
        <v>7.99</v>
      </c>
      <c r="E17">
        <v>0.02</v>
      </c>
      <c r="F17">
        <v>0</v>
      </c>
      <c r="G17">
        <v>4.84</v>
      </c>
      <c r="H17">
        <v>-4.2300000000000004</v>
      </c>
      <c r="I17">
        <v>16.93</v>
      </c>
    </row>
    <row r="18" spans="1:9" x14ac:dyDescent="0.45">
      <c r="A18" t="s">
        <v>142</v>
      </c>
      <c r="B18">
        <v>2007</v>
      </c>
      <c r="C18">
        <v>9.75</v>
      </c>
      <c r="D18">
        <v>8.02</v>
      </c>
      <c r="E18">
        <v>0.02</v>
      </c>
      <c r="F18">
        <v>0</v>
      </c>
      <c r="G18">
        <v>4.3600000000000003</v>
      </c>
      <c r="H18">
        <v>-4.26</v>
      </c>
      <c r="I18">
        <v>17.489999999999998</v>
      </c>
    </row>
    <row r="19" spans="1:9" x14ac:dyDescent="0.45">
      <c r="A19" t="s">
        <v>142</v>
      </c>
      <c r="B19">
        <v>2008</v>
      </c>
      <c r="C19">
        <v>9.56</v>
      </c>
      <c r="D19">
        <v>7.76</v>
      </c>
      <c r="E19">
        <v>0.02</v>
      </c>
      <c r="F19">
        <v>0</v>
      </c>
      <c r="G19">
        <v>5.3</v>
      </c>
      <c r="H19">
        <v>-4.42</v>
      </c>
      <c r="I19">
        <v>16.149999999999999</v>
      </c>
    </row>
    <row r="20" spans="1:9" x14ac:dyDescent="0.45">
      <c r="A20" t="s">
        <v>142</v>
      </c>
      <c r="B20">
        <v>2009</v>
      </c>
      <c r="C20">
        <v>8.34</v>
      </c>
      <c r="D20">
        <v>7.37</v>
      </c>
      <c r="E20">
        <v>0.02</v>
      </c>
      <c r="F20">
        <v>0</v>
      </c>
      <c r="G20">
        <v>4.3</v>
      </c>
      <c r="H20">
        <v>-4.25</v>
      </c>
      <c r="I20">
        <v>16.12</v>
      </c>
    </row>
    <row r="21" spans="1:9" x14ac:dyDescent="0.45">
      <c r="A21" t="s">
        <v>142</v>
      </c>
      <c r="B21">
        <v>2010</v>
      </c>
      <c r="C21">
        <v>9.8699999999999992</v>
      </c>
      <c r="D21">
        <v>6.63</v>
      </c>
      <c r="E21">
        <v>0.03</v>
      </c>
      <c r="F21">
        <v>0</v>
      </c>
      <c r="G21">
        <v>0.43</v>
      </c>
      <c r="H21">
        <v>-0.28999999999999998</v>
      </c>
      <c r="I21">
        <v>16.43</v>
      </c>
    </row>
    <row r="22" spans="1:9" x14ac:dyDescent="0.45">
      <c r="A22" t="s">
        <v>142</v>
      </c>
      <c r="B22">
        <v>2011</v>
      </c>
      <c r="C22">
        <v>8.82</v>
      </c>
      <c r="D22">
        <v>7.08</v>
      </c>
      <c r="E22">
        <v>0.16</v>
      </c>
      <c r="F22">
        <v>0</v>
      </c>
      <c r="G22">
        <v>0.17</v>
      </c>
      <c r="H22">
        <v>-0.2</v>
      </c>
      <c r="I22">
        <v>16.239999999999998</v>
      </c>
    </row>
    <row r="23" spans="1:9" x14ac:dyDescent="0.45">
      <c r="A23" t="s">
        <v>142</v>
      </c>
      <c r="B23">
        <v>2012</v>
      </c>
      <c r="C23">
        <v>8.89</v>
      </c>
      <c r="D23">
        <v>7.33</v>
      </c>
      <c r="E23">
        <v>0.04</v>
      </c>
      <c r="F23">
        <v>0</v>
      </c>
      <c r="G23">
        <v>0.11</v>
      </c>
      <c r="H23">
        <v>-0.78</v>
      </c>
      <c r="I23">
        <v>16.97</v>
      </c>
    </row>
    <row r="24" spans="1:9" x14ac:dyDescent="0.45">
      <c r="A24" t="s">
        <v>142</v>
      </c>
      <c r="B24">
        <v>2013</v>
      </c>
      <c r="C24">
        <v>8.1300000000000008</v>
      </c>
      <c r="D24">
        <v>7.95</v>
      </c>
      <c r="E24">
        <v>0.04</v>
      </c>
      <c r="F24">
        <v>0</v>
      </c>
      <c r="G24">
        <v>0.12</v>
      </c>
      <c r="H24">
        <v>-1.06</v>
      </c>
      <c r="I24">
        <v>17.11</v>
      </c>
    </row>
    <row r="25" spans="1:9" x14ac:dyDescent="0.45">
      <c r="A25" t="s">
        <v>142</v>
      </c>
      <c r="B25">
        <v>2014</v>
      </c>
      <c r="C25">
        <v>6.9</v>
      </c>
      <c r="D25">
        <v>8.17</v>
      </c>
      <c r="E25">
        <v>0.04</v>
      </c>
      <c r="F25">
        <v>0</v>
      </c>
      <c r="G25">
        <v>0.03</v>
      </c>
      <c r="H25">
        <v>-1.33</v>
      </c>
      <c r="I25">
        <v>16.16</v>
      </c>
    </row>
    <row r="26" spans="1:9" x14ac:dyDescent="0.45">
      <c r="A26" t="s">
        <v>142</v>
      </c>
      <c r="B26">
        <v>2015</v>
      </c>
      <c r="C26">
        <v>6.71</v>
      </c>
      <c r="D26">
        <v>9.91</v>
      </c>
      <c r="E26">
        <v>0.04</v>
      </c>
      <c r="F26">
        <v>0</v>
      </c>
      <c r="G26">
        <v>0.06</v>
      </c>
      <c r="H26">
        <v>-1.4</v>
      </c>
      <c r="I26">
        <v>17.16</v>
      </c>
    </row>
    <row r="27" spans="1:9" x14ac:dyDescent="0.45">
      <c r="A27" t="s">
        <v>142</v>
      </c>
      <c r="B27">
        <v>2016</v>
      </c>
      <c r="C27">
        <v>7.04</v>
      </c>
      <c r="D27">
        <v>8.91</v>
      </c>
      <c r="E27">
        <v>0.03</v>
      </c>
      <c r="F27">
        <v>0</v>
      </c>
      <c r="G27">
        <v>0.1</v>
      </c>
      <c r="H27">
        <v>-1.43</v>
      </c>
      <c r="I27">
        <v>17.23</v>
      </c>
    </row>
    <row r="28" spans="1:9" x14ac:dyDescent="0.45">
      <c r="A28" t="s">
        <v>142</v>
      </c>
      <c r="B28">
        <v>2017</v>
      </c>
      <c r="C28">
        <v>7.53</v>
      </c>
      <c r="D28">
        <v>9.32</v>
      </c>
      <c r="E28">
        <v>0.02</v>
      </c>
      <c r="F28">
        <v>0</v>
      </c>
      <c r="G28">
        <v>0.11</v>
      </c>
      <c r="H28">
        <v>-1.42</v>
      </c>
      <c r="I28">
        <v>18.11</v>
      </c>
    </row>
    <row r="29" spans="1:9" x14ac:dyDescent="0.45">
      <c r="A29" t="s">
        <v>142</v>
      </c>
      <c r="B29">
        <v>2018</v>
      </c>
      <c r="C29">
        <v>6.88</v>
      </c>
      <c r="D29">
        <v>10.44</v>
      </c>
      <c r="E29">
        <v>0.01</v>
      </c>
      <c r="F29">
        <v>0</v>
      </c>
      <c r="G29">
        <v>0.56000000000000005</v>
      </c>
      <c r="H29">
        <v>-2.94</v>
      </c>
      <c r="I29">
        <v>19.739999999999998</v>
      </c>
    </row>
    <row r="30" spans="1:9" x14ac:dyDescent="0.45">
      <c r="A30" t="s">
        <v>142</v>
      </c>
      <c r="B30">
        <v>2019</v>
      </c>
      <c r="C30">
        <v>6.96</v>
      </c>
      <c r="D30">
        <v>11.1</v>
      </c>
      <c r="E30">
        <v>0.01</v>
      </c>
      <c r="F30">
        <v>0</v>
      </c>
      <c r="G30">
        <v>0.28000000000000003</v>
      </c>
      <c r="H30">
        <v>-3.18</v>
      </c>
      <c r="I30">
        <v>20.96</v>
      </c>
    </row>
    <row r="31" spans="1:9" x14ac:dyDescent="0.45">
      <c r="A31" t="s">
        <v>142</v>
      </c>
      <c r="B31">
        <v>2020</v>
      </c>
      <c r="C31">
        <v>5.95</v>
      </c>
      <c r="D31">
        <v>12.61</v>
      </c>
      <c r="E31">
        <v>0.01</v>
      </c>
      <c r="F31">
        <v>0</v>
      </c>
      <c r="G31">
        <v>0.38</v>
      </c>
      <c r="H31">
        <v>-1.87</v>
      </c>
      <c r="I31">
        <v>20.100000000000001</v>
      </c>
    </row>
    <row r="32" spans="1:9" x14ac:dyDescent="0.45">
      <c r="A32" t="s">
        <v>142</v>
      </c>
      <c r="B32">
        <v>2021</v>
      </c>
      <c r="C32">
        <v>8.65</v>
      </c>
      <c r="D32">
        <v>9.84</v>
      </c>
      <c r="E32">
        <v>0.01</v>
      </c>
      <c r="F32">
        <v>0</v>
      </c>
      <c r="G32">
        <v>0.88</v>
      </c>
      <c r="H32">
        <v>-3.31</v>
      </c>
      <c r="I32">
        <v>20.72</v>
      </c>
    </row>
    <row r="33" spans="1:9" x14ac:dyDescent="0.45">
      <c r="A33" t="s">
        <v>142</v>
      </c>
      <c r="B33">
        <v>2022</v>
      </c>
      <c r="C33">
        <v>8.34</v>
      </c>
      <c r="D33">
        <v>10.86</v>
      </c>
      <c r="E33">
        <v>0.01</v>
      </c>
      <c r="F33">
        <v>0</v>
      </c>
      <c r="G33">
        <v>0.8</v>
      </c>
      <c r="H33">
        <v>-3.34</v>
      </c>
      <c r="I33">
        <v>21.49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0.53</v>
      </c>
      <c r="F11">
        <v>0.28000000000000003</v>
      </c>
      <c r="G11">
        <v>1.37</v>
      </c>
      <c r="H11">
        <v>0</v>
      </c>
      <c r="I11">
        <v>7.85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163.12</v>
      </c>
      <c r="F12">
        <v>149.53</v>
      </c>
      <c r="G12">
        <v>126.29</v>
      </c>
      <c r="H12">
        <v>0.63</v>
      </c>
      <c r="I12">
        <v>626.48</v>
      </c>
      <c r="J12">
        <v>108.64</v>
      </c>
      <c r="K12">
        <v>198.32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232.12</v>
      </c>
      <c r="F13">
        <v>218.12</v>
      </c>
      <c r="G13">
        <v>111.83</v>
      </c>
      <c r="H13">
        <v>0.84</v>
      </c>
      <c r="I13">
        <v>673.46</v>
      </c>
      <c r="J13">
        <v>173.6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321.83999999999997</v>
      </c>
      <c r="F14">
        <v>286.86</v>
      </c>
      <c r="G14">
        <v>148.34</v>
      </c>
      <c r="H14">
        <v>78.849999999999994</v>
      </c>
      <c r="I14">
        <v>859.53</v>
      </c>
      <c r="J14">
        <v>236.35</v>
      </c>
      <c r="K14">
        <v>418.75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429.32</v>
      </c>
      <c r="F15">
        <v>360.55</v>
      </c>
      <c r="G15">
        <v>206.4</v>
      </c>
      <c r="H15">
        <v>162.1</v>
      </c>
      <c r="I15">
        <v>1097.01</v>
      </c>
      <c r="J15">
        <v>295.01</v>
      </c>
      <c r="K15">
        <v>564.54999999999995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531.12</v>
      </c>
      <c r="F16">
        <v>471.06</v>
      </c>
      <c r="G16">
        <v>244.88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622.48</v>
      </c>
      <c r="F17">
        <v>577.98</v>
      </c>
      <c r="G17">
        <v>258.44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1.61</v>
      </c>
      <c r="F18">
        <v>0.28000000000000003</v>
      </c>
      <c r="G18">
        <v>3.17</v>
      </c>
      <c r="H18">
        <v>0</v>
      </c>
      <c r="I18">
        <v>14.3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36.619999999999997</v>
      </c>
      <c r="F19">
        <v>5.54</v>
      </c>
      <c r="G19">
        <v>48.52</v>
      </c>
      <c r="H19">
        <v>0</v>
      </c>
      <c r="I19">
        <v>174.97</v>
      </c>
      <c r="J19">
        <v>1.1100000000000001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50.82</v>
      </c>
      <c r="F20">
        <v>41.97</v>
      </c>
      <c r="G20">
        <v>58.12</v>
      </c>
      <c r="H20">
        <v>0</v>
      </c>
      <c r="I20">
        <v>221.93</v>
      </c>
      <c r="J20">
        <v>1.1100000000000001</v>
      </c>
      <c r="K20">
        <v>79.59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215.01</v>
      </c>
      <c r="F21">
        <v>135.74</v>
      </c>
      <c r="G21">
        <v>313.54000000000002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248.35</v>
      </c>
      <c r="F22">
        <v>169.66</v>
      </c>
      <c r="G22">
        <v>360.12</v>
      </c>
      <c r="H22">
        <v>0</v>
      </c>
      <c r="I22">
        <v>2600</v>
      </c>
      <c r="J22">
        <v>108.71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296.02999999999997</v>
      </c>
      <c r="F23">
        <v>249.21</v>
      </c>
      <c r="G23">
        <v>189.78</v>
      </c>
      <c r="H23">
        <v>103.36</v>
      </c>
      <c r="I23">
        <v>1213.1199999999999</v>
      </c>
      <c r="J23">
        <v>166.02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3.46</v>
      </c>
      <c r="F25">
        <v>0.28000000000000003</v>
      </c>
      <c r="G25">
        <v>11.22</v>
      </c>
      <c r="H25">
        <v>0</v>
      </c>
      <c r="I25">
        <v>119.01</v>
      </c>
      <c r="J25">
        <v>0</v>
      </c>
      <c r="K25">
        <v>0.56000000000000005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38.56</v>
      </c>
      <c r="F26">
        <v>34.67</v>
      </c>
      <c r="G26">
        <v>40.1</v>
      </c>
      <c r="H26">
        <v>0</v>
      </c>
      <c r="I26">
        <v>170</v>
      </c>
      <c r="J26">
        <v>0.88</v>
      </c>
      <c r="K26">
        <v>64.099999999999994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55.3</v>
      </c>
      <c r="F27">
        <v>52.23</v>
      </c>
      <c r="G27">
        <v>51.89</v>
      </c>
      <c r="H27">
        <v>0</v>
      </c>
      <c r="I27">
        <v>234.71</v>
      </c>
      <c r="J27">
        <v>1.1100000000000001</v>
      </c>
      <c r="K27">
        <v>82.73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121.34</v>
      </c>
      <c r="F28">
        <v>100.47</v>
      </c>
      <c r="G28">
        <v>88.87</v>
      </c>
      <c r="H28">
        <v>31.15</v>
      </c>
      <c r="I28">
        <v>960.63</v>
      </c>
      <c r="J28">
        <v>72.8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158.91</v>
      </c>
      <c r="F29">
        <v>127.51</v>
      </c>
      <c r="G29">
        <v>111.85</v>
      </c>
      <c r="H29">
        <v>39.76</v>
      </c>
      <c r="I29">
        <v>1226.04</v>
      </c>
      <c r="J29">
        <v>96.45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201.87</v>
      </c>
      <c r="F30">
        <v>171.28</v>
      </c>
      <c r="G30">
        <v>145.15</v>
      </c>
      <c r="H30">
        <v>46.46</v>
      </c>
      <c r="I30">
        <v>1564.8</v>
      </c>
      <c r="J30">
        <v>120.13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239.62</v>
      </c>
      <c r="F31">
        <v>208.73</v>
      </c>
      <c r="G31">
        <v>124.46</v>
      </c>
      <c r="H31">
        <v>50.41</v>
      </c>
      <c r="I31">
        <v>712.07</v>
      </c>
      <c r="J31">
        <v>146.83000000000001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2.76</v>
      </c>
      <c r="F32">
        <v>0</v>
      </c>
      <c r="G32">
        <v>4.26</v>
      </c>
      <c r="H32">
        <v>0</v>
      </c>
      <c r="I32">
        <v>14.45</v>
      </c>
      <c r="J32">
        <v>0</v>
      </c>
      <c r="K32">
        <v>7.82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10.55</v>
      </c>
      <c r="F33">
        <v>2.19</v>
      </c>
      <c r="G33">
        <v>13.46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20.63</v>
      </c>
      <c r="F34">
        <v>10.19</v>
      </c>
      <c r="G34">
        <v>23.79</v>
      </c>
      <c r="H34">
        <v>0</v>
      </c>
      <c r="I34">
        <v>82.5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0.65</v>
      </c>
      <c r="F39">
        <v>0</v>
      </c>
      <c r="G39">
        <v>1.96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0.17</v>
      </c>
      <c r="F40">
        <v>0</v>
      </c>
      <c r="G40">
        <v>0.48</v>
      </c>
      <c r="H40">
        <v>0</v>
      </c>
      <c r="I40">
        <v>3.28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3.37</v>
      </c>
      <c r="F41">
        <v>0</v>
      </c>
      <c r="G41">
        <v>12.62</v>
      </c>
      <c r="H41">
        <v>0</v>
      </c>
      <c r="I41">
        <v>57.7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0.62</v>
      </c>
      <c r="F42">
        <v>0</v>
      </c>
      <c r="G42">
        <v>1</v>
      </c>
      <c r="H42">
        <v>0</v>
      </c>
      <c r="I42">
        <v>6.29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0.71</v>
      </c>
      <c r="F43">
        <v>0</v>
      </c>
      <c r="G43">
        <v>1.05</v>
      </c>
      <c r="H43">
        <v>0</v>
      </c>
      <c r="I43">
        <v>5.55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0.98</v>
      </c>
      <c r="F44">
        <v>0</v>
      </c>
      <c r="G44">
        <v>1.29</v>
      </c>
      <c r="H44">
        <v>0</v>
      </c>
      <c r="I44">
        <v>5.72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1.1000000000000001</v>
      </c>
      <c r="F45">
        <v>0</v>
      </c>
      <c r="G45">
        <v>1.52</v>
      </c>
      <c r="H45">
        <v>0</v>
      </c>
      <c r="I45">
        <v>5.99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1.07</v>
      </c>
      <c r="F47">
        <v>1.04</v>
      </c>
      <c r="G47">
        <v>0.15</v>
      </c>
      <c r="H47">
        <v>0.88</v>
      </c>
      <c r="I47">
        <v>1.67</v>
      </c>
      <c r="J47">
        <v>0.99</v>
      </c>
      <c r="K47">
        <v>1.0900000000000001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1.2</v>
      </c>
      <c r="F48">
        <v>1.1299999999999999</v>
      </c>
      <c r="G48">
        <v>0.3</v>
      </c>
      <c r="H48">
        <v>0.76</v>
      </c>
      <c r="I48">
        <v>2.58</v>
      </c>
      <c r="J48">
        <v>1.06</v>
      </c>
      <c r="K48">
        <v>1.3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1.34</v>
      </c>
      <c r="G49">
        <v>0.4</v>
      </c>
      <c r="H49">
        <v>0.8</v>
      </c>
      <c r="I49">
        <v>3.07</v>
      </c>
      <c r="J49">
        <v>1.18</v>
      </c>
      <c r="K49">
        <v>1.6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1.7</v>
      </c>
      <c r="F50">
        <v>1.64</v>
      </c>
      <c r="G50">
        <v>0.43</v>
      </c>
      <c r="H50">
        <v>1.1000000000000001</v>
      </c>
      <c r="I50">
        <v>3.14</v>
      </c>
      <c r="J50">
        <v>1.38</v>
      </c>
      <c r="K50">
        <v>1.92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2.02</v>
      </c>
      <c r="F51">
        <v>1.97</v>
      </c>
      <c r="G51">
        <v>0.44</v>
      </c>
      <c r="H51">
        <v>1.22</v>
      </c>
      <c r="I51">
        <v>3.23</v>
      </c>
      <c r="J51">
        <v>1.7</v>
      </c>
      <c r="K51">
        <v>2.23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2.2599999999999998</v>
      </c>
      <c r="F52">
        <v>2.2799999999999998</v>
      </c>
      <c r="G52">
        <v>0.45</v>
      </c>
      <c r="H52">
        <v>1.37</v>
      </c>
      <c r="I52">
        <v>3.32</v>
      </c>
      <c r="J52">
        <v>1.9</v>
      </c>
      <c r="K52">
        <v>2.44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1.0900000000000001</v>
      </c>
      <c r="F54">
        <v>1.0900000000000001</v>
      </c>
      <c r="G54">
        <v>0.08</v>
      </c>
      <c r="H54">
        <v>0.93</v>
      </c>
      <c r="I54">
        <v>1.35</v>
      </c>
      <c r="J54">
        <v>1.05</v>
      </c>
      <c r="K54">
        <v>1.1200000000000001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1.25</v>
      </c>
      <c r="F55">
        <v>1.25</v>
      </c>
      <c r="G55">
        <v>0.13</v>
      </c>
      <c r="H55">
        <v>0.9</v>
      </c>
      <c r="I55">
        <v>1.6</v>
      </c>
      <c r="J55">
        <v>1.18</v>
      </c>
      <c r="K55">
        <v>1.33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1.38</v>
      </c>
      <c r="F56">
        <v>1.34</v>
      </c>
      <c r="G56">
        <v>0.21</v>
      </c>
      <c r="H56">
        <v>0.86</v>
      </c>
      <c r="I56">
        <v>1.84</v>
      </c>
      <c r="J56">
        <v>1.27</v>
      </c>
      <c r="K56">
        <v>1.51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1.61</v>
      </c>
      <c r="F57">
        <v>1.62</v>
      </c>
      <c r="G57">
        <v>0.28999999999999998</v>
      </c>
      <c r="H57">
        <v>0.99</v>
      </c>
      <c r="I57">
        <v>2.31</v>
      </c>
      <c r="J57">
        <v>1.39</v>
      </c>
      <c r="K57">
        <v>1.82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</v>
      </c>
      <c r="F58">
        <v>1.75</v>
      </c>
      <c r="G58">
        <v>0.32</v>
      </c>
      <c r="H58">
        <v>1.1599999999999999</v>
      </c>
      <c r="I58">
        <v>2.76</v>
      </c>
      <c r="J58">
        <v>1.58</v>
      </c>
      <c r="K58">
        <v>2.0499999999999998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2.11</v>
      </c>
      <c r="F59">
        <v>2.11</v>
      </c>
      <c r="G59">
        <v>0.37</v>
      </c>
      <c r="H59">
        <v>1.44</v>
      </c>
      <c r="I59">
        <v>3.43</v>
      </c>
      <c r="J59">
        <v>1.79</v>
      </c>
      <c r="K59">
        <v>2.36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206</v>
      </c>
      <c r="E61">
        <v>1.0900000000000001</v>
      </c>
      <c r="F61">
        <v>1.0900000000000001</v>
      </c>
      <c r="G61">
        <v>0.11</v>
      </c>
      <c r="H61">
        <v>0.88</v>
      </c>
      <c r="I61">
        <v>1.51</v>
      </c>
      <c r="J61">
        <v>1.03</v>
      </c>
      <c r="K61">
        <v>1.1299999999999999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229</v>
      </c>
      <c r="E62">
        <v>1.19</v>
      </c>
      <c r="F62">
        <v>1.2</v>
      </c>
      <c r="G62">
        <v>0.18</v>
      </c>
      <c r="H62">
        <v>0.77</v>
      </c>
      <c r="I62">
        <v>1.92</v>
      </c>
      <c r="J62">
        <v>1.08</v>
      </c>
      <c r="K62">
        <v>1.28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206</v>
      </c>
      <c r="E63">
        <v>1.32</v>
      </c>
      <c r="F63">
        <v>1.31</v>
      </c>
      <c r="G63">
        <v>0.24</v>
      </c>
      <c r="H63">
        <v>0.81</v>
      </c>
      <c r="I63">
        <v>2.63</v>
      </c>
      <c r="J63">
        <v>1.19</v>
      </c>
      <c r="K63">
        <v>1.39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229</v>
      </c>
      <c r="E64">
        <v>1.45</v>
      </c>
      <c r="F64">
        <v>1.43</v>
      </c>
      <c r="G64">
        <v>0.3</v>
      </c>
      <c r="H64">
        <v>0.95</v>
      </c>
      <c r="I64">
        <v>2.7</v>
      </c>
      <c r="J64">
        <v>1.23</v>
      </c>
      <c r="K64">
        <v>1.6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206</v>
      </c>
      <c r="E65">
        <v>1.71</v>
      </c>
      <c r="F65">
        <v>1.66</v>
      </c>
      <c r="G65">
        <v>0.32</v>
      </c>
      <c r="H65">
        <v>1.1599999999999999</v>
      </c>
      <c r="I65">
        <v>3.04</v>
      </c>
      <c r="J65">
        <v>1.48</v>
      </c>
      <c r="K65">
        <v>1.88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229</v>
      </c>
      <c r="E66">
        <v>1.93</v>
      </c>
      <c r="F66">
        <v>1.9</v>
      </c>
      <c r="G66">
        <v>0.37</v>
      </c>
      <c r="H66">
        <v>1.1499999999999999</v>
      </c>
      <c r="I66">
        <v>3.5</v>
      </c>
      <c r="J66">
        <v>1.71</v>
      </c>
      <c r="K66">
        <v>2.14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1.08</v>
      </c>
      <c r="F68">
        <v>1.07</v>
      </c>
      <c r="G68">
        <v>0.09</v>
      </c>
      <c r="H68">
        <v>0.9</v>
      </c>
      <c r="I68">
        <v>1.29</v>
      </c>
      <c r="J68">
        <v>0.98</v>
      </c>
      <c r="K68">
        <v>1.1399999999999999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1.1499999999999999</v>
      </c>
      <c r="F69">
        <v>1.1599999999999999</v>
      </c>
      <c r="G69">
        <v>0.16</v>
      </c>
      <c r="H69">
        <v>0.87</v>
      </c>
      <c r="I69">
        <v>1.52</v>
      </c>
      <c r="J69">
        <v>1.03</v>
      </c>
      <c r="K69">
        <v>1.28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1.23</v>
      </c>
      <c r="F70">
        <v>1.25</v>
      </c>
      <c r="G70">
        <v>0.22</v>
      </c>
      <c r="H70">
        <v>0.81</v>
      </c>
      <c r="I70">
        <v>1.8</v>
      </c>
      <c r="J70">
        <v>1.1499999999999999</v>
      </c>
      <c r="K70">
        <v>1.36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1.34</v>
      </c>
      <c r="F71">
        <v>1.33</v>
      </c>
      <c r="G71">
        <v>0.26</v>
      </c>
      <c r="H71">
        <v>0.91</v>
      </c>
      <c r="I71">
        <v>2.06</v>
      </c>
      <c r="J71">
        <v>1.17</v>
      </c>
      <c r="K71">
        <v>1.54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1.51</v>
      </c>
      <c r="F72">
        <v>1.56</v>
      </c>
      <c r="G72">
        <v>0.3</v>
      </c>
      <c r="H72">
        <v>0.94</v>
      </c>
      <c r="I72">
        <v>2.2999999999999998</v>
      </c>
      <c r="J72">
        <v>1.31</v>
      </c>
      <c r="K72">
        <v>1.71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1.69</v>
      </c>
      <c r="F73">
        <v>1.74</v>
      </c>
      <c r="G73">
        <v>0.33</v>
      </c>
      <c r="H73">
        <v>1.01</v>
      </c>
      <c r="I73">
        <v>2.88</v>
      </c>
      <c r="J73">
        <v>1.44</v>
      </c>
      <c r="K73">
        <v>1.88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55</v>
      </c>
      <c r="E75">
        <v>1.1200000000000001</v>
      </c>
      <c r="F75">
        <v>1.1299999999999999</v>
      </c>
      <c r="G75">
        <v>0.11</v>
      </c>
      <c r="H75">
        <v>0.97</v>
      </c>
      <c r="I75">
        <v>1.85</v>
      </c>
      <c r="J75">
        <v>1.08</v>
      </c>
      <c r="K75">
        <v>1.1399999999999999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60</v>
      </c>
      <c r="E76">
        <v>1.23</v>
      </c>
      <c r="F76">
        <v>1.26</v>
      </c>
      <c r="G76">
        <v>0.1</v>
      </c>
      <c r="H76">
        <v>0.93</v>
      </c>
      <c r="I76">
        <v>1.4</v>
      </c>
      <c r="J76">
        <v>1.18</v>
      </c>
      <c r="K76">
        <v>1.3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55</v>
      </c>
      <c r="E77">
        <v>1.38</v>
      </c>
      <c r="F77">
        <v>1.39</v>
      </c>
      <c r="G77">
        <v>0.1</v>
      </c>
      <c r="H77">
        <v>1.1100000000000001</v>
      </c>
      <c r="I77">
        <v>1.68</v>
      </c>
      <c r="J77">
        <v>1.32</v>
      </c>
      <c r="K77">
        <v>1.44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60</v>
      </c>
      <c r="E78">
        <v>1.45</v>
      </c>
      <c r="F78">
        <v>1.5</v>
      </c>
      <c r="G78">
        <v>0.14000000000000001</v>
      </c>
      <c r="H78">
        <v>1.05</v>
      </c>
      <c r="I78">
        <v>1.88</v>
      </c>
      <c r="J78">
        <v>1.37</v>
      </c>
      <c r="K78">
        <v>1.53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55</v>
      </c>
      <c r="E79">
        <v>1.56</v>
      </c>
      <c r="F79">
        <v>1.58</v>
      </c>
      <c r="G79">
        <v>0.14000000000000001</v>
      </c>
      <c r="H79">
        <v>1.22</v>
      </c>
      <c r="I79">
        <v>2.06</v>
      </c>
      <c r="J79">
        <v>1.5</v>
      </c>
      <c r="K79">
        <v>1.61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60</v>
      </c>
      <c r="E80">
        <v>1.61</v>
      </c>
      <c r="F80">
        <v>1.63</v>
      </c>
      <c r="G80">
        <v>0.18</v>
      </c>
      <c r="H80">
        <v>1.2</v>
      </c>
      <c r="I80">
        <v>2.2200000000000002</v>
      </c>
      <c r="J80">
        <v>1.5</v>
      </c>
      <c r="K80">
        <v>1.69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</v>
      </c>
      <c r="F82">
        <v>0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0.05</v>
      </c>
      <c r="F85">
        <v>0.04</v>
      </c>
      <c r="G85">
        <v>0.04</v>
      </c>
      <c r="H85">
        <v>0</v>
      </c>
      <c r="I85">
        <v>0.25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7.0000000000000007E-2</v>
      </c>
      <c r="F86">
        <v>0.06</v>
      </c>
      <c r="G86">
        <v>0.06</v>
      </c>
      <c r="H86">
        <v>0</v>
      </c>
      <c r="I86">
        <v>0.35</v>
      </c>
      <c r="J86">
        <v>0.04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0.09</v>
      </c>
      <c r="F87">
        <v>7.0000000000000007E-2</v>
      </c>
      <c r="G87">
        <v>0.08</v>
      </c>
      <c r="H87">
        <v>0</v>
      </c>
      <c r="I87">
        <v>0.33</v>
      </c>
      <c r="J87">
        <v>0.04</v>
      </c>
      <c r="K87">
        <v>0.11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0.01</v>
      </c>
      <c r="G90">
        <v>0.02</v>
      </c>
      <c r="H90">
        <v>0</v>
      </c>
      <c r="I90">
        <v>0.08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0.02</v>
      </c>
      <c r="F91">
        <v>0.02</v>
      </c>
      <c r="G91">
        <v>0.02</v>
      </c>
      <c r="H91">
        <v>0</v>
      </c>
      <c r="I91">
        <v>0.08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0.04</v>
      </c>
      <c r="F92">
        <v>0.03</v>
      </c>
      <c r="G92">
        <v>0.04</v>
      </c>
      <c r="H92">
        <v>0</v>
      </c>
      <c r="I92">
        <v>0.16</v>
      </c>
      <c r="J92">
        <v>0.01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0.06</v>
      </c>
      <c r="F93">
        <v>0.05</v>
      </c>
      <c r="G93">
        <v>0.05</v>
      </c>
      <c r="H93">
        <v>0</v>
      </c>
      <c r="I93">
        <v>0.19</v>
      </c>
      <c r="J93">
        <v>0.02</v>
      </c>
      <c r="K93">
        <v>0.09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0.08</v>
      </c>
      <c r="F94">
        <v>0.08</v>
      </c>
      <c r="G94">
        <v>0.06</v>
      </c>
      <c r="H94">
        <v>0</v>
      </c>
      <c r="I94">
        <v>0.28000000000000003</v>
      </c>
      <c r="J94">
        <v>0.04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220</v>
      </c>
      <c r="E95">
        <v>0</v>
      </c>
      <c r="F95">
        <v>0</v>
      </c>
      <c r="G95">
        <v>0.01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220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0.08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220</v>
      </c>
      <c r="E99">
        <v>0.03</v>
      </c>
      <c r="F99">
        <v>0.02</v>
      </c>
      <c r="G99">
        <v>0.03</v>
      </c>
      <c r="H99">
        <v>0</v>
      </c>
      <c r="I99">
        <v>0.12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203</v>
      </c>
      <c r="E100">
        <v>0.04</v>
      </c>
      <c r="F100">
        <v>0.04</v>
      </c>
      <c r="G100">
        <v>0.03</v>
      </c>
      <c r="H100">
        <v>0</v>
      </c>
      <c r="I100">
        <v>0.12</v>
      </c>
      <c r="J100">
        <v>0.01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220</v>
      </c>
      <c r="E101">
        <v>0.06</v>
      </c>
      <c r="F101">
        <v>0.05</v>
      </c>
      <c r="G101">
        <v>0.06</v>
      </c>
      <c r="H101">
        <v>0</v>
      </c>
      <c r="I101">
        <v>0.23</v>
      </c>
      <c r="J101">
        <v>0.02</v>
      </c>
      <c r="K101">
        <v>7.0000000000000007E-2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0.01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0.01</v>
      </c>
      <c r="G108">
        <v>0.03</v>
      </c>
      <c r="H108">
        <v>0</v>
      </c>
      <c r="I108">
        <v>0.1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60</v>
      </c>
      <c r="E109">
        <v>0.01</v>
      </c>
      <c r="F109">
        <v>0.01</v>
      </c>
      <c r="G109">
        <v>0.01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55</v>
      </c>
      <c r="E110">
        <v>0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60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55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60</v>
      </c>
      <c r="E113">
        <v>0.02</v>
      </c>
      <c r="F113">
        <v>0.02</v>
      </c>
      <c r="G113">
        <v>0.02</v>
      </c>
      <c r="H113">
        <v>0</v>
      </c>
      <c r="I113">
        <v>7.0000000000000007E-2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55</v>
      </c>
      <c r="E114">
        <v>0.02</v>
      </c>
      <c r="F114">
        <v>0.03</v>
      </c>
      <c r="G114">
        <v>0.02</v>
      </c>
      <c r="H114">
        <v>0</v>
      </c>
      <c r="I114">
        <v>0.08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60</v>
      </c>
      <c r="E115">
        <v>0.03</v>
      </c>
      <c r="F115">
        <v>0.03</v>
      </c>
      <c r="G115">
        <v>0.03</v>
      </c>
      <c r="H115">
        <v>0</v>
      </c>
      <c r="I115">
        <v>0.09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63</v>
      </c>
      <c r="E116">
        <v>0.47</v>
      </c>
      <c r="F116">
        <v>0.46</v>
      </c>
      <c r="G116">
        <v>0.05</v>
      </c>
      <c r="H116">
        <v>0.38</v>
      </c>
      <c r="I116">
        <v>0.55000000000000004</v>
      </c>
      <c r="J116">
        <v>0.45</v>
      </c>
      <c r="K116">
        <v>0.49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63</v>
      </c>
      <c r="E117">
        <v>0.45</v>
      </c>
      <c r="F117">
        <v>0.44</v>
      </c>
      <c r="G117">
        <v>7.0000000000000007E-2</v>
      </c>
      <c r="H117">
        <v>0.34</v>
      </c>
      <c r="I117">
        <v>0.62</v>
      </c>
      <c r="J117">
        <v>0.41</v>
      </c>
      <c r="K117">
        <v>0.48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63</v>
      </c>
      <c r="E118">
        <v>0.44</v>
      </c>
      <c r="F118">
        <v>0.44</v>
      </c>
      <c r="G118">
        <v>7.0000000000000007E-2</v>
      </c>
      <c r="H118">
        <v>0.32</v>
      </c>
      <c r="I118">
        <v>0.63</v>
      </c>
      <c r="J118">
        <v>0.36</v>
      </c>
      <c r="K118">
        <v>0.45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63</v>
      </c>
      <c r="E119">
        <v>0.42</v>
      </c>
      <c r="F119">
        <v>0.42</v>
      </c>
      <c r="G119">
        <v>0.08</v>
      </c>
      <c r="H119">
        <v>0.31</v>
      </c>
      <c r="I119">
        <v>0.61</v>
      </c>
      <c r="J119">
        <v>0.36</v>
      </c>
      <c r="K119">
        <v>0.43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63</v>
      </c>
      <c r="E120">
        <v>0.4</v>
      </c>
      <c r="F120">
        <v>0.39</v>
      </c>
      <c r="G120">
        <v>0.08</v>
      </c>
      <c r="H120">
        <v>0.3</v>
      </c>
      <c r="I120">
        <v>0.6</v>
      </c>
      <c r="J120">
        <v>0.35</v>
      </c>
      <c r="K120">
        <v>0.41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63</v>
      </c>
      <c r="E121">
        <v>0.4</v>
      </c>
      <c r="F121">
        <v>0.38</v>
      </c>
      <c r="G121">
        <v>0.08</v>
      </c>
      <c r="H121">
        <v>0.27</v>
      </c>
      <c r="I121">
        <v>0.62</v>
      </c>
      <c r="J121">
        <v>0.35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63</v>
      </c>
      <c r="E122">
        <v>0.4</v>
      </c>
      <c r="F122">
        <v>0.37</v>
      </c>
      <c r="G122">
        <v>0.08</v>
      </c>
      <c r="H122">
        <v>0.26</v>
      </c>
      <c r="I122">
        <v>0.62</v>
      </c>
      <c r="J122">
        <v>0.34</v>
      </c>
      <c r="K122">
        <v>0.44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0.46</v>
      </c>
      <c r="F123">
        <v>0.44</v>
      </c>
      <c r="G123">
        <v>0.05</v>
      </c>
      <c r="H123">
        <v>0.38</v>
      </c>
      <c r="I123">
        <v>0.56000000000000005</v>
      </c>
      <c r="J123">
        <v>0.41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0.08</v>
      </c>
      <c r="H124">
        <v>0</v>
      </c>
      <c r="I124">
        <v>0.59</v>
      </c>
      <c r="J124">
        <v>0.4</v>
      </c>
      <c r="K124">
        <v>0.49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0.42</v>
      </c>
      <c r="F125">
        <v>0.4</v>
      </c>
      <c r="G125">
        <v>0.08</v>
      </c>
      <c r="H125">
        <v>0.31</v>
      </c>
      <c r="I125">
        <v>0.57999999999999996</v>
      </c>
      <c r="J125">
        <v>0.35</v>
      </c>
      <c r="K125">
        <v>0.48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0.41</v>
      </c>
      <c r="F126">
        <v>0.42</v>
      </c>
      <c r="G126">
        <v>0.08</v>
      </c>
      <c r="H126">
        <v>0.26</v>
      </c>
      <c r="I126">
        <v>0.57999999999999996</v>
      </c>
      <c r="J126">
        <v>0.34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0.38</v>
      </c>
      <c r="F127">
        <v>0.35</v>
      </c>
      <c r="G127">
        <v>0.09</v>
      </c>
      <c r="H127">
        <v>0.23</v>
      </c>
      <c r="I127">
        <v>0.57999999999999996</v>
      </c>
      <c r="J127">
        <v>0.3</v>
      </c>
      <c r="K127">
        <v>0.44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0.39</v>
      </c>
      <c r="F128">
        <v>0.37</v>
      </c>
      <c r="G128">
        <v>0.1</v>
      </c>
      <c r="H128">
        <v>0.22</v>
      </c>
      <c r="I128">
        <v>0.59</v>
      </c>
      <c r="J128">
        <v>0.33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0.38</v>
      </c>
      <c r="F129">
        <v>0.34</v>
      </c>
      <c r="G129">
        <v>0.11</v>
      </c>
      <c r="H129">
        <v>0.22</v>
      </c>
      <c r="I129">
        <v>0.62</v>
      </c>
      <c r="J129">
        <v>0.28000000000000003</v>
      </c>
      <c r="K129">
        <v>0.44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229</v>
      </c>
      <c r="E130">
        <v>0.48</v>
      </c>
      <c r="F130">
        <v>0.46</v>
      </c>
      <c r="G130">
        <v>0.05</v>
      </c>
      <c r="H130">
        <v>0.41</v>
      </c>
      <c r="I130">
        <v>0.63</v>
      </c>
      <c r="J130">
        <v>0.44</v>
      </c>
      <c r="K130">
        <v>0.51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206</v>
      </c>
      <c r="E131">
        <v>0.44</v>
      </c>
      <c r="F131">
        <v>0.45</v>
      </c>
      <c r="G131">
        <v>0.1</v>
      </c>
      <c r="H131">
        <v>0</v>
      </c>
      <c r="I131">
        <v>0.64</v>
      </c>
      <c r="J131">
        <v>0.41</v>
      </c>
      <c r="K131">
        <v>0.48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229</v>
      </c>
      <c r="E132">
        <v>0.46</v>
      </c>
      <c r="F132">
        <v>0.45</v>
      </c>
      <c r="G132">
        <v>0.08</v>
      </c>
      <c r="H132">
        <v>0.31</v>
      </c>
      <c r="I132">
        <v>0.63</v>
      </c>
      <c r="J132">
        <v>0.4</v>
      </c>
      <c r="K132">
        <v>0.49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206</v>
      </c>
      <c r="E133">
        <v>0.42</v>
      </c>
      <c r="F133">
        <v>0.43</v>
      </c>
      <c r="G133">
        <v>7.0000000000000007E-2</v>
      </c>
      <c r="H133">
        <v>0.26</v>
      </c>
      <c r="I133">
        <v>0.61</v>
      </c>
      <c r="J133">
        <v>0.36</v>
      </c>
      <c r="K133">
        <v>0.46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229</v>
      </c>
      <c r="E134">
        <v>0.42</v>
      </c>
      <c r="F134">
        <v>0.41</v>
      </c>
      <c r="G134">
        <v>0.1</v>
      </c>
      <c r="H134">
        <v>0.23</v>
      </c>
      <c r="I134">
        <v>0.64</v>
      </c>
      <c r="J134">
        <v>0.36</v>
      </c>
      <c r="K134">
        <v>0.49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206</v>
      </c>
      <c r="E135">
        <v>0.4</v>
      </c>
      <c r="F135">
        <v>0.4</v>
      </c>
      <c r="G135">
        <v>0.09</v>
      </c>
      <c r="H135">
        <v>0.21</v>
      </c>
      <c r="I135">
        <v>0.6</v>
      </c>
      <c r="J135">
        <v>0.36</v>
      </c>
      <c r="K135">
        <v>0.45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229</v>
      </c>
      <c r="E136">
        <v>0.42</v>
      </c>
      <c r="F136">
        <v>0.42</v>
      </c>
      <c r="G136">
        <v>0.12</v>
      </c>
      <c r="H136">
        <v>0.19</v>
      </c>
      <c r="I136">
        <v>0.68</v>
      </c>
      <c r="J136">
        <v>0.36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0.48</v>
      </c>
      <c r="F137">
        <v>0.45</v>
      </c>
      <c r="G137">
        <v>0.06</v>
      </c>
      <c r="H137">
        <v>0.4</v>
      </c>
      <c r="I137">
        <v>0.63</v>
      </c>
      <c r="J137">
        <v>0.44</v>
      </c>
      <c r="K137">
        <v>0.55000000000000004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0.43</v>
      </c>
      <c r="G138">
        <v>0.11</v>
      </c>
      <c r="H138">
        <v>0</v>
      </c>
      <c r="I138">
        <v>0.59</v>
      </c>
      <c r="J138">
        <v>0.41</v>
      </c>
      <c r="K138">
        <v>0.49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0.45</v>
      </c>
      <c r="F139">
        <v>0.43</v>
      </c>
      <c r="G139">
        <v>7.0000000000000007E-2</v>
      </c>
      <c r="H139">
        <v>0.36</v>
      </c>
      <c r="I139">
        <v>0.62</v>
      </c>
      <c r="J139">
        <v>0.4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0.41</v>
      </c>
      <c r="G140">
        <v>7.0000000000000007E-2</v>
      </c>
      <c r="H140">
        <v>0.32</v>
      </c>
      <c r="I140">
        <v>0.59</v>
      </c>
      <c r="J140">
        <v>0.35</v>
      </c>
      <c r="K140">
        <v>0.44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0.41</v>
      </c>
      <c r="G141">
        <v>0.1</v>
      </c>
      <c r="H141">
        <v>0.27</v>
      </c>
      <c r="I141">
        <v>0.63</v>
      </c>
      <c r="J141">
        <v>0.32</v>
      </c>
      <c r="K141">
        <v>0.49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0.39</v>
      </c>
      <c r="F142">
        <v>0.41</v>
      </c>
      <c r="G142">
        <v>0.1</v>
      </c>
      <c r="H142">
        <v>0.24</v>
      </c>
      <c r="I142">
        <v>0.59</v>
      </c>
      <c r="J142">
        <v>0.28000000000000003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0.41</v>
      </c>
      <c r="G143">
        <v>0.12</v>
      </c>
      <c r="H143">
        <v>0.23</v>
      </c>
      <c r="I143">
        <v>0.68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0.48</v>
      </c>
      <c r="F144">
        <v>0.46</v>
      </c>
      <c r="G144">
        <v>0.06</v>
      </c>
      <c r="H144">
        <v>0.4</v>
      </c>
      <c r="I144">
        <v>0.65</v>
      </c>
      <c r="J144">
        <v>0.44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0.45</v>
      </c>
      <c r="F145">
        <v>0.45</v>
      </c>
      <c r="G145">
        <v>0.05</v>
      </c>
      <c r="H145">
        <v>0.38</v>
      </c>
      <c r="I145">
        <v>0.64</v>
      </c>
      <c r="J145">
        <v>0.42</v>
      </c>
      <c r="K145">
        <v>0.49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0.46</v>
      </c>
      <c r="F146">
        <v>0.45</v>
      </c>
      <c r="G146">
        <v>7.0000000000000007E-2</v>
      </c>
      <c r="H146">
        <v>0.37</v>
      </c>
      <c r="I146">
        <v>0.63</v>
      </c>
      <c r="J146">
        <v>0.41</v>
      </c>
      <c r="K146">
        <v>0.5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0.44</v>
      </c>
      <c r="F147">
        <v>0.44</v>
      </c>
      <c r="G147">
        <v>0.05</v>
      </c>
      <c r="H147">
        <v>0.35</v>
      </c>
      <c r="I147">
        <v>0.53</v>
      </c>
      <c r="J147">
        <v>0.41</v>
      </c>
      <c r="K147">
        <v>0.48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0.45</v>
      </c>
      <c r="F148">
        <v>0.43</v>
      </c>
      <c r="G148">
        <v>0.08</v>
      </c>
      <c r="H148">
        <v>0.33</v>
      </c>
      <c r="I148">
        <v>0.64</v>
      </c>
      <c r="J148">
        <v>0.42</v>
      </c>
      <c r="K148">
        <v>0.48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0.42</v>
      </c>
      <c r="F149">
        <v>0.43</v>
      </c>
      <c r="G149">
        <v>0.06</v>
      </c>
      <c r="H149">
        <v>0.31</v>
      </c>
      <c r="I149">
        <v>0.53</v>
      </c>
      <c r="J149">
        <v>0.4</v>
      </c>
      <c r="K149">
        <v>0.46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0.44</v>
      </c>
      <c r="F150">
        <v>0.44</v>
      </c>
      <c r="G150">
        <v>0.09</v>
      </c>
      <c r="H150">
        <v>0.3</v>
      </c>
      <c r="I150">
        <v>0.7</v>
      </c>
      <c r="J150">
        <v>0.39</v>
      </c>
      <c r="K150">
        <v>0.46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0.44</v>
      </c>
      <c r="F151">
        <v>0.47</v>
      </c>
      <c r="G151">
        <v>0.06</v>
      </c>
      <c r="H151">
        <v>0.32</v>
      </c>
      <c r="I151">
        <v>0.53</v>
      </c>
      <c r="J151">
        <v>0.44</v>
      </c>
      <c r="K151">
        <v>0.47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0.44</v>
      </c>
      <c r="F152">
        <v>0.47</v>
      </c>
      <c r="G152">
        <v>7.0000000000000007E-2</v>
      </c>
      <c r="H152">
        <v>0.32</v>
      </c>
      <c r="I152">
        <v>0.55000000000000004</v>
      </c>
      <c r="J152">
        <v>0.41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0.43</v>
      </c>
      <c r="F153">
        <v>0.46</v>
      </c>
      <c r="G153">
        <v>7.0000000000000007E-2</v>
      </c>
      <c r="H153">
        <v>0.3</v>
      </c>
      <c r="I153">
        <v>0.56999999999999995</v>
      </c>
      <c r="J153">
        <v>0.38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0.44</v>
      </c>
      <c r="F154">
        <v>0.46</v>
      </c>
      <c r="G154">
        <v>7.0000000000000007E-2</v>
      </c>
      <c r="H154">
        <v>0.27</v>
      </c>
      <c r="I154">
        <v>0.57999999999999996</v>
      </c>
      <c r="J154">
        <v>0.4</v>
      </c>
      <c r="K154">
        <v>0.47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0.45</v>
      </c>
      <c r="F155">
        <v>0.47</v>
      </c>
      <c r="G155">
        <v>7.0000000000000007E-2</v>
      </c>
      <c r="H155">
        <v>0.26</v>
      </c>
      <c r="I155">
        <v>0.56999999999999995</v>
      </c>
      <c r="J155">
        <v>0.42</v>
      </c>
      <c r="K155">
        <v>0.49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0.45</v>
      </c>
      <c r="F156">
        <v>0.46</v>
      </c>
      <c r="G156">
        <v>0.06</v>
      </c>
      <c r="H156">
        <v>0.24</v>
      </c>
      <c r="I156">
        <v>0.56000000000000005</v>
      </c>
      <c r="J156">
        <v>0.43</v>
      </c>
      <c r="K156">
        <v>0.48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0.45</v>
      </c>
      <c r="F157">
        <v>0.46</v>
      </c>
      <c r="G157">
        <v>7.0000000000000007E-2</v>
      </c>
      <c r="H157">
        <v>0.24</v>
      </c>
      <c r="I157">
        <v>0.56000000000000005</v>
      </c>
      <c r="J157">
        <v>0.42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0.45</v>
      </c>
      <c r="F158">
        <v>0.47</v>
      </c>
      <c r="G158">
        <v>7.0000000000000007E-2</v>
      </c>
      <c r="H158">
        <v>0.32</v>
      </c>
      <c r="I158">
        <v>0.53</v>
      </c>
      <c r="J158">
        <v>0.39</v>
      </c>
      <c r="K158">
        <v>0.48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0.44</v>
      </c>
      <c r="F159">
        <v>0.45</v>
      </c>
      <c r="G159">
        <v>0.08</v>
      </c>
      <c r="H159">
        <v>0.05</v>
      </c>
      <c r="I159">
        <v>0.56000000000000005</v>
      </c>
      <c r="J159">
        <v>0.36</v>
      </c>
      <c r="K159">
        <v>0.49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0.45</v>
      </c>
      <c r="F160">
        <v>0.46</v>
      </c>
      <c r="G160">
        <v>0.08</v>
      </c>
      <c r="H160">
        <v>0.3</v>
      </c>
      <c r="I160">
        <v>0.56999999999999995</v>
      </c>
      <c r="J160">
        <v>0.38</v>
      </c>
      <c r="K160">
        <v>0.53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0.28000000000000003</v>
      </c>
      <c r="I161">
        <v>0.56999999999999995</v>
      </c>
      <c r="J161">
        <v>0.37</v>
      </c>
      <c r="K161">
        <v>0.48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0.45</v>
      </c>
      <c r="F162">
        <v>0.46</v>
      </c>
      <c r="G162">
        <v>0.08</v>
      </c>
      <c r="H162">
        <v>0.27</v>
      </c>
      <c r="I162">
        <v>0.57999999999999996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0.44</v>
      </c>
      <c r="F163">
        <v>0.46</v>
      </c>
      <c r="G163">
        <v>0.09</v>
      </c>
      <c r="H163">
        <v>0.26</v>
      </c>
      <c r="I163">
        <v>0.57999999999999996</v>
      </c>
      <c r="J163">
        <v>0.38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0.45</v>
      </c>
      <c r="F164">
        <v>0.48</v>
      </c>
      <c r="G164">
        <v>0.09</v>
      </c>
      <c r="H164">
        <v>0.24</v>
      </c>
      <c r="I164">
        <v>0.57999999999999996</v>
      </c>
      <c r="J164">
        <v>0.42</v>
      </c>
      <c r="K164">
        <v>0.52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228</v>
      </c>
      <c r="E165">
        <v>0.43</v>
      </c>
      <c r="F165">
        <v>0.46</v>
      </c>
      <c r="G165">
        <v>0.06</v>
      </c>
      <c r="H165">
        <v>0.26</v>
      </c>
      <c r="I165">
        <v>0.52</v>
      </c>
      <c r="J165">
        <v>0.39</v>
      </c>
      <c r="K165">
        <v>0.47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205</v>
      </c>
      <c r="E166">
        <v>0.44</v>
      </c>
      <c r="F166">
        <v>0.47</v>
      </c>
      <c r="G166">
        <v>0.08</v>
      </c>
      <c r="H166">
        <v>0</v>
      </c>
      <c r="I166">
        <v>0.51</v>
      </c>
      <c r="J166">
        <v>0.41</v>
      </c>
      <c r="K166">
        <v>0.48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228</v>
      </c>
      <c r="E167">
        <v>0.43</v>
      </c>
      <c r="F167">
        <v>0.46</v>
      </c>
      <c r="G167">
        <v>7.0000000000000007E-2</v>
      </c>
      <c r="H167">
        <v>0.28000000000000003</v>
      </c>
      <c r="I167">
        <v>0.56000000000000005</v>
      </c>
      <c r="J167">
        <v>0.38</v>
      </c>
      <c r="K167">
        <v>0.49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205</v>
      </c>
      <c r="E168">
        <v>0.45</v>
      </c>
      <c r="F168">
        <v>0.47</v>
      </c>
      <c r="G168">
        <v>0.06</v>
      </c>
      <c r="H168">
        <v>0.27</v>
      </c>
      <c r="I168">
        <v>0.52</v>
      </c>
      <c r="J168">
        <v>0.41</v>
      </c>
      <c r="K168">
        <v>0.49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228</v>
      </c>
      <c r="E169">
        <v>0.43</v>
      </c>
      <c r="F169">
        <v>0.47</v>
      </c>
      <c r="G169">
        <v>7.0000000000000007E-2</v>
      </c>
      <c r="H169">
        <v>0.26</v>
      </c>
      <c r="I169">
        <v>0.54</v>
      </c>
      <c r="J169">
        <v>0.38</v>
      </c>
      <c r="K169">
        <v>0.48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205</v>
      </c>
      <c r="E170">
        <v>0.44</v>
      </c>
      <c r="F170">
        <v>0.47</v>
      </c>
      <c r="G170">
        <v>0.06</v>
      </c>
      <c r="H170">
        <v>0.25</v>
      </c>
      <c r="I170">
        <v>0.53</v>
      </c>
      <c r="J170">
        <v>0.41</v>
      </c>
      <c r="K170">
        <v>0.48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228</v>
      </c>
      <c r="E171">
        <v>0.43</v>
      </c>
      <c r="F171">
        <v>0.46</v>
      </c>
      <c r="G171">
        <v>0.08</v>
      </c>
      <c r="H171">
        <v>0.24</v>
      </c>
      <c r="I171">
        <v>0.75</v>
      </c>
      <c r="J171">
        <v>0.37</v>
      </c>
      <c r="K171">
        <v>0.48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96</v>
      </c>
      <c r="E172">
        <v>0.42</v>
      </c>
      <c r="F172">
        <v>0.45</v>
      </c>
      <c r="G172">
        <v>0.06</v>
      </c>
      <c r="H172">
        <v>0.26</v>
      </c>
      <c r="I172">
        <v>0.52</v>
      </c>
      <c r="J172">
        <v>0.37</v>
      </c>
      <c r="K172">
        <v>0.47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90</v>
      </c>
      <c r="E173">
        <v>0.42</v>
      </c>
      <c r="F173">
        <v>0.44</v>
      </c>
      <c r="G173">
        <v>0.08</v>
      </c>
      <c r="H173">
        <v>0</v>
      </c>
      <c r="I173">
        <v>0.54</v>
      </c>
      <c r="J173">
        <v>0.37</v>
      </c>
      <c r="K173">
        <v>0.48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96</v>
      </c>
      <c r="E174">
        <v>0.44</v>
      </c>
      <c r="F174">
        <v>0.44</v>
      </c>
      <c r="G174">
        <v>7.0000000000000007E-2</v>
      </c>
      <c r="H174">
        <v>0.28999999999999998</v>
      </c>
      <c r="I174">
        <v>0.56000000000000005</v>
      </c>
      <c r="J174">
        <v>0.42</v>
      </c>
      <c r="K174">
        <v>0.5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90</v>
      </c>
      <c r="E175">
        <v>0.46</v>
      </c>
      <c r="F175">
        <v>0.47</v>
      </c>
      <c r="G175">
        <v>0.06</v>
      </c>
      <c r="H175">
        <v>0.31</v>
      </c>
      <c r="I175">
        <v>0.56999999999999995</v>
      </c>
      <c r="J175">
        <v>0.42</v>
      </c>
      <c r="K175">
        <v>0.5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96</v>
      </c>
      <c r="E176">
        <v>0.44</v>
      </c>
      <c r="F176">
        <v>0.46</v>
      </c>
      <c r="G176">
        <v>7.0000000000000007E-2</v>
      </c>
      <c r="H176">
        <v>0.28999999999999998</v>
      </c>
      <c r="I176">
        <v>0.56999999999999995</v>
      </c>
      <c r="J176">
        <v>0.4</v>
      </c>
      <c r="K176">
        <v>0.48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90</v>
      </c>
      <c r="E177">
        <v>0.44</v>
      </c>
      <c r="F177">
        <v>0.46</v>
      </c>
      <c r="G177">
        <v>0.06</v>
      </c>
      <c r="H177">
        <v>0.31</v>
      </c>
      <c r="I177">
        <v>0.57999999999999996</v>
      </c>
      <c r="J177">
        <v>0.4</v>
      </c>
      <c r="K177">
        <v>0.48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96</v>
      </c>
      <c r="E178">
        <v>0.43</v>
      </c>
      <c r="F178">
        <v>0.46</v>
      </c>
      <c r="G178">
        <v>7.0000000000000007E-2</v>
      </c>
      <c r="H178">
        <v>0.25</v>
      </c>
      <c r="I178">
        <v>0.56999999999999995</v>
      </c>
      <c r="J178">
        <v>0.39</v>
      </c>
      <c r="K178">
        <v>0.48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0.46</v>
      </c>
      <c r="G179">
        <v>7.0000000000000007E-2</v>
      </c>
      <c r="H179">
        <v>0.25</v>
      </c>
      <c r="I179">
        <v>0.52</v>
      </c>
      <c r="J179">
        <v>0.38</v>
      </c>
      <c r="K179">
        <v>0.47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0.45</v>
      </c>
      <c r="F180">
        <v>0.47</v>
      </c>
      <c r="G180">
        <v>0.06</v>
      </c>
      <c r="H180">
        <v>0.31</v>
      </c>
      <c r="I180">
        <v>0.54</v>
      </c>
      <c r="J180">
        <v>0.43</v>
      </c>
      <c r="K180">
        <v>0.48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0.43</v>
      </c>
      <c r="F181">
        <v>0.45</v>
      </c>
      <c r="G181">
        <v>0.08</v>
      </c>
      <c r="H181">
        <v>0.28000000000000003</v>
      </c>
      <c r="I181">
        <v>0.55000000000000004</v>
      </c>
      <c r="J181">
        <v>0.41</v>
      </c>
      <c r="K181">
        <v>0.47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0.47</v>
      </c>
      <c r="G182">
        <v>7.0000000000000007E-2</v>
      </c>
      <c r="H182">
        <v>0.3</v>
      </c>
      <c r="I182">
        <v>0.56999999999999995</v>
      </c>
      <c r="J182">
        <v>0.42</v>
      </c>
      <c r="K182">
        <v>0.47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0.44</v>
      </c>
      <c r="F183">
        <v>0.45</v>
      </c>
      <c r="G183">
        <v>0.09</v>
      </c>
      <c r="H183">
        <v>0.28999999999999998</v>
      </c>
      <c r="I183">
        <v>0.57999999999999996</v>
      </c>
      <c r="J183">
        <v>0.42</v>
      </c>
      <c r="K183">
        <v>0.47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0.46</v>
      </c>
      <c r="F184">
        <v>0.46</v>
      </c>
      <c r="G184">
        <v>0.08</v>
      </c>
      <c r="H184">
        <v>0.3</v>
      </c>
      <c r="I184">
        <v>0.59</v>
      </c>
      <c r="J184">
        <v>0.43</v>
      </c>
      <c r="K184">
        <v>0.48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0.45</v>
      </c>
      <c r="F185">
        <v>0.46</v>
      </c>
      <c r="G185">
        <v>0.1</v>
      </c>
      <c r="H185">
        <v>0.24</v>
      </c>
      <c r="I185">
        <v>0.6</v>
      </c>
      <c r="J185">
        <v>0.41</v>
      </c>
      <c r="K185">
        <v>0.48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0.08</v>
      </c>
      <c r="F186">
        <v>7.0000000000000007E-2</v>
      </c>
      <c r="G186">
        <v>0.02</v>
      </c>
      <c r="H186">
        <v>0.04</v>
      </c>
      <c r="I186">
        <v>0.12</v>
      </c>
      <c r="J186">
        <v>7.0000000000000007E-2</v>
      </c>
      <c r="K186">
        <v>0.09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0.1</v>
      </c>
      <c r="F187">
        <v>0.09</v>
      </c>
      <c r="G187">
        <v>0.03</v>
      </c>
      <c r="H187">
        <v>0.03</v>
      </c>
      <c r="I187">
        <v>0.17</v>
      </c>
      <c r="J187">
        <v>0.08</v>
      </c>
      <c r="K187">
        <v>0.13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0.12</v>
      </c>
      <c r="F188">
        <v>0.1</v>
      </c>
      <c r="G188">
        <v>0.06</v>
      </c>
      <c r="H188">
        <v>0.04</v>
      </c>
      <c r="I188">
        <v>0.24</v>
      </c>
      <c r="J188">
        <v>0.09</v>
      </c>
      <c r="K188">
        <v>0.15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0.14000000000000001</v>
      </c>
      <c r="F189">
        <v>0.11</v>
      </c>
      <c r="G189">
        <v>0.06</v>
      </c>
      <c r="H189">
        <v>0.04</v>
      </c>
      <c r="I189">
        <v>0.27</v>
      </c>
      <c r="J189">
        <v>0.1</v>
      </c>
      <c r="K189">
        <v>0.18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0.14000000000000001</v>
      </c>
      <c r="F190">
        <v>0.12</v>
      </c>
      <c r="G190">
        <v>0.06</v>
      </c>
      <c r="H190">
        <v>0.04</v>
      </c>
      <c r="I190">
        <v>0.25</v>
      </c>
      <c r="J190">
        <v>0.11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0.12</v>
      </c>
      <c r="G191">
        <v>0.05</v>
      </c>
      <c r="H191">
        <v>0.04</v>
      </c>
      <c r="I191">
        <v>0.27</v>
      </c>
      <c r="J191">
        <v>0.11</v>
      </c>
      <c r="K191">
        <v>0.19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0.14000000000000001</v>
      </c>
      <c r="F192">
        <v>0.12</v>
      </c>
      <c r="G192">
        <v>0.06</v>
      </c>
      <c r="H192">
        <v>0.05</v>
      </c>
      <c r="I192">
        <v>0.28999999999999998</v>
      </c>
      <c r="J192">
        <v>0.11</v>
      </c>
      <c r="K192">
        <v>0.19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0.08</v>
      </c>
      <c r="F193">
        <v>0.08</v>
      </c>
      <c r="G193">
        <v>0.02</v>
      </c>
      <c r="H193">
        <v>0.03</v>
      </c>
      <c r="I193">
        <v>0.12</v>
      </c>
      <c r="J193">
        <v>7.0000000000000007E-2</v>
      </c>
      <c r="K193">
        <v>0.09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0.11</v>
      </c>
      <c r="F194">
        <v>0.09</v>
      </c>
      <c r="G194">
        <v>7.0000000000000007E-2</v>
      </c>
      <c r="H194">
        <v>0.03</v>
      </c>
      <c r="I194">
        <v>0.68</v>
      </c>
      <c r="J194">
        <v>0.08</v>
      </c>
      <c r="K194">
        <v>0.13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0.12</v>
      </c>
      <c r="F195">
        <v>0.09</v>
      </c>
      <c r="G195">
        <v>0.05</v>
      </c>
      <c r="H195">
        <v>0.04</v>
      </c>
      <c r="I195">
        <v>0.25</v>
      </c>
      <c r="J195">
        <v>0.09</v>
      </c>
      <c r="K195">
        <v>0.13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0.14000000000000001</v>
      </c>
      <c r="F196">
        <v>0.11</v>
      </c>
      <c r="G196">
        <v>7.0000000000000007E-2</v>
      </c>
      <c r="H196">
        <v>0.04</v>
      </c>
      <c r="I196">
        <v>0.3</v>
      </c>
      <c r="J196">
        <v>0.09</v>
      </c>
      <c r="K196">
        <v>0.17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0.13</v>
      </c>
      <c r="G197">
        <v>7.0000000000000007E-2</v>
      </c>
      <c r="H197">
        <v>0.05</v>
      </c>
      <c r="I197">
        <v>0.3</v>
      </c>
      <c r="J197">
        <v>0.09</v>
      </c>
      <c r="K197">
        <v>0.23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0.12</v>
      </c>
      <c r="G198">
        <v>7.0000000000000007E-2</v>
      </c>
      <c r="H198">
        <v>0.04</v>
      </c>
      <c r="I198">
        <v>0.28999999999999998</v>
      </c>
      <c r="J198">
        <v>0.09</v>
      </c>
      <c r="K198">
        <v>0.23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0.13</v>
      </c>
      <c r="G199">
        <v>7.0000000000000007E-2</v>
      </c>
      <c r="H199">
        <v>0.04</v>
      </c>
      <c r="I199">
        <v>0.3</v>
      </c>
      <c r="J199">
        <v>0.1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229</v>
      </c>
      <c r="E200">
        <v>0.08</v>
      </c>
      <c r="F200">
        <v>0.08</v>
      </c>
      <c r="G200">
        <v>0.02</v>
      </c>
      <c r="H200">
        <v>0.01</v>
      </c>
      <c r="I200">
        <v>0.12</v>
      </c>
      <c r="J200">
        <v>7.0000000000000007E-2</v>
      </c>
      <c r="K200">
        <v>0.09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206</v>
      </c>
      <c r="E201">
        <v>0.11</v>
      </c>
      <c r="F201">
        <v>0.09</v>
      </c>
      <c r="G201">
        <v>0.11</v>
      </c>
      <c r="H201">
        <v>0.01</v>
      </c>
      <c r="I201">
        <v>0.86</v>
      </c>
      <c r="J201">
        <v>0.08</v>
      </c>
      <c r="K201">
        <v>0.11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229</v>
      </c>
      <c r="E202">
        <v>0.1</v>
      </c>
      <c r="F202">
        <v>0.09</v>
      </c>
      <c r="G202">
        <v>0.04</v>
      </c>
      <c r="H202">
        <v>0.01</v>
      </c>
      <c r="I202">
        <v>0.24</v>
      </c>
      <c r="J202">
        <v>0.08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206</v>
      </c>
      <c r="E203">
        <v>0.12</v>
      </c>
      <c r="F203">
        <v>0.1</v>
      </c>
      <c r="G203">
        <v>0.06</v>
      </c>
      <c r="H203">
        <v>0.01</v>
      </c>
      <c r="I203">
        <v>0.28999999999999998</v>
      </c>
      <c r="J203">
        <v>0.1</v>
      </c>
      <c r="K203">
        <v>0.16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229</v>
      </c>
      <c r="E204">
        <v>0.13</v>
      </c>
      <c r="F204">
        <v>0.11</v>
      </c>
      <c r="G204">
        <v>7.0000000000000007E-2</v>
      </c>
      <c r="H204">
        <v>0.01</v>
      </c>
      <c r="I204">
        <v>0.28999999999999998</v>
      </c>
      <c r="J204">
        <v>0.09</v>
      </c>
      <c r="K204">
        <v>0.21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206</v>
      </c>
      <c r="E205">
        <v>0.15</v>
      </c>
      <c r="F205">
        <v>0.11</v>
      </c>
      <c r="G205">
        <v>0.08</v>
      </c>
      <c r="H205">
        <v>0.01</v>
      </c>
      <c r="I205">
        <v>0.3</v>
      </c>
      <c r="J205">
        <v>0.1</v>
      </c>
      <c r="K205">
        <v>0.23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229</v>
      </c>
      <c r="E206">
        <v>0.14000000000000001</v>
      </c>
      <c r="F206">
        <v>0.11</v>
      </c>
      <c r="G206">
        <v>0.08</v>
      </c>
      <c r="H206">
        <v>0.01</v>
      </c>
      <c r="I206">
        <v>0.3</v>
      </c>
      <c r="J206">
        <v>0.08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0.08</v>
      </c>
      <c r="F207">
        <v>0.08</v>
      </c>
      <c r="G207">
        <v>0.02</v>
      </c>
      <c r="H207">
        <v>0.03</v>
      </c>
      <c r="I207">
        <v>0.11</v>
      </c>
      <c r="J207">
        <v>7.0000000000000007E-2</v>
      </c>
      <c r="K207">
        <v>0.09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0.11</v>
      </c>
      <c r="F208">
        <v>0.1</v>
      </c>
      <c r="G208">
        <v>0.12</v>
      </c>
      <c r="H208">
        <v>0.03</v>
      </c>
      <c r="I208">
        <v>0.97</v>
      </c>
      <c r="J208">
        <v>0.08</v>
      </c>
      <c r="K208">
        <v>0.11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0.09</v>
      </c>
      <c r="G209">
        <v>0.03</v>
      </c>
      <c r="H209">
        <v>0.04</v>
      </c>
      <c r="I209">
        <v>0.16</v>
      </c>
      <c r="J209">
        <v>0.06</v>
      </c>
      <c r="K209">
        <v>0.1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0.1</v>
      </c>
      <c r="F210">
        <v>0.1</v>
      </c>
      <c r="G210">
        <v>0.04</v>
      </c>
      <c r="H210">
        <v>0.04</v>
      </c>
      <c r="I210">
        <v>0.18</v>
      </c>
      <c r="J210">
        <v>0.08</v>
      </c>
      <c r="K210">
        <v>0.14000000000000001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0.12</v>
      </c>
      <c r="F211">
        <v>0.1</v>
      </c>
      <c r="G211">
        <v>0.06</v>
      </c>
      <c r="H211">
        <v>0.04</v>
      </c>
      <c r="I211">
        <v>0.25</v>
      </c>
      <c r="J211">
        <v>0.06</v>
      </c>
      <c r="K211">
        <v>0.16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0.14000000000000001</v>
      </c>
      <c r="F212">
        <v>0.11</v>
      </c>
      <c r="G212">
        <v>0.08</v>
      </c>
      <c r="H212">
        <v>0.04</v>
      </c>
      <c r="I212">
        <v>0.28999999999999998</v>
      </c>
      <c r="J212">
        <v>0.08</v>
      </c>
      <c r="K212">
        <v>0.24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0.14000000000000001</v>
      </c>
      <c r="F213">
        <v>0.1</v>
      </c>
      <c r="G213">
        <v>0.09</v>
      </c>
      <c r="H213">
        <v>0.03</v>
      </c>
      <c r="I213">
        <v>0.31</v>
      </c>
      <c r="J213">
        <v>0.06</v>
      </c>
      <c r="K213">
        <v>0.25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0.08</v>
      </c>
      <c r="F214">
        <v>7.0000000000000007E-2</v>
      </c>
      <c r="G214">
        <v>0.02</v>
      </c>
      <c r="H214">
        <v>0.01</v>
      </c>
      <c r="I214">
        <v>0.12</v>
      </c>
      <c r="J214">
        <v>7.0000000000000007E-2</v>
      </c>
      <c r="K214">
        <v>0.09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0.09</v>
      </c>
      <c r="F215">
        <v>0.08</v>
      </c>
      <c r="G215">
        <v>0.03</v>
      </c>
      <c r="H215">
        <v>0.01</v>
      </c>
      <c r="I215">
        <v>0.15</v>
      </c>
      <c r="J215">
        <v>0.08</v>
      </c>
      <c r="K215">
        <v>0.09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0.09</v>
      </c>
      <c r="F216">
        <v>0.09</v>
      </c>
      <c r="G216">
        <v>0.04</v>
      </c>
      <c r="H216">
        <v>0.01</v>
      </c>
      <c r="I216">
        <v>0.18</v>
      </c>
      <c r="J216">
        <v>0.08</v>
      </c>
      <c r="K216">
        <v>0.1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0.1</v>
      </c>
      <c r="F217">
        <v>0.09</v>
      </c>
      <c r="G217">
        <v>0.04</v>
      </c>
      <c r="H217">
        <v>0.01</v>
      </c>
      <c r="I217">
        <v>0.18</v>
      </c>
      <c r="J217">
        <v>0.08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0.1</v>
      </c>
      <c r="F218">
        <v>0.1</v>
      </c>
      <c r="G218">
        <v>0.04</v>
      </c>
      <c r="H218">
        <v>0.01</v>
      </c>
      <c r="I218">
        <v>0.2</v>
      </c>
      <c r="J218">
        <v>7.0000000000000007E-2</v>
      </c>
      <c r="K218">
        <v>0.1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0.1</v>
      </c>
      <c r="F219">
        <v>0.1</v>
      </c>
      <c r="G219">
        <v>0.04</v>
      </c>
      <c r="H219">
        <v>0.01</v>
      </c>
      <c r="I219">
        <v>0.22</v>
      </c>
      <c r="J219">
        <v>0.08</v>
      </c>
      <c r="K219">
        <v>0.11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0.1</v>
      </c>
      <c r="F220">
        <v>0.1</v>
      </c>
      <c r="G220">
        <v>0.04</v>
      </c>
      <c r="H220">
        <v>0.01</v>
      </c>
      <c r="I220">
        <v>0.25</v>
      </c>
      <c r="J220">
        <v>7.0000000000000007E-2</v>
      </c>
      <c r="K220">
        <v>0.11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2.93</v>
      </c>
      <c r="F222">
        <v>2.8</v>
      </c>
      <c r="G222">
        <v>1.49</v>
      </c>
      <c r="H222">
        <v>1.1399999999999999</v>
      </c>
      <c r="I222">
        <v>8.33</v>
      </c>
      <c r="J222">
        <v>1.99</v>
      </c>
      <c r="K222">
        <v>3.27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5.31</v>
      </c>
      <c r="F223">
        <v>4.08</v>
      </c>
      <c r="G223">
        <v>3.15</v>
      </c>
      <c r="H223">
        <v>1.22</v>
      </c>
      <c r="I223">
        <v>11.89</v>
      </c>
      <c r="J223">
        <v>3.42</v>
      </c>
      <c r="K223">
        <v>5.63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7.65</v>
      </c>
      <c r="F224">
        <v>4.8099999999999996</v>
      </c>
      <c r="G224">
        <v>6.38</v>
      </c>
      <c r="H224">
        <v>2.42</v>
      </c>
      <c r="I224">
        <v>22.74</v>
      </c>
      <c r="J224">
        <v>4.17</v>
      </c>
      <c r="K224">
        <v>6.8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10.45</v>
      </c>
      <c r="F225">
        <v>5.97</v>
      </c>
      <c r="G225">
        <v>9.57</v>
      </c>
      <c r="H225">
        <v>3.45</v>
      </c>
      <c r="I225">
        <v>31.94</v>
      </c>
      <c r="J225">
        <v>5.01</v>
      </c>
      <c r="K225">
        <v>11.23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12.5</v>
      </c>
      <c r="F226">
        <v>7.29</v>
      </c>
      <c r="G226">
        <v>12.27</v>
      </c>
      <c r="H226">
        <v>3.57</v>
      </c>
      <c r="I226">
        <v>42.43</v>
      </c>
      <c r="J226">
        <v>5.73</v>
      </c>
      <c r="K226">
        <v>11.14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13.56</v>
      </c>
      <c r="F227">
        <v>7.34</v>
      </c>
      <c r="G227">
        <v>14.41</v>
      </c>
      <c r="H227">
        <v>3.71</v>
      </c>
      <c r="I227">
        <v>46.46</v>
      </c>
      <c r="J227">
        <v>5.76</v>
      </c>
      <c r="K227">
        <v>9.2899999999999991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1.31</v>
      </c>
      <c r="F229">
        <v>1.08</v>
      </c>
      <c r="G229">
        <v>0.53</v>
      </c>
      <c r="H229">
        <v>0.95</v>
      </c>
      <c r="I229">
        <v>3.54</v>
      </c>
      <c r="J229">
        <v>0.99</v>
      </c>
      <c r="K229">
        <v>1.29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1.77</v>
      </c>
      <c r="F230">
        <v>1.27</v>
      </c>
      <c r="G230">
        <v>1.02</v>
      </c>
      <c r="H230">
        <v>0.89</v>
      </c>
      <c r="I230">
        <v>4.47</v>
      </c>
      <c r="J230">
        <v>1.1399999999999999</v>
      </c>
      <c r="K230">
        <v>2.02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5.41</v>
      </c>
      <c r="F231">
        <v>3.06</v>
      </c>
      <c r="G231">
        <v>8.26</v>
      </c>
      <c r="H231">
        <v>0</v>
      </c>
      <c r="I231">
        <v>43.57</v>
      </c>
      <c r="J231">
        <v>2.14</v>
      </c>
      <c r="K231">
        <v>4.78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7.15</v>
      </c>
      <c r="F232">
        <v>4.1500000000000004</v>
      </c>
      <c r="G232">
        <v>10.08</v>
      </c>
      <c r="H232">
        <v>0</v>
      </c>
      <c r="I232">
        <v>46.78</v>
      </c>
      <c r="J232">
        <v>2.61</v>
      </c>
      <c r="K232">
        <v>5.53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6.81</v>
      </c>
      <c r="F233">
        <v>4.91</v>
      </c>
      <c r="G233">
        <v>6.96</v>
      </c>
      <c r="H233">
        <v>0</v>
      </c>
      <c r="I233">
        <v>39.78</v>
      </c>
      <c r="J233">
        <v>3.16</v>
      </c>
      <c r="K233">
        <v>7.32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5.96</v>
      </c>
      <c r="F234">
        <v>5.35</v>
      </c>
      <c r="G234">
        <v>3.47</v>
      </c>
      <c r="H234">
        <v>0</v>
      </c>
      <c r="I234">
        <v>16.71</v>
      </c>
      <c r="J234">
        <v>3.81</v>
      </c>
      <c r="K234">
        <v>7.44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114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114</v>
      </c>
      <c r="E236">
        <v>1.71</v>
      </c>
      <c r="F236">
        <v>1.52</v>
      </c>
      <c r="G236">
        <v>0.68</v>
      </c>
      <c r="H236">
        <v>0.82</v>
      </c>
      <c r="I236">
        <v>3.81</v>
      </c>
      <c r="J236">
        <v>1.1499999999999999</v>
      </c>
      <c r="K236">
        <v>2.02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114</v>
      </c>
      <c r="E237">
        <v>2.21</v>
      </c>
      <c r="F237">
        <v>2.04</v>
      </c>
      <c r="G237">
        <v>0.99</v>
      </c>
      <c r="H237">
        <v>1.05</v>
      </c>
      <c r="I237">
        <v>5.62</v>
      </c>
      <c r="J237">
        <v>1.3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114</v>
      </c>
      <c r="E238">
        <v>3.52</v>
      </c>
      <c r="F238">
        <v>3.24</v>
      </c>
      <c r="G238">
        <v>1.4</v>
      </c>
      <c r="H238">
        <v>1.05</v>
      </c>
      <c r="I238">
        <v>9.1</v>
      </c>
      <c r="J238">
        <v>2.37</v>
      </c>
      <c r="K238">
        <v>4.3899999999999997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114</v>
      </c>
      <c r="E239">
        <v>4.4000000000000004</v>
      </c>
      <c r="F239">
        <v>3.84</v>
      </c>
      <c r="G239">
        <v>2.31</v>
      </c>
      <c r="H239">
        <v>1.06</v>
      </c>
      <c r="I239">
        <v>16.91</v>
      </c>
      <c r="J239">
        <v>2.67</v>
      </c>
      <c r="K239">
        <v>5.3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114</v>
      </c>
      <c r="E240">
        <v>5.2</v>
      </c>
      <c r="F240">
        <v>4.53</v>
      </c>
      <c r="G240">
        <v>2.87</v>
      </c>
      <c r="H240">
        <v>1.08</v>
      </c>
      <c r="I240">
        <v>21.53</v>
      </c>
      <c r="J240">
        <v>3.2</v>
      </c>
      <c r="K240">
        <v>6.25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114</v>
      </c>
      <c r="E241">
        <v>5.57</v>
      </c>
      <c r="F241">
        <v>5</v>
      </c>
      <c r="G241">
        <v>2.77</v>
      </c>
      <c r="H241">
        <v>1.1100000000000001</v>
      </c>
      <c r="I241">
        <v>16.86</v>
      </c>
      <c r="J241">
        <v>3.55</v>
      </c>
      <c r="K241">
        <v>6.74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28</v>
      </c>
      <c r="E243">
        <v>1.35</v>
      </c>
      <c r="F243">
        <v>1.2</v>
      </c>
      <c r="G243">
        <v>0.34</v>
      </c>
      <c r="H243">
        <v>0.99</v>
      </c>
      <c r="I243">
        <v>2.13</v>
      </c>
      <c r="J243">
        <v>1.1499999999999999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28</v>
      </c>
      <c r="E244">
        <v>1.74</v>
      </c>
      <c r="F244">
        <v>1.52</v>
      </c>
      <c r="G244">
        <v>0.59</v>
      </c>
      <c r="H244">
        <v>1.01</v>
      </c>
      <c r="I244">
        <v>2.94</v>
      </c>
      <c r="J244">
        <v>1.3</v>
      </c>
      <c r="K244">
        <v>2.2599999999999998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28</v>
      </c>
      <c r="E245">
        <v>2.54</v>
      </c>
      <c r="F245">
        <v>2.71</v>
      </c>
      <c r="G245">
        <v>0.79</v>
      </c>
      <c r="H245">
        <v>0.84</v>
      </c>
      <c r="I245">
        <v>3.93</v>
      </c>
      <c r="J245">
        <v>1.81</v>
      </c>
      <c r="K245">
        <v>3.07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28</v>
      </c>
      <c r="E246">
        <v>3.15</v>
      </c>
      <c r="F246">
        <v>3.53</v>
      </c>
      <c r="G246">
        <v>1.03</v>
      </c>
      <c r="H246">
        <v>0.95</v>
      </c>
      <c r="I246">
        <v>4.83</v>
      </c>
      <c r="J246">
        <v>2.06</v>
      </c>
      <c r="K246">
        <v>3.95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28</v>
      </c>
      <c r="E247">
        <v>3.55</v>
      </c>
      <c r="F247">
        <v>3.97</v>
      </c>
      <c r="G247">
        <v>1.18</v>
      </c>
      <c r="H247">
        <v>0.93</v>
      </c>
      <c r="I247">
        <v>4.96</v>
      </c>
      <c r="J247">
        <v>2.25</v>
      </c>
      <c r="K247">
        <v>4.5999999999999996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28</v>
      </c>
      <c r="E248">
        <v>3.85</v>
      </c>
      <c r="F248">
        <v>4.18</v>
      </c>
      <c r="G248">
        <v>1.33</v>
      </c>
      <c r="H248">
        <v>0.92</v>
      </c>
      <c r="I248">
        <v>5.73</v>
      </c>
      <c r="J248">
        <v>2.66</v>
      </c>
      <c r="K248">
        <v>4.83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40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40</v>
      </c>
      <c r="E250">
        <v>1.03</v>
      </c>
      <c r="F250">
        <v>1.02</v>
      </c>
      <c r="G250">
        <v>0.1</v>
      </c>
      <c r="H250">
        <v>0.82</v>
      </c>
      <c r="I250">
        <v>1.29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40</v>
      </c>
      <c r="E251">
        <v>1.1599999999999999</v>
      </c>
      <c r="F251">
        <v>1.1299999999999999</v>
      </c>
      <c r="G251">
        <v>0.13</v>
      </c>
      <c r="H251">
        <v>1</v>
      </c>
      <c r="I251">
        <v>1.6</v>
      </c>
      <c r="J251">
        <v>1.0900000000000001</v>
      </c>
      <c r="K251">
        <v>1.24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40</v>
      </c>
      <c r="E252">
        <v>1.17</v>
      </c>
      <c r="F252">
        <v>1.0900000000000001</v>
      </c>
      <c r="G252">
        <v>0.23</v>
      </c>
      <c r="H252">
        <v>0.89</v>
      </c>
      <c r="I252">
        <v>1.89</v>
      </c>
      <c r="J252">
        <v>1.04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40</v>
      </c>
      <c r="E253">
        <v>1.31</v>
      </c>
      <c r="F253">
        <v>1.26</v>
      </c>
      <c r="G253">
        <v>0.22</v>
      </c>
      <c r="H253">
        <v>1.03</v>
      </c>
      <c r="I253">
        <v>2.0299999999999998</v>
      </c>
      <c r="J253">
        <v>1.18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40</v>
      </c>
      <c r="E254">
        <v>1.32</v>
      </c>
      <c r="F254">
        <v>1.19</v>
      </c>
      <c r="G254">
        <v>0.3</v>
      </c>
      <c r="H254">
        <v>0.99</v>
      </c>
      <c r="I254">
        <v>2.19</v>
      </c>
      <c r="J254">
        <v>1.1000000000000001</v>
      </c>
      <c r="K254">
        <v>1.43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40</v>
      </c>
      <c r="E255">
        <v>1.45</v>
      </c>
      <c r="F255">
        <v>1.35</v>
      </c>
      <c r="G255">
        <v>0.31</v>
      </c>
      <c r="H255">
        <v>1.07</v>
      </c>
      <c r="I255">
        <v>2.38</v>
      </c>
      <c r="J255">
        <v>1.27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2.44</v>
      </c>
      <c r="F257">
        <v>2.0699999999999998</v>
      </c>
      <c r="G257">
        <v>1.65</v>
      </c>
      <c r="H257">
        <v>-0.14000000000000001</v>
      </c>
      <c r="I257">
        <v>9.15</v>
      </c>
      <c r="J257">
        <v>1.35</v>
      </c>
      <c r="K257">
        <v>3.19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4</v>
      </c>
      <c r="F258">
        <v>3.73</v>
      </c>
      <c r="G258">
        <v>2.37</v>
      </c>
      <c r="H258">
        <v>-0.4</v>
      </c>
      <c r="I258">
        <v>11.23</v>
      </c>
      <c r="J258">
        <v>3.04</v>
      </c>
      <c r="K258">
        <v>4.93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5.09</v>
      </c>
      <c r="F259">
        <v>5.9</v>
      </c>
      <c r="G259">
        <v>3.02</v>
      </c>
      <c r="H259">
        <v>-0.18</v>
      </c>
      <c r="I259">
        <v>13.74</v>
      </c>
      <c r="J259">
        <v>3.44</v>
      </c>
      <c r="K259">
        <v>6.36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6.42</v>
      </c>
      <c r="F260">
        <v>6.88</v>
      </c>
      <c r="G260">
        <v>3.35</v>
      </c>
      <c r="H260">
        <v>0</v>
      </c>
      <c r="I260">
        <v>16.350000000000001</v>
      </c>
      <c r="J260">
        <v>4.21</v>
      </c>
      <c r="K260">
        <v>8.1199999999999992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6.93</v>
      </c>
      <c r="F261">
        <v>7.16</v>
      </c>
      <c r="G261">
        <v>4.1399999999999997</v>
      </c>
      <c r="H261">
        <v>-0.11</v>
      </c>
      <c r="I261">
        <v>19.98</v>
      </c>
      <c r="J261">
        <v>4.9400000000000004</v>
      </c>
      <c r="K261">
        <v>9.66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7.08</v>
      </c>
      <c r="F262">
        <v>7.25</v>
      </c>
      <c r="G262">
        <v>4.59</v>
      </c>
      <c r="H262">
        <v>-0.2</v>
      </c>
      <c r="I262">
        <v>21.56</v>
      </c>
      <c r="J262">
        <v>4.99</v>
      </c>
      <c r="K262">
        <v>9.35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1.43</v>
      </c>
      <c r="F264">
        <v>1.38</v>
      </c>
      <c r="G264">
        <v>0.5</v>
      </c>
      <c r="H264">
        <v>0.42</v>
      </c>
      <c r="I264">
        <v>2.56</v>
      </c>
      <c r="J264">
        <v>1.08</v>
      </c>
      <c r="K264">
        <v>1.73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2.2200000000000002</v>
      </c>
      <c r="F265">
        <v>1.56</v>
      </c>
      <c r="G265">
        <v>1.79</v>
      </c>
      <c r="H265">
        <v>0.69</v>
      </c>
      <c r="I265">
        <v>8.83</v>
      </c>
      <c r="J265">
        <v>1.04</v>
      </c>
      <c r="K265">
        <v>2.83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3.56</v>
      </c>
      <c r="F266">
        <v>2.15</v>
      </c>
      <c r="G266">
        <v>3.58</v>
      </c>
      <c r="H266">
        <v>0.6</v>
      </c>
      <c r="I266">
        <v>18.37</v>
      </c>
      <c r="J266">
        <v>1.36</v>
      </c>
      <c r="K266">
        <v>4.58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4.62</v>
      </c>
      <c r="F267">
        <v>2.78</v>
      </c>
      <c r="G267">
        <v>4.93</v>
      </c>
      <c r="H267">
        <v>0</v>
      </c>
      <c r="I267">
        <v>26.36</v>
      </c>
      <c r="J267">
        <v>1.66</v>
      </c>
      <c r="K267">
        <v>6.04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4.04</v>
      </c>
      <c r="F268">
        <v>3.03</v>
      </c>
      <c r="G268">
        <v>2.89</v>
      </c>
      <c r="H268">
        <v>-0.08</v>
      </c>
      <c r="I268">
        <v>11.76</v>
      </c>
      <c r="J268">
        <v>1.82</v>
      </c>
      <c r="K268">
        <v>5.8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4.42</v>
      </c>
      <c r="F269">
        <v>2.16</v>
      </c>
      <c r="G269">
        <v>4.8</v>
      </c>
      <c r="H269">
        <v>-0.28000000000000003</v>
      </c>
      <c r="I269">
        <v>21.16</v>
      </c>
      <c r="J269">
        <v>1.38</v>
      </c>
      <c r="K269">
        <v>6.37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1.65</v>
      </c>
      <c r="F271">
        <v>1.41</v>
      </c>
      <c r="G271">
        <v>0.67</v>
      </c>
      <c r="H271">
        <v>0.42</v>
      </c>
      <c r="I271">
        <v>5.46</v>
      </c>
      <c r="J271">
        <v>1.31</v>
      </c>
      <c r="K271">
        <v>1.84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2.36</v>
      </c>
      <c r="F272">
        <v>1.8</v>
      </c>
      <c r="G272">
        <v>1.22</v>
      </c>
      <c r="H272">
        <v>0.78</v>
      </c>
      <c r="I272">
        <v>5.77</v>
      </c>
      <c r="J272">
        <v>1.37</v>
      </c>
      <c r="K272">
        <v>3.46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3.24</v>
      </c>
      <c r="F273">
        <v>3.22</v>
      </c>
      <c r="G273">
        <v>1.79</v>
      </c>
      <c r="H273">
        <v>0.96</v>
      </c>
      <c r="I273">
        <v>15.58</v>
      </c>
      <c r="J273">
        <v>1.72</v>
      </c>
      <c r="K273">
        <v>3.96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3.86</v>
      </c>
      <c r="F274">
        <v>3.89</v>
      </c>
      <c r="G274">
        <v>2.34</v>
      </c>
      <c r="H274">
        <v>0.89</v>
      </c>
      <c r="I274">
        <v>19.12</v>
      </c>
      <c r="J274">
        <v>1.67</v>
      </c>
      <c r="K274">
        <v>5.1100000000000003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4.54</v>
      </c>
      <c r="F275">
        <v>4.83</v>
      </c>
      <c r="G275">
        <v>2.5499999999999998</v>
      </c>
      <c r="H275">
        <v>0.15</v>
      </c>
      <c r="I275">
        <v>17.170000000000002</v>
      </c>
      <c r="J275">
        <v>2.19</v>
      </c>
      <c r="K275">
        <v>5.96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4.76</v>
      </c>
      <c r="F276">
        <v>5.16</v>
      </c>
      <c r="G276">
        <v>2.81</v>
      </c>
      <c r="H276">
        <v>-0.25</v>
      </c>
      <c r="I276">
        <v>13.06</v>
      </c>
      <c r="J276">
        <v>2.0499999999999998</v>
      </c>
      <c r="K276">
        <v>6.79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1.38</v>
      </c>
      <c r="F278">
        <v>1.37</v>
      </c>
      <c r="G278">
        <v>0.22</v>
      </c>
      <c r="H278">
        <v>1.01</v>
      </c>
      <c r="I278">
        <v>2.04</v>
      </c>
      <c r="J278">
        <v>1.29</v>
      </c>
      <c r="K278">
        <v>1.39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1.53</v>
      </c>
      <c r="F279">
        <v>1.43</v>
      </c>
      <c r="G279">
        <v>0.44</v>
      </c>
      <c r="H279">
        <v>1</v>
      </c>
      <c r="I279">
        <v>2.96</v>
      </c>
      <c r="J279">
        <v>1.25</v>
      </c>
      <c r="K279">
        <v>1.56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1.86</v>
      </c>
      <c r="F280">
        <v>1.53</v>
      </c>
      <c r="G280">
        <v>0.64</v>
      </c>
      <c r="H280">
        <v>1.01</v>
      </c>
      <c r="I280">
        <v>3.57</v>
      </c>
      <c r="J280">
        <v>1.42</v>
      </c>
      <c r="K280">
        <v>2.3199999999999998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2.15</v>
      </c>
      <c r="F281">
        <v>1.63</v>
      </c>
      <c r="G281">
        <v>0.96</v>
      </c>
      <c r="H281">
        <v>1</v>
      </c>
      <c r="I281">
        <v>4.16</v>
      </c>
      <c r="J281">
        <v>1.35</v>
      </c>
      <c r="K281">
        <v>3.16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2.5499999999999998</v>
      </c>
      <c r="F282">
        <v>1.89</v>
      </c>
      <c r="G282">
        <v>1.1299999999999999</v>
      </c>
      <c r="H282">
        <v>0.99</v>
      </c>
      <c r="I282">
        <v>4.75</v>
      </c>
      <c r="J282">
        <v>1.77</v>
      </c>
      <c r="K282">
        <v>3.66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2.79</v>
      </c>
      <c r="F283">
        <v>2.15</v>
      </c>
      <c r="G283">
        <v>1.4</v>
      </c>
      <c r="H283">
        <v>0.92</v>
      </c>
      <c r="I283">
        <v>5.68</v>
      </c>
      <c r="J283">
        <v>1.83</v>
      </c>
      <c r="K283">
        <v>4.1100000000000003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1.3</v>
      </c>
      <c r="F285">
        <v>1.3</v>
      </c>
      <c r="G285">
        <v>0.31</v>
      </c>
      <c r="H285">
        <v>0.4</v>
      </c>
      <c r="I285">
        <v>2.2400000000000002</v>
      </c>
      <c r="J285">
        <v>1.0900000000000001</v>
      </c>
      <c r="K285">
        <v>1.47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1.81</v>
      </c>
      <c r="F286">
        <v>1.56</v>
      </c>
      <c r="G286">
        <v>0.7</v>
      </c>
      <c r="H286">
        <v>0.98</v>
      </c>
      <c r="I286">
        <v>3.11</v>
      </c>
      <c r="J286">
        <v>1.17</v>
      </c>
      <c r="K286">
        <v>2.54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1.95</v>
      </c>
      <c r="F287">
        <v>1.77</v>
      </c>
      <c r="G287">
        <v>0.79</v>
      </c>
      <c r="H287">
        <v>0.97</v>
      </c>
      <c r="I287">
        <v>3.39</v>
      </c>
      <c r="J287">
        <v>1.27</v>
      </c>
      <c r="K287">
        <v>2.81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2.15</v>
      </c>
      <c r="F288">
        <v>1.91</v>
      </c>
      <c r="G288">
        <v>0.89</v>
      </c>
      <c r="H288">
        <v>0.97</v>
      </c>
      <c r="I288">
        <v>3.77</v>
      </c>
      <c r="J288">
        <v>1.42</v>
      </c>
      <c r="K288">
        <v>3.08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2.25</v>
      </c>
      <c r="F289">
        <v>2.14</v>
      </c>
      <c r="G289">
        <v>0.91</v>
      </c>
      <c r="H289">
        <v>0.97</v>
      </c>
      <c r="I289">
        <v>3.78</v>
      </c>
      <c r="J289">
        <v>1.5</v>
      </c>
      <c r="K289">
        <v>3.08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2.36</v>
      </c>
      <c r="F290">
        <v>2.29</v>
      </c>
      <c r="G290">
        <v>0.95</v>
      </c>
      <c r="H290">
        <v>0.97</v>
      </c>
      <c r="I290">
        <v>4.53</v>
      </c>
      <c r="J290">
        <v>1.61</v>
      </c>
      <c r="K290">
        <v>3.19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6.54</v>
      </c>
      <c r="F292">
        <v>6.79</v>
      </c>
      <c r="G292">
        <v>4.9400000000000004</v>
      </c>
      <c r="H292">
        <v>1.23</v>
      </c>
      <c r="I292">
        <v>16.5</v>
      </c>
      <c r="J292">
        <v>1.28</v>
      </c>
      <c r="K292">
        <v>8.11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10.97</v>
      </c>
      <c r="F293">
        <v>10.68</v>
      </c>
      <c r="G293">
        <v>5.94</v>
      </c>
      <c r="H293">
        <v>1.4</v>
      </c>
      <c r="I293">
        <v>26.08</v>
      </c>
      <c r="J293">
        <v>5.97</v>
      </c>
      <c r="K293">
        <v>14.95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16.260000000000002</v>
      </c>
      <c r="F294">
        <v>13.59</v>
      </c>
      <c r="G294">
        <v>10.77</v>
      </c>
      <c r="H294">
        <v>3.2</v>
      </c>
      <c r="I294">
        <v>31.82</v>
      </c>
      <c r="J294">
        <v>5.51</v>
      </c>
      <c r="K294">
        <v>28.19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22.76</v>
      </c>
      <c r="F295">
        <v>17.329999999999998</v>
      </c>
      <c r="G295">
        <v>15.22</v>
      </c>
      <c r="H295">
        <v>5.2</v>
      </c>
      <c r="I295">
        <v>40.44</v>
      </c>
      <c r="J295">
        <v>6.74</v>
      </c>
      <c r="K295">
        <v>39.43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27.56</v>
      </c>
      <c r="F296">
        <v>20.29</v>
      </c>
      <c r="G296">
        <v>20.21</v>
      </c>
      <c r="H296">
        <v>4.84</v>
      </c>
      <c r="I296">
        <v>53.13</v>
      </c>
      <c r="J296">
        <v>6.47</v>
      </c>
      <c r="K296">
        <v>49.75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30.89</v>
      </c>
      <c r="F297">
        <v>22.32</v>
      </c>
      <c r="G297">
        <v>23.65</v>
      </c>
      <c r="H297">
        <v>5.55</v>
      </c>
      <c r="I297">
        <v>59.06</v>
      </c>
      <c r="J297">
        <v>7.37</v>
      </c>
      <c r="K297">
        <v>57.64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19</v>
      </c>
      <c r="E299">
        <v>1.74</v>
      </c>
      <c r="F299">
        <v>1.18</v>
      </c>
      <c r="G299">
        <v>1.43</v>
      </c>
      <c r="H299">
        <v>1.05</v>
      </c>
      <c r="I299">
        <v>6.05</v>
      </c>
      <c r="J299">
        <v>1.1499999999999999</v>
      </c>
      <c r="K299">
        <v>1.45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19</v>
      </c>
      <c r="E300">
        <v>2.34</v>
      </c>
      <c r="F300">
        <v>1.1000000000000001</v>
      </c>
      <c r="G300">
        <v>1.94</v>
      </c>
      <c r="H300">
        <v>0.92</v>
      </c>
      <c r="I300">
        <v>5.45</v>
      </c>
      <c r="J300">
        <v>0.94</v>
      </c>
      <c r="K300">
        <v>4.68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19</v>
      </c>
      <c r="E301">
        <v>11.6</v>
      </c>
      <c r="F301">
        <v>6.96</v>
      </c>
      <c r="G301">
        <v>10.54</v>
      </c>
      <c r="H301">
        <v>4.43</v>
      </c>
      <c r="I301">
        <v>45.84</v>
      </c>
      <c r="J301">
        <v>6.01</v>
      </c>
      <c r="K301">
        <v>13.74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19</v>
      </c>
      <c r="E302">
        <v>15.1</v>
      </c>
      <c r="F302">
        <v>7.05</v>
      </c>
      <c r="G302">
        <v>14.59</v>
      </c>
      <c r="H302">
        <v>5.15</v>
      </c>
      <c r="I302">
        <v>58.28</v>
      </c>
      <c r="J302">
        <v>6.13</v>
      </c>
      <c r="K302">
        <v>24.54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19</v>
      </c>
      <c r="E303">
        <v>13.24</v>
      </c>
      <c r="F303">
        <v>8.24</v>
      </c>
      <c r="G303">
        <v>11.64</v>
      </c>
      <c r="H303">
        <v>4.87</v>
      </c>
      <c r="I303">
        <v>50.21</v>
      </c>
      <c r="J303">
        <v>6.69</v>
      </c>
      <c r="K303">
        <v>15.03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19</v>
      </c>
      <c r="E304">
        <v>10.38</v>
      </c>
      <c r="F304">
        <v>7.73</v>
      </c>
      <c r="G304">
        <v>6.8</v>
      </c>
      <c r="H304">
        <v>5.32</v>
      </c>
      <c r="I304">
        <v>33.36</v>
      </c>
      <c r="J304">
        <v>6.35</v>
      </c>
      <c r="K304">
        <v>10.67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72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72</v>
      </c>
      <c r="E306">
        <v>2.35</v>
      </c>
      <c r="F306">
        <v>1.32</v>
      </c>
      <c r="G306">
        <v>1.77</v>
      </c>
      <c r="H306">
        <v>1.05</v>
      </c>
      <c r="I306">
        <v>8.1999999999999993</v>
      </c>
      <c r="J306">
        <v>1.1399999999999999</v>
      </c>
      <c r="K306">
        <v>3.46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72</v>
      </c>
      <c r="E307">
        <v>3.04</v>
      </c>
      <c r="F307">
        <v>1.42</v>
      </c>
      <c r="G307">
        <v>2.77</v>
      </c>
      <c r="H307">
        <v>0.92</v>
      </c>
      <c r="I307">
        <v>12.73</v>
      </c>
      <c r="J307">
        <v>1.1000000000000001</v>
      </c>
      <c r="K307">
        <v>4.4400000000000004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72</v>
      </c>
      <c r="E308">
        <v>6.87</v>
      </c>
      <c r="F308">
        <v>5.9</v>
      </c>
      <c r="G308">
        <v>2.96</v>
      </c>
      <c r="H308">
        <v>3.09</v>
      </c>
      <c r="I308">
        <v>16.64</v>
      </c>
      <c r="J308">
        <v>4.55</v>
      </c>
      <c r="K308">
        <v>8.99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72</v>
      </c>
      <c r="E309">
        <v>9.0299999999999994</v>
      </c>
      <c r="F309">
        <v>8.27</v>
      </c>
      <c r="G309">
        <v>5.24</v>
      </c>
      <c r="H309">
        <v>3.15</v>
      </c>
      <c r="I309">
        <v>21.92</v>
      </c>
      <c r="J309">
        <v>4.58</v>
      </c>
      <c r="K309">
        <v>12.66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72</v>
      </c>
      <c r="E310">
        <v>10.53</v>
      </c>
      <c r="F310">
        <v>8.16</v>
      </c>
      <c r="G310">
        <v>6.77</v>
      </c>
      <c r="H310">
        <v>3.05</v>
      </c>
      <c r="I310">
        <v>27.65</v>
      </c>
      <c r="J310">
        <v>4.82</v>
      </c>
      <c r="K310">
        <v>14.79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72</v>
      </c>
      <c r="E311">
        <v>11.57</v>
      </c>
      <c r="F311">
        <v>7.64</v>
      </c>
      <c r="G311">
        <v>8.1199999999999992</v>
      </c>
      <c r="H311">
        <v>3.76</v>
      </c>
      <c r="I311">
        <v>32.28</v>
      </c>
      <c r="J311">
        <v>4.72</v>
      </c>
      <c r="K311">
        <v>16.29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1.72</v>
      </c>
      <c r="F313">
        <v>1.28</v>
      </c>
      <c r="G313">
        <v>0.86</v>
      </c>
      <c r="H313">
        <v>1.05</v>
      </c>
      <c r="I313">
        <v>3.68</v>
      </c>
      <c r="J313">
        <v>1.05</v>
      </c>
      <c r="K313">
        <v>2.0699999999999998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2.27</v>
      </c>
      <c r="F314">
        <v>1.7</v>
      </c>
      <c r="G314">
        <v>1.45</v>
      </c>
      <c r="H314">
        <v>0.94</v>
      </c>
      <c r="I314">
        <v>5.52</v>
      </c>
      <c r="J314">
        <v>1.1000000000000001</v>
      </c>
      <c r="K314">
        <v>2.87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4.3099999999999996</v>
      </c>
      <c r="F315">
        <v>4.29</v>
      </c>
      <c r="G315">
        <v>1.36</v>
      </c>
      <c r="H315">
        <v>2.11</v>
      </c>
      <c r="I315">
        <v>6.89</v>
      </c>
      <c r="J315">
        <v>3.04</v>
      </c>
      <c r="K315">
        <v>5.23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5.79</v>
      </c>
      <c r="F316">
        <v>6.13</v>
      </c>
      <c r="G316">
        <v>2.02</v>
      </c>
      <c r="H316">
        <v>2.29</v>
      </c>
      <c r="I316">
        <v>10.25</v>
      </c>
      <c r="J316">
        <v>4.53</v>
      </c>
      <c r="K316">
        <v>7.3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6.78</v>
      </c>
      <c r="F317">
        <v>7.59</v>
      </c>
      <c r="G317">
        <v>2.66</v>
      </c>
      <c r="H317">
        <v>2.6</v>
      </c>
      <c r="I317">
        <v>12.36</v>
      </c>
      <c r="J317">
        <v>4.46</v>
      </c>
      <c r="K317">
        <v>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7.13</v>
      </c>
      <c r="F318">
        <v>8.1999999999999993</v>
      </c>
      <c r="G318">
        <v>3.02</v>
      </c>
      <c r="H318">
        <v>2.76</v>
      </c>
      <c r="I318">
        <v>11.63</v>
      </c>
      <c r="J318">
        <v>4.04</v>
      </c>
      <c r="K318">
        <v>9.4700000000000006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1.1000000000000001</v>
      </c>
      <c r="F320">
        <v>1.06</v>
      </c>
      <c r="G320">
        <v>0.08</v>
      </c>
      <c r="H320">
        <v>0.98</v>
      </c>
      <c r="I320">
        <v>1.25</v>
      </c>
      <c r="J320">
        <v>1.04</v>
      </c>
      <c r="K320">
        <v>1.1599999999999999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1.1499999999999999</v>
      </c>
      <c r="F321">
        <v>1.1000000000000001</v>
      </c>
      <c r="G321">
        <v>0.2</v>
      </c>
      <c r="H321">
        <v>0.82</v>
      </c>
      <c r="I321">
        <v>1.53</v>
      </c>
      <c r="J321">
        <v>1.07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1.25</v>
      </c>
      <c r="F322">
        <v>1.1599999999999999</v>
      </c>
      <c r="G322">
        <v>0.17</v>
      </c>
      <c r="H322">
        <v>1.07</v>
      </c>
      <c r="I322">
        <v>1.59</v>
      </c>
      <c r="J322">
        <v>1.1000000000000001</v>
      </c>
      <c r="K322">
        <v>1.38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1.34</v>
      </c>
      <c r="F323">
        <v>1.31</v>
      </c>
      <c r="G323">
        <v>0.25</v>
      </c>
      <c r="H323">
        <v>1.06</v>
      </c>
      <c r="I323">
        <v>1.89</v>
      </c>
      <c r="J323">
        <v>1.18</v>
      </c>
      <c r="K323">
        <v>1.55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1.38</v>
      </c>
      <c r="F324">
        <v>1.3</v>
      </c>
      <c r="G324">
        <v>0.27</v>
      </c>
      <c r="H324">
        <v>1.04</v>
      </c>
      <c r="I324">
        <v>1.83</v>
      </c>
      <c r="J324">
        <v>1.22</v>
      </c>
      <c r="K324">
        <v>1.56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1.47</v>
      </c>
      <c r="F325">
        <v>1.3</v>
      </c>
      <c r="G325">
        <v>0.37</v>
      </c>
      <c r="H325">
        <v>1.02</v>
      </c>
      <c r="I325">
        <v>2.0699999999999998</v>
      </c>
      <c r="J325">
        <v>1.26</v>
      </c>
      <c r="K325">
        <v>1.77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</v>
      </c>
      <c r="F327">
        <v>1</v>
      </c>
      <c r="G327">
        <v>0.01</v>
      </c>
      <c r="H327">
        <v>0.99</v>
      </c>
      <c r="I327">
        <v>1.01</v>
      </c>
      <c r="J327">
        <v>1</v>
      </c>
      <c r="K327">
        <v>1.01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1.02</v>
      </c>
      <c r="F328">
        <v>1.02</v>
      </c>
      <c r="G328">
        <v>0.02</v>
      </c>
      <c r="H328">
        <v>0.99</v>
      </c>
      <c r="I328">
        <v>1.05</v>
      </c>
      <c r="J328">
        <v>1</v>
      </c>
      <c r="K328">
        <v>1.03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1.07</v>
      </c>
      <c r="F329">
        <v>1.08</v>
      </c>
      <c r="G329">
        <v>0.03</v>
      </c>
      <c r="H329">
        <v>1.03</v>
      </c>
      <c r="I329">
        <v>1.1100000000000001</v>
      </c>
      <c r="J329">
        <v>1.05</v>
      </c>
      <c r="K329">
        <v>1.0900000000000001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1.1000000000000001</v>
      </c>
      <c r="F330">
        <v>1.1100000000000001</v>
      </c>
      <c r="G330">
        <v>0.02</v>
      </c>
      <c r="H330">
        <v>1.06</v>
      </c>
      <c r="I330">
        <v>1.1399999999999999</v>
      </c>
      <c r="J330">
        <v>1.1000000000000001</v>
      </c>
      <c r="K330">
        <v>1.1100000000000001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1.1399999999999999</v>
      </c>
      <c r="F331">
        <v>1.1399999999999999</v>
      </c>
      <c r="G331">
        <v>0.02</v>
      </c>
      <c r="H331">
        <v>1.1100000000000001</v>
      </c>
      <c r="I331">
        <v>1.1599999999999999</v>
      </c>
      <c r="J331">
        <v>1.1299999999999999</v>
      </c>
      <c r="K331">
        <v>1.1499999999999999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1.1599999999999999</v>
      </c>
      <c r="F332">
        <v>1.17</v>
      </c>
      <c r="G332">
        <v>0.02</v>
      </c>
      <c r="H332">
        <v>1.1399999999999999</v>
      </c>
      <c r="I332">
        <v>1.18</v>
      </c>
      <c r="J332">
        <v>1.1499999999999999</v>
      </c>
      <c r="K332">
        <v>1.17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1.01</v>
      </c>
      <c r="F334">
        <v>1</v>
      </c>
      <c r="G334">
        <v>0</v>
      </c>
      <c r="H334">
        <v>1</v>
      </c>
      <c r="I334">
        <v>1.01</v>
      </c>
      <c r="J334">
        <v>1</v>
      </c>
      <c r="K334">
        <v>1.01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0.01</v>
      </c>
      <c r="H335">
        <v>0.99</v>
      </c>
      <c r="I335">
        <v>1.03</v>
      </c>
      <c r="J335">
        <v>1.01</v>
      </c>
      <c r="K335">
        <v>1.02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1.05</v>
      </c>
      <c r="F336">
        <v>1.05</v>
      </c>
      <c r="G336">
        <v>0.02</v>
      </c>
      <c r="H336">
        <v>1.02</v>
      </c>
      <c r="I336">
        <v>1.0900000000000001</v>
      </c>
      <c r="J336">
        <v>1.04</v>
      </c>
      <c r="K336">
        <v>1.05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1.0900000000000001</v>
      </c>
      <c r="F337">
        <v>1.0900000000000001</v>
      </c>
      <c r="G337">
        <v>0.02</v>
      </c>
      <c r="H337">
        <v>1.06</v>
      </c>
      <c r="I337">
        <v>1.1299999999999999</v>
      </c>
      <c r="J337">
        <v>1.08</v>
      </c>
      <c r="K337">
        <v>1.1000000000000001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1.1599999999999999</v>
      </c>
      <c r="F338">
        <v>1.1599999999999999</v>
      </c>
      <c r="G338">
        <v>0.04</v>
      </c>
      <c r="H338">
        <v>1.1100000000000001</v>
      </c>
      <c r="I338">
        <v>1.22</v>
      </c>
      <c r="J338">
        <v>1.1299999999999999</v>
      </c>
      <c r="K338">
        <v>1.17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1.22</v>
      </c>
      <c r="F339">
        <v>1.22</v>
      </c>
      <c r="G339">
        <v>0.05</v>
      </c>
      <c r="H339">
        <v>1.17</v>
      </c>
      <c r="I339">
        <v>1.31</v>
      </c>
      <c r="J339">
        <v>1.18</v>
      </c>
      <c r="K339">
        <v>1.23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1.03</v>
      </c>
      <c r="F341">
        <v>1</v>
      </c>
      <c r="G341">
        <v>7.0000000000000007E-2</v>
      </c>
      <c r="H341">
        <v>0.94</v>
      </c>
      <c r="I341">
        <v>1.2</v>
      </c>
      <c r="J341">
        <v>0.99</v>
      </c>
      <c r="K341">
        <v>1.06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1.1100000000000001</v>
      </c>
      <c r="F342">
        <v>1.01</v>
      </c>
      <c r="G342">
        <v>0.17</v>
      </c>
      <c r="H342">
        <v>0.95</v>
      </c>
      <c r="I342">
        <v>1.53</v>
      </c>
      <c r="J342">
        <v>0.99</v>
      </c>
      <c r="K342">
        <v>1.26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1.28</v>
      </c>
      <c r="G343">
        <v>0.32</v>
      </c>
      <c r="H343">
        <v>1.03</v>
      </c>
      <c r="I343">
        <v>1.92</v>
      </c>
      <c r="J343">
        <v>1.07</v>
      </c>
      <c r="K343">
        <v>1.59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1.65</v>
      </c>
      <c r="F344">
        <v>1.38</v>
      </c>
      <c r="G344">
        <v>0.63</v>
      </c>
      <c r="H344">
        <v>1.05</v>
      </c>
      <c r="I344">
        <v>2.64</v>
      </c>
      <c r="J344">
        <v>1.08</v>
      </c>
      <c r="K344">
        <v>2.23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1.95</v>
      </c>
      <c r="F345">
        <v>1.62</v>
      </c>
      <c r="G345">
        <v>0.93</v>
      </c>
      <c r="H345">
        <v>1.07</v>
      </c>
      <c r="I345">
        <v>3.67</v>
      </c>
      <c r="J345">
        <v>1.1100000000000001</v>
      </c>
      <c r="K345">
        <v>2.67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2.27</v>
      </c>
      <c r="F346">
        <v>1.88</v>
      </c>
      <c r="G346">
        <v>1.23</v>
      </c>
      <c r="H346">
        <v>1.1100000000000001</v>
      </c>
      <c r="I346">
        <v>4.53</v>
      </c>
      <c r="J346">
        <v>1.1599999999999999</v>
      </c>
      <c r="K346">
        <v>3.22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0.96</v>
      </c>
      <c r="F348">
        <v>0.95</v>
      </c>
      <c r="G348">
        <v>0.02</v>
      </c>
      <c r="H348">
        <v>0.94</v>
      </c>
      <c r="I348">
        <v>1.01</v>
      </c>
      <c r="J348">
        <v>0.94</v>
      </c>
      <c r="K348">
        <v>0.97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1.06</v>
      </c>
      <c r="F349">
        <v>1.05</v>
      </c>
      <c r="G349">
        <v>0.12</v>
      </c>
      <c r="H349">
        <v>0.95</v>
      </c>
      <c r="I349">
        <v>1.2</v>
      </c>
      <c r="J349">
        <v>0.95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1.26</v>
      </c>
      <c r="F350">
        <v>1.28</v>
      </c>
      <c r="G350">
        <v>0.1</v>
      </c>
      <c r="H350">
        <v>1.1200000000000001</v>
      </c>
      <c r="I350">
        <v>1.38</v>
      </c>
      <c r="J350">
        <v>1.18</v>
      </c>
      <c r="K350">
        <v>1.32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1.35</v>
      </c>
      <c r="F351">
        <v>1.33</v>
      </c>
      <c r="G351">
        <v>0.13</v>
      </c>
      <c r="H351">
        <v>1.19</v>
      </c>
      <c r="I351">
        <v>1.56</v>
      </c>
      <c r="J351">
        <v>1.28</v>
      </c>
      <c r="K351">
        <v>1.42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1.62</v>
      </c>
      <c r="F352">
        <v>1.62</v>
      </c>
      <c r="G352">
        <v>0.15</v>
      </c>
      <c r="H352">
        <v>1.36</v>
      </c>
      <c r="I352">
        <v>1.81</v>
      </c>
      <c r="J352">
        <v>1.55</v>
      </c>
      <c r="K352">
        <v>1.7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2.02</v>
      </c>
      <c r="F353">
        <v>2.04</v>
      </c>
      <c r="G353">
        <v>0.28000000000000003</v>
      </c>
      <c r="H353">
        <v>1.57</v>
      </c>
      <c r="I353">
        <v>2.35</v>
      </c>
      <c r="J353">
        <v>1.9</v>
      </c>
      <c r="K353">
        <v>2.25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1.03</v>
      </c>
      <c r="F355">
        <v>0.99</v>
      </c>
      <c r="G355">
        <v>0.09</v>
      </c>
      <c r="H355">
        <v>0.92</v>
      </c>
      <c r="I355">
        <v>1.17</v>
      </c>
      <c r="J355">
        <v>0.99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1.01</v>
      </c>
      <c r="F356">
        <v>0.99</v>
      </c>
      <c r="G356">
        <v>7.0000000000000007E-2</v>
      </c>
      <c r="H356">
        <v>0.89</v>
      </c>
      <c r="I356">
        <v>1.1200000000000001</v>
      </c>
      <c r="J356">
        <v>0.99</v>
      </c>
      <c r="K356">
        <v>1.07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1.04</v>
      </c>
      <c r="F357">
        <v>1.04</v>
      </c>
      <c r="G357">
        <v>0.05</v>
      </c>
      <c r="H357">
        <v>0.98</v>
      </c>
      <c r="I357">
        <v>1.1100000000000001</v>
      </c>
      <c r="J357">
        <v>0.99</v>
      </c>
      <c r="K357">
        <v>1.07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1.06</v>
      </c>
      <c r="F358">
        <v>1.05</v>
      </c>
      <c r="G358">
        <v>0.05</v>
      </c>
      <c r="H358">
        <v>1</v>
      </c>
      <c r="I358">
        <v>1.18</v>
      </c>
      <c r="J358">
        <v>1.02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1.08</v>
      </c>
      <c r="F359">
        <v>1.07</v>
      </c>
      <c r="G359">
        <v>0.08</v>
      </c>
      <c r="H359">
        <v>0.95</v>
      </c>
      <c r="I359">
        <v>1.24</v>
      </c>
      <c r="J359">
        <v>1.06</v>
      </c>
      <c r="K359">
        <v>1.0900000000000001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1.1100000000000001</v>
      </c>
      <c r="F360">
        <v>1.0900000000000001</v>
      </c>
      <c r="G360">
        <v>0.11</v>
      </c>
      <c r="H360">
        <v>0.9</v>
      </c>
      <c r="I360">
        <v>1.27</v>
      </c>
      <c r="J360">
        <v>1.08</v>
      </c>
      <c r="K360">
        <v>1.19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IFERROR(Veda!D5,"ts_12t")</f>
        <v>ts_annual</v>
      </c>
      <c r="B10" s="15"/>
      <c r="C10" s="15" t="s">
        <v>231</v>
      </c>
      <c r="D10" t="s">
        <v>127</v>
      </c>
      <c r="F10" t="s">
        <v>231</v>
      </c>
      <c r="G10" t="s">
        <v>107</v>
      </c>
      <c r="I10" t="s">
        <v>231</v>
      </c>
      <c r="J10" t="s">
        <v>132</v>
      </c>
    </row>
    <row r="11" spans="1:10" x14ac:dyDescent="0.45">
      <c r="B11" s="15"/>
      <c r="C11" s="15" t="s">
        <v>232</v>
      </c>
      <c r="D11" t="s">
        <v>233</v>
      </c>
      <c r="F11" t="s">
        <v>232</v>
      </c>
      <c r="G11" t="s">
        <v>242</v>
      </c>
      <c r="I11" t="s">
        <v>232</v>
      </c>
      <c r="J11" t="s">
        <v>261</v>
      </c>
    </row>
    <row r="12" spans="1:10" x14ac:dyDescent="0.45">
      <c r="B12" s="15"/>
      <c r="C12" s="15" t="s">
        <v>234</v>
      </c>
      <c r="D12" t="s">
        <v>235</v>
      </c>
      <c r="F12" t="s">
        <v>234</v>
      </c>
      <c r="G12" t="s">
        <v>242</v>
      </c>
      <c r="I12" t="s">
        <v>234</v>
      </c>
      <c r="J12" t="s">
        <v>262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CAEEA-81E3-4566-9944-CE243067D95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</row>
    <row r="11" spans="1:7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</row>
    <row r="12" spans="1:7" x14ac:dyDescent="0.45">
      <c r="C12" t="s">
        <v>154</v>
      </c>
      <c r="E12" t="s">
        <v>155</v>
      </c>
      <c r="G12" t="s">
        <v>151</v>
      </c>
    </row>
    <row r="13" spans="1:7" x14ac:dyDescent="0.45">
      <c r="C13" t="s">
        <v>156</v>
      </c>
      <c r="E13" t="s">
        <v>157</v>
      </c>
      <c r="G13" t="s">
        <v>151</v>
      </c>
    </row>
    <row r="14" spans="1:7" x14ac:dyDescent="0.45">
      <c r="C14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317F3-3646-4044-982B-11817D1738BB}">
  <dimension ref="A9:AN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159</v>
      </c>
      <c r="G11" t="s">
        <v>151</v>
      </c>
      <c r="I11" t="s">
        <v>167</v>
      </c>
      <c r="J11" t="s">
        <v>168</v>
      </c>
      <c r="K11">
        <v>0</v>
      </c>
      <c r="L11" t="s">
        <v>169</v>
      </c>
      <c r="N11" t="s">
        <v>220</v>
      </c>
      <c r="O11" t="s">
        <v>168</v>
      </c>
      <c r="P11">
        <v>1.9905936534730256E-2</v>
      </c>
      <c r="Q11" t="s">
        <v>169</v>
      </c>
      <c r="S11" t="s">
        <v>225</v>
      </c>
      <c r="T11" t="s">
        <v>168</v>
      </c>
      <c r="U11">
        <v>1.9905936534730256E-2</v>
      </c>
      <c r="V11" t="s">
        <v>169</v>
      </c>
      <c r="X11">
        <v>2.0205479452054795E-2</v>
      </c>
      <c r="Y11">
        <v>3.1292212581524662E-3</v>
      </c>
      <c r="Z11" t="s">
        <v>168</v>
      </c>
      <c r="AA11" t="s">
        <v>25</v>
      </c>
      <c r="AC11" t="s">
        <v>22</v>
      </c>
      <c r="AD11" t="s">
        <v>168</v>
      </c>
      <c r="AE11">
        <v>2.0410607434926207E-2</v>
      </c>
      <c r="AG11" t="s">
        <v>97</v>
      </c>
      <c r="AH11" t="s">
        <v>168</v>
      </c>
      <c r="AI11">
        <v>0.20133580905682136</v>
      </c>
      <c r="AK11">
        <v>2025</v>
      </c>
      <c r="AL11" t="s">
        <v>150</v>
      </c>
      <c r="AM11">
        <v>0.45810000000000001</v>
      </c>
      <c r="AN11" t="s">
        <v>239</v>
      </c>
    </row>
    <row r="12" spans="1:40" x14ac:dyDescent="0.45">
      <c r="C12" t="s">
        <v>154</v>
      </c>
      <c r="E12" t="s">
        <v>155</v>
      </c>
      <c r="G12" t="s">
        <v>151</v>
      </c>
      <c r="I12" t="s">
        <v>167</v>
      </c>
      <c r="J12" t="s">
        <v>170</v>
      </c>
      <c r="K12">
        <v>0</v>
      </c>
      <c r="L12" t="s">
        <v>169</v>
      </c>
      <c r="N12" t="s">
        <v>220</v>
      </c>
      <c r="O12" t="s">
        <v>170</v>
      </c>
      <c r="P12">
        <v>2.0952831352153575E-2</v>
      </c>
      <c r="Q12" t="s">
        <v>169</v>
      </c>
      <c r="S12" t="s">
        <v>225</v>
      </c>
      <c r="T12" t="s">
        <v>170</v>
      </c>
      <c r="U12">
        <v>2.0952831352153575E-2</v>
      </c>
      <c r="V12" t="s">
        <v>169</v>
      </c>
      <c r="X12">
        <v>2.0205479452054795E-2</v>
      </c>
      <c r="Y12">
        <v>5.5152524674937252E-3</v>
      </c>
      <c r="Z12" t="s">
        <v>170</v>
      </c>
      <c r="AA12" t="s">
        <v>25</v>
      </c>
      <c r="AC12" t="s">
        <v>22</v>
      </c>
      <c r="AD12" t="s">
        <v>170</v>
      </c>
      <c r="AE12">
        <v>2.4169106689805781E-2</v>
      </c>
      <c r="AG12" t="s">
        <v>97</v>
      </c>
      <c r="AH12" t="s">
        <v>170</v>
      </c>
      <c r="AI12">
        <v>0.11961627153225729</v>
      </c>
      <c r="AK12">
        <v>2025</v>
      </c>
      <c r="AL12" t="s">
        <v>154</v>
      </c>
      <c r="AM12">
        <v>0.37895000000000001</v>
      </c>
      <c r="AN12" t="s">
        <v>239</v>
      </c>
    </row>
    <row r="13" spans="1:40" x14ac:dyDescent="0.45">
      <c r="C13" t="s">
        <v>156</v>
      </c>
      <c r="E13" t="s">
        <v>157</v>
      </c>
      <c r="G13" t="s">
        <v>151</v>
      </c>
      <c r="I13" t="s">
        <v>167</v>
      </c>
      <c r="J13" t="s">
        <v>171</v>
      </c>
      <c r="K13">
        <v>0</v>
      </c>
      <c r="L13" t="s">
        <v>169</v>
      </c>
      <c r="N13" t="s">
        <v>220</v>
      </c>
      <c r="O13" t="s">
        <v>171</v>
      </c>
      <c r="P13">
        <v>1.3863708686264639E-2</v>
      </c>
      <c r="Q13" t="s">
        <v>169</v>
      </c>
      <c r="S13" t="s">
        <v>225</v>
      </c>
      <c r="T13" t="s">
        <v>171</v>
      </c>
      <c r="U13">
        <v>1.3863708686264639E-2</v>
      </c>
      <c r="V13" t="s">
        <v>169</v>
      </c>
      <c r="X13">
        <v>1.3470319634703196E-2</v>
      </c>
      <c r="Y13">
        <v>2.1220031656846414E-2</v>
      </c>
      <c r="Z13" t="s">
        <v>171</v>
      </c>
      <c r="AA13" t="s">
        <v>25</v>
      </c>
      <c r="AC13" t="s">
        <v>22</v>
      </c>
      <c r="AD13" t="s">
        <v>171</v>
      </c>
      <c r="AE13">
        <v>1.637031889557284E-2</v>
      </c>
      <c r="AG13" t="s">
        <v>97</v>
      </c>
      <c r="AH13" t="s">
        <v>171</v>
      </c>
      <c r="AI13">
        <v>9.1112441321949511E-2</v>
      </c>
      <c r="AK13">
        <v>2025</v>
      </c>
      <c r="AL13" t="s">
        <v>156</v>
      </c>
      <c r="AM13">
        <v>0.32535000000000003</v>
      </c>
      <c r="AN13" t="s">
        <v>239</v>
      </c>
    </row>
    <row r="14" spans="1:40" x14ac:dyDescent="0.45">
      <c r="C14" t="s">
        <v>158</v>
      </c>
      <c r="E14" t="s">
        <v>160</v>
      </c>
      <c r="G14" t="s">
        <v>151</v>
      </c>
      <c r="I14" t="s">
        <v>167</v>
      </c>
      <c r="J14" t="s">
        <v>172</v>
      </c>
      <c r="K14">
        <v>0.11193518710534435</v>
      </c>
      <c r="L14" t="s">
        <v>169</v>
      </c>
      <c r="N14" t="s">
        <v>220</v>
      </c>
      <c r="O14" t="s">
        <v>172</v>
      </c>
      <c r="P14">
        <v>6.6643492201025167E-2</v>
      </c>
      <c r="Q14" t="s">
        <v>169</v>
      </c>
      <c r="S14" t="s">
        <v>225</v>
      </c>
      <c r="T14" t="s">
        <v>172</v>
      </c>
      <c r="U14">
        <v>6.6643492201025167E-2</v>
      </c>
      <c r="V14" t="s">
        <v>169</v>
      </c>
      <c r="X14">
        <v>6.0616438356164384E-2</v>
      </c>
      <c r="Y14">
        <v>8.3080824403947998E-2</v>
      </c>
      <c r="Z14" t="s">
        <v>172</v>
      </c>
      <c r="AA14" t="s">
        <v>25</v>
      </c>
      <c r="AC14" t="s">
        <v>22</v>
      </c>
      <c r="AD14" t="s">
        <v>172</v>
      </c>
      <c r="AE14">
        <v>7.618199047446346E-2</v>
      </c>
      <c r="AG14" t="s">
        <v>97</v>
      </c>
      <c r="AH14" t="s">
        <v>172</v>
      </c>
      <c r="AI14">
        <v>0.1550334344844535</v>
      </c>
      <c r="AK14">
        <v>2025</v>
      </c>
      <c r="AL14" t="s">
        <v>158</v>
      </c>
      <c r="AM14">
        <v>0.31440000000000001</v>
      </c>
      <c r="AN14" t="s">
        <v>239</v>
      </c>
    </row>
    <row r="15" spans="1:40" x14ac:dyDescent="0.45">
      <c r="C15" t="s">
        <v>161</v>
      </c>
      <c r="E15" t="s">
        <v>162</v>
      </c>
      <c r="G15" t="s">
        <v>151</v>
      </c>
      <c r="I15" t="s">
        <v>167</v>
      </c>
      <c r="J15" t="s">
        <v>173</v>
      </c>
      <c r="K15">
        <v>8.0420745160370531E-3</v>
      </c>
      <c r="L15" t="s">
        <v>169</v>
      </c>
      <c r="N15" t="s">
        <v>220</v>
      </c>
      <c r="O15" t="s">
        <v>173</v>
      </c>
      <c r="P15">
        <v>7.4416941714214018E-3</v>
      </c>
      <c r="Q15" t="s">
        <v>169</v>
      </c>
      <c r="S15" t="s">
        <v>225</v>
      </c>
      <c r="T15" t="s">
        <v>173</v>
      </c>
      <c r="U15">
        <v>7.4416941714214018E-3</v>
      </c>
      <c r="V15" t="s">
        <v>169</v>
      </c>
      <c r="X15">
        <v>6.735159817351598E-3</v>
      </c>
      <c r="Y15">
        <v>1.3103614018513452E-2</v>
      </c>
      <c r="Z15" t="s">
        <v>173</v>
      </c>
      <c r="AA15" t="s">
        <v>25</v>
      </c>
      <c r="AC15" t="s">
        <v>22</v>
      </c>
      <c r="AD15" t="s">
        <v>173</v>
      </c>
      <c r="AE15">
        <v>7.7077144758953388E-3</v>
      </c>
      <c r="AG15" t="s">
        <v>97</v>
      </c>
      <c r="AH15" t="s">
        <v>173</v>
      </c>
      <c r="AI15">
        <v>0.15494778798959064</v>
      </c>
      <c r="AK15">
        <v>2025</v>
      </c>
      <c r="AL15" t="s">
        <v>161</v>
      </c>
      <c r="AM15">
        <v>0.38479999999999998</v>
      </c>
      <c r="AN15" t="s">
        <v>239</v>
      </c>
    </row>
    <row r="16" spans="1:40" x14ac:dyDescent="0.45">
      <c r="C16" t="s">
        <v>163</v>
      </c>
      <c r="E16" t="s">
        <v>164</v>
      </c>
      <c r="G16" t="s">
        <v>151</v>
      </c>
      <c r="I16" t="s">
        <v>167</v>
      </c>
      <c r="J16" t="s">
        <v>174</v>
      </c>
      <c r="K16">
        <v>2.2156215072445698E-3</v>
      </c>
      <c r="L16" t="s">
        <v>169</v>
      </c>
      <c r="N16" t="s">
        <v>220</v>
      </c>
      <c r="O16" t="s">
        <v>174</v>
      </c>
      <c r="P16">
        <v>4.2471890175812273E-2</v>
      </c>
      <c r="Q16" t="s">
        <v>169</v>
      </c>
      <c r="S16" t="s">
        <v>225</v>
      </c>
      <c r="T16" t="s">
        <v>174</v>
      </c>
      <c r="U16">
        <v>4.2471890175812273E-2</v>
      </c>
      <c r="V16" t="s">
        <v>169</v>
      </c>
      <c r="X16">
        <v>4.041095890410959E-2</v>
      </c>
      <c r="Y16">
        <v>3.5594891811484314E-2</v>
      </c>
      <c r="Z16" t="s">
        <v>174</v>
      </c>
      <c r="AA16" t="s">
        <v>25</v>
      </c>
      <c r="AC16" t="s">
        <v>22</v>
      </c>
      <c r="AD16" t="s">
        <v>174</v>
      </c>
      <c r="AE16">
        <v>3.3035653563404516E-2</v>
      </c>
      <c r="AG16" t="s">
        <v>97</v>
      </c>
      <c r="AH16" t="s">
        <v>174</v>
      </c>
      <c r="AI16">
        <v>0.36397573819496354</v>
      </c>
      <c r="AK16">
        <v>2025</v>
      </c>
      <c r="AL16" t="s">
        <v>163</v>
      </c>
      <c r="AM16">
        <v>0.43590000000000001</v>
      </c>
      <c r="AN16" t="s">
        <v>239</v>
      </c>
    </row>
    <row r="17" spans="3:40" x14ac:dyDescent="0.45">
      <c r="C17" t="s">
        <v>165</v>
      </c>
      <c r="I17" t="s">
        <v>167</v>
      </c>
      <c r="J17" t="s">
        <v>175</v>
      </c>
      <c r="K17">
        <v>0</v>
      </c>
      <c r="L17" t="s">
        <v>169</v>
      </c>
      <c r="N17" t="s">
        <v>220</v>
      </c>
      <c r="O17" t="s">
        <v>175</v>
      </c>
      <c r="P17">
        <v>2.2715053307260067E-2</v>
      </c>
      <c r="Q17" t="s">
        <v>169</v>
      </c>
      <c r="S17" t="s">
        <v>225</v>
      </c>
      <c r="T17" t="s">
        <v>175</v>
      </c>
      <c r="U17">
        <v>2.2715053307260067E-2</v>
      </c>
      <c r="V17" t="s">
        <v>169</v>
      </c>
      <c r="X17">
        <v>2.0890410958904111E-2</v>
      </c>
      <c r="Y17">
        <v>3.2352965550389904E-3</v>
      </c>
      <c r="Z17" t="s">
        <v>175</v>
      </c>
      <c r="AA17" t="s">
        <v>25</v>
      </c>
      <c r="AC17" t="s">
        <v>22</v>
      </c>
      <c r="AD17" t="s">
        <v>175</v>
      </c>
      <c r="AE17">
        <v>1.704439546205936E-2</v>
      </c>
      <c r="AG17" t="s">
        <v>97</v>
      </c>
      <c r="AH17" t="s">
        <v>175</v>
      </c>
      <c r="AI17">
        <v>0.21075010646823888</v>
      </c>
      <c r="AK17">
        <v>2025</v>
      </c>
      <c r="AL17" t="s">
        <v>165</v>
      </c>
      <c r="AM17">
        <v>0.46299999999999997</v>
      </c>
      <c r="AN17" t="s">
        <v>239</v>
      </c>
    </row>
    <row r="18" spans="3:40" x14ac:dyDescent="0.45">
      <c r="I18" t="s">
        <v>167</v>
      </c>
      <c r="J18" t="s">
        <v>176</v>
      </c>
      <c r="K18">
        <v>0</v>
      </c>
      <c r="L18" t="s">
        <v>169</v>
      </c>
      <c r="N18" t="s">
        <v>220</v>
      </c>
      <c r="O18" t="s">
        <v>176</v>
      </c>
      <c r="P18">
        <v>2.2182814298400154E-2</v>
      </c>
      <c r="Q18" t="s">
        <v>169</v>
      </c>
      <c r="S18" t="s">
        <v>225</v>
      </c>
      <c r="T18" t="s">
        <v>176</v>
      </c>
      <c r="U18">
        <v>2.2182814298400154E-2</v>
      </c>
      <c r="V18" t="s">
        <v>169</v>
      </c>
      <c r="X18">
        <v>2.0890410958904111E-2</v>
      </c>
      <c r="Y18">
        <v>5.7022101782562241E-3</v>
      </c>
      <c r="Z18" t="s">
        <v>176</v>
      </c>
      <c r="AA18" t="s">
        <v>25</v>
      </c>
      <c r="AC18" t="s">
        <v>22</v>
      </c>
      <c r="AD18" t="s">
        <v>176</v>
      </c>
      <c r="AE18">
        <v>2.0990647192337581E-2</v>
      </c>
      <c r="AG18" t="s">
        <v>97</v>
      </c>
      <c r="AH18" t="s">
        <v>176</v>
      </c>
      <c r="AI18">
        <v>0.13374790678202619</v>
      </c>
      <c r="AK18">
        <v>2026</v>
      </c>
      <c r="AL18" t="s">
        <v>150</v>
      </c>
      <c r="AM18">
        <v>0.41569999999999996</v>
      </c>
      <c r="AN18" t="s">
        <v>239</v>
      </c>
    </row>
    <row r="19" spans="3:40" x14ac:dyDescent="0.45">
      <c r="I19" t="s">
        <v>167</v>
      </c>
      <c r="J19" t="s">
        <v>177</v>
      </c>
      <c r="K19">
        <v>3.8218198880764949E-3</v>
      </c>
      <c r="L19" t="s">
        <v>169</v>
      </c>
      <c r="N19" t="s">
        <v>220</v>
      </c>
      <c r="O19" t="s">
        <v>177</v>
      </c>
      <c r="P19">
        <v>1.3349116326251586E-2</v>
      </c>
      <c r="Q19" t="s">
        <v>169</v>
      </c>
      <c r="S19" t="s">
        <v>225</v>
      </c>
      <c r="T19" t="s">
        <v>177</v>
      </c>
      <c r="U19">
        <v>1.3349116326251586E-2</v>
      </c>
      <c r="V19" t="s">
        <v>169</v>
      </c>
      <c r="X19">
        <v>1.3926940639269407E-2</v>
      </c>
      <c r="Y19">
        <v>2.1939354763858158E-2</v>
      </c>
      <c r="Z19" t="s">
        <v>177</v>
      </c>
      <c r="AA19" t="s">
        <v>25</v>
      </c>
      <c r="AC19" t="s">
        <v>22</v>
      </c>
      <c r="AD19" t="s">
        <v>177</v>
      </c>
      <c r="AE19">
        <v>1.4515452770861585E-2</v>
      </c>
      <c r="AG19" t="s">
        <v>97</v>
      </c>
      <c r="AH19" t="s">
        <v>177</v>
      </c>
      <c r="AI19">
        <v>0.11134809930277312</v>
      </c>
      <c r="AK19">
        <v>2026</v>
      </c>
      <c r="AL19" t="s">
        <v>154</v>
      </c>
      <c r="AM19">
        <v>0.38905000000000001</v>
      </c>
      <c r="AN19" t="s">
        <v>239</v>
      </c>
    </row>
    <row r="20" spans="3:40" x14ac:dyDescent="0.45">
      <c r="I20" t="s">
        <v>167</v>
      </c>
      <c r="J20" t="s">
        <v>178</v>
      </c>
      <c r="K20">
        <v>0.15967332863575145</v>
      </c>
      <c r="L20" t="s">
        <v>169</v>
      </c>
      <c r="N20" t="s">
        <v>220</v>
      </c>
      <c r="O20" t="s">
        <v>178</v>
      </c>
      <c r="P20">
        <v>7.0718104095933987E-2</v>
      </c>
      <c r="Q20" t="s">
        <v>169</v>
      </c>
      <c r="S20" t="s">
        <v>225</v>
      </c>
      <c r="T20" t="s">
        <v>178</v>
      </c>
      <c r="U20">
        <v>7.0718104095933987E-2</v>
      </c>
      <c r="V20" t="s">
        <v>169</v>
      </c>
      <c r="X20">
        <v>6.2671232876712335E-2</v>
      </c>
      <c r="Y20">
        <v>8.589712353628523E-2</v>
      </c>
      <c r="Z20" t="s">
        <v>178</v>
      </c>
      <c r="AA20" t="s">
        <v>25</v>
      </c>
      <c r="AC20" t="s">
        <v>22</v>
      </c>
      <c r="AD20" t="s">
        <v>178</v>
      </c>
      <c r="AE20">
        <v>6.6821082931866588E-2</v>
      </c>
      <c r="AG20" t="s">
        <v>97</v>
      </c>
      <c r="AH20" t="s">
        <v>178</v>
      </c>
      <c r="AI20">
        <v>0.15202106759185718</v>
      </c>
      <c r="AK20">
        <v>2026</v>
      </c>
      <c r="AL20" t="s">
        <v>156</v>
      </c>
      <c r="AM20">
        <v>0.32255</v>
      </c>
      <c r="AN20" t="s">
        <v>239</v>
      </c>
    </row>
    <row r="21" spans="3:40" x14ac:dyDescent="0.45">
      <c r="I21" t="s">
        <v>167</v>
      </c>
      <c r="J21" t="s">
        <v>179</v>
      </c>
      <c r="K21">
        <v>1.407773779517614E-2</v>
      </c>
      <c r="L21" t="s">
        <v>169</v>
      </c>
      <c r="N21" t="s">
        <v>220</v>
      </c>
      <c r="O21" t="s">
        <v>179</v>
      </c>
      <c r="P21">
        <v>9.3250629243222753E-3</v>
      </c>
      <c r="Q21" t="s">
        <v>169</v>
      </c>
      <c r="S21" t="s">
        <v>225</v>
      </c>
      <c r="T21" t="s">
        <v>179</v>
      </c>
      <c r="U21">
        <v>9.3250629243222753E-3</v>
      </c>
      <c r="V21" t="s">
        <v>169</v>
      </c>
      <c r="X21">
        <v>6.9634703196347035E-3</v>
      </c>
      <c r="Y21">
        <v>1.354780432422577E-2</v>
      </c>
      <c r="Z21" t="s">
        <v>179</v>
      </c>
      <c r="AA21" t="s">
        <v>25</v>
      </c>
      <c r="AC21" t="s">
        <v>22</v>
      </c>
      <c r="AD21" t="s">
        <v>179</v>
      </c>
      <c r="AE21">
        <v>7.0062829577666932E-3</v>
      </c>
      <c r="AG21" t="s">
        <v>97</v>
      </c>
      <c r="AH21" t="s">
        <v>179</v>
      </c>
      <c r="AI21">
        <v>0.12044612904631213</v>
      </c>
      <c r="AK21">
        <v>2026</v>
      </c>
      <c r="AL21" t="s">
        <v>158</v>
      </c>
      <c r="AM21">
        <v>0.32929999999999998</v>
      </c>
      <c r="AN21" t="s">
        <v>239</v>
      </c>
    </row>
    <row r="22" spans="3:40" x14ac:dyDescent="0.45">
      <c r="I22" t="s">
        <v>167</v>
      </c>
      <c r="J22" t="s">
        <v>180</v>
      </c>
      <c r="K22">
        <v>1.1298152037628652E-2</v>
      </c>
      <c r="L22" t="s">
        <v>169</v>
      </c>
      <c r="N22" t="s">
        <v>220</v>
      </c>
      <c r="O22" t="s">
        <v>180</v>
      </c>
      <c r="P22">
        <v>5.2507885779446789E-2</v>
      </c>
      <c r="Q22" t="s">
        <v>169</v>
      </c>
      <c r="S22" t="s">
        <v>225</v>
      </c>
      <c r="T22" t="s">
        <v>180</v>
      </c>
      <c r="U22">
        <v>5.2507885779446789E-2</v>
      </c>
      <c r="V22" t="s">
        <v>169</v>
      </c>
      <c r="X22">
        <v>4.1780821917808221E-2</v>
      </c>
      <c r="Y22">
        <v>3.6801498313568527E-2</v>
      </c>
      <c r="Z22" t="s">
        <v>180</v>
      </c>
      <c r="AA22" t="s">
        <v>25</v>
      </c>
      <c r="AC22" t="s">
        <v>22</v>
      </c>
      <c r="AD22" t="s">
        <v>180</v>
      </c>
      <c r="AE22">
        <v>2.9593425729962153E-2</v>
      </c>
      <c r="AG22" t="s">
        <v>97</v>
      </c>
      <c r="AH22" t="s">
        <v>180</v>
      </c>
      <c r="AI22">
        <v>0.28971262066000603</v>
      </c>
      <c r="AK22">
        <v>2026</v>
      </c>
      <c r="AL22" t="s">
        <v>161</v>
      </c>
      <c r="AM22">
        <v>0.39379999999999998</v>
      </c>
      <c r="AN22" t="s">
        <v>239</v>
      </c>
    </row>
    <row r="23" spans="3:40" x14ac:dyDescent="0.45">
      <c r="I23" t="s">
        <v>167</v>
      </c>
      <c r="J23" t="s">
        <v>181</v>
      </c>
      <c r="K23">
        <v>0</v>
      </c>
      <c r="L23" t="s">
        <v>169</v>
      </c>
      <c r="N23" t="s">
        <v>220</v>
      </c>
      <c r="O23" t="s">
        <v>181</v>
      </c>
      <c r="P23">
        <v>1.233402902237221E-2</v>
      </c>
      <c r="Q23" t="s">
        <v>169</v>
      </c>
      <c r="S23" t="s">
        <v>225</v>
      </c>
      <c r="T23" t="s">
        <v>181</v>
      </c>
      <c r="U23">
        <v>1.233402902237221E-2</v>
      </c>
      <c r="V23" t="s">
        <v>169</v>
      </c>
      <c r="X23">
        <v>2.0890410958904111E-2</v>
      </c>
      <c r="Y23">
        <v>3.2352965550389904E-3</v>
      </c>
      <c r="Z23" t="s">
        <v>181</v>
      </c>
      <c r="AA23" t="s">
        <v>25</v>
      </c>
      <c r="AC23" t="s">
        <v>22</v>
      </c>
      <c r="AD23" t="s">
        <v>181</v>
      </c>
      <c r="AE23">
        <v>1.5532963982142496E-2</v>
      </c>
      <c r="AG23" t="s">
        <v>97</v>
      </c>
      <c r="AH23" t="s">
        <v>181</v>
      </c>
      <c r="AI23">
        <v>0.10950203342588605</v>
      </c>
      <c r="AK23">
        <v>2026</v>
      </c>
      <c r="AL23" t="s">
        <v>163</v>
      </c>
      <c r="AM23">
        <v>0.4168</v>
      </c>
      <c r="AN23" t="s">
        <v>239</v>
      </c>
    </row>
    <row r="24" spans="3:40" x14ac:dyDescent="0.45">
      <c r="I24" t="s">
        <v>167</v>
      </c>
      <c r="J24" t="s">
        <v>182</v>
      </c>
      <c r="K24">
        <v>0</v>
      </c>
      <c r="L24" t="s">
        <v>169</v>
      </c>
      <c r="N24" t="s">
        <v>220</v>
      </c>
      <c r="O24" t="s">
        <v>182</v>
      </c>
      <c r="P24">
        <v>1.2086554691042306E-2</v>
      </c>
      <c r="Q24" t="s">
        <v>169</v>
      </c>
      <c r="S24" t="s">
        <v>225</v>
      </c>
      <c r="T24" t="s">
        <v>182</v>
      </c>
      <c r="U24">
        <v>1.2086554691042306E-2</v>
      </c>
      <c r="V24" t="s">
        <v>169</v>
      </c>
      <c r="X24">
        <v>2.0890410958904111E-2</v>
      </c>
      <c r="Y24">
        <v>5.7022101782562241E-3</v>
      </c>
      <c r="Z24" t="s">
        <v>182</v>
      </c>
      <c r="AA24" t="s">
        <v>25</v>
      </c>
      <c r="AC24" t="s">
        <v>22</v>
      </c>
      <c r="AD24" t="s">
        <v>182</v>
      </c>
      <c r="AE24">
        <v>2.1384338441660961E-2</v>
      </c>
      <c r="AG24" t="s">
        <v>97</v>
      </c>
      <c r="AH24" t="s">
        <v>182</v>
      </c>
      <c r="AI24">
        <v>0.10984535372322113</v>
      </c>
      <c r="AK24">
        <v>2026</v>
      </c>
      <c r="AL24" t="s">
        <v>165</v>
      </c>
      <c r="AM24">
        <v>0.44855</v>
      </c>
      <c r="AN24" t="s">
        <v>239</v>
      </c>
    </row>
    <row r="25" spans="3:40" x14ac:dyDescent="0.45">
      <c r="I25" t="s">
        <v>167</v>
      </c>
      <c r="J25" t="s">
        <v>183</v>
      </c>
      <c r="K25">
        <v>1.1632214126664764E-2</v>
      </c>
      <c r="L25" t="s">
        <v>169</v>
      </c>
      <c r="N25" t="s">
        <v>220</v>
      </c>
      <c r="O25" t="s">
        <v>183</v>
      </c>
      <c r="P25">
        <v>7.7689224349726197E-3</v>
      </c>
      <c r="Q25" t="s">
        <v>169</v>
      </c>
      <c r="S25" t="s">
        <v>225</v>
      </c>
      <c r="T25" t="s">
        <v>183</v>
      </c>
      <c r="U25">
        <v>7.7689224349726197E-3</v>
      </c>
      <c r="V25" t="s">
        <v>169</v>
      </c>
      <c r="X25">
        <v>1.3926940639269407E-2</v>
      </c>
      <c r="Y25">
        <v>2.1939354763858158E-2</v>
      </c>
      <c r="Z25" t="s">
        <v>183</v>
      </c>
      <c r="AA25" t="s">
        <v>25</v>
      </c>
      <c r="AC25" t="s">
        <v>22</v>
      </c>
      <c r="AD25" t="s">
        <v>183</v>
      </c>
      <c r="AE25">
        <v>1.5163509064243299E-2</v>
      </c>
      <c r="AG25" t="s">
        <v>97</v>
      </c>
      <c r="AH25" t="s">
        <v>183</v>
      </c>
      <c r="AI25">
        <v>6.2259053016573862E-2</v>
      </c>
      <c r="AK25">
        <v>2027</v>
      </c>
      <c r="AL25" t="s">
        <v>150</v>
      </c>
      <c r="AM25">
        <v>0.43545</v>
      </c>
      <c r="AN25" t="s">
        <v>239</v>
      </c>
    </row>
    <row r="26" spans="3:40" x14ac:dyDescent="0.45">
      <c r="I26" t="s">
        <v>167</v>
      </c>
      <c r="J26" t="s">
        <v>184</v>
      </c>
      <c r="K26">
        <v>0.1647750369602618</v>
      </c>
      <c r="L26" t="s">
        <v>169</v>
      </c>
      <c r="N26" t="s">
        <v>220</v>
      </c>
      <c r="O26" t="s">
        <v>184</v>
      </c>
      <c r="P26">
        <v>5.9111251567553973E-2</v>
      </c>
      <c r="Q26" t="s">
        <v>169</v>
      </c>
      <c r="S26" t="s">
        <v>225</v>
      </c>
      <c r="T26" t="s">
        <v>184</v>
      </c>
      <c r="U26">
        <v>5.9111251567553973E-2</v>
      </c>
      <c r="V26" t="s">
        <v>169</v>
      </c>
      <c r="X26">
        <v>6.2671232876712335E-2</v>
      </c>
      <c r="Y26">
        <v>8.589712353628523E-2</v>
      </c>
      <c r="Z26" t="s">
        <v>184</v>
      </c>
      <c r="AA26" t="s">
        <v>25</v>
      </c>
      <c r="AC26" t="s">
        <v>22</v>
      </c>
      <c r="AD26" t="s">
        <v>184</v>
      </c>
      <c r="AE26">
        <v>6.9546953344669288E-2</v>
      </c>
      <c r="AG26" t="s">
        <v>97</v>
      </c>
      <c r="AH26" t="s">
        <v>184</v>
      </c>
      <c r="AI26">
        <v>8.6336747709581552E-2</v>
      </c>
      <c r="AK26">
        <v>2027</v>
      </c>
      <c r="AL26" t="s">
        <v>154</v>
      </c>
      <c r="AM26">
        <v>0.40005000000000002</v>
      </c>
      <c r="AN26" t="s">
        <v>239</v>
      </c>
    </row>
    <row r="27" spans="3:40" x14ac:dyDescent="0.45">
      <c r="I27" t="s">
        <v>167</v>
      </c>
      <c r="J27" t="s">
        <v>185</v>
      </c>
      <c r="K27">
        <v>1.4965012474802754E-2</v>
      </c>
      <c r="L27" t="s">
        <v>169</v>
      </c>
      <c r="N27" t="s">
        <v>220</v>
      </c>
      <c r="O27" t="s">
        <v>185</v>
      </c>
      <c r="P27">
        <v>7.3029630371614519E-3</v>
      </c>
      <c r="Q27" t="s">
        <v>169</v>
      </c>
      <c r="S27" t="s">
        <v>225</v>
      </c>
      <c r="T27" t="s">
        <v>185</v>
      </c>
      <c r="U27">
        <v>7.3029630371614519E-3</v>
      </c>
      <c r="V27" t="s">
        <v>169</v>
      </c>
      <c r="X27">
        <v>6.9634703196347035E-3</v>
      </c>
      <c r="Y27">
        <v>1.354780432422577E-2</v>
      </c>
      <c r="Z27" t="s">
        <v>185</v>
      </c>
      <c r="AA27" t="s">
        <v>25</v>
      </c>
      <c r="AC27" t="s">
        <v>22</v>
      </c>
      <c r="AD27" t="s">
        <v>185</v>
      </c>
      <c r="AE27">
        <v>7.1471726655466562E-3</v>
      </c>
      <c r="AG27" t="s">
        <v>97</v>
      </c>
      <c r="AH27" t="s">
        <v>185</v>
      </c>
      <c r="AI27">
        <v>7.9952216024820055E-2</v>
      </c>
      <c r="AK27">
        <v>2027</v>
      </c>
      <c r="AL27" t="s">
        <v>156</v>
      </c>
      <c r="AM27">
        <v>0.31940000000000002</v>
      </c>
      <c r="AN27" t="s">
        <v>239</v>
      </c>
    </row>
    <row r="28" spans="3:40" x14ac:dyDescent="0.45">
      <c r="I28" t="s">
        <v>167</v>
      </c>
      <c r="J28" t="s">
        <v>186</v>
      </c>
      <c r="K28">
        <v>1.7881315431408435E-2</v>
      </c>
      <c r="L28" t="s">
        <v>169</v>
      </c>
      <c r="N28" t="s">
        <v>220</v>
      </c>
      <c r="O28" t="s">
        <v>186</v>
      </c>
      <c r="P28">
        <v>4.4725839593237386E-2</v>
      </c>
      <c r="Q28" t="s">
        <v>169</v>
      </c>
      <c r="S28" t="s">
        <v>225</v>
      </c>
      <c r="T28" t="s">
        <v>186</v>
      </c>
      <c r="U28">
        <v>4.4725839593237386E-2</v>
      </c>
      <c r="V28" t="s">
        <v>169</v>
      </c>
      <c r="X28">
        <v>4.1780821917808221E-2</v>
      </c>
      <c r="Y28">
        <v>3.6801498313568527E-2</v>
      </c>
      <c r="Z28" t="s">
        <v>186</v>
      </c>
      <c r="AA28" t="s">
        <v>25</v>
      </c>
      <c r="AC28" t="s">
        <v>22</v>
      </c>
      <c r="AD28" t="s">
        <v>186</v>
      </c>
      <c r="AE28">
        <v>3.0228415659004231E-2</v>
      </c>
      <c r="AG28" t="s">
        <v>97</v>
      </c>
      <c r="AH28" t="s">
        <v>186</v>
      </c>
      <c r="AI28">
        <v>0.31290090331893983</v>
      </c>
      <c r="AK28">
        <v>2027</v>
      </c>
      <c r="AL28" t="s">
        <v>158</v>
      </c>
      <c r="AM28">
        <v>0.35150000000000003</v>
      </c>
      <c r="AN28" t="s">
        <v>239</v>
      </c>
    </row>
    <row r="29" spans="3:40" x14ac:dyDescent="0.45">
      <c r="I29" t="s">
        <v>167</v>
      </c>
      <c r="J29" t="s">
        <v>187</v>
      </c>
      <c r="K29">
        <v>0</v>
      </c>
      <c r="L29" t="s">
        <v>169</v>
      </c>
      <c r="N29" t="s">
        <v>220</v>
      </c>
      <c r="O29" t="s">
        <v>187</v>
      </c>
      <c r="P29">
        <v>2.1220366607162575E-2</v>
      </c>
      <c r="Q29" t="s">
        <v>169</v>
      </c>
      <c r="S29" t="s">
        <v>225</v>
      </c>
      <c r="T29" t="s">
        <v>187</v>
      </c>
      <c r="U29">
        <v>2.1220366607162575E-2</v>
      </c>
      <c r="V29" t="s">
        <v>169</v>
      </c>
      <c r="X29">
        <v>2.1232876712328767E-2</v>
      </c>
      <c r="Y29">
        <v>3.2883342034822536E-3</v>
      </c>
      <c r="Z29" t="s">
        <v>187</v>
      </c>
      <c r="AA29" t="s">
        <v>25</v>
      </c>
      <c r="AC29" t="s">
        <v>22</v>
      </c>
      <c r="AD29" t="s">
        <v>187</v>
      </c>
      <c r="AE29">
        <v>1.6399124834540254E-2</v>
      </c>
      <c r="AG29" t="s">
        <v>97</v>
      </c>
      <c r="AH29" t="s">
        <v>187</v>
      </c>
      <c r="AI29">
        <v>8.7126779382290964E-2</v>
      </c>
      <c r="AK29">
        <v>2027</v>
      </c>
      <c r="AL29" t="s">
        <v>161</v>
      </c>
      <c r="AM29">
        <v>0.40989999999999999</v>
      </c>
      <c r="AN29" t="s">
        <v>239</v>
      </c>
    </row>
    <row r="30" spans="3:40" x14ac:dyDescent="0.45">
      <c r="I30" t="s">
        <v>167</v>
      </c>
      <c r="J30" t="s">
        <v>188</v>
      </c>
      <c r="K30">
        <v>0</v>
      </c>
      <c r="L30" t="s">
        <v>169</v>
      </c>
      <c r="N30" t="s">
        <v>220</v>
      </c>
      <c r="O30" t="s">
        <v>188</v>
      </c>
      <c r="P30">
        <v>2.0259676689501942E-2</v>
      </c>
      <c r="Q30" t="s">
        <v>169</v>
      </c>
      <c r="S30" t="s">
        <v>225</v>
      </c>
      <c r="T30" t="s">
        <v>188</v>
      </c>
      <c r="U30">
        <v>2.0259676689501942E-2</v>
      </c>
      <c r="V30" t="s">
        <v>169</v>
      </c>
      <c r="X30">
        <v>2.1232876712328767E-2</v>
      </c>
      <c r="Y30">
        <v>5.7956890336374736E-3</v>
      </c>
      <c r="Z30" t="s">
        <v>188</v>
      </c>
      <c r="AA30" t="s">
        <v>25</v>
      </c>
      <c r="AC30" t="s">
        <v>22</v>
      </c>
      <c r="AD30" t="s">
        <v>188</v>
      </c>
      <c r="AE30">
        <v>2.2767098893341161E-2</v>
      </c>
      <c r="AG30" t="s">
        <v>97</v>
      </c>
      <c r="AH30" t="s">
        <v>188</v>
      </c>
      <c r="AI30">
        <v>0.13261439016520749</v>
      </c>
      <c r="AK30">
        <v>2027</v>
      </c>
      <c r="AL30" t="s">
        <v>163</v>
      </c>
      <c r="AM30">
        <v>0.40260000000000001</v>
      </c>
      <c r="AN30" t="s">
        <v>239</v>
      </c>
    </row>
    <row r="31" spans="3:40" x14ac:dyDescent="0.45">
      <c r="I31" t="s">
        <v>167</v>
      </c>
      <c r="J31" t="s">
        <v>189</v>
      </c>
      <c r="K31">
        <v>1.0732912011985027E-2</v>
      </c>
      <c r="L31" t="s">
        <v>169</v>
      </c>
      <c r="N31" t="s">
        <v>220</v>
      </c>
      <c r="O31" t="s">
        <v>189</v>
      </c>
      <c r="P31">
        <v>1.2133545648881227E-2</v>
      </c>
      <c r="Q31" t="s">
        <v>169</v>
      </c>
      <c r="S31" t="s">
        <v>225</v>
      </c>
      <c r="T31" t="s">
        <v>189</v>
      </c>
      <c r="U31">
        <v>1.2133545648881227E-2</v>
      </c>
      <c r="V31" t="s">
        <v>169</v>
      </c>
      <c r="X31">
        <v>1.4155251141552512E-2</v>
      </c>
      <c r="Y31">
        <v>2.2299016317364029E-2</v>
      </c>
      <c r="Z31" t="s">
        <v>189</v>
      </c>
      <c r="AA31" t="s">
        <v>25</v>
      </c>
      <c r="AC31" t="s">
        <v>22</v>
      </c>
      <c r="AD31" t="s">
        <v>189</v>
      </c>
      <c r="AE31">
        <v>1.6402582341327913E-2</v>
      </c>
      <c r="AG31" t="s">
        <v>97</v>
      </c>
      <c r="AH31" t="s">
        <v>189</v>
      </c>
      <c r="AI31">
        <v>7.5573711402138644E-2</v>
      </c>
      <c r="AK31">
        <v>2027</v>
      </c>
      <c r="AL31" t="s">
        <v>165</v>
      </c>
      <c r="AM31">
        <v>0.44569999999999999</v>
      </c>
      <c r="AN31" t="s">
        <v>239</v>
      </c>
    </row>
    <row r="32" spans="3:40" x14ac:dyDescent="0.45">
      <c r="I32" t="s">
        <v>167</v>
      </c>
      <c r="J32" t="s">
        <v>190</v>
      </c>
      <c r="K32">
        <v>0.15023121694967739</v>
      </c>
      <c r="L32" t="s">
        <v>169</v>
      </c>
      <c r="N32" t="s">
        <v>220</v>
      </c>
      <c r="O32" t="s">
        <v>190</v>
      </c>
      <c r="P32">
        <v>0.10815520175469109</v>
      </c>
      <c r="Q32" t="s">
        <v>169</v>
      </c>
      <c r="S32" t="s">
        <v>225</v>
      </c>
      <c r="T32" t="s">
        <v>190</v>
      </c>
      <c r="U32">
        <v>0.10815520175469109</v>
      </c>
      <c r="V32" t="s">
        <v>169</v>
      </c>
      <c r="X32">
        <v>6.3698630136986303E-2</v>
      </c>
      <c r="Y32">
        <v>8.730527310245384E-2</v>
      </c>
      <c r="Z32" t="s">
        <v>190</v>
      </c>
      <c r="AA32" t="s">
        <v>25</v>
      </c>
      <c r="AC32" t="s">
        <v>22</v>
      </c>
      <c r="AD32" t="s">
        <v>190</v>
      </c>
      <c r="AE32">
        <v>7.4738524407976945E-2</v>
      </c>
      <c r="AG32" t="s">
        <v>97</v>
      </c>
      <c r="AH32" t="s">
        <v>190</v>
      </c>
      <c r="AI32">
        <v>6.7613581087654362E-2</v>
      </c>
      <c r="AK32">
        <v>2028</v>
      </c>
      <c r="AL32" t="s">
        <v>150</v>
      </c>
      <c r="AM32">
        <v>0.44325000000000003</v>
      </c>
      <c r="AN32" t="s">
        <v>239</v>
      </c>
    </row>
    <row r="33" spans="9:40" x14ac:dyDescent="0.45">
      <c r="I33" t="s">
        <v>167</v>
      </c>
      <c r="J33" t="s">
        <v>191</v>
      </c>
      <c r="K33">
        <v>1.3393179936616633E-2</v>
      </c>
      <c r="L33" t="s">
        <v>169</v>
      </c>
      <c r="N33" t="s">
        <v>220</v>
      </c>
      <c r="O33" t="s">
        <v>191</v>
      </c>
      <c r="P33">
        <v>1.3224919297049064E-2</v>
      </c>
      <c r="Q33" t="s">
        <v>169</v>
      </c>
      <c r="S33" t="s">
        <v>225</v>
      </c>
      <c r="T33" t="s">
        <v>191</v>
      </c>
      <c r="U33">
        <v>1.3224919297049064E-2</v>
      </c>
      <c r="V33" t="s">
        <v>169</v>
      </c>
      <c r="X33">
        <v>7.0776255707762558E-3</v>
      </c>
      <c r="Y33">
        <v>1.376989947708193E-2</v>
      </c>
      <c r="Z33" t="s">
        <v>191</v>
      </c>
      <c r="AA33" t="s">
        <v>25</v>
      </c>
      <c r="AC33" t="s">
        <v>22</v>
      </c>
      <c r="AD33" t="s">
        <v>191</v>
      </c>
      <c r="AE33">
        <v>7.6978437314634161E-3</v>
      </c>
      <c r="AG33" t="s">
        <v>97</v>
      </c>
      <c r="AH33" t="s">
        <v>191</v>
      </c>
      <c r="AI33">
        <v>5.9097662561196529E-2</v>
      </c>
      <c r="AK33">
        <v>2028</v>
      </c>
      <c r="AL33" t="s">
        <v>154</v>
      </c>
      <c r="AM33">
        <v>0.3876</v>
      </c>
      <c r="AN33" t="s">
        <v>239</v>
      </c>
    </row>
    <row r="34" spans="9:40" x14ac:dyDescent="0.45">
      <c r="I34" t="s">
        <v>167</v>
      </c>
      <c r="J34" t="s">
        <v>192</v>
      </c>
      <c r="K34">
        <v>1.6848329371275318E-2</v>
      </c>
      <c r="L34" t="s">
        <v>169</v>
      </c>
      <c r="N34" t="s">
        <v>220</v>
      </c>
      <c r="O34" t="s">
        <v>192</v>
      </c>
      <c r="P34">
        <v>6.9185791937210209E-2</v>
      </c>
      <c r="Q34" t="s">
        <v>169</v>
      </c>
      <c r="S34" t="s">
        <v>225</v>
      </c>
      <c r="T34" t="s">
        <v>192</v>
      </c>
      <c r="U34">
        <v>6.9185791937210209E-2</v>
      </c>
      <c r="V34" t="s">
        <v>169</v>
      </c>
      <c r="X34">
        <v>4.2465753424657533E-2</v>
      </c>
      <c r="Y34">
        <v>3.7404801564610637E-2</v>
      </c>
      <c r="Z34" t="s">
        <v>192</v>
      </c>
      <c r="AA34" t="s">
        <v>25</v>
      </c>
      <c r="AC34" t="s">
        <v>22</v>
      </c>
      <c r="AD34" t="s">
        <v>192</v>
      </c>
      <c r="AE34">
        <v>3.2491653412745104E-2</v>
      </c>
      <c r="AG34" t="s">
        <v>97</v>
      </c>
      <c r="AH34" t="s">
        <v>192</v>
      </c>
      <c r="AI34">
        <v>0.33678033142886687</v>
      </c>
      <c r="AK34">
        <v>2028</v>
      </c>
      <c r="AL34" t="s">
        <v>156</v>
      </c>
      <c r="AM34">
        <v>0.33865000000000001</v>
      </c>
      <c r="AN34" t="s">
        <v>239</v>
      </c>
    </row>
    <row r="35" spans="9:40" x14ac:dyDescent="0.45">
      <c r="I35" t="s">
        <v>167</v>
      </c>
      <c r="J35" t="s">
        <v>193</v>
      </c>
      <c r="K35">
        <v>0</v>
      </c>
      <c r="L35" t="s">
        <v>169</v>
      </c>
      <c r="N35" t="s">
        <v>220</v>
      </c>
      <c r="O35" t="s">
        <v>193</v>
      </c>
      <c r="P35">
        <v>5.7859189626089614E-3</v>
      </c>
      <c r="Q35" t="s">
        <v>169</v>
      </c>
      <c r="S35" t="s">
        <v>225</v>
      </c>
      <c r="T35" t="s">
        <v>193</v>
      </c>
      <c r="U35">
        <v>5.7859189626089614E-3</v>
      </c>
      <c r="V35" t="s">
        <v>169</v>
      </c>
      <c r="X35">
        <v>1.0273972602739725E-2</v>
      </c>
      <c r="Y35">
        <v>1.5911294532978645E-3</v>
      </c>
      <c r="Z35" t="s">
        <v>193</v>
      </c>
      <c r="AA35" t="s">
        <v>25</v>
      </c>
      <c r="AC35" t="s">
        <v>22</v>
      </c>
      <c r="AD35" t="s">
        <v>193</v>
      </c>
      <c r="AE35">
        <v>7.9989783124526752E-3</v>
      </c>
      <c r="AG35" t="s">
        <v>97</v>
      </c>
      <c r="AH35" t="s">
        <v>193</v>
      </c>
      <c r="AI35">
        <v>8.4009123162696264E-2</v>
      </c>
      <c r="AK35">
        <v>2028</v>
      </c>
      <c r="AL35" t="s">
        <v>158</v>
      </c>
      <c r="AM35">
        <v>0.3347</v>
      </c>
      <c r="AN35" t="s">
        <v>239</v>
      </c>
    </row>
    <row r="36" spans="9:40" x14ac:dyDescent="0.45">
      <c r="I36" t="s">
        <v>167</v>
      </c>
      <c r="J36" t="s">
        <v>194</v>
      </c>
      <c r="K36">
        <v>0</v>
      </c>
      <c r="L36" t="s">
        <v>169</v>
      </c>
      <c r="N36" t="s">
        <v>220</v>
      </c>
      <c r="O36" t="s">
        <v>194</v>
      </c>
      <c r="P36">
        <v>3.3833720059480931E-3</v>
      </c>
      <c r="Q36" t="s">
        <v>169</v>
      </c>
      <c r="S36" t="s">
        <v>225</v>
      </c>
      <c r="T36" t="s">
        <v>194</v>
      </c>
      <c r="U36">
        <v>3.3833720059480931E-3</v>
      </c>
      <c r="V36" t="s">
        <v>169</v>
      </c>
      <c r="X36">
        <v>1.0273972602739725E-2</v>
      </c>
      <c r="Y36">
        <v>2.8043656614374873E-3</v>
      </c>
      <c r="Z36" t="s">
        <v>194</v>
      </c>
      <c r="AA36" t="s">
        <v>25</v>
      </c>
      <c r="AC36" t="s">
        <v>22</v>
      </c>
      <c r="AD36" t="s">
        <v>194</v>
      </c>
      <c r="AE36">
        <v>1.0862699463399817E-2</v>
      </c>
      <c r="AG36" t="s">
        <v>97</v>
      </c>
      <c r="AH36" t="s">
        <v>194</v>
      </c>
      <c r="AI36">
        <v>6.4526620297727488E-2</v>
      </c>
      <c r="AK36">
        <v>2028</v>
      </c>
      <c r="AL36" t="s">
        <v>161</v>
      </c>
      <c r="AM36">
        <v>0.39989999999999998</v>
      </c>
      <c r="AN36" t="s">
        <v>239</v>
      </c>
    </row>
    <row r="37" spans="9:40" x14ac:dyDescent="0.45">
      <c r="I37" t="s">
        <v>167</v>
      </c>
      <c r="J37" t="s">
        <v>195</v>
      </c>
      <c r="K37">
        <v>3.7670810383586203E-3</v>
      </c>
      <c r="L37" t="s">
        <v>169</v>
      </c>
      <c r="N37" t="s">
        <v>220</v>
      </c>
      <c r="O37" t="s">
        <v>195</v>
      </c>
      <c r="P37">
        <v>1.7446539212370613E-3</v>
      </c>
      <c r="Q37" t="s">
        <v>169</v>
      </c>
      <c r="S37" t="s">
        <v>225</v>
      </c>
      <c r="T37" t="s">
        <v>195</v>
      </c>
      <c r="U37">
        <v>1.7446539212370613E-3</v>
      </c>
      <c r="V37" t="s">
        <v>169</v>
      </c>
      <c r="X37">
        <v>6.8493150684931503E-3</v>
      </c>
      <c r="Y37">
        <v>1.0789846605176146E-2</v>
      </c>
      <c r="Z37" t="s">
        <v>195</v>
      </c>
      <c r="AA37" t="s">
        <v>25</v>
      </c>
      <c r="AC37" t="s">
        <v>22</v>
      </c>
      <c r="AD37" t="s">
        <v>195</v>
      </c>
      <c r="AE37">
        <v>7.6725292914623577E-3</v>
      </c>
      <c r="AG37" t="s">
        <v>97</v>
      </c>
      <c r="AH37" t="s">
        <v>195</v>
      </c>
      <c r="AI37">
        <v>1.5964213895842683E-2</v>
      </c>
      <c r="AK37">
        <v>2028</v>
      </c>
      <c r="AL37" t="s">
        <v>163</v>
      </c>
      <c r="AM37">
        <v>0.43180000000000002</v>
      </c>
      <c r="AN37" t="s">
        <v>239</v>
      </c>
    </row>
    <row r="38" spans="9:40" x14ac:dyDescent="0.45">
      <c r="I38" t="s">
        <v>167</v>
      </c>
      <c r="J38" t="s">
        <v>196</v>
      </c>
      <c r="K38">
        <v>7.7437770723305141E-2</v>
      </c>
      <c r="L38" t="s">
        <v>169</v>
      </c>
      <c r="N38" t="s">
        <v>220</v>
      </c>
      <c r="O38" t="s">
        <v>196</v>
      </c>
      <c r="P38">
        <v>2.4046585785280943E-2</v>
      </c>
      <c r="Q38" t="s">
        <v>169</v>
      </c>
      <c r="S38" t="s">
        <v>225</v>
      </c>
      <c r="T38" t="s">
        <v>196</v>
      </c>
      <c r="U38">
        <v>2.4046585785280943E-2</v>
      </c>
      <c r="V38" t="s">
        <v>169</v>
      </c>
      <c r="X38">
        <v>3.0821917808219176E-2</v>
      </c>
      <c r="Y38">
        <v>4.2244486985058304E-2</v>
      </c>
      <c r="Z38" t="s">
        <v>196</v>
      </c>
      <c r="AA38" t="s">
        <v>25</v>
      </c>
      <c r="AC38" t="s">
        <v>22</v>
      </c>
      <c r="AD38" t="s">
        <v>196</v>
      </c>
      <c r="AE38">
        <v>3.4629227391237423E-2</v>
      </c>
      <c r="AG38" t="s">
        <v>97</v>
      </c>
      <c r="AH38" t="s">
        <v>196</v>
      </c>
      <c r="AI38">
        <v>5.0614250614250622E-2</v>
      </c>
      <c r="AK38">
        <v>2028</v>
      </c>
      <c r="AL38" t="s">
        <v>165</v>
      </c>
      <c r="AM38">
        <v>0.43930000000000002</v>
      </c>
      <c r="AN38" t="s">
        <v>239</v>
      </c>
    </row>
    <row r="39" spans="9:40" x14ac:dyDescent="0.45">
      <c r="I39" t="s">
        <v>167</v>
      </c>
      <c r="J39" t="s">
        <v>197</v>
      </c>
      <c r="K39">
        <v>6.6744596076013093E-3</v>
      </c>
      <c r="L39" t="s">
        <v>169</v>
      </c>
      <c r="N39" t="s">
        <v>220</v>
      </c>
      <c r="O39" t="s">
        <v>197</v>
      </c>
      <c r="P39">
        <v>3.9047207153837791E-3</v>
      </c>
      <c r="Q39" t="s">
        <v>169</v>
      </c>
      <c r="S39" t="s">
        <v>225</v>
      </c>
      <c r="T39" t="s">
        <v>197</v>
      </c>
      <c r="U39">
        <v>3.9047207153837791E-3</v>
      </c>
      <c r="V39" t="s">
        <v>169</v>
      </c>
      <c r="X39">
        <v>3.4246575342465752E-3</v>
      </c>
      <c r="Y39">
        <v>6.662854585684809E-3</v>
      </c>
      <c r="Z39" t="s">
        <v>197</v>
      </c>
      <c r="AA39" t="s">
        <v>25</v>
      </c>
      <c r="AC39" t="s">
        <v>22</v>
      </c>
      <c r="AD39" t="s">
        <v>197</v>
      </c>
      <c r="AE39">
        <v>3.6557135170003302E-3</v>
      </c>
      <c r="AG39" t="s">
        <v>97</v>
      </c>
      <c r="AH39" t="s">
        <v>197</v>
      </c>
      <c r="AI39">
        <v>4.8551611587107413E-2</v>
      </c>
      <c r="AK39">
        <v>2029</v>
      </c>
      <c r="AL39" t="s">
        <v>150</v>
      </c>
      <c r="AM39">
        <v>0.43384999999999996</v>
      </c>
      <c r="AN39" t="s">
        <v>239</v>
      </c>
    </row>
    <row r="40" spans="9:40" x14ac:dyDescent="0.45">
      <c r="I40" t="s">
        <v>167</v>
      </c>
      <c r="J40" t="s">
        <v>198</v>
      </c>
      <c r="K40">
        <v>4.6420473858260715E-3</v>
      </c>
      <c r="L40" t="s">
        <v>169</v>
      </c>
      <c r="N40" t="s">
        <v>220</v>
      </c>
      <c r="O40" t="s">
        <v>198</v>
      </c>
      <c r="P40">
        <v>2.1366782038292148E-2</v>
      </c>
      <c r="Q40" t="s">
        <v>169</v>
      </c>
      <c r="S40" t="s">
        <v>225</v>
      </c>
      <c r="T40" t="s">
        <v>198</v>
      </c>
      <c r="U40">
        <v>2.1366782038292148E-2</v>
      </c>
      <c r="V40" t="s">
        <v>169</v>
      </c>
      <c r="X40">
        <v>2.0547945205479451E-2</v>
      </c>
      <c r="Y40">
        <v>1.8099097531263209E-2</v>
      </c>
      <c r="Z40" t="s">
        <v>198</v>
      </c>
      <c r="AA40" t="s">
        <v>25</v>
      </c>
      <c r="AC40" t="s">
        <v>22</v>
      </c>
      <c r="AD40" t="s">
        <v>198</v>
      </c>
      <c r="AE40">
        <v>1.5732153625741999E-2</v>
      </c>
      <c r="AG40" t="s">
        <v>97</v>
      </c>
      <c r="AH40" t="s">
        <v>198</v>
      </c>
      <c r="AI40">
        <v>0.26691100594242601</v>
      </c>
      <c r="AK40">
        <v>2029</v>
      </c>
      <c r="AL40" t="s">
        <v>154</v>
      </c>
      <c r="AM40">
        <v>0.37714999999999999</v>
      </c>
      <c r="AN40" t="s">
        <v>239</v>
      </c>
    </row>
    <row r="41" spans="9:40" x14ac:dyDescent="0.45">
      <c r="I41" t="s">
        <v>167</v>
      </c>
      <c r="J41" t="s">
        <v>199</v>
      </c>
      <c r="K41">
        <v>0</v>
      </c>
      <c r="L41" t="s">
        <v>169</v>
      </c>
      <c r="N41" t="s">
        <v>220</v>
      </c>
      <c r="O41" t="s">
        <v>199</v>
      </c>
      <c r="P41">
        <v>7.9710088011739882E-3</v>
      </c>
      <c r="Q41" t="s">
        <v>169</v>
      </c>
      <c r="S41" t="s">
        <v>225</v>
      </c>
      <c r="T41" t="s">
        <v>199</v>
      </c>
      <c r="U41">
        <v>7.9710088011739882E-3</v>
      </c>
      <c r="V41" t="s">
        <v>169</v>
      </c>
      <c r="X41">
        <v>1.0616438356164383E-2</v>
      </c>
      <c r="Y41">
        <v>1.6441671017411266E-3</v>
      </c>
      <c r="Z41" t="s">
        <v>199</v>
      </c>
      <c r="AA41" t="s">
        <v>25</v>
      </c>
      <c r="AC41" t="s">
        <v>22</v>
      </c>
      <c r="AD41" t="s">
        <v>199</v>
      </c>
      <c r="AE41">
        <v>8.0461237317886389E-3</v>
      </c>
      <c r="AG41" t="s">
        <v>97</v>
      </c>
      <c r="AH41" t="s">
        <v>199</v>
      </c>
      <c r="AI41">
        <v>0.14461934626406947</v>
      </c>
      <c r="AK41">
        <v>2029</v>
      </c>
      <c r="AL41" t="s">
        <v>156</v>
      </c>
      <c r="AM41">
        <v>0.33234999999999998</v>
      </c>
      <c r="AN41" t="s">
        <v>239</v>
      </c>
    </row>
    <row r="42" spans="9:40" x14ac:dyDescent="0.45">
      <c r="I42" t="s">
        <v>167</v>
      </c>
      <c r="J42" t="s">
        <v>200</v>
      </c>
      <c r="K42">
        <v>0</v>
      </c>
      <c r="L42" t="s">
        <v>169</v>
      </c>
      <c r="N42" t="s">
        <v>220</v>
      </c>
      <c r="O42" t="s">
        <v>200</v>
      </c>
      <c r="P42">
        <v>8.3704164351863161E-3</v>
      </c>
      <c r="Q42" t="s">
        <v>169</v>
      </c>
      <c r="S42" t="s">
        <v>225</v>
      </c>
      <c r="T42" t="s">
        <v>200</v>
      </c>
      <c r="U42">
        <v>8.3704164351863161E-3</v>
      </c>
      <c r="V42" t="s">
        <v>169</v>
      </c>
      <c r="X42">
        <v>1.0616438356164383E-2</v>
      </c>
      <c r="Y42">
        <v>2.8978445168187368E-3</v>
      </c>
      <c r="Z42" t="s">
        <v>200</v>
      </c>
      <c r="AA42" t="s">
        <v>25</v>
      </c>
      <c r="AC42" t="s">
        <v>22</v>
      </c>
      <c r="AD42" t="s">
        <v>200</v>
      </c>
      <c r="AE42">
        <v>1.0409890312278302E-2</v>
      </c>
      <c r="AG42" t="s">
        <v>97</v>
      </c>
      <c r="AH42" t="s">
        <v>200</v>
      </c>
      <c r="AI42">
        <v>8.8165473904695535E-2</v>
      </c>
      <c r="AK42">
        <v>2029</v>
      </c>
      <c r="AL42" t="s">
        <v>158</v>
      </c>
      <c r="AM42">
        <v>0.33230000000000004</v>
      </c>
      <c r="AN42" t="s">
        <v>239</v>
      </c>
    </row>
    <row r="43" spans="9:40" x14ac:dyDescent="0.45">
      <c r="I43" t="s">
        <v>167</v>
      </c>
      <c r="J43" t="s">
        <v>201</v>
      </c>
      <c r="K43">
        <v>1.6165917931308654E-3</v>
      </c>
      <c r="L43" t="s">
        <v>169</v>
      </c>
      <c r="N43" t="s">
        <v>220</v>
      </c>
      <c r="O43" t="s">
        <v>201</v>
      </c>
      <c r="P43">
        <v>4.5505293180742494E-3</v>
      </c>
      <c r="Q43" t="s">
        <v>169</v>
      </c>
      <c r="S43" t="s">
        <v>225</v>
      </c>
      <c r="T43" t="s">
        <v>201</v>
      </c>
      <c r="U43">
        <v>4.5505293180742494E-3</v>
      </c>
      <c r="V43" t="s">
        <v>169</v>
      </c>
      <c r="X43">
        <v>7.0776255707762558E-3</v>
      </c>
      <c r="Y43">
        <v>1.1149508158682016E-2</v>
      </c>
      <c r="Z43" t="s">
        <v>201</v>
      </c>
      <c r="AA43" t="s">
        <v>25</v>
      </c>
      <c r="AC43" t="s">
        <v>22</v>
      </c>
      <c r="AD43" t="s">
        <v>201</v>
      </c>
      <c r="AE43">
        <v>7.3199164966282326E-3</v>
      </c>
      <c r="AG43" t="s">
        <v>97</v>
      </c>
      <c r="AH43" t="s">
        <v>201</v>
      </c>
      <c r="AI43">
        <v>6.0897920763787194E-2</v>
      </c>
      <c r="AK43">
        <v>2029</v>
      </c>
      <c r="AL43" t="s">
        <v>161</v>
      </c>
      <c r="AM43">
        <v>0.38300000000000001</v>
      </c>
      <c r="AN43" t="s">
        <v>239</v>
      </c>
    </row>
    <row r="44" spans="9:40" x14ac:dyDescent="0.45">
      <c r="I44" t="s">
        <v>167</v>
      </c>
      <c r="J44" t="s">
        <v>202</v>
      </c>
      <c r="K44">
        <v>7.0563456621307821E-2</v>
      </c>
      <c r="L44" t="s">
        <v>169</v>
      </c>
      <c r="N44" t="s">
        <v>220</v>
      </c>
      <c r="O44" t="s">
        <v>202</v>
      </c>
      <c r="P44">
        <v>1.5197747990567582E-2</v>
      </c>
      <c r="Q44" t="s">
        <v>169</v>
      </c>
      <c r="S44" t="s">
        <v>225</v>
      </c>
      <c r="T44" t="s">
        <v>202</v>
      </c>
      <c r="U44">
        <v>1.5197747990567582E-2</v>
      </c>
      <c r="V44" t="s">
        <v>169</v>
      </c>
      <c r="X44">
        <v>3.1849315068493152E-2</v>
      </c>
      <c r="Y44">
        <v>4.365263655122692E-2</v>
      </c>
      <c r="Z44" t="s">
        <v>202</v>
      </c>
      <c r="AA44" t="s">
        <v>25</v>
      </c>
      <c r="AC44" t="s">
        <v>22</v>
      </c>
      <c r="AD44" t="s">
        <v>202</v>
      </c>
      <c r="AE44">
        <v>3.3750056026889998E-2</v>
      </c>
      <c r="AG44" t="s">
        <v>97</v>
      </c>
      <c r="AH44" t="s">
        <v>202</v>
      </c>
      <c r="AI44">
        <v>7.7421746807284419E-2</v>
      </c>
      <c r="AK44">
        <v>2029</v>
      </c>
      <c r="AL44" t="s">
        <v>163</v>
      </c>
      <c r="AM44">
        <v>0.43930000000000002</v>
      </c>
      <c r="AN44" t="s">
        <v>239</v>
      </c>
    </row>
    <row r="45" spans="9:40" x14ac:dyDescent="0.45">
      <c r="I45" t="s">
        <v>167</v>
      </c>
      <c r="J45" t="s">
        <v>203</v>
      </c>
      <c r="K45">
        <v>5.4351202431923732E-3</v>
      </c>
      <c r="L45" t="s">
        <v>169</v>
      </c>
      <c r="N45" t="s">
        <v>220</v>
      </c>
      <c r="O45" t="s">
        <v>203</v>
      </c>
      <c r="P45">
        <v>3.3673816748528646E-3</v>
      </c>
      <c r="Q45" t="s">
        <v>169</v>
      </c>
      <c r="S45" t="s">
        <v>225</v>
      </c>
      <c r="T45" t="s">
        <v>203</v>
      </c>
      <c r="U45">
        <v>3.3673816748528646E-3</v>
      </c>
      <c r="V45" t="s">
        <v>169</v>
      </c>
      <c r="X45">
        <v>3.5388127853881279E-3</v>
      </c>
      <c r="Y45">
        <v>6.8849497385409693E-3</v>
      </c>
      <c r="Z45" t="s">
        <v>203</v>
      </c>
      <c r="AA45" t="s">
        <v>25</v>
      </c>
      <c r="AC45" t="s">
        <v>22</v>
      </c>
      <c r="AD45" t="s">
        <v>203</v>
      </c>
      <c r="AE45">
        <v>3.5267980177144356E-3</v>
      </c>
      <c r="AG45" t="s">
        <v>97</v>
      </c>
      <c r="AH45" t="s">
        <v>203</v>
      </c>
      <c r="AI45">
        <v>6.6161624877047132E-2</v>
      </c>
      <c r="AK45">
        <v>2029</v>
      </c>
      <c r="AL45" t="s">
        <v>165</v>
      </c>
      <c r="AM45">
        <v>0.46089999999999998</v>
      </c>
      <c r="AN45" t="s">
        <v>239</v>
      </c>
    </row>
    <row r="46" spans="9:40" x14ac:dyDescent="0.45">
      <c r="I46" t="s">
        <v>167</v>
      </c>
      <c r="J46" t="s">
        <v>204</v>
      </c>
      <c r="K46">
        <v>1.5602405510019108E-3</v>
      </c>
      <c r="L46" t="s">
        <v>169</v>
      </c>
      <c r="N46" t="s">
        <v>220</v>
      </c>
      <c r="O46" t="s">
        <v>204</v>
      </c>
      <c r="P46">
        <v>2.1412699512267198E-2</v>
      </c>
      <c r="Q46" t="s">
        <v>169</v>
      </c>
      <c r="S46" t="s">
        <v>225</v>
      </c>
      <c r="T46" t="s">
        <v>204</v>
      </c>
      <c r="U46">
        <v>2.1412699512267198E-2</v>
      </c>
      <c r="V46" t="s">
        <v>169</v>
      </c>
      <c r="X46">
        <v>2.1232876712328767E-2</v>
      </c>
      <c r="Y46">
        <v>1.8702400782305319E-2</v>
      </c>
      <c r="Z46" t="s">
        <v>204</v>
      </c>
      <c r="AA46" t="s">
        <v>25</v>
      </c>
      <c r="AC46" t="s">
        <v>22</v>
      </c>
      <c r="AD46" t="s">
        <v>204</v>
      </c>
      <c r="AE46">
        <v>1.4944430424036381E-2</v>
      </c>
      <c r="AG46" t="s">
        <v>97</v>
      </c>
      <c r="AH46" t="s">
        <v>204</v>
      </c>
      <c r="AI46">
        <v>0.23700814542024196</v>
      </c>
      <c r="AK46">
        <v>2030</v>
      </c>
      <c r="AL46" t="s">
        <v>150</v>
      </c>
      <c r="AM46">
        <v>0.45355000000000001</v>
      </c>
      <c r="AN46" t="s">
        <v>239</v>
      </c>
    </row>
    <row r="47" spans="9:40" x14ac:dyDescent="0.45">
      <c r="I47" t="s">
        <v>167</v>
      </c>
      <c r="J47" t="s">
        <v>205</v>
      </c>
      <c r="K47">
        <v>0</v>
      </c>
      <c r="L47" t="s">
        <v>169</v>
      </c>
      <c r="N47" t="s">
        <v>220</v>
      </c>
      <c r="O47" t="s">
        <v>205</v>
      </c>
      <c r="P47">
        <v>1.2772629118077456E-2</v>
      </c>
      <c r="Q47" t="s">
        <v>169</v>
      </c>
      <c r="S47" t="s">
        <v>225</v>
      </c>
      <c r="T47" t="s">
        <v>205</v>
      </c>
      <c r="U47">
        <v>1.2772629118077456E-2</v>
      </c>
      <c r="V47" t="s">
        <v>169</v>
      </c>
      <c r="X47">
        <v>2.0890410958904111E-2</v>
      </c>
      <c r="Y47">
        <v>3.2352965550389904E-3</v>
      </c>
      <c r="Z47" t="s">
        <v>205</v>
      </c>
      <c r="AA47" t="s">
        <v>25</v>
      </c>
      <c r="AC47" t="s">
        <v>22</v>
      </c>
      <c r="AD47" t="s">
        <v>205</v>
      </c>
      <c r="AE47">
        <v>2.033506836009864E-2</v>
      </c>
      <c r="AG47" t="s">
        <v>97</v>
      </c>
      <c r="AH47" t="s">
        <v>205</v>
      </c>
      <c r="AI47">
        <v>0.21489022372598399</v>
      </c>
      <c r="AK47">
        <v>2030</v>
      </c>
      <c r="AL47" t="s">
        <v>154</v>
      </c>
      <c r="AM47">
        <v>0.36934999999999996</v>
      </c>
      <c r="AN47" t="s">
        <v>239</v>
      </c>
    </row>
    <row r="48" spans="9:40" x14ac:dyDescent="0.45">
      <c r="I48" t="s">
        <v>167</v>
      </c>
      <c r="J48" t="s">
        <v>206</v>
      </c>
      <c r="K48">
        <v>0</v>
      </c>
      <c r="L48" t="s">
        <v>169</v>
      </c>
      <c r="N48" t="s">
        <v>220</v>
      </c>
      <c r="O48" t="s">
        <v>206</v>
      </c>
      <c r="P48">
        <v>1.5009249897457706E-2</v>
      </c>
      <c r="Q48" t="s">
        <v>169</v>
      </c>
      <c r="S48" t="s">
        <v>225</v>
      </c>
      <c r="T48" t="s">
        <v>206</v>
      </c>
      <c r="U48">
        <v>1.5009249897457706E-2</v>
      </c>
      <c r="V48" t="s">
        <v>169</v>
      </c>
      <c r="X48">
        <v>2.0890410958904111E-2</v>
      </c>
      <c r="Y48">
        <v>5.7022101782562241E-3</v>
      </c>
      <c r="Z48" t="s">
        <v>206</v>
      </c>
      <c r="AA48" t="s">
        <v>25</v>
      </c>
      <c r="AC48" t="s">
        <v>22</v>
      </c>
      <c r="AD48" t="s">
        <v>206</v>
      </c>
      <c r="AE48">
        <v>2.4109608938094503E-2</v>
      </c>
      <c r="AG48" t="s">
        <v>97</v>
      </c>
      <c r="AH48" t="s">
        <v>206</v>
      </c>
      <c r="AI48">
        <v>0.11376743376553522</v>
      </c>
      <c r="AK48">
        <v>2030</v>
      </c>
      <c r="AL48" t="s">
        <v>156</v>
      </c>
      <c r="AM48">
        <v>0.31</v>
      </c>
      <c r="AN48" t="s">
        <v>239</v>
      </c>
    </row>
    <row r="49" spans="9:40" x14ac:dyDescent="0.45">
      <c r="I49" t="s">
        <v>167</v>
      </c>
      <c r="J49" t="s">
        <v>207</v>
      </c>
      <c r="K49">
        <v>0</v>
      </c>
      <c r="L49" t="s">
        <v>169</v>
      </c>
      <c r="N49" t="s">
        <v>220</v>
      </c>
      <c r="O49" t="s">
        <v>207</v>
      </c>
      <c r="P49">
        <v>1.1081666658255745E-2</v>
      </c>
      <c r="Q49" t="s">
        <v>169</v>
      </c>
      <c r="S49" t="s">
        <v>225</v>
      </c>
      <c r="T49" t="s">
        <v>207</v>
      </c>
      <c r="U49">
        <v>1.1081666658255745E-2</v>
      </c>
      <c r="V49" t="s">
        <v>169</v>
      </c>
      <c r="X49">
        <v>1.3926940639269407E-2</v>
      </c>
      <c r="Y49">
        <v>2.1939354763858158E-2</v>
      </c>
      <c r="Z49" t="s">
        <v>207</v>
      </c>
      <c r="AA49" t="s">
        <v>25</v>
      </c>
      <c r="AC49" t="s">
        <v>22</v>
      </c>
      <c r="AD49" t="s">
        <v>207</v>
      </c>
      <c r="AE49">
        <v>1.6440556914635477E-2</v>
      </c>
      <c r="AG49" t="s">
        <v>97</v>
      </c>
      <c r="AH49" t="s">
        <v>207</v>
      </c>
      <c r="AI49">
        <v>0.10289993192648073</v>
      </c>
      <c r="AK49">
        <v>2030</v>
      </c>
      <c r="AL49" t="s">
        <v>158</v>
      </c>
      <c r="AM49">
        <v>0.34925</v>
      </c>
      <c r="AN49" t="s">
        <v>239</v>
      </c>
    </row>
    <row r="50" spans="9:40" x14ac:dyDescent="0.45">
      <c r="I50" t="s">
        <v>167</v>
      </c>
      <c r="J50" t="s">
        <v>208</v>
      </c>
      <c r="K50">
        <v>0.11077681571450505</v>
      </c>
      <c r="L50" t="s">
        <v>169</v>
      </c>
      <c r="N50" t="s">
        <v>220</v>
      </c>
      <c r="O50" t="s">
        <v>208</v>
      </c>
      <c r="P50">
        <v>5.3629410806338186E-2</v>
      </c>
      <c r="Q50" t="s">
        <v>169</v>
      </c>
      <c r="S50" t="s">
        <v>225</v>
      </c>
      <c r="T50" t="s">
        <v>208</v>
      </c>
      <c r="U50">
        <v>5.3629410806338186E-2</v>
      </c>
      <c r="V50" t="s">
        <v>169</v>
      </c>
      <c r="X50">
        <v>6.2671232876712335E-2</v>
      </c>
      <c r="Y50">
        <v>8.589712353628523E-2</v>
      </c>
      <c r="Z50" t="s">
        <v>208</v>
      </c>
      <c r="AA50" t="s">
        <v>25</v>
      </c>
      <c r="AC50" t="s">
        <v>22</v>
      </c>
      <c r="AD50" t="s">
        <v>208</v>
      </c>
      <c r="AE50">
        <v>7.6115786481143588E-2</v>
      </c>
      <c r="AG50" t="s">
        <v>97</v>
      </c>
      <c r="AH50" t="s">
        <v>208</v>
      </c>
      <c r="AI50">
        <v>0.14811272769435324</v>
      </c>
      <c r="AK50">
        <v>2030</v>
      </c>
      <c r="AL50" t="s">
        <v>161</v>
      </c>
      <c r="AM50">
        <v>0.43519999999999998</v>
      </c>
      <c r="AN50" t="s">
        <v>239</v>
      </c>
    </row>
    <row r="51" spans="9:40" x14ac:dyDescent="0.45">
      <c r="I51" t="s">
        <v>167</v>
      </c>
      <c r="J51" t="s">
        <v>209</v>
      </c>
      <c r="K51">
        <v>6.0032775738183405E-3</v>
      </c>
      <c r="L51" t="s">
        <v>169</v>
      </c>
      <c r="N51" t="s">
        <v>220</v>
      </c>
      <c r="O51" t="s">
        <v>209</v>
      </c>
      <c r="P51">
        <v>6.1781144401599625E-3</v>
      </c>
      <c r="Q51" t="s">
        <v>169</v>
      </c>
      <c r="S51" t="s">
        <v>225</v>
      </c>
      <c r="T51" t="s">
        <v>209</v>
      </c>
      <c r="U51">
        <v>6.1781144401599625E-3</v>
      </c>
      <c r="V51" t="s">
        <v>169</v>
      </c>
      <c r="X51">
        <v>6.9634703196347035E-3</v>
      </c>
      <c r="Y51">
        <v>1.354780432422577E-2</v>
      </c>
      <c r="Z51" t="s">
        <v>209</v>
      </c>
      <c r="AA51" t="s">
        <v>25</v>
      </c>
      <c r="AC51" t="s">
        <v>22</v>
      </c>
      <c r="AD51" t="s">
        <v>209</v>
      </c>
      <c r="AE51">
        <v>7.850767441770894E-3</v>
      </c>
      <c r="AG51" t="s">
        <v>97</v>
      </c>
      <c r="AH51" t="s">
        <v>209</v>
      </c>
      <c r="AI51">
        <v>0.14485766943252876</v>
      </c>
      <c r="AK51">
        <v>2030</v>
      </c>
      <c r="AL51" t="s">
        <v>163</v>
      </c>
      <c r="AM51">
        <v>0.40579999999999999</v>
      </c>
      <c r="AN51" t="s">
        <v>239</v>
      </c>
    </row>
    <row r="52" spans="9:40" x14ac:dyDescent="0.45">
      <c r="I52" t="s">
        <v>167</v>
      </c>
      <c r="J52" t="s">
        <v>210</v>
      </c>
      <c r="K52">
        <v>0</v>
      </c>
      <c r="L52" t="s">
        <v>169</v>
      </c>
      <c r="N52" t="s">
        <v>220</v>
      </c>
      <c r="O52" t="s">
        <v>210</v>
      </c>
      <c r="P52">
        <v>3.0640459784977231E-2</v>
      </c>
      <c r="Q52" t="s">
        <v>169</v>
      </c>
      <c r="S52" t="s">
        <v>225</v>
      </c>
      <c r="T52" t="s">
        <v>210</v>
      </c>
      <c r="U52">
        <v>3.0640459784977231E-2</v>
      </c>
      <c r="V52" t="s">
        <v>169</v>
      </c>
      <c r="X52">
        <v>4.1780821917808221E-2</v>
      </c>
      <c r="Y52">
        <v>3.6801498313568527E-2</v>
      </c>
      <c r="Z52" t="s">
        <v>210</v>
      </c>
      <c r="AA52" t="s">
        <v>25</v>
      </c>
      <c r="AC52" t="s">
        <v>22</v>
      </c>
      <c r="AD52" t="s">
        <v>210</v>
      </c>
      <c r="AE52">
        <v>3.3252835896042547E-2</v>
      </c>
      <c r="AG52" t="s">
        <v>97</v>
      </c>
      <c r="AH52" t="s">
        <v>210</v>
      </c>
      <c r="AI52">
        <v>0.37350275086937046</v>
      </c>
      <c r="AK52">
        <v>2030</v>
      </c>
      <c r="AL52" t="s">
        <v>165</v>
      </c>
      <c r="AM52">
        <v>0.45140000000000002</v>
      </c>
      <c r="AN52" t="s">
        <v>239</v>
      </c>
    </row>
    <row r="53" spans="9:40" x14ac:dyDescent="0.45">
      <c r="I53" t="s">
        <v>211</v>
      </c>
      <c r="J53" t="s">
        <v>168</v>
      </c>
      <c r="K53">
        <v>0</v>
      </c>
      <c r="L53" t="s">
        <v>169</v>
      </c>
      <c r="N53" t="s">
        <v>221</v>
      </c>
      <c r="O53" t="s">
        <v>168</v>
      </c>
      <c r="P53">
        <v>1.5678505759499813E-2</v>
      </c>
      <c r="Q53" t="s">
        <v>169</v>
      </c>
      <c r="S53" t="s">
        <v>226</v>
      </c>
      <c r="T53" t="s">
        <v>168</v>
      </c>
      <c r="U53">
        <v>1.5678505759499813E-2</v>
      </c>
      <c r="V53" t="s">
        <v>169</v>
      </c>
      <c r="AC53" t="s">
        <v>19</v>
      </c>
      <c r="AD53" t="s">
        <v>168</v>
      </c>
      <c r="AE53">
        <v>2.0090384061864305E-2</v>
      </c>
      <c r="AK53">
        <v>2031</v>
      </c>
      <c r="AL53" t="s">
        <v>150</v>
      </c>
      <c r="AM53">
        <v>0.43030000000000002</v>
      </c>
      <c r="AN53" t="s">
        <v>239</v>
      </c>
    </row>
    <row r="54" spans="9:40" x14ac:dyDescent="0.45">
      <c r="I54" t="s">
        <v>211</v>
      </c>
      <c r="J54" t="s">
        <v>170</v>
      </c>
      <c r="K54">
        <v>0</v>
      </c>
      <c r="L54" t="s">
        <v>169</v>
      </c>
      <c r="N54" t="s">
        <v>221</v>
      </c>
      <c r="O54" t="s">
        <v>170</v>
      </c>
      <c r="P54">
        <v>1.5211486081758515E-2</v>
      </c>
      <c r="Q54" t="s">
        <v>169</v>
      </c>
      <c r="S54" t="s">
        <v>226</v>
      </c>
      <c r="T54" t="s">
        <v>170</v>
      </c>
      <c r="U54">
        <v>1.5211486081758515E-2</v>
      </c>
      <c r="V54" t="s">
        <v>169</v>
      </c>
      <c r="AC54" t="s">
        <v>19</v>
      </c>
      <c r="AD54" t="s">
        <v>170</v>
      </c>
      <c r="AE54">
        <v>2.0356314682042211E-2</v>
      </c>
      <c r="AK54">
        <v>2031</v>
      </c>
      <c r="AL54" t="s">
        <v>154</v>
      </c>
      <c r="AM54">
        <v>0.38600000000000001</v>
      </c>
      <c r="AN54" t="s">
        <v>239</v>
      </c>
    </row>
    <row r="55" spans="9:40" x14ac:dyDescent="0.45">
      <c r="I55" t="s">
        <v>211</v>
      </c>
      <c r="J55" t="s">
        <v>171</v>
      </c>
      <c r="K55">
        <v>0</v>
      </c>
      <c r="L55" t="s">
        <v>169</v>
      </c>
      <c r="N55" t="s">
        <v>221</v>
      </c>
      <c r="O55" t="s">
        <v>171</v>
      </c>
      <c r="P55">
        <v>1.0709807627015915E-2</v>
      </c>
      <c r="Q55" t="s">
        <v>169</v>
      </c>
      <c r="S55" t="s">
        <v>226</v>
      </c>
      <c r="T55" t="s">
        <v>171</v>
      </c>
      <c r="U55">
        <v>1.0709807627015915E-2</v>
      </c>
      <c r="V55" t="s">
        <v>169</v>
      </c>
      <c r="AC55" t="s">
        <v>19</v>
      </c>
      <c r="AD55" t="s">
        <v>171</v>
      </c>
      <c r="AE55">
        <v>1.3589101468896995E-2</v>
      </c>
      <c r="AK55">
        <v>2031</v>
      </c>
      <c r="AL55" t="s">
        <v>156</v>
      </c>
      <c r="AM55">
        <v>0.30649999999999999</v>
      </c>
      <c r="AN55" t="s">
        <v>239</v>
      </c>
    </row>
    <row r="56" spans="9:40" x14ac:dyDescent="0.45">
      <c r="I56" t="s">
        <v>211</v>
      </c>
      <c r="J56" t="s">
        <v>172</v>
      </c>
      <c r="K56">
        <v>0.11222166465979566</v>
      </c>
      <c r="L56" t="s">
        <v>169</v>
      </c>
      <c r="N56" t="s">
        <v>221</v>
      </c>
      <c r="O56" t="s">
        <v>172</v>
      </c>
      <c r="P56">
        <v>4.8872107763772744E-2</v>
      </c>
      <c r="Q56" t="s">
        <v>169</v>
      </c>
      <c r="S56" t="s">
        <v>226</v>
      </c>
      <c r="T56" t="s">
        <v>172</v>
      </c>
      <c r="U56">
        <v>4.8872107763772744E-2</v>
      </c>
      <c r="V56" t="s">
        <v>169</v>
      </c>
      <c r="AC56" t="s">
        <v>19</v>
      </c>
      <c r="AD56" t="s">
        <v>172</v>
      </c>
      <c r="AE56">
        <v>6.1328943400521779E-2</v>
      </c>
      <c r="AK56">
        <v>2031</v>
      </c>
      <c r="AL56" t="s">
        <v>158</v>
      </c>
      <c r="AM56">
        <v>0.36104999999999998</v>
      </c>
      <c r="AN56" t="s">
        <v>239</v>
      </c>
    </row>
    <row r="57" spans="9:40" x14ac:dyDescent="0.45">
      <c r="I57" t="s">
        <v>211</v>
      </c>
      <c r="J57" t="s">
        <v>173</v>
      </c>
      <c r="K57">
        <v>7.5596082998305968E-3</v>
      </c>
      <c r="L57" t="s">
        <v>169</v>
      </c>
      <c r="N57" t="s">
        <v>221</v>
      </c>
      <c r="O57" t="s">
        <v>173</v>
      </c>
      <c r="P57">
        <v>4.9051715946993348E-3</v>
      </c>
      <c r="Q57" t="s">
        <v>169</v>
      </c>
      <c r="S57" t="s">
        <v>226</v>
      </c>
      <c r="T57" t="s">
        <v>173</v>
      </c>
      <c r="U57">
        <v>4.9051715946993348E-3</v>
      </c>
      <c r="V57" t="s">
        <v>169</v>
      </c>
      <c r="AC57" t="s">
        <v>19</v>
      </c>
      <c r="AD57" t="s">
        <v>173</v>
      </c>
      <c r="AE57">
        <v>6.7607693688380146E-3</v>
      </c>
      <c r="AK57">
        <v>2031</v>
      </c>
      <c r="AL57" t="s">
        <v>161</v>
      </c>
      <c r="AM57">
        <v>0.38819999999999999</v>
      </c>
      <c r="AN57" t="s">
        <v>239</v>
      </c>
    </row>
    <row r="58" spans="9:40" x14ac:dyDescent="0.45">
      <c r="I58" t="s">
        <v>211</v>
      </c>
      <c r="J58" t="s">
        <v>174</v>
      </c>
      <c r="K58">
        <v>1.8514208620355977E-3</v>
      </c>
      <c r="L58" t="s">
        <v>169</v>
      </c>
      <c r="N58" t="s">
        <v>221</v>
      </c>
      <c r="O58" t="s">
        <v>174</v>
      </c>
      <c r="P58">
        <v>3.3019242118964204E-2</v>
      </c>
      <c r="Q58" t="s">
        <v>169</v>
      </c>
      <c r="S58" t="s">
        <v>226</v>
      </c>
      <c r="T58" t="s">
        <v>174</v>
      </c>
      <c r="U58">
        <v>3.3019242118964204E-2</v>
      </c>
      <c r="V58" t="s">
        <v>169</v>
      </c>
      <c r="AC58" t="s">
        <v>19</v>
      </c>
      <c r="AD58" t="s">
        <v>174</v>
      </c>
      <c r="AE58">
        <v>3.9629904865216885E-2</v>
      </c>
      <c r="AK58">
        <v>2031</v>
      </c>
      <c r="AL58" t="s">
        <v>163</v>
      </c>
      <c r="AM58">
        <v>0.4254</v>
      </c>
      <c r="AN58" t="s">
        <v>239</v>
      </c>
    </row>
    <row r="59" spans="9:40" x14ac:dyDescent="0.45">
      <c r="I59" t="s">
        <v>211</v>
      </c>
      <c r="J59" t="s">
        <v>175</v>
      </c>
      <c r="K59">
        <v>0</v>
      </c>
      <c r="L59" t="s">
        <v>169</v>
      </c>
      <c r="N59" t="s">
        <v>221</v>
      </c>
      <c r="O59" t="s">
        <v>175</v>
      </c>
      <c r="P59">
        <v>2.3095833263646847E-2</v>
      </c>
      <c r="Q59" t="s">
        <v>169</v>
      </c>
      <c r="S59" t="s">
        <v>226</v>
      </c>
      <c r="T59" t="s">
        <v>175</v>
      </c>
      <c r="U59">
        <v>2.3095833263646847E-2</v>
      </c>
      <c r="V59" t="s">
        <v>169</v>
      </c>
      <c r="AC59" t="s">
        <v>19</v>
      </c>
      <c r="AD59" t="s">
        <v>175</v>
      </c>
      <c r="AE59">
        <v>2.0707336993118365E-2</v>
      </c>
      <c r="AK59">
        <v>2031</v>
      </c>
      <c r="AL59" t="s">
        <v>165</v>
      </c>
      <c r="AM59">
        <v>0.4415</v>
      </c>
      <c r="AN59" t="s">
        <v>239</v>
      </c>
    </row>
    <row r="60" spans="9:40" x14ac:dyDescent="0.45">
      <c r="I60" t="s">
        <v>211</v>
      </c>
      <c r="J60" t="s">
        <v>176</v>
      </c>
      <c r="K60">
        <v>0</v>
      </c>
      <c r="L60" t="s">
        <v>169</v>
      </c>
      <c r="N60" t="s">
        <v>221</v>
      </c>
      <c r="O60" t="s">
        <v>176</v>
      </c>
      <c r="P60">
        <v>2.2801779484193478E-2</v>
      </c>
      <c r="Q60" t="s">
        <v>169</v>
      </c>
      <c r="S60" t="s">
        <v>226</v>
      </c>
      <c r="T60" t="s">
        <v>176</v>
      </c>
      <c r="U60">
        <v>2.2801779484193478E-2</v>
      </c>
      <c r="V60" t="s">
        <v>169</v>
      </c>
      <c r="AC60" t="s">
        <v>19</v>
      </c>
      <c r="AD60" t="s">
        <v>176</v>
      </c>
      <c r="AE60">
        <v>2.0986551940054589E-2</v>
      </c>
      <c r="AK60">
        <v>2032</v>
      </c>
      <c r="AL60" t="s">
        <v>150</v>
      </c>
      <c r="AM60">
        <v>0.34865000000000002</v>
      </c>
      <c r="AN60" t="s">
        <v>239</v>
      </c>
    </row>
    <row r="61" spans="9:40" x14ac:dyDescent="0.45">
      <c r="I61" t="s">
        <v>211</v>
      </c>
      <c r="J61" t="s">
        <v>177</v>
      </c>
      <c r="K61">
        <v>4.9994290229633297E-3</v>
      </c>
      <c r="L61" t="s">
        <v>169</v>
      </c>
      <c r="N61" t="s">
        <v>221</v>
      </c>
      <c r="O61" t="s">
        <v>177</v>
      </c>
      <c r="P61">
        <v>1.0849743446019201E-2</v>
      </c>
      <c r="Q61" t="s">
        <v>169</v>
      </c>
      <c r="S61" t="s">
        <v>226</v>
      </c>
      <c r="T61" t="s">
        <v>177</v>
      </c>
      <c r="U61">
        <v>1.0849743446019201E-2</v>
      </c>
      <c r="V61" t="s">
        <v>169</v>
      </c>
      <c r="AC61" t="s">
        <v>19</v>
      </c>
      <c r="AD61" t="s">
        <v>177</v>
      </c>
      <c r="AE61">
        <v>1.402794638258778E-2</v>
      </c>
      <c r="AK61">
        <v>2032</v>
      </c>
      <c r="AL61" t="s">
        <v>154</v>
      </c>
      <c r="AM61">
        <v>0.32350000000000001</v>
      </c>
      <c r="AN61" t="s">
        <v>239</v>
      </c>
    </row>
    <row r="62" spans="9:40" x14ac:dyDescent="0.45">
      <c r="I62" t="s">
        <v>211</v>
      </c>
      <c r="J62" t="s">
        <v>178</v>
      </c>
      <c r="K62">
        <v>0.1617694726634977</v>
      </c>
      <c r="L62" t="s">
        <v>169</v>
      </c>
      <c r="N62" t="s">
        <v>221</v>
      </c>
      <c r="O62" t="s">
        <v>178</v>
      </c>
      <c r="P62">
        <v>5.7260332643571811E-2</v>
      </c>
      <c r="Q62" t="s">
        <v>169</v>
      </c>
      <c r="S62" t="s">
        <v>226</v>
      </c>
      <c r="T62" t="s">
        <v>178</v>
      </c>
      <c r="U62">
        <v>5.7260332643571811E-2</v>
      </c>
      <c r="V62" t="s">
        <v>169</v>
      </c>
      <c r="AC62" t="s">
        <v>19</v>
      </c>
      <c r="AD62" t="s">
        <v>178</v>
      </c>
      <c r="AE62">
        <v>6.3231999774022413E-2</v>
      </c>
      <c r="AK62">
        <v>2032</v>
      </c>
      <c r="AL62" t="s">
        <v>156</v>
      </c>
      <c r="AM62">
        <v>0.25980000000000003</v>
      </c>
      <c r="AN62" t="s">
        <v>239</v>
      </c>
    </row>
    <row r="63" spans="9:40" x14ac:dyDescent="0.45">
      <c r="I63" t="s">
        <v>211</v>
      </c>
      <c r="J63" t="s">
        <v>179</v>
      </c>
      <c r="K63">
        <v>1.4109857105122426E-2</v>
      </c>
      <c r="L63" t="s">
        <v>169</v>
      </c>
      <c r="N63" t="s">
        <v>221</v>
      </c>
      <c r="O63" t="s">
        <v>179</v>
      </c>
      <c r="P63">
        <v>9.4990383645409283E-3</v>
      </c>
      <c r="Q63" t="s">
        <v>169</v>
      </c>
      <c r="S63" t="s">
        <v>226</v>
      </c>
      <c r="T63" t="s">
        <v>179</v>
      </c>
      <c r="U63">
        <v>9.4990383645409283E-3</v>
      </c>
      <c r="V63" t="s">
        <v>169</v>
      </c>
      <c r="AC63" t="s">
        <v>19</v>
      </c>
      <c r="AD63" t="s">
        <v>179</v>
      </c>
      <c r="AE63">
        <v>6.9961824450082387E-3</v>
      </c>
      <c r="AK63">
        <v>2032</v>
      </c>
      <c r="AL63" t="s">
        <v>158</v>
      </c>
      <c r="AM63">
        <v>0.30525000000000002</v>
      </c>
      <c r="AN63" t="s">
        <v>239</v>
      </c>
    </row>
    <row r="64" spans="9:40" x14ac:dyDescent="0.45">
      <c r="I64" t="s">
        <v>211</v>
      </c>
      <c r="J64" t="s">
        <v>180</v>
      </c>
      <c r="K64">
        <v>1.1873440442900368E-2</v>
      </c>
      <c r="L64" t="s">
        <v>169</v>
      </c>
      <c r="N64" t="s">
        <v>221</v>
      </c>
      <c r="O64" t="s">
        <v>180</v>
      </c>
      <c r="P64">
        <v>6.1285267332206177E-2</v>
      </c>
      <c r="Q64" t="s">
        <v>169</v>
      </c>
      <c r="S64" t="s">
        <v>226</v>
      </c>
      <c r="T64" t="s">
        <v>180</v>
      </c>
      <c r="U64">
        <v>6.1285267332206177E-2</v>
      </c>
      <c r="V64" t="s">
        <v>169</v>
      </c>
      <c r="AC64" t="s">
        <v>19</v>
      </c>
      <c r="AD64" t="s">
        <v>180</v>
      </c>
      <c r="AE64">
        <v>4.1096606807573273E-2</v>
      </c>
      <c r="AK64">
        <v>2032</v>
      </c>
      <c r="AL64" t="s">
        <v>161</v>
      </c>
      <c r="AM64">
        <v>0.31109999999999999</v>
      </c>
      <c r="AN64" t="s">
        <v>239</v>
      </c>
    </row>
    <row r="65" spans="9:40" x14ac:dyDescent="0.45">
      <c r="I65" t="s">
        <v>211</v>
      </c>
      <c r="J65" t="s">
        <v>181</v>
      </c>
      <c r="K65">
        <v>0</v>
      </c>
      <c r="L65" t="s">
        <v>169</v>
      </c>
      <c r="N65" t="s">
        <v>221</v>
      </c>
      <c r="O65" t="s">
        <v>181</v>
      </c>
      <c r="P65">
        <v>1.6473299739126389E-2</v>
      </c>
      <c r="Q65" t="s">
        <v>169</v>
      </c>
      <c r="S65" t="s">
        <v>226</v>
      </c>
      <c r="T65" t="s">
        <v>181</v>
      </c>
      <c r="U65">
        <v>1.6473299739126389E-2</v>
      </c>
      <c r="V65" t="s">
        <v>169</v>
      </c>
      <c r="AC65" t="s">
        <v>19</v>
      </c>
      <c r="AD65" t="s">
        <v>181</v>
      </c>
      <c r="AE65">
        <v>2.0576185387219E-2</v>
      </c>
      <c r="AK65">
        <v>2032</v>
      </c>
      <c r="AL65" t="s">
        <v>163</v>
      </c>
      <c r="AM65">
        <v>0.37780000000000002</v>
      </c>
      <c r="AN65" t="s">
        <v>239</v>
      </c>
    </row>
    <row r="66" spans="9:40" x14ac:dyDescent="0.45">
      <c r="I66" t="s">
        <v>211</v>
      </c>
      <c r="J66" t="s">
        <v>182</v>
      </c>
      <c r="K66">
        <v>0</v>
      </c>
      <c r="L66" t="s">
        <v>169</v>
      </c>
      <c r="N66" t="s">
        <v>221</v>
      </c>
      <c r="O66" t="s">
        <v>182</v>
      </c>
      <c r="P66">
        <v>1.2926204016622629E-2</v>
      </c>
      <c r="Q66" t="s">
        <v>169</v>
      </c>
      <c r="S66" t="s">
        <v>226</v>
      </c>
      <c r="T66" t="s">
        <v>182</v>
      </c>
      <c r="U66">
        <v>1.2926204016622629E-2</v>
      </c>
      <c r="V66" t="s">
        <v>169</v>
      </c>
      <c r="AC66" t="s">
        <v>19</v>
      </c>
      <c r="AD66" t="s">
        <v>182</v>
      </c>
      <c r="AE66">
        <v>2.0990196281831453E-2</v>
      </c>
      <c r="AK66">
        <v>2032</v>
      </c>
      <c r="AL66" t="s">
        <v>165</v>
      </c>
      <c r="AM66">
        <v>0.3972</v>
      </c>
      <c r="AN66" t="s">
        <v>239</v>
      </c>
    </row>
    <row r="67" spans="9:40" x14ac:dyDescent="0.45">
      <c r="I67" t="s">
        <v>211</v>
      </c>
      <c r="J67" t="s">
        <v>183</v>
      </c>
      <c r="K67">
        <v>1.3530722128675635E-2</v>
      </c>
      <c r="L67" t="s">
        <v>169</v>
      </c>
      <c r="N67" t="s">
        <v>221</v>
      </c>
      <c r="O67" t="s">
        <v>183</v>
      </c>
      <c r="P67">
        <v>6.7387464015493566E-3</v>
      </c>
      <c r="Q67" t="s">
        <v>169</v>
      </c>
      <c r="S67" t="s">
        <v>226</v>
      </c>
      <c r="T67" t="s">
        <v>183</v>
      </c>
      <c r="U67">
        <v>6.7387464015493566E-3</v>
      </c>
      <c r="V67" t="s">
        <v>169</v>
      </c>
      <c r="AC67" t="s">
        <v>19</v>
      </c>
      <c r="AD67" t="s">
        <v>183</v>
      </c>
      <c r="AE67">
        <v>1.405765854594802E-2</v>
      </c>
      <c r="AK67">
        <v>2033</v>
      </c>
      <c r="AL67" t="s">
        <v>150</v>
      </c>
      <c r="AM67">
        <v>0.35525000000000001</v>
      </c>
      <c r="AN67" t="s">
        <v>239</v>
      </c>
    </row>
    <row r="68" spans="9:40" x14ac:dyDescent="0.45">
      <c r="I68" t="s">
        <v>211</v>
      </c>
      <c r="J68" t="s">
        <v>184</v>
      </c>
      <c r="K68">
        <v>0.16299272213324417</v>
      </c>
      <c r="L68" t="s">
        <v>169</v>
      </c>
      <c r="N68" t="s">
        <v>221</v>
      </c>
      <c r="O68" t="s">
        <v>184</v>
      </c>
      <c r="P68">
        <v>6.2310737967048377E-2</v>
      </c>
      <c r="Q68" t="s">
        <v>169</v>
      </c>
      <c r="S68" t="s">
        <v>226</v>
      </c>
      <c r="T68" t="s">
        <v>184</v>
      </c>
      <c r="U68">
        <v>6.2310737967048377E-2</v>
      </c>
      <c r="V68" t="s">
        <v>169</v>
      </c>
      <c r="AC68" t="s">
        <v>19</v>
      </c>
      <c r="AD68" t="s">
        <v>184</v>
      </c>
      <c r="AE68">
        <v>6.3352234067563809E-2</v>
      </c>
      <c r="AK68">
        <v>2033</v>
      </c>
      <c r="AL68" t="s">
        <v>154</v>
      </c>
      <c r="AM68">
        <v>0.32615</v>
      </c>
      <c r="AN68" t="s">
        <v>239</v>
      </c>
    </row>
    <row r="69" spans="9:40" x14ac:dyDescent="0.45">
      <c r="I69" t="s">
        <v>211</v>
      </c>
      <c r="J69" t="s">
        <v>185</v>
      </c>
      <c r="K69">
        <v>1.3796452305391241E-2</v>
      </c>
      <c r="L69" t="s">
        <v>169</v>
      </c>
      <c r="N69" t="s">
        <v>221</v>
      </c>
      <c r="O69" t="s">
        <v>185</v>
      </c>
      <c r="P69">
        <v>8.7542447717815827E-3</v>
      </c>
      <c r="Q69" t="s">
        <v>169</v>
      </c>
      <c r="S69" t="s">
        <v>226</v>
      </c>
      <c r="T69" t="s">
        <v>185</v>
      </c>
      <c r="U69">
        <v>8.7542447717815827E-3</v>
      </c>
      <c r="V69" t="s">
        <v>169</v>
      </c>
      <c r="AC69" t="s">
        <v>19</v>
      </c>
      <c r="AD69" t="s">
        <v>185</v>
      </c>
      <c r="AE69">
        <v>6.9980806636331088E-3</v>
      </c>
      <c r="AK69">
        <v>2033</v>
      </c>
      <c r="AL69" t="s">
        <v>156</v>
      </c>
      <c r="AM69">
        <v>0.24675</v>
      </c>
      <c r="AN69" t="s">
        <v>239</v>
      </c>
    </row>
    <row r="70" spans="9:40" x14ac:dyDescent="0.45">
      <c r="I70" t="s">
        <v>211</v>
      </c>
      <c r="J70" t="s">
        <v>186</v>
      </c>
      <c r="K70">
        <v>1.6854452591753576E-2</v>
      </c>
      <c r="L70" t="s">
        <v>169</v>
      </c>
      <c r="N70" t="s">
        <v>221</v>
      </c>
      <c r="O70" t="s">
        <v>186</v>
      </c>
      <c r="P70">
        <v>7.068660259627238E-2</v>
      </c>
      <c r="Q70" t="s">
        <v>169</v>
      </c>
      <c r="S70" t="s">
        <v>226</v>
      </c>
      <c r="T70" t="s">
        <v>186</v>
      </c>
      <c r="U70">
        <v>7.068660259627238E-2</v>
      </c>
      <c r="V70" t="s">
        <v>169</v>
      </c>
      <c r="AC70" t="s">
        <v>19</v>
      </c>
      <c r="AD70" t="s">
        <v>186</v>
      </c>
      <c r="AE70">
        <v>4.1093113035737962E-2</v>
      </c>
      <c r="AK70">
        <v>2033</v>
      </c>
      <c r="AL70" t="s">
        <v>158</v>
      </c>
      <c r="AM70">
        <v>0.30359999999999998</v>
      </c>
      <c r="AN70" t="s">
        <v>239</v>
      </c>
    </row>
    <row r="71" spans="9:40" x14ac:dyDescent="0.45">
      <c r="I71" t="s">
        <v>211</v>
      </c>
      <c r="J71" t="s">
        <v>187</v>
      </c>
      <c r="K71">
        <v>0</v>
      </c>
      <c r="L71" t="s">
        <v>169</v>
      </c>
      <c r="N71" t="s">
        <v>221</v>
      </c>
      <c r="O71" t="s">
        <v>187</v>
      </c>
      <c r="P71">
        <v>1.9414392662626387E-2</v>
      </c>
      <c r="Q71" t="s">
        <v>169</v>
      </c>
      <c r="S71" t="s">
        <v>226</v>
      </c>
      <c r="T71" t="s">
        <v>187</v>
      </c>
      <c r="U71">
        <v>1.9414392662626387E-2</v>
      </c>
      <c r="V71" t="s">
        <v>169</v>
      </c>
      <c r="AC71" t="s">
        <v>19</v>
      </c>
      <c r="AD71" t="s">
        <v>187</v>
      </c>
      <c r="AE71">
        <v>2.0885806153891209E-2</v>
      </c>
      <c r="AK71">
        <v>2033</v>
      </c>
      <c r="AL71" t="s">
        <v>161</v>
      </c>
      <c r="AM71">
        <v>0.3503</v>
      </c>
      <c r="AN71" t="s">
        <v>239</v>
      </c>
    </row>
    <row r="72" spans="9:40" x14ac:dyDescent="0.45">
      <c r="I72" t="s">
        <v>211</v>
      </c>
      <c r="J72" t="s">
        <v>188</v>
      </c>
      <c r="K72">
        <v>0</v>
      </c>
      <c r="L72" t="s">
        <v>169</v>
      </c>
      <c r="N72" t="s">
        <v>221</v>
      </c>
      <c r="O72" t="s">
        <v>188</v>
      </c>
      <c r="P72">
        <v>1.2647436079248852E-2</v>
      </c>
      <c r="Q72" t="s">
        <v>169</v>
      </c>
      <c r="S72" t="s">
        <v>226</v>
      </c>
      <c r="T72" t="s">
        <v>188</v>
      </c>
      <c r="U72">
        <v>1.2647436079248852E-2</v>
      </c>
      <c r="V72" t="s">
        <v>169</v>
      </c>
      <c r="AC72" t="s">
        <v>19</v>
      </c>
      <c r="AD72" t="s">
        <v>188</v>
      </c>
      <c r="AE72">
        <v>2.133636877899622E-2</v>
      </c>
      <c r="AK72">
        <v>2033</v>
      </c>
      <c r="AL72" t="s">
        <v>163</v>
      </c>
      <c r="AM72">
        <v>0.38150000000000001</v>
      </c>
      <c r="AN72" t="s">
        <v>239</v>
      </c>
    </row>
    <row r="73" spans="9:40" x14ac:dyDescent="0.45">
      <c r="I73" t="s">
        <v>211</v>
      </c>
      <c r="J73" t="s">
        <v>189</v>
      </c>
      <c r="K73">
        <v>1.0918337794925039E-2</v>
      </c>
      <c r="L73" t="s">
        <v>169</v>
      </c>
      <c r="N73" t="s">
        <v>221</v>
      </c>
      <c r="O73" t="s">
        <v>189</v>
      </c>
      <c r="P73">
        <v>7.9337497836893481E-3</v>
      </c>
      <c r="Q73" t="s">
        <v>169</v>
      </c>
      <c r="S73" t="s">
        <v>226</v>
      </c>
      <c r="T73" t="s">
        <v>189</v>
      </c>
      <c r="U73">
        <v>7.9337497836893481E-3</v>
      </c>
      <c r="V73" t="s">
        <v>169</v>
      </c>
      <c r="AC73" t="s">
        <v>19</v>
      </c>
      <c r="AD73" t="s">
        <v>189</v>
      </c>
      <c r="AE73">
        <v>1.4310885861586268E-2</v>
      </c>
      <c r="AK73">
        <v>2033</v>
      </c>
      <c r="AL73" t="s">
        <v>165</v>
      </c>
      <c r="AM73">
        <v>0.37040000000000001</v>
      </c>
      <c r="AN73" t="s">
        <v>239</v>
      </c>
    </row>
    <row r="74" spans="9:40" x14ac:dyDescent="0.45">
      <c r="I74" t="s">
        <v>211</v>
      </c>
      <c r="J74" t="s">
        <v>190</v>
      </c>
      <c r="K74">
        <v>0.155377296890158</v>
      </c>
      <c r="L74" t="s">
        <v>169</v>
      </c>
      <c r="N74" t="s">
        <v>221</v>
      </c>
      <c r="O74" t="s">
        <v>190</v>
      </c>
      <c r="P74">
        <v>0.12568226891324077</v>
      </c>
      <c r="Q74" t="s">
        <v>169</v>
      </c>
      <c r="S74" t="s">
        <v>226</v>
      </c>
      <c r="T74" t="s">
        <v>190</v>
      </c>
      <c r="U74">
        <v>0.12568226891324077</v>
      </c>
      <c r="V74" t="s">
        <v>169</v>
      </c>
      <c r="AC74" t="s">
        <v>19</v>
      </c>
      <c r="AD74" t="s">
        <v>190</v>
      </c>
      <c r="AE74">
        <v>6.4464568968702271E-2</v>
      </c>
      <c r="AK74">
        <v>2034</v>
      </c>
      <c r="AL74" t="s">
        <v>150</v>
      </c>
      <c r="AM74">
        <v>0.51534999999999997</v>
      </c>
      <c r="AN74" t="s">
        <v>239</v>
      </c>
    </row>
    <row r="75" spans="9:40" x14ac:dyDescent="0.45">
      <c r="I75" t="s">
        <v>211</v>
      </c>
      <c r="J75" t="s">
        <v>191</v>
      </c>
      <c r="K75">
        <v>1.2656433450619115E-2</v>
      </c>
      <c r="L75" t="s">
        <v>169</v>
      </c>
      <c r="N75" t="s">
        <v>221</v>
      </c>
      <c r="O75" t="s">
        <v>191</v>
      </c>
      <c r="P75">
        <v>1.6800516733778959E-2</v>
      </c>
      <c r="Q75" t="s">
        <v>169</v>
      </c>
      <c r="S75" t="s">
        <v>226</v>
      </c>
      <c r="T75" t="s">
        <v>191</v>
      </c>
      <c r="U75">
        <v>1.6800516733778959E-2</v>
      </c>
      <c r="V75" t="s">
        <v>169</v>
      </c>
      <c r="AC75" t="s">
        <v>19</v>
      </c>
      <c r="AD75" t="s">
        <v>191</v>
      </c>
      <c r="AE75">
        <v>7.1198217744074394E-3</v>
      </c>
      <c r="AK75">
        <v>2034</v>
      </c>
      <c r="AL75" t="s">
        <v>154</v>
      </c>
      <c r="AM75">
        <v>0.4597</v>
      </c>
      <c r="AN75" t="s">
        <v>239</v>
      </c>
    </row>
    <row r="76" spans="9:40" x14ac:dyDescent="0.45">
      <c r="I76" t="s">
        <v>211</v>
      </c>
      <c r="J76" t="s">
        <v>192</v>
      </c>
      <c r="K76">
        <v>1.5306291068619252E-2</v>
      </c>
      <c r="L76" t="s">
        <v>169</v>
      </c>
      <c r="N76" t="s">
        <v>221</v>
      </c>
      <c r="O76" t="s">
        <v>192</v>
      </c>
      <c r="P76">
        <v>0.10129481069074063</v>
      </c>
      <c r="Q76" t="s">
        <v>169</v>
      </c>
      <c r="S76" t="s">
        <v>226</v>
      </c>
      <c r="T76" t="s">
        <v>192</v>
      </c>
      <c r="U76">
        <v>0.10129481069074063</v>
      </c>
      <c r="V76" t="s">
        <v>169</v>
      </c>
      <c r="AC76" t="s">
        <v>19</v>
      </c>
      <c r="AD76" t="s">
        <v>192</v>
      </c>
      <c r="AE76">
        <v>4.174991925237323E-2</v>
      </c>
      <c r="AK76">
        <v>2034</v>
      </c>
      <c r="AL76" t="s">
        <v>156</v>
      </c>
      <c r="AM76">
        <v>0.36499999999999999</v>
      </c>
      <c r="AN76" t="s">
        <v>239</v>
      </c>
    </row>
    <row r="77" spans="9:40" x14ac:dyDescent="0.45">
      <c r="I77" t="s">
        <v>211</v>
      </c>
      <c r="J77" t="s">
        <v>193</v>
      </c>
      <c r="K77">
        <v>0</v>
      </c>
      <c r="L77" t="s">
        <v>169</v>
      </c>
      <c r="N77" t="s">
        <v>221</v>
      </c>
      <c r="O77" t="s">
        <v>193</v>
      </c>
      <c r="P77">
        <v>2.8875246190697159E-3</v>
      </c>
      <c r="Q77" t="s">
        <v>169</v>
      </c>
      <c r="S77" t="s">
        <v>226</v>
      </c>
      <c r="T77" t="s">
        <v>193</v>
      </c>
      <c r="U77">
        <v>2.8875246190697159E-3</v>
      </c>
      <c r="V77" t="s">
        <v>169</v>
      </c>
      <c r="AC77" t="s">
        <v>19</v>
      </c>
      <c r="AD77" t="s">
        <v>193</v>
      </c>
      <c r="AE77">
        <v>1.0126105829548454E-2</v>
      </c>
      <c r="AK77">
        <v>2034</v>
      </c>
      <c r="AL77" t="s">
        <v>158</v>
      </c>
      <c r="AM77">
        <v>0.36129999999999995</v>
      </c>
      <c r="AN77" t="s">
        <v>239</v>
      </c>
    </row>
    <row r="78" spans="9:40" x14ac:dyDescent="0.45">
      <c r="I78" t="s">
        <v>211</v>
      </c>
      <c r="J78" t="s">
        <v>194</v>
      </c>
      <c r="K78">
        <v>0</v>
      </c>
      <c r="L78" t="s">
        <v>169</v>
      </c>
      <c r="N78" t="s">
        <v>221</v>
      </c>
      <c r="O78" t="s">
        <v>194</v>
      </c>
      <c r="P78">
        <v>1.3679292198060132E-3</v>
      </c>
      <c r="Q78" t="s">
        <v>169</v>
      </c>
      <c r="S78" t="s">
        <v>226</v>
      </c>
      <c r="T78" t="s">
        <v>194</v>
      </c>
      <c r="U78">
        <v>1.3679292198060132E-3</v>
      </c>
      <c r="V78" t="s">
        <v>169</v>
      </c>
      <c r="AC78" t="s">
        <v>19</v>
      </c>
      <c r="AD78" t="s">
        <v>194</v>
      </c>
      <c r="AE78">
        <v>1.0328726899833159E-2</v>
      </c>
      <c r="AK78">
        <v>2034</v>
      </c>
      <c r="AL78" t="s">
        <v>161</v>
      </c>
      <c r="AM78">
        <v>0.43080000000000002</v>
      </c>
      <c r="AN78" t="s">
        <v>239</v>
      </c>
    </row>
    <row r="79" spans="9:40" x14ac:dyDescent="0.45">
      <c r="I79" t="s">
        <v>211</v>
      </c>
      <c r="J79" t="s">
        <v>195</v>
      </c>
      <c r="K79">
        <v>3.6635080861920008E-3</v>
      </c>
      <c r="L79" t="s">
        <v>169</v>
      </c>
      <c r="N79" t="s">
        <v>221</v>
      </c>
      <c r="O79" t="s">
        <v>195</v>
      </c>
      <c r="P79">
        <v>6.5954818999464158E-4</v>
      </c>
      <c r="Q79" t="s">
        <v>169</v>
      </c>
      <c r="S79" t="s">
        <v>226</v>
      </c>
      <c r="T79" t="s">
        <v>195</v>
      </c>
      <c r="U79">
        <v>6.5954818999464158E-4</v>
      </c>
      <c r="V79" t="s">
        <v>169</v>
      </c>
      <c r="AC79" t="s">
        <v>19</v>
      </c>
      <c r="AD79" t="s">
        <v>195</v>
      </c>
      <c r="AE79">
        <v>6.9162939809666807E-3</v>
      </c>
      <c r="AK79">
        <v>2034</v>
      </c>
      <c r="AL79" t="s">
        <v>163</v>
      </c>
      <c r="AM79">
        <v>0.47570000000000001</v>
      </c>
      <c r="AN79" t="s">
        <v>239</v>
      </c>
    </row>
    <row r="80" spans="9:40" x14ac:dyDescent="0.45">
      <c r="I80" t="s">
        <v>211</v>
      </c>
      <c r="J80" t="s">
        <v>196</v>
      </c>
      <c r="K80">
        <v>7.8484017666146294E-2</v>
      </c>
      <c r="L80" t="s">
        <v>169</v>
      </c>
      <c r="N80" t="s">
        <v>221</v>
      </c>
      <c r="O80" t="s">
        <v>196</v>
      </c>
      <c r="P80">
        <v>2.3762475305511066E-2</v>
      </c>
      <c r="Q80" t="s">
        <v>169</v>
      </c>
      <c r="S80" t="s">
        <v>226</v>
      </c>
      <c r="T80" t="s">
        <v>196</v>
      </c>
      <c r="U80">
        <v>2.3762475305511066E-2</v>
      </c>
      <c r="V80" t="s">
        <v>169</v>
      </c>
      <c r="AC80" t="s">
        <v>19</v>
      </c>
      <c r="AD80" t="s">
        <v>196</v>
      </c>
      <c r="AE80">
        <v>3.1130599698759479E-2</v>
      </c>
      <c r="AK80">
        <v>2034</v>
      </c>
      <c r="AL80" t="s">
        <v>165</v>
      </c>
      <c r="AM80">
        <v>0.51350000000000007</v>
      </c>
      <c r="AN80" t="s">
        <v>239</v>
      </c>
    </row>
    <row r="81" spans="9:40" x14ac:dyDescent="0.45">
      <c r="I81" t="s">
        <v>211</v>
      </c>
      <c r="J81" t="s">
        <v>197</v>
      </c>
      <c r="K81">
        <v>6.4961169003855505E-3</v>
      </c>
      <c r="L81" t="s">
        <v>169</v>
      </c>
      <c r="N81" t="s">
        <v>221</v>
      </c>
      <c r="O81" t="s">
        <v>197</v>
      </c>
      <c r="P81">
        <v>4.5904144738697292E-3</v>
      </c>
      <c r="Q81" t="s">
        <v>169</v>
      </c>
      <c r="S81" t="s">
        <v>226</v>
      </c>
      <c r="T81" t="s">
        <v>197</v>
      </c>
      <c r="U81">
        <v>4.5904144738697292E-3</v>
      </c>
      <c r="V81" t="s">
        <v>169</v>
      </c>
      <c r="AC81" t="s">
        <v>19</v>
      </c>
      <c r="AD81" t="s">
        <v>197</v>
      </c>
      <c r="AE81">
        <v>3.445372191186818E-3</v>
      </c>
      <c r="AK81">
        <v>2035</v>
      </c>
      <c r="AL81" t="s">
        <v>150</v>
      </c>
      <c r="AM81">
        <v>0.498</v>
      </c>
      <c r="AN81" t="s">
        <v>239</v>
      </c>
    </row>
    <row r="82" spans="9:40" x14ac:dyDescent="0.45">
      <c r="I82" t="s">
        <v>211</v>
      </c>
      <c r="J82" t="s">
        <v>198</v>
      </c>
      <c r="K82">
        <v>4.3732703588297249E-3</v>
      </c>
      <c r="L82" t="s">
        <v>169</v>
      </c>
      <c r="N82" t="s">
        <v>221</v>
      </c>
      <c r="O82" t="s">
        <v>198</v>
      </c>
      <c r="P82">
        <v>2.6682139728572304E-2</v>
      </c>
      <c r="Q82" t="s">
        <v>169</v>
      </c>
      <c r="S82" t="s">
        <v>226</v>
      </c>
      <c r="T82" t="s">
        <v>198</v>
      </c>
      <c r="U82">
        <v>2.6682139728572304E-2</v>
      </c>
      <c r="V82" t="s">
        <v>169</v>
      </c>
      <c r="AC82" t="s">
        <v>19</v>
      </c>
      <c r="AD82" t="s">
        <v>198</v>
      </c>
      <c r="AE82">
        <v>2.0233404908950321E-2</v>
      </c>
      <c r="AK82">
        <v>2035</v>
      </c>
      <c r="AL82" t="s">
        <v>154</v>
      </c>
      <c r="AM82">
        <v>0.41449999999999998</v>
      </c>
      <c r="AN82" t="s">
        <v>239</v>
      </c>
    </row>
    <row r="83" spans="9:40" x14ac:dyDescent="0.45">
      <c r="I83" t="s">
        <v>211</v>
      </c>
      <c r="J83" t="s">
        <v>199</v>
      </c>
      <c r="K83">
        <v>0</v>
      </c>
      <c r="L83" t="s">
        <v>169</v>
      </c>
      <c r="N83" t="s">
        <v>221</v>
      </c>
      <c r="O83" t="s">
        <v>199</v>
      </c>
      <c r="P83">
        <v>7.3912670908938645E-3</v>
      </c>
      <c r="Q83" t="s">
        <v>169</v>
      </c>
      <c r="S83" t="s">
        <v>226</v>
      </c>
      <c r="T83" t="s">
        <v>199</v>
      </c>
      <c r="U83">
        <v>7.3912670908938645E-3</v>
      </c>
      <c r="V83" t="s">
        <v>169</v>
      </c>
      <c r="AC83" t="s">
        <v>19</v>
      </c>
      <c r="AD83" t="s">
        <v>199</v>
      </c>
      <c r="AE83">
        <v>1.048994748815245E-2</v>
      </c>
      <c r="AK83">
        <v>2035</v>
      </c>
      <c r="AL83" t="s">
        <v>156</v>
      </c>
      <c r="AM83">
        <v>0.38219999999999998</v>
      </c>
      <c r="AN83" t="s">
        <v>239</v>
      </c>
    </row>
    <row r="84" spans="9:40" x14ac:dyDescent="0.45">
      <c r="I84" t="s">
        <v>211</v>
      </c>
      <c r="J84" t="s">
        <v>200</v>
      </c>
      <c r="K84">
        <v>0</v>
      </c>
      <c r="L84" t="s">
        <v>169</v>
      </c>
      <c r="N84" t="s">
        <v>221</v>
      </c>
      <c r="O84" t="s">
        <v>200</v>
      </c>
      <c r="P84">
        <v>6.6505117401582407E-3</v>
      </c>
      <c r="Q84" t="s">
        <v>169</v>
      </c>
      <c r="S84" t="s">
        <v>226</v>
      </c>
      <c r="T84" t="s">
        <v>200</v>
      </c>
      <c r="U84">
        <v>6.6505117401582407E-3</v>
      </c>
      <c r="V84" t="s">
        <v>169</v>
      </c>
      <c r="AC84" t="s">
        <v>19</v>
      </c>
      <c r="AD84" t="s">
        <v>200</v>
      </c>
      <c r="AE84">
        <v>1.0657194538125745E-2</v>
      </c>
      <c r="AK84">
        <v>2035</v>
      </c>
      <c r="AL84" t="s">
        <v>158</v>
      </c>
      <c r="AM84">
        <v>0.39019999999999999</v>
      </c>
      <c r="AN84" t="s">
        <v>239</v>
      </c>
    </row>
    <row r="85" spans="9:40" x14ac:dyDescent="0.45">
      <c r="I85" t="s">
        <v>211</v>
      </c>
      <c r="J85" t="s">
        <v>201</v>
      </c>
      <c r="K85">
        <v>1.2766943004361775E-3</v>
      </c>
      <c r="L85" t="s">
        <v>169</v>
      </c>
      <c r="N85" t="s">
        <v>221</v>
      </c>
      <c r="O85" t="s">
        <v>201</v>
      </c>
      <c r="P85">
        <v>3.5685963706878457E-3</v>
      </c>
      <c r="Q85" t="s">
        <v>169</v>
      </c>
      <c r="S85" t="s">
        <v>226</v>
      </c>
      <c r="T85" t="s">
        <v>201</v>
      </c>
      <c r="U85">
        <v>3.5685963706878457E-3</v>
      </c>
      <c r="V85" t="s">
        <v>169</v>
      </c>
      <c r="AC85" t="s">
        <v>19</v>
      </c>
      <c r="AD85" t="s">
        <v>201</v>
      </c>
      <c r="AE85">
        <v>7.1316823227822509E-3</v>
      </c>
      <c r="AK85">
        <v>2035</v>
      </c>
      <c r="AL85" t="s">
        <v>161</v>
      </c>
      <c r="AM85">
        <v>0.49730000000000002</v>
      </c>
      <c r="AN85" t="s">
        <v>239</v>
      </c>
    </row>
    <row r="86" spans="9:40" x14ac:dyDescent="0.45">
      <c r="I86" t="s">
        <v>211</v>
      </c>
      <c r="J86" t="s">
        <v>202</v>
      </c>
      <c r="K86">
        <v>7.1572899472023041E-2</v>
      </c>
      <c r="L86" t="s">
        <v>169</v>
      </c>
      <c r="N86" t="s">
        <v>221</v>
      </c>
      <c r="O86" t="s">
        <v>202</v>
      </c>
      <c r="P86">
        <v>1.1874400146595665E-2</v>
      </c>
      <c r="Q86" t="s">
        <v>169</v>
      </c>
      <c r="S86" t="s">
        <v>226</v>
      </c>
      <c r="T86" t="s">
        <v>202</v>
      </c>
      <c r="U86">
        <v>1.1874400146595665E-2</v>
      </c>
      <c r="V86" t="s">
        <v>169</v>
      </c>
      <c r="AC86" t="s">
        <v>19</v>
      </c>
      <c r="AD86" t="s">
        <v>202</v>
      </c>
      <c r="AE86">
        <v>3.2149912123878827E-2</v>
      </c>
      <c r="AK86">
        <v>2035</v>
      </c>
      <c r="AL86" t="s">
        <v>163</v>
      </c>
      <c r="AM86">
        <v>0.49569999999999997</v>
      </c>
      <c r="AN86" t="s">
        <v>239</v>
      </c>
    </row>
    <row r="87" spans="9:40" x14ac:dyDescent="0.45">
      <c r="I87" t="s">
        <v>211</v>
      </c>
      <c r="J87" t="s">
        <v>203</v>
      </c>
      <c r="K87">
        <v>4.9467643735095542E-3</v>
      </c>
      <c r="L87" t="s">
        <v>169</v>
      </c>
      <c r="N87" t="s">
        <v>221</v>
      </c>
      <c r="O87" t="s">
        <v>203</v>
      </c>
      <c r="P87">
        <v>3.8140053419897834E-3</v>
      </c>
      <c r="Q87" t="s">
        <v>169</v>
      </c>
      <c r="S87" t="s">
        <v>226</v>
      </c>
      <c r="T87" t="s">
        <v>203</v>
      </c>
      <c r="U87">
        <v>3.8140053419897834E-3</v>
      </c>
      <c r="V87" t="s">
        <v>169</v>
      </c>
      <c r="AC87" t="s">
        <v>19</v>
      </c>
      <c r="AD87" t="s">
        <v>203</v>
      </c>
      <c r="AE87">
        <v>3.5564194799419585E-3</v>
      </c>
      <c r="AK87">
        <v>2035</v>
      </c>
      <c r="AL87" t="s">
        <v>165</v>
      </c>
      <c r="AM87">
        <v>0.49924999999999997</v>
      </c>
      <c r="AN87" t="s">
        <v>239</v>
      </c>
    </row>
    <row r="88" spans="9:40" x14ac:dyDescent="0.45">
      <c r="I88" t="s">
        <v>211</v>
      </c>
      <c r="J88" t="s">
        <v>204</v>
      </c>
      <c r="K88">
        <v>1.2384992578760524E-3</v>
      </c>
      <c r="L88" t="s">
        <v>169</v>
      </c>
      <c r="N88" t="s">
        <v>221</v>
      </c>
      <c r="O88" t="s">
        <v>204</v>
      </c>
      <c r="P88">
        <v>3.0320001652088077E-2</v>
      </c>
      <c r="Q88" t="s">
        <v>169</v>
      </c>
      <c r="S88" t="s">
        <v>226</v>
      </c>
      <c r="T88" t="s">
        <v>204</v>
      </c>
      <c r="U88">
        <v>3.0320001652088077E-2</v>
      </c>
      <c r="V88" t="s">
        <v>169</v>
      </c>
      <c r="AC88" t="s">
        <v>19</v>
      </c>
      <c r="AD88" t="s">
        <v>204</v>
      </c>
      <c r="AE88">
        <v>2.0898681790808164E-2</v>
      </c>
      <c r="AK88">
        <v>2036</v>
      </c>
      <c r="AL88" t="s">
        <v>150</v>
      </c>
      <c r="AM88">
        <v>0.45965</v>
      </c>
      <c r="AN88" t="s">
        <v>239</v>
      </c>
    </row>
    <row r="89" spans="9:40" x14ac:dyDescent="0.45">
      <c r="I89" t="s">
        <v>211</v>
      </c>
      <c r="J89" t="s">
        <v>205</v>
      </c>
      <c r="K89">
        <v>0</v>
      </c>
      <c r="L89" t="s">
        <v>169</v>
      </c>
      <c r="N89" t="s">
        <v>221</v>
      </c>
      <c r="O89" t="s">
        <v>205</v>
      </c>
      <c r="P89">
        <v>9.0315449226518584E-3</v>
      </c>
      <c r="Q89" t="s">
        <v>169</v>
      </c>
      <c r="S89" t="s">
        <v>226</v>
      </c>
      <c r="T89" t="s">
        <v>205</v>
      </c>
      <c r="U89">
        <v>9.0315449226518584E-3</v>
      </c>
      <c r="V89" t="s">
        <v>169</v>
      </c>
      <c r="AC89" t="s">
        <v>19</v>
      </c>
      <c r="AD89" t="s">
        <v>205</v>
      </c>
      <c r="AE89">
        <v>2.0763431924003553E-2</v>
      </c>
      <c r="AK89">
        <v>2036</v>
      </c>
      <c r="AL89" t="s">
        <v>154</v>
      </c>
      <c r="AM89">
        <v>0.38065000000000004</v>
      </c>
      <c r="AN89" t="s">
        <v>239</v>
      </c>
    </row>
    <row r="90" spans="9:40" x14ac:dyDescent="0.45">
      <c r="I90" t="s">
        <v>211</v>
      </c>
      <c r="J90" t="s">
        <v>206</v>
      </c>
      <c r="K90">
        <v>0</v>
      </c>
      <c r="L90" t="s">
        <v>169</v>
      </c>
      <c r="N90" t="s">
        <v>221</v>
      </c>
      <c r="O90" t="s">
        <v>206</v>
      </c>
      <c r="P90">
        <v>1.3350565622509894E-2</v>
      </c>
      <c r="Q90" t="s">
        <v>169</v>
      </c>
      <c r="S90" t="s">
        <v>226</v>
      </c>
      <c r="T90" t="s">
        <v>206</v>
      </c>
      <c r="U90">
        <v>1.3350565622509894E-2</v>
      </c>
      <c r="V90" t="s">
        <v>169</v>
      </c>
      <c r="AC90" t="s">
        <v>19</v>
      </c>
      <c r="AD90" t="s">
        <v>206</v>
      </c>
      <c r="AE90">
        <v>2.1030497539485576E-2</v>
      </c>
      <c r="AK90">
        <v>2036</v>
      </c>
      <c r="AL90" t="s">
        <v>156</v>
      </c>
      <c r="AM90">
        <v>0.31505</v>
      </c>
      <c r="AN90" t="s">
        <v>239</v>
      </c>
    </row>
    <row r="91" spans="9:40" x14ac:dyDescent="0.45">
      <c r="I91" t="s">
        <v>211</v>
      </c>
      <c r="J91" t="s">
        <v>207</v>
      </c>
      <c r="K91">
        <v>0</v>
      </c>
      <c r="L91" t="s">
        <v>169</v>
      </c>
      <c r="N91" t="s">
        <v>221</v>
      </c>
      <c r="O91" t="s">
        <v>207</v>
      </c>
      <c r="P91">
        <v>8.5553665733703876E-3</v>
      </c>
      <c r="Q91" t="s">
        <v>169</v>
      </c>
      <c r="S91" t="s">
        <v>226</v>
      </c>
      <c r="T91" t="s">
        <v>207</v>
      </c>
      <c r="U91">
        <v>8.5553665733703876E-3</v>
      </c>
      <c r="V91" t="s">
        <v>169</v>
      </c>
      <c r="AC91" t="s">
        <v>19</v>
      </c>
      <c r="AD91" t="s">
        <v>207</v>
      </c>
      <c r="AE91">
        <v>1.4046332848854957E-2</v>
      </c>
      <c r="AK91">
        <v>2036</v>
      </c>
      <c r="AL91" t="s">
        <v>158</v>
      </c>
      <c r="AM91">
        <v>0.3362</v>
      </c>
      <c r="AN91" t="s">
        <v>239</v>
      </c>
    </row>
    <row r="92" spans="9:40" x14ac:dyDescent="0.45">
      <c r="I92" t="s">
        <v>211</v>
      </c>
      <c r="J92" t="s">
        <v>208</v>
      </c>
      <c r="K92">
        <v>0.10664581833362477</v>
      </c>
      <c r="L92" t="s">
        <v>169</v>
      </c>
      <c r="N92" t="s">
        <v>221</v>
      </c>
      <c r="O92" t="s">
        <v>208</v>
      </c>
      <c r="P92">
        <v>4.4461688784557724E-2</v>
      </c>
      <c r="Q92" t="s">
        <v>169</v>
      </c>
      <c r="S92" t="s">
        <v>226</v>
      </c>
      <c r="T92" t="s">
        <v>208</v>
      </c>
      <c r="U92">
        <v>4.4461688784557724E-2</v>
      </c>
      <c r="V92" t="s">
        <v>169</v>
      </c>
      <c r="AC92" t="s">
        <v>19</v>
      </c>
      <c r="AD92" t="s">
        <v>208</v>
      </c>
      <c r="AE92">
        <v>6.335943693998064E-2</v>
      </c>
      <c r="AK92">
        <v>2036</v>
      </c>
      <c r="AL92" t="s">
        <v>161</v>
      </c>
      <c r="AM92">
        <v>0.39550000000000002</v>
      </c>
      <c r="AN92" t="s">
        <v>239</v>
      </c>
    </row>
    <row r="93" spans="9:40" x14ac:dyDescent="0.45">
      <c r="I93" t="s">
        <v>211</v>
      </c>
      <c r="J93" t="s">
        <v>209</v>
      </c>
      <c r="K93">
        <v>5.4848098314477945E-3</v>
      </c>
      <c r="L93" t="s">
        <v>169</v>
      </c>
      <c r="N93" t="s">
        <v>221</v>
      </c>
      <c r="O93" t="s">
        <v>209</v>
      </c>
      <c r="P93">
        <v>4.887114190420319E-3</v>
      </c>
      <c r="Q93" t="s">
        <v>169</v>
      </c>
      <c r="S93" t="s">
        <v>226</v>
      </c>
      <c r="T93" t="s">
        <v>209</v>
      </c>
      <c r="U93">
        <v>4.887114190420319E-3</v>
      </c>
      <c r="V93" t="s">
        <v>169</v>
      </c>
      <c r="AC93" t="s">
        <v>19</v>
      </c>
      <c r="AD93" t="s">
        <v>209</v>
      </c>
      <c r="AE93">
        <v>6.9970218686185694E-3</v>
      </c>
      <c r="AK93">
        <v>2036</v>
      </c>
      <c r="AL93" t="s">
        <v>163</v>
      </c>
      <c r="AM93">
        <v>0.40560000000000002</v>
      </c>
      <c r="AN93" t="s">
        <v>239</v>
      </c>
    </row>
    <row r="94" spans="9:40" x14ac:dyDescent="0.45">
      <c r="I94" t="s">
        <v>211</v>
      </c>
      <c r="J94" t="s">
        <v>210</v>
      </c>
      <c r="K94">
        <v>0</v>
      </c>
      <c r="L94" t="s">
        <v>169</v>
      </c>
      <c r="N94" t="s">
        <v>221</v>
      </c>
      <c r="O94" t="s">
        <v>210</v>
      </c>
      <c r="P94">
        <v>2.1293580191636279E-2</v>
      </c>
      <c r="Q94" t="s">
        <v>169</v>
      </c>
      <c r="S94" t="s">
        <v>226</v>
      </c>
      <c r="T94" t="s">
        <v>210</v>
      </c>
      <c r="U94">
        <v>2.1293580191636279E-2</v>
      </c>
      <c r="V94" t="s">
        <v>169</v>
      </c>
      <c r="AC94" t="s">
        <v>19</v>
      </c>
      <c r="AD94" t="s">
        <v>210</v>
      </c>
      <c r="AE94">
        <v>4.1002056664487585E-2</v>
      </c>
      <c r="AK94">
        <v>2036</v>
      </c>
      <c r="AL94" t="s">
        <v>165</v>
      </c>
      <c r="AM94">
        <v>0.45250000000000001</v>
      </c>
      <c r="AN94" t="s">
        <v>239</v>
      </c>
    </row>
    <row r="95" spans="9:40" x14ac:dyDescent="0.45">
      <c r="I95" t="s">
        <v>212</v>
      </c>
      <c r="J95" t="s">
        <v>168</v>
      </c>
      <c r="K95">
        <v>0</v>
      </c>
      <c r="L95" t="s">
        <v>169</v>
      </c>
      <c r="N95" t="s">
        <v>222</v>
      </c>
      <c r="O95" t="s">
        <v>168</v>
      </c>
      <c r="P95">
        <v>3.8229689109936529E-2</v>
      </c>
      <c r="Q95" t="s">
        <v>169</v>
      </c>
      <c r="S95" t="s">
        <v>227</v>
      </c>
      <c r="T95" t="s">
        <v>168</v>
      </c>
      <c r="U95">
        <v>3.8229689109936529E-2</v>
      </c>
      <c r="V95" t="s">
        <v>169</v>
      </c>
      <c r="AK95">
        <v>2037</v>
      </c>
      <c r="AL95" t="s">
        <v>150</v>
      </c>
      <c r="AM95">
        <v>0.4516</v>
      </c>
      <c r="AN95" t="s">
        <v>239</v>
      </c>
    </row>
    <row r="96" spans="9:40" x14ac:dyDescent="0.45">
      <c r="I96" t="s">
        <v>212</v>
      </c>
      <c r="J96" t="s">
        <v>170</v>
      </c>
      <c r="K96">
        <v>0</v>
      </c>
      <c r="L96" t="s">
        <v>169</v>
      </c>
      <c r="N96" t="s">
        <v>222</v>
      </c>
      <c r="O96" t="s">
        <v>170</v>
      </c>
      <c r="P96">
        <v>3.606197793124722E-2</v>
      </c>
      <c r="Q96" t="s">
        <v>169</v>
      </c>
      <c r="S96" t="s">
        <v>227</v>
      </c>
      <c r="T96" t="s">
        <v>170</v>
      </c>
      <c r="U96">
        <v>3.606197793124722E-2</v>
      </c>
      <c r="V96" t="s">
        <v>169</v>
      </c>
      <c r="AK96">
        <v>2037</v>
      </c>
      <c r="AL96" t="s">
        <v>154</v>
      </c>
      <c r="AM96">
        <v>0.39544999999999997</v>
      </c>
      <c r="AN96" t="s">
        <v>239</v>
      </c>
    </row>
    <row r="97" spans="9:40" x14ac:dyDescent="0.45">
      <c r="I97" t="s">
        <v>212</v>
      </c>
      <c r="J97" t="s">
        <v>171</v>
      </c>
      <c r="K97">
        <v>1.8928753887804753E-3</v>
      </c>
      <c r="L97" t="s">
        <v>169</v>
      </c>
      <c r="N97" t="s">
        <v>222</v>
      </c>
      <c r="O97" t="s">
        <v>171</v>
      </c>
      <c r="P97">
        <v>2.5443822425172468E-2</v>
      </c>
      <c r="Q97" t="s">
        <v>169</v>
      </c>
      <c r="S97" t="s">
        <v>227</v>
      </c>
      <c r="T97" t="s">
        <v>171</v>
      </c>
      <c r="U97">
        <v>2.5443822425172468E-2</v>
      </c>
      <c r="V97" t="s">
        <v>169</v>
      </c>
      <c r="AK97">
        <v>2037</v>
      </c>
      <c r="AL97" t="s">
        <v>156</v>
      </c>
      <c r="AM97">
        <v>0.32064999999999999</v>
      </c>
      <c r="AN97" t="s">
        <v>239</v>
      </c>
    </row>
    <row r="98" spans="9:40" x14ac:dyDescent="0.45">
      <c r="I98" t="s">
        <v>212</v>
      </c>
      <c r="J98" t="s">
        <v>172</v>
      </c>
      <c r="K98">
        <v>0.10465976012934554</v>
      </c>
      <c r="L98" t="s">
        <v>169</v>
      </c>
      <c r="N98" t="s">
        <v>222</v>
      </c>
      <c r="O98" t="s">
        <v>172</v>
      </c>
      <c r="P98">
        <v>7.7880300886001189E-2</v>
      </c>
      <c r="Q98" t="s">
        <v>169</v>
      </c>
      <c r="S98" t="s">
        <v>227</v>
      </c>
      <c r="T98" t="s">
        <v>172</v>
      </c>
      <c r="U98">
        <v>7.7880300886001189E-2</v>
      </c>
      <c r="V98" t="s">
        <v>169</v>
      </c>
      <c r="AK98">
        <v>2037</v>
      </c>
      <c r="AL98" t="s">
        <v>158</v>
      </c>
      <c r="AM98">
        <v>0.33630000000000004</v>
      </c>
      <c r="AN98" t="s">
        <v>239</v>
      </c>
    </row>
    <row r="99" spans="9:40" x14ac:dyDescent="0.45">
      <c r="I99" t="s">
        <v>212</v>
      </c>
      <c r="J99" t="s">
        <v>173</v>
      </c>
      <c r="K99">
        <v>2.6122428808545294E-3</v>
      </c>
      <c r="L99" t="s">
        <v>169</v>
      </c>
      <c r="N99" t="s">
        <v>222</v>
      </c>
      <c r="O99" t="s">
        <v>173</v>
      </c>
      <c r="P99">
        <v>1.3319795406959302E-2</v>
      </c>
      <c r="Q99" t="s">
        <v>169</v>
      </c>
      <c r="S99" t="s">
        <v>227</v>
      </c>
      <c r="T99" t="s">
        <v>173</v>
      </c>
      <c r="U99">
        <v>1.3319795406959302E-2</v>
      </c>
      <c r="V99" t="s">
        <v>169</v>
      </c>
      <c r="AK99">
        <v>2037</v>
      </c>
      <c r="AL99" t="s">
        <v>161</v>
      </c>
      <c r="AM99">
        <v>0.40450000000000003</v>
      </c>
      <c r="AN99" t="s">
        <v>239</v>
      </c>
    </row>
    <row r="100" spans="9:40" x14ac:dyDescent="0.45">
      <c r="I100" t="s">
        <v>212</v>
      </c>
      <c r="J100" t="s">
        <v>174</v>
      </c>
      <c r="K100">
        <v>0</v>
      </c>
      <c r="L100" t="s">
        <v>169</v>
      </c>
      <c r="N100" t="s">
        <v>222</v>
      </c>
      <c r="O100" t="s">
        <v>174</v>
      </c>
      <c r="P100">
        <v>9.06150396800392E-2</v>
      </c>
      <c r="Q100" t="s">
        <v>169</v>
      </c>
      <c r="S100" t="s">
        <v>227</v>
      </c>
      <c r="T100" t="s">
        <v>174</v>
      </c>
      <c r="U100">
        <v>9.06150396800392E-2</v>
      </c>
      <c r="V100" t="s">
        <v>169</v>
      </c>
      <c r="AK100">
        <v>2037</v>
      </c>
      <c r="AL100" t="s">
        <v>163</v>
      </c>
      <c r="AM100">
        <v>0.42670000000000002</v>
      </c>
      <c r="AN100" t="s">
        <v>239</v>
      </c>
    </row>
    <row r="101" spans="9:40" x14ac:dyDescent="0.45">
      <c r="I101" t="s">
        <v>212</v>
      </c>
      <c r="J101" t="s">
        <v>175</v>
      </c>
      <c r="K101">
        <v>0</v>
      </c>
      <c r="L101" t="s">
        <v>169</v>
      </c>
      <c r="N101" t="s">
        <v>222</v>
      </c>
      <c r="O101" t="s">
        <v>175</v>
      </c>
      <c r="P101">
        <v>3.0830440724836868E-2</v>
      </c>
      <c r="Q101" t="s">
        <v>169</v>
      </c>
      <c r="S101" t="s">
        <v>227</v>
      </c>
      <c r="T101" t="s">
        <v>175</v>
      </c>
      <c r="U101">
        <v>3.0830440724836868E-2</v>
      </c>
      <c r="V101" t="s">
        <v>169</v>
      </c>
      <c r="AK101">
        <v>2037</v>
      </c>
      <c r="AL101" t="s">
        <v>165</v>
      </c>
      <c r="AM101">
        <v>0.41889999999999999</v>
      </c>
      <c r="AN101" t="s">
        <v>239</v>
      </c>
    </row>
    <row r="102" spans="9:40" x14ac:dyDescent="0.45">
      <c r="I102" t="s">
        <v>212</v>
      </c>
      <c r="J102" t="s">
        <v>176</v>
      </c>
      <c r="K102">
        <v>0</v>
      </c>
      <c r="L102" t="s">
        <v>169</v>
      </c>
      <c r="N102" t="s">
        <v>222</v>
      </c>
      <c r="O102" t="s">
        <v>176</v>
      </c>
      <c r="P102">
        <v>3.1066899966627023E-2</v>
      </c>
      <c r="Q102" t="s">
        <v>169</v>
      </c>
      <c r="S102" t="s">
        <v>227</v>
      </c>
      <c r="T102" t="s">
        <v>176</v>
      </c>
      <c r="U102">
        <v>3.1066899966627023E-2</v>
      </c>
      <c r="V102" t="s">
        <v>169</v>
      </c>
      <c r="AK102">
        <v>2038</v>
      </c>
      <c r="AL102" t="s">
        <v>150</v>
      </c>
      <c r="AM102">
        <v>0.43620000000000003</v>
      </c>
      <c r="AN102" t="s">
        <v>239</v>
      </c>
    </row>
    <row r="103" spans="9:40" x14ac:dyDescent="0.45">
      <c r="I103" t="s">
        <v>212</v>
      </c>
      <c r="J103" t="s">
        <v>177</v>
      </c>
      <c r="K103">
        <v>1.2598463062232864E-2</v>
      </c>
      <c r="L103" t="s">
        <v>169</v>
      </c>
      <c r="N103" t="s">
        <v>222</v>
      </c>
      <c r="O103" t="s">
        <v>177</v>
      </c>
      <c r="P103">
        <v>1.8385555895106716E-2</v>
      </c>
      <c r="Q103" t="s">
        <v>169</v>
      </c>
      <c r="S103" t="s">
        <v>227</v>
      </c>
      <c r="T103" t="s">
        <v>177</v>
      </c>
      <c r="U103">
        <v>1.8385555895106716E-2</v>
      </c>
      <c r="V103" t="s">
        <v>169</v>
      </c>
      <c r="AK103">
        <v>2038</v>
      </c>
      <c r="AL103" t="s">
        <v>154</v>
      </c>
      <c r="AM103">
        <v>0.35209999999999997</v>
      </c>
      <c r="AN103" t="s">
        <v>239</v>
      </c>
    </row>
    <row r="104" spans="9:40" x14ac:dyDescent="0.45">
      <c r="I104" t="s">
        <v>212</v>
      </c>
      <c r="J104" t="s">
        <v>178</v>
      </c>
      <c r="K104">
        <v>0.1431500937484505</v>
      </c>
      <c r="L104" t="s">
        <v>169</v>
      </c>
      <c r="N104" t="s">
        <v>222</v>
      </c>
      <c r="O104" t="s">
        <v>178</v>
      </c>
      <c r="P104">
        <v>6.4942796455275467E-2</v>
      </c>
      <c r="Q104" t="s">
        <v>169</v>
      </c>
      <c r="S104" t="s">
        <v>227</v>
      </c>
      <c r="T104" t="s">
        <v>178</v>
      </c>
      <c r="U104">
        <v>6.4942796455275467E-2</v>
      </c>
      <c r="V104" t="s">
        <v>169</v>
      </c>
      <c r="AK104">
        <v>2038</v>
      </c>
      <c r="AL104" t="s">
        <v>156</v>
      </c>
      <c r="AM104">
        <v>0.31740000000000002</v>
      </c>
      <c r="AN104" t="s">
        <v>239</v>
      </c>
    </row>
    <row r="105" spans="9:40" x14ac:dyDescent="0.45">
      <c r="I105" t="s">
        <v>212</v>
      </c>
      <c r="J105" t="s">
        <v>179</v>
      </c>
      <c r="K105">
        <v>7.875404872269889E-3</v>
      </c>
      <c r="L105" t="s">
        <v>169</v>
      </c>
      <c r="N105" t="s">
        <v>222</v>
      </c>
      <c r="O105" t="s">
        <v>179</v>
      </c>
      <c r="P105">
        <v>8.7364201188883626E-3</v>
      </c>
      <c r="Q105" t="s">
        <v>169</v>
      </c>
      <c r="S105" t="s">
        <v>227</v>
      </c>
      <c r="T105" t="s">
        <v>179</v>
      </c>
      <c r="U105">
        <v>8.7364201188883626E-3</v>
      </c>
      <c r="V105" t="s">
        <v>169</v>
      </c>
      <c r="AK105">
        <v>2038</v>
      </c>
      <c r="AL105" t="s">
        <v>158</v>
      </c>
      <c r="AM105">
        <v>0.32745000000000002</v>
      </c>
      <c r="AN105" t="s">
        <v>239</v>
      </c>
    </row>
    <row r="106" spans="9:40" x14ac:dyDescent="0.45">
      <c r="I106" t="s">
        <v>212</v>
      </c>
      <c r="J106" t="s">
        <v>180</v>
      </c>
      <c r="K106">
        <v>3.0033057540790205E-3</v>
      </c>
      <c r="L106" t="s">
        <v>169</v>
      </c>
      <c r="N106" t="s">
        <v>222</v>
      </c>
      <c r="O106" t="s">
        <v>180</v>
      </c>
      <c r="P106">
        <v>6.9086459450969417E-2</v>
      </c>
      <c r="Q106" t="s">
        <v>169</v>
      </c>
      <c r="S106" t="s">
        <v>227</v>
      </c>
      <c r="T106" t="s">
        <v>180</v>
      </c>
      <c r="U106">
        <v>6.9086459450969417E-2</v>
      </c>
      <c r="V106" t="s">
        <v>169</v>
      </c>
      <c r="AK106">
        <v>2038</v>
      </c>
      <c r="AL106" t="s">
        <v>161</v>
      </c>
      <c r="AM106">
        <v>0.42949999999999999</v>
      </c>
      <c r="AN106" t="s">
        <v>239</v>
      </c>
    </row>
    <row r="107" spans="9:40" x14ac:dyDescent="0.45">
      <c r="I107" t="s">
        <v>212</v>
      </c>
      <c r="J107" t="s">
        <v>181</v>
      </c>
      <c r="K107">
        <v>0</v>
      </c>
      <c r="L107" t="s">
        <v>169</v>
      </c>
      <c r="N107" t="s">
        <v>222</v>
      </c>
      <c r="O107" t="s">
        <v>181</v>
      </c>
      <c r="P107">
        <v>1.5598431975569177E-2</v>
      </c>
      <c r="Q107" t="s">
        <v>169</v>
      </c>
      <c r="S107" t="s">
        <v>227</v>
      </c>
      <c r="T107" t="s">
        <v>181</v>
      </c>
      <c r="U107">
        <v>1.5598431975569177E-2</v>
      </c>
      <c r="V107" t="s">
        <v>169</v>
      </c>
      <c r="AK107">
        <v>2038</v>
      </c>
      <c r="AL107" t="s">
        <v>163</v>
      </c>
      <c r="AM107">
        <v>0.40160000000000001</v>
      </c>
      <c r="AN107" t="s">
        <v>239</v>
      </c>
    </row>
    <row r="108" spans="9:40" x14ac:dyDescent="0.45">
      <c r="I108" t="s">
        <v>212</v>
      </c>
      <c r="J108" t="s">
        <v>182</v>
      </c>
      <c r="K108">
        <v>3.7011445154507541E-3</v>
      </c>
      <c r="L108" t="s">
        <v>169</v>
      </c>
      <c r="N108" t="s">
        <v>222</v>
      </c>
      <c r="O108" t="s">
        <v>182</v>
      </c>
      <c r="P108">
        <v>1.6141339781071136E-2</v>
      </c>
      <c r="Q108" t="s">
        <v>169</v>
      </c>
      <c r="S108" t="s">
        <v>227</v>
      </c>
      <c r="T108" t="s">
        <v>182</v>
      </c>
      <c r="U108">
        <v>1.6141339781071136E-2</v>
      </c>
      <c r="V108" t="s">
        <v>169</v>
      </c>
      <c r="AK108">
        <v>2038</v>
      </c>
      <c r="AL108" t="s">
        <v>165</v>
      </c>
      <c r="AM108">
        <v>0.44974999999999998</v>
      </c>
      <c r="AN108" t="s">
        <v>239</v>
      </c>
    </row>
    <row r="109" spans="9:40" x14ac:dyDescent="0.45">
      <c r="I109" t="s">
        <v>212</v>
      </c>
      <c r="J109" t="s">
        <v>183</v>
      </c>
      <c r="K109">
        <v>2.3620142050665156E-2</v>
      </c>
      <c r="L109" t="s">
        <v>169</v>
      </c>
      <c r="N109" t="s">
        <v>222</v>
      </c>
      <c r="O109" t="s">
        <v>183</v>
      </c>
      <c r="P109">
        <v>5.9698234614163495E-3</v>
      </c>
      <c r="Q109" t="s">
        <v>169</v>
      </c>
      <c r="S109" t="s">
        <v>227</v>
      </c>
      <c r="T109" t="s">
        <v>183</v>
      </c>
      <c r="U109">
        <v>5.9698234614163495E-3</v>
      </c>
      <c r="V109" t="s">
        <v>169</v>
      </c>
      <c r="AK109">
        <v>2039</v>
      </c>
      <c r="AL109" t="s">
        <v>150</v>
      </c>
      <c r="AM109">
        <v>0.372</v>
      </c>
      <c r="AN109" t="s">
        <v>239</v>
      </c>
    </row>
    <row r="110" spans="9:40" x14ac:dyDescent="0.45">
      <c r="I110" t="s">
        <v>212</v>
      </c>
      <c r="J110" t="s">
        <v>184</v>
      </c>
      <c r="K110">
        <v>0.16832211322437587</v>
      </c>
      <c r="L110" t="s">
        <v>169</v>
      </c>
      <c r="N110" t="s">
        <v>222</v>
      </c>
      <c r="O110" t="s">
        <v>184</v>
      </c>
      <c r="P110">
        <v>2.8942399837320134E-2</v>
      </c>
      <c r="Q110" t="s">
        <v>169</v>
      </c>
      <c r="S110" t="s">
        <v>227</v>
      </c>
      <c r="T110" t="s">
        <v>184</v>
      </c>
      <c r="U110">
        <v>2.8942399837320134E-2</v>
      </c>
      <c r="V110" t="s">
        <v>169</v>
      </c>
      <c r="AK110">
        <v>2039</v>
      </c>
      <c r="AL110" t="s">
        <v>154</v>
      </c>
      <c r="AM110">
        <v>0.31390000000000001</v>
      </c>
      <c r="AN110" t="s">
        <v>239</v>
      </c>
    </row>
    <row r="111" spans="9:40" x14ac:dyDescent="0.45">
      <c r="I111" t="s">
        <v>212</v>
      </c>
      <c r="J111" t="s">
        <v>185</v>
      </c>
      <c r="K111">
        <v>1.1254821778931261E-2</v>
      </c>
      <c r="L111" t="s">
        <v>169</v>
      </c>
      <c r="N111" t="s">
        <v>222</v>
      </c>
      <c r="O111" t="s">
        <v>185</v>
      </c>
      <c r="P111">
        <v>5.8028004033679305E-3</v>
      </c>
      <c r="Q111" t="s">
        <v>169</v>
      </c>
      <c r="S111" t="s">
        <v>227</v>
      </c>
      <c r="T111" t="s">
        <v>185</v>
      </c>
      <c r="U111">
        <v>5.8028004033679305E-3</v>
      </c>
      <c r="V111" t="s">
        <v>169</v>
      </c>
      <c r="AK111">
        <v>2039</v>
      </c>
      <c r="AL111" t="s">
        <v>156</v>
      </c>
      <c r="AM111">
        <v>0.25724999999999998</v>
      </c>
      <c r="AN111" t="s">
        <v>239</v>
      </c>
    </row>
    <row r="112" spans="9:40" x14ac:dyDescent="0.45">
      <c r="I112" t="s">
        <v>212</v>
      </c>
      <c r="J112" t="s">
        <v>186</v>
      </c>
      <c r="K112">
        <v>8.0606348477710379E-3</v>
      </c>
      <c r="L112" t="s">
        <v>169</v>
      </c>
      <c r="N112" t="s">
        <v>222</v>
      </c>
      <c r="O112" t="s">
        <v>186</v>
      </c>
      <c r="P112">
        <v>4.3602453095790854E-2</v>
      </c>
      <c r="Q112" t="s">
        <v>169</v>
      </c>
      <c r="S112" t="s">
        <v>227</v>
      </c>
      <c r="T112" t="s">
        <v>186</v>
      </c>
      <c r="U112">
        <v>4.3602453095790854E-2</v>
      </c>
      <c r="V112" t="s">
        <v>169</v>
      </c>
      <c r="AK112">
        <v>2039</v>
      </c>
      <c r="AL112" t="s">
        <v>158</v>
      </c>
      <c r="AM112">
        <v>0.29405000000000003</v>
      </c>
      <c r="AN112" t="s">
        <v>239</v>
      </c>
    </row>
    <row r="113" spans="9:40" x14ac:dyDescent="0.45">
      <c r="I113" t="s">
        <v>212</v>
      </c>
      <c r="J113" t="s">
        <v>187</v>
      </c>
      <c r="K113">
        <v>0</v>
      </c>
      <c r="L113" t="s">
        <v>169</v>
      </c>
      <c r="N113" t="s">
        <v>222</v>
      </c>
      <c r="O113" t="s">
        <v>187</v>
      </c>
      <c r="P113">
        <v>1.2190585998635159E-2</v>
      </c>
      <c r="Q113" t="s">
        <v>169</v>
      </c>
      <c r="S113" t="s">
        <v>227</v>
      </c>
      <c r="T113" t="s">
        <v>187</v>
      </c>
      <c r="U113">
        <v>1.2190585998635159E-2</v>
      </c>
      <c r="V113" t="s">
        <v>169</v>
      </c>
      <c r="AK113">
        <v>2039</v>
      </c>
      <c r="AL113" t="s">
        <v>161</v>
      </c>
      <c r="AM113">
        <v>0.36330000000000001</v>
      </c>
      <c r="AN113" t="s">
        <v>239</v>
      </c>
    </row>
    <row r="114" spans="9:40" x14ac:dyDescent="0.45">
      <c r="I114" t="s">
        <v>212</v>
      </c>
      <c r="J114" t="s">
        <v>188</v>
      </c>
      <c r="K114">
        <v>1.9799565475066682E-3</v>
      </c>
      <c r="L114" t="s">
        <v>169</v>
      </c>
      <c r="N114" t="s">
        <v>222</v>
      </c>
      <c r="O114" t="s">
        <v>188</v>
      </c>
      <c r="P114">
        <v>1.291840608733154E-2</v>
      </c>
      <c r="Q114" t="s">
        <v>169</v>
      </c>
      <c r="S114" t="s">
        <v>227</v>
      </c>
      <c r="T114" t="s">
        <v>188</v>
      </c>
      <c r="U114">
        <v>1.291840608733154E-2</v>
      </c>
      <c r="V114" t="s">
        <v>169</v>
      </c>
      <c r="AK114">
        <v>2039</v>
      </c>
      <c r="AL114" t="s">
        <v>163</v>
      </c>
      <c r="AM114">
        <v>0.34539999999999998</v>
      </c>
      <c r="AN114" t="s">
        <v>239</v>
      </c>
    </row>
    <row r="115" spans="9:40" x14ac:dyDescent="0.45">
      <c r="I115" t="s">
        <v>212</v>
      </c>
      <c r="J115" t="s">
        <v>189</v>
      </c>
      <c r="K115">
        <v>2.4234255752161829E-2</v>
      </c>
      <c r="L115" t="s">
        <v>169</v>
      </c>
      <c r="N115" t="s">
        <v>222</v>
      </c>
      <c r="O115" t="s">
        <v>189</v>
      </c>
      <c r="P115">
        <v>4.0625953193878161E-3</v>
      </c>
      <c r="Q115" t="s">
        <v>169</v>
      </c>
      <c r="S115" t="s">
        <v>227</v>
      </c>
      <c r="T115" t="s">
        <v>189</v>
      </c>
      <c r="U115">
        <v>4.0625953193878161E-3</v>
      </c>
      <c r="V115" t="s">
        <v>169</v>
      </c>
      <c r="AK115">
        <v>2039</v>
      </c>
      <c r="AL115" t="s">
        <v>165</v>
      </c>
      <c r="AM115">
        <v>0.35019999999999996</v>
      </c>
      <c r="AN115" t="s">
        <v>239</v>
      </c>
    </row>
    <row r="116" spans="9:40" x14ac:dyDescent="0.45">
      <c r="I116" t="s">
        <v>212</v>
      </c>
      <c r="J116" t="s">
        <v>190</v>
      </c>
      <c r="K116">
        <v>0.17649929917092344</v>
      </c>
      <c r="L116" t="s">
        <v>169</v>
      </c>
      <c r="N116" t="s">
        <v>222</v>
      </c>
      <c r="O116" t="s">
        <v>190</v>
      </c>
      <c r="P116">
        <v>2.3152171748200057E-2</v>
      </c>
      <c r="Q116" t="s">
        <v>169</v>
      </c>
      <c r="S116" t="s">
        <v>227</v>
      </c>
      <c r="T116" t="s">
        <v>190</v>
      </c>
      <c r="U116">
        <v>2.3152171748200057E-2</v>
      </c>
      <c r="V116" t="s">
        <v>169</v>
      </c>
      <c r="AK116">
        <v>2040</v>
      </c>
      <c r="AL116" t="s">
        <v>150</v>
      </c>
      <c r="AM116">
        <v>0.39165</v>
      </c>
      <c r="AN116" t="s">
        <v>239</v>
      </c>
    </row>
    <row r="117" spans="9:40" x14ac:dyDescent="0.45">
      <c r="I117" t="s">
        <v>212</v>
      </c>
      <c r="J117" t="s">
        <v>191</v>
      </c>
      <c r="K117">
        <v>1.3249963954022859E-2</v>
      </c>
      <c r="L117" t="s">
        <v>169</v>
      </c>
      <c r="N117" t="s">
        <v>222</v>
      </c>
      <c r="O117" t="s">
        <v>191</v>
      </c>
      <c r="P117">
        <v>5.1582677622108589E-3</v>
      </c>
      <c r="Q117" t="s">
        <v>169</v>
      </c>
      <c r="S117" t="s">
        <v>227</v>
      </c>
      <c r="T117" t="s">
        <v>191</v>
      </c>
      <c r="U117">
        <v>5.1582677622108589E-3</v>
      </c>
      <c r="V117" t="s">
        <v>169</v>
      </c>
      <c r="AK117">
        <v>2040</v>
      </c>
      <c r="AL117" t="s">
        <v>154</v>
      </c>
      <c r="AM117">
        <v>0.30454999999999999</v>
      </c>
      <c r="AN117" t="s">
        <v>239</v>
      </c>
    </row>
    <row r="118" spans="9:40" x14ac:dyDescent="0.45">
      <c r="I118" t="s">
        <v>212</v>
      </c>
      <c r="J118" t="s">
        <v>192</v>
      </c>
      <c r="K118">
        <v>9.4293919384641229E-3</v>
      </c>
      <c r="L118" t="s">
        <v>169</v>
      </c>
      <c r="N118" t="s">
        <v>222</v>
      </c>
      <c r="O118" t="s">
        <v>192</v>
      </c>
      <c r="P118">
        <v>3.620718882319178E-2</v>
      </c>
      <c r="Q118" t="s">
        <v>169</v>
      </c>
      <c r="S118" t="s">
        <v>227</v>
      </c>
      <c r="T118" t="s">
        <v>192</v>
      </c>
      <c r="U118">
        <v>3.620718882319178E-2</v>
      </c>
      <c r="V118" t="s">
        <v>169</v>
      </c>
      <c r="AK118">
        <v>2040</v>
      </c>
      <c r="AL118" t="s">
        <v>156</v>
      </c>
      <c r="AM118">
        <v>0.28025</v>
      </c>
      <c r="AN118" t="s">
        <v>239</v>
      </c>
    </row>
    <row r="119" spans="9:40" x14ac:dyDescent="0.45">
      <c r="I119" t="s">
        <v>212</v>
      </c>
      <c r="J119" t="s">
        <v>193</v>
      </c>
      <c r="K119">
        <v>0</v>
      </c>
      <c r="L119" t="s">
        <v>169</v>
      </c>
      <c r="N119" t="s">
        <v>222</v>
      </c>
      <c r="O119" t="s">
        <v>193</v>
      </c>
      <c r="P119">
        <v>3.9927172338740042E-3</v>
      </c>
      <c r="Q119" t="s">
        <v>169</v>
      </c>
      <c r="S119" t="s">
        <v>227</v>
      </c>
      <c r="T119" t="s">
        <v>193</v>
      </c>
      <c r="U119">
        <v>3.9927172338740042E-3</v>
      </c>
      <c r="V119" t="s">
        <v>169</v>
      </c>
      <c r="AK119">
        <v>2040</v>
      </c>
      <c r="AL119" t="s">
        <v>158</v>
      </c>
      <c r="AM119">
        <v>0.29470000000000002</v>
      </c>
      <c r="AN119" t="s">
        <v>239</v>
      </c>
    </row>
    <row r="120" spans="9:40" x14ac:dyDescent="0.45">
      <c r="I120" t="s">
        <v>212</v>
      </c>
      <c r="J120" t="s">
        <v>194</v>
      </c>
      <c r="K120">
        <v>0</v>
      </c>
      <c r="L120" t="s">
        <v>169</v>
      </c>
      <c r="N120" t="s">
        <v>222</v>
      </c>
      <c r="O120" t="s">
        <v>194</v>
      </c>
      <c r="P120">
        <v>5.5373189228692301E-3</v>
      </c>
      <c r="Q120" t="s">
        <v>169</v>
      </c>
      <c r="S120" t="s">
        <v>227</v>
      </c>
      <c r="T120" t="s">
        <v>194</v>
      </c>
      <c r="U120">
        <v>5.5373189228692301E-3</v>
      </c>
      <c r="V120" t="s">
        <v>169</v>
      </c>
      <c r="AK120">
        <v>2040</v>
      </c>
      <c r="AL120" t="s">
        <v>161</v>
      </c>
      <c r="AM120">
        <v>0.34789999999999999</v>
      </c>
      <c r="AN120" t="s">
        <v>239</v>
      </c>
    </row>
    <row r="121" spans="9:40" x14ac:dyDescent="0.45">
      <c r="I121" t="s">
        <v>212</v>
      </c>
      <c r="J121" t="s">
        <v>195</v>
      </c>
      <c r="K121">
        <v>1.023398629279558E-2</v>
      </c>
      <c r="L121" t="s">
        <v>169</v>
      </c>
      <c r="N121" t="s">
        <v>222</v>
      </c>
      <c r="O121" t="s">
        <v>195</v>
      </c>
      <c r="P121">
        <v>3.6835671480901244E-3</v>
      </c>
      <c r="Q121" t="s">
        <v>169</v>
      </c>
      <c r="S121" t="s">
        <v>227</v>
      </c>
      <c r="T121" t="s">
        <v>195</v>
      </c>
      <c r="U121">
        <v>3.6835671480901244E-3</v>
      </c>
      <c r="V121" t="s">
        <v>169</v>
      </c>
      <c r="AK121">
        <v>2040</v>
      </c>
      <c r="AL121" t="s">
        <v>163</v>
      </c>
      <c r="AM121">
        <v>0.39750000000000002</v>
      </c>
      <c r="AN121" t="s">
        <v>239</v>
      </c>
    </row>
    <row r="122" spans="9:40" x14ac:dyDescent="0.45">
      <c r="I122" t="s">
        <v>212</v>
      </c>
      <c r="J122" t="s">
        <v>196</v>
      </c>
      <c r="K122">
        <v>8.3454561436850844E-2</v>
      </c>
      <c r="L122" t="s">
        <v>169</v>
      </c>
      <c r="N122" t="s">
        <v>222</v>
      </c>
      <c r="O122" t="s">
        <v>196</v>
      </c>
      <c r="P122">
        <v>1.1976787170378448E-2</v>
      </c>
      <c r="Q122" t="s">
        <v>169</v>
      </c>
      <c r="S122" t="s">
        <v>227</v>
      </c>
      <c r="T122" t="s">
        <v>196</v>
      </c>
      <c r="U122">
        <v>1.1976787170378448E-2</v>
      </c>
      <c r="V122" t="s">
        <v>169</v>
      </c>
      <c r="AK122">
        <v>2040</v>
      </c>
      <c r="AL122" t="s">
        <v>165</v>
      </c>
      <c r="AM122">
        <v>0.37275000000000003</v>
      </c>
      <c r="AN122" t="s">
        <v>239</v>
      </c>
    </row>
    <row r="123" spans="9:40" x14ac:dyDescent="0.45">
      <c r="I123" t="s">
        <v>212</v>
      </c>
      <c r="J123" t="s">
        <v>197</v>
      </c>
      <c r="K123">
        <v>5.0616575961654831E-3</v>
      </c>
      <c r="L123" t="s">
        <v>169</v>
      </c>
      <c r="N123" t="s">
        <v>222</v>
      </c>
      <c r="O123" t="s">
        <v>197</v>
      </c>
      <c r="P123">
        <v>2.2661499880410659E-3</v>
      </c>
      <c r="Q123" t="s">
        <v>169</v>
      </c>
      <c r="S123" t="s">
        <v>227</v>
      </c>
      <c r="T123" t="s">
        <v>197</v>
      </c>
      <c r="U123">
        <v>2.2661499880410659E-3</v>
      </c>
      <c r="V123" t="s">
        <v>169</v>
      </c>
      <c r="AK123">
        <v>2041</v>
      </c>
      <c r="AL123" t="s">
        <v>150</v>
      </c>
      <c r="AM123">
        <v>0.36199999999999999</v>
      </c>
      <c r="AN123" t="s">
        <v>239</v>
      </c>
    </row>
    <row r="124" spans="9:40" x14ac:dyDescent="0.45">
      <c r="I124" t="s">
        <v>212</v>
      </c>
      <c r="J124" t="s">
        <v>198</v>
      </c>
      <c r="K124">
        <v>8.9384903125243722E-4</v>
      </c>
      <c r="L124" t="s">
        <v>169</v>
      </c>
      <c r="N124" t="s">
        <v>222</v>
      </c>
      <c r="O124" t="s">
        <v>198</v>
      </c>
      <c r="P124">
        <v>1.3084075603873773E-2</v>
      </c>
      <c r="Q124" t="s">
        <v>169</v>
      </c>
      <c r="S124" t="s">
        <v>227</v>
      </c>
      <c r="T124" t="s">
        <v>198</v>
      </c>
      <c r="U124">
        <v>1.3084075603873773E-2</v>
      </c>
      <c r="V124" t="s">
        <v>169</v>
      </c>
      <c r="AK124">
        <v>2041</v>
      </c>
      <c r="AL124" t="s">
        <v>154</v>
      </c>
      <c r="AM124">
        <v>0.32794999999999996</v>
      </c>
      <c r="AN124" t="s">
        <v>239</v>
      </c>
    </row>
    <row r="125" spans="9:40" x14ac:dyDescent="0.45">
      <c r="I125" t="s">
        <v>212</v>
      </c>
      <c r="J125" t="s">
        <v>199</v>
      </c>
      <c r="K125">
        <v>0</v>
      </c>
      <c r="L125" t="s">
        <v>169</v>
      </c>
      <c r="N125" t="s">
        <v>222</v>
      </c>
      <c r="O125" t="s">
        <v>199</v>
      </c>
      <c r="P125">
        <v>3.3486237415010539E-3</v>
      </c>
      <c r="Q125" t="s">
        <v>169</v>
      </c>
      <c r="S125" t="s">
        <v>227</v>
      </c>
      <c r="T125" t="s">
        <v>199</v>
      </c>
      <c r="U125">
        <v>3.3486237415010539E-3</v>
      </c>
      <c r="V125" t="s">
        <v>169</v>
      </c>
      <c r="AK125">
        <v>2041</v>
      </c>
      <c r="AL125" t="s">
        <v>156</v>
      </c>
      <c r="AM125">
        <v>0.2752</v>
      </c>
      <c r="AN125" t="s">
        <v>239</v>
      </c>
    </row>
    <row r="126" spans="9:40" x14ac:dyDescent="0.45">
      <c r="I126" t="s">
        <v>212</v>
      </c>
      <c r="J126" t="s">
        <v>200</v>
      </c>
      <c r="K126">
        <v>0</v>
      </c>
      <c r="L126" t="s">
        <v>169</v>
      </c>
      <c r="N126" t="s">
        <v>222</v>
      </c>
      <c r="O126" t="s">
        <v>200</v>
      </c>
      <c r="P126">
        <v>3.8816936580414957E-3</v>
      </c>
      <c r="Q126" t="s">
        <v>169</v>
      </c>
      <c r="S126" t="s">
        <v>227</v>
      </c>
      <c r="T126" t="s">
        <v>200</v>
      </c>
      <c r="U126">
        <v>3.8816936580414957E-3</v>
      </c>
      <c r="V126" t="s">
        <v>169</v>
      </c>
      <c r="AK126">
        <v>2041</v>
      </c>
      <c r="AL126" t="s">
        <v>158</v>
      </c>
      <c r="AM126">
        <v>0.29265000000000002</v>
      </c>
      <c r="AN126" t="s">
        <v>239</v>
      </c>
    </row>
    <row r="127" spans="9:40" x14ac:dyDescent="0.45">
      <c r="I127" t="s">
        <v>212</v>
      </c>
      <c r="J127" t="s">
        <v>201</v>
      </c>
      <c r="K127">
        <v>5.7068167561270238E-3</v>
      </c>
      <c r="L127" t="s">
        <v>169</v>
      </c>
      <c r="N127" t="s">
        <v>222</v>
      </c>
      <c r="O127" t="s">
        <v>201</v>
      </c>
      <c r="P127">
        <v>2.4864471632893297E-3</v>
      </c>
      <c r="Q127" t="s">
        <v>169</v>
      </c>
      <c r="S127" t="s">
        <v>227</v>
      </c>
      <c r="T127" t="s">
        <v>201</v>
      </c>
      <c r="U127">
        <v>2.4864471632893297E-3</v>
      </c>
      <c r="V127" t="s">
        <v>169</v>
      </c>
      <c r="AK127">
        <v>2041</v>
      </c>
      <c r="AL127" t="s">
        <v>161</v>
      </c>
      <c r="AM127">
        <v>0.33019999999999999</v>
      </c>
      <c r="AN127" t="s">
        <v>239</v>
      </c>
    </row>
    <row r="128" spans="9:40" x14ac:dyDescent="0.45">
      <c r="I128" t="s">
        <v>212</v>
      </c>
      <c r="J128" t="s">
        <v>202</v>
      </c>
      <c r="K128">
        <v>7.3057607839012495E-2</v>
      </c>
      <c r="L128" t="s">
        <v>169</v>
      </c>
      <c r="N128" t="s">
        <v>222</v>
      </c>
      <c r="O128" t="s">
        <v>202</v>
      </c>
      <c r="P128">
        <v>6.8672631252914475E-3</v>
      </c>
      <c r="Q128" t="s">
        <v>169</v>
      </c>
      <c r="S128" t="s">
        <v>227</v>
      </c>
      <c r="T128" t="s">
        <v>202</v>
      </c>
      <c r="U128">
        <v>6.8672631252914475E-3</v>
      </c>
      <c r="V128" t="s">
        <v>169</v>
      </c>
      <c r="AK128">
        <v>2041</v>
      </c>
      <c r="AL128" t="s">
        <v>163</v>
      </c>
      <c r="AM128">
        <v>0.38179999999999997</v>
      </c>
      <c r="AN128" t="s">
        <v>239</v>
      </c>
    </row>
    <row r="129" spans="9:40" x14ac:dyDescent="0.45">
      <c r="I129" t="s">
        <v>212</v>
      </c>
      <c r="J129" t="s">
        <v>203</v>
      </c>
      <c r="K129">
        <v>2.0174439779278653E-3</v>
      </c>
      <c r="L129" t="s">
        <v>169</v>
      </c>
      <c r="N129" t="s">
        <v>222</v>
      </c>
      <c r="O129" t="s">
        <v>203</v>
      </c>
      <c r="P129">
        <v>2.3460005733889093E-3</v>
      </c>
      <c r="Q129" t="s">
        <v>169</v>
      </c>
      <c r="S129" t="s">
        <v>227</v>
      </c>
      <c r="T129" t="s">
        <v>203</v>
      </c>
      <c r="U129">
        <v>2.3460005733889093E-3</v>
      </c>
      <c r="V129" t="s">
        <v>169</v>
      </c>
      <c r="AK129">
        <v>2041</v>
      </c>
      <c r="AL129" t="s">
        <v>165</v>
      </c>
      <c r="AM129">
        <v>0.36260000000000003</v>
      </c>
      <c r="AN129" t="s">
        <v>239</v>
      </c>
    </row>
    <row r="130" spans="9:40" x14ac:dyDescent="0.45">
      <c r="I130" t="s">
        <v>212</v>
      </c>
      <c r="J130" t="s">
        <v>204</v>
      </c>
      <c r="K130">
        <v>0</v>
      </c>
      <c r="L130" t="s">
        <v>169</v>
      </c>
      <c r="N130" t="s">
        <v>222</v>
      </c>
      <c r="O130" t="s">
        <v>204</v>
      </c>
      <c r="P130">
        <v>1.2694151838662959E-2</v>
      </c>
      <c r="Q130" t="s">
        <v>169</v>
      </c>
      <c r="S130" t="s">
        <v>227</v>
      </c>
      <c r="T130" t="s">
        <v>204</v>
      </c>
      <c r="U130">
        <v>1.2694151838662959E-2</v>
      </c>
      <c r="V130" t="s">
        <v>169</v>
      </c>
      <c r="AK130">
        <v>2042</v>
      </c>
      <c r="AL130" t="s">
        <v>150</v>
      </c>
      <c r="AM130">
        <v>0.48499999999999999</v>
      </c>
      <c r="AN130" t="s">
        <v>239</v>
      </c>
    </row>
    <row r="131" spans="9:40" x14ac:dyDescent="0.45">
      <c r="I131" t="s">
        <v>212</v>
      </c>
      <c r="J131" t="s">
        <v>205</v>
      </c>
      <c r="K131">
        <v>0</v>
      </c>
      <c r="L131" t="s">
        <v>169</v>
      </c>
      <c r="N131" t="s">
        <v>222</v>
      </c>
      <c r="O131" t="s">
        <v>205</v>
      </c>
      <c r="P131">
        <v>3.0241404412456777E-2</v>
      </c>
      <c r="Q131" t="s">
        <v>169</v>
      </c>
      <c r="S131" t="s">
        <v>227</v>
      </c>
      <c r="T131" t="s">
        <v>205</v>
      </c>
      <c r="U131">
        <v>3.0241404412456777E-2</v>
      </c>
      <c r="V131" t="s">
        <v>169</v>
      </c>
      <c r="AK131">
        <v>2042</v>
      </c>
      <c r="AL131" t="s">
        <v>154</v>
      </c>
      <c r="AM131">
        <v>0.40534999999999999</v>
      </c>
      <c r="AN131" t="s">
        <v>239</v>
      </c>
    </row>
    <row r="132" spans="9:40" x14ac:dyDescent="0.45">
      <c r="I132" t="s">
        <v>212</v>
      </c>
      <c r="J132" t="s">
        <v>206</v>
      </c>
      <c r="K132">
        <v>0</v>
      </c>
      <c r="L132" t="s">
        <v>169</v>
      </c>
      <c r="N132" t="s">
        <v>222</v>
      </c>
      <c r="O132" t="s">
        <v>206</v>
      </c>
      <c r="P132">
        <v>2.7214003922387913E-2</v>
      </c>
      <c r="Q132" t="s">
        <v>169</v>
      </c>
      <c r="S132" t="s">
        <v>227</v>
      </c>
      <c r="T132" t="s">
        <v>206</v>
      </c>
      <c r="U132">
        <v>2.7214003922387913E-2</v>
      </c>
      <c r="V132" t="s">
        <v>169</v>
      </c>
      <c r="AK132">
        <v>2042</v>
      </c>
      <c r="AL132" t="s">
        <v>156</v>
      </c>
      <c r="AM132">
        <v>0.35809999999999997</v>
      </c>
      <c r="AN132" t="s">
        <v>239</v>
      </c>
    </row>
    <row r="133" spans="9:40" x14ac:dyDescent="0.45">
      <c r="I133" t="s">
        <v>212</v>
      </c>
      <c r="J133" t="s">
        <v>207</v>
      </c>
      <c r="K133">
        <v>3.1541881520598201E-3</v>
      </c>
      <c r="L133" t="s">
        <v>169</v>
      </c>
      <c r="N133" t="s">
        <v>222</v>
      </c>
      <c r="O133" t="s">
        <v>207</v>
      </c>
      <c r="P133">
        <v>1.6282865634512571E-2</v>
      </c>
      <c r="Q133" t="s">
        <v>169</v>
      </c>
      <c r="S133" t="s">
        <v>227</v>
      </c>
      <c r="T133" t="s">
        <v>207</v>
      </c>
      <c r="U133">
        <v>1.6282865634512571E-2</v>
      </c>
      <c r="V133" t="s">
        <v>169</v>
      </c>
      <c r="AK133">
        <v>2042</v>
      </c>
      <c r="AL133" t="s">
        <v>158</v>
      </c>
      <c r="AM133">
        <v>0.38469999999999999</v>
      </c>
      <c r="AN133" t="s">
        <v>239</v>
      </c>
    </row>
    <row r="134" spans="9:40" x14ac:dyDescent="0.45">
      <c r="I134" t="s">
        <v>212</v>
      </c>
      <c r="J134" t="s">
        <v>208</v>
      </c>
      <c r="K134">
        <v>0.1002760193015191</v>
      </c>
      <c r="L134" t="s">
        <v>169</v>
      </c>
      <c r="N134" t="s">
        <v>222</v>
      </c>
      <c r="O134" t="s">
        <v>208</v>
      </c>
      <c r="P134">
        <v>6.3476907738401034E-2</v>
      </c>
      <c r="Q134" t="s">
        <v>169</v>
      </c>
      <c r="S134" t="s">
        <v>227</v>
      </c>
      <c r="T134" t="s">
        <v>208</v>
      </c>
      <c r="U134">
        <v>6.3476907738401034E-2</v>
      </c>
      <c r="V134" t="s">
        <v>169</v>
      </c>
      <c r="AK134">
        <v>2042</v>
      </c>
      <c r="AL134" t="s">
        <v>161</v>
      </c>
      <c r="AM134">
        <v>0.48370000000000002</v>
      </c>
      <c r="AN134" t="s">
        <v>239</v>
      </c>
    </row>
    <row r="135" spans="9:40" x14ac:dyDescent="0.45">
      <c r="I135" t="s">
        <v>212</v>
      </c>
      <c r="J135" t="s">
        <v>209</v>
      </c>
      <c r="K135">
        <v>0</v>
      </c>
      <c r="L135" t="s">
        <v>169</v>
      </c>
      <c r="N135" t="s">
        <v>222</v>
      </c>
      <c r="O135" t="s">
        <v>209</v>
      </c>
      <c r="P135">
        <v>1.0601460145889472E-2</v>
      </c>
      <c r="Q135" t="s">
        <v>169</v>
      </c>
      <c r="S135" t="s">
        <v>227</v>
      </c>
      <c r="T135" t="s">
        <v>209</v>
      </c>
      <c r="U135">
        <v>1.0601460145889472E-2</v>
      </c>
      <c r="V135" t="s">
        <v>169</v>
      </c>
      <c r="AK135">
        <v>2042</v>
      </c>
      <c r="AL135" t="s">
        <v>163</v>
      </c>
      <c r="AM135">
        <v>0.45750000000000002</v>
      </c>
      <c r="AN135" t="s">
        <v>239</v>
      </c>
    </row>
    <row r="136" spans="9:40" x14ac:dyDescent="0.45">
      <c r="I136" t="s">
        <v>212</v>
      </c>
      <c r="J136" t="s">
        <v>210</v>
      </c>
      <c r="K136">
        <v>0</v>
      </c>
      <c r="L136" t="s">
        <v>169</v>
      </c>
      <c r="N136" t="s">
        <v>222</v>
      </c>
      <c r="O136" t="s">
        <v>210</v>
      </c>
      <c r="P136">
        <v>6.5672899634497975E-2</v>
      </c>
      <c r="Q136" t="s">
        <v>169</v>
      </c>
      <c r="S136" t="s">
        <v>227</v>
      </c>
      <c r="T136" t="s">
        <v>210</v>
      </c>
      <c r="U136">
        <v>6.5672899634497975E-2</v>
      </c>
      <c r="V136" t="s">
        <v>169</v>
      </c>
      <c r="AK136">
        <v>2042</v>
      </c>
      <c r="AL136" t="s">
        <v>165</v>
      </c>
      <c r="AM136">
        <v>0.50150000000000006</v>
      </c>
      <c r="AN136" t="s">
        <v>239</v>
      </c>
    </row>
    <row r="137" spans="9:40" x14ac:dyDescent="0.45">
      <c r="I137" t="s">
        <v>213</v>
      </c>
      <c r="J137" t="s">
        <v>168</v>
      </c>
      <c r="K137">
        <v>0</v>
      </c>
      <c r="L137" t="s">
        <v>169</v>
      </c>
      <c r="N137" t="s">
        <v>223</v>
      </c>
      <c r="O137" t="s">
        <v>168</v>
      </c>
      <c r="P137">
        <v>4.0203395956647653E-2</v>
      </c>
      <c r="Q137" t="s">
        <v>169</v>
      </c>
      <c r="S137" t="s">
        <v>228</v>
      </c>
      <c r="T137" t="s">
        <v>168</v>
      </c>
      <c r="U137">
        <v>4.0203395956647653E-2</v>
      </c>
      <c r="V137" t="s">
        <v>169</v>
      </c>
      <c r="AK137">
        <v>2043</v>
      </c>
      <c r="AL137" t="s">
        <v>150</v>
      </c>
      <c r="AM137">
        <v>0.44264999999999999</v>
      </c>
      <c r="AN137" t="s">
        <v>239</v>
      </c>
    </row>
    <row r="138" spans="9:40" x14ac:dyDescent="0.45">
      <c r="I138" t="s">
        <v>213</v>
      </c>
      <c r="J138" t="s">
        <v>170</v>
      </c>
      <c r="K138">
        <v>0</v>
      </c>
      <c r="L138" t="s">
        <v>169</v>
      </c>
      <c r="N138" t="s">
        <v>223</v>
      </c>
      <c r="O138" t="s">
        <v>170</v>
      </c>
      <c r="P138">
        <v>4.1396302743311068E-2</v>
      </c>
      <c r="Q138" t="s">
        <v>169</v>
      </c>
      <c r="S138" t="s">
        <v>228</v>
      </c>
      <c r="T138" t="s">
        <v>170</v>
      </c>
      <c r="U138">
        <v>4.1396302743311068E-2</v>
      </c>
      <c r="V138" t="s">
        <v>169</v>
      </c>
      <c r="AK138">
        <v>2043</v>
      </c>
      <c r="AL138" t="s">
        <v>154</v>
      </c>
      <c r="AM138">
        <v>0.39524999999999999</v>
      </c>
      <c r="AN138" t="s">
        <v>239</v>
      </c>
    </row>
    <row r="139" spans="9:40" x14ac:dyDescent="0.45">
      <c r="I139" t="s">
        <v>213</v>
      </c>
      <c r="J139" t="s">
        <v>171</v>
      </c>
      <c r="K139">
        <v>1.3569687836856546E-3</v>
      </c>
      <c r="L139" t="s">
        <v>169</v>
      </c>
      <c r="N139" t="s">
        <v>223</v>
      </c>
      <c r="O139" t="s">
        <v>171</v>
      </c>
      <c r="P139">
        <v>2.850847508192288E-2</v>
      </c>
      <c r="Q139" t="s">
        <v>169</v>
      </c>
      <c r="S139" t="s">
        <v>228</v>
      </c>
      <c r="T139" t="s">
        <v>171</v>
      </c>
      <c r="U139">
        <v>2.850847508192288E-2</v>
      </c>
      <c r="V139" t="s">
        <v>169</v>
      </c>
      <c r="AK139">
        <v>2043</v>
      </c>
      <c r="AL139" t="s">
        <v>156</v>
      </c>
      <c r="AM139">
        <v>0.30125000000000002</v>
      </c>
      <c r="AN139" t="s">
        <v>239</v>
      </c>
    </row>
    <row r="140" spans="9:40" x14ac:dyDescent="0.45">
      <c r="I140" t="s">
        <v>213</v>
      </c>
      <c r="J140" t="s">
        <v>172</v>
      </c>
      <c r="K140">
        <v>0.1049906785261551</v>
      </c>
      <c r="L140" t="s">
        <v>169</v>
      </c>
      <c r="N140" t="s">
        <v>223</v>
      </c>
      <c r="O140" t="s">
        <v>172</v>
      </c>
      <c r="P140">
        <v>9.614946672410464E-2</v>
      </c>
      <c r="Q140" t="s">
        <v>169</v>
      </c>
      <c r="S140" t="s">
        <v>228</v>
      </c>
      <c r="T140" t="s">
        <v>172</v>
      </c>
      <c r="U140">
        <v>9.614946672410464E-2</v>
      </c>
      <c r="V140" t="s">
        <v>169</v>
      </c>
      <c r="AK140">
        <v>2043</v>
      </c>
      <c r="AL140" t="s">
        <v>158</v>
      </c>
      <c r="AM140">
        <v>0.33750000000000002</v>
      </c>
      <c r="AN140" t="s">
        <v>239</v>
      </c>
    </row>
    <row r="141" spans="9:40" x14ac:dyDescent="0.45">
      <c r="I141" t="s">
        <v>213</v>
      </c>
      <c r="J141" t="s">
        <v>173</v>
      </c>
      <c r="K141">
        <v>3.1990523646282642E-3</v>
      </c>
      <c r="L141" t="s">
        <v>169</v>
      </c>
      <c r="N141" t="s">
        <v>223</v>
      </c>
      <c r="O141" t="s">
        <v>173</v>
      </c>
      <c r="P141">
        <v>1.2064991245023027E-2</v>
      </c>
      <c r="Q141" t="s">
        <v>169</v>
      </c>
      <c r="S141" t="s">
        <v>228</v>
      </c>
      <c r="T141" t="s">
        <v>173</v>
      </c>
      <c r="U141">
        <v>1.2064991245023027E-2</v>
      </c>
      <c r="V141" t="s">
        <v>169</v>
      </c>
      <c r="AK141">
        <v>2043</v>
      </c>
      <c r="AL141" t="s">
        <v>161</v>
      </c>
      <c r="AM141">
        <v>0.37080000000000002</v>
      </c>
      <c r="AN141" t="s">
        <v>239</v>
      </c>
    </row>
    <row r="142" spans="9:40" x14ac:dyDescent="0.45">
      <c r="I142" t="s">
        <v>213</v>
      </c>
      <c r="J142" t="s">
        <v>174</v>
      </c>
      <c r="K142">
        <v>0</v>
      </c>
      <c r="L142" t="s">
        <v>169</v>
      </c>
      <c r="N142" t="s">
        <v>223</v>
      </c>
      <c r="O142" t="s">
        <v>174</v>
      </c>
      <c r="P142">
        <v>8.1325866777745739E-2</v>
      </c>
      <c r="Q142" t="s">
        <v>169</v>
      </c>
      <c r="S142" t="s">
        <v>228</v>
      </c>
      <c r="T142" t="s">
        <v>174</v>
      </c>
      <c r="U142">
        <v>8.1325866777745739E-2</v>
      </c>
      <c r="V142" t="s">
        <v>169</v>
      </c>
      <c r="AK142">
        <v>2043</v>
      </c>
      <c r="AL142" t="s">
        <v>163</v>
      </c>
      <c r="AM142">
        <v>0.4577</v>
      </c>
      <c r="AN142" t="s">
        <v>239</v>
      </c>
    </row>
    <row r="143" spans="9:40" x14ac:dyDescent="0.45">
      <c r="I143" t="s">
        <v>213</v>
      </c>
      <c r="J143" t="s">
        <v>175</v>
      </c>
      <c r="K143">
        <v>0</v>
      </c>
      <c r="L143" t="s">
        <v>169</v>
      </c>
      <c r="N143" t="s">
        <v>223</v>
      </c>
      <c r="O143" t="s">
        <v>175</v>
      </c>
      <c r="P143">
        <v>2.7770121000516453E-2</v>
      </c>
      <c r="Q143" t="s">
        <v>169</v>
      </c>
      <c r="S143" t="s">
        <v>228</v>
      </c>
      <c r="T143" t="s">
        <v>175</v>
      </c>
      <c r="U143">
        <v>2.7770121000516453E-2</v>
      </c>
      <c r="V143" t="s">
        <v>169</v>
      </c>
      <c r="AK143">
        <v>2043</v>
      </c>
      <c r="AL143" t="s">
        <v>165</v>
      </c>
      <c r="AM143">
        <v>0.47170000000000001</v>
      </c>
      <c r="AN143" t="s">
        <v>239</v>
      </c>
    </row>
    <row r="144" spans="9:40" x14ac:dyDescent="0.45">
      <c r="I144" t="s">
        <v>213</v>
      </c>
      <c r="J144" t="s">
        <v>176</v>
      </c>
      <c r="K144">
        <v>0</v>
      </c>
      <c r="L144" t="s">
        <v>169</v>
      </c>
      <c r="N144" t="s">
        <v>223</v>
      </c>
      <c r="O144" t="s">
        <v>176</v>
      </c>
      <c r="P144">
        <v>2.9242335818948466E-2</v>
      </c>
      <c r="Q144" t="s">
        <v>169</v>
      </c>
      <c r="S144" t="s">
        <v>228</v>
      </c>
      <c r="T144" t="s">
        <v>176</v>
      </c>
      <c r="U144">
        <v>2.9242335818948466E-2</v>
      </c>
      <c r="V144" t="s">
        <v>169</v>
      </c>
      <c r="AK144">
        <v>2044</v>
      </c>
      <c r="AL144" t="s">
        <v>150</v>
      </c>
      <c r="AM144">
        <v>0.41420000000000001</v>
      </c>
      <c r="AN144" t="s">
        <v>239</v>
      </c>
    </row>
    <row r="145" spans="9:40" x14ac:dyDescent="0.45">
      <c r="I145" t="s">
        <v>213</v>
      </c>
      <c r="J145" t="s">
        <v>177</v>
      </c>
      <c r="K145">
        <v>1.2334847537465991E-2</v>
      </c>
      <c r="L145" t="s">
        <v>169</v>
      </c>
      <c r="N145" t="s">
        <v>223</v>
      </c>
      <c r="O145" t="s">
        <v>177</v>
      </c>
      <c r="P145">
        <v>1.9437678289475995E-2</v>
      </c>
      <c r="Q145" t="s">
        <v>169</v>
      </c>
      <c r="S145" t="s">
        <v>228</v>
      </c>
      <c r="T145" t="s">
        <v>177</v>
      </c>
      <c r="U145">
        <v>1.9437678289475995E-2</v>
      </c>
      <c r="V145" t="s">
        <v>169</v>
      </c>
      <c r="AK145">
        <v>2044</v>
      </c>
      <c r="AL145" t="s">
        <v>154</v>
      </c>
      <c r="AM145">
        <v>0.37980000000000003</v>
      </c>
      <c r="AN145" t="s">
        <v>239</v>
      </c>
    </row>
    <row r="146" spans="9:40" x14ac:dyDescent="0.45">
      <c r="I146" t="s">
        <v>213</v>
      </c>
      <c r="J146" t="s">
        <v>178</v>
      </c>
      <c r="K146">
        <v>0.14276280016087503</v>
      </c>
      <c r="L146" t="s">
        <v>169</v>
      </c>
      <c r="N146" t="s">
        <v>223</v>
      </c>
      <c r="O146" t="s">
        <v>178</v>
      </c>
      <c r="P146">
        <v>7.9955075548272567E-2</v>
      </c>
      <c r="Q146" t="s">
        <v>169</v>
      </c>
      <c r="S146" t="s">
        <v>228</v>
      </c>
      <c r="T146" t="s">
        <v>178</v>
      </c>
      <c r="U146">
        <v>7.9955075548272567E-2</v>
      </c>
      <c r="V146" t="s">
        <v>169</v>
      </c>
      <c r="AK146">
        <v>2044</v>
      </c>
      <c r="AL146" t="s">
        <v>156</v>
      </c>
      <c r="AM146">
        <v>0.32645000000000002</v>
      </c>
      <c r="AN146" t="s">
        <v>239</v>
      </c>
    </row>
    <row r="147" spans="9:40" x14ac:dyDescent="0.45">
      <c r="I147" t="s">
        <v>213</v>
      </c>
      <c r="J147" t="s">
        <v>179</v>
      </c>
      <c r="K147">
        <v>8.4103974678804427E-3</v>
      </c>
      <c r="L147" t="s">
        <v>169</v>
      </c>
      <c r="N147" t="s">
        <v>223</v>
      </c>
      <c r="O147" t="s">
        <v>179</v>
      </c>
      <c r="P147">
        <v>6.2145946732413068E-3</v>
      </c>
      <c r="Q147" t="s">
        <v>169</v>
      </c>
      <c r="S147" t="s">
        <v>228</v>
      </c>
      <c r="T147" t="s">
        <v>179</v>
      </c>
      <c r="U147">
        <v>6.2145946732413068E-3</v>
      </c>
      <c r="V147" t="s">
        <v>169</v>
      </c>
      <c r="AK147">
        <v>2044</v>
      </c>
      <c r="AL147" t="s">
        <v>158</v>
      </c>
      <c r="AM147">
        <v>0.33274999999999999</v>
      </c>
      <c r="AN147" t="s">
        <v>239</v>
      </c>
    </row>
    <row r="148" spans="9:40" x14ac:dyDescent="0.45">
      <c r="I148" t="s">
        <v>213</v>
      </c>
      <c r="J148" t="s">
        <v>180</v>
      </c>
      <c r="K148">
        <v>3.294095123984308E-3</v>
      </c>
      <c r="L148" t="s">
        <v>169</v>
      </c>
      <c r="N148" t="s">
        <v>223</v>
      </c>
      <c r="O148" t="s">
        <v>180</v>
      </c>
      <c r="P148">
        <v>4.5485751116571591E-2</v>
      </c>
      <c r="Q148" t="s">
        <v>169</v>
      </c>
      <c r="S148" t="s">
        <v>228</v>
      </c>
      <c r="T148" t="s">
        <v>180</v>
      </c>
      <c r="U148">
        <v>4.5485751116571591E-2</v>
      </c>
      <c r="V148" t="s">
        <v>169</v>
      </c>
      <c r="AK148">
        <v>2044</v>
      </c>
      <c r="AL148" t="s">
        <v>161</v>
      </c>
      <c r="AM148">
        <v>0.39150000000000001</v>
      </c>
      <c r="AN148" t="s">
        <v>239</v>
      </c>
    </row>
    <row r="149" spans="9:40" x14ac:dyDescent="0.45">
      <c r="I149" t="s">
        <v>213</v>
      </c>
      <c r="J149" t="s">
        <v>181</v>
      </c>
      <c r="K149">
        <v>0</v>
      </c>
      <c r="L149" t="s">
        <v>169</v>
      </c>
      <c r="N149" t="s">
        <v>223</v>
      </c>
      <c r="O149" t="s">
        <v>181</v>
      </c>
      <c r="P149">
        <v>7.5307575932127297E-3</v>
      </c>
      <c r="Q149" t="s">
        <v>169</v>
      </c>
      <c r="S149" t="s">
        <v>228</v>
      </c>
      <c r="T149" t="s">
        <v>181</v>
      </c>
      <c r="U149">
        <v>7.5307575932127297E-3</v>
      </c>
      <c r="V149" t="s">
        <v>169</v>
      </c>
      <c r="AK149">
        <v>2044</v>
      </c>
      <c r="AL149" t="s">
        <v>163</v>
      </c>
      <c r="AM149">
        <v>0.42859999999999998</v>
      </c>
      <c r="AN149" t="s">
        <v>239</v>
      </c>
    </row>
    <row r="150" spans="9:40" x14ac:dyDescent="0.45">
      <c r="I150" t="s">
        <v>213</v>
      </c>
      <c r="J150" t="s">
        <v>182</v>
      </c>
      <c r="K150">
        <v>2.9447293049699366E-3</v>
      </c>
      <c r="L150" t="s">
        <v>169</v>
      </c>
      <c r="N150" t="s">
        <v>223</v>
      </c>
      <c r="O150" t="s">
        <v>182</v>
      </c>
      <c r="P150">
        <v>1.1534629401275583E-2</v>
      </c>
      <c r="Q150" t="s">
        <v>169</v>
      </c>
      <c r="S150" t="s">
        <v>228</v>
      </c>
      <c r="T150" t="s">
        <v>182</v>
      </c>
      <c r="U150">
        <v>1.1534629401275583E-2</v>
      </c>
      <c r="V150" t="s">
        <v>169</v>
      </c>
      <c r="AK150">
        <v>2044</v>
      </c>
      <c r="AL150" t="s">
        <v>165</v>
      </c>
      <c r="AM150">
        <v>0.43930000000000002</v>
      </c>
      <c r="AN150" t="s">
        <v>239</v>
      </c>
    </row>
    <row r="151" spans="9:40" x14ac:dyDescent="0.45">
      <c r="I151" t="s">
        <v>213</v>
      </c>
      <c r="J151" t="s">
        <v>183</v>
      </c>
      <c r="K151">
        <v>2.3379008338211917E-2</v>
      </c>
      <c r="L151" t="s">
        <v>169</v>
      </c>
      <c r="N151" t="s">
        <v>223</v>
      </c>
      <c r="O151" t="s">
        <v>183</v>
      </c>
      <c r="P151">
        <v>6.2976193147138487E-3</v>
      </c>
      <c r="Q151" t="s">
        <v>169</v>
      </c>
      <c r="S151" t="s">
        <v>228</v>
      </c>
      <c r="T151" t="s">
        <v>183</v>
      </c>
      <c r="U151">
        <v>6.2976193147138487E-3</v>
      </c>
      <c r="V151" t="s">
        <v>169</v>
      </c>
      <c r="AK151">
        <v>2045</v>
      </c>
      <c r="AL151" t="s">
        <v>150</v>
      </c>
      <c r="AM151">
        <v>0.42285</v>
      </c>
      <c r="AN151" t="s">
        <v>239</v>
      </c>
    </row>
    <row r="152" spans="9:40" x14ac:dyDescent="0.45">
      <c r="I152" t="s">
        <v>213</v>
      </c>
      <c r="J152" t="s">
        <v>184</v>
      </c>
      <c r="K152">
        <v>0.16927594253664213</v>
      </c>
      <c r="L152" t="s">
        <v>169</v>
      </c>
      <c r="N152" t="s">
        <v>223</v>
      </c>
      <c r="O152" t="s">
        <v>184</v>
      </c>
      <c r="P152">
        <v>4.025462763079718E-2</v>
      </c>
      <c r="Q152" t="s">
        <v>169</v>
      </c>
      <c r="S152" t="s">
        <v>228</v>
      </c>
      <c r="T152" t="s">
        <v>184</v>
      </c>
      <c r="U152">
        <v>4.025462763079718E-2</v>
      </c>
      <c r="V152" t="s">
        <v>169</v>
      </c>
      <c r="AK152">
        <v>2045</v>
      </c>
      <c r="AL152" t="s">
        <v>154</v>
      </c>
      <c r="AM152">
        <v>0.40139999999999998</v>
      </c>
      <c r="AN152" t="s">
        <v>239</v>
      </c>
    </row>
    <row r="153" spans="9:40" x14ac:dyDescent="0.45">
      <c r="I153" t="s">
        <v>213</v>
      </c>
      <c r="J153" t="s">
        <v>185</v>
      </c>
      <c r="K153">
        <v>1.1803335291734237E-2</v>
      </c>
      <c r="L153" t="s">
        <v>169</v>
      </c>
      <c r="N153" t="s">
        <v>223</v>
      </c>
      <c r="O153" t="s">
        <v>185</v>
      </c>
      <c r="P153">
        <v>5.0210090043417794E-3</v>
      </c>
      <c r="Q153" t="s">
        <v>169</v>
      </c>
      <c r="S153" t="s">
        <v>228</v>
      </c>
      <c r="T153" t="s">
        <v>185</v>
      </c>
      <c r="U153">
        <v>5.0210090043417794E-3</v>
      </c>
      <c r="V153" t="s">
        <v>169</v>
      </c>
      <c r="AK153">
        <v>2045</v>
      </c>
      <c r="AL153" t="s">
        <v>156</v>
      </c>
      <c r="AM153">
        <v>0.33325000000000005</v>
      </c>
      <c r="AN153" t="s">
        <v>239</v>
      </c>
    </row>
    <row r="154" spans="9:40" x14ac:dyDescent="0.45">
      <c r="I154" t="s">
        <v>213</v>
      </c>
      <c r="J154" t="s">
        <v>186</v>
      </c>
      <c r="K154">
        <v>9.4206298332659821E-3</v>
      </c>
      <c r="L154" t="s">
        <v>169</v>
      </c>
      <c r="N154" t="s">
        <v>223</v>
      </c>
      <c r="O154" t="s">
        <v>186</v>
      </c>
      <c r="P154">
        <v>1.6720364405220883E-2</v>
      </c>
      <c r="Q154" t="s">
        <v>169</v>
      </c>
      <c r="S154" t="s">
        <v>228</v>
      </c>
      <c r="T154" t="s">
        <v>186</v>
      </c>
      <c r="U154">
        <v>1.6720364405220883E-2</v>
      </c>
      <c r="V154" t="s">
        <v>169</v>
      </c>
      <c r="AK154">
        <v>2045</v>
      </c>
      <c r="AL154" t="s">
        <v>158</v>
      </c>
      <c r="AM154">
        <v>0.36229999999999996</v>
      </c>
      <c r="AN154" t="s">
        <v>239</v>
      </c>
    </row>
    <row r="155" spans="9:40" x14ac:dyDescent="0.45">
      <c r="I155" t="s">
        <v>213</v>
      </c>
      <c r="J155" t="s">
        <v>187</v>
      </c>
      <c r="K155">
        <v>0</v>
      </c>
      <c r="L155" t="s">
        <v>169</v>
      </c>
      <c r="N155" t="s">
        <v>223</v>
      </c>
      <c r="O155" t="s">
        <v>187</v>
      </c>
      <c r="P155">
        <v>3.656129882798407E-3</v>
      </c>
      <c r="Q155" t="s">
        <v>169</v>
      </c>
      <c r="S155" t="s">
        <v>228</v>
      </c>
      <c r="T155" t="s">
        <v>187</v>
      </c>
      <c r="U155">
        <v>3.656129882798407E-3</v>
      </c>
      <c r="V155" t="s">
        <v>169</v>
      </c>
      <c r="AK155">
        <v>2045</v>
      </c>
      <c r="AL155" t="s">
        <v>161</v>
      </c>
      <c r="AM155">
        <v>0.41959999999999997</v>
      </c>
      <c r="AN155" t="s">
        <v>239</v>
      </c>
    </row>
    <row r="156" spans="9:40" x14ac:dyDescent="0.45">
      <c r="I156" t="s">
        <v>213</v>
      </c>
      <c r="J156" t="s">
        <v>188</v>
      </c>
      <c r="K156">
        <v>1.288608008108896E-3</v>
      </c>
      <c r="L156" t="s">
        <v>169</v>
      </c>
      <c r="N156" t="s">
        <v>223</v>
      </c>
      <c r="O156" t="s">
        <v>188</v>
      </c>
      <c r="P156">
        <v>6.5585232007092853E-3</v>
      </c>
      <c r="Q156" t="s">
        <v>169</v>
      </c>
      <c r="S156" t="s">
        <v>228</v>
      </c>
      <c r="T156" t="s">
        <v>188</v>
      </c>
      <c r="U156">
        <v>6.5585232007092853E-3</v>
      </c>
      <c r="V156" t="s">
        <v>169</v>
      </c>
      <c r="AK156">
        <v>2045</v>
      </c>
      <c r="AL156" t="s">
        <v>163</v>
      </c>
      <c r="AM156">
        <v>0.45950000000000002</v>
      </c>
      <c r="AN156" t="s">
        <v>239</v>
      </c>
    </row>
    <row r="157" spans="9:40" x14ac:dyDescent="0.45">
      <c r="I157" t="s">
        <v>213</v>
      </c>
      <c r="J157" t="s">
        <v>189</v>
      </c>
      <c r="K157">
        <v>2.333320271880375E-2</v>
      </c>
      <c r="L157" t="s">
        <v>169</v>
      </c>
      <c r="N157" t="s">
        <v>223</v>
      </c>
      <c r="O157" t="s">
        <v>189</v>
      </c>
      <c r="P157">
        <v>3.3823564034107787E-3</v>
      </c>
      <c r="Q157" t="s">
        <v>169</v>
      </c>
      <c r="S157" t="s">
        <v>228</v>
      </c>
      <c r="T157" t="s">
        <v>189</v>
      </c>
      <c r="U157">
        <v>3.3823564034107787E-3</v>
      </c>
      <c r="V157" t="s">
        <v>169</v>
      </c>
      <c r="AK157">
        <v>2045</v>
      </c>
      <c r="AL157" t="s">
        <v>165</v>
      </c>
      <c r="AM157">
        <v>0.44285000000000002</v>
      </c>
      <c r="AN157" t="s">
        <v>239</v>
      </c>
    </row>
    <row r="158" spans="9:40" x14ac:dyDescent="0.45">
      <c r="I158" t="s">
        <v>213</v>
      </c>
      <c r="J158" t="s">
        <v>190</v>
      </c>
      <c r="K158">
        <v>0.17330642788294176</v>
      </c>
      <c r="L158" t="s">
        <v>169</v>
      </c>
      <c r="N158" t="s">
        <v>223</v>
      </c>
      <c r="O158" t="s">
        <v>190</v>
      </c>
      <c r="P158">
        <v>3.8077587521827369E-2</v>
      </c>
      <c r="Q158" t="s">
        <v>169</v>
      </c>
      <c r="S158" t="s">
        <v>228</v>
      </c>
      <c r="T158" t="s">
        <v>190</v>
      </c>
      <c r="U158">
        <v>3.8077587521827369E-2</v>
      </c>
      <c r="V158" t="s">
        <v>169</v>
      </c>
      <c r="AK158">
        <v>2046</v>
      </c>
      <c r="AL158" t="s">
        <v>150</v>
      </c>
      <c r="AM158">
        <v>0.44515000000000005</v>
      </c>
      <c r="AN158" t="s">
        <v>239</v>
      </c>
    </row>
    <row r="159" spans="9:40" x14ac:dyDescent="0.45">
      <c r="I159" t="s">
        <v>213</v>
      </c>
      <c r="J159" t="s">
        <v>191</v>
      </c>
      <c r="K159">
        <v>1.3281799232734615E-2</v>
      </c>
      <c r="L159" t="s">
        <v>169</v>
      </c>
      <c r="N159" t="s">
        <v>223</v>
      </c>
      <c r="O159" t="s">
        <v>191</v>
      </c>
      <c r="P159">
        <v>6.0932208072606792E-3</v>
      </c>
      <c r="Q159" t="s">
        <v>169</v>
      </c>
      <c r="S159" t="s">
        <v>228</v>
      </c>
      <c r="T159" t="s">
        <v>191</v>
      </c>
      <c r="U159">
        <v>6.0932208072606792E-3</v>
      </c>
      <c r="V159" t="s">
        <v>169</v>
      </c>
      <c r="AK159">
        <v>2046</v>
      </c>
      <c r="AL159" t="s">
        <v>154</v>
      </c>
      <c r="AM159">
        <v>0.34875</v>
      </c>
      <c r="AN159" t="s">
        <v>239</v>
      </c>
    </row>
    <row r="160" spans="9:40" x14ac:dyDescent="0.45">
      <c r="I160" t="s">
        <v>213</v>
      </c>
      <c r="J160" t="s">
        <v>192</v>
      </c>
      <c r="K160">
        <v>1.0373587767171356E-2</v>
      </c>
      <c r="L160" t="s">
        <v>169</v>
      </c>
      <c r="N160" t="s">
        <v>223</v>
      </c>
      <c r="O160" t="s">
        <v>192</v>
      </c>
      <c r="P160">
        <v>1.2633463773481646E-2</v>
      </c>
      <c r="Q160" t="s">
        <v>169</v>
      </c>
      <c r="S160" t="s">
        <v>228</v>
      </c>
      <c r="T160" t="s">
        <v>192</v>
      </c>
      <c r="U160">
        <v>1.2633463773481646E-2</v>
      </c>
      <c r="V160" t="s">
        <v>169</v>
      </c>
      <c r="AK160">
        <v>2046</v>
      </c>
      <c r="AL160" t="s">
        <v>156</v>
      </c>
      <c r="AM160">
        <v>0.32440000000000002</v>
      </c>
      <c r="AN160" t="s">
        <v>239</v>
      </c>
    </row>
    <row r="161" spans="9:40" x14ac:dyDescent="0.45">
      <c r="I161" t="s">
        <v>213</v>
      </c>
      <c r="J161" t="s">
        <v>193</v>
      </c>
      <c r="K161">
        <v>0</v>
      </c>
      <c r="L161" t="s">
        <v>169</v>
      </c>
      <c r="N161" t="s">
        <v>223</v>
      </c>
      <c r="O161" t="s">
        <v>193</v>
      </c>
      <c r="P161">
        <v>2.9551138930142477E-3</v>
      </c>
      <c r="Q161" t="s">
        <v>169</v>
      </c>
      <c r="S161" t="s">
        <v>228</v>
      </c>
      <c r="T161" t="s">
        <v>193</v>
      </c>
      <c r="U161">
        <v>2.9551138930142477E-3</v>
      </c>
      <c r="V161" t="s">
        <v>169</v>
      </c>
      <c r="AK161">
        <v>2046</v>
      </c>
      <c r="AL161" t="s">
        <v>158</v>
      </c>
      <c r="AM161">
        <v>0.31640000000000001</v>
      </c>
      <c r="AN161" t="s">
        <v>239</v>
      </c>
    </row>
    <row r="162" spans="9:40" x14ac:dyDescent="0.45">
      <c r="I162" t="s">
        <v>213</v>
      </c>
      <c r="J162" t="s">
        <v>194</v>
      </c>
      <c r="K162">
        <v>0</v>
      </c>
      <c r="L162" t="s">
        <v>169</v>
      </c>
      <c r="N162" t="s">
        <v>223</v>
      </c>
      <c r="O162" t="s">
        <v>194</v>
      </c>
      <c r="P162">
        <v>4.554091923592879E-3</v>
      </c>
      <c r="Q162" t="s">
        <v>169</v>
      </c>
      <c r="S162" t="s">
        <v>228</v>
      </c>
      <c r="T162" t="s">
        <v>194</v>
      </c>
      <c r="U162">
        <v>4.554091923592879E-3</v>
      </c>
      <c r="V162" t="s">
        <v>169</v>
      </c>
      <c r="AK162">
        <v>2046</v>
      </c>
      <c r="AL162" t="s">
        <v>161</v>
      </c>
      <c r="AM162">
        <v>0.36230000000000001</v>
      </c>
      <c r="AN162" t="s">
        <v>239</v>
      </c>
    </row>
    <row r="163" spans="9:40" x14ac:dyDescent="0.45">
      <c r="I163" t="s">
        <v>213</v>
      </c>
      <c r="J163" t="s">
        <v>195</v>
      </c>
      <c r="K163">
        <v>9.5750763189764859E-3</v>
      </c>
      <c r="L163" t="s">
        <v>169</v>
      </c>
      <c r="N163" t="s">
        <v>223</v>
      </c>
      <c r="O163" t="s">
        <v>195</v>
      </c>
      <c r="P163">
        <v>3.5392742989230185E-3</v>
      </c>
      <c r="Q163" t="s">
        <v>169</v>
      </c>
      <c r="S163" t="s">
        <v>228</v>
      </c>
      <c r="T163" t="s">
        <v>195</v>
      </c>
      <c r="U163">
        <v>3.5392742989230185E-3</v>
      </c>
      <c r="V163" t="s">
        <v>169</v>
      </c>
      <c r="AK163">
        <v>2046</v>
      </c>
      <c r="AL163" t="s">
        <v>163</v>
      </c>
      <c r="AM163">
        <v>0.45490000000000003</v>
      </c>
      <c r="AN163" t="s">
        <v>239</v>
      </c>
    </row>
    <row r="164" spans="9:40" x14ac:dyDescent="0.45">
      <c r="I164" t="s">
        <v>213</v>
      </c>
      <c r="J164" t="s">
        <v>196</v>
      </c>
      <c r="K164">
        <v>8.3829503250984108E-2</v>
      </c>
      <c r="L164" t="s">
        <v>169</v>
      </c>
      <c r="N164" t="s">
        <v>223</v>
      </c>
      <c r="O164" t="s">
        <v>196</v>
      </c>
      <c r="P164">
        <v>1.6646203565712184E-2</v>
      </c>
      <c r="Q164" t="s">
        <v>169</v>
      </c>
      <c r="S164" t="s">
        <v>228</v>
      </c>
      <c r="T164" t="s">
        <v>196</v>
      </c>
      <c r="U164">
        <v>1.6646203565712184E-2</v>
      </c>
      <c r="V164" t="s">
        <v>169</v>
      </c>
      <c r="AK164">
        <v>2046</v>
      </c>
      <c r="AL164" t="s">
        <v>165</v>
      </c>
      <c r="AM164">
        <v>0.42174999999999996</v>
      </c>
      <c r="AN164" t="s">
        <v>239</v>
      </c>
    </row>
    <row r="165" spans="9:40" x14ac:dyDescent="0.45">
      <c r="I165" t="s">
        <v>213</v>
      </c>
      <c r="J165" t="s">
        <v>197</v>
      </c>
      <c r="K165">
        <v>5.2488084544604239E-3</v>
      </c>
      <c r="L165" t="s">
        <v>169</v>
      </c>
      <c r="N165" t="s">
        <v>223</v>
      </c>
      <c r="O165" t="s">
        <v>197</v>
      </c>
      <c r="P165">
        <v>1.8676410274819498E-3</v>
      </c>
      <c r="Q165" t="s">
        <v>169</v>
      </c>
      <c r="S165" t="s">
        <v>228</v>
      </c>
      <c r="T165" t="s">
        <v>197</v>
      </c>
      <c r="U165">
        <v>1.8676410274819498E-3</v>
      </c>
      <c r="V165" t="s">
        <v>169</v>
      </c>
      <c r="AK165">
        <v>2047</v>
      </c>
      <c r="AL165" t="s">
        <v>150</v>
      </c>
      <c r="AM165">
        <v>0.43820000000000003</v>
      </c>
      <c r="AN165" t="s">
        <v>239</v>
      </c>
    </row>
    <row r="166" spans="9:40" x14ac:dyDescent="0.45">
      <c r="I166" t="s">
        <v>213</v>
      </c>
      <c r="J166" t="s">
        <v>198</v>
      </c>
      <c r="K166">
        <v>1.2491273385829501E-3</v>
      </c>
      <c r="L166" t="s">
        <v>169</v>
      </c>
      <c r="N166" t="s">
        <v>223</v>
      </c>
      <c r="O166" t="s">
        <v>198</v>
      </c>
      <c r="P166">
        <v>5.2191653595125469E-3</v>
      </c>
      <c r="Q166" t="s">
        <v>169</v>
      </c>
      <c r="S166" t="s">
        <v>228</v>
      </c>
      <c r="T166" t="s">
        <v>198</v>
      </c>
      <c r="U166">
        <v>5.2191653595125469E-3</v>
      </c>
      <c r="V166" t="s">
        <v>169</v>
      </c>
      <c r="AK166">
        <v>2047</v>
      </c>
      <c r="AL166" t="s">
        <v>154</v>
      </c>
      <c r="AM166">
        <v>0.36995</v>
      </c>
      <c r="AN166" t="s">
        <v>239</v>
      </c>
    </row>
    <row r="167" spans="9:40" x14ac:dyDescent="0.45">
      <c r="I167" t="s">
        <v>213</v>
      </c>
      <c r="J167" t="s">
        <v>199</v>
      </c>
      <c r="K167">
        <v>0</v>
      </c>
      <c r="L167" t="s">
        <v>169</v>
      </c>
      <c r="N167" t="s">
        <v>223</v>
      </c>
      <c r="O167" t="s">
        <v>199</v>
      </c>
      <c r="P167">
        <v>4.9325572330405684E-3</v>
      </c>
      <c r="Q167" t="s">
        <v>169</v>
      </c>
      <c r="S167" t="s">
        <v>228</v>
      </c>
      <c r="T167" t="s">
        <v>199</v>
      </c>
      <c r="U167">
        <v>4.9325572330405684E-3</v>
      </c>
      <c r="V167" t="s">
        <v>169</v>
      </c>
      <c r="AK167">
        <v>2047</v>
      </c>
      <c r="AL167" t="s">
        <v>156</v>
      </c>
      <c r="AM167">
        <v>0.31984999999999997</v>
      </c>
      <c r="AN167" t="s">
        <v>239</v>
      </c>
    </row>
    <row r="168" spans="9:40" x14ac:dyDescent="0.45">
      <c r="I168" t="s">
        <v>213</v>
      </c>
      <c r="J168" t="s">
        <v>200</v>
      </c>
      <c r="K168">
        <v>0</v>
      </c>
      <c r="L168" t="s">
        <v>169</v>
      </c>
      <c r="N168" t="s">
        <v>223</v>
      </c>
      <c r="O168" t="s">
        <v>200</v>
      </c>
      <c r="P168">
        <v>7.2762028259088958E-3</v>
      </c>
      <c r="Q168" t="s">
        <v>169</v>
      </c>
      <c r="S168" t="s">
        <v>228</v>
      </c>
      <c r="T168" t="s">
        <v>200</v>
      </c>
      <c r="U168">
        <v>7.2762028259088958E-3</v>
      </c>
      <c r="V168" t="s">
        <v>169</v>
      </c>
      <c r="AK168">
        <v>2047</v>
      </c>
      <c r="AL168" t="s">
        <v>158</v>
      </c>
      <c r="AM168">
        <v>0.3206</v>
      </c>
      <c r="AN168" t="s">
        <v>239</v>
      </c>
    </row>
    <row r="169" spans="9:40" x14ac:dyDescent="0.45">
      <c r="I169" t="s">
        <v>213</v>
      </c>
      <c r="J169" t="s">
        <v>201</v>
      </c>
      <c r="K169">
        <v>4.5721182725755073E-3</v>
      </c>
      <c r="L169" t="s">
        <v>169</v>
      </c>
      <c r="N169" t="s">
        <v>223</v>
      </c>
      <c r="O169" t="s">
        <v>201</v>
      </c>
      <c r="P169">
        <v>5.4710886579199145E-3</v>
      </c>
      <c r="Q169" t="s">
        <v>169</v>
      </c>
      <c r="S169" t="s">
        <v>228</v>
      </c>
      <c r="T169" t="s">
        <v>201</v>
      </c>
      <c r="U169">
        <v>5.4710886579199145E-3</v>
      </c>
      <c r="V169" t="s">
        <v>169</v>
      </c>
      <c r="AK169">
        <v>2047</v>
      </c>
      <c r="AL169" t="s">
        <v>161</v>
      </c>
      <c r="AM169">
        <v>0.38819999999999999</v>
      </c>
      <c r="AN169" t="s">
        <v>239</v>
      </c>
    </row>
    <row r="170" spans="9:40" x14ac:dyDescent="0.45">
      <c r="I170" t="s">
        <v>213</v>
      </c>
      <c r="J170" t="s">
        <v>202</v>
      </c>
      <c r="K170">
        <v>7.373379936309489E-2</v>
      </c>
      <c r="L170" t="s">
        <v>169</v>
      </c>
      <c r="N170" t="s">
        <v>223</v>
      </c>
      <c r="O170" t="s">
        <v>202</v>
      </c>
      <c r="P170">
        <v>1.8337721199109255E-2</v>
      </c>
      <c r="Q170" t="s">
        <v>169</v>
      </c>
      <c r="S170" t="s">
        <v>228</v>
      </c>
      <c r="T170" t="s">
        <v>202</v>
      </c>
      <c r="U170">
        <v>1.8337721199109255E-2</v>
      </c>
      <c r="V170" t="s">
        <v>169</v>
      </c>
      <c r="AK170">
        <v>2047</v>
      </c>
      <c r="AL170" t="s">
        <v>163</v>
      </c>
      <c r="AM170">
        <v>0.43169999999999997</v>
      </c>
      <c r="AN170" t="s">
        <v>239</v>
      </c>
    </row>
    <row r="171" spans="9:40" x14ac:dyDescent="0.45">
      <c r="I171" t="s">
        <v>213</v>
      </c>
      <c r="J171" t="s">
        <v>203</v>
      </c>
      <c r="K171">
        <v>2.5324218133821919E-3</v>
      </c>
      <c r="L171" t="s">
        <v>169</v>
      </c>
      <c r="N171" t="s">
        <v>223</v>
      </c>
      <c r="O171" t="s">
        <v>203</v>
      </c>
      <c r="P171">
        <v>1.5563244150716971E-3</v>
      </c>
      <c r="Q171" t="s">
        <v>169</v>
      </c>
      <c r="S171" t="s">
        <v>228</v>
      </c>
      <c r="T171" t="s">
        <v>203</v>
      </c>
      <c r="U171">
        <v>1.5563244150716971E-3</v>
      </c>
      <c r="V171" t="s">
        <v>169</v>
      </c>
      <c r="AK171">
        <v>2047</v>
      </c>
      <c r="AL171" t="s">
        <v>165</v>
      </c>
      <c r="AM171">
        <v>0.42605000000000004</v>
      </c>
      <c r="AN171" t="s">
        <v>239</v>
      </c>
    </row>
    <row r="172" spans="9:40" x14ac:dyDescent="0.45">
      <c r="I172" t="s">
        <v>213</v>
      </c>
      <c r="J172" t="s">
        <v>204</v>
      </c>
      <c r="K172">
        <v>0</v>
      </c>
      <c r="L172" t="s">
        <v>169</v>
      </c>
      <c r="N172" t="s">
        <v>223</v>
      </c>
      <c r="O172" t="s">
        <v>204</v>
      </c>
      <c r="P172">
        <v>7.9457381068551245E-3</v>
      </c>
      <c r="Q172" t="s">
        <v>169</v>
      </c>
      <c r="S172" t="s">
        <v>228</v>
      </c>
      <c r="T172" t="s">
        <v>204</v>
      </c>
      <c r="U172">
        <v>7.9457381068551245E-3</v>
      </c>
      <c r="V172" t="s">
        <v>169</v>
      </c>
      <c r="AK172">
        <v>2048</v>
      </c>
      <c r="AL172" t="s">
        <v>150</v>
      </c>
      <c r="AM172">
        <v>0.43930000000000002</v>
      </c>
      <c r="AN172" t="s">
        <v>239</v>
      </c>
    </row>
    <row r="173" spans="9:40" x14ac:dyDescent="0.45">
      <c r="I173" t="s">
        <v>213</v>
      </c>
      <c r="J173" t="s">
        <v>205</v>
      </c>
      <c r="K173">
        <v>0</v>
      </c>
      <c r="L173" t="s">
        <v>169</v>
      </c>
      <c r="N173" t="s">
        <v>223</v>
      </c>
      <c r="O173" t="s">
        <v>205</v>
      </c>
      <c r="P173">
        <v>3.5794233508952271E-2</v>
      </c>
      <c r="Q173" t="s">
        <v>169</v>
      </c>
      <c r="S173" t="s">
        <v>228</v>
      </c>
      <c r="T173" t="s">
        <v>205</v>
      </c>
      <c r="U173">
        <v>3.5794233508952271E-2</v>
      </c>
      <c r="V173" t="s">
        <v>169</v>
      </c>
      <c r="AK173">
        <v>2048</v>
      </c>
      <c r="AL173" t="s">
        <v>154</v>
      </c>
      <c r="AM173">
        <v>0.40934999999999999</v>
      </c>
      <c r="AN173" t="s">
        <v>239</v>
      </c>
    </row>
    <row r="174" spans="9:40" x14ac:dyDescent="0.45">
      <c r="I174" t="s">
        <v>213</v>
      </c>
      <c r="J174" t="s">
        <v>206</v>
      </c>
      <c r="K174">
        <v>0</v>
      </c>
      <c r="L174" t="s">
        <v>169</v>
      </c>
      <c r="N174" t="s">
        <v>223</v>
      </c>
      <c r="O174" t="s">
        <v>206</v>
      </c>
      <c r="P174">
        <v>3.5937436508487713E-2</v>
      </c>
      <c r="Q174" t="s">
        <v>169</v>
      </c>
      <c r="S174" t="s">
        <v>228</v>
      </c>
      <c r="T174" t="s">
        <v>206</v>
      </c>
      <c r="U174">
        <v>3.5937436508487713E-2</v>
      </c>
      <c r="V174" t="s">
        <v>169</v>
      </c>
      <c r="AK174">
        <v>2048</v>
      </c>
      <c r="AL174" t="s">
        <v>156</v>
      </c>
      <c r="AM174">
        <v>0.30559999999999998</v>
      </c>
      <c r="AN174" t="s">
        <v>239</v>
      </c>
    </row>
    <row r="175" spans="9:40" x14ac:dyDescent="0.45">
      <c r="I175" t="s">
        <v>213</v>
      </c>
      <c r="J175" t="s">
        <v>207</v>
      </c>
      <c r="K175">
        <v>2.3912585462285653E-3</v>
      </c>
      <c r="L175" t="s">
        <v>169</v>
      </c>
      <c r="N175" t="s">
        <v>223</v>
      </c>
      <c r="O175" t="s">
        <v>207</v>
      </c>
      <c r="P175">
        <v>2.3362082003436438E-2</v>
      </c>
      <c r="Q175" t="s">
        <v>169</v>
      </c>
      <c r="S175" t="s">
        <v>228</v>
      </c>
      <c r="T175" t="s">
        <v>207</v>
      </c>
      <c r="U175">
        <v>2.3362082003436438E-2</v>
      </c>
      <c r="V175" t="s">
        <v>169</v>
      </c>
      <c r="AK175">
        <v>2048</v>
      </c>
      <c r="AL175" t="s">
        <v>158</v>
      </c>
      <c r="AM175">
        <v>0.3342</v>
      </c>
      <c r="AN175" t="s">
        <v>239</v>
      </c>
    </row>
    <row r="176" spans="9:40" x14ac:dyDescent="0.45">
      <c r="I176" t="s">
        <v>213</v>
      </c>
      <c r="J176" t="s">
        <v>208</v>
      </c>
      <c r="K176">
        <v>0.10211177576245588</v>
      </c>
      <c r="L176" t="s">
        <v>169</v>
      </c>
      <c r="N176" t="s">
        <v>223</v>
      </c>
      <c r="O176" t="s">
        <v>208</v>
      </c>
      <c r="P176">
        <v>8.3006752046748677E-2</v>
      </c>
      <c r="Q176" t="s">
        <v>169</v>
      </c>
      <c r="S176" t="s">
        <v>228</v>
      </c>
      <c r="T176" t="s">
        <v>208</v>
      </c>
      <c r="U176">
        <v>8.3006752046748677E-2</v>
      </c>
      <c r="V176" t="s">
        <v>169</v>
      </c>
      <c r="AK176">
        <v>2048</v>
      </c>
      <c r="AL176" t="s">
        <v>161</v>
      </c>
      <c r="AM176">
        <v>0.38319999999999999</v>
      </c>
      <c r="AN176" t="s">
        <v>239</v>
      </c>
    </row>
    <row r="177" spans="9:40" x14ac:dyDescent="0.45">
      <c r="I177" t="s">
        <v>213</v>
      </c>
      <c r="J177" t="s">
        <v>209</v>
      </c>
      <c r="K177">
        <v>0</v>
      </c>
      <c r="L177" t="s">
        <v>169</v>
      </c>
      <c r="N177" t="s">
        <v>223</v>
      </c>
      <c r="O177" t="s">
        <v>209</v>
      </c>
      <c r="P177">
        <v>9.1865692444375469E-3</v>
      </c>
      <c r="Q177" t="s">
        <v>169</v>
      </c>
      <c r="S177" t="s">
        <v>228</v>
      </c>
      <c r="T177" t="s">
        <v>209</v>
      </c>
      <c r="U177">
        <v>9.1865692444375469E-3</v>
      </c>
      <c r="V177" t="s">
        <v>169</v>
      </c>
      <c r="AK177">
        <v>2048</v>
      </c>
      <c r="AL177" t="s">
        <v>163</v>
      </c>
      <c r="AM177">
        <v>0.39729999999999999</v>
      </c>
      <c r="AN177" t="s">
        <v>239</v>
      </c>
    </row>
    <row r="178" spans="9:40" x14ac:dyDescent="0.45">
      <c r="I178" t="s">
        <v>213</v>
      </c>
      <c r="J178" t="s">
        <v>210</v>
      </c>
      <c r="K178">
        <v>0</v>
      </c>
      <c r="L178" t="s">
        <v>169</v>
      </c>
      <c r="N178" t="s">
        <v>223</v>
      </c>
      <c r="O178" t="s">
        <v>210</v>
      </c>
      <c r="P178">
        <v>6.6897460266966968E-2</v>
      </c>
      <c r="Q178" t="s">
        <v>169</v>
      </c>
      <c r="S178" t="s">
        <v>228</v>
      </c>
      <c r="T178" t="s">
        <v>210</v>
      </c>
      <c r="U178">
        <v>6.6897460266966968E-2</v>
      </c>
      <c r="V178" t="s">
        <v>169</v>
      </c>
      <c r="AK178">
        <v>2048</v>
      </c>
      <c r="AL178" t="s">
        <v>165</v>
      </c>
      <c r="AM178">
        <v>0.43705000000000005</v>
      </c>
      <c r="AN178" t="s">
        <v>239</v>
      </c>
    </row>
    <row r="179" spans="9:40" x14ac:dyDescent="0.45">
      <c r="I179" t="s">
        <v>214</v>
      </c>
      <c r="J179" t="s">
        <v>168</v>
      </c>
      <c r="K179">
        <v>0</v>
      </c>
      <c r="L179" t="s">
        <v>169</v>
      </c>
      <c r="N179" t="s">
        <v>224</v>
      </c>
      <c r="O179" t="s">
        <v>168</v>
      </c>
      <c r="P179">
        <v>1.2326057770996999E-2</v>
      </c>
      <c r="Q179" t="s">
        <v>169</v>
      </c>
      <c r="S179" t="s">
        <v>229</v>
      </c>
      <c r="T179" t="s">
        <v>168</v>
      </c>
      <c r="U179">
        <v>1.2326057770996999E-2</v>
      </c>
      <c r="V179" t="s">
        <v>169</v>
      </c>
      <c r="AK179">
        <v>2049</v>
      </c>
      <c r="AL179" t="s">
        <v>150</v>
      </c>
      <c r="AM179">
        <v>0.43069999999999997</v>
      </c>
      <c r="AN179" t="s">
        <v>239</v>
      </c>
    </row>
    <row r="180" spans="9:40" x14ac:dyDescent="0.45">
      <c r="I180" t="s">
        <v>214</v>
      </c>
      <c r="J180" t="s">
        <v>170</v>
      </c>
      <c r="K180">
        <v>0</v>
      </c>
      <c r="L180" t="s">
        <v>169</v>
      </c>
      <c r="N180" t="s">
        <v>224</v>
      </c>
      <c r="O180" t="s">
        <v>170</v>
      </c>
      <c r="P180">
        <v>1.126625664943607E-2</v>
      </c>
      <c r="Q180" t="s">
        <v>169</v>
      </c>
      <c r="S180" t="s">
        <v>229</v>
      </c>
      <c r="T180" t="s">
        <v>170</v>
      </c>
      <c r="U180">
        <v>1.126625664943607E-2</v>
      </c>
      <c r="V180" t="s">
        <v>169</v>
      </c>
      <c r="AK180">
        <v>2049</v>
      </c>
      <c r="AL180" t="s">
        <v>154</v>
      </c>
      <c r="AM180">
        <v>0.36270000000000002</v>
      </c>
      <c r="AN180" t="s">
        <v>239</v>
      </c>
    </row>
    <row r="181" spans="9:40" x14ac:dyDescent="0.45">
      <c r="I181" t="s">
        <v>214</v>
      </c>
      <c r="J181" t="s">
        <v>171</v>
      </c>
      <c r="K181">
        <v>1.978243260460109E-3</v>
      </c>
      <c r="L181" t="s">
        <v>169</v>
      </c>
      <c r="N181" t="s">
        <v>224</v>
      </c>
      <c r="O181" t="s">
        <v>171</v>
      </c>
      <c r="P181">
        <v>9.3225159077331213E-3</v>
      </c>
      <c r="Q181" t="s">
        <v>169</v>
      </c>
      <c r="S181" t="s">
        <v>229</v>
      </c>
      <c r="T181" t="s">
        <v>171</v>
      </c>
      <c r="U181">
        <v>9.3225159077331213E-3</v>
      </c>
      <c r="V181" t="s">
        <v>169</v>
      </c>
      <c r="AK181">
        <v>2049</v>
      </c>
      <c r="AL181" t="s">
        <v>156</v>
      </c>
      <c r="AM181">
        <v>0.30125000000000002</v>
      </c>
      <c r="AN181" t="s">
        <v>239</v>
      </c>
    </row>
    <row r="182" spans="9:40" x14ac:dyDescent="0.45">
      <c r="I182" t="s">
        <v>214</v>
      </c>
      <c r="J182" t="s">
        <v>172</v>
      </c>
      <c r="K182">
        <v>0.10403309027022904</v>
      </c>
      <c r="L182" t="s">
        <v>169</v>
      </c>
      <c r="N182" t="s">
        <v>224</v>
      </c>
      <c r="O182" t="s">
        <v>172</v>
      </c>
      <c r="P182">
        <v>5.0144889960190203E-2</v>
      </c>
      <c r="Q182" t="s">
        <v>169</v>
      </c>
      <c r="S182" t="s">
        <v>229</v>
      </c>
      <c r="T182" t="s">
        <v>172</v>
      </c>
      <c r="U182">
        <v>5.0144889960190203E-2</v>
      </c>
      <c r="V182" t="s">
        <v>169</v>
      </c>
      <c r="AK182">
        <v>2049</v>
      </c>
      <c r="AL182" t="s">
        <v>158</v>
      </c>
      <c r="AM182">
        <v>0.34165000000000001</v>
      </c>
      <c r="AN182" t="s">
        <v>239</v>
      </c>
    </row>
    <row r="183" spans="9:40" x14ac:dyDescent="0.45">
      <c r="I183" t="s">
        <v>214</v>
      </c>
      <c r="J183" t="s">
        <v>173</v>
      </c>
      <c r="K183">
        <v>2.7396992237785152E-3</v>
      </c>
      <c r="L183" t="s">
        <v>169</v>
      </c>
      <c r="N183" t="s">
        <v>224</v>
      </c>
      <c r="O183" t="s">
        <v>173</v>
      </c>
      <c r="P183">
        <v>6.7452343603178139E-3</v>
      </c>
      <c r="Q183" t="s">
        <v>169</v>
      </c>
      <c r="S183" t="s">
        <v>229</v>
      </c>
      <c r="T183" t="s">
        <v>173</v>
      </c>
      <c r="U183">
        <v>6.7452343603178139E-3</v>
      </c>
      <c r="V183" t="s">
        <v>169</v>
      </c>
      <c r="AK183">
        <v>2049</v>
      </c>
      <c r="AL183" t="s">
        <v>161</v>
      </c>
      <c r="AM183">
        <v>0.40079999999999999</v>
      </c>
      <c r="AN183" t="s">
        <v>239</v>
      </c>
    </row>
    <row r="184" spans="9:40" x14ac:dyDescent="0.45">
      <c r="I184" t="s">
        <v>214</v>
      </c>
      <c r="J184" t="s">
        <v>174</v>
      </c>
      <c r="K184">
        <v>0</v>
      </c>
      <c r="L184" t="s">
        <v>169</v>
      </c>
      <c r="N184" t="s">
        <v>224</v>
      </c>
      <c r="O184" t="s">
        <v>174</v>
      </c>
      <c r="P184">
        <v>3.1238826231590622E-2</v>
      </c>
      <c r="Q184" t="s">
        <v>169</v>
      </c>
      <c r="S184" t="s">
        <v>229</v>
      </c>
      <c r="T184" t="s">
        <v>174</v>
      </c>
      <c r="U184">
        <v>3.1238826231590622E-2</v>
      </c>
      <c r="V184" t="s">
        <v>169</v>
      </c>
      <c r="AK184">
        <v>2049</v>
      </c>
      <c r="AL184" t="s">
        <v>163</v>
      </c>
      <c r="AM184">
        <v>0.41899999999999998</v>
      </c>
      <c r="AN184" t="s">
        <v>239</v>
      </c>
    </row>
    <row r="185" spans="9:40" x14ac:dyDescent="0.45">
      <c r="I185" t="s">
        <v>214</v>
      </c>
      <c r="J185" t="s">
        <v>175</v>
      </c>
      <c r="K185">
        <v>0</v>
      </c>
      <c r="L185" t="s">
        <v>169</v>
      </c>
      <c r="N185" t="s">
        <v>224</v>
      </c>
      <c r="O185" t="s">
        <v>175</v>
      </c>
      <c r="P185">
        <v>2.896619298847998E-2</v>
      </c>
      <c r="Q185" t="s">
        <v>169</v>
      </c>
      <c r="S185" t="s">
        <v>229</v>
      </c>
      <c r="T185" t="s">
        <v>175</v>
      </c>
      <c r="U185">
        <v>2.896619298847998E-2</v>
      </c>
      <c r="V185" t="s">
        <v>169</v>
      </c>
      <c r="AK185">
        <v>2049</v>
      </c>
      <c r="AL185" t="s">
        <v>165</v>
      </c>
      <c r="AM185">
        <v>0.44724999999999998</v>
      </c>
      <c r="AN185" t="s">
        <v>239</v>
      </c>
    </row>
    <row r="186" spans="9:40" x14ac:dyDescent="0.45">
      <c r="I186" t="s">
        <v>214</v>
      </c>
      <c r="J186" t="s">
        <v>176</v>
      </c>
      <c r="K186">
        <v>0</v>
      </c>
      <c r="L186" t="s">
        <v>169</v>
      </c>
      <c r="N186" t="s">
        <v>224</v>
      </c>
      <c r="O186" t="s">
        <v>176</v>
      </c>
      <c r="P186">
        <v>2.6936504810045257E-2</v>
      </c>
      <c r="Q186" t="s">
        <v>169</v>
      </c>
      <c r="S186" t="s">
        <v>229</v>
      </c>
      <c r="T186" t="s">
        <v>176</v>
      </c>
      <c r="U186">
        <v>2.6936504810045257E-2</v>
      </c>
      <c r="V186" t="s">
        <v>169</v>
      </c>
      <c r="AK186">
        <v>2050</v>
      </c>
      <c r="AL186" t="s">
        <v>150</v>
      </c>
      <c r="AM186">
        <v>0.47550000000000003</v>
      </c>
      <c r="AN186" t="s">
        <v>239</v>
      </c>
    </row>
    <row r="187" spans="9:40" x14ac:dyDescent="0.45">
      <c r="I187" t="s">
        <v>214</v>
      </c>
      <c r="J187" t="s">
        <v>177</v>
      </c>
      <c r="K187">
        <v>1.2290628867940422E-2</v>
      </c>
      <c r="L187" t="s">
        <v>169</v>
      </c>
      <c r="N187" t="s">
        <v>224</v>
      </c>
      <c r="O187" t="s">
        <v>177</v>
      </c>
      <c r="P187">
        <v>1.5312403374340925E-2</v>
      </c>
      <c r="Q187" t="s">
        <v>169</v>
      </c>
      <c r="S187" t="s">
        <v>229</v>
      </c>
      <c r="T187" t="s">
        <v>177</v>
      </c>
      <c r="U187">
        <v>1.5312403374340925E-2</v>
      </c>
      <c r="V187" t="s">
        <v>169</v>
      </c>
      <c r="AK187">
        <v>2050</v>
      </c>
      <c r="AL187" t="s">
        <v>154</v>
      </c>
      <c r="AM187">
        <v>0.44914999999999999</v>
      </c>
      <c r="AN187" t="s">
        <v>239</v>
      </c>
    </row>
    <row r="188" spans="9:40" x14ac:dyDescent="0.45">
      <c r="I188" t="s">
        <v>214</v>
      </c>
      <c r="J188" t="s">
        <v>178</v>
      </c>
      <c r="K188">
        <v>0.14093150529268217</v>
      </c>
      <c r="L188" t="s">
        <v>169</v>
      </c>
      <c r="N188" t="s">
        <v>224</v>
      </c>
      <c r="O188" t="s">
        <v>178</v>
      </c>
      <c r="P188">
        <v>8.0736447827607638E-2</v>
      </c>
      <c r="Q188" t="s">
        <v>169</v>
      </c>
      <c r="S188" t="s">
        <v>229</v>
      </c>
      <c r="T188" t="s">
        <v>178</v>
      </c>
      <c r="U188">
        <v>8.0736447827607638E-2</v>
      </c>
      <c r="V188" t="s">
        <v>169</v>
      </c>
      <c r="AK188">
        <v>2050</v>
      </c>
      <c r="AL188" t="s">
        <v>156</v>
      </c>
      <c r="AM188">
        <v>0.35904999999999998</v>
      </c>
      <c r="AN188" t="s">
        <v>239</v>
      </c>
    </row>
    <row r="189" spans="9:40" x14ac:dyDescent="0.45">
      <c r="I189" t="s">
        <v>214</v>
      </c>
      <c r="J189" t="s">
        <v>179</v>
      </c>
      <c r="K189">
        <v>7.6174514546542569E-3</v>
      </c>
      <c r="L189" t="s">
        <v>169</v>
      </c>
      <c r="N189" t="s">
        <v>224</v>
      </c>
      <c r="O189" t="s">
        <v>179</v>
      </c>
      <c r="P189">
        <v>1.1571324025122367E-2</v>
      </c>
      <c r="Q189" t="s">
        <v>169</v>
      </c>
      <c r="S189" t="s">
        <v>229</v>
      </c>
      <c r="T189" t="s">
        <v>179</v>
      </c>
      <c r="U189">
        <v>1.1571324025122367E-2</v>
      </c>
      <c r="V189" t="s">
        <v>169</v>
      </c>
      <c r="AK189">
        <v>2050</v>
      </c>
      <c r="AL189" t="s">
        <v>158</v>
      </c>
      <c r="AM189">
        <v>0.38869999999999999</v>
      </c>
      <c r="AN189" t="s">
        <v>239</v>
      </c>
    </row>
    <row r="190" spans="9:40" x14ac:dyDescent="0.45">
      <c r="I190" t="s">
        <v>214</v>
      </c>
      <c r="J190" t="s">
        <v>180</v>
      </c>
      <c r="K190">
        <v>2.9840910908840905E-3</v>
      </c>
      <c r="L190" t="s">
        <v>169</v>
      </c>
      <c r="N190" t="s">
        <v>224</v>
      </c>
      <c r="O190" t="s">
        <v>180</v>
      </c>
      <c r="P190">
        <v>7.1131197966700269E-2</v>
      </c>
      <c r="Q190" t="s">
        <v>169</v>
      </c>
      <c r="S190" t="s">
        <v>229</v>
      </c>
      <c r="T190" t="s">
        <v>180</v>
      </c>
      <c r="U190">
        <v>7.1131197966700269E-2</v>
      </c>
      <c r="V190" t="s">
        <v>169</v>
      </c>
      <c r="AK190">
        <v>2050</v>
      </c>
      <c r="AL190" t="s">
        <v>161</v>
      </c>
      <c r="AM190">
        <v>0.47020000000000001</v>
      </c>
      <c r="AN190" t="s">
        <v>239</v>
      </c>
    </row>
    <row r="191" spans="9:40" x14ac:dyDescent="0.45">
      <c r="I191" t="s">
        <v>214</v>
      </c>
      <c r="J191" t="s">
        <v>181</v>
      </c>
      <c r="K191">
        <v>0</v>
      </c>
      <c r="L191" t="s">
        <v>169</v>
      </c>
      <c r="N191" t="s">
        <v>224</v>
      </c>
      <c r="O191" t="s">
        <v>181</v>
      </c>
      <c r="P191">
        <v>1.6044441608846174E-2</v>
      </c>
      <c r="Q191" t="s">
        <v>169</v>
      </c>
      <c r="S191" t="s">
        <v>229</v>
      </c>
      <c r="T191" t="s">
        <v>181</v>
      </c>
      <c r="U191">
        <v>1.6044441608846174E-2</v>
      </c>
      <c r="V191" t="s">
        <v>169</v>
      </c>
      <c r="AK191">
        <v>2050</v>
      </c>
      <c r="AL191" t="s">
        <v>163</v>
      </c>
      <c r="AM191">
        <v>0.4622</v>
      </c>
      <c r="AN191" t="s">
        <v>239</v>
      </c>
    </row>
    <row r="192" spans="9:40" x14ac:dyDescent="0.45">
      <c r="I192" t="s">
        <v>214</v>
      </c>
      <c r="J192" t="s">
        <v>182</v>
      </c>
      <c r="K192">
        <v>3.2944325422356747E-3</v>
      </c>
      <c r="L192" t="s">
        <v>169</v>
      </c>
      <c r="N192" t="s">
        <v>224</v>
      </c>
      <c r="O192" t="s">
        <v>182</v>
      </c>
      <c r="P192">
        <v>1.0546451554350579E-2</v>
      </c>
      <c r="Q192" t="s">
        <v>169</v>
      </c>
      <c r="S192" t="s">
        <v>229</v>
      </c>
      <c r="T192" t="s">
        <v>182</v>
      </c>
      <c r="U192">
        <v>1.0546451554350579E-2</v>
      </c>
      <c r="V192" t="s">
        <v>169</v>
      </c>
      <c r="AK192">
        <v>2050</v>
      </c>
      <c r="AL192" t="s">
        <v>165</v>
      </c>
      <c r="AM192">
        <v>0.50900000000000001</v>
      </c>
      <c r="AN192" t="s">
        <v>239</v>
      </c>
    </row>
    <row r="193" spans="9:22" x14ac:dyDescent="0.45">
      <c r="I193" t="s">
        <v>214</v>
      </c>
      <c r="J193" t="s">
        <v>183</v>
      </c>
      <c r="K193">
        <v>2.3376986547800221E-2</v>
      </c>
      <c r="L193" t="s">
        <v>169</v>
      </c>
      <c r="N193" t="s">
        <v>224</v>
      </c>
      <c r="O193" t="s">
        <v>183</v>
      </c>
      <c r="P193">
        <v>5.461729178786596E-3</v>
      </c>
      <c r="Q193" t="s">
        <v>169</v>
      </c>
      <c r="S193" t="s">
        <v>229</v>
      </c>
      <c r="T193" t="s">
        <v>183</v>
      </c>
      <c r="U193">
        <v>5.461729178786596E-3</v>
      </c>
      <c r="V193" t="s">
        <v>169</v>
      </c>
    </row>
    <row r="194" spans="9:22" x14ac:dyDescent="0.45">
      <c r="I194" t="s">
        <v>214</v>
      </c>
      <c r="J194" t="s">
        <v>184</v>
      </c>
      <c r="K194">
        <v>0.17074677908375679</v>
      </c>
      <c r="L194" t="s">
        <v>169</v>
      </c>
      <c r="N194" t="s">
        <v>224</v>
      </c>
      <c r="O194" t="s">
        <v>184</v>
      </c>
      <c r="P194">
        <v>6.9540351640515127E-2</v>
      </c>
      <c r="Q194" t="s">
        <v>169</v>
      </c>
      <c r="S194" t="s">
        <v>229</v>
      </c>
      <c r="T194" t="s">
        <v>184</v>
      </c>
      <c r="U194">
        <v>6.9540351640515127E-2</v>
      </c>
      <c r="V194" t="s">
        <v>169</v>
      </c>
    </row>
    <row r="195" spans="9:22" x14ac:dyDescent="0.45">
      <c r="I195" t="s">
        <v>214</v>
      </c>
      <c r="J195" t="s">
        <v>185</v>
      </c>
      <c r="K195">
        <v>1.1637036431280253E-2</v>
      </c>
      <c r="L195" t="s">
        <v>169</v>
      </c>
      <c r="N195" t="s">
        <v>224</v>
      </c>
      <c r="O195" t="s">
        <v>185</v>
      </c>
      <c r="P195">
        <v>1.2388609985766382E-2</v>
      </c>
      <c r="Q195" t="s">
        <v>169</v>
      </c>
      <c r="S195" t="s">
        <v>229</v>
      </c>
      <c r="T195" t="s">
        <v>185</v>
      </c>
      <c r="U195">
        <v>1.2388609985766382E-2</v>
      </c>
      <c r="V195" t="s">
        <v>169</v>
      </c>
    </row>
    <row r="196" spans="9:22" x14ac:dyDescent="0.45">
      <c r="I196" t="s">
        <v>214</v>
      </c>
      <c r="J196" t="s">
        <v>186</v>
      </c>
      <c r="K196">
        <v>8.2304749919628571E-3</v>
      </c>
      <c r="L196" t="s">
        <v>169</v>
      </c>
      <c r="N196" t="s">
        <v>224</v>
      </c>
      <c r="O196" t="s">
        <v>186</v>
      </c>
      <c r="P196">
        <v>6.9571924562156745E-2</v>
      </c>
      <c r="Q196" t="s">
        <v>169</v>
      </c>
      <c r="S196" t="s">
        <v>229</v>
      </c>
      <c r="T196" t="s">
        <v>186</v>
      </c>
      <c r="U196">
        <v>6.9571924562156745E-2</v>
      </c>
      <c r="V196" t="s">
        <v>169</v>
      </c>
    </row>
    <row r="197" spans="9:22" x14ac:dyDescent="0.45">
      <c r="I197" t="s">
        <v>214</v>
      </c>
      <c r="J197" t="s">
        <v>187</v>
      </c>
      <c r="K197">
        <v>0</v>
      </c>
      <c r="L197" t="s">
        <v>169</v>
      </c>
      <c r="N197" t="s">
        <v>224</v>
      </c>
      <c r="O197" t="s">
        <v>187</v>
      </c>
      <c r="P197">
        <v>1.083540891694755E-2</v>
      </c>
      <c r="Q197" t="s">
        <v>169</v>
      </c>
      <c r="S197" t="s">
        <v>229</v>
      </c>
      <c r="T197" t="s">
        <v>187</v>
      </c>
      <c r="U197">
        <v>1.083540891694755E-2</v>
      </c>
      <c r="V197" t="s">
        <v>169</v>
      </c>
    </row>
    <row r="198" spans="9:22" x14ac:dyDescent="0.45">
      <c r="I198" t="s">
        <v>214</v>
      </c>
      <c r="J198" t="s">
        <v>188</v>
      </c>
      <c r="K198">
        <v>1.50612394260457E-3</v>
      </c>
      <c r="L198" t="s">
        <v>169</v>
      </c>
      <c r="N198" t="s">
        <v>224</v>
      </c>
      <c r="O198" t="s">
        <v>188</v>
      </c>
      <c r="P198">
        <v>5.8511660615489531E-3</v>
      </c>
      <c r="Q198" t="s">
        <v>169</v>
      </c>
      <c r="S198" t="s">
        <v>229</v>
      </c>
      <c r="T198" t="s">
        <v>188</v>
      </c>
      <c r="U198">
        <v>5.8511660615489531E-3</v>
      </c>
      <c r="V198" t="s">
        <v>169</v>
      </c>
    </row>
    <row r="199" spans="9:22" x14ac:dyDescent="0.45">
      <c r="I199" t="s">
        <v>214</v>
      </c>
      <c r="J199" t="s">
        <v>189</v>
      </c>
      <c r="K199">
        <v>2.3197058407556037E-2</v>
      </c>
      <c r="L199" t="s">
        <v>169</v>
      </c>
      <c r="N199" t="s">
        <v>224</v>
      </c>
      <c r="O199" t="s">
        <v>189</v>
      </c>
      <c r="P199">
        <v>4.7130732884597595E-3</v>
      </c>
      <c r="Q199" t="s">
        <v>169</v>
      </c>
      <c r="S199" t="s">
        <v>229</v>
      </c>
      <c r="T199" t="s">
        <v>189</v>
      </c>
      <c r="U199">
        <v>4.7130732884597595E-3</v>
      </c>
      <c r="V199" t="s">
        <v>169</v>
      </c>
    </row>
    <row r="200" spans="9:22" x14ac:dyDescent="0.45">
      <c r="I200" t="s">
        <v>214</v>
      </c>
      <c r="J200" t="s">
        <v>190</v>
      </c>
      <c r="K200">
        <v>0.17651626205885085</v>
      </c>
      <c r="L200" t="s">
        <v>169</v>
      </c>
      <c r="N200" t="s">
        <v>224</v>
      </c>
      <c r="O200" t="s">
        <v>190</v>
      </c>
      <c r="P200">
        <v>6.9019268590131619E-2</v>
      </c>
      <c r="Q200" t="s">
        <v>169</v>
      </c>
      <c r="S200" t="s">
        <v>229</v>
      </c>
      <c r="T200" t="s">
        <v>190</v>
      </c>
      <c r="U200">
        <v>6.9019268590131619E-2</v>
      </c>
      <c r="V200" t="s">
        <v>169</v>
      </c>
    </row>
    <row r="201" spans="9:22" x14ac:dyDescent="0.45">
      <c r="I201" t="s">
        <v>214</v>
      </c>
      <c r="J201" t="s">
        <v>191</v>
      </c>
      <c r="K201">
        <v>1.3412589221015103E-2</v>
      </c>
      <c r="L201" t="s">
        <v>169</v>
      </c>
      <c r="N201" t="s">
        <v>224</v>
      </c>
      <c r="O201" t="s">
        <v>191</v>
      </c>
      <c r="P201">
        <v>1.5548384845117261E-2</v>
      </c>
      <c r="Q201" t="s">
        <v>169</v>
      </c>
      <c r="S201" t="s">
        <v>229</v>
      </c>
      <c r="T201" t="s">
        <v>191</v>
      </c>
      <c r="U201">
        <v>1.5548384845117261E-2</v>
      </c>
      <c r="V201" t="s">
        <v>169</v>
      </c>
    </row>
    <row r="202" spans="9:22" x14ac:dyDescent="0.45">
      <c r="I202" t="s">
        <v>214</v>
      </c>
      <c r="J202" t="s">
        <v>192</v>
      </c>
      <c r="K202">
        <v>9.2941298734855234E-3</v>
      </c>
      <c r="L202" t="s">
        <v>169</v>
      </c>
      <c r="N202" t="s">
        <v>224</v>
      </c>
      <c r="O202" t="s">
        <v>192</v>
      </c>
      <c r="P202">
        <v>7.4373651641868682E-2</v>
      </c>
      <c r="Q202" t="s">
        <v>169</v>
      </c>
      <c r="S202" t="s">
        <v>229</v>
      </c>
      <c r="T202" t="s">
        <v>192</v>
      </c>
      <c r="U202">
        <v>7.4373651641868682E-2</v>
      </c>
      <c r="V202" t="s">
        <v>169</v>
      </c>
    </row>
    <row r="203" spans="9:22" x14ac:dyDescent="0.45">
      <c r="I203" t="s">
        <v>214</v>
      </c>
      <c r="J203" t="s">
        <v>193</v>
      </c>
      <c r="K203">
        <v>0</v>
      </c>
      <c r="L203" t="s">
        <v>169</v>
      </c>
      <c r="N203" t="s">
        <v>224</v>
      </c>
      <c r="O203" t="s">
        <v>193</v>
      </c>
      <c r="P203">
        <v>7.5003098312514871E-3</v>
      </c>
      <c r="Q203" t="s">
        <v>169</v>
      </c>
      <c r="S203" t="s">
        <v>229</v>
      </c>
      <c r="T203" t="s">
        <v>193</v>
      </c>
      <c r="U203">
        <v>7.5003098312514871E-3</v>
      </c>
      <c r="V203" t="s">
        <v>169</v>
      </c>
    </row>
    <row r="204" spans="9:22" x14ac:dyDescent="0.45">
      <c r="I204" t="s">
        <v>214</v>
      </c>
      <c r="J204" t="s">
        <v>194</v>
      </c>
      <c r="K204">
        <v>0</v>
      </c>
      <c r="L204" t="s">
        <v>169</v>
      </c>
      <c r="N204" t="s">
        <v>224</v>
      </c>
      <c r="O204" t="s">
        <v>194</v>
      </c>
      <c r="P204">
        <v>4.203503158138275E-3</v>
      </c>
      <c r="Q204" t="s">
        <v>169</v>
      </c>
      <c r="S204" t="s">
        <v>229</v>
      </c>
      <c r="T204" t="s">
        <v>194</v>
      </c>
      <c r="U204">
        <v>4.203503158138275E-3</v>
      </c>
      <c r="V204" t="s">
        <v>169</v>
      </c>
    </row>
    <row r="205" spans="9:22" x14ac:dyDescent="0.45">
      <c r="I205" t="s">
        <v>214</v>
      </c>
      <c r="J205" t="s">
        <v>195</v>
      </c>
      <c r="K205">
        <v>9.8489954719766116E-3</v>
      </c>
      <c r="L205" t="s">
        <v>169</v>
      </c>
      <c r="N205" t="s">
        <v>224</v>
      </c>
      <c r="O205" t="s">
        <v>195</v>
      </c>
      <c r="P205">
        <v>1.5894501702088265E-3</v>
      </c>
      <c r="Q205" t="s">
        <v>169</v>
      </c>
      <c r="S205" t="s">
        <v>229</v>
      </c>
      <c r="T205" t="s">
        <v>195</v>
      </c>
      <c r="U205">
        <v>1.5894501702088265E-3</v>
      </c>
      <c r="V205" t="s">
        <v>169</v>
      </c>
    </row>
    <row r="206" spans="9:22" x14ac:dyDescent="0.45">
      <c r="I206" t="s">
        <v>214</v>
      </c>
      <c r="J206" t="s">
        <v>196</v>
      </c>
      <c r="K206">
        <v>8.3240262209530944E-2</v>
      </c>
      <c r="L206" t="s">
        <v>169</v>
      </c>
      <c r="N206" t="s">
        <v>224</v>
      </c>
      <c r="O206" t="s">
        <v>196</v>
      </c>
      <c r="P206">
        <v>2.2393958107806148E-2</v>
      </c>
      <c r="Q206" t="s">
        <v>169</v>
      </c>
      <c r="S206" t="s">
        <v>229</v>
      </c>
      <c r="T206" t="s">
        <v>196</v>
      </c>
      <c r="U206">
        <v>2.2393958107806148E-2</v>
      </c>
      <c r="V206" t="s">
        <v>169</v>
      </c>
    </row>
    <row r="207" spans="9:22" x14ac:dyDescent="0.45">
      <c r="I207" t="s">
        <v>214</v>
      </c>
      <c r="J207" t="s">
        <v>197</v>
      </c>
      <c r="K207">
        <v>4.9848985862143303E-3</v>
      </c>
      <c r="L207" t="s">
        <v>169</v>
      </c>
      <c r="N207" t="s">
        <v>224</v>
      </c>
      <c r="O207" t="s">
        <v>197</v>
      </c>
      <c r="P207">
        <v>5.8211232310041335E-3</v>
      </c>
      <c r="Q207" t="s">
        <v>169</v>
      </c>
      <c r="S207" t="s">
        <v>229</v>
      </c>
      <c r="T207" t="s">
        <v>197</v>
      </c>
      <c r="U207">
        <v>5.8211232310041335E-3</v>
      </c>
      <c r="V207" t="s">
        <v>169</v>
      </c>
    </row>
    <row r="208" spans="9:22" x14ac:dyDescent="0.45">
      <c r="I208" t="s">
        <v>214</v>
      </c>
      <c r="J208" t="s">
        <v>198</v>
      </c>
      <c r="K208">
        <v>8.8572862207993337E-4</v>
      </c>
      <c r="L208" t="s">
        <v>169</v>
      </c>
      <c r="N208" t="s">
        <v>224</v>
      </c>
      <c r="O208" t="s">
        <v>198</v>
      </c>
      <c r="P208">
        <v>3.1270948705928725E-2</v>
      </c>
      <c r="Q208" t="s">
        <v>169</v>
      </c>
      <c r="S208" t="s">
        <v>229</v>
      </c>
      <c r="T208" t="s">
        <v>198</v>
      </c>
      <c r="U208">
        <v>3.1270948705928725E-2</v>
      </c>
      <c r="V208" t="s">
        <v>169</v>
      </c>
    </row>
    <row r="209" spans="9:22" x14ac:dyDescent="0.45">
      <c r="I209" t="s">
        <v>214</v>
      </c>
      <c r="J209" t="s">
        <v>199</v>
      </c>
      <c r="K209">
        <v>0</v>
      </c>
      <c r="L209" t="s">
        <v>169</v>
      </c>
      <c r="N209" t="s">
        <v>224</v>
      </c>
      <c r="O209" t="s">
        <v>199</v>
      </c>
      <c r="P209">
        <v>6.7012218909630467E-3</v>
      </c>
      <c r="Q209" t="s">
        <v>169</v>
      </c>
      <c r="S209" t="s">
        <v>229</v>
      </c>
      <c r="T209" t="s">
        <v>199</v>
      </c>
      <c r="U209">
        <v>6.7012218909630467E-3</v>
      </c>
      <c r="V209" t="s">
        <v>169</v>
      </c>
    </row>
    <row r="210" spans="9:22" x14ac:dyDescent="0.45">
      <c r="I210" t="s">
        <v>214</v>
      </c>
      <c r="J210" t="s">
        <v>200</v>
      </c>
      <c r="K210">
        <v>0</v>
      </c>
      <c r="L210" t="s">
        <v>169</v>
      </c>
      <c r="N210" t="s">
        <v>224</v>
      </c>
      <c r="O210" t="s">
        <v>200</v>
      </c>
      <c r="P210">
        <v>3.72454521531753E-3</v>
      </c>
      <c r="Q210" t="s">
        <v>169</v>
      </c>
      <c r="S210" t="s">
        <v>229</v>
      </c>
      <c r="T210" t="s">
        <v>200</v>
      </c>
      <c r="U210">
        <v>3.72454521531753E-3</v>
      </c>
      <c r="V210" t="s">
        <v>169</v>
      </c>
    </row>
    <row r="211" spans="9:22" x14ac:dyDescent="0.45">
      <c r="I211" t="s">
        <v>214</v>
      </c>
      <c r="J211" t="s">
        <v>201</v>
      </c>
      <c r="K211">
        <v>5.349741093358798E-3</v>
      </c>
      <c r="L211" t="s">
        <v>169</v>
      </c>
      <c r="N211" t="s">
        <v>224</v>
      </c>
      <c r="O211" t="s">
        <v>201</v>
      </c>
      <c r="P211">
        <v>2.5620509055171146E-3</v>
      </c>
      <c r="Q211" t="s">
        <v>169</v>
      </c>
      <c r="S211" t="s">
        <v>229</v>
      </c>
      <c r="T211" t="s">
        <v>201</v>
      </c>
      <c r="U211">
        <v>2.5620509055171146E-3</v>
      </c>
      <c r="V211" t="s">
        <v>169</v>
      </c>
    </row>
    <row r="212" spans="9:22" x14ac:dyDescent="0.45">
      <c r="I212" t="s">
        <v>214</v>
      </c>
      <c r="J212" t="s">
        <v>202</v>
      </c>
      <c r="K212">
        <v>7.3674344061017333E-2</v>
      </c>
      <c r="L212" t="s">
        <v>169</v>
      </c>
      <c r="N212" t="s">
        <v>224</v>
      </c>
      <c r="O212" t="s">
        <v>202</v>
      </c>
      <c r="P212">
        <v>3.3401246759998192E-2</v>
      </c>
      <c r="Q212" t="s">
        <v>169</v>
      </c>
      <c r="S212" t="s">
        <v>229</v>
      </c>
      <c r="T212" t="s">
        <v>202</v>
      </c>
      <c r="U212">
        <v>3.3401246759998192E-2</v>
      </c>
      <c r="V212" t="s">
        <v>169</v>
      </c>
    </row>
    <row r="213" spans="9:22" x14ac:dyDescent="0.45">
      <c r="I213" t="s">
        <v>214</v>
      </c>
      <c r="J213" t="s">
        <v>203</v>
      </c>
      <c r="K213">
        <v>2.2072738920328227E-3</v>
      </c>
      <c r="L213" t="s">
        <v>169</v>
      </c>
      <c r="N213" t="s">
        <v>224</v>
      </c>
      <c r="O213" t="s">
        <v>203</v>
      </c>
      <c r="P213">
        <v>6.6145936007469992E-3</v>
      </c>
      <c r="Q213" t="s">
        <v>169</v>
      </c>
      <c r="S213" t="s">
        <v>229</v>
      </c>
      <c r="T213" t="s">
        <v>203</v>
      </c>
      <c r="U213">
        <v>6.6145936007469992E-3</v>
      </c>
      <c r="V213" t="s">
        <v>169</v>
      </c>
    </row>
    <row r="214" spans="9:22" x14ac:dyDescent="0.45">
      <c r="I214" t="s">
        <v>214</v>
      </c>
      <c r="J214" t="s">
        <v>204</v>
      </c>
      <c r="K214">
        <v>0</v>
      </c>
      <c r="L214" t="s">
        <v>169</v>
      </c>
      <c r="N214" t="s">
        <v>224</v>
      </c>
      <c r="O214" t="s">
        <v>204</v>
      </c>
      <c r="P214">
        <v>2.9387494225362947E-2</v>
      </c>
      <c r="Q214" t="s">
        <v>169</v>
      </c>
      <c r="S214" t="s">
        <v>229</v>
      </c>
      <c r="T214" t="s">
        <v>204</v>
      </c>
      <c r="U214">
        <v>2.9387494225362947E-2</v>
      </c>
      <c r="V214" t="s">
        <v>169</v>
      </c>
    </row>
    <row r="215" spans="9:22" x14ac:dyDescent="0.45">
      <c r="I215" t="s">
        <v>214</v>
      </c>
      <c r="J215" t="s">
        <v>205</v>
      </c>
      <c r="K215">
        <v>0</v>
      </c>
      <c r="L215" t="s">
        <v>169</v>
      </c>
      <c r="N215" t="s">
        <v>224</v>
      </c>
      <c r="O215" t="s">
        <v>205</v>
      </c>
      <c r="P215">
        <v>1.5759374135760274E-2</v>
      </c>
      <c r="Q215" t="s">
        <v>169</v>
      </c>
      <c r="S215" t="s">
        <v>229</v>
      </c>
      <c r="T215" t="s">
        <v>205</v>
      </c>
      <c r="U215">
        <v>1.5759374135760274E-2</v>
      </c>
      <c r="V215" t="s">
        <v>169</v>
      </c>
    </row>
    <row r="216" spans="9:22" x14ac:dyDescent="0.45">
      <c r="I216" t="s">
        <v>214</v>
      </c>
      <c r="J216" t="s">
        <v>206</v>
      </c>
      <c r="K216">
        <v>0</v>
      </c>
      <c r="L216" t="s">
        <v>169</v>
      </c>
      <c r="N216" t="s">
        <v>224</v>
      </c>
      <c r="O216" t="s">
        <v>206</v>
      </c>
      <c r="P216">
        <v>1.4403868222776457E-2</v>
      </c>
      <c r="Q216" t="s">
        <v>169</v>
      </c>
      <c r="S216" t="s">
        <v>229</v>
      </c>
      <c r="T216" t="s">
        <v>206</v>
      </c>
      <c r="U216">
        <v>1.4403868222776457E-2</v>
      </c>
      <c r="V216" t="s">
        <v>169</v>
      </c>
    </row>
    <row r="217" spans="9:22" x14ac:dyDescent="0.45">
      <c r="I217" t="s">
        <v>214</v>
      </c>
      <c r="J217" t="s">
        <v>207</v>
      </c>
      <c r="K217">
        <v>3.1412572933858891E-3</v>
      </c>
      <c r="L217" t="s">
        <v>169</v>
      </c>
      <c r="N217" t="s">
        <v>224</v>
      </c>
      <c r="O217" t="s">
        <v>207</v>
      </c>
      <c r="P217">
        <v>8.9100129097026779E-3</v>
      </c>
      <c r="Q217" t="s">
        <v>169</v>
      </c>
      <c r="S217" t="s">
        <v>229</v>
      </c>
      <c r="T217" t="s">
        <v>207</v>
      </c>
      <c r="U217">
        <v>8.9100129097026779E-3</v>
      </c>
      <c r="V217" t="s">
        <v>169</v>
      </c>
    </row>
    <row r="218" spans="9:22" x14ac:dyDescent="0.45">
      <c r="I218" t="s">
        <v>214</v>
      </c>
      <c r="J218" t="s">
        <v>208</v>
      </c>
      <c r="K218">
        <v>0.10288091620922621</v>
      </c>
      <c r="L218" t="s">
        <v>169</v>
      </c>
      <c r="N218" t="s">
        <v>224</v>
      </c>
      <c r="O218" t="s">
        <v>208</v>
      </c>
      <c r="P218">
        <v>4.734662321015122E-2</v>
      </c>
      <c r="Q218" t="s">
        <v>169</v>
      </c>
      <c r="S218" t="s">
        <v>229</v>
      </c>
      <c r="T218" t="s">
        <v>208</v>
      </c>
      <c r="U218">
        <v>4.734662321015122E-2</v>
      </c>
      <c r="V218" t="s">
        <v>169</v>
      </c>
    </row>
    <row r="219" spans="9:22" x14ac:dyDescent="0.45">
      <c r="I219" t="s">
        <v>214</v>
      </c>
      <c r="J219" t="s">
        <v>209</v>
      </c>
      <c r="K219">
        <v>0</v>
      </c>
      <c r="L219" t="s">
        <v>169</v>
      </c>
      <c r="N219" t="s">
        <v>224</v>
      </c>
      <c r="O219" t="s">
        <v>209</v>
      </c>
      <c r="P219">
        <v>6.8292880187862635E-3</v>
      </c>
      <c r="Q219" t="s">
        <v>169</v>
      </c>
      <c r="S219" t="s">
        <v>229</v>
      </c>
      <c r="T219" t="s">
        <v>209</v>
      </c>
      <c r="U219">
        <v>6.8292880187862635E-3</v>
      </c>
      <c r="V219" t="s">
        <v>169</v>
      </c>
    </row>
    <row r="220" spans="9:22" x14ac:dyDescent="0.45">
      <c r="I220" t="s">
        <v>214</v>
      </c>
      <c r="J220" t="s">
        <v>210</v>
      </c>
      <c r="K220">
        <v>0</v>
      </c>
      <c r="L220" t="s">
        <v>169</v>
      </c>
      <c r="N220" t="s">
        <v>224</v>
      </c>
      <c r="O220" t="s">
        <v>210</v>
      </c>
      <c r="P220">
        <v>3.1988073953524848E-2</v>
      </c>
      <c r="Q220" t="s">
        <v>169</v>
      </c>
      <c r="S220" t="s">
        <v>229</v>
      </c>
      <c r="T220" t="s">
        <v>210</v>
      </c>
      <c r="U220">
        <v>3.1988073953524848E-2</v>
      </c>
      <c r="V220" t="s">
        <v>169</v>
      </c>
    </row>
    <row r="221" spans="9:22" x14ac:dyDescent="0.45">
      <c r="I221" t="s">
        <v>215</v>
      </c>
      <c r="J221" t="s">
        <v>168</v>
      </c>
      <c r="K221">
        <v>0</v>
      </c>
      <c r="L221" t="s">
        <v>169</v>
      </c>
    </row>
    <row r="222" spans="9:22" x14ac:dyDescent="0.45">
      <c r="I222" t="s">
        <v>215</v>
      </c>
      <c r="J222" t="s">
        <v>170</v>
      </c>
      <c r="K222">
        <v>0</v>
      </c>
      <c r="L222" t="s">
        <v>169</v>
      </c>
    </row>
    <row r="223" spans="9:22" x14ac:dyDescent="0.45">
      <c r="I223" t="s">
        <v>215</v>
      </c>
      <c r="J223" t="s">
        <v>171</v>
      </c>
      <c r="K223">
        <v>1.529619577141554E-3</v>
      </c>
      <c r="L223" t="s">
        <v>169</v>
      </c>
    </row>
    <row r="224" spans="9:22" x14ac:dyDescent="0.45">
      <c r="I224" t="s">
        <v>215</v>
      </c>
      <c r="J224" t="s">
        <v>172</v>
      </c>
      <c r="K224">
        <v>0.10711918665521507</v>
      </c>
      <c r="L224" t="s">
        <v>169</v>
      </c>
    </row>
    <row r="225" spans="9:12" x14ac:dyDescent="0.45">
      <c r="I225" t="s">
        <v>215</v>
      </c>
      <c r="J225" t="s">
        <v>173</v>
      </c>
      <c r="K225">
        <v>3.410793283864213E-3</v>
      </c>
      <c r="L225" t="s">
        <v>169</v>
      </c>
    </row>
    <row r="226" spans="9:12" x14ac:dyDescent="0.45">
      <c r="I226" t="s">
        <v>215</v>
      </c>
      <c r="J226" t="s">
        <v>174</v>
      </c>
      <c r="K226">
        <v>0</v>
      </c>
      <c r="L226" t="s">
        <v>169</v>
      </c>
    </row>
    <row r="227" spans="9:12" x14ac:dyDescent="0.45">
      <c r="I227" t="s">
        <v>215</v>
      </c>
      <c r="J227" t="s">
        <v>175</v>
      </c>
      <c r="K227">
        <v>0</v>
      </c>
      <c r="L227" t="s">
        <v>169</v>
      </c>
    </row>
    <row r="228" spans="9:12" x14ac:dyDescent="0.45">
      <c r="I228" t="s">
        <v>215</v>
      </c>
      <c r="J228" t="s">
        <v>176</v>
      </c>
      <c r="K228">
        <v>0</v>
      </c>
      <c r="L228" t="s">
        <v>169</v>
      </c>
    </row>
    <row r="229" spans="9:12" x14ac:dyDescent="0.45">
      <c r="I229" t="s">
        <v>215</v>
      </c>
      <c r="J229" t="s">
        <v>177</v>
      </c>
      <c r="K229">
        <v>1.2505801128715553E-2</v>
      </c>
      <c r="L229" t="s">
        <v>169</v>
      </c>
    </row>
    <row r="230" spans="9:12" x14ac:dyDescent="0.45">
      <c r="I230" t="s">
        <v>215</v>
      </c>
      <c r="J230" t="s">
        <v>178</v>
      </c>
      <c r="K230">
        <v>0.14629213877697489</v>
      </c>
      <c r="L230" t="s">
        <v>169</v>
      </c>
    </row>
    <row r="231" spans="9:12" x14ac:dyDescent="0.45">
      <c r="I231" t="s">
        <v>215</v>
      </c>
      <c r="J231" t="s">
        <v>179</v>
      </c>
      <c r="K231">
        <v>8.5301929829583109E-3</v>
      </c>
      <c r="L231" t="s">
        <v>169</v>
      </c>
    </row>
    <row r="232" spans="9:12" x14ac:dyDescent="0.45">
      <c r="I232" t="s">
        <v>215</v>
      </c>
      <c r="J232" t="s">
        <v>180</v>
      </c>
      <c r="K232">
        <v>3.27602993952846E-3</v>
      </c>
      <c r="L232" t="s">
        <v>169</v>
      </c>
    </row>
    <row r="233" spans="9:12" x14ac:dyDescent="0.45">
      <c r="I233" t="s">
        <v>215</v>
      </c>
      <c r="J233" t="s">
        <v>181</v>
      </c>
      <c r="K233">
        <v>0</v>
      </c>
      <c r="L233" t="s">
        <v>169</v>
      </c>
    </row>
    <row r="234" spans="9:12" x14ac:dyDescent="0.45">
      <c r="I234" t="s">
        <v>215</v>
      </c>
      <c r="J234" t="s">
        <v>182</v>
      </c>
      <c r="K234">
        <v>2.587325560308652E-3</v>
      </c>
      <c r="L234" t="s">
        <v>169</v>
      </c>
    </row>
    <row r="235" spans="9:12" x14ac:dyDescent="0.45">
      <c r="I235" t="s">
        <v>215</v>
      </c>
      <c r="J235" t="s">
        <v>183</v>
      </c>
      <c r="K235">
        <v>2.2416353911846605E-2</v>
      </c>
      <c r="L235" t="s">
        <v>169</v>
      </c>
    </row>
    <row r="236" spans="9:12" x14ac:dyDescent="0.45">
      <c r="I236" t="s">
        <v>215</v>
      </c>
      <c r="J236" t="s">
        <v>184</v>
      </c>
      <c r="K236">
        <v>0.16888568825920602</v>
      </c>
      <c r="L236" t="s">
        <v>169</v>
      </c>
    </row>
    <row r="237" spans="9:12" x14ac:dyDescent="0.45">
      <c r="I237" t="s">
        <v>215</v>
      </c>
      <c r="J237" t="s">
        <v>185</v>
      </c>
      <c r="K237">
        <v>1.1791720579595637E-2</v>
      </c>
      <c r="L237" t="s">
        <v>169</v>
      </c>
    </row>
    <row r="238" spans="9:12" x14ac:dyDescent="0.45">
      <c r="I238" t="s">
        <v>215</v>
      </c>
      <c r="J238" t="s">
        <v>186</v>
      </c>
      <c r="K238">
        <v>8.7155095377612814E-3</v>
      </c>
      <c r="L238" t="s">
        <v>169</v>
      </c>
    </row>
    <row r="239" spans="9:12" x14ac:dyDescent="0.45">
      <c r="I239" t="s">
        <v>215</v>
      </c>
      <c r="J239" t="s">
        <v>187</v>
      </c>
      <c r="K239">
        <v>0</v>
      </c>
      <c r="L239" t="s">
        <v>169</v>
      </c>
    </row>
    <row r="240" spans="9:12" x14ac:dyDescent="0.45">
      <c r="I240" t="s">
        <v>215</v>
      </c>
      <c r="J240" t="s">
        <v>188</v>
      </c>
      <c r="K240">
        <v>9.6911298581378309E-4</v>
      </c>
      <c r="L240" t="s">
        <v>169</v>
      </c>
    </row>
    <row r="241" spans="9:12" x14ac:dyDescent="0.45">
      <c r="I241" t="s">
        <v>215</v>
      </c>
      <c r="J241" t="s">
        <v>189</v>
      </c>
      <c r="K241">
        <v>2.1923352603141169E-2</v>
      </c>
      <c r="L241" t="s">
        <v>169</v>
      </c>
    </row>
    <row r="242" spans="9:12" x14ac:dyDescent="0.45">
      <c r="I242" t="s">
        <v>215</v>
      </c>
      <c r="J242" t="s">
        <v>190</v>
      </c>
      <c r="K242">
        <v>0.1730369685936321</v>
      </c>
      <c r="L242" t="s">
        <v>169</v>
      </c>
    </row>
    <row r="243" spans="9:12" x14ac:dyDescent="0.45">
      <c r="I243" t="s">
        <v>215</v>
      </c>
      <c r="J243" t="s">
        <v>191</v>
      </c>
      <c r="K243">
        <v>1.3522966880662601E-2</v>
      </c>
      <c r="L243" t="s">
        <v>169</v>
      </c>
    </row>
    <row r="244" spans="9:12" x14ac:dyDescent="0.45">
      <c r="I244" t="s">
        <v>215</v>
      </c>
      <c r="J244" t="s">
        <v>192</v>
      </c>
      <c r="K244">
        <v>9.8983149847848544E-3</v>
      </c>
      <c r="L244" t="s">
        <v>169</v>
      </c>
    </row>
    <row r="245" spans="9:12" x14ac:dyDescent="0.45">
      <c r="I245" t="s">
        <v>215</v>
      </c>
      <c r="J245" t="s">
        <v>193</v>
      </c>
      <c r="K245">
        <v>0</v>
      </c>
      <c r="L245" t="s">
        <v>169</v>
      </c>
    </row>
    <row r="246" spans="9:12" x14ac:dyDescent="0.45">
      <c r="I246" t="s">
        <v>215</v>
      </c>
      <c r="J246" t="s">
        <v>194</v>
      </c>
      <c r="K246">
        <v>0</v>
      </c>
      <c r="L246" t="s">
        <v>169</v>
      </c>
    </row>
    <row r="247" spans="9:12" x14ac:dyDescent="0.45">
      <c r="I247" t="s">
        <v>215</v>
      </c>
      <c r="J247" t="s">
        <v>195</v>
      </c>
      <c r="K247">
        <v>8.9411485149655679E-3</v>
      </c>
      <c r="L247" t="s">
        <v>169</v>
      </c>
    </row>
    <row r="248" spans="9:12" x14ac:dyDescent="0.45">
      <c r="I248" t="s">
        <v>215</v>
      </c>
      <c r="J248" t="s">
        <v>196</v>
      </c>
      <c r="K248">
        <v>8.1533385096742197E-2</v>
      </c>
      <c r="L248" t="s">
        <v>169</v>
      </c>
    </row>
    <row r="249" spans="9:12" x14ac:dyDescent="0.45">
      <c r="I249" t="s">
        <v>215</v>
      </c>
      <c r="J249" t="s">
        <v>197</v>
      </c>
      <c r="K249">
        <v>5.0021762591892565E-3</v>
      </c>
      <c r="L249" t="s">
        <v>169</v>
      </c>
    </row>
    <row r="250" spans="9:12" x14ac:dyDescent="0.45">
      <c r="I250" t="s">
        <v>215</v>
      </c>
      <c r="J250" t="s">
        <v>198</v>
      </c>
      <c r="K250">
        <v>1.1074365096710908E-3</v>
      </c>
      <c r="L250" t="s">
        <v>169</v>
      </c>
    </row>
    <row r="251" spans="9:12" x14ac:dyDescent="0.45">
      <c r="I251" t="s">
        <v>215</v>
      </c>
      <c r="J251" t="s">
        <v>199</v>
      </c>
      <c r="K251">
        <v>0</v>
      </c>
      <c r="L251" t="s">
        <v>169</v>
      </c>
    </row>
    <row r="252" spans="9:12" x14ac:dyDescent="0.45">
      <c r="I252" t="s">
        <v>215</v>
      </c>
      <c r="J252" t="s">
        <v>200</v>
      </c>
      <c r="K252">
        <v>0</v>
      </c>
      <c r="L252" t="s">
        <v>169</v>
      </c>
    </row>
    <row r="253" spans="9:12" x14ac:dyDescent="0.45">
      <c r="I253" t="s">
        <v>215</v>
      </c>
      <c r="J253" t="s">
        <v>201</v>
      </c>
      <c r="K253">
        <v>4.5461615584391976E-3</v>
      </c>
      <c r="L253" t="s">
        <v>169</v>
      </c>
    </row>
    <row r="254" spans="9:12" x14ac:dyDescent="0.45">
      <c r="I254" t="s">
        <v>215</v>
      </c>
      <c r="J254" t="s">
        <v>202</v>
      </c>
      <c r="K254">
        <v>7.2560660907334665E-2</v>
      </c>
      <c r="L254" t="s">
        <v>169</v>
      </c>
    </row>
    <row r="255" spans="9:12" x14ac:dyDescent="0.45">
      <c r="I255" t="s">
        <v>215</v>
      </c>
      <c r="J255" t="s">
        <v>203</v>
      </c>
      <c r="K255">
        <v>2.4857944746863405E-3</v>
      </c>
      <c r="L255" t="s">
        <v>169</v>
      </c>
    </row>
    <row r="256" spans="9:12" x14ac:dyDescent="0.45">
      <c r="I256" t="s">
        <v>215</v>
      </c>
      <c r="J256" t="s">
        <v>204</v>
      </c>
      <c r="K256">
        <v>0</v>
      </c>
      <c r="L256" t="s">
        <v>169</v>
      </c>
    </row>
    <row r="257" spans="9:12" x14ac:dyDescent="0.45">
      <c r="I257" t="s">
        <v>215</v>
      </c>
      <c r="J257" t="s">
        <v>205</v>
      </c>
      <c r="K257">
        <v>0</v>
      </c>
      <c r="L257" t="s">
        <v>169</v>
      </c>
    </row>
    <row r="258" spans="9:12" x14ac:dyDescent="0.45">
      <c r="I258" t="s">
        <v>215</v>
      </c>
      <c r="J258" t="s">
        <v>206</v>
      </c>
      <c r="K258">
        <v>0</v>
      </c>
      <c r="L258" t="s">
        <v>169</v>
      </c>
    </row>
    <row r="259" spans="9:12" x14ac:dyDescent="0.45">
      <c r="I259" t="s">
        <v>215</v>
      </c>
      <c r="J259" t="s">
        <v>207</v>
      </c>
      <c r="K259">
        <v>2.6011233655669755E-3</v>
      </c>
      <c r="L259" t="s">
        <v>169</v>
      </c>
    </row>
    <row r="260" spans="9:12" x14ac:dyDescent="0.45">
      <c r="I260" t="s">
        <v>215</v>
      </c>
      <c r="J260" t="s">
        <v>208</v>
      </c>
      <c r="K260">
        <v>0.10481103707225341</v>
      </c>
      <c r="L260" t="s">
        <v>169</v>
      </c>
    </row>
    <row r="261" spans="9:12" x14ac:dyDescent="0.45">
      <c r="I261" t="s">
        <v>215</v>
      </c>
      <c r="J261" t="s">
        <v>209</v>
      </c>
      <c r="K261">
        <v>0</v>
      </c>
      <c r="L261" t="s">
        <v>169</v>
      </c>
    </row>
    <row r="262" spans="9:12" x14ac:dyDescent="0.45">
      <c r="I262" t="s">
        <v>215</v>
      </c>
      <c r="J262" t="s">
        <v>210</v>
      </c>
      <c r="K262">
        <v>0</v>
      </c>
      <c r="L262" t="s">
        <v>169</v>
      </c>
    </row>
    <row r="263" spans="9:12" x14ac:dyDescent="0.45">
      <c r="I263" t="s">
        <v>216</v>
      </c>
      <c r="J263" t="s">
        <v>168</v>
      </c>
      <c r="K263">
        <v>0</v>
      </c>
      <c r="L263" t="s">
        <v>169</v>
      </c>
    </row>
    <row r="264" spans="9:12" x14ac:dyDescent="0.45">
      <c r="I264" t="s">
        <v>216</v>
      </c>
      <c r="J264" t="s">
        <v>170</v>
      </c>
      <c r="K264">
        <v>0</v>
      </c>
      <c r="L264" t="s">
        <v>169</v>
      </c>
    </row>
    <row r="265" spans="9:12" x14ac:dyDescent="0.45">
      <c r="I265" t="s">
        <v>216</v>
      </c>
      <c r="J265" t="s">
        <v>171</v>
      </c>
      <c r="K265">
        <v>2.2857370937222738E-3</v>
      </c>
      <c r="L265" t="s">
        <v>169</v>
      </c>
    </row>
    <row r="266" spans="9:12" x14ac:dyDescent="0.45">
      <c r="I266" t="s">
        <v>216</v>
      </c>
      <c r="J266" t="s">
        <v>172</v>
      </c>
      <c r="K266">
        <v>0.11374590723421101</v>
      </c>
      <c r="L266" t="s">
        <v>169</v>
      </c>
    </row>
    <row r="267" spans="9:12" x14ac:dyDescent="0.45">
      <c r="I267" t="s">
        <v>216</v>
      </c>
      <c r="J267" t="s">
        <v>173</v>
      </c>
      <c r="K267">
        <v>2.3513726368988913E-3</v>
      </c>
      <c r="L267" t="s">
        <v>169</v>
      </c>
    </row>
    <row r="268" spans="9:12" x14ac:dyDescent="0.45">
      <c r="I268" t="s">
        <v>216</v>
      </c>
      <c r="J268" t="s">
        <v>174</v>
      </c>
      <c r="K268">
        <v>0</v>
      </c>
      <c r="L268" t="s">
        <v>169</v>
      </c>
    </row>
    <row r="269" spans="9:12" x14ac:dyDescent="0.45">
      <c r="I269" t="s">
        <v>216</v>
      </c>
      <c r="J269" t="s">
        <v>175</v>
      </c>
      <c r="K269">
        <v>0</v>
      </c>
      <c r="L269" t="s">
        <v>169</v>
      </c>
    </row>
    <row r="270" spans="9:12" x14ac:dyDescent="0.45">
      <c r="I270" t="s">
        <v>216</v>
      </c>
      <c r="J270" t="s">
        <v>176</v>
      </c>
      <c r="K270">
        <v>9.1072638798218371E-6</v>
      </c>
      <c r="L270" t="s">
        <v>169</v>
      </c>
    </row>
    <row r="271" spans="9:12" x14ac:dyDescent="0.45">
      <c r="I271" t="s">
        <v>216</v>
      </c>
      <c r="J271" t="s">
        <v>177</v>
      </c>
      <c r="K271">
        <v>1.4804278194370231E-2</v>
      </c>
      <c r="L271" t="s">
        <v>169</v>
      </c>
    </row>
    <row r="272" spans="9:12" x14ac:dyDescent="0.45">
      <c r="I272" t="s">
        <v>216</v>
      </c>
      <c r="J272" t="s">
        <v>178</v>
      </c>
      <c r="K272">
        <v>0.16066262270039425</v>
      </c>
      <c r="L272" t="s">
        <v>169</v>
      </c>
    </row>
    <row r="273" spans="9:12" x14ac:dyDescent="0.45">
      <c r="I273" t="s">
        <v>216</v>
      </c>
      <c r="J273" t="s">
        <v>179</v>
      </c>
      <c r="K273">
        <v>8.8710956208126295E-3</v>
      </c>
      <c r="L273" t="s">
        <v>169</v>
      </c>
    </row>
    <row r="274" spans="9:12" x14ac:dyDescent="0.45">
      <c r="I274" t="s">
        <v>216</v>
      </c>
      <c r="J274" t="s">
        <v>180</v>
      </c>
      <c r="K274">
        <v>2.9047194542714729E-3</v>
      </c>
      <c r="L274" t="s">
        <v>169</v>
      </c>
    </row>
    <row r="275" spans="9:12" x14ac:dyDescent="0.45">
      <c r="I275" t="s">
        <v>216</v>
      </c>
      <c r="J275" t="s">
        <v>181</v>
      </c>
      <c r="K275">
        <v>0</v>
      </c>
      <c r="L275" t="s">
        <v>169</v>
      </c>
    </row>
    <row r="276" spans="9:12" x14ac:dyDescent="0.45">
      <c r="I276" t="s">
        <v>216</v>
      </c>
      <c r="J276" t="s">
        <v>182</v>
      </c>
      <c r="K276">
        <v>3.8836129373890022E-3</v>
      </c>
      <c r="L276" t="s">
        <v>169</v>
      </c>
    </row>
    <row r="277" spans="9:12" x14ac:dyDescent="0.45">
      <c r="I277" t="s">
        <v>216</v>
      </c>
      <c r="J277" t="s">
        <v>183</v>
      </c>
      <c r="K277">
        <v>2.2605248902283177E-2</v>
      </c>
      <c r="L277" t="s">
        <v>169</v>
      </c>
    </row>
    <row r="278" spans="9:12" x14ac:dyDescent="0.45">
      <c r="I278" t="s">
        <v>216</v>
      </c>
      <c r="J278" t="s">
        <v>184</v>
      </c>
      <c r="K278">
        <v>0.16256224879127973</v>
      </c>
      <c r="L278" t="s">
        <v>169</v>
      </c>
    </row>
    <row r="279" spans="9:12" x14ac:dyDescent="0.45">
      <c r="I279" t="s">
        <v>216</v>
      </c>
      <c r="J279" t="s">
        <v>185</v>
      </c>
      <c r="K279">
        <v>1.0256912389057586E-2</v>
      </c>
      <c r="L279" t="s">
        <v>169</v>
      </c>
    </row>
    <row r="280" spans="9:12" x14ac:dyDescent="0.45">
      <c r="I280" t="s">
        <v>216</v>
      </c>
      <c r="J280" t="s">
        <v>186</v>
      </c>
      <c r="K280">
        <v>7.2281291662496978E-3</v>
      </c>
      <c r="L280" t="s">
        <v>169</v>
      </c>
    </row>
    <row r="281" spans="9:12" x14ac:dyDescent="0.45">
      <c r="I281" t="s">
        <v>216</v>
      </c>
      <c r="J281" t="s">
        <v>187</v>
      </c>
      <c r="K281">
        <v>0</v>
      </c>
      <c r="L281" t="s">
        <v>169</v>
      </c>
    </row>
    <row r="282" spans="9:12" x14ac:dyDescent="0.45">
      <c r="I282" t="s">
        <v>216</v>
      </c>
      <c r="J282" t="s">
        <v>188</v>
      </c>
      <c r="K282">
        <v>2.3123488124101766E-3</v>
      </c>
      <c r="L282" t="s">
        <v>169</v>
      </c>
    </row>
    <row r="283" spans="9:12" x14ac:dyDescent="0.45">
      <c r="I283" t="s">
        <v>216</v>
      </c>
      <c r="J283" t="s">
        <v>189</v>
      </c>
      <c r="K283">
        <v>2.2448828292174122E-2</v>
      </c>
      <c r="L283" t="s">
        <v>169</v>
      </c>
    </row>
    <row r="284" spans="9:12" x14ac:dyDescent="0.45">
      <c r="I284" t="s">
        <v>216</v>
      </c>
      <c r="J284" t="s">
        <v>190</v>
      </c>
      <c r="K284">
        <v>0.16093484606184302</v>
      </c>
      <c r="L284" t="s">
        <v>169</v>
      </c>
    </row>
    <row r="285" spans="9:12" x14ac:dyDescent="0.45">
      <c r="I285" t="s">
        <v>216</v>
      </c>
      <c r="J285" t="s">
        <v>191</v>
      </c>
      <c r="K285">
        <v>1.0642604765164484E-2</v>
      </c>
      <c r="L285" t="s">
        <v>169</v>
      </c>
    </row>
    <row r="286" spans="9:12" x14ac:dyDescent="0.45">
      <c r="I286" t="s">
        <v>216</v>
      </c>
      <c r="J286" t="s">
        <v>192</v>
      </c>
      <c r="K286">
        <v>7.5262065728977793E-3</v>
      </c>
      <c r="L286" t="s">
        <v>169</v>
      </c>
    </row>
    <row r="287" spans="9:12" x14ac:dyDescent="0.45">
      <c r="I287" t="s">
        <v>216</v>
      </c>
      <c r="J287" t="s">
        <v>193</v>
      </c>
      <c r="K287">
        <v>0</v>
      </c>
      <c r="L287" t="s">
        <v>169</v>
      </c>
    </row>
    <row r="288" spans="9:12" x14ac:dyDescent="0.45">
      <c r="I288" t="s">
        <v>216</v>
      </c>
      <c r="J288" t="s">
        <v>194</v>
      </c>
      <c r="K288">
        <v>0</v>
      </c>
      <c r="L288" t="s">
        <v>169</v>
      </c>
    </row>
    <row r="289" spans="9:12" x14ac:dyDescent="0.45">
      <c r="I289" t="s">
        <v>216</v>
      </c>
      <c r="J289" t="s">
        <v>195</v>
      </c>
      <c r="K289">
        <v>1.0217487306783174E-2</v>
      </c>
      <c r="L289" t="s">
        <v>169</v>
      </c>
    </row>
    <row r="290" spans="9:12" x14ac:dyDescent="0.45">
      <c r="I290" t="s">
        <v>216</v>
      </c>
      <c r="J290" t="s">
        <v>196</v>
      </c>
      <c r="K290">
        <v>8.0287186538788496E-2</v>
      </c>
      <c r="L290" t="s">
        <v>169</v>
      </c>
    </row>
    <row r="291" spans="9:12" x14ac:dyDescent="0.45">
      <c r="I291" t="s">
        <v>216</v>
      </c>
      <c r="J291" t="s">
        <v>197</v>
      </c>
      <c r="K291">
        <v>4.5404659176312631E-3</v>
      </c>
      <c r="L291" t="s">
        <v>169</v>
      </c>
    </row>
    <row r="292" spans="9:12" x14ac:dyDescent="0.45">
      <c r="I292" t="s">
        <v>216</v>
      </c>
      <c r="J292" t="s">
        <v>198</v>
      </c>
      <c r="K292">
        <v>7.0185759793099981E-4</v>
      </c>
      <c r="L292" t="s">
        <v>169</v>
      </c>
    </row>
    <row r="293" spans="9:12" x14ac:dyDescent="0.45">
      <c r="I293" t="s">
        <v>216</v>
      </c>
      <c r="J293" t="s">
        <v>199</v>
      </c>
      <c r="K293">
        <v>0</v>
      </c>
      <c r="L293" t="s">
        <v>169</v>
      </c>
    </row>
    <row r="294" spans="9:12" x14ac:dyDescent="0.45">
      <c r="I294" t="s">
        <v>216</v>
      </c>
      <c r="J294" t="s">
        <v>200</v>
      </c>
      <c r="K294">
        <v>0</v>
      </c>
      <c r="L294" t="s">
        <v>169</v>
      </c>
    </row>
    <row r="295" spans="9:12" x14ac:dyDescent="0.45">
      <c r="I295" t="s">
        <v>216</v>
      </c>
      <c r="J295" t="s">
        <v>201</v>
      </c>
      <c r="K295">
        <v>5.9356531680645318E-3</v>
      </c>
      <c r="L295" t="s">
        <v>169</v>
      </c>
    </row>
    <row r="296" spans="9:12" x14ac:dyDescent="0.45">
      <c r="I296" t="s">
        <v>216</v>
      </c>
      <c r="J296" t="s">
        <v>202</v>
      </c>
      <c r="K296">
        <v>7.116524307373924E-2</v>
      </c>
      <c r="L296" t="s">
        <v>169</v>
      </c>
    </row>
    <row r="297" spans="9:12" x14ac:dyDescent="0.45">
      <c r="I297" t="s">
        <v>216</v>
      </c>
      <c r="J297" t="s">
        <v>203</v>
      </c>
      <c r="K297">
        <v>1.5936234167308069E-3</v>
      </c>
      <c r="L297" t="s">
        <v>169</v>
      </c>
    </row>
    <row r="298" spans="9:12" x14ac:dyDescent="0.45">
      <c r="I298" t="s">
        <v>216</v>
      </c>
      <c r="J298" t="s">
        <v>204</v>
      </c>
      <c r="K298">
        <v>0</v>
      </c>
      <c r="L298" t="s">
        <v>169</v>
      </c>
    </row>
    <row r="299" spans="9:12" x14ac:dyDescent="0.45">
      <c r="I299" t="s">
        <v>216</v>
      </c>
      <c r="J299" t="s">
        <v>205</v>
      </c>
      <c r="K299">
        <v>0</v>
      </c>
      <c r="L299" t="s">
        <v>169</v>
      </c>
    </row>
    <row r="300" spans="9:12" x14ac:dyDescent="0.45">
      <c r="I300" t="s">
        <v>216</v>
      </c>
      <c r="J300" t="s">
        <v>206</v>
      </c>
      <c r="K300">
        <v>0</v>
      </c>
      <c r="L300" t="s">
        <v>169</v>
      </c>
    </row>
    <row r="301" spans="9:12" x14ac:dyDescent="0.45">
      <c r="I301" t="s">
        <v>216</v>
      </c>
      <c r="J301" t="s">
        <v>207</v>
      </c>
      <c r="K301">
        <v>3.0863510864318545E-3</v>
      </c>
      <c r="L301" t="s">
        <v>169</v>
      </c>
    </row>
    <row r="302" spans="9:12" x14ac:dyDescent="0.45">
      <c r="I302" t="s">
        <v>216</v>
      </c>
      <c r="J302" t="s">
        <v>208</v>
      </c>
      <c r="K302">
        <v>0.10643630500458845</v>
      </c>
      <c r="L302" t="s">
        <v>169</v>
      </c>
    </row>
    <row r="303" spans="9:12" x14ac:dyDescent="0.45">
      <c r="I303" t="s">
        <v>216</v>
      </c>
      <c r="J303" t="s">
        <v>209</v>
      </c>
      <c r="K303">
        <v>0</v>
      </c>
      <c r="L303" t="s">
        <v>169</v>
      </c>
    </row>
    <row r="304" spans="9:12" x14ac:dyDescent="0.45">
      <c r="I304" t="s">
        <v>216</v>
      </c>
      <c r="J304" t="s">
        <v>210</v>
      </c>
      <c r="K304">
        <v>0</v>
      </c>
      <c r="L304" t="s">
        <v>169</v>
      </c>
    </row>
    <row r="305" spans="9:12" x14ac:dyDescent="0.45">
      <c r="I305" t="s">
        <v>217</v>
      </c>
      <c r="J305" t="s">
        <v>168</v>
      </c>
      <c r="K305">
        <v>0</v>
      </c>
      <c r="L305" t="s">
        <v>169</v>
      </c>
    </row>
    <row r="306" spans="9:12" x14ac:dyDescent="0.45">
      <c r="I306" t="s">
        <v>217</v>
      </c>
      <c r="J306" t="s">
        <v>170</v>
      </c>
      <c r="K306">
        <v>0</v>
      </c>
      <c r="L306" t="s">
        <v>169</v>
      </c>
    </row>
    <row r="307" spans="9:12" x14ac:dyDescent="0.45">
      <c r="I307" t="s">
        <v>217</v>
      </c>
      <c r="J307" t="s">
        <v>171</v>
      </c>
      <c r="K307">
        <v>2.0753775006596294E-3</v>
      </c>
      <c r="L307" t="s">
        <v>169</v>
      </c>
    </row>
    <row r="308" spans="9:12" x14ac:dyDescent="0.45">
      <c r="I308" t="s">
        <v>217</v>
      </c>
      <c r="J308" t="s">
        <v>172</v>
      </c>
      <c r="K308">
        <v>0.10848216996310241</v>
      </c>
      <c r="L308" t="s">
        <v>169</v>
      </c>
    </row>
    <row r="309" spans="9:12" x14ac:dyDescent="0.45">
      <c r="I309" t="s">
        <v>217</v>
      </c>
      <c r="J309" t="s">
        <v>173</v>
      </c>
      <c r="K309">
        <v>2.3965147917090032E-3</v>
      </c>
      <c r="L309" t="s">
        <v>169</v>
      </c>
    </row>
    <row r="310" spans="9:12" x14ac:dyDescent="0.45">
      <c r="I310" t="s">
        <v>217</v>
      </c>
      <c r="J310" t="s">
        <v>174</v>
      </c>
      <c r="K310">
        <v>0</v>
      </c>
      <c r="L310" t="s">
        <v>169</v>
      </c>
    </row>
    <row r="311" spans="9:12" x14ac:dyDescent="0.45">
      <c r="I311" t="s">
        <v>217</v>
      </c>
      <c r="J311" t="s">
        <v>175</v>
      </c>
      <c r="K311">
        <v>0</v>
      </c>
      <c r="L311" t="s">
        <v>169</v>
      </c>
    </row>
    <row r="312" spans="9:12" x14ac:dyDescent="0.45">
      <c r="I312" t="s">
        <v>217</v>
      </c>
      <c r="J312" t="s">
        <v>176</v>
      </c>
      <c r="K312">
        <v>1.6714688613202582E-5</v>
      </c>
      <c r="L312" t="s">
        <v>169</v>
      </c>
    </row>
    <row r="313" spans="9:12" x14ac:dyDescent="0.45">
      <c r="I313" t="s">
        <v>217</v>
      </c>
      <c r="J313" t="s">
        <v>177</v>
      </c>
      <c r="K313">
        <v>1.415712902983092E-2</v>
      </c>
      <c r="L313" t="s">
        <v>169</v>
      </c>
    </row>
    <row r="314" spans="9:12" x14ac:dyDescent="0.45">
      <c r="I314" t="s">
        <v>217</v>
      </c>
      <c r="J314" t="s">
        <v>178</v>
      </c>
      <c r="K314">
        <v>0.14707953725091744</v>
      </c>
      <c r="L314" t="s">
        <v>169</v>
      </c>
    </row>
    <row r="315" spans="9:12" x14ac:dyDescent="0.45">
      <c r="I315" t="s">
        <v>217</v>
      </c>
      <c r="J315" t="s">
        <v>179</v>
      </c>
      <c r="K315">
        <v>7.6669004261902263E-3</v>
      </c>
      <c r="L315" t="s">
        <v>169</v>
      </c>
    </row>
    <row r="316" spans="9:12" x14ac:dyDescent="0.45">
      <c r="I316" t="s">
        <v>217</v>
      </c>
      <c r="J316" t="s">
        <v>180</v>
      </c>
      <c r="K316">
        <v>2.7017177552345409E-3</v>
      </c>
      <c r="L316" t="s">
        <v>169</v>
      </c>
    </row>
    <row r="317" spans="9:12" x14ac:dyDescent="0.45">
      <c r="I317" t="s">
        <v>217</v>
      </c>
      <c r="J317" t="s">
        <v>181</v>
      </c>
      <c r="K317">
        <v>0</v>
      </c>
      <c r="L317" t="s">
        <v>169</v>
      </c>
    </row>
    <row r="318" spans="9:12" x14ac:dyDescent="0.45">
      <c r="I318" t="s">
        <v>217</v>
      </c>
      <c r="J318" t="s">
        <v>182</v>
      </c>
      <c r="K318">
        <v>3.9623782843822737E-3</v>
      </c>
      <c r="L318" t="s">
        <v>169</v>
      </c>
    </row>
    <row r="319" spans="9:12" x14ac:dyDescent="0.45">
      <c r="I319" t="s">
        <v>217</v>
      </c>
      <c r="J319" t="s">
        <v>183</v>
      </c>
      <c r="K319">
        <v>2.3652145235087896E-2</v>
      </c>
      <c r="L319" t="s">
        <v>169</v>
      </c>
    </row>
    <row r="320" spans="9:12" x14ac:dyDescent="0.45">
      <c r="I320" t="s">
        <v>217</v>
      </c>
      <c r="J320" t="s">
        <v>184</v>
      </c>
      <c r="K320">
        <v>0.16848514932907013</v>
      </c>
      <c r="L320" t="s">
        <v>169</v>
      </c>
    </row>
    <row r="321" spans="9:12" x14ac:dyDescent="0.45">
      <c r="I321" t="s">
        <v>217</v>
      </c>
      <c r="J321" t="s">
        <v>185</v>
      </c>
      <c r="K321">
        <v>1.0836670971315653E-2</v>
      </c>
      <c r="L321" t="s">
        <v>169</v>
      </c>
    </row>
    <row r="322" spans="9:12" x14ac:dyDescent="0.45">
      <c r="I322" t="s">
        <v>217</v>
      </c>
      <c r="J322" t="s">
        <v>186</v>
      </c>
      <c r="K322">
        <v>7.9644749914650603E-3</v>
      </c>
      <c r="L322" t="s">
        <v>169</v>
      </c>
    </row>
    <row r="323" spans="9:12" x14ac:dyDescent="0.45">
      <c r="I323" t="s">
        <v>217</v>
      </c>
      <c r="J323" t="s">
        <v>187</v>
      </c>
      <c r="K323">
        <v>0</v>
      </c>
      <c r="L323" t="s">
        <v>169</v>
      </c>
    </row>
    <row r="324" spans="9:12" x14ac:dyDescent="0.45">
      <c r="I324" t="s">
        <v>217</v>
      </c>
      <c r="J324" t="s">
        <v>188</v>
      </c>
      <c r="K324">
        <v>2.5867820467333591E-3</v>
      </c>
      <c r="L324" t="s">
        <v>169</v>
      </c>
    </row>
    <row r="325" spans="9:12" x14ac:dyDescent="0.45">
      <c r="I325" t="s">
        <v>217</v>
      </c>
      <c r="J325" t="s">
        <v>189</v>
      </c>
      <c r="K325">
        <v>2.4471098261820881E-2</v>
      </c>
      <c r="L325" t="s">
        <v>169</v>
      </c>
    </row>
    <row r="326" spans="9:12" x14ac:dyDescent="0.45">
      <c r="I326" t="s">
        <v>217</v>
      </c>
      <c r="J326" t="s">
        <v>190</v>
      </c>
      <c r="K326">
        <v>0.17336074292094261</v>
      </c>
      <c r="L326" t="s">
        <v>169</v>
      </c>
    </row>
    <row r="327" spans="9:12" x14ac:dyDescent="0.45">
      <c r="I327" t="s">
        <v>217</v>
      </c>
      <c r="J327" t="s">
        <v>191</v>
      </c>
      <c r="K327">
        <v>1.2082988621900799E-2</v>
      </c>
      <c r="L327" t="s">
        <v>169</v>
      </c>
    </row>
    <row r="328" spans="9:12" x14ac:dyDescent="0.45">
      <c r="I328" t="s">
        <v>217</v>
      </c>
      <c r="J328" t="s">
        <v>192</v>
      </c>
      <c r="K328">
        <v>9.1486521427098337E-3</v>
      </c>
      <c r="L328" t="s">
        <v>169</v>
      </c>
    </row>
    <row r="329" spans="9:12" x14ac:dyDescent="0.45">
      <c r="I329" t="s">
        <v>217</v>
      </c>
      <c r="J329" t="s">
        <v>193</v>
      </c>
      <c r="K329">
        <v>0</v>
      </c>
      <c r="L329" t="s">
        <v>169</v>
      </c>
    </row>
    <row r="330" spans="9:12" x14ac:dyDescent="0.45">
      <c r="I330" t="s">
        <v>217</v>
      </c>
      <c r="J330" t="s">
        <v>194</v>
      </c>
      <c r="K330">
        <v>0</v>
      </c>
      <c r="L330" t="s">
        <v>169</v>
      </c>
    </row>
    <row r="331" spans="9:12" x14ac:dyDescent="0.45">
      <c r="I331" t="s">
        <v>217</v>
      </c>
      <c r="J331" t="s">
        <v>195</v>
      </c>
      <c r="K331">
        <v>1.0051219826501399E-2</v>
      </c>
      <c r="L331" t="s">
        <v>169</v>
      </c>
    </row>
    <row r="332" spans="9:12" x14ac:dyDescent="0.45">
      <c r="I332" t="s">
        <v>217</v>
      </c>
      <c r="J332" t="s">
        <v>196</v>
      </c>
      <c r="K332">
        <v>8.3499846415372697E-2</v>
      </c>
      <c r="L332" t="s">
        <v>169</v>
      </c>
    </row>
    <row r="333" spans="9:12" x14ac:dyDescent="0.45">
      <c r="I333" t="s">
        <v>217</v>
      </c>
      <c r="J333" t="s">
        <v>197</v>
      </c>
      <c r="K333">
        <v>4.8111748364350381E-3</v>
      </c>
      <c r="L333" t="s">
        <v>169</v>
      </c>
    </row>
    <row r="334" spans="9:12" x14ac:dyDescent="0.45">
      <c r="I334" t="s">
        <v>217</v>
      </c>
      <c r="J334" t="s">
        <v>198</v>
      </c>
      <c r="K334">
        <v>8.936067637635997E-4</v>
      </c>
      <c r="L334" t="s">
        <v>169</v>
      </c>
    </row>
    <row r="335" spans="9:12" x14ac:dyDescent="0.45">
      <c r="I335" t="s">
        <v>217</v>
      </c>
      <c r="J335" t="s">
        <v>199</v>
      </c>
      <c r="K335">
        <v>0</v>
      </c>
      <c r="L335" t="s">
        <v>169</v>
      </c>
    </row>
    <row r="336" spans="9:12" x14ac:dyDescent="0.45">
      <c r="I336" t="s">
        <v>217</v>
      </c>
      <c r="J336" t="s">
        <v>200</v>
      </c>
      <c r="K336">
        <v>0</v>
      </c>
      <c r="L336" t="s">
        <v>169</v>
      </c>
    </row>
    <row r="337" spans="9:12" x14ac:dyDescent="0.45">
      <c r="I337" t="s">
        <v>217</v>
      </c>
      <c r="J337" t="s">
        <v>201</v>
      </c>
      <c r="K337">
        <v>4.9794216164322676E-3</v>
      </c>
      <c r="L337" t="s">
        <v>169</v>
      </c>
    </row>
    <row r="338" spans="9:12" x14ac:dyDescent="0.45">
      <c r="I338" t="s">
        <v>217</v>
      </c>
      <c r="J338" t="s">
        <v>202</v>
      </c>
      <c r="K338">
        <v>7.0001982898379736E-2</v>
      </c>
      <c r="L338" t="s">
        <v>169</v>
      </c>
    </row>
    <row r="339" spans="9:12" x14ac:dyDescent="0.45">
      <c r="I339" t="s">
        <v>217</v>
      </c>
      <c r="J339" t="s">
        <v>203</v>
      </c>
      <c r="K339">
        <v>1.4729827131012637E-3</v>
      </c>
      <c r="L339" t="s">
        <v>169</v>
      </c>
    </row>
    <row r="340" spans="9:12" x14ac:dyDescent="0.45">
      <c r="I340" t="s">
        <v>217</v>
      </c>
      <c r="J340" t="s">
        <v>204</v>
      </c>
      <c r="K340">
        <v>0</v>
      </c>
      <c r="L340" t="s">
        <v>169</v>
      </c>
    </row>
    <row r="341" spans="9:12" x14ac:dyDescent="0.45">
      <c r="I341" t="s">
        <v>217</v>
      </c>
      <c r="J341" t="s">
        <v>205</v>
      </c>
      <c r="K341">
        <v>0</v>
      </c>
      <c r="L341" t="s">
        <v>169</v>
      </c>
    </row>
    <row r="342" spans="9:12" x14ac:dyDescent="0.45">
      <c r="I342" t="s">
        <v>217</v>
      </c>
      <c r="J342" t="s">
        <v>206</v>
      </c>
      <c r="K342">
        <v>0</v>
      </c>
      <c r="L342" t="s">
        <v>169</v>
      </c>
    </row>
    <row r="343" spans="9:12" x14ac:dyDescent="0.45">
      <c r="I343" t="s">
        <v>217</v>
      </c>
      <c r="J343" t="s">
        <v>207</v>
      </c>
      <c r="K343">
        <v>2.5772864740829155E-3</v>
      </c>
      <c r="L343" t="s">
        <v>169</v>
      </c>
    </row>
    <row r="344" spans="9:12" x14ac:dyDescent="0.45">
      <c r="I344" t="s">
        <v>217</v>
      </c>
      <c r="J344" t="s">
        <v>208</v>
      </c>
      <c r="K344">
        <v>0.10058533424424608</v>
      </c>
      <c r="L344" t="s">
        <v>169</v>
      </c>
    </row>
    <row r="345" spans="9:12" x14ac:dyDescent="0.45">
      <c r="I345" t="s">
        <v>217</v>
      </c>
      <c r="J345" t="s">
        <v>209</v>
      </c>
      <c r="K345">
        <v>0</v>
      </c>
      <c r="L345" t="s">
        <v>169</v>
      </c>
    </row>
    <row r="346" spans="9:12" x14ac:dyDescent="0.45">
      <c r="I346" t="s">
        <v>217</v>
      </c>
      <c r="J346" t="s">
        <v>210</v>
      </c>
      <c r="K346">
        <v>0</v>
      </c>
      <c r="L346" t="s">
        <v>169</v>
      </c>
    </row>
    <row r="347" spans="9:12" x14ac:dyDescent="0.45">
      <c r="I347" t="s">
        <v>218</v>
      </c>
      <c r="J347" t="s">
        <v>168</v>
      </c>
      <c r="K347">
        <v>0</v>
      </c>
      <c r="L347" t="s">
        <v>169</v>
      </c>
    </row>
    <row r="348" spans="9:12" x14ac:dyDescent="0.45">
      <c r="I348" t="s">
        <v>218</v>
      </c>
      <c r="J348" t="s">
        <v>170</v>
      </c>
      <c r="K348">
        <v>0</v>
      </c>
      <c r="L348" t="s">
        <v>169</v>
      </c>
    </row>
    <row r="349" spans="9:12" x14ac:dyDescent="0.45">
      <c r="I349" t="s">
        <v>218</v>
      </c>
      <c r="J349" t="s">
        <v>171</v>
      </c>
      <c r="K349">
        <v>1.510885353407113E-3</v>
      </c>
      <c r="L349" t="s">
        <v>169</v>
      </c>
    </row>
    <row r="350" spans="9:12" x14ac:dyDescent="0.45">
      <c r="I350" t="s">
        <v>218</v>
      </c>
      <c r="J350" t="s">
        <v>172</v>
      </c>
      <c r="K350">
        <v>0.11489045582737981</v>
      </c>
      <c r="L350" t="s">
        <v>169</v>
      </c>
    </row>
    <row r="351" spans="9:12" x14ac:dyDescent="0.45">
      <c r="I351" t="s">
        <v>218</v>
      </c>
      <c r="J351" t="s">
        <v>173</v>
      </c>
      <c r="K351">
        <v>2.9616653464177725E-3</v>
      </c>
      <c r="L351" t="s">
        <v>169</v>
      </c>
    </row>
    <row r="352" spans="9:12" x14ac:dyDescent="0.45">
      <c r="I352" t="s">
        <v>218</v>
      </c>
      <c r="J352" t="s">
        <v>174</v>
      </c>
      <c r="K352">
        <v>0</v>
      </c>
      <c r="L352" t="s">
        <v>169</v>
      </c>
    </row>
    <row r="353" spans="9:12" x14ac:dyDescent="0.45">
      <c r="I353" t="s">
        <v>218</v>
      </c>
      <c r="J353" t="s">
        <v>175</v>
      </c>
      <c r="K353">
        <v>0</v>
      </c>
      <c r="L353" t="s">
        <v>169</v>
      </c>
    </row>
    <row r="354" spans="9:12" x14ac:dyDescent="0.45">
      <c r="I354" t="s">
        <v>218</v>
      </c>
      <c r="J354" t="s">
        <v>176</v>
      </c>
      <c r="K354">
        <v>0</v>
      </c>
      <c r="L354" t="s">
        <v>169</v>
      </c>
    </row>
    <row r="355" spans="9:12" x14ac:dyDescent="0.45">
      <c r="I355" t="s">
        <v>218</v>
      </c>
      <c r="J355" t="s">
        <v>177</v>
      </c>
      <c r="K355">
        <v>1.3105242299092566E-2</v>
      </c>
      <c r="L355" t="s">
        <v>169</v>
      </c>
    </row>
    <row r="356" spans="9:12" x14ac:dyDescent="0.45">
      <c r="I356" t="s">
        <v>218</v>
      </c>
      <c r="J356" t="s">
        <v>178</v>
      </c>
      <c r="K356">
        <v>0.14314315154442037</v>
      </c>
      <c r="L356" t="s">
        <v>169</v>
      </c>
    </row>
    <row r="357" spans="9:12" x14ac:dyDescent="0.45">
      <c r="I357" t="s">
        <v>218</v>
      </c>
      <c r="J357" t="s">
        <v>179</v>
      </c>
      <c r="K357">
        <v>7.6920581330090941E-3</v>
      </c>
      <c r="L357" t="s">
        <v>169</v>
      </c>
    </row>
    <row r="358" spans="9:12" x14ac:dyDescent="0.45">
      <c r="I358" t="s">
        <v>218</v>
      </c>
      <c r="J358" t="s">
        <v>180</v>
      </c>
      <c r="K358">
        <v>2.9807256240228638E-3</v>
      </c>
      <c r="L358" t="s">
        <v>169</v>
      </c>
    </row>
    <row r="359" spans="9:12" x14ac:dyDescent="0.45">
      <c r="I359" t="s">
        <v>218</v>
      </c>
      <c r="J359" t="s">
        <v>181</v>
      </c>
      <c r="K359">
        <v>0</v>
      </c>
      <c r="L359" t="s">
        <v>169</v>
      </c>
    </row>
    <row r="360" spans="9:12" x14ac:dyDescent="0.45">
      <c r="I360" t="s">
        <v>218</v>
      </c>
      <c r="J360" t="s">
        <v>182</v>
      </c>
      <c r="K360">
        <v>3.0298355954584996E-3</v>
      </c>
      <c r="L360" t="s">
        <v>169</v>
      </c>
    </row>
    <row r="361" spans="9:12" x14ac:dyDescent="0.45">
      <c r="I361" t="s">
        <v>218</v>
      </c>
      <c r="J361" t="s">
        <v>183</v>
      </c>
      <c r="K361">
        <v>2.3245300916715495E-2</v>
      </c>
      <c r="L361" t="s">
        <v>169</v>
      </c>
    </row>
    <row r="362" spans="9:12" x14ac:dyDescent="0.45">
      <c r="I362" t="s">
        <v>218</v>
      </c>
      <c r="J362" t="s">
        <v>184</v>
      </c>
      <c r="K362">
        <v>0.16684145884925566</v>
      </c>
      <c r="L362" t="s">
        <v>169</v>
      </c>
    </row>
    <row r="363" spans="9:12" x14ac:dyDescent="0.45">
      <c r="I363" t="s">
        <v>218</v>
      </c>
      <c r="J363" t="s">
        <v>185</v>
      </c>
      <c r="K363">
        <v>1.1175242703785771E-2</v>
      </c>
      <c r="L363" t="s">
        <v>169</v>
      </c>
    </row>
    <row r="364" spans="9:12" x14ac:dyDescent="0.45">
      <c r="I364" t="s">
        <v>218</v>
      </c>
      <c r="J364" t="s">
        <v>186</v>
      </c>
      <c r="K364">
        <v>9.0983853320154105E-3</v>
      </c>
      <c r="L364" t="s">
        <v>169</v>
      </c>
    </row>
    <row r="365" spans="9:12" x14ac:dyDescent="0.45">
      <c r="I365" t="s">
        <v>218</v>
      </c>
      <c r="J365" t="s">
        <v>187</v>
      </c>
      <c r="K365">
        <v>0</v>
      </c>
      <c r="L365" t="s">
        <v>169</v>
      </c>
    </row>
    <row r="366" spans="9:12" x14ac:dyDescent="0.45">
      <c r="I366" t="s">
        <v>218</v>
      </c>
      <c r="J366" t="s">
        <v>188</v>
      </c>
      <c r="K366">
        <v>1.6747629766185605E-3</v>
      </c>
      <c r="L366" t="s">
        <v>169</v>
      </c>
    </row>
    <row r="367" spans="9:12" x14ac:dyDescent="0.45">
      <c r="I367" t="s">
        <v>218</v>
      </c>
      <c r="J367" t="s">
        <v>189</v>
      </c>
      <c r="K367">
        <v>2.3436742125398886E-2</v>
      </c>
      <c r="L367" t="s">
        <v>169</v>
      </c>
    </row>
    <row r="368" spans="9:12" x14ac:dyDescent="0.45">
      <c r="I368" t="s">
        <v>218</v>
      </c>
      <c r="J368" t="s">
        <v>190</v>
      </c>
      <c r="K368">
        <v>0.16861985271434018</v>
      </c>
      <c r="L368" t="s">
        <v>169</v>
      </c>
    </row>
    <row r="369" spans="9:12" x14ac:dyDescent="0.45">
      <c r="I369" t="s">
        <v>218</v>
      </c>
      <c r="J369" t="s">
        <v>191</v>
      </c>
      <c r="K369">
        <v>1.2385354266974173E-2</v>
      </c>
      <c r="L369" t="s">
        <v>169</v>
      </c>
    </row>
    <row r="370" spans="9:12" x14ac:dyDescent="0.45">
      <c r="I370" t="s">
        <v>218</v>
      </c>
      <c r="J370" t="s">
        <v>192</v>
      </c>
      <c r="K370">
        <v>1.0182287847103715E-2</v>
      </c>
      <c r="L370" t="s">
        <v>169</v>
      </c>
    </row>
    <row r="371" spans="9:12" x14ac:dyDescent="0.45">
      <c r="I371" t="s">
        <v>218</v>
      </c>
      <c r="J371" t="s">
        <v>193</v>
      </c>
      <c r="K371">
        <v>0</v>
      </c>
      <c r="L371" t="s">
        <v>169</v>
      </c>
    </row>
    <row r="372" spans="9:12" x14ac:dyDescent="0.45">
      <c r="I372" t="s">
        <v>218</v>
      </c>
      <c r="J372" t="s">
        <v>194</v>
      </c>
      <c r="K372">
        <v>0</v>
      </c>
      <c r="L372" t="s">
        <v>169</v>
      </c>
    </row>
    <row r="373" spans="9:12" x14ac:dyDescent="0.45">
      <c r="I373" t="s">
        <v>218</v>
      </c>
      <c r="J373" t="s">
        <v>195</v>
      </c>
      <c r="K373">
        <v>9.5500350092331491E-3</v>
      </c>
      <c r="L373" t="s">
        <v>169</v>
      </c>
    </row>
    <row r="374" spans="9:12" x14ac:dyDescent="0.45">
      <c r="I374" t="s">
        <v>218</v>
      </c>
      <c r="J374" t="s">
        <v>196</v>
      </c>
      <c r="K374">
        <v>8.1955480044659856E-2</v>
      </c>
      <c r="L374" t="s">
        <v>169</v>
      </c>
    </row>
    <row r="375" spans="9:12" x14ac:dyDescent="0.45">
      <c r="I375" t="s">
        <v>218</v>
      </c>
      <c r="J375" t="s">
        <v>197</v>
      </c>
      <c r="K375">
        <v>4.9945205885478273E-3</v>
      </c>
      <c r="L375" t="s">
        <v>169</v>
      </c>
    </row>
    <row r="376" spans="9:12" x14ac:dyDescent="0.45">
      <c r="I376" t="s">
        <v>218</v>
      </c>
      <c r="J376" t="s">
        <v>198</v>
      </c>
      <c r="K376">
        <v>1.2793095239452194E-3</v>
      </c>
      <c r="L376" t="s">
        <v>169</v>
      </c>
    </row>
    <row r="377" spans="9:12" x14ac:dyDescent="0.45">
      <c r="I377" t="s">
        <v>218</v>
      </c>
      <c r="J377" t="s">
        <v>199</v>
      </c>
      <c r="K377">
        <v>0</v>
      </c>
      <c r="L377" t="s">
        <v>169</v>
      </c>
    </row>
    <row r="378" spans="9:12" x14ac:dyDescent="0.45">
      <c r="I378" t="s">
        <v>218</v>
      </c>
      <c r="J378" t="s">
        <v>200</v>
      </c>
      <c r="K378">
        <v>0</v>
      </c>
      <c r="L378" t="s">
        <v>169</v>
      </c>
    </row>
    <row r="379" spans="9:12" x14ac:dyDescent="0.45">
      <c r="I379" t="s">
        <v>218</v>
      </c>
      <c r="J379" t="s">
        <v>201</v>
      </c>
      <c r="K379">
        <v>4.2325598376184359E-3</v>
      </c>
      <c r="L379" t="s">
        <v>169</v>
      </c>
    </row>
    <row r="380" spans="9:12" x14ac:dyDescent="0.45">
      <c r="I380" t="s">
        <v>218</v>
      </c>
      <c r="J380" t="s">
        <v>202</v>
      </c>
      <c r="K380">
        <v>7.0781671080828709E-2</v>
      </c>
      <c r="L380" t="s">
        <v>169</v>
      </c>
    </row>
    <row r="381" spans="9:12" x14ac:dyDescent="0.45">
      <c r="I381" t="s">
        <v>218</v>
      </c>
      <c r="J381" t="s">
        <v>203</v>
      </c>
      <c r="K381">
        <v>2.113809749400833E-3</v>
      </c>
      <c r="L381" t="s">
        <v>169</v>
      </c>
    </row>
    <row r="382" spans="9:12" x14ac:dyDescent="0.45">
      <c r="I382" t="s">
        <v>218</v>
      </c>
      <c r="J382" t="s">
        <v>204</v>
      </c>
      <c r="K382">
        <v>0</v>
      </c>
      <c r="L382" t="s">
        <v>169</v>
      </c>
    </row>
    <row r="383" spans="9:12" x14ac:dyDescent="0.45">
      <c r="I383" t="s">
        <v>218</v>
      </c>
      <c r="J383" t="s">
        <v>205</v>
      </c>
      <c r="K383">
        <v>0</v>
      </c>
      <c r="L383" t="s">
        <v>169</v>
      </c>
    </row>
    <row r="384" spans="9:12" x14ac:dyDescent="0.45">
      <c r="I384" t="s">
        <v>218</v>
      </c>
      <c r="J384" t="s">
        <v>206</v>
      </c>
      <c r="K384">
        <v>0</v>
      </c>
      <c r="L384" t="s">
        <v>169</v>
      </c>
    </row>
    <row r="385" spans="9:12" x14ac:dyDescent="0.45">
      <c r="I385" t="s">
        <v>218</v>
      </c>
      <c r="J385" t="s">
        <v>207</v>
      </c>
      <c r="K385">
        <v>2.1653569061027863E-3</v>
      </c>
      <c r="L385" t="s">
        <v>169</v>
      </c>
    </row>
    <row r="386" spans="9:12" x14ac:dyDescent="0.45">
      <c r="I386" t="s">
        <v>218</v>
      </c>
      <c r="J386" t="s">
        <v>208</v>
      </c>
      <c r="K386">
        <v>0.10695384980424771</v>
      </c>
      <c r="L386" t="s">
        <v>169</v>
      </c>
    </row>
    <row r="387" spans="9:12" x14ac:dyDescent="0.45">
      <c r="I387" t="s">
        <v>218</v>
      </c>
      <c r="J387" t="s">
        <v>209</v>
      </c>
      <c r="K387">
        <v>0</v>
      </c>
      <c r="L387" t="s">
        <v>169</v>
      </c>
    </row>
    <row r="388" spans="9:12" x14ac:dyDescent="0.45">
      <c r="I388" t="s">
        <v>218</v>
      </c>
      <c r="J388" t="s">
        <v>210</v>
      </c>
      <c r="K388">
        <v>0</v>
      </c>
      <c r="L388" t="s">
        <v>169</v>
      </c>
    </row>
    <row r="389" spans="9:12" x14ac:dyDescent="0.45">
      <c r="I389" t="s">
        <v>219</v>
      </c>
      <c r="J389" t="s">
        <v>168</v>
      </c>
      <c r="K389">
        <v>0</v>
      </c>
      <c r="L389" t="s">
        <v>169</v>
      </c>
    </row>
    <row r="390" spans="9:12" x14ac:dyDescent="0.45">
      <c r="I390" t="s">
        <v>219</v>
      </c>
      <c r="J390" t="s">
        <v>170</v>
      </c>
      <c r="K390">
        <v>0</v>
      </c>
      <c r="L390" t="s">
        <v>169</v>
      </c>
    </row>
    <row r="391" spans="9:12" x14ac:dyDescent="0.45">
      <c r="I391" t="s">
        <v>219</v>
      </c>
      <c r="J391" t="s">
        <v>171</v>
      </c>
      <c r="K391">
        <v>2.034927322703532E-3</v>
      </c>
      <c r="L391" t="s">
        <v>169</v>
      </c>
    </row>
    <row r="392" spans="9:12" x14ac:dyDescent="0.45">
      <c r="I392" t="s">
        <v>219</v>
      </c>
      <c r="J392" t="s">
        <v>172</v>
      </c>
      <c r="K392">
        <v>0.11726112271530784</v>
      </c>
      <c r="L392" t="s">
        <v>169</v>
      </c>
    </row>
    <row r="393" spans="9:12" x14ac:dyDescent="0.45">
      <c r="I393" t="s">
        <v>219</v>
      </c>
      <c r="J393" t="s">
        <v>173</v>
      </c>
      <c r="K393">
        <v>3.0394695920417979E-3</v>
      </c>
      <c r="L393" t="s">
        <v>169</v>
      </c>
    </row>
    <row r="394" spans="9:12" x14ac:dyDescent="0.45">
      <c r="I394" t="s">
        <v>219</v>
      </c>
      <c r="J394" t="s">
        <v>174</v>
      </c>
      <c r="K394">
        <v>0</v>
      </c>
      <c r="L394" t="s">
        <v>169</v>
      </c>
    </row>
    <row r="395" spans="9:12" x14ac:dyDescent="0.45">
      <c r="I395" t="s">
        <v>219</v>
      </c>
      <c r="J395" t="s">
        <v>175</v>
      </c>
      <c r="K395">
        <v>0</v>
      </c>
      <c r="L395" t="s">
        <v>169</v>
      </c>
    </row>
    <row r="396" spans="9:12" x14ac:dyDescent="0.45">
      <c r="I396" t="s">
        <v>219</v>
      </c>
      <c r="J396" t="s">
        <v>176</v>
      </c>
      <c r="K396">
        <v>0</v>
      </c>
      <c r="L396" t="s">
        <v>169</v>
      </c>
    </row>
    <row r="397" spans="9:12" x14ac:dyDescent="0.45">
      <c r="I397" t="s">
        <v>219</v>
      </c>
      <c r="J397" t="s">
        <v>177</v>
      </c>
      <c r="K397">
        <v>1.3910960523651638E-2</v>
      </c>
      <c r="L397" t="s">
        <v>169</v>
      </c>
    </row>
    <row r="398" spans="9:12" x14ac:dyDescent="0.45">
      <c r="I398" t="s">
        <v>219</v>
      </c>
      <c r="J398" t="s">
        <v>178</v>
      </c>
      <c r="K398">
        <v>0.15113170267870915</v>
      </c>
      <c r="L398" t="s">
        <v>169</v>
      </c>
    </row>
    <row r="399" spans="9:12" x14ac:dyDescent="0.45">
      <c r="I399" t="s">
        <v>219</v>
      </c>
      <c r="J399" t="s">
        <v>179</v>
      </c>
      <c r="K399">
        <v>8.2374566689264513E-3</v>
      </c>
      <c r="L399" t="s">
        <v>169</v>
      </c>
    </row>
    <row r="400" spans="9:12" x14ac:dyDescent="0.45">
      <c r="I400" t="s">
        <v>219</v>
      </c>
      <c r="J400" t="s">
        <v>180</v>
      </c>
      <c r="K400">
        <v>3.1180585486661389E-3</v>
      </c>
      <c r="L400" t="s">
        <v>169</v>
      </c>
    </row>
    <row r="401" spans="9:12" x14ac:dyDescent="0.45">
      <c r="I401" t="s">
        <v>219</v>
      </c>
      <c r="J401" t="s">
        <v>181</v>
      </c>
      <c r="K401">
        <v>0</v>
      </c>
      <c r="L401" t="s">
        <v>169</v>
      </c>
    </row>
    <row r="402" spans="9:12" x14ac:dyDescent="0.45">
      <c r="I402" t="s">
        <v>219</v>
      </c>
      <c r="J402" t="s">
        <v>182</v>
      </c>
      <c r="K402">
        <v>3.2938886748622473E-3</v>
      </c>
      <c r="L402" t="s">
        <v>169</v>
      </c>
    </row>
    <row r="403" spans="9:12" x14ac:dyDescent="0.45">
      <c r="I403" t="s">
        <v>219</v>
      </c>
      <c r="J403" t="s">
        <v>183</v>
      </c>
      <c r="K403">
        <v>2.3032760994080848E-2</v>
      </c>
      <c r="L403" t="s">
        <v>169</v>
      </c>
    </row>
    <row r="404" spans="9:12" x14ac:dyDescent="0.45">
      <c r="I404" t="s">
        <v>219</v>
      </c>
      <c r="J404" t="s">
        <v>184</v>
      </c>
      <c r="K404">
        <v>0.16395016713778277</v>
      </c>
      <c r="L404" t="s">
        <v>169</v>
      </c>
    </row>
    <row r="405" spans="9:12" x14ac:dyDescent="0.45">
      <c r="I405" t="s">
        <v>219</v>
      </c>
      <c r="J405" t="s">
        <v>185</v>
      </c>
      <c r="K405">
        <v>1.0891987835688378E-2</v>
      </c>
      <c r="L405" t="s">
        <v>169</v>
      </c>
    </row>
    <row r="406" spans="9:12" x14ac:dyDescent="0.45">
      <c r="I406" t="s">
        <v>219</v>
      </c>
      <c r="J406" t="s">
        <v>186</v>
      </c>
      <c r="K406">
        <v>8.3619697699888543E-3</v>
      </c>
      <c r="L406" t="s">
        <v>169</v>
      </c>
    </row>
    <row r="407" spans="9:12" x14ac:dyDescent="0.45">
      <c r="I407" t="s">
        <v>219</v>
      </c>
      <c r="J407" t="s">
        <v>187</v>
      </c>
      <c r="K407">
        <v>0</v>
      </c>
      <c r="L407" t="s">
        <v>169</v>
      </c>
    </row>
    <row r="408" spans="9:12" x14ac:dyDescent="0.45">
      <c r="I408" t="s">
        <v>219</v>
      </c>
      <c r="J408" t="s">
        <v>188</v>
      </c>
      <c r="K408">
        <v>1.8889155059922677E-3</v>
      </c>
      <c r="L408" t="s">
        <v>169</v>
      </c>
    </row>
    <row r="409" spans="9:12" x14ac:dyDescent="0.45">
      <c r="I409" t="s">
        <v>219</v>
      </c>
      <c r="J409" t="s">
        <v>189</v>
      </c>
      <c r="K409">
        <v>2.3141162481815237E-2</v>
      </c>
      <c r="L409" t="s">
        <v>169</v>
      </c>
    </row>
    <row r="410" spans="9:12" x14ac:dyDescent="0.45">
      <c r="I410" t="s">
        <v>219</v>
      </c>
      <c r="J410" t="s">
        <v>190</v>
      </c>
      <c r="K410">
        <v>0.16165392555939428</v>
      </c>
      <c r="L410" t="s">
        <v>169</v>
      </c>
    </row>
    <row r="411" spans="9:12" x14ac:dyDescent="0.45">
      <c r="I411" t="s">
        <v>219</v>
      </c>
      <c r="J411" t="s">
        <v>191</v>
      </c>
      <c r="K411">
        <v>1.1121007771925056E-2</v>
      </c>
      <c r="L411" t="s">
        <v>169</v>
      </c>
    </row>
    <row r="412" spans="9:12" x14ac:dyDescent="0.45">
      <c r="I412" t="s">
        <v>219</v>
      </c>
      <c r="J412" t="s">
        <v>192</v>
      </c>
      <c r="K412">
        <v>8.4394326294043292E-3</v>
      </c>
      <c r="L412" t="s">
        <v>169</v>
      </c>
    </row>
    <row r="413" spans="9:12" x14ac:dyDescent="0.45">
      <c r="I413" t="s">
        <v>219</v>
      </c>
      <c r="J413" t="s">
        <v>193</v>
      </c>
      <c r="K413">
        <v>0</v>
      </c>
      <c r="L413" t="s">
        <v>169</v>
      </c>
    </row>
    <row r="414" spans="9:12" x14ac:dyDescent="0.45">
      <c r="I414" t="s">
        <v>219</v>
      </c>
      <c r="J414" t="s">
        <v>194</v>
      </c>
      <c r="K414">
        <v>0</v>
      </c>
      <c r="L414" t="s">
        <v>169</v>
      </c>
    </row>
    <row r="415" spans="9:12" x14ac:dyDescent="0.45">
      <c r="I415" t="s">
        <v>219</v>
      </c>
      <c r="J415" t="s">
        <v>195</v>
      </c>
      <c r="K415">
        <v>9.9944522676700849E-3</v>
      </c>
      <c r="L415" t="s">
        <v>169</v>
      </c>
    </row>
    <row r="416" spans="9:12" x14ac:dyDescent="0.45">
      <c r="I416" t="s">
        <v>219</v>
      </c>
      <c r="J416" t="s">
        <v>196</v>
      </c>
      <c r="K416">
        <v>7.9915223159989085E-2</v>
      </c>
      <c r="L416" t="s">
        <v>169</v>
      </c>
    </row>
    <row r="417" spans="9:12" x14ac:dyDescent="0.45">
      <c r="I417" t="s">
        <v>219</v>
      </c>
      <c r="J417" t="s">
        <v>197</v>
      </c>
      <c r="K417">
        <v>4.6075162824564912E-3</v>
      </c>
      <c r="L417" t="s">
        <v>169</v>
      </c>
    </row>
    <row r="418" spans="9:12" x14ac:dyDescent="0.45">
      <c r="I418" t="s">
        <v>219</v>
      </c>
      <c r="J418" t="s">
        <v>198</v>
      </c>
      <c r="K418">
        <v>1.0050667410817075E-3</v>
      </c>
      <c r="L418" t="s">
        <v>169</v>
      </c>
    </row>
    <row r="419" spans="9:12" x14ac:dyDescent="0.45">
      <c r="I419" t="s">
        <v>219</v>
      </c>
      <c r="J419" t="s">
        <v>199</v>
      </c>
      <c r="K419">
        <v>0</v>
      </c>
      <c r="L419" t="s">
        <v>169</v>
      </c>
    </row>
    <row r="420" spans="9:12" x14ac:dyDescent="0.45">
      <c r="I420" t="s">
        <v>219</v>
      </c>
      <c r="J420" t="s">
        <v>200</v>
      </c>
      <c r="K420">
        <v>0</v>
      </c>
      <c r="L420" t="s">
        <v>169</v>
      </c>
    </row>
    <row r="421" spans="9:12" x14ac:dyDescent="0.45">
      <c r="I421" t="s">
        <v>219</v>
      </c>
      <c r="J421" t="s">
        <v>201</v>
      </c>
      <c r="K421">
        <v>4.7923501406661921E-3</v>
      </c>
      <c r="L421" t="s">
        <v>169</v>
      </c>
    </row>
    <row r="422" spans="9:12" x14ac:dyDescent="0.45">
      <c r="I422" t="s">
        <v>219</v>
      </c>
      <c r="J422" t="s">
        <v>202</v>
      </c>
      <c r="K422">
        <v>7.0970915033943538E-2</v>
      </c>
      <c r="L422" t="s">
        <v>169</v>
      </c>
    </row>
    <row r="423" spans="9:12" x14ac:dyDescent="0.45">
      <c r="I423" t="s">
        <v>219</v>
      </c>
      <c r="J423" t="s">
        <v>203</v>
      </c>
      <c r="K423">
        <v>1.9568847440980795E-3</v>
      </c>
      <c r="L423" t="s">
        <v>169</v>
      </c>
    </row>
    <row r="424" spans="9:12" x14ac:dyDescent="0.45">
      <c r="I424" t="s">
        <v>219</v>
      </c>
      <c r="J424" t="s">
        <v>204</v>
      </c>
      <c r="K424">
        <v>0</v>
      </c>
      <c r="L424" t="s">
        <v>169</v>
      </c>
    </row>
    <row r="425" spans="9:12" x14ac:dyDescent="0.45">
      <c r="I425" t="s">
        <v>219</v>
      </c>
      <c r="J425" t="s">
        <v>205</v>
      </c>
      <c r="K425">
        <v>0</v>
      </c>
      <c r="L425" t="s">
        <v>169</v>
      </c>
    </row>
    <row r="426" spans="9:12" x14ac:dyDescent="0.45">
      <c r="I426" t="s">
        <v>219</v>
      </c>
      <c r="J426" t="s">
        <v>206</v>
      </c>
      <c r="K426">
        <v>0</v>
      </c>
      <c r="L426" t="s">
        <v>169</v>
      </c>
    </row>
    <row r="427" spans="9:12" x14ac:dyDescent="0.45">
      <c r="I427" t="s">
        <v>219</v>
      </c>
      <c r="J427" t="s">
        <v>207</v>
      </c>
      <c r="K427">
        <v>2.6116812066632254E-3</v>
      </c>
      <c r="L427" t="s">
        <v>169</v>
      </c>
    </row>
    <row r="428" spans="9:12" x14ac:dyDescent="0.45">
      <c r="I428" t="s">
        <v>219</v>
      </c>
      <c r="J428" t="s">
        <v>208</v>
      </c>
      <c r="K428">
        <v>0.10963699401249219</v>
      </c>
      <c r="L428" t="s">
        <v>169</v>
      </c>
    </row>
    <row r="429" spans="9:12" x14ac:dyDescent="0.45">
      <c r="I429" t="s">
        <v>219</v>
      </c>
      <c r="J429" t="s">
        <v>209</v>
      </c>
      <c r="K429">
        <v>0</v>
      </c>
      <c r="L429" t="s">
        <v>169</v>
      </c>
    </row>
    <row r="430" spans="9:12" x14ac:dyDescent="0.45">
      <c r="I430" t="s">
        <v>219</v>
      </c>
      <c r="J430" t="s">
        <v>210</v>
      </c>
      <c r="K430">
        <v>0</v>
      </c>
      <c r="L430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F06EA-8F65-4473-9337-C9AF1FCB8754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240</v>
      </c>
      <c r="D11" t="s">
        <v>151</v>
      </c>
      <c r="E11" t="s">
        <v>241</v>
      </c>
      <c r="F11" t="s">
        <v>240</v>
      </c>
      <c r="G11" t="s">
        <v>151</v>
      </c>
      <c r="I11" t="s">
        <v>167</v>
      </c>
      <c r="J11" t="s">
        <v>242</v>
      </c>
      <c r="K11">
        <v>0.99999999999999833</v>
      </c>
      <c r="L11" t="s">
        <v>169</v>
      </c>
      <c r="N11" t="s">
        <v>220</v>
      </c>
      <c r="O11" t="s">
        <v>242</v>
      </c>
      <c r="P11">
        <v>0.99999999999999767</v>
      </c>
      <c r="Q11" t="s">
        <v>169</v>
      </c>
      <c r="S11" t="s">
        <v>225</v>
      </c>
      <c r="T11" t="s">
        <v>242</v>
      </c>
      <c r="U11">
        <v>0.99999999999999767</v>
      </c>
      <c r="V11" t="s">
        <v>169</v>
      </c>
      <c r="X11">
        <v>1</v>
      </c>
      <c r="Y11">
        <v>1.0000000000000002</v>
      </c>
      <c r="Z11" t="s">
        <v>242</v>
      </c>
      <c r="AA11" t="s">
        <v>25</v>
      </c>
      <c r="AC11" t="s">
        <v>22</v>
      </c>
      <c r="AD11" t="s">
        <v>242</v>
      </c>
      <c r="AE11">
        <v>1</v>
      </c>
      <c r="AG11" t="s">
        <v>97</v>
      </c>
      <c r="AH11" t="s">
        <v>242</v>
      </c>
      <c r="AI11">
        <v>0.36255820130825911</v>
      </c>
      <c r="AK11">
        <v>2025</v>
      </c>
      <c r="AL11" t="s">
        <v>240</v>
      </c>
      <c r="AM11">
        <v>0.39169166666666672</v>
      </c>
      <c r="AN11" t="s">
        <v>239</v>
      </c>
    </row>
    <row r="12" spans="1:40" x14ac:dyDescent="0.45">
      <c r="I12" t="s">
        <v>211</v>
      </c>
      <c r="J12" t="s">
        <v>242</v>
      </c>
      <c r="K12">
        <v>1.0000000000000027</v>
      </c>
      <c r="L12" t="s">
        <v>169</v>
      </c>
      <c r="N12" t="s">
        <v>221</v>
      </c>
      <c r="O12" t="s">
        <v>242</v>
      </c>
      <c r="P12">
        <v>0.999999999999998</v>
      </c>
      <c r="Q12" t="s">
        <v>169</v>
      </c>
      <c r="S12" t="s">
        <v>226</v>
      </c>
      <c r="T12" t="s">
        <v>242</v>
      </c>
      <c r="U12">
        <v>0.999999999999998</v>
      </c>
      <c r="V12" t="s">
        <v>169</v>
      </c>
      <c r="AC12" t="s">
        <v>19</v>
      </c>
      <c r="AD12" t="s">
        <v>242</v>
      </c>
      <c r="AE12">
        <v>1</v>
      </c>
      <c r="AK12">
        <v>2026</v>
      </c>
      <c r="AL12" t="s">
        <v>240</v>
      </c>
      <c r="AM12">
        <v>0.385075</v>
      </c>
      <c r="AN12" t="s">
        <v>239</v>
      </c>
    </row>
    <row r="13" spans="1:40" x14ac:dyDescent="0.45">
      <c r="I13" t="s">
        <v>212</v>
      </c>
      <c r="J13" t="s">
        <v>242</v>
      </c>
      <c r="K13">
        <v>0.99999999999999645</v>
      </c>
      <c r="L13" t="s">
        <v>169</v>
      </c>
      <c r="N13" t="s">
        <v>222</v>
      </c>
      <c r="O13" t="s">
        <v>242</v>
      </c>
      <c r="P13">
        <v>1.0000000000000002</v>
      </c>
      <c r="Q13" t="s">
        <v>169</v>
      </c>
      <c r="S13" t="s">
        <v>227</v>
      </c>
      <c r="T13" t="s">
        <v>242</v>
      </c>
      <c r="U13">
        <v>1.0000000000000002</v>
      </c>
      <c r="V13" t="s">
        <v>169</v>
      </c>
      <c r="AK13">
        <v>2027</v>
      </c>
      <c r="AL13" t="s">
        <v>240</v>
      </c>
      <c r="AM13">
        <v>0.39305833333333329</v>
      </c>
      <c r="AN13" t="s">
        <v>239</v>
      </c>
    </row>
    <row r="14" spans="1:40" x14ac:dyDescent="0.45">
      <c r="I14" t="s">
        <v>213</v>
      </c>
      <c r="J14" t="s">
        <v>242</v>
      </c>
      <c r="K14">
        <v>1.0000000000000004</v>
      </c>
      <c r="L14" t="s">
        <v>169</v>
      </c>
      <c r="N14" t="s">
        <v>223</v>
      </c>
      <c r="O14" t="s">
        <v>242</v>
      </c>
      <c r="P14">
        <v>1.0000000000000036</v>
      </c>
      <c r="Q14" t="s">
        <v>169</v>
      </c>
      <c r="S14" t="s">
        <v>228</v>
      </c>
      <c r="T14" t="s">
        <v>242</v>
      </c>
      <c r="U14">
        <v>1.0000000000000036</v>
      </c>
      <c r="V14" t="s">
        <v>169</v>
      </c>
      <c r="AK14">
        <v>2028</v>
      </c>
      <c r="AL14" t="s">
        <v>240</v>
      </c>
      <c r="AM14">
        <v>0.39322499999999999</v>
      </c>
      <c r="AN14" t="s">
        <v>239</v>
      </c>
    </row>
    <row r="15" spans="1:40" x14ac:dyDescent="0.45">
      <c r="I15" t="s">
        <v>214</v>
      </c>
      <c r="J15" t="s">
        <v>242</v>
      </c>
      <c r="K15">
        <v>0.99999999999999933</v>
      </c>
      <c r="L15" t="s">
        <v>169</v>
      </c>
      <c r="N15" t="s">
        <v>224</v>
      </c>
      <c r="O15" t="s">
        <v>242</v>
      </c>
      <c r="P15">
        <v>1.0000000000000018</v>
      </c>
      <c r="Q15" t="s">
        <v>169</v>
      </c>
      <c r="S15" t="s">
        <v>229</v>
      </c>
      <c r="T15" t="s">
        <v>242</v>
      </c>
      <c r="U15">
        <v>1.0000000000000018</v>
      </c>
      <c r="V15" t="s">
        <v>169</v>
      </c>
      <c r="AK15">
        <v>2029</v>
      </c>
      <c r="AL15" t="s">
        <v>240</v>
      </c>
      <c r="AM15">
        <v>0.39128333333333337</v>
      </c>
      <c r="AN15" t="s">
        <v>239</v>
      </c>
    </row>
    <row r="16" spans="1:40" x14ac:dyDescent="0.45">
      <c r="I16" t="s">
        <v>215</v>
      </c>
      <c r="J16" t="s">
        <v>242</v>
      </c>
      <c r="K16">
        <v>0.99999999999999944</v>
      </c>
      <c r="L16" t="s">
        <v>169</v>
      </c>
      <c r="AK16">
        <v>2030</v>
      </c>
      <c r="AL16" t="s">
        <v>240</v>
      </c>
      <c r="AM16">
        <v>0.39234166666666664</v>
      </c>
      <c r="AN16" t="s">
        <v>239</v>
      </c>
    </row>
    <row r="17" spans="9:40" x14ac:dyDescent="0.45">
      <c r="I17" t="s">
        <v>216</v>
      </c>
      <c r="J17" t="s">
        <v>242</v>
      </c>
      <c r="K17">
        <v>0.99999999999999822</v>
      </c>
      <c r="L17" t="s">
        <v>169</v>
      </c>
      <c r="AK17">
        <v>2031</v>
      </c>
      <c r="AL17" t="s">
        <v>240</v>
      </c>
      <c r="AM17">
        <v>0.38869166666666666</v>
      </c>
      <c r="AN17" t="s">
        <v>239</v>
      </c>
    </row>
    <row r="18" spans="9:40" x14ac:dyDescent="0.45">
      <c r="I18" t="s">
        <v>217</v>
      </c>
      <c r="J18" t="s">
        <v>242</v>
      </c>
      <c r="K18">
        <v>1.0000000000000009</v>
      </c>
      <c r="L18" t="s">
        <v>169</v>
      </c>
      <c r="AK18">
        <v>2032</v>
      </c>
      <c r="AL18" t="s">
        <v>240</v>
      </c>
      <c r="AM18">
        <v>0.32980833333333331</v>
      </c>
      <c r="AN18" t="s">
        <v>239</v>
      </c>
    </row>
    <row r="19" spans="9:40" x14ac:dyDescent="0.45">
      <c r="I19" t="s">
        <v>218</v>
      </c>
      <c r="J19" t="s">
        <v>242</v>
      </c>
      <c r="K19">
        <v>1.0000000000000004</v>
      </c>
      <c r="L19" t="s">
        <v>169</v>
      </c>
      <c r="AK19">
        <v>2033</v>
      </c>
      <c r="AL19" t="s">
        <v>240</v>
      </c>
      <c r="AM19">
        <v>0.32800833333333329</v>
      </c>
      <c r="AN19" t="s">
        <v>239</v>
      </c>
    </row>
    <row r="20" spans="9:40" x14ac:dyDescent="0.45">
      <c r="I20" t="s">
        <v>219</v>
      </c>
      <c r="J20" t="s">
        <v>242</v>
      </c>
      <c r="K20">
        <v>1.0000000000000013</v>
      </c>
      <c r="L20" t="s">
        <v>169</v>
      </c>
      <c r="AK20">
        <v>2034</v>
      </c>
      <c r="AL20" t="s">
        <v>240</v>
      </c>
      <c r="AM20">
        <v>0.44468333333333332</v>
      </c>
      <c r="AN20" t="s">
        <v>239</v>
      </c>
    </row>
    <row r="21" spans="9:40" x14ac:dyDescent="0.45">
      <c r="AK21">
        <v>2035</v>
      </c>
      <c r="AL21" t="s">
        <v>240</v>
      </c>
      <c r="AM21">
        <v>0.44677499999999998</v>
      </c>
      <c r="AN21" t="s">
        <v>239</v>
      </c>
    </row>
    <row r="22" spans="9:40" x14ac:dyDescent="0.45">
      <c r="AK22">
        <v>2036</v>
      </c>
      <c r="AL22" t="s">
        <v>240</v>
      </c>
      <c r="AM22">
        <v>0.39076666666666665</v>
      </c>
      <c r="AN22" t="s">
        <v>239</v>
      </c>
    </row>
    <row r="23" spans="9:40" x14ac:dyDescent="0.45">
      <c r="AK23">
        <v>2037</v>
      </c>
      <c r="AL23" t="s">
        <v>240</v>
      </c>
      <c r="AM23">
        <v>0.38975000000000004</v>
      </c>
      <c r="AN23" t="s">
        <v>239</v>
      </c>
    </row>
    <row r="24" spans="9:40" x14ac:dyDescent="0.45">
      <c r="AK24">
        <v>2038</v>
      </c>
      <c r="AL24" t="s">
        <v>240</v>
      </c>
      <c r="AM24">
        <v>0.383075</v>
      </c>
      <c r="AN24" t="s">
        <v>239</v>
      </c>
    </row>
    <row r="25" spans="9:40" x14ac:dyDescent="0.45">
      <c r="AK25">
        <v>2039</v>
      </c>
      <c r="AL25" t="s">
        <v>240</v>
      </c>
      <c r="AM25">
        <v>0.323625</v>
      </c>
      <c r="AN25" t="s">
        <v>239</v>
      </c>
    </row>
    <row r="26" spans="9:40" x14ac:dyDescent="0.45">
      <c r="AK26">
        <v>2040</v>
      </c>
      <c r="AL26" t="s">
        <v>240</v>
      </c>
      <c r="AM26">
        <v>0.33610000000000001</v>
      </c>
      <c r="AN26" t="s">
        <v>239</v>
      </c>
    </row>
    <row r="27" spans="9:40" x14ac:dyDescent="0.45">
      <c r="AK27">
        <v>2041</v>
      </c>
      <c r="AL27" t="s">
        <v>240</v>
      </c>
      <c r="AM27">
        <v>0.32940000000000003</v>
      </c>
      <c r="AN27" t="s">
        <v>239</v>
      </c>
    </row>
    <row r="28" spans="9:40" x14ac:dyDescent="0.45">
      <c r="AK28">
        <v>2042</v>
      </c>
      <c r="AL28" t="s">
        <v>240</v>
      </c>
      <c r="AM28">
        <v>0.43420833333333331</v>
      </c>
      <c r="AN28" t="s">
        <v>239</v>
      </c>
    </row>
    <row r="29" spans="9:40" x14ac:dyDescent="0.45">
      <c r="AK29">
        <v>2043</v>
      </c>
      <c r="AL29" t="s">
        <v>240</v>
      </c>
      <c r="AM29">
        <v>0.3937666666666666</v>
      </c>
      <c r="AN29" t="s">
        <v>239</v>
      </c>
    </row>
    <row r="30" spans="9:40" x14ac:dyDescent="0.45">
      <c r="AK30">
        <v>2044</v>
      </c>
      <c r="AL30" t="s">
        <v>240</v>
      </c>
      <c r="AM30">
        <v>0.38375833333333337</v>
      </c>
      <c r="AN30" t="s">
        <v>239</v>
      </c>
    </row>
    <row r="31" spans="9:40" x14ac:dyDescent="0.45">
      <c r="AK31">
        <v>2045</v>
      </c>
      <c r="AL31" t="s">
        <v>240</v>
      </c>
      <c r="AM31">
        <v>0.40036666666666659</v>
      </c>
      <c r="AN31" t="s">
        <v>239</v>
      </c>
    </row>
    <row r="32" spans="9:40" x14ac:dyDescent="0.45">
      <c r="AK32">
        <v>2046</v>
      </c>
      <c r="AL32" t="s">
        <v>240</v>
      </c>
      <c r="AM32">
        <v>0.37750833333333333</v>
      </c>
      <c r="AN32" t="s">
        <v>239</v>
      </c>
    </row>
    <row r="33" spans="37:40" x14ac:dyDescent="0.45">
      <c r="AK33">
        <v>2047</v>
      </c>
      <c r="AL33" t="s">
        <v>240</v>
      </c>
      <c r="AM33">
        <v>0.3807666666666667</v>
      </c>
      <c r="AN33" t="s">
        <v>239</v>
      </c>
    </row>
    <row r="34" spans="37:40" x14ac:dyDescent="0.45">
      <c r="AK34">
        <v>2048</v>
      </c>
      <c r="AL34" t="s">
        <v>240</v>
      </c>
      <c r="AM34">
        <v>0.38595833333333335</v>
      </c>
      <c r="AN34" t="s">
        <v>239</v>
      </c>
    </row>
    <row r="35" spans="37:40" x14ac:dyDescent="0.45">
      <c r="AK35">
        <v>2049</v>
      </c>
      <c r="AL35" t="s">
        <v>240</v>
      </c>
      <c r="AM35">
        <v>0.38224166666666665</v>
      </c>
      <c r="AN35" t="s">
        <v>239</v>
      </c>
    </row>
    <row r="36" spans="37:40" x14ac:dyDescent="0.45">
      <c r="AK36">
        <v>2050</v>
      </c>
      <c r="AL36" t="s">
        <v>240</v>
      </c>
      <c r="AM36">
        <v>0.44126666666666664</v>
      </c>
      <c r="AN36" t="s">
        <v>239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64C0F-9545-4BFE-ABD9-4DE6930D0FCC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243</v>
      </c>
      <c r="D11" t="s">
        <v>151</v>
      </c>
      <c r="E11" t="s">
        <v>232</v>
      </c>
      <c r="F11" t="s">
        <v>244</v>
      </c>
      <c r="G11" t="s">
        <v>151</v>
      </c>
      <c r="I11" t="s">
        <v>167</v>
      </c>
      <c r="J11" t="s">
        <v>249</v>
      </c>
      <c r="K11">
        <v>0.21400198460197029</v>
      </c>
      <c r="L11" t="s">
        <v>169</v>
      </c>
      <c r="N11" t="s">
        <v>220</v>
      </c>
      <c r="O11" t="s">
        <v>249</v>
      </c>
      <c r="P11">
        <v>6.7183178808154137E-2</v>
      </c>
      <c r="Q11" t="s">
        <v>169</v>
      </c>
      <c r="S11" t="s">
        <v>225</v>
      </c>
      <c r="T11" t="s">
        <v>249</v>
      </c>
      <c r="U11">
        <v>6.7183178808154137E-2</v>
      </c>
      <c r="V11" t="s">
        <v>169</v>
      </c>
      <c r="X11">
        <v>0.11426940639269406</v>
      </c>
      <c r="Y11">
        <v>0.16087081189037786</v>
      </c>
      <c r="Z11" t="s">
        <v>249</v>
      </c>
      <c r="AA11" t="s">
        <v>25</v>
      </c>
      <c r="AC11" t="s">
        <v>22</v>
      </c>
      <c r="AD11" t="s">
        <v>249</v>
      </c>
      <c r="AE11">
        <v>0.12758585807004824</v>
      </c>
      <c r="AG11" t="s">
        <v>97</v>
      </c>
      <c r="AH11" t="s">
        <v>249</v>
      </c>
      <c r="AI11">
        <v>0.20737707141113626</v>
      </c>
      <c r="AK11">
        <v>2025</v>
      </c>
      <c r="AL11" t="s">
        <v>243</v>
      </c>
      <c r="AM11">
        <v>0.43166666666666664</v>
      </c>
      <c r="AN11" t="s">
        <v>239</v>
      </c>
    </row>
    <row r="12" spans="1:40" x14ac:dyDescent="0.45">
      <c r="C12" t="s">
        <v>245</v>
      </c>
      <c r="E12" t="s">
        <v>234</v>
      </c>
      <c r="G12" t="s">
        <v>151</v>
      </c>
      <c r="I12" t="s">
        <v>167</v>
      </c>
      <c r="J12" t="s">
        <v>250</v>
      </c>
      <c r="K12">
        <v>3.3455171061090333E-4</v>
      </c>
      <c r="L12" t="s">
        <v>169</v>
      </c>
      <c r="N12" t="s">
        <v>220</v>
      </c>
      <c r="O12" t="s">
        <v>250</v>
      </c>
      <c r="P12">
        <v>7.2876088624244759E-2</v>
      </c>
      <c r="Q12" t="s">
        <v>169</v>
      </c>
      <c r="S12" t="s">
        <v>225</v>
      </c>
      <c r="T12" t="s">
        <v>250</v>
      </c>
      <c r="U12">
        <v>7.2876088624244759E-2</v>
      </c>
      <c r="V12" t="s">
        <v>169</v>
      </c>
      <c r="X12">
        <v>0.11426940639269406</v>
      </c>
      <c r="Y12">
        <v>5.2547713165767528E-2</v>
      </c>
      <c r="Z12" t="s">
        <v>250</v>
      </c>
      <c r="AA12" t="s">
        <v>25</v>
      </c>
      <c r="AC12" t="s">
        <v>22</v>
      </c>
      <c r="AD12" t="s">
        <v>250</v>
      </c>
      <c r="AE12">
        <v>9.5209810863065583E-2</v>
      </c>
      <c r="AG12" t="s">
        <v>97</v>
      </c>
      <c r="AH12" t="s">
        <v>250</v>
      </c>
      <c r="AI12">
        <v>0.36656695933381056</v>
      </c>
      <c r="AK12">
        <v>2025</v>
      </c>
      <c r="AL12" t="s">
        <v>245</v>
      </c>
      <c r="AM12">
        <v>0.36366666666666675</v>
      </c>
      <c r="AN12" t="s">
        <v>239</v>
      </c>
    </row>
    <row r="13" spans="1:40" x14ac:dyDescent="0.45">
      <c r="C13" t="s">
        <v>246</v>
      </c>
      <c r="E13" t="s">
        <v>247</v>
      </c>
      <c r="G13" t="s">
        <v>151</v>
      </c>
      <c r="I13" t="s">
        <v>167</v>
      </c>
      <c r="J13" t="s">
        <v>251</v>
      </c>
      <c r="K13">
        <v>2.1453089292728246E-2</v>
      </c>
      <c r="L13" t="s">
        <v>169</v>
      </c>
      <c r="N13" t="s">
        <v>220</v>
      </c>
      <c r="O13" t="s">
        <v>251</v>
      </c>
      <c r="P13">
        <v>1.8920102077243203E-2</v>
      </c>
      <c r="Q13" t="s">
        <v>169</v>
      </c>
      <c r="S13" t="s">
        <v>225</v>
      </c>
      <c r="T13" t="s">
        <v>251</v>
      </c>
      <c r="U13">
        <v>1.8920102077243203E-2</v>
      </c>
      <c r="V13" t="s">
        <v>169</v>
      </c>
      <c r="X13">
        <v>2.0776255707762557E-2</v>
      </c>
      <c r="Y13">
        <v>3.5896543437005365E-2</v>
      </c>
      <c r="Z13" t="s">
        <v>251</v>
      </c>
      <c r="AA13" t="s">
        <v>25</v>
      </c>
      <c r="AC13" t="s">
        <v>22</v>
      </c>
      <c r="AD13" t="s">
        <v>251</v>
      </c>
      <c r="AE13">
        <v>2.0668591770032198E-2</v>
      </c>
      <c r="AG13" t="s">
        <v>97</v>
      </c>
      <c r="AH13" t="s">
        <v>251</v>
      </c>
      <c r="AI13">
        <v>0.19800346506063859</v>
      </c>
      <c r="AK13">
        <v>2025</v>
      </c>
      <c r="AL13" t="s">
        <v>246</v>
      </c>
      <c r="AM13">
        <v>0.31546666666666667</v>
      </c>
      <c r="AN13" t="s">
        <v>239</v>
      </c>
    </row>
    <row r="14" spans="1:40" x14ac:dyDescent="0.45">
      <c r="C14" t="s">
        <v>248</v>
      </c>
      <c r="I14" t="s">
        <v>167</v>
      </c>
      <c r="J14" t="s">
        <v>252</v>
      </c>
      <c r="K14">
        <v>0.25630128552603493</v>
      </c>
      <c r="L14" t="s">
        <v>169</v>
      </c>
      <c r="N14" t="s">
        <v>220</v>
      </c>
      <c r="O14" t="s">
        <v>252</v>
      </c>
      <c r="P14">
        <v>0.10630959780547053</v>
      </c>
      <c r="Q14" t="s">
        <v>169</v>
      </c>
      <c r="S14" t="s">
        <v>225</v>
      </c>
      <c r="T14" t="s">
        <v>252</v>
      </c>
      <c r="U14">
        <v>0.10630959780547053</v>
      </c>
      <c r="V14" t="s">
        <v>169</v>
      </c>
      <c r="X14">
        <v>0.11552511415525114</v>
      </c>
      <c r="Y14">
        <v>0.16263862301005233</v>
      </c>
      <c r="Z14" t="s">
        <v>252</v>
      </c>
      <c r="AA14" t="s">
        <v>25</v>
      </c>
      <c r="AC14" t="s">
        <v>22</v>
      </c>
      <c r="AD14" t="s">
        <v>252</v>
      </c>
      <c r="AE14">
        <v>0.1225840648161428</v>
      </c>
      <c r="AG14" t="s">
        <v>97</v>
      </c>
      <c r="AH14" t="s">
        <v>252</v>
      </c>
      <c r="AI14">
        <v>0.15585684838109315</v>
      </c>
      <c r="AK14">
        <v>2025</v>
      </c>
      <c r="AL14" t="s">
        <v>248</v>
      </c>
      <c r="AM14">
        <v>0.45596666666666663</v>
      </c>
      <c r="AN14" t="s">
        <v>239</v>
      </c>
    </row>
    <row r="15" spans="1:40" x14ac:dyDescent="0.45">
      <c r="I15" t="s">
        <v>167</v>
      </c>
      <c r="J15" t="s">
        <v>253</v>
      </c>
      <c r="K15">
        <v>5.5926204309487415E-3</v>
      </c>
      <c r="L15" t="s">
        <v>169</v>
      </c>
      <c r="N15" t="s">
        <v>220</v>
      </c>
      <c r="O15" t="s">
        <v>253</v>
      </c>
      <c r="P15">
        <v>0.11252760794474875</v>
      </c>
      <c r="Q15" t="s">
        <v>169</v>
      </c>
      <c r="S15" t="s">
        <v>225</v>
      </c>
      <c r="T15" t="s">
        <v>253</v>
      </c>
      <c r="U15">
        <v>0.11252760794474875</v>
      </c>
      <c r="V15" t="s">
        <v>169</v>
      </c>
      <c r="X15">
        <v>0.11552511415525114</v>
      </c>
      <c r="Y15">
        <v>5.3125160563193538E-2</v>
      </c>
      <c r="Z15" t="s">
        <v>253</v>
      </c>
      <c r="AA15" t="s">
        <v>25</v>
      </c>
      <c r="AC15" t="s">
        <v>22</v>
      </c>
      <c r="AD15" t="s">
        <v>253</v>
      </c>
      <c r="AE15">
        <v>9.1274851840065618E-2</v>
      </c>
      <c r="AG15" t="s">
        <v>97</v>
      </c>
      <c r="AH15" t="s">
        <v>253</v>
      </c>
      <c r="AI15">
        <v>0.33549168170966959</v>
      </c>
      <c r="AK15">
        <v>2026</v>
      </c>
      <c r="AL15" t="s">
        <v>243</v>
      </c>
      <c r="AM15">
        <v>0.41063333333333335</v>
      </c>
      <c r="AN15" t="s">
        <v>239</v>
      </c>
    </row>
    <row r="16" spans="1:40" x14ac:dyDescent="0.45">
      <c r="I16" t="s">
        <v>167</v>
      </c>
      <c r="J16" t="s">
        <v>254</v>
      </c>
      <c r="K16">
        <v>3.6724528994459785E-2</v>
      </c>
      <c r="L16" t="s">
        <v>169</v>
      </c>
      <c r="N16" t="s">
        <v>220</v>
      </c>
      <c r="O16" t="s">
        <v>254</v>
      </c>
      <c r="P16">
        <v>2.5492788349694148E-2</v>
      </c>
      <c r="Q16" t="s">
        <v>169</v>
      </c>
      <c r="S16" t="s">
        <v>225</v>
      </c>
      <c r="T16" t="s">
        <v>254</v>
      </c>
      <c r="U16">
        <v>2.5492788349694148E-2</v>
      </c>
      <c r="V16" t="s">
        <v>169</v>
      </c>
      <c r="X16">
        <v>2.1004566210045664E-2</v>
      </c>
      <c r="Y16">
        <v>3.6291010947302131E-2</v>
      </c>
      <c r="Z16" t="s">
        <v>254</v>
      </c>
      <c r="AA16" t="s">
        <v>25</v>
      </c>
      <c r="AC16" t="s">
        <v>22</v>
      </c>
      <c r="AD16" t="s">
        <v>254</v>
      </c>
      <c r="AE16">
        <v>1.9631314649879137E-2</v>
      </c>
      <c r="AG16" t="s">
        <v>97</v>
      </c>
      <c r="AH16" t="s">
        <v>254</v>
      </c>
      <c r="AI16">
        <v>0.17964501648398445</v>
      </c>
      <c r="AK16">
        <v>2026</v>
      </c>
      <c r="AL16" t="s">
        <v>245</v>
      </c>
      <c r="AM16">
        <v>0.36149999999999993</v>
      </c>
      <c r="AN16" t="s">
        <v>239</v>
      </c>
    </row>
    <row r="17" spans="9:40" x14ac:dyDescent="0.45">
      <c r="I17" t="s">
        <v>167</v>
      </c>
      <c r="J17" t="s">
        <v>255</v>
      </c>
      <c r="K17">
        <v>0.244565243046382</v>
      </c>
      <c r="L17" t="s">
        <v>169</v>
      </c>
      <c r="N17" t="s">
        <v>220</v>
      </c>
      <c r="O17" t="s">
        <v>255</v>
      </c>
      <c r="P17">
        <v>0.16492654402281398</v>
      </c>
      <c r="Q17" t="s">
        <v>169</v>
      </c>
      <c r="S17" t="s">
        <v>225</v>
      </c>
      <c r="T17" t="s">
        <v>255</v>
      </c>
      <c r="U17">
        <v>0.16492654402281398</v>
      </c>
      <c r="V17" t="s">
        <v>169</v>
      </c>
      <c r="X17">
        <v>0.11552511415525114</v>
      </c>
      <c r="Y17">
        <v>0.16263862301005233</v>
      </c>
      <c r="Z17" t="s">
        <v>255</v>
      </c>
      <c r="AA17" t="s">
        <v>25</v>
      </c>
      <c r="AC17" t="s">
        <v>22</v>
      </c>
      <c r="AD17" t="s">
        <v>255</v>
      </c>
      <c r="AE17">
        <v>0.13460404004480284</v>
      </c>
      <c r="AG17" t="s">
        <v>97</v>
      </c>
      <c r="AH17" t="s">
        <v>255</v>
      </c>
      <c r="AI17">
        <v>7.3058563856780001E-2</v>
      </c>
      <c r="AK17">
        <v>2026</v>
      </c>
      <c r="AL17" t="s">
        <v>246</v>
      </c>
      <c r="AM17">
        <v>0.3324333333333333</v>
      </c>
      <c r="AN17" t="s">
        <v>239</v>
      </c>
    </row>
    <row r="18" spans="9:40" x14ac:dyDescent="0.45">
      <c r="I18" t="s">
        <v>167</v>
      </c>
      <c r="J18" t="s">
        <v>256</v>
      </c>
      <c r="K18">
        <v>9.9857987761158735E-3</v>
      </c>
      <c r="L18" t="s">
        <v>169</v>
      </c>
      <c r="N18" t="s">
        <v>220</v>
      </c>
      <c r="O18" t="s">
        <v>256</v>
      </c>
      <c r="P18">
        <v>0.13344962649313458</v>
      </c>
      <c r="Q18" t="s">
        <v>169</v>
      </c>
      <c r="S18" t="s">
        <v>225</v>
      </c>
      <c r="T18" t="s">
        <v>256</v>
      </c>
      <c r="U18">
        <v>0.13344962649313458</v>
      </c>
      <c r="V18" t="s">
        <v>169</v>
      </c>
      <c r="X18">
        <v>0.11552511415525114</v>
      </c>
      <c r="Y18">
        <v>5.3125160563193538E-2</v>
      </c>
      <c r="Z18" t="s">
        <v>256</v>
      </c>
      <c r="AA18" t="s">
        <v>25</v>
      </c>
      <c r="AC18" t="s">
        <v>22</v>
      </c>
      <c r="AD18" t="s">
        <v>256</v>
      </c>
      <c r="AE18">
        <v>9.5512974240202483E-2</v>
      </c>
      <c r="AG18" t="s">
        <v>97</v>
      </c>
      <c r="AH18" t="s">
        <v>256</v>
      </c>
      <c r="AI18">
        <v>0.35671372603788676</v>
      </c>
      <c r="AK18">
        <v>2026</v>
      </c>
      <c r="AL18" t="s">
        <v>248</v>
      </c>
      <c r="AM18">
        <v>0.43573333333333331</v>
      </c>
      <c r="AN18" t="s">
        <v>239</v>
      </c>
    </row>
    <row r="19" spans="9:40" x14ac:dyDescent="0.45">
      <c r="I19" t="s">
        <v>167</v>
      </c>
      <c r="J19" t="s">
        <v>257</v>
      </c>
      <c r="K19">
        <v>3.6160778845383532E-2</v>
      </c>
      <c r="L19" t="s">
        <v>169</v>
      </c>
      <c r="N19" t="s">
        <v>220</v>
      </c>
      <c r="O19" t="s">
        <v>257</v>
      </c>
      <c r="P19">
        <v>3.5600934396588964E-2</v>
      </c>
      <c r="Q19" t="s">
        <v>169</v>
      </c>
      <c r="S19" t="s">
        <v>225</v>
      </c>
      <c r="T19" t="s">
        <v>257</v>
      </c>
      <c r="U19">
        <v>3.5600934396588964E-2</v>
      </c>
      <c r="V19" t="s">
        <v>169</v>
      </c>
      <c r="X19">
        <v>2.1004566210045664E-2</v>
      </c>
      <c r="Y19">
        <v>3.6291010947302131E-2</v>
      </c>
      <c r="Z19" t="s">
        <v>257</v>
      </c>
      <c r="AA19" t="s">
        <v>25</v>
      </c>
      <c r="AC19" t="s">
        <v>22</v>
      </c>
      <c r="AD19" t="s">
        <v>257</v>
      </c>
      <c r="AE19">
        <v>2.1864222232422827E-2</v>
      </c>
      <c r="AG19" t="s">
        <v>97</v>
      </c>
      <c r="AH19" t="s">
        <v>257</v>
      </c>
      <c r="AI19">
        <v>9.3027129736551473E-2</v>
      </c>
      <c r="AK19">
        <v>2027</v>
      </c>
      <c r="AL19" t="s">
        <v>243</v>
      </c>
      <c r="AM19">
        <v>0.42926666666666669</v>
      </c>
      <c r="AN19" t="s">
        <v>239</v>
      </c>
    </row>
    <row r="20" spans="9:40" x14ac:dyDescent="0.45">
      <c r="I20" t="s">
        <v>167</v>
      </c>
      <c r="J20" t="s">
        <v>258</v>
      </c>
      <c r="K20">
        <v>0.16209491839398157</v>
      </c>
      <c r="L20" t="s">
        <v>169</v>
      </c>
      <c r="N20" t="s">
        <v>220</v>
      </c>
      <c r="O20" t="s">
        <v>258</v>
      </c>
      <c r="P20">
        <v>0.12357461655888943</v>
      </c>
      <c r="Q20" t="s">
        <v>169</v>
      </c>
      <c r="S20" t="s">
        <v>225</v>
      </c>
      <c r="T20" t="s">
        <v>258</v>
      </c>
      <c r="U20">
        <v>0.12357461655888943</v>
      </c>
      <c r="V20" t="s">
        <v>169</v>
      </c>
      <c r="X20">
        <v>0.11301369863013698</v>
      </c>
      <c r="Y20">
        <v>0.15910300077070333</v>
      </c>
      <c r="Z20" t="s">
        <v>258</v>
      </c>
      <c r="AA20" t="s">
        <v>25</v>
      </c>
      <c r="AC20" t="s">
        <v>22</v>
      </c>
      <c r="AD20" t="s">
        <v>258</v>
      </c>
      <c r="AE20">
        <v>0.14089452390198515</v>
      </c>
      <c r="AG20" t="s">
        <v>97</v>
      </c>
      <c r="AH20" t="s">
        <v>258</v>
      </c>
      <c r="AI20">
        <v>0.16204032012967273</v>
      </c>
      <c r="AK20">
        <v>2027</v>
      </c>
      <c r="AL20" t="s">
        <v>245</v>
      </c>
      <c r="AM20">
        <v>0.36726666666666663</v>
      </c>
      <c r="AN20" t="s">
        <v>239</v>
      </c>
    </row>
    <row r="21" spans="9:40" x14ac:dyDescent="0.45">
      <c r="I21" t="s">
        <v>167</v>
      </c>
      <c r="J21" t="s">
        <v>259</v>
      </c>
      <c r="K21">
        <v>0</v>
      </c>
      <c r="L21" t="s">
        <v>169</v>
      </c>
      <c r="N21" t="s">
        <v>220</v>
      </c>
      <c r="O21" t="s">
        <v>259</v>
      </c>
      <c r="P21">
        <v>0.11554765148576768</v>
      </c>
      <c r="Q21" t="s">
        <v>169</v>
      </c>
      <c r="S21" t="s">
        <v>225</v>
      </c>
      <c r="T21" t="s">
        <v>259</v>
      </c>
      <c r="U21">
        <v>0.11554765148576768</v>
      </c>
      <c r="V21" t="s">
        <v>169</v>
      </c>
      <c r="X21">
        <v>0.11301369863013698</v>
      </c>
      <c r="Y21">
        <v>5.197026576834151E-2</v>
      </c>
      <c r="Z21" t="s">
        <v>259</v>
      </c>
      <c r="AA21" t="s">
        <v>25</v>
      </c>
      <c r="AC21" t="s">
        <v>22</v>
      </c>
      <c r="AD21" t="s">
        <v>259</v>
      </c>
      <c r="AE21">
        <v>0.10760688107489977</v>
      </c>
      <c r="AG21" t="s">
        <v>97</v>
      </c>
      <c r="AH21" t="s">
        <v>259</v>
      </c>
      <c r="AI21">
        <v>0.32007540119889244</v>
      </c>
      <c r="AK21">
        <v>2027</v>
      </c>
      <c r="AL21" t="s">
        <v>246</v>
      </c>
      <c r="AM21">
        <v>0.34670000000000001</v>
      </c>
      <c r="AN21" t="s">
        <v>239</v>
      </c>
    </row>
    <row r="22" spans="9:40" x14ac:dyDescent="0.45">
      <c r="I22" t="s">
        <v>167</v>
      </c>
      <c r="J22" t="s">
        <v>260</v>
      </c>
      <c r="K22">
        <v>1.2785200381382483E-2</v>
      </c>
      <c r="L22" t="s">
        <v>169</v>
      </c>
      <c r="N22" t="s">
        <v>220</v>
      </c>
      <c r="O22" t="s">
        <v>260</v>
      </c>
      <c r="P22">
        <v>2.3591263433247574E-2</v>
      </c>
      <c r="Q22" t="s">
        <v>169</v>
      </c>
      <c r="S22" t="s">
        <v>225</v>
      </c>
      <c r="T22" t="s">
        <v>260</v>
      </c>
      <c r="U22">
        <v>2.3591263433247574E-2</v>
      </c>
      <c r="V22" t="s">
        <v>169</v>
      </c>
      <c r="X22">
        <v>2.0547945205479451E-2</v>
      </c>
      <c r="Y22">
        <v>3.5502075926708607E-2</v>
      </c>
      <c r="Z22" t="s">
        <v>260</v>
      </c>
      <c r="AA22" t="s">
        <v>25</v>
      </c>
      <c r="AC22" t="s">
        <v>22</v>
      </c>
      <c r="AD22" t="s">
        <v>260</v>
      </c>
      <c r="AE22">
        <v>2.2562866496453463E-2</v>
      </c>
      <c r="AG22" t="s">
        <v>97</v>
      </c>
      <c r="AH22" t="s">
        <v>260</v>
      </c>
      <c r="AI22">
        <v>0.19040133546636984</v>
      </c>
      <c r="AK22">
        <v>2027</v>
      </c>
      <c r="AL22" t="s">
        <v>248</v>
      </c>
      <c r="AM22">
        <v>0.42900000000000005</v>
      </c>
      <c r="AN22" t="s">
        <v>239</v>
      </c>
    </row>
    <row r="23" spans="9:40" x14ac:dyDescent="0.45">
      <c r="I23" t="s">
        <v>211</v>
      </c>
      <c r="J23" t="s">
        <v>249</v>
      </c>
      <c r="K23">
        <v>0.2146012873289945</v>
      </c>
      <c r="L23" t="s">
        <v>169</v>
      </c>
      <c r="N23" t="s">
        <v>221</v>
      </c>
      <c r="O23" t="s">
        <v>249</v>
      </c>
      <c r="P23">
        <v>5.8376995940900706E-2</v>
      </c>
      <c r="Q23" t="s">
        <v>169</v>
      </c>
      <c r="S23" t="s">
        <v>226</v>
      </c>
      <c r="T23" t="s">
        <v>249</v>
      </c>
      <c r="U23">
        <v>5.8376995940900706E-2</v>
      </c>
      <c r="V23" t="s">
        <v>169</v>
      </c>
      <c r="AC23" t="s">
        <v>19</v>
      </c>
      <c r="AD23" t="s">
        <v>249</v>
      </c>
      <c r="AE23">
        <v>0.11538290694702213</v>
      </c>
      <c r="AK23">
        <v>2028</v>
      </c>
      <c r="AL23" t="s">
        <v>243</v>
      </c>
      <c r="AM23">
        <v>0.42876666666666668</v>
      </c>
      <c r="AN23" t="s">
        <v>239</v>
      </c>
    </row>
    <row r="24" spans="9:40" x14ac:dyDescent="0.45">
      <c r="I24" t="s">
        <v>211</v>
      </c>
      <c r="J24" t="s">
        <v>250</v>
      </c>
      <c r="K24">
        <v>3.7589897324238479E-4</v>
      </c>
      <c r="L24" t="s">
        <v>169</v>
      </c>
      <c r="N24" t="s">
        <v>221</v>
      </c>
      <c r="O24" t="s">
        <v>250</v>
      </c>
      <c r="P24">
        <v>7.5192083916098232E-2</v>
      </c>
      <c r="Q24" t="s">
        <v>169</v>
      </c>
      <c r="S24" t="s">
        <v>226</v>
      </c>
      <c r="T24" t="s">
        <v>250</v>
      </c>
      <c r="U24">
        <v>7.5192083916098232E-2</v>
      </c>
      <c r="V24" t="s">
        <v>169</v>
      </c>
      <c r="AC24" t="s">
        <v>19</v>
      </c>
      <c r="AD24" t="s">
        <v>250</v>
      </c>
      <c r="AE24">
        <v>0.1130921569085635</v>
      </c>
      <c r="AK24">
        <v>2028</v>
      </c>
      <c r="AL24" t="s">
        <v>245</v>
      </c>
      <c r="AM24">
        <v>0.37140000000000001</v>
      </c>
      <c r="AN24" t="s">
        <v>239</v>
      </c>
    </row>
    <row r="25" spans="9:40" x14ac:dyDescent="0.45">
      <c r="I25" t="s">
        <v>211</v>
      </c>
      <c r="J25" t="s">
        <v>251</v>
      </c>
      <c r="K25">
        <v>1.9712038705352798E-2</v>
      </c>
      <c r="L25" t="s">
        <v>169</v>
      </c>
      <c r="N25" t="s">
        <v>221</v>
      </c>
      <c r="O25" t="s">
        <v>251</v>
      </c>
      <c r="P25">
        <v>2.1158786421687548E-2</v>
      </c>
      <c r="Q25" t="s">
        <v>169</v>
      </c>
      <c r="S25" t="s">
        <v>226</v>
      </c>
      <c r="T25" t="s">
        <v>251</v>
      </c>
      <c r="U25">
        <v>2.1158786421687548E-2</v>
      </c>
      <c r="V25" t="s">
        <v>169</v>
      </c>
      <c r="AC25" t="s">
        <v>19</v>
      </c>
      <c r="AD25" t="s">
        <v>251</v>
      </c>
      <c r="AE25">
        <v>2.0799783836223926E-2</v>
      </c>
      <c r="AK25">
        <v>2028</v>
      </c>
      <c r="AL25" t="s">
        <v>246</v>
      </c>
      <c r="AM25">
        <v>0.33590000000000003</v>
      </c>
      <c r="AN25" t="s">
        <v>239</v>
      </c>
    </row>
    <row r="26" spans="9:40" x14ac:dyDescent="0.45">
      <c r="I26" t="s">
        <v>211</v>
      </c>
      <c r="J26" t="s">
        <v>252</v>
      </c>
      <c r="K26">
        <v>0.25840029614978038</v>
      </c>
      <c r="L26" t="s">
        <v>169</v>
      </c>
      <c r="N26" t="s">
        <v>221</v>
      </c>
      <c r="O26" t="s">
        <v>252</v>
      </c>
      <c r="P26">
        <v>8.7700179566718231E-2</v>
      </c>
      <c r="Q26" t="s">
        <v>169</v>
      </c>
      <c r="S26" t="s">
        <v>226</v>
      </c>
      <c r="T26" t="s">
        <v>252</v>
      </c>
      <c r="U26">
        <v>8.7700179566718231E-2</v>
      </c>
      <c r="V26" t="s">
        <v>169</v>
      </c>
      <c r="AC26" t="s">
        <v>19</v>
      </c>
      <c r="AD26" t="s">
        <v>252</v>
      </c>
      <c r="AE26">
        <v>0.11656810651083151</v>
      </c>
      <c r="AK26">
        <v>2028</v>
      </c>
      <c r="AL26" t="s">
        <v>248</v>
      </c>
      <c r="AM26">
        <v>0.43683333333333335</v>
      </c>
      <c r="AN26" t="s">
        <v>239</v>
      </c>
    </row>
    <row r="27" spans="9:40" x14ac:dyDescent="0.45">
      <c r="I27" t="s">
        <v>211</v>
      </c>
      <c r="J27" t="s">
        <v>253</v>
      </c>
      <c r="K27">
        <v>5.5079238036443382E-3</v>
      </c>
      <c r="L27" t="s">
        <v>169</v>
      </c>
      <c r="N27" t="s">
        <v>221</v>
      </c>
      <c r="O27" t="s">
        <v>253</v>
      </c>
      <c r="P27">
        <v>0.13576613971732193</v>
      </c>
      <c r="Q27" t="s">
        <v>169</v>
      </c>
      <c r="S27" t="s">
        <v>226</v>
      </c>
      <c r="T27" t="s">
        <v>253</v>
      </c>
      <c r="U27">
        <v>0.13576613971732193</v>
      </c>
      <c r="V27" t="s">
        <v>169</v>
      </c>
      <c r="AC27" t="s">
        <v>19</v>
      </c>
      <c r="AD27" t="s">
        <v>253</v>
      </c>
      <c r="AE27">
        <v>0.11435283976222144</v>
      </c>
      <c r="AK27">
        <v>2029</v>
      </c>
      <c r="AL27" t="s">
        <v>243</v>
      </c>
      <c r="AM27">
        <v>0.42910000000000004</v>
      </c>
      <c r="AN27" t="s">
        <v>239</v>
      </c>
    </row>
    <row r="28" spans="9:40" x14ac:dyDescent="0.45">
      <c r="I28" t="s">
        <v>211</v>
      </c>
      <c r="J28" t="s">
        <v>254</v>
      </c>
      <c r="K28">
        <v>3.5985556351018334E-2</v>
      </c>
      <c r="L28" t="s">
        <v>169</v>
      </c>
      <c r="N28" t="s">
        <v>221</v>
      </c>
      <c r="O28" t="s">
        <v>254</v>
      </c>
      <c r="P28">
        <v>2.8421080362608597E-2</v>
      </c>
      <c r="Q28" t="s">
        <v>169</v>
      </c>
      <c r="S28" t="s">
        <v>226</v>
      </c>
      <c r="T28" t="s">
        <v>254</v>
      </c>
      <c r="U28">
        <v>2.8421080362608597E-2</v>
      </c>
      <c r="V28" t="s">
        <v>169</v>
      </c>
      <c r="AC28" t="s">
        <v>19</v>
      </c>
      <c r="AD28" t="s">
        <v>254</v>
      </c>
      <c r="AE28">
        <v>2.1006227987894342E-2</v>
      </c>
      <c r="AK28">
        <v>2029</v>
      </c>
      <c r="AL28" t="s">
        <v>245</v>
      </c>
      <c r="AM28">
        <v>0.35886666666666667</v>
      </c>
      <c r="AN28" t="s">
        <v>239</v>
      </c>
    </row>
    <row r="29" spans="9:40" x14ac:dyDescent="0.45">
      <c r="I29" t="s">
        <v>211</v>
      </c>
      <c r="J29" t="s">
        <v>255</v>
      </c>
      <c r="K29">
        <v>0.2511876844836835</v>
      </c>
      <c r="L29" t="s">
        <v>169</v>
      </c>
      <c r="N29" t="s">
        <v>221</v>
      </c>
      <c r="O29" t="s">
        <v>255</v>
      </c>
      <c r="P29">
        <v>0.18307539958840063</v>
      </c>
      <c r="Q29" t="s">
        <v>169</v>
      </c>
      <c r="S29" t="s">
        <v>226</v>
      </c>
      <c r="T29" t="s">
        <v>255</v>
      </c>
      <c r="U29">
        <v>0.18307539958840063</v>
      </c>
      <c r="V29" t="s">
        <v>169</v>
      </c>
      <c r="AC29" t="s">
        <v>19</v>
      </c>
      <c r="AD29" t="s">
        <v>255</v>
      </c>
      <c r="AE29">
        <v>0.11687718708957906</v>
      </c>
      <c r="AK29">
        <v>2029</v>
      </c>
      <c r="AL29" t="s">
        <v>246</v>
      </c>
      <c r="AM29">
        <v>0.33566666666666672</v>
      </c>
      <c r="AN29" t="s">
        <v>239</v>
      </c>
    </row>
    <row r="30" spans="9:40" x14ac:dyDescent="0.45">
      <c r="I30" t="s">
        <v>211</v>
      </c>
      <c r="J30" t="s">
        <v>256</v>
      </c>
      <c r="K30">
        <v>9.8268636515900405E-3</v>
      </c>
      <c r="L30" t="s">
        <v>169</v>
      </c>
      <c r="N30" t="s">
        <v>221</v>
      </c>
      <c r="O30" t="s">
        <v>256</v>
      </c>
      <c r="P30">
        <v>0.1667165501665471</v>
      </c>
      <c r="Q30" t="s">
        <v>169</v>
      </c>
      <c r="S30" t="s">
        <v>226</v>
      </c>
      <c r="T30" t="s">
        <v>256</v>
      </c>
      <c r="U30">
        <v>0.1667165501665471</v>
      </c>
      <c r="V30" t="s">
        <v>169</v>
      </c>
      <c r="AC30" t="s">
        <v>19</v>
      </c>
      <c r="AD30" t="s">
        <v>256</v>
      </c>
      <c r="AE30">
        <v>0.11411131947384477</v>
      </c>
      <c r="AK30">
        <v>2029</v>
      </c>
      <c r="AL30" t="s">
        <v>248</v>
      </c>
      <c r="AM30">
        <v>0.4415</v>
      </c>
      <c r="AN30" t="s">
        <v>239</v>
      </c>
    </row>
    <row r="31" spans="9:40" x14ac:dyDescent="0.45">
      <c r="I31" t="s">
        <v>211</v>
      </c>
      <c r="J31" t="s">
        <v>257</v>
      </c>
      <c r="K31">
        <v>3.3276583158153267E-2</v>
      </c>
      <c r="L31" t="s">
        <v>169</v>
      </c>
      <c r="N31" t="s">
        <v>221</v>
      </c>
      <c r="O31" t="s">
        <v>257</v>
      </c>
      <c r="P31">
        <v>4.4775655488307607E-2</v>
      </c>
      <c r="Q31" t="s">
        <v>169</v>
      </c>
      <c r="S31" t="s">
        <v>226</v>
      </c>
      <c r="T31" t="s">
        <v>257</v>
      </c>
      <c r="U31">
        <v>4.4775655488307607E-2</v>
      </c>
      <c r="V31" t="s">
        <v>169</v>
      </c>
      <c r="AC31" t="s">
        <v>19</v>
      </c>
      <c r="AD31" t="s">
        <v>257</v>
      </c>
      <c r="AE31">
        <v>2.1065782289883522E-2</v>
      </c>
      <c r="AK31">
        <v>2030</v>
      </c>
      <c r="AL31" t="s">
        <v>243</v>
      </c>
      <c r="AM31">
        <v>0.43446666666666661</v>
      </c>
      <c r="AN31" t="s">
        <v>239</v>
      </c>
    </row>
    <row r="32" spans="9:40" x14ac:dyDescent="0.45">
      <c r="I32" t="s">
        <v>211</v>
      </c>
      <c r="J32" t="s">
        <v>258</v>
      </c>
      <c r="K32">
        <v>0.15926331518922346</v>
      </c>
      <c r="L32" t="s">
        <v>169</v>
      </c>
      <c r="N32" t="s">
        <v>221</v>
      </c>
      <c r="O32" t="s">
        <v>258</v>
      </c>
      <c r="P32">
        <v>9.4086994820605285E-2</v>
      </c>
      <c r="Q32" t="s">
        <v>169</v>
      </c>
      <c r="S32" t="s">
        <v>226</v>
      </c>
      <c r="T32" t="s">
        <v>258</v>
      </c>
      <c r="U32">
        <v>9.4086994820605285E-2</v>
      </c>
      <c r="V32" t="s">
        <v>169</v>
      </c>
      <c r="AC32" t="s">
        <v>19</v>
      </c>
      <c r="AD32" t="s">
        <v>258</v>
      </c>
      <c r="AE32">
        <v>0.11426939583761947</v>
      </c>
      <c r="AK32">
        <v>2030</v>
      </c>
      <c r="AL32" t="s">
        <v>245</v>
      </c>
      <c r="AM32">
        <v>0.35253333333333331</v>
      </c>
      <c r="AN32" t="s">
        <v>239</v>
      </c>
    </row>
    <row r="33" spans="9:40" x14ac:dyDescent="0.45">
      <c r="I33" t="s">
        <v>211</v>
      </c>
      <c r="J33" t="s">
        <v>259</v>
      </c>
      <c r="K33">
        <v>0</v>
      </c>
      <c r="L33" t="s">
        <v>169</v>
      </c>
      <c r="N33" t="s">
        <v>221</v>
      </c>
      <c r="O33" t="s">
        <v>259</v>
      </c>
      <c r="P33">
        <v>8.7413597400930299E-2</v>
      </c>
      <c r="Q33" t="s">
        <v>169</v>
      </c>
      <c r="S33" t="s">
        <v>226</v>
      </c>
      <c r="T33" t="s">
        <v>259</v>
      </c>
      <c r="U33">
        <v>8.7413597400930299E-2</v>
      </c>
      <c r="V33" t="s">
        <v>169</v>
      </c>
      <c r="AC33" t="s">
        <v>19</v>
      </c>
      <c r="AD33" t="s">
        <v>259</v>
      </c>
      <c r="AE33">
        <v>0.1119141463348359</v>
      </c>
      <c r="AK33">
        <v>2030</v>
      </c>
      <c r="AL33" t="s">
        <v>246</v>
      </c>
      <c r="AM33">
        <v>0.3332</v>
      </c>
      <c r="AN33" t="s">
        <v>239</v>
      </c>
    </row>
    <row r="34" spans="9:40" x14ac:dyDescent="0.45">
      <c r="I34" t="s">
        <v>211</v>
      </c>
      <c r="J34" t="s">
        <v>260</v>
      </c>
      <c r="K34">
        <v>1.186255220531969E-2</v>
      </c>
      <c r="L34" t="s">
        <v>169</v>
      </c>
      <c r="N34" t="s">
        <v>221</v>
      </c>
      <c r="O34" t="s">
        <v>260</v>
      </c>
      <c r="P34">
        <v>1.7316536609871865E-2</v>
      </c>
      <c r="Q34" t="s">
        <v>169</v>
      </c>
      <c r="S34" t="s">
        <v>226</v>
      </c>
      <c r="T34" t="s">
        <v>260</v>
      </c>
      <c r="U34">
        <v>1.7316536609871865E-2</v>
      </c>
      <c r="V34" t="s">
        <v>169</v>
      </c>
      <c r="AC34" t="s">
        <v>19</v>
      </c>
      <c r="AD34" t="s">
        <v>260</v>
      </c>
      <c r="AE34">
        <v>2.0560147021480468E-2</v>
      </c>
      <c r="AK34">
        <v>2030</v>
      </c>
      <c r="AL34" t="s">
        <v>248</v>
      </c>
      <c r="AM34">
        <v>0.44916666666666671</v>
      </c>
      <c r="AN34" t="s">
        <v>239</v>
      </c>
    </row>
    <row r="35" spans="9:40" x14ac:dyDescent="0.45">
      <c r="I35" t="s">
        <v>212</v>
      </c>
      <c r="J35" t="s">
        <v>249</v>
      </c>
      <c r="K35">
        <v>0.23094290992329042</v>
      </c>
      <c r="L35" t="s">
        <v>169</v>
      </c>
      <c r="N35" t="s">
        <v>222</v>
      </c>
      <c r="O35" t="s">
        <v>249</v>
      </c>
      <c r="P35">
        <v>4.7468732540536886E-2</v>
      </c>
      <c r="Q35" t="s">
        <v>169</v>
      </c>
      <c r="S35" t="s">
        <v>227</v>
      </c>
      <c r="T35" t="s">
        <v>249</v>
      </c>
      <c r="U35">
        <v>4.7468732540536886E-2</v>
      </c>
      <c r="V35" t="s">
        <v>169</v>
      </c>
      <c r="AK35">
        <v>2031</v>
      </c>
      <c r="AL35" t="s">
        <v>243</v>
      </c>
      <c r="AM35">
        <v>0.41446666666666671</v>
      </c>
      <c r="AN35" t="s">
        <v>239</v>
      </c>
    </row>
    <row r="36" spans="9:40" x14ac:dyDescent="0.45">
      <c r="I36" t="s">
        <v>212</v>
      </c>
      <c r="J36" t="s">
        <v>250</v>
      </c>
      <c r="K36">
        <v>0</v>
      </c>
      <c r="L36" t="s">
        <v>169</v>
      </c>
      <c r="N36" t="s">
        <v>222</v>
      </c>
      <c r="O36" t="s">
        <v>250</v>
      </c>
      <c r="P36">
        <v>7.7427211858993567E-2</v>
      </c>
      <c r="Q36" t="s">
        <v>169</v>
      </c>
      <c r="S36" t="s">
        <v>227</v>
      </c>
      <c r="T36" t="s">
        <v>250</v>
      </c>
      <c r="U36">
        <v>7.7427211858993567E-2</v>
      </c>
      <c r="V36" t="s">
        <v>169</v>
      </c>
      <c r="AK36">
        <v>2031</v>
      </c>
      <c r="AL36" t="s">
        <v>245</v>
      </c>
      <c r="AM36">
        <v>0.36099999999999999</v>
      </c>
      <c r="AN36" t="s">
        <v>239</v>
      </c>
    </row>
    <row r="37" spans="9:40" x14ac:dyDescent="0.45">
      <c r="I37" t="s">
        <v>212</v>
      </c>
      <c r="J37" t="s">
        <v>251</v>
      </c>
      <c r="K37">
        <v>7.9729506053457851E-3</v>
      </c>
      <c r="L37" t="s">
        <v>169</v>
      </c>
      <c r="N37" t="s">
        <v>222</v>
      </c>
      <c r="O37" t="s">
        <v>251</v>
      </c>
      <c r="P37">
        <v>2.0458471080851137E-2</v>
      </c>
      <c r="Q37" t="s">
        <v>169</v>
      </c>
      <c r="S37" t="s">
        <v>227</v>
      </c>
      <c r="T37" t="s">
        <v>251</v>
      </c>
      <c r="U37">
        <v>2.0458471080851137E-2</v>
      </c>
      <c r="V37" t="s">
        <v>169</v>
      </c>
      <c r="AK37">
        <v>2031</v>
      </c>
      <c r="AL37" t="s">
        <v>246</v>
      </c>
      <c r="AM37">
        <v>0.34136666666666665</v>
      </c>
      <c r="AN37" t="s">
        <v>239</v>
      </c>
    </row>
    <row r="38" spans="9:40" x14ac:dyDescent="0.45">
      <c r="I38" t="s">
        <v>212</v>
      </c>
      <c r="J38" t="s">
        <v>252</v>
      </c>
      <c r="K38">
        <v>0.25330019230604267</v>
      </c>
      <c r="L38" t="s">
        <v>169</v>
      </c>
      <c r="N38" t="s">
        <v>222</v>
      </c>
      <c r="O38" t="s">
        <v>252</v>
      </c>
      <c r="P38">
        <v>9.5312293391910483E-2</v>
      </c>
      <c r="Q38" t="s">
        <v>169</v>
      </c>
      <c r="S38" t="s">
        <v>227</v>
      </c>
      <c r="T38" t="s">
        <v>252</v>
      </c>
      <c r="U38">
        <v>9.5312293391910483E-2</v>
      </c>
      <c r="V38" t="s">
        <v>169</v>
      </c>
      <c r="AK38">
        <v>2031</v>
      </c>
      <c r="AL38" t="s">
        <v>248</v>
      </c>
      <c r="AM38">
        <v>0.43793333333333329</v>
      </c>
      <c r="AN38" t="s">
        <v>239</v>
      </c>
    </row>
    <row r="39" spans="9:40" x14ac:dyDescent="0.45">
      <c r="I39" t="s">
        <v>212</v>
      </c>
      <c r="J39" t="s">
        <v>253</v>
      </c>
      <c r="K39">
        <v>1.673015841992532E-3</v>
      </c>
      <c r="L39" t="s">
        <v>169</v>
      </c>
      <c r="N39" t="s">
        <v>222</v>
      </c>
      <c r="O39" t="s">
        <v>253</v>
      </c>
      <c r="P39">
        <v>0.14652688292884133</v>
      </c>
      <c r="Q39" t="s">
        <v>169</v>
      </c>
      <c r="S39" t="s">
        <v>227</v>
      </c>
      <c r="T39" t="s">
        <v>253</v>
      </c>
      <c r="U39">
        <v>0.14652688292884133</v>
      </c>
      <c r="V39" t="s">
        <v>169</v>
      </c>
      <c r="AK39">
        <v>2032</v>
      </c>
      <c r="AL39" t="s">
        <v>243</v>
      </c>
      <c r="AM39">
        <v>0.36243333333333333</v>
      </c>
      <c r="AN39" t="s">
        <v>239</v>
      </c>
    </row>
    <row r="40" spans="9:40" x14ac:dyDescent="0.45">
      <c r="I40" t="s">
        <v>212</v>
      </c>
      <c r="J40" t="s">
        <v>254</v>
      </c>
      <c r="K40">
        <v>1.9668727878922009E-2</v>
      </c>
      <c r="L40" t="s">
        <v>169</v>
      </c>
      <c r="N40" t="s">
        <v>222</v>
      </c>
      <c r="O40" t="s">
        <v>254</v>
      </c>
      <c r="P40">
        <v>2.4018735378794571E-2</v>
      </c>
      <c r="Q40" t="s">
        <v>169</v>
      </c>
      <c r="S40" t="s">
        <v>227</v>
      </c>
      <c r="T40" t="s">
        <v>254</v>
      </c>
      <c r="U40">
        <v>2.4018735378794571E-2</v>
      </c>
      <c r="V40" t="s">
        <v>169</v>
      </c>
      <c r="AK40">
        <v>2032</v>
      </c>
      <c r="AL40" t="s">
        <v>245</v>
      </c>
      <c r="AM40">
        <v>0.30449999999999999</v>
      </c>
      <c r="AN40" t="s">
        <v>239</v>
      </c>
    </row>
    <row r="41" spans="9:40" x14ac:dyDescent="0.45">
      <c r="I41" t="s">
        <v>212</v>
      </c>
      <c r="J41" t="s">
        <v>255</v>
      </c>
      <c r="K41">
        <v>0.29512417470276703</v>
      </c>
      <c r="L41" t="s">
        <v>169</v>
      </c>
      <c r="N41" t="s">
        <v>222</v>
      </c>
      <c r="O41" t="s">
        <v>255</v>
      </c>
      <c r="P41">
        <v>5.014304932479606E-2</v>
      </c>
      <c r="Q41" t="s">
        <v>169</v>
      </c>
      <c r="S41" t="s">
        <v>227</v>
      </c>
      <c r="T41" t="s">
        <v>255</v>
      </c>
      <c r="U41">
        <v>5.014304932479606E-2</v>
      </c>
      <c r="V41" t="s">
        <v>169</v>
      </c>
      <c r="AK41">
        <v>2032</v>
      </c>
      <c r="AL41" t="s">
        <v>246</v>
      </c>
      <c r="AM41">
        <v>0.28786666666666666</v>
      </c>
      <c r="AN41" t="s">
        <v>239</v>
      </c>
    </row>
    <row r="42" spans="9:40" x14ac:dyDescent="0.45">
      <c r="I42" t="s">
        <v>212</v>
      </c>
      <c r="J42" t="s">
        <v>256</v>
      </c>
      <c r="K42">
        <v>6.5741678442964701E-3</v>
      </c>
      <c r="L42" t="s">
        <v>169</v>
      </c>
      <c r="N42" t="s">
        <v>222</v>
      </c>
      <c r="O42" t="s">
        <v>256</v>
      </c>
      <c r="P42">
        <v>9.7852777043002173E-2</v>
      </c>
      <c r="Q42" t="s">
        <v>169</v>
      </c>
      <c r="S42" t="s">
        <v>227</v>
      </c>
      <c r="T42" t="s">
        <v>256</v>
      </c>
      <c r="U42">
        <v>9.7852777043002173E-2</v>
      </c>
      <c r="V42" t="s">
        <v>169</v>
      </c>
      <c r="AK42">
        <v>2032</v>
      </c>
      <c r="AL42" t="s">
        <v>248</v>
      </c>
      <c r="AM42">
        <v>0.36443333333333333</v>
      </c>
      <c r="AN42" t="s">
        <v>239</v>
      </c>
    </row>
    <row r="43" spans="9:40" x14ac:dyDescent="0.45">
      <c r="I43" t="s">
        <v>212</v>
      </c>
      <c r="J43" t="s">
        <v>257</v>
      </c>
      <c r="K43">
        <v>3.0638712643284601E-2</v>
      </c>
      <c r="L43" t="s">
        <v>169</v>
      </c>
      <c r="N43" t="s">
        <v>222</v>
      </c>
      <c r="O43" t="s">
        <v>257</v>
      </c>
      <c r="P43">
        <v>1.8941298837852037E-2</v>
      </c>
      <c r="Q43" t="s">
        <v>169</v>
      </c>
      <c r="S43" t="s">
        <v>227</v>
      </c>
      <c r="T43" t="s">
        <v>257</v>
      </c>
      <c r="U43">
        <v>1.8941298837852037E-2</v>
      </c>
      <c r="V43" t="s">
        <v>169</v>
      </c>
      <c r="AK43">
        <v>2033</v>
      </c>
      <c r="AL43" t="s">
        <v>243</v>
      </c>
      <c r="AM43">
        <v>0.36053333333333332</v>
      </c>
      <c r="AN43" t="s">
        <v>239</v>
      </c>
    </row>
    <row r="44" spans="9:40" x14ac:dyDescent="0.45">
      <c r="I44" t="s">
        <v>212</v>
      </c>
      <c r="J44" t="s">
        <v>258</v>
      </c>
      <c r="K44">
        <v>0.15149290537320045</v>
      </c>
      <c r="L44" t="s">
        <v>169</v>
      </c>
      <c r="N44" t="s">
        <v>222</v>
      </c>
      <c r="O44" t="s">
        <v>258</v>
      </c>
      <c r="P44">
        <v>0.16062922875059973</v>
      </c>
      <c r="Q44" t="s">
        <v>169</v>
      </c>
      <c r="S44" t="s">
        <v>227</v>
      </c>
      <c r="T44" t="s">
        <v>258</v>
      </c>
      <c r="U44">
        <v>0.16062922875059973</v>
      </c>
      <c r="V44" t="s">
        <v>169</v>
      </c>
      <c r="AK44">
        <v>2033</v>
      </c>
      <c r="AL44" t="s">
        <v>245</v>
      </c>
      <c r="AM44">
        <v>0.30003333333333332</v>
      </c>
      <c r="AN44" t="s">
        <v>239</v>
      </c>
    </row>
    <row r="45" spans="9:40" x14ac:dyDescent="0.45">
      <c r="I45" t="s">
        <v>212</v>
      </c>
      <c r="J45" t="s">
        <v>259</v>
      </c>
      <c r="K45">
        <v>0</v>
      </c>
      <c r="L45" t="s">
        <v>169</v>
      </c>
      <c r="N45" t="s">
        <v>222</v>
      </c>
      <c r="O45" t="s">
        <v>259</v>
      </c>
      <c r="P45">
        <v>0.22128406415488178</v>
      </c>
      <c r="Q45" t="s">
        <v>169</v>
      </c>
      <c r="S45" t="s">
        <v>227</v>
      </c>
      <c r="T45" t="s">
        <v>259</v>
      </c>
      <c r="U45">
        <v>0.22128406415488178</v>
      </c>
      <c r="V45" t="s">
        <v>169</v>
      </c>
      <c r="AK45">
        <v>2033</v>
      </c>
      <c r="AL45" t="s">
        <v>246</v>
      </c>
      <c r="AM45">
        <v>0.2843</v>
      </c>
      <c r="AN45" t="s">
        <v>239</v>
      </c>
    </row>
    <row r="46" spans="9:40" x14ac:dyDescent="0.45">
      <c r="I46" t="s">
        <v>212</v>
      </c>
      <c r="J46" t="s">
        <v>260</v>
      </c>
      <c r="K46">
        <v>2.6122428808545294E-3</v>
      </c>
      <c r="L46" t="s">
        <v>169</v>
      </c>
      <c r="N46" t="s">
        <v>222</v>
      </c>
      <c r="O46" t="s">
        <v>260</v>
      </c>
      <c r="P46">
        <v>3.9937254708940398E-2</v>
      </c>
      <c r="Q46" t="s">
        <v>169</v>
      </c>
      <c r="S46" t="s">
        <v>227</v>
      </c>
      <c r="T46" t="s">
        <v>260</v>
      </c>
      <c r="U46">
        <v>3.9937254708940398E-2</v>
      </c>
      <c r="V46" t="s">
        <v>169</v>
      </c>
      <c r="AK46">
        <v>2033</v>
      </c>
      <c r="AL46" t="s">
        <v>248</v>
      </c>
      <c r="AM46">
        <v>0.3671666666666667</v>
      </c>
      <c r="AN46" t="s">
        <v>239</v>
      </c>
    </row>
    <row r="47" spans="9:40" x14ac:dyDescent="0.45">
      <c r="I47" t="s">
        <v>213</v>
      </c>
      <c r="J47" t="s">
        <v>249</v>
      </c>
      <c r="K47">
        <v>0.23215094531503902</v>
      </c>
      <c r="L47" t="s">
        <v>169</v>
      </c>
      <c r="N47" t="s">
        <v>223</v>
      </c>
      <c r="O47" t="s">
        <v>249</v>
      </c>
      <c r="P47">
        <v>8.0275413646561877E-2</v>
      </c>
      <c r="Q47" t="s">
        <v>169</v>
      </c>
      <c r="S47" t="s">
        <v>228</v>
      </c>
      <c r="T47" t="s">
        <v>249</v>
      </c>
      <c r="U47">
        <v>8.0275413646561877E-2</v>
      </c>
      <c r="V47" t="s">
        <v>169</v>
      </c>
      <c r="AK47">
        <v>2034</v>
      </c>
      <c r="AL47" t="s">
        <v>243</v>
      </c>
      <c r="AM47">
        <v>0.47406666666666669</v>
      </c>
      <c r="AN47" t="s">
        <v>239</v>
      </c>
    </row>
    <row r="48" spans="9:40" x14ac:dyDescent="0.45">
      <c r="I48" t="s">
        <v>213</v>
      </c>
      <c r="J48" t="s">
        <v>250</v>
      </c>
      <c r="K48">
        <v>0</v>
      </c>
      <c r="L48" t="s">
        <v>169</v>
      </c>
      <c r="N48" t="s">
        <v>223</v>
      </c>
      <c r="O48" t="s">
        <v>250</v>
      </c>
      <c r="P48">
        <v>7.4696079482112182E-2</v>
      </c>
      <c r="Q48" t="s">
        <v>169</v>
      </c>
      <c r="S48" t="s">
        <v>228</v>
      </c>
      <c r="T48" t="s">
        <v>250</v>
      </c>
      <c r="U48">
        <v>7.4696079482112182E-2</v>
      </c>
      <c r="V48" t="s">
        <v>169</v>
      </c>
      <c r="AK48">
        <v>2034</v>
      </c>
      <c r="AL48" t="s">
        <v>245</v>
      </c>
      <c r="AM48">
        <v>0.43090000000000001</v>
      </c>
      <c r="AN48" t="s">
        <v>239</v>
      </c>
    </row>
    <row r="49" spans="9:40" x14ac:dyDescent="0.45">
      <c r="I49" t="s">
        <v>213</v>
      </c>
      <c r="J49" t="s">
        <v>251</v>
      </c>
      <c r="K49">
        <v>9.0303576064255653E-3</v>
      </c>
      <c r="L49" t="s">
        <v>169</v>
      </c>
      <c r="N49" t="s">
        <v>223</v>
      </c>
      <c r="O49" t="s">
        <v>251</v>
      </c>
      <c r="P49">
        <v>1.3147380413778255E-2</v>
      </c>
      <c r="Q49" t="s">
        <v>169</v>
      </c>
      <c r="S49" t="s">
        <v>228</v>
      </c>
      <c r="T49" t="s">
        <v>251</v>
      </c>
      <c r="U49">
        <v>1.3147380413778255E-2</v>
      </c>
      <c r="V49" t="s">
        <v>169</v>
      </c>
      <c r="AK49">
        <v>2034</v>
      </c>
      <c r="AL49" t="s">
        <v>246</v>
      </c>
      <c r="AM49">
        <v>0.35976666666666662</v>
      </c>
      <c r="AN49" t="s">
        <v>239</v>
      </c>
    </row>
    <row r="50" spans="9:40" x14ac:dyDescent="0.45">
      <c r="I50" t="s">
        <v>213</v>
      </c>
      <c r="J50" t="s">
        <v>252</v>
      </c>
      <c r="K50">
        <v>0.25331333170958714</v>
      </c>
      <c r="L50" t="s">
        <v>169</v>
      </c>
      <c r="N50" t="s">
        <v>223</v>
      </c>
      <c r="O50" t="s">
        <v>252</v>
      </c>
      <c r="P50">
        <v>0.117924529978122</v>
      </c>
      <c r="Q50" t="s">
        <v>169</v>
      </c>
      <c r="S50" t="s">
        <v>228</v>
      </c>
      <c r="T50" t="s">
        <v>252</v>
      </c>
      <c r="U50">
        <v>0.117924529978122</v>
      </c>
      <c r="V50" t="s">
        <v>169</v>
      </c>
      <c r="AK50">
        <v>2034</v>
      </c>
      <c r="AL50" t="s">
        <v>248</v>
      </c>
      <c r="AM50">
        <v>0.51400000000000001</v>
      </c>
      <c r="AN50" t="s">
        <v>239</v>
      </c>
    </row>
    <row r="51" spans="9:40" x14ac:dyDescent="0.45">
      <c r="I51" t="s">
        <v>213</v>
      </c>
      <c r="J51" t="s">
        <v>253</v>
      </c>
      <c r="K51">
        <v>1.4944001835422711E-3</v>
      </c>
      <c r="L51" t="s">
        <v>169</v>
      </c>
      <c r="N51" t="s">
        <v>223</v>
      </c>
      <c r="O51" t="s">
        <v>253</v>
      </c>
      <c r="P51">
        <v>0.10705595928765385</v>
      </c>
      <c r="Q51" t="s">
        <v>169</v>
      </c>
      <c r="S51" t="s">
        <v>228</v>
      </c>
      <c r="T51" t="s">
        <v>253</v>
      </c>
      <c r="U51">
        <v>0.10705595928765385</v>
      </c>
      <c r="V51" t="s">
        <v>169</v>
      </c>
      <c r="AK51">
        <v>2035</v>
      </c>
      <c r="AL51" t="s">
        <v>243</v>
      </c>
      <c r="AM51">
        <v>0.50329999999999997</v>
      </c>
      <c r="AN51" t="s">
        <v>239</v>
      </c>
    </row>
    <row r="52" spans="9:40" x14ac:dyDescent="0.45">
      <c r="I52" t="s">
        <v>213</v>
      </c>
      <c r="J52" t="s">
        <v>254</v>
      </c>
      <c r="K52">
        <v>2.101621924438854E-2</v>
      </c>
      <c r="L52" t="s">
        <v>169</v>
      </c>
      <c r="N52" t="s">
        <v>223</v>
      </c>
      <c r="O52" t="s">
        <v>254</v>
      </c>
      <c r="P52">
        <v>1.4134688314518846E-2</v>
      </c>
      <c r="Q52" t="s">
        <v>169</v>
      </c>
      <c r="S52" t="s">
        <v>228</v>
      </c>
      <c r="T52" t="s">
        <v>254</v>
      </c>
      <c r="U52">
        <v>1.4134688314518846E-2</v>
      </c>
      <c r="V52" t="s">
        <v>169</v>
      </c>
      <c r="AK52">
        <v>2035</v>
      </c>
      <c r="AL52" t="s">
        <v>245</v>
      </c>
      <c r="AM52">
        <v>0.40256666666666668</v>
      </c>
      <c r="AN52" t="s">
        <v>239</v>
      </c>
    </row>
    <row r="53" spans="9:40" x14ac:dyDescent="0.45">
      <c r="I53" t="s">
        <v>213</v>
      </c>
      <c r="J53" t="s">
        <v>255</v>
      </c>
      <c r="K53">
        <v>0.29107889746535343</v>
      </c>
      <c r="L53" t="s">
        <v>169</v>
      </c>
      <c r="N53" t="s">
        <v>223</v>
      </c>
      <c r="O53" t="s">
        <v>255</v>
      </c>
      <c r="P53">
        <v>6.9480414730375736E-2</v>
      </c>
      <c r="Q53" t="s">
        <v>169</v>
      </c>
      <c r="S53" t="s">
        <v>228</v>
      </c>
      <c r="T53" t="s">
        <v>255</v>
      </c>
      <c r="U53">
        <v>6.9480414730375736E-2</v>
      </c>
      <c r="V53" t="s">
        <v>169</v>
      </c>
      <c r="AK53">
        <v>2035</v>
      </c>
      <c r="AL53" t="s">
        <v>246</v>
      </c>
      <c r="AM53">
        <v>0.38869999999999999</v>
      </c>
      <c r="AN53" t="s">
        <v>239</v>
      </c>
    </row>
    <row r="54" spans="9:40" x14ac:dyDescent="0.45">
      <c r="I54" t="s">
        <v>213</v>
      </c>
      <c r="J54" t="s">
        <v>256</v>
      </c>
      <c r="K54">
        <v>6.3923781102896227E-3</v>
      </c>
      <c r="L54" t="s">
        <v>169</v>
      </c>
      <c r="N54" t="s">
        <v>223</v>
      </c>
      <c r="O54" t="s">
        <v>256</v>
      </c>
      <c r="P54">
        <v>4.0631239867885138E-2</v>
      </c>
      <c r="Q54" t="s">
        <v>169</v>
      </c>
      <c r="S54" t="s">
        <v>228</v>
      </c>
      <c r="T54" t="s">
        <v>256</v>
      </c>
      <c r="U54">
        <v>4.0631239867885138E-2</v>
      </c>
      <c r="V54" t="s">
        <v>169</v>
      </c>
      <c r="AK54">
        <v>2035</v>
      </c>
      <c r="AL54" t="s">
        <v>248</v>
      </c>
      <c r="AM54">
        <v>0.49253333333333332</v>
      </c>
      <c r="AN54" t="s">
        <v>239</v>
      </c>
    </row>
    <row r="55" spans="9:40" x14ac:dyDescent="0.45">
      <c r="I55" t="s">
        <v>213</v>
      </c>
      <c r="J55" t="s">
        <v>257</v>
      </c>
      <c r="K55">
        <v>3.191418449162934E-2</v>
      </c>
      <c r="L55" t="s">
        <v>169</v>
      </c>
      <c r="N55" t="s">
        <v>223</v>
      </c>
      <c r="O55" t="s">
        <v>257</v>
      </c>
      <c r="P55">
        <v>1.6639013207520984E-2</v>
      </c>
      <c r="Q55" t="s">
        <v>169</v>
      </c>
      <c r="S55" t="s">
        <v>228</v>
      </c>
      <c r="T55" t="s">
        <v>257</v>
      </c>
      <c r="U55">
        <v>1.6639013207520984E-2</v>
      </c>
      <c r="V55" t="s">
        <v>169</v>
      </c>
      <c r="AK55">
        <v>2036</v>
      </c>
      <c r="AL55" t="s">
        <v>243</v>
      </c>
      <c r="AM55">
        <v>0.42520000000000002</v>
      </c>
      <c r="AN55" t="s">
        <v>239</v>
      </c>
    </row>
    <row r="56" spans="9:40" x14ac:dyDescent="0.45">
      <c r="I56" t="s">
        <v>213</v>
      </c>
      <c r="J56" t="s">
        <v>258</v>
      </c>
      <c r="K56">
        <v>0.15041023350911717</v>
      </c>
      <c r="L56" t="s">
        <v>169</v>
      </c>
      <c r="N56" t="s">
        <v>223</v>
      </c>
      <c r="O56" t="s">
        <v>258</v>
      </c>
      <c r="P56">
        <v>0.19474564993131513</v>
      </c>
      <c r="Q56" t="s">
        <v>169</v>
      </c>
      <c r="S56" t="s">
        <v>228</v>
      </c>
      <c r="T56" t="s">
        <v>258</v>
      </c>
      <c r="U56">
        <v>0.19474564993131513</v>
      </c>
      <c r="V56" t="s">
        <v>169</v>
      </c>
      <c r="AK56">
        <v>2036</v>
      </c>
      <c r="AL56" t="s">
        <v>245</v>
      </c>
      <c r="AM56">
        <v>0.35613333333333336</v>
      </c>
      <c r="AN56" t="s">
        <v>239</v>
      </c>
    </row>
    <row r="57" spans="9:40" x14ac:dyDescent="0.45">
      <c r="I57" t="s">
        <v>213</v>
      </c>
      <c r="J57" t="s">
        <v>259</v>
      </c>
      <c r="K57">
        <v>0</v>
      </c>
      <c r="L57" t="s">
        <v>169</v>
      </c>
      <c r="N57" t="s">
        <v>223</v>
      </c>
      <c r="O57" t="s">
        <v>259</v>
      </c>
      <c r="P57">
        <v>0.23505123419807852</v>
      </c>
      <c r="Q57" t="s">
        <v>169</v>
      </c>
      <c r="S57" t="s">
        <v>228</v>
      </c>
      <c r="T57" t="s">
        <v>259</v>
      </c>
      <c r="U57">
        <v>0.23505123419807852</v>
      </c>
      <c r="V57" t="s">
        <v>169</v>
      </c>
      <c r="AK57">
        <v>2036</v>
      </c>
      <c r="AL57" t="s">
        <v>246</v>
      </c>
      <c r="AM57">
        <v>0.33180000000000004</v>
      </c>
      <c r="AN57" t="s">
        <v>239</v>
      </c>
    </row>
    <row r="58" spans="9:40" x14ac:dyDescent="0.45">
      <c r="I58" t="s">
        <v>213</v>
      </c>
      <c r="J58" t="s">
        <v>260</v>
      </c>
      <c r="K58">
        <v>3.1990523646282642E-3</v>
      </c>
      <c r="L58" t="s">
        <v>169</v>
      </c>
      <c r="N58" t="s">
        <v>223</v>
      </c>
      <c r="O58" t="s">
        <v>260</v>
      </c>
      <c r="P58">
        <v>3.6218396942080934E-2</v>
      </c>
      <c r="Q58" t="s">
        <v>169</v>
      </c>
      <c r="S58" t="s">
        <v>228</v>
      </c>
      <c r="T58" t="s">
        <v>260</v>
      </c>
      <c r="U58">
        <v>3.6218396942080934E-2</v>
      </c>
      <c r="V58" t="s">
        <v>169</v>
      </c>
      <c r="AK58">
        <v>2036</v>
      </c>
      <c r="AL58" t="s">
        <v>248</v>
      </c>
      <c r="AM58">
        <v>0.44993333333333335</v>
      </c>
      <c r="AN58" t="s">
        <v>239</v>
      </c>
    </row>
    <row r="59" spans="9:40" x14ac:dyDescent="0.45">
      <c r="I59" t="s">
        <v>214</v>
      </c>
      <c r="J59" t="s">
        <v>249</v>
      </c>
      <c r="K59">
        <v>0.23198856549651442</v>
      </c>
      <c r="L59" t="s">
        <v>169</v>
      </c>
      <c r="N59" t="s">
        <v>224</v>
      </c>
      <c r="O59" t="s">
        <v>249</v>
      </c>
      <c r="P59">
        <v>8.2514294794445095E-2</v>
      </c>
      <c r="Q59" t="s">
        <v>169</v>
      </c>
      <c r="S59" t="s">
        <v>229</v>
      </c>
      <c r="T59" t="s">
        <v>249</v>
      </c>
      <c r="U59">
        <v>8.2514294794445095E-2</v>
      </c>
      <c r="V59" t="s">
        <v>169</v>
      </c>
      <c r="AK59">
        <v>2037</v>
      </c>
      <c r="AL59" t="s">
        <v>243</v>
      </c>
      <c r="AM59">
        <v>0.42206666666666665</v>
      </c>
      <c r="AN59" t="s">
        <v>239</v>
      </c>
    </row>
    <row r="60" spans="9:40" x14ac:dyDescent="0.45">
      <c r="I60" t="s">
        <v>214</v>
      </c>
      <c r="J60" t="s">
        <v>250</v>
      </c>
      <c r="K60">
        <v>0</v>
      </c>
      <c r="L60" t="s">
        <v>169</v>
      </c>
      <c r="N60" t="s">
        <v>224</v>
      </c>
      <c r="O60" t="s">
        <v>250</v>
      </c>
      <c r="P60">
        <v>8.7106822181055865E-2</v>
      </c>
      <c r="Q60" t="s">
        <v>169</v>
      </c>
      <c r="S60" t="s">
        <v>229</v>
      </c>
      <c r="T60" t="s">
        <v>250</v>
      </c>
      <c r="U60">
        <v>8.7106822181055865E-2</v>
      </c>
      <c r="V60" t="s">
        <v>169</v>
      </c>
      <c r="AK60">
        <v>2037</v>
      </c>
      <c r="AL60" t="s">
        <v>245</v>
      </c>
      <c r="AM60">
        <v>0.37843333333333334</v>
      </c>
      <c r="AN60" t="s">
        <v>239</v>
      </c>
    </row>
    <row r="61" spans="9:40" x14ac:dyDescent="0.45">
      <c r="I61" t="s">
        <v>214</v>
      </c>
      <c r="J61" t="s">
        <v>251</v>
      </c>
      <c r="K61">
        <v>8.0779011003270871E-3</v>
      </c>
      <c r="L61" t="s">
        <v>169</v>
      </c>
      <c r="N61" t="s">
        <v>224</v>
      </c>
      <c r="O61" t="s">
        <v>251</v>
      </c>
      <c r="P61">
        <v>3.1164785571761711E-2</v>
      </c>
      <c r="Q61" t="s">
        <v>169</v>
      </c>
      <c r="S61" t="s">
        <v>229</v>
      </c>
      <c r="T61" t="s">
        <v>251</v>
      </c>
      <c r="U61">
        <v>3.1164785571761711E-2</v>
      </c>
      <c r="V61" t="s">
        <v>169</v>
      </c>
      <c r="AK61">
        <v>2037</v>
      </c>
      <c r="AL61" t="s">
        <v>246</v>
      </c>
      <c r="AM61">
        <v>0.32316666666666666</v>
      </c>
      <c r="AN61" t="s">
        <v>239</v>
      </c>
    </row>
    <row r="62" spans="9:40" x14ac:dyDescent="0.45">
      <c r="I62" t="s">
        <v>214</v>
      </c>
      <c r="J62" t="s">
        <v>252</v>
      </c>
      <c r="K62">
        <v>0.25308525774870833</v>
      </c>
      <c r="L62" t="s">
        <v>169</v>
      </c>
      <c r="N62" t="s">
        <v>224</v>
      </c>
      <c r="O62" t="s">
        <v>252</v>
      </c>
      <c r="P62">
        <v>0.13114074545156396</v>
      </c>
      <c r="Q62" t="s">
        <v>169</v>
      </c>
      <c r="S62" t="s">
        <v>229</v>
      </c>
      <c r="T62" t="s">
        <v>252</v>
      </c>
      <c r="U62">
        <v>0.13114074545156396</v>
      </c>
      <c r="V62" t="s">
        <v>169</v>
      </c>
      <c r="AK62">
        <v>2037</v>
      </c>
      <c r="AL62" t="s">
        <v>248</v>
      </c>
      <c r="AM62">
        <v>0.43533333333333335</v>
      </c>
      <c r="AN62" t="s">
        <v>239</v>
      </c>
    </row>
    <row r="63" spans="9:40" x14ac:dyDescent="0.45">
      <c r="I63" t="s">
        <v>214</v>
      </c>
      <c r="J63" t="s">
        <v>253</v>
      </c>
      <c r="K63">
        <v>1.463422381976956E-3</v>
      </c>
      <c r="L63" t="s">
        <v>169</v>
      </c>
      <c r="N63" t="s">
        <v>224</v>
      </c>
      <c r="O63" t="s">
        <v>253</v>
      </c>
      <c r="P63">
        <v>0.14917341686722024</v>
      </c>
      <c r="Q63" t="s">
        <v>169</v>
      </c>
      <c r="S63" t="s">
        <v>229</v>
      </c>
      <c r="T63" t="s">
        <v>253</v>
      </c>
      <c r="U63">
        <v>0.14917341686722024</v>
      </c>
      <c r="V63" t="s">
        <v>169</v>
      </c>
      <c r="AK63">
        <v>2038</v>
      </c>
      <c r="AL63" t="s">
        <v>243</v>
      </c>
      <c r="AM63">
        <v>0.43653333333333327</v>
      </c>
      <c r="AN63" t="s">
        <v>239</v>
      </c>
    </row>
    <row r="64" spans="9:40" x14ac:dyDescent="0.45">
      <c r="I64" t="s">
        <v>214</v>
      </c>
      <c r="J64" t="s">
        <v>254</v>
      </c>
      <c r="K64">
        <v>1.9480889200167068E-2</v>
      </c>
      <c r="L64" t="s">
        <v>169</v>
      </c>
      <c r="N64" t="s">
        <v>224</v>
      </c>
      <c r="O64" t="s">
        <v>254</v>
      </c>
      <c r="P64">
        <v>3.4597305973524943E-2</v>
      </c>
      <c r="Q64" t="s">
        <v>169</v>
      </c>
      <c r="S64" t="s">
        <v>229</v>
      </c>
      <c r="T64" t="s">
        <v>254</v>
      </c>
      <c r="U64">
        <v>3.4597305973524943E-2</v>
      </c>
      <c r="V64" t="s">
        <v>169</v>
      </c>
      <c r="AK64">
        <v>2038</v>
      </c>
      <c r="AL64" t="s">
        <v>245</v>
      </c>
      <c r="AM64">
        <v>0.35033333333333333</v>
      </c>
      <c r="AN64" t="s">
        <v>239</v>
      </c>
    </row>
    <row r="65" spans="9:40" x14ac:dyDescent="0.45">
      <c r="I65" t="s">
        <v>214</v>
      </c>
      <c r="J65" t="s">
        <v>255</v>
      </c>
      <c r="K65">
        <v>0.29397396250987817</v>
      </c>
      <c r="L65" t="s">
        <v>169</v>
      </c>
      <c r="N65" t="s">
        <v>224</v>
      </c>
      <c r="O65" t="s">
        <v>255</v>
      </c>
      <c r="P65">
        <v>0.1136425284482777</v>
      </c>
      <c r="Q65" t="s">
        <v>169</v>
      </c>
      <c r="S65" t="s">
        <v>229</v>
      </c>
      <c r="T65" t="s">
        <v>255</v>
      </c>
      <c r="U65">
        <v>0.1136425284482777</v>
      </c>
      <c r="V65" t="s">
        <v>169</v>
      </c>
      <c r="AK65">
        <v>2038</v>
      </c>
      <c r="AL65" t="s">
        <v>246</v>
      </c>
      <c r="AM65">
        <v>0.31430000000000002</v>
      </c>
      <c r="AN65" t="s">
        <v>239</v>
      </c>
    </row>
    <row r="66" spans="9:40" x14ac:dyDescent="0.45">
      <c r="I66" t="s">
        <v>214</v>
      </c>
      <c r="J66" t="s">
        <v>256</v>
      </c>
      <c r="K66">
        <v>5.7623709962741571E-3</v>
      </c>
      <c r="L66" t="s">
        <v>169</v>
      </c>
      <c r="N66" t="s">
        <v>224</v>
      </c>
      <c r="O66" t="s">
        <v>256</v>
      </c>
      <c r="P66">
        <v>0.12291716872586188</v>
      </c>
      <c r="Q66" t="s">
        <v>169</v>
      </c>
      <c r="S66" t="s">
        <v>229</v>
      </c>
      <c r="T66" t="s">
        <v>256</v>
      </c>
      <c r="U66">
        <v>0.12291716872586188</v>
      </c>
      <c r="V66" t="s">
        <v>169</v>
      </c>
      <c r="AK66">
        <v>2038</v>
      </c>
      <c r="AL66" t="s">
        <v>248</v>
      </c>
      <c r="AM66">
        <v>0.43113333333333331</v>
      </c>
      <c r="AN66" t="s">
        <v>239</v>
      </c>
    </row>
    <row r="67" spans="9:40" x14ac:dyDescent="0.45">
      <c r="I67" t="s">
        <v>214</v>
      </c>
      <c r="J67" t="s">
        <v>257</v>
      </c>
      <c r="K67">
        <v>3.1269646969704148E-2</v>
      </c>
      <c r="L67" t="s">
        <v>169</v>
      </c>
      <c r="N67" t="s">
        <v>224</v>
      </c>
      <c r="O67" t="s">
        <v>257</v>
      </c>
      <c r="P67">
        <v>4.7077367400343136E-2</v>
      </c>
      <c r="Q67" t="s">
        <v>169</v>
      </c>
      <c r="S67" t="s">
        <v>229</v>
      </c>
      <c r="T67" t="s">
        <v>257</v>
      </c>
      <c r="U67">
        <v>4.7077367400343136E-2</v>
      </c>
      <c r="V67" t="s">
        <v>169</v>
      </c>
      <c r="AK67">
        <v>2039</v>
      </c>
      <c r="AL67" t="s">
        <v>243</v>
      </c>
      <c r="AM67">
        <v>0.35306666666666664</v>
      </c>
      <c r="AN67" t="s">
        <v>239</v>
      </c>
    </row>
    <row r="68" spans="9:40" x14ac:dyDescent="0.45">
      <c r="I68" t="s">
        <v>214</v>
      </c>
      <c r="J68" t="s">
        <v>258</v>
      </c>
      <c r="K68">
        <v>0.15215828437267051</v>
      </c>
      <c r="L68" t="s">
        <v>169</v>
      </c>
      <c r="N68" t="s">
        <v>224</v>
      </c>
      <c r="O68" t="s">
        <v>258</v>
      </c>
      <c r="P68">
        <v>9.315645313686241E-2</v>
      </c>
      <c r="Q68" t="s">
        <v>169</v>
      </c>
      <c r="S68" t="s">
        <v>229</v>
      </c>
      <c r="T68" t="s">
        <v>258</v>
      </c>
      <c r="U68">
        <v>9.315645313686241E-2</v>
      </c>
      <c r="V68" t="s">
        <v>169</v>
      </c>
      <c r="AK68">
        <v>2039</v>
      </c>
      <c r="AL68" t="s">
        <v>245</v>
      </c>
      <c r="AM68">
        <v>0.29476666666666668</v>
      </c>
      <c r="AN68" t="s">
        <v>239</v>
      </c>
    </row>
    <row r="69" spans="9:40" x14ac:dyDescent="0.45">
      <c r="I69" t="s">
        <v>214</v>
      </c>
      <c r="J69" t="s">
        <v>259</v>
      </c>
      <c r="K69">
        <v>0</v>
      </c>
      <c r="L69" t="s">
        <v>169</v>
      </c>
      <c r="N69" t="s">
        <v>224</v>
      </c>
      <c r="O69" t="s">
        <v>259</v>
      </c>
      <c r="P69">
        <v>8.6613038758108302E-2</v>
      </c>
      <c r="Q69" t="s">
        <v>169</v>
      </c>
      <c r="S69" t="s">
        <v>229</v>
      </c>
      <c r="T69" t="s">
        <v>259</v>
      </c>
      <c r="U69">
        <v>8.6613038758108302E-2</v>
      </c>
      <c r="V69" t="s">
        <v>169</v>
      </c>
      <c r="AK69">
        <v>2039</v>
      </c>
      <c r="AL69" t="s">
        <v>246</v>
      </c>
      <c r="AM69">
        <v>0.28203333333333336</v>
      </c>
      <c r="AN69" t="s">
        <v>239</v>
      </c>
    </row>
    <row r="70" spans="9:40" x14ac:dyDescent="0.45">
      <c r="I70" t="s">
        <v>214</v>
      </c>
      <c r="J70" t="s">
        <v>260</v>
      </c>
      <c r="K70">
        <v>2.7396992237785152E-3</v>
      </c>
      <c r="L70" t="s">
        <v>169</v>
      </c>
      <c r="N70" t="s">
        <v>224</v>
      </c>
      <c r="O70" t="s">
        <v>260</v>
      </c>
      <c r="P70">
        <v>2.0896072690976614E-2</v>
      </c>
      <c r="Q70" t="s">
        <v>169</v>
      </c>
      <c r="S70" t="s">
        <v>229</v>
      </c>
      <c r="T70" t="s">
        <v>260</v>
      </c>
      <c r="U70">
        <v>2.0896072690976614E-2</v>
      </c>
      <c r="V70" t="s">
        <v>169</v>
      </c>
      <c r="AK70">
        <v>2039</v>
      </c>
      <c r="AL70" t="s">
        <v>248</v>
      </c>
      <c r="AM70">
        <v>0.36463333333333331</v>
      </c>
      <c r="AN70" t="s">
        <v>239</v>
      </c>
    </row>
    <row r="71" spans="9:40" x14ac:dyDescent="0.45">
      <c r="I71" t="s">
        <v>215</v>
      </c>
      <c r="J71" t="s">
        <v>249</v>
      </c>
      <c r="K71">
        <v>0.22800567176159187</v>
      </c>
      <c r="L71" t="s">
        <v>169</v>
      </c>
      <c r="AK71">
        <v>2040</v>
      </c>
      <c r="AL71" t="s">
        <v>243</v>
      </c>
      <c r="AM71">
        <v>0.38369999999999999</v>
      </c>
      <c r="AN71" t="s">
        <v>239</v>
      </c>
    </row>
    <row r="72" spans="9:40" x14ac:dyDescent="0.45">
      <c r="I72" t="s">
        <v>215</v>
      </c>
      <c r="J72" t="s">
        <v>250</v>
      </c>
      <c r="K72">
        <v>0</v>
      </c>
      <c r="L72" t="s">
        <v>169</v>
      </c>
      <c r="AK72">
        <v>2040</v>
      </c>
      <c r="AL72" t="s">
        <v>245</v>
      </c>
      <c r="AM72">
        <v>0.30180000000000001</v>
      </c>
      <c r="AN72" t="s">
        <v>239</v>
      </c>
    </row>
    <row r="73" spans="9:40" x14ac:dyDescent="0.45">
      <c r="I73" t="s">
        <v>215</v>
      </c>
      <c r="J73" t="s">
        <v>251</v>
      </c>
      <c r="K73">
        <v>8.5954072435466891E-3</v>
      </c>
      <c r="L73" t="s">
        <v>169</v>
      </c>
      <c r="AK73">
        <v>2040</v>
      </c>
      <c r="AL73" t="s">
        <v>246</v>
      </c>
      <c r="AM73">
        <v>0.28453333333333336</v>
      </c>
      <c r="AN73" t="s">
        <v>239</v>
      </c>
    </row>
    <row r="74" spans="9:40" x14ac:dyDescent="0.45">
      <c r="I74" t="s">
        <v>215</v>
      </c>
      <c r="J74" t="s">
        <v>252</v>
      </c>
      <c r="K74">
        <v>0.25745612563130482</v>
      </c>
      <c r="L74" t="s">
        <v>169</v>
      </c>
      <c r="AK74">
        <v>2040</v>
      </c>
      <c r="AL74" t="s">
        <v>248</v>
      </c>
      <c r="AM74">
        <v>0.37436666666666668</v>
      </c>
      <c r="AN74" t="s">
        <v>239</v>
      </c>
    </row>
    <row r="75" spans="9:40" x14ac:dyDescent="0.45">
      <c r="I75" t="s">
        <v>215</v>
      </c>
      <c r="J75" t="s">
        <v>253</v>
      </c>
      <c r="K75">
        <v>1.2051701834064794E-3</v>
      </c>
      <c r="L75" t="s">
        <v>169</v>
      </c>
      <c r="AK75">
        <v>2041</v>
      </c>
      <c r="AL75" t="s">
        <v>243</v>
      </c>
      <c r="AM75">
        <v>0.34903333333333331</v>
      </c>
      <c r="AN75" t="s">
        <v>239</v>
      </c>
    </row>
    <row r="76" spans="9:40" x14ac:dyDescent="0.45">
      <c r="I76" t="s">
        <v>215</v>
      </c>
      <c r="J76" t="s">
        <v>254</v>
      </c>
      <c r="K76">
        <v>2.1002664628415827E-2</v>
      </c>
      <c r="L76" t="s">
        <v>169</v>
      </c>
      <c r="AK76">
        <v>2041</v>
      </c>
      <c r="AL76" t="s">
        <v>245</v>
      </c>
      <c r="AM76">
        <v>0.31679999999999997</v>
      </c>
      <c r="AN76" t="s">
        <v>239</v>
      </c>
    </row>
    <row r="77" spans="9:40" x14ac:dyDescent="0.45">
      <c r="I77" t="s">
        <v>215</v>
      </c>
      <c r="J77" t="s">
        <v>255</v>
      </c>
      <c r="K77">
        <v>0.28760417764221152</v>
      </c>
      <c r="L77" t="s">
        <v>169</v>
      </c>
      <c r="AK77">
        <v>2041</v>
      </c>
      <c r="AL77" t="s">
        <v>246</v>
      </c>
      <c r="AM77">
        <v>0.28040000000000004</v>
      </c>
      <c r="AN77" t="s">
        <v>239</v>
      </c>
    </row>
    <row r="78" spans="9:40" x14ac:dyDescent="0.45">
      <c r="I78" t="s">
        <v>215</v>
      </c>
      <c r="J78" t="s">
        <v>256</v>
      </c>
      <c r="K78">
        <v>5.4344655224274931E-3</v>
      </c>
      <c r="L78" t="s">
        <v>169</v>
      </c>
      <c r="AK78">
        <v>2041</v>
      </c>
      <c r="AL78" t="s">
        <v>248</v>
      </c>
      <c r="AM78">
        <v>0.37136666666666662</v>
      </c>
      <c r="AN78" t="s">
        <v>239</v>
      </c>
    </row>
    <row r="79" spans="9:40" x14ac:dyDescent="0.45">
      <c r="I79" t="s">
        <v>215</v>
      </c>
      <c r="J79" t="s">
        <v>257</v>
      </c>
      <c r="K79">
        <v>3.164887311716378E-2</v>
      </c>
      <c r="L79" t="s">
        <v>169</v>
      </c>
      <c r="AK79">
        <v>2042</v>
      </c>
      <c r="AL79" t="s">
        <v>243</v>
      </c>
      <c r="AM79">
        <v>0.47603333333333336</v>
      </c>
      <c r="AN79" t="s">
        <v>239</v>
      </c>
    </row>
    <row r="80" spans="9:40" x14ac:dyDescent="0.45">
      <c r="I80" t="s">
        <v>215</v>
      </c>
      <c r="J80" t="s">
        <v>258</v>
      </c>
      <c r="K80">
        <v>0.15563665098606677</v>
      </c>
      <c r="L80" t="s">
        <v>169</v>
      </c>
      <c r="AK80">
        <v>2042</v>
      </c>
      <c r="AL80" t="s">
        <v>245</v>
      </c>
      <c r="AM80">
        <v>0.38036666666666669</v>
      </c>
      <c r="AN80" t="s">
        <v>239</v>
      </c>
    </row>
    <row r="81" spans="9:40" x14ac:dyDescent="0.45">
      <c r="I81" t="s">
        <v>215</v>
      </c>
      <c r="J81" t="s">
        <v>259</v>
      </c>
      <c r="K81">
        <v>0</v>
      </c>
      <c r="L81" t="s">
        <v>169</v>
      </c>
      <c r="AK81">
        <v>2042</v>
      </c>
      <c r="AL81" t="s">
        <v>246</v>
      </c>
      <c r="AM81">
        <v>0.38506666666666667</v>
      </c>
      <c r="AN81" t="s">
        <v>239</v>
      </c>
    </row>
    <row r="82" spans="9:40" x14ac:dyDescent="0.45">
      <c r="I82" t="s">
        <v>215</v>
      </c>
      <c r="J82" t="s">
        <v>260</v>
      </c>
      <c r="K82">
        <v>3.410793283864213E-3</v>
      </c>
      <c r="L82" t="s">
        <v>169</v>
      </c>
      <c r="AK82">
        <v>2042</v>
      </c>
      <c r="AL82" t="s">
        <v>248</v>
      </c>
      <c r="AM82">
        <v>0.49536666666666668</v>
      </c>
      <c r="AN82" t="s">
        <v>239</v>
      </c>
    </row>
    <row r="83" spans="9:40" x14ac:dyDescent="0.45">
      <c r="I83" t="s">
        <v>216</v>
      </c>
      <c r="J83" t="s">
        <v>249</v>
      </c>
      <c r="K83">
        <v>0.2293242167841385</v>
      </c>
      <c r="L83" t="s">
        <v>169</v>
      </c>
      <c r="AK83">
        <v>2043</v>
      </c>
      <c r="AL83" t="s">
        <v>243</v>
      </c>
      <c r="AM83">
        <v>0.434</v>
      </c>
      <c r="AN83" t="s">
        <v>239</v>
      </c>
    </row>
    <row r="84" spans="9:40" x14ac:dyDescent="0.45">
      <c r="I84" t="s">
        <v>216</v>
      </c>
      <c r="J84" t="s">
        <v>250</v>
      </c>
      <c r="K84">
        <v>0</v>
      </c>
      <c r="L84" t="s">
        <v>169</v>
      </c>
      <c r="AK84">
        <v>2043</v>
      </c>
      <c r="AL84" t="s">
        <v>245</v>
      </c>
      <c r="AM84">
        <v>0.36099999999999999</v>
      </c>
      <c r="AN84" t="s">
        <v>239</v>
      </c>
    </row>
    <row r="85" spans="9:40" x14ac:dyDescent="0.45">
      <c r="I85" t="s">
        <v>216</v>
      </c>
      <c r="J85" t="s">
        <v>251</v>
      </c>
      <c r="K85">
        <v>6.8359469322930699E-3</v>
      </c>
      <c r="L85" t="s">
        <v>169</v>
      </c>
      <c r="AK85">
        <v>2043</v>
      </c>
      <c r="AL85" t="s">
        <v>246</v>
      </c>
      <c r="AM85">
        <v>0.32833333333333337</v>
      </c>
      <c r="AN85" t="s">
        <v>239</v>
      </c>
    </row>
    <row r="86" spans="9:40" x14ac:dyDescent="0.45">
      <c r="I86" t="s">
        <v>216</v>
      </c>
      <c r="J86" t="s">
        <v>252</v>
      </c>
      <c r="K86">
        <v>0.27078215559804192</v>
      </c>
      <c r="L86" t="s">
        <v>169</v>
      </c>
      <c r="AK86">
        <v>2043</v>
      </c>
      <c r="AL86" t="s">
        <v>248</v>
      </c>
      <c r="AM86">
        <v>0.45173333333333332</v>
      </c>
      <c r="AN86" t="s">
        <v>239</v>
      </c>
    </row>
    <row r="87" spans="9:40" x14ac:dyDescent="0.45">
      <c r="I87" t="s">
        <v>216</v>
      </c>
      <c r="J87" t="s">
        <v>253</v>
      </c>
      <c r="K87">
        <v>1.932220040691376E-3</v>
      </c>
      <c r="L87" t="s">
        <v>169</v>
      </c>
      <c r="AK87">
        <v>2044</v>
      </c>
      <c r="AL87" t="s">
        <v>243</v>
      </c>
      <c r="AM87">
        <v>0.43253333333333338</v>
      </c>
      <c r="AN87" t="s">
        <v>239</v>
      </c>
    </row>
    <row r="88" spans="9:40" x14ac:dyDescent="0.45">
      <c r="I88" t="s">
        <v>216</v>
      </c>
      <c r="J88" t="s">
        <v>254</v>
      </c>
      <c r="K88">
        <v>2.0162583528468246E-2</v>
      </c>
      <c r="L88" t="s">
        <v>169</v>
      </c>
      <c r="AK88">
        <v>2044</v>
      </c>
      <c r="AL88" t="s">
        <v>245</v>
      </c>
      <c r="AM88">
        <v>0.3565666666666667</v>
      </c>
      <c r="AN88" t="s">
        <v>239</v>
      </c>
    </row>
    <row r="89" spans="9:40" x14ac:dyDescent="0.45">
      <c r="I89" t="s">
        <v>216</v>
      </c>
      <c r="J89" t="s">
        <v>255</v>
      </c>
      <c r="K89">
        <v>0.27323591734430258</v>
      </c>
      <c r="L89" t="s">
        <v>169</v>
      </c>
      <c r="AK89">
        <v>2044</v>
      </c>
      <c r="AL89" t="s">
        <v>246</v>
      </c>
      <c r="AM89">
        <v>0.33610000000000001</v>
      </c>
      <c r="AN89" t="s">
        <v>239</v>
      </c>
    </row>
    <row r="90" spans="9:40" x14ac:dyDescent="0.45">
      <c r="I90" t="s">
        <v>216</v>
      </c>
      <c r="J90" t="s">
        <v>256</v>
      </c>
      <c r="K90">
        <v>6.4038943643048799E-3</v>
      </c>
      <c r="L90" t="s">
        <v>169</v>
      </c>
      <c r="AK90">
        <v>2044</v>
      </c>
      <c r="AL90" t="s">
        <v>248</v>
      </c>
      <c r="AM90">
        <v>0.40983333333333333</v>
      </c>
      <c r="AN90" t="s">
        <v>239</v>
      </c>
    </row>
    <row r="91" spans="9:40" x14ac:dyDescent="0.45">
      <c r="I91" t="s">
        <v>216</v>
      </c>
      <c r="J91" t="s">
        <v>257</v>
      </c>
      <c r="K91">
        <v>2.5136039048668148E-2</v>
      </c>
      <c r="L91" t="s">
        <v>169</v>
      </c>
      <c r="AK91">
        <v>2045</v>
      </c>
      <c r="AL91" t="s">
        <v>243</v>
      </c>
      <c r="AM91">
        <v>0.45239999999999997</v>
      </c>
      <c r="AN91" t="s">
        <v>239</v>
      </c>
    </row>
    <row r="92" spans="9:40" x14ac:dyDescent="0.45">
      <c r="I92" t="s">
        <v>216</v>
      </c>
      <c r="J92" t="s">
        <v>258</v>
      </c>
      <c r="K92">
        <v>0.16383565372219056</v>
      </c>
      <c r="L92" t="s">
        <v>169</v>
      </c>
      <c r="AK92">
        <v>2045</v>
      </c>
      <c r="AL92" t="s">
        <v>245</v>
      </c>
      <c r="AM92">
        <v>0.37543333333333334</v>
      </c>
      <c r="AN92" t="s">
        <v>239</v>
      </c>
    </row>
    <row r="93" spans="9:40" x14ac:dyDescent="0.45">
      <c r="I93" t="s">
        <v>216</v>
      </c>
      <c r="J93" t="s">
        <v>259</v>
      </c>
      <c r="K93">
        <v>0</v>
      </c>
      <c r="L93" t="s">
        <v>169</v>
      </c>
      <c r="AK93">
        <v>2045</v>
      </c>
      <c r="AL93" t="s">
        <v>246</v>
      </c>
      <c r="AM93">
        <v>0.35586666666666672</v>
      </c>
      <c r="AN93" t="s">
        <v>239</v>
      </c>
    </row>
    <row r="94" spans="9:40" x14ac:dyDescent="0.45">
      <c r="I94" t="s">
        <v>216</v>
      </c>
      <c r="J94" t="s">
        <v>260</v>
      </c>
      <c r="K94">
        <v>2.3513726368988913E-3</v>
      </c>
      <c r="L94" t="s">
        <v>169</v>
      </c>
      <c r="AK94">
        <v>2045</v>
      </c>
      <c r="AL94" t="s">
        <v>248</v>
      </c>
      <c r="AM94">
        <v>0.41776666666666662</v>
      </c>
      <c r="AN94" t="s">
        <v>239</v>
      </c>
    </row>
    <row r="95" spans="9:40" x14ac:dyDescent="0.45">
      <c r="I95" t="s">
        <v>217</v>
      </c>
      <c r="J95" t="s">
        <v>249</v>
      </c>
      <c r="K95">
        <v>0.22983234555467663</v>
      </c>
      <c r="L95" t="s">
        <v>169</v>
      </c>
      <c r="AK95">
        <v>2046</v>
      </c>
      <c r="AL95" t="s">
        <v>243</v>
      </c>
      <c r="AM95">
        <v>0.40433333333333338</v>
      </c>
      <c r="AN95" t="s">
        <v>239</v>
      </c>
    </row>
    <row r="96" spans="9:40" x14ac:dyDescent="0.45">
      <c r="I96" t="s">
        <v>217</v>
      </c>
      <c r="J96" t="s">
        <v>250</v>
      </c>
      <c r="K96">
        <v>0</v>
      </c>
      <c r="L96" t="s">
        <v>169</v>
      </c>
      <c r="AK96">
        <v>2046</v>
      </c>
      <c r="AL96" t="s">
        <v>245</v>
      </c>
      <c r="AM96">
        <v>0.33663333333333334</v>
      </c>
      <c r="AN96" t="s">
        <v>239</v>
      </c>
    </row>
    <row r="97" spans="9:40" x14ac:dyDescent="0.45">
      <c r="I97" t="s">
        <v>217</v>
      </c>
      <c r="J97" t="s">
        <v>251</v>
      </c>
      <c r="K97">
        <v>7.1777643132999013E-3</v>
      </c>
      <c r="L97" t="s">
        <v>169</v>
      </c>
      <c r="AK97">
        <v>2046</v>
      </c>
      <c r="AL97" t="s">
        <v>246</v>
      </c>
      <c r="AM97">
        <v>0.32306666666666667</v>
      </c>
      <c r="AN97" t="s">
        <v>239</v>
      </c>
    </row>
    <row r="98" spans="9:40" x14ac:dyDescent="0.45">
      <c r="I98" t="s">
        <v>217</v>
      </c>
      <c r="J98" t="s">
        <v>252</v>
      </c>
      <c r="K98">
        <v>0.25806775115554442</v>
      </c>
      <c r="L98" t="s">
        <v>169</v>
      </c>
      <c r="AK98">
        <v>2046</v>
      </c>
      <c r="AL98" t="s">
        <v>248</v>
      </c>
      <c r="AM98">
        <v>0.44600000000000001</v>
      </c>
      <c r="AN98" t="s">
        <v>239</v>
      </c>
    </row>
    <row r="99" spans="9:40" x14ac:dyDescent="0.45">
      <c r="I99" t="s">
        <v>217</v>
      </c>
      <c r="J99" t="s">
        <v>253</v>
      </c>
      <c r="K99">
        <v>2.0830656543970876E-3</v>
      </c>
      <c r="L99" t="s">
        <v>169</v>
      </c>
      <c r="AK99">
        <v>2047</v>
      </c>
      <c r="AL99" t="s">
        <v>243</v>
      </c>
      <c r="AM99">
        <v>0.4078</v>
      </c>
      <c r="AN99" t="s">
        <v>239</v>
      </c>
    </row>
    <row r="100" spans="9:40" x14ac:dyDescent="0.45">
      <c r="I100" t="s">
        <v>217</v>
      </c>
      <c r="J100" t="s">
        <v>254</v>
      </c>
      <c r="K100">
        <v>1.8480554295517378E-2</v>
      </c>
      <c r="L100" t="s">
        <v>169</v>
      </c>
      <c r="AK100">
        <v>2047</v>
      </c>
      <c r="AL100" t="s">
        <v>245</v>
      </c>
      <c r="AM100">
        <v>0.35870000000000002</v>
      </c>
      <c r="AN100" t="s">
        <v>239</v>
      </c>
    </row>
    <row r="101" spans="9:40" x14ac:dyDescent="0.45">
      <c r="I101" t="s">
        <v>217</v>
      </c>
      <c r="J101" t="s">
        <v>255</v>
      </c>
      <c r="K101">
        <v>0.29313805087212541</v>
      </c>
      <c r="L101" t="s">
        <v>169</v>
      </c>
      <c r="AK101">
        <v>2047</v>
      </c>
      <c r="AL101" t="s">
        <v>246</v>
      </c>
      <c r="AM101">
        <v>0.31490000000000001</v>
      </c>
      <c r="AN101" t="s">
        <v>239</v>
      </c>
    </row>
    <row r="102" spans="9:40" x14ac:dyDescent="0.45">
      <c r="I102" t="s">
        <v>217</v>
      </c>
      <c r="J102" t="s">
        <v>256</v>
      </c>
      <c r="K102">
        <v>7.5730978060227806E-3</v>
      </c>
      <c r="L102" t="s">
        <v>169</v>
      </c>
      <c r="AK102">
        <v>2047</v>
      </c>
      <c r="AL102" t="s">
        <v>248</v>
      </c>
      <c r="AM102">
        <v>0.44166666666666665</v>
      </c>
      <c r="AN102" t="s">
        <v>239</v>
      </c>
    </row>
    <row r="103" spans="9:40" x14ac:dyDescent="0.45">
      <c r="I103" t="s">
        <v>217</v>
      </c>
      <c r="J103" t="s">
        <v>257</v>
      </c>
      <c r="K103">
        <v>2.8830562172607703E-2</v>
      </c>
      <c r="L103" t="s">
        <v>169</v>
      </c>
      <c r="AK103">
        <v>2048</v>
      </c>
      <c r="AL103" t="s">
        <v>243</v>
      </c>
      <c r="AM103">
        <v>0.3997</v>
      </c>
      <c r="AN103" t="s">
        <v>239</v>
      </c>
    </row>
    <row r="104" spans="9:40" x14ac:dyDescent="0.45">
      <c r="I104" t="s">
        <v>217</v>
      </c>
      <c r="J104" t="s">
        <v>258</v>
      </c>
      <c r="K104">
        <v>0.15242029338410051</v>
      </c>
      <c r="L104" t="s">
        <v>169</v>
      </c>
      <c r="AK104">
        <v>2048</v>
      </c>
      <c r="AL104" t="s">
        <v>245</v>
      </c>
      <c r="AM104">
        <v>0.37226666666666669</v>
      </c>
      <c r="AN104" t="s">
        <v>239</v>
      </c>
    </row>
    <row r="105" spans="9:40" x14ac:dyDescent="0.45">
      <c r="I105" t="s">
        <v>217</v>
      </c>
      <c r="J105" t="s">
        <v>259</v>
      </c>
      <c r="K105">
        <v>0</v>
      </c>
      <c r="L105" t="s">
        <v>169</v>
      </c>
      <c r="AK105">
        <v>2048</v>
      </c>
      <c r="AL105" t="s">
        <v>246</v>
      </c>
      <c r="AM105">
        <v>0.32716666666666666</v>
      </c>
      <c r="AN105" t="s">
        <v>239</v>
      </c>
    </row>
    <row r="106" spans="9:40" x14ac:dyDescent="0.45">
      <c r="I106" t="s">
        <v>217</v>
      </c>
      <c r="J106" t="s">
        <v>260</v>
      </c>
      <c r="K106">
        <v>2.3965147917090032E-3</v>
      </c>
      <c r="L106" t="s">
        <v>169</v>
      </c>
      <c r="AK106">
        <v>2048</v>
      </c>
      <c r="AL106" t="s">
        <v>248</v>
      </c>
      <c r="AM106">
        <v>0.44470000000000004</v>
      </c>
      <c r="AN106" t="s">
        <v>239</v>
      </c>
    </row>
    <row r="107" spans="9:40" x14ac:dyDescent="0.45">
      <c r="I107" t="s">
        <v>218</v>
      </c>
      <c r="J107" t="s">
        <v>249</v>
      </c>
      <c r="K107">
        <v>0.22778417066110421</v>
      </c>
      <c r="L107" t="s">
        <v>169</v>
      </c>
      <c r="AK107">
        <v>2049</v>
      </c>
      <c r="AL107" t="s">
        <v>243</v>
      </c>
      <c r="AM107">
        <v>0.42353333333333332</v>
      </c>
      <c r="AN107" t="s">
        <v>239</v>
      </c>
    </row>
    <row r="108" spans="9:40" x14ac:dyDescent="0.45">
      <c r="I108" t="s">
        <v>218</v>
      </c>
      <c r="J108" t="s">
        <v>250</v>
      </c>
      <c r="K108">
        <v>0</v>
      </c>
      <c r="L108" t="s">
        <v>169</v>
      </c>
      <c r="AK108">
        <v>2049</v>
      </c>
      <c r="AL108" t="s">
        <v>245</v>
      </c>
      <c r="AM108">
        <v>0.34213333333333334</v>
      </c>
      <c r="AN108" t="s">
        <v>239</v>
      </c>
    </row>
    <row r="109" spans="9:40" x14ac:dyDescent="0.45">
      <c r="I109" t="s">
        <v>218</v>
      </c>
      <c r="J109" t="s">
        <v>251</v>
      </c>
      <c r="K109">
        <v>8.3876398618938797E-3</v>
      </c>
      <c r="L109" t="s">
        <v>169</v>
      </c>
      <c r="AK109">
        <v>2049</v>
      </c>
      <c r="AL109" t="s">
        <v>246</v>
      </c>
      <c r="AM109">
        <v>0.32826666666666665</v>
      </c>
      <c r="AN109" t="s">
        <v>239</v>
      </c>
    </row>
    <row r="110" spans="9:40" x14ac:dyDescent="0.45">
      <c r="I110" t="s">
        <v>218</v>
      </c>
      <c r="J110" t="s">
        <v>252</v>
      </c>
      <c r="K110">
        <v>0.25238209169570702</v>
      </c>
      <c r="L110" t="s">
        <v>169</v>
      </c>
      <c r="AK110">
        <v>2049</v>
      </c>
      <c r="AL110" t="s">
        <v>248</v>
      </c>
      <c r="AM110">
        <v>0.43503333333333333</v>
      </c>
      <c r="AN110" t="s">
        <v>239</v>
      </c>
    </row>
    <row r="111" spans="9:40" x14ac:dyDescent="0.45">
      <c r="I111" t="s">
        <v>218</v>
      </c>
      <c r="J111" t="s">
        <v>253</v>
      </c>
      <c r="K111">
        <v>1.6844182012688321E-3</v>
      </c>
      <c r="L111" t="s">
        <v>169</v>
      </c>
      <c r="AK111">
        <v>2050</v>
      </c>
      <c r="AL111" t="s">
        <v>243</v>
      </c>
      <c r="AM111">
        <v>0.47059999999999996</v>
      </c>
      <c r="AN111" t="s">
        <v>239</v>
      </c>
    </row>
    <row r="112" spans="9:40" x14ac:dyDescent="0.45">
      <c r="I112" t="s">
        <v>218</v>
      </c>
      <c r="J112" t="s">
        <v>254</v>
      </c>
      <c r="K112">
        <v>1.919942494862293E-2</v>
      </c>
      <c r="L112" t="s">
        <v>169</v>
      </c>
      <c r="AK112">
        <v>2050</v>
      </c>
      <c r="AL112" t="s">
        <v>245</v>
      </c>
      <c r="AM112">
        <v>0.4156333333333333</v>
      </c>
      <c r="AN112" t="s">
        <v>239</v>
      </c>
    </row>
    <row r="113" spans="9:40" x14ac:dyDescent="0.45">
      <c r="I113" t="s">
        <v>218</v>
      </c>
      <c r="J113" t="s">
        <v>255</v>
      </c>
      <c r="K113">
        <v>0.28600965675351614</v>
      </c>
      <c r="L113" t="s">
        <v>169</v>
      </c>
      <c r="AK113">
        <v>2050</v>
      </c>
      <c r="AL113" t="s">
        <v>246</v>
      </c>
      <c r="AM113">
        <v>0.38230000000000003</v>
      </c>
      <c r="AN113" t="s">
        <v>239</v>
      </c>
    </row>
    <row r="114" spans="9:40" x14ac:dyDescent="0.45">
      <c r="I114" t="s">
        <v>218</v>
      </c>
      <c r="J114" t="s">
        <v>256</v>
      </c>
      <c r="K114">
        <v>7.0282301803600376E-3</v>
      </c>
      <c r="L114" t="s">
        <v>169</v>
      </c>
      <c r="AK114">
        <v>2050</v>
      </c>
      <c r="AL114" t="s">
        <v>248</v>
      </c>
      <c r="AM114">
        <v>0.49653333333333333</v>
      </c>
      <c r="AN114" t="s">
        <v>239</v>
      </c>
    </row>
    <row r="115" spans="9:40" x14ac:dyDescent="0.45">
      <c r="I115" t="s">
        <v>218</v>
      </c>
      <c r="J115" t="s">
        <v>257</v>
      </c>
      <c r="K115">
        <v>3.0306579148736287E-2</v>
      </c>
      <c r="L115" t="s">
        <v>169</v>
      </c>
    </row>
    <row r="116" spans="9:40" x14ac:dyDescent="0.45">
      <c r="I116" t="s">
        <v>218</v>
      </c>
      <c r="J116" t="s">
        <v>258</v>
      </c>
      <c r="K116">
        <v>0.16425612320237334</v>
      </c>
      <c r="L116" t="s">
        <v>169</v>
      </c>
    </row>
    <row r="117" spans="9:40" x14ac:dyDescent="0.45">
      <c r="I117" t="s">
        <v>218</v>
      </c>
      <c r="J117" t="s">
        <v>259</v>
      </c>
      <c r="K117">
        <v>0</v>
      </c>
      <c r="L117" t="s">
        <v>169</v>
      </c>
    </row>
    <row r="118" spans="9:40" x14ac:dyDescent="0.45">
      <c r="I118" t="s">
        <v>218</v>
      </c>
      <c r="J118" t="s">
        <v>260</v>
      </c>
      <c r="K118">
        <v>2.9616653464177725E-3</v>
      </c>
      <c r="L118" t="s">
        <v>169</v>
      </c>
    </row>
    <row r="119" spans="9:40" x14ac:dyDescent="0.45">
      <c r="I119" t="s">
        <v>219</v>
      </c>
      <c r="J119" t="s">
        <v>249</v>
      </c>
      <c r="K119">
        <v>0.2288091629493344</v>
      </c>
      <c r="L119" t="s">
        <v>169</v>
      </c>
    </row>
    <row r="120" spans="9:40" x14ac:dyDescent="0.45">
      <c r="I120" t="s">
        <v>219</v>
      </c>
      <c r="J120" t="s">
        <v>250</v>
      </c>
      <c r="K120">
        <v>0</v>
      </c>
      <c r="L120" t="s">
        <v>169</v>
      </c>
    </row>
    <row r="121" spans="9:40" x14ac:dyDescent="0.45">
      <c r="I121" t="s">
        <v>219</v>
      </c>
      <c r="J121" t="s">
        <v>251</v>
      </c>
      <c r="K121">
        <v>7.5694677676362782E-3</v>
      </c>
      <c r="L121" t="s">
        <v>169</v>
      </c>
    </row>
    <row r="122" spans="9:40" x14ac:dyDescent="0.45">
      <c r="I122" t="s">
        <v>219</v>
      </c>
      <c r="J122" t="s">
        <v>252</v>
      </c>
      <c r="K122">
        <v>0.2623137150832357</v>
      </c>
      <c r="L122" t="s">
        <v>169</v>
      </c>
    </row>
    <row r="123" spans="9:40" x14ac:dyDescent="0.45">
      <c r="I123" t="s">
        <v>219</v>
      </c>
      <c r="J123" t="s">
        <v>253</v>
      </c>
      <c r="K123">
        <v>1.7293943766573971E-3</v>
      </c>
      <c r="L123" t="s">
        <v>169</v>
      </c>
    </row>
    <row r="124" spans="9:40" x14ac:dyDescent="0.45">
      <c r="I124" t="s">
        <v>219</v>
      </c>
      <c r="J124" t="s">
        <v>254</v>
      </c>
      <c r="K124">
        <v>2.0160863570943849E-2</v>
      </c>
      <c r="L124" t="s">
        <v>169</v>
      </c>
    </row>
    <row r="125" spans="9:40" x14ac:dyDescent="0.45">
      <c r="I125" t="s">
        <v>219</v>
      </c>
      <c r="J125" t="s">
        <v>255</v>
      </c>
      <c r="K125">
        <v>0.27450696429219823</v>
      </c>
      <c r="L125" t="s">
        <v>169</v>
      </c>
    </row>
    <row r="126" spans="9:40" x14ac:dyDescent="0.45">
      <c r="I126" t="s">
        <v>219</v>
      </c>
      <c r="J126" t="s">
        <v>256</v>
      </c>
      <c r="K126">
        <v>6.5671478606898091E-3</v>
      </c>
      <c r="L126" t="s">
        <v>169</v>
      </c>
    </row>
    <row r="127" spans="9:40" x14ac:dyDescent="0.45">
      <c r="I127" t="s">
        <v>219</v>
      </c>
      <c r="J127" t="s">
        <v>257</v>
      </c>
      <c r="K127">
        <v>2.6895311597162668E-2</v>
      </c>
      <c r="L127" t="s">
        <v>169</v>
      </c>
    </row>
    <row r="128" spans="9:40" x14ac:dyDescent="0.45">
      <c r="I128" t="s">
        <v>219</v>
      </c>
      <c r="J128" t="s">
        <v>258</v>
      </c>
      <c r="K128">
        <v>0.16840850291010129</v>
      </c>
      <c r="L128" t="s">
        <v>169</v>
      </c>
    </row>
    <row r="129" spans="9:12" x14ac:dyDescent="0.45">
      <c r="I129" t="s">
        <v>219</v>
      </c>
      <c r="J129" t="s">
        <v>259</v>
      </c>
      <c r="K129">
        <v>0</v>
      </c>
      <c r="L129" t="s">
        <v>169</v>
      </c>
    </row>
    <row r="130" spans="9:12" x14ac:dyDescent="0.45">
      <c r="I130" t="s">
        <v>219</v>
      </c>
      <c r="J130" t="s">
        <v>260</v>
      </c>
      <c r="K130">
        <v>3.0394695920417979E-3</v>
      </c>
      <c r="L130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2025-09-25T10:02:24Z</dcterms:modified>
</cp:coreProperties>
</file>